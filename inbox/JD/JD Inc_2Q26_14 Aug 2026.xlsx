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finscan\inbox\JD\"/>
    </mc:Choice>
  </mc:AlternateContent>
  <xr:revisionPtr revIDLastSave="0" documentId="13_ncr:1_{33CF160A-769E-4DB9-AA42-365C5F3AE0C8}" xr6:coauthVersionLast="47" xr6:coauthVersionMax="47" xr10:uidLastSave="{00000000-0000-0000-0000-000000000000}"/>
  <bookViews>
    <workbookView xWindow="-110" yWindow="-110" windowWidth="24220" windowHeight="15500" activeTab="2" xr2:uid="{00000000-000D-0000-FFFF-FFFF00000000}"/>
  </bookViews>
  <sheets>
    <sheet name="Capitalisation" sheetId="22" r:id="rId1"/>
    <sheet name="Model" sheetId="23" r:id="rId2"/>
    <sheet name="KPIs" sheetId="2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2">MonthlyOpStats</definedName>
    <definedName name="_01_30_04">MonthlyOpStats</definedName>
    <definedName name="_1_30_01" localSheetId="2">MonthlyOpStats</definedName>
    <definedName name="_1_30_01">MonthlyOpStats</definedName>
    <definedName name="_1_30_02" localSheetId="2">MonthlyOpStats</definedName>
    <definedName name="_1_30_02">MonthlyOpStats</definedName>
    <definedName name="_1_31_01" localSheetId="2">MonthlyOpStats</definedName>
    <definedName name="_1_31_01">MonthlyOpStats</definedName>
    <definedName name="_1_31_02" localSheetId="2">MonthlyOpStats</definedName>
    <definedName name="_1_31_02">MonthlyOpStats</definedName>
    <definedName name="_12_31_05" localSheetId="2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hidden="1">[2]FxdChg!#REF!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>#REF!</definedName>
    <definedName name="AllBH">#REF!</definedName>
    <definedName name="allProjects">#REF!</definedName>
    <definedName name="amort">[5]Inputs!#REF!</definedName>
    <definedName name="AP_Sales">'[4]Tanning Assumptions'!#REF!</definedName>
    <definedName name="AR_Other_Sales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>#REF!</definedName>
    <definedName name="Cash_Sales">'[4]Tanning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BHC">#REF!</definedName>
    <definedName name="cfl">#REF!</definedName>
    <definedName name="ChartDataRange">#REF!</definedName>
    <definedName name="CINC">#REF!</definedName>
    <definedName name="CIQWBGuid" hidden="1">"a2053d85-6815-447c-8989-5e6595ddfa94"</definedName>
    <definedName name="circ">[5]Inputs!#REF!</definedName>
    <definedName name="CircRev">#REF!</definedName>
    <definedName name="Class_3_Agg_Cash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>#REF!</definedName>
    <definedName name="closing_date">#REF!</definedName>
    <definedName name="closingttmrevenue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>'[14]Portfolio Input'!#REF!</definedName>
    <definedName name="counter2">'[14]Portfolio Input'!#REF!</definedName>
    <definedName name="Coupon">[15]Inputs!$J$30</definedName>
    <definedName name="CSEnd">#REF!</definedName>
    <definedName name="CSHO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>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2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44297.3725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>'[9]S&amp;U'!#REF!</definedName>
    <definedName name="left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[10]Revolver!#REF!</definedName>
    <definedName name="Libor_Minus_2SD">[10]Revolver!#REF!</definedName>
    <definedName name="Libor_Plus_0SD">[10]Revolver!#REF!</definedName>
    <definedName name="Libor_Plus_1SD">[10]Revolver!#REF!</definedName>
    <definedName name="Libor_Plus_2SD">[10]Revolver!#REF!</definedName>
    <definedName name="Libor_Scenario">#REF!</definedName>
    <definedName name="Libor_Up">#REF!</definedName>
    <definedName name="longterm">[5]Inputs!#REF!</definedName>
    <definedName name="LTM_DATE">#REF!</definedName>
    <definedName name="Marketable_securities">'[22]Fly-by-night - problem 5'!#REF!</definedName>
    <definedName name="MaxMarkDate">[7]SaleData!$M$3</definedName>
    <definedName name="mcs03g.ReqArray" localSheetId="2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>#REF!</definedName>
    <definedName name="MONTHLYSALES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>'[22]Fly-by-night - problem 5'!#REF!</definedName>
    <definedName name="Other_current_liabilities_Sales">'[4]Tanning Assumptions'!#REF!</definedName>
    <definedName name="Other_long_term_liabilities">'[4]Tanning Assumptions'!#REF!</definedName>
    <definedName name="OtherRev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'[24]VeCTOR Import'!#REF!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'[4]Tanning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>'[20]LBO Summary'!#REF!</definedName>
    <definedName name="RoyaltyRev">#REF!</definedName>
    <definedName name="rptData">#REF!</definedName>
    <definedName name="rr">'[20]LBO Summary'!#REF!</definedName>
    <definedName name="s">#REF!</definedName>
    <definedName name="s.outstand">[5]Inputs!#REF!</definedName>
    <definedName name="SALES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>[5]Inputs!#REF!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>'[14]Portfolio Input'!#REF!</definedName>
    <definedName name="StartYear">[6]Selections!$P$1</definedName>
    <definedName name="Strip_Amount">#REF!</definedName>
    <definedName name="Strip_PV">#REF!</definedName>
    <definedName name="stub">#REF!</definedName>
    <definedName name="stubmonths">'[29]D&amp;A'!$C$5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>#REF!</definedName>
    <definedName name="summary">#REF!</definedName>
    <definedName name="support">#REF!</definedName>
    <definedName name="sweep___9">[30]COVS_ACTUAL!#REF!</definedName>
    <definedName name="target">#REF!</definedName>
    <definedName name="tax">[31]ISCF!#REF!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>#REF!</definedName>
    <definedName name="WORKING_CAPITAL___0">#REF!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ummary." localSheetId="2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2" hidden="1">{#N/A,#N/A,FALSE,"Combo"}</definedName>
    <definedName name="wrn.Weekly._.Inventory._.Report." hidden="1">{#N/A,#N/A,FALSE,"Combo"}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2" l="1"/>
  <c r="E25" i="22" s="1"/>
  <c r="I3" i="22"/>
  <c r="C26" i="22"/>
  <c r="C25" i="22"/>
  <c r="C23" i="22"/>
  <c r="C21" i="22"/>
  <c r="C20" i="22"/>
  <c r="E20" i="22" s="1"/>
  <c r="D39" i="22"/>
  <c r="D38" i="22"/>
  <c r="D37" i="22"/>
  <c r="D36" i="22"/>
  <c r="C35" i="22"/>
  <c r="C29" i="22"/>
  <c r="E23" i="22"/>
  <c r="E21" i="22"/>
  <c r="E17" i="22"/>
  <c r="E16" i="22"/>
  <c r="E15" i="22" s="1"/>
  <c r="C15" i="22"/>
  <c r="E13" i="22"/>
  <c r="C11" i="22"/>
  <c r="E9" i="22"/>
  <c r="E8" i="22"/>
  <c r="E7" i="22" s="1"/>
  <c r="C7" i="22"/>
  <c r="E12" i="22"/>
  <c r="J233" i="23"/>
  <c r="AK208" i="23"/>
  <c r="AJ208" i="23"/>
  <c r="AI208" i="23"/>
  <c r="AH208" i="23"/>
  <c r="AG208" i="23"/>
  <c r="AF208" i="23"/>
  <c r="AE208" i="23"/>
  <c r="AD208" i="23"/>
  <c r="AC208" i="23"/>
  <c r="AB208" i="23"/>
  <c r="AA208" i="23"/>
  <c r="Z208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J208" i="23"/>
  <c r="I208" i="23"/>
  <c r="H208" i="23"/>
  <c r="G208" i="23"/>
  <c r="F208" i="23"/>
  <c r="E208" i="23"/>
  <c r="D208" i="23"/>
  <c r="C208" i="23"/>
  <c r="C67" i="22"/>
  <c r="C65" i="22"/>
  <c r="C64" i="22"/>
  <c r="C79" i="22"/>
  <c r="C73" i="22"/>
  <c r="C59" i="22"/>
  <c r="C55" i="22"/>
  <c r="C84" i="22" s="1"/>
  <c r="C85" i="22" s="1"/>
  <c r="C51" i="22"/>
  <c r="AK73" i="25"/>
  <c r="AI73" i="25"/>
  <c r="AH73" i="25"/>
  <c r="AG73" i="25"/>
  <c r="AE73" i="25"/>
  <c r="AD73" i="25"/>
  <c r="AC73" i="25"/>
  <c r="AA73" i="25"/>
  <c r="Z73" i="25"/>
  <c r="Y73" i="25"/>
  <c r="W73" i="25"/>
  <c r="V73" i="25"/>
  <c r="U73" i="25"/>
  <c r="S73" i="25"/>
  <c r="R73" i="25"/>
  <c r="AK72" i="25"/>
  <c r="AI72" i="25"/>
  <c r="AH72" i="25"/>
  <c r="AG72" i="25"/>
  <c r="AE72" i="25"/>
  <c r="AD72" i="25"/>
  <c r="AC72" i="25"/>
  <c r="AA72" i="25"/>
  <c r="Z72" i="25"/>
  <c r="Y72" i="25"/>
  <c r="W72" i="25"/>
  <c r="V72" i="25"/>
  <c r="U72" i="25"/>
  <c r="S72" i="25"/>
  <c r="R72" i="25"/>
  <c r="AK70" i="25"/>
  <c r="AI70" i="25"/>
  <c r="AH70" i="25"/>
  <c r="AG70" i="25"/>
  <c r="AE70" i="25"/>
  <c r="AD70" i="25"/>
  <c r="AC70" i="25"/>
  <c r="AA70" i="25"/>
  <c r="Z70" i="25"/>
  <c r="Y70" i="25"/>
  <c r="W70" i="25"/>
  <c r="V70" i="25"/>
  <c r="U70" i="25"/>
  <c r="S70" i="25"/>
  <c r="R70" i="25"/>
  <c r="AK69" i="25"/>
  <c r="AI69" i="25"/>
  <c r="AH69" i="25"/>
  <c r="AG69" i="25"/>
  <c r="AE69" i="25"/>
  <c r="AD69" i="25"/>
  <c r="AC69" i="25"/>
  <c r="AA69" i="25"/>
  <c r="Z69" i="25"/>
  <c r="Y69" i="25"/>
  <c r="W69" i="25"/>
  <c r="V69" i="25"/>
  <c r="U69" i="25"/>
  <c r="S69" i="25"/>
  <c r="R69" i="25"/>
  <c r="Q73" i="25"/>
  <c r="Q72" i="25"/>
  <c r="Q70" i="25"/>
  <c r="Q69" i="25"/>
  <c r="J73" i="25"/>
  <c r="I73" i="25"/>
  <c r="H73" i="25"/>
  <c r="G73" i="25"/>
  <c r="F73" i="25"/>
  <c r="E73" i="25"/>
  <c r="J72" i="25"/>
  <c r="I72" i="25"/>
  <c r="H72" i="25"/>
  <c r="G72" i="25"/>
  <c r="F72" i="25"/>
  <c r="E72" i="25"/>
  <c r="J70" i="25"/>
  <c r="I70" i="25"/>
  <c r="H70" i="25"/>
  <c r="G70" i="25"/>
  <c r="F70" i="25"/>
  <c r="E70" i="25"/>
  <c r="J69" i="25"/>
  <c r="I69" i="25"/>
  <c r="H69" i="25"/>
  <c r="G69" i="25"/>
  <c r="F69" i="25"/>
  <c r="E69" i="25"/>
  <c r="D70" i="25"/>
  <c r="D72" i="25"/>
  <c r="D73" i="25"/>
  <c r="D69" i="25"/>
  <c r="AK35" i="25"/>
  <c r="AI35" i="25"/>
  <c r="AH35" i="25"/>
  <c r="AG35" i="25"/>
  <c r="AE35" i="25"/>
  <c r="AD35" i="25"/>
  <c r="AC35" i="25"/>
  <c r="AA35" i="25"/>
  <c r="Z35" i="25"/>
  <c r="Y35" i="25"/>
  <c r="W35" i="25"/>
  <c r="V35" i="25"/>
  <c r="U35" i="25"/>
  <c r="S35" i="25"/>
  <c r="R35" i="25"/>
  <c r="AK33" i="25"/>
  <c r="AI33" i="25"/>
  <c r="AH33" i="25"/>
  <c r="AG33" i="25"/>
  <c r="AE33" i="25"/>
  <c r="AD33" i="25"/>
  <c r="AC33" i="25"/>
  <c r="AA33" i="25"/>
  <c r="Z33" i="25"/>
  <c r="Y33" i="25"/>
  <c r="W33" i="25"/>
  <c r="V33" i="25"/>
  <c r="U33" i="25"/>
  <c r="S33" i="25"/>
  <c r="R33" i="25"/>
  <c r="AK32" i="25"/>
  <c r="AI32" i="25"/>
  <c r="AH32" i="25"/>
  <c r="AG32" i="25"/>
  <c r="AE32" i="25"/>
  <c r="AD32" i="25"/>
  <c r="AC32" i="25"/>
  <c r="AA32" i="25"/>
  <c r="Z32" i="25"/>
  <c r="Y32" i="25"/>
  <c r="W32" i="25"/>
  <c r="V32" i="25"/>
  <c r="U32" i="25"/>
  <c r="S32" i="25"/>
  <c r="R32" i="25"/>
  <c r="AK31" i="25"/>
  <c r="AJ31" i="25"/>
  <c r="AI31" i="25"/>
  <c r="AH31" i="25"/>
  <c r="AG31" i="25"/>
  <c r="AE31" i="25"/>
  <c r="AD31" i="25"/>
  <c r="AC31" i="25"/>
  <c r="AA31" i="25"/>
  <c r="Z31" i="25"/>
  <c r="Y31" i="25"/>
  <c r="W31" i="25"/>
  <c r="V31" i="25"/>
  <c r="U31" i="25"/>
  <c r="T31" i="25"/>
  <c r="S31" i="25"/>
  <c r="R31" i="25"/>
  <c r="AK30" i="25"/>
  <c r="AI30" i="25"/>
  <c r="AH30" i="25"/>
  <c r="AG30" i="25"/>
  <c r="AE30" i="25"/>
  <c r="AD30" i="25"/>
  <c r="AC30" i="25"/>
  <c r="AA30" i="25"/>
  <c r="Z30" i="25"/>
  <c r="Y30" i="25"/>
  <c r="W30" i="25"/>
  <c r="V30" i="25"/>
  <c r="U30" i="25"/>
  <c r="S30" i="25"/>
  <c r="R30" i="25"/>
  <c r="AK29" i="25"/>
  <c r="AI29" i="25"/>
  <c r="AH29" i="25"/>
  <c r="AG29" i="25"/>
  <c r="AE29" i="25"/>
  <c r="AD29" i="25"/>
  <c r="AC29" i="25"/>
  <c r="AA29" i="25"/>
  <c r="Z29" i="25"/>
  <c r="Y29" i="25"/>
  <c r="W29" i="25"/>
  <c r="V29" i="25"/>
  <c r="U29" i="25"/>
  <c r="S29" i="25"/>
  <c r="R29" i="25"/>
  <c r="Q35" i="25"/>
  <c r="Q33" i="25"/>
  <c r="Q32" i="25"/>
  <c r="Q31" i="25"/>
  <c r="Q30" i="25"/>
  <c r="Q29" i="25"/>
  <c r="E29" i="25"/>
  <c r="F29" i="25"/>
  <c r="G29" i="25"/>
  <c r="H29" i="25"/>
  <c r="I29" i="25"/>
  <c r="J29" i="25"/>
  <c r="E30" i="25"/>
  <c r="F30" i="25"/>
  <c r="G30" i="25"/>
  <c r="H30" i="25"/>
  <c r="I30" i="25"/>
  <c r="J30" i="25"/>
  <c r="E31" i="25"/>
  <c r="F31" i="25"/>
  <c r="G31" i="25"/>
  <c r="H31" i="25"/>
  <c r="I31" i="25"/>
  <c r="J31" i="25"/>
  <c r="E32" i="25"/>
  <c r="F32" i="25"/>
  <c r="G32" i="25"/>
  <c r="H32" i="25"/>
  <c r="I32" i="25"/>
  <c r="J32" i="25"/>
  <c r="E33" i="25"/>
  <c r="F33" i="25"/>
  <c r="G33" i="25"/>
  <c r="H33" i="25"/>
  <c r="I33" i="25"/>
  <c r="J33" i="25"/>
  <c r="E35" i="25"/>
  <c r="F35" i="25"/>
  <c r="G35" i="25"/>
  <c r="H35" i="25"/>
  <c r="I35" i="25"/>
  <c r="J35" i="25"/>
  <c r="D30" i="25"/>
  <c r="D31" i="25"/>
  <c r="D32" i="25"/>
  <c r="D33" i="25"/>
  <c r="D35" i="25"/>
  <c r="D29" i="25"/>
  <c r="AK55" i="25"/>
  <c r="AK52" i="25"/>
  <c r="AK44" i="25"/>
  <c r="AK46" i="25" s="1"/>
  <c r="AK13" i="25"/>
  <c r="AK205" i="23"/>
  <c r="AK237" i="23" s="1"/>
  <c r="AK206" i="23"/>
  <c r="I47" i="22" s="1"/>
  <c r="D80" i="22" s="1"/>
  <c r="AK108" i="23"/>
  <c r="AK107" i="23"/>
  <c r="AK95" i="23"/>
  <c r="AK90" i="23"/>
  <c r="AK65" i="23"/>
  <c r="J87" i="23"/>
  <c r="J140" i="23" s="1"/>
  <c r="J73" i="23"/>
  <c r="J72" i="23"/>
  <c r="J69" i="23"/>
  <c r="J65" i="23"/>
  <c r="J56" i="23" s="1"/>
  <c r="J61" i="23"/>
  <c r="AK56" i="23"/>
  <c r="S56" i="23"/>
  <c r="R56" i="23"/>
  <c r="Q56" i="23"/>
  <c r="O56" i="23"/>
  <c r="N56" i="23"/>
  <c r="M56" i="23"/>
  <c r="AK221" i="23"/>
  <c r="AK210" i="23"/>
  <c r="AK173" i="23"/>
  <c r="AK172" i="23"/>
  <c r="AK170" i="23"/>
  <c r="AK162" i="23"/>
  <c r="AK159" i="23"/>
  <c r="AK156" i="23"/>
  <c r="AK145" i="23"/>
  <c r="AK129" i="23"/>
  <c r="AK120" i="23"/>
  <c r="AK117" i="23"/>
  <c r="AK114" i="23"/>
  <c r="AK104" i="23"/>
  <c r="AK103" i="23"/>
  <c r="AK102" i="23"/>
  <c r="AK99" i="23"/>
  <c r="AK93" i="23"/>
  <c r="AK83" i="23"/>
  <c r="AK59" i="23"/>
  <c r="AK54" i="23"/>
  <c r="AK164" i="23" s="1"/>
  <c r="AK53" i="23"/>
  <c r="AK163" i="23" s="1"/>
  <c r="AK44" i="23"/>
  <c r="AK40" i="23"/>
  <c r="AK37" i="23"/>
  <c r="AK36" i="23"/>
  <c r="AK35" i="23"/>
  <c r="AK34" i="23"/>
  <c r="AK33" i="23"/>
  <c r="AK32" i="23"/>
  <c r="AK10" i="23"/>
  <c r="AK8" i="23"/>
  <c r="C123" i="22"/>
  <c r="C117" i="22"/>
  <c r="C103" i="22"/>
  <c r="C99" i="22"/>
  <c r="C95" i="22"/>
  <c r="C128" i="22" s="1"/>
  <c r="C129" i="22" s="1"/>
  <c r="C139" i="22"/>
  <c r="C171" i="22" s="1"/>
  <c r="C172" i="22" s="1"/>
  <c r="C143" i="22"/>
  <c r="C147" i="22"/>
  <c r="C153" i="22"/>
  <c r="C155" i="22"/>
  <c r="C161" i="22"/>
  <c r="C166" i="22"/>
  <c r="AJ54" i="25"/>
  <c r="AJ55" i="25" s="1"/>
  <c r="AJ53" i="25"/>
  <c r="AJ51" i="25"/>
  <c r="AJ50" i="25"/>
  <c r="AJ45" i="25"/>
  <c r="AJ43" i="25"/>
  <c r="AJ41" i="25"/>
  <c r="AJ40" i="25"/>
  <c r="AJ14" i="25"/>
  <c r="AJ12" i="25"/>
  <c r="AJ11" i="25"/>
  <c r="AJ9" i="25"/>
  <c r="AJ8" i="25"/>
  <c r="AJ52" i="25"/>
  <c r="J55" i="25"/>
  <c r="J52" i="25"/>
  <c r="J44" i="25"/>
  <c r="J46" i="25" s="1"/>
  <c r="J13" i="25"/>
  <c r="Y261" i="23"/>
  <c r="Z261" i="23"/>
  <c r="AA261" i="23"/>
  <c r="AC261" i="23"/>
  <c r="AD261" i="23"/>
  <c r="AE261" i="23"/>
  <c r="AH261" i="23"/>
  <c r="Y257" i="23"/>
  <c r="Z257" i="23"/>
  <c r="AA257" i="23"/>
  <c r="AC257" i="23"/>
  <c r="AD257" i="23"/>
  <c r="AE257" i="23"/>
  <c r="AH257" i="23"/>
  <c r="AH259" i="23" s="1"/>
  <c r="Y258" i="23"/>
  <c r="Z258" i="23"/>
  <c r="AA258" i="23"/>
  <c r="AC258" i="23"/>
  <c r="AD258" i="23"/>
  <c r="AE258" i="23"/>
  <c r="AE259" i="23" s="1"/>
  <c r="AH258" i="23"/>
  <c r="AJ205" i="23"/>
  <c r="AJ206" i="23"/>
  <c r="AJ126" i="23"/>
  <c r="C111" i="22" s="1"/>
  <c r="AJ122" i="23"/>
  <c r="C109" i="22" s="1"/>
  <c r="AJ121" i="23"/>
  <c r="C108" i="22" s="1"/>
  <c r="AJ113" i="23"/>
  <c r="AJ112" i="23"/>
  <c r="J108" i="23"/>
  <c r="J107" i="23"/>
  <c r="AJ98" i="23"/>
  <c r="AJ97" i="23"/>
  <c r="AJ96" i="23"/>
  <c r="J95" i="23"/>
  <c r="AJ95" i="23" s="1"/>
  <c r="AJ90" i="23"/>
  <c r="AJ65" i="23"/>
  <c r="AJ171" i="23" s="1"/>
  <c r="AJ46" i="23"/>
  <c r="AJ52" i="23"/>
  <c r="AJ28" i="23"/>
  <c r="AJ25" i="23"/>
  <c r="AJ23" i="23"/>
  <c r="AJ22" i="23"/>
  <c r="AJ21" i="23"/>
  <c r="AJ20" i="23"/>
  <c r="AJ17" i="23"/>
  <c r="AJ16" i="23"/>
  <c r="AJ15" i="23"/>
  <c r="AJ14" i="23"/>
  <c r="AJ13" i="23"/>
  <c r="AJ9" i="23"/>
  <c r="AJ7" i="23"/>
  <c r="J18" i="23"/>
  <c r="AJ18" i="23" s="1"/>
  <c r="AJ221" i="23"/>
  <c r="AJ210" i="23"/>
  <c r="AJ173" i="23"/>
  <c r="AJ172" i="23"/>
  <c r="AJ170" i="23"/>
  <c r="AJ156" i="23"/>
  <c r="AJ145" i="23"/>
  <c r="AJ129" i="23"/>
  <c r="AJ93" i="23"/>
  <c r="AJ83" i="23"/>
  <c r="AJ59" i="23"/>
  <c r="AJ44" i="23"/>
  <c r="J221" i="23"/>
  <c r="J210" i="23"/>
  <c r="J182" i="23"/>
  <c r="J177" i="23"/>
  <c r="J176" i="23"/>
  <c r="J173" i="23"/>
  <c r="J172" i="23"/>
  <c r="J169" i="23"/>
  <c r="J168" i="23"/>
  <c r="J162" i="23"/>
  <c r="J159" i="23"/>
  <c r="J156" i="23"/>
  <c r="J145" i="23"/>
  <c r="J129" i="23"/>
  <c r="J120" i="23"/>
  <c r="J186" i="23" s="1"/>
  <c r="J114" i="23"/>
  <c r="J104" i="23"/>
  <c r="J103" i="23"/>
  <c r="J102" i="23"/>
  <c r="J99" i="23"/>
  <c r="J93" i="23"/>
  <c r="J88" i="23"/>
  <c r="J84" i="23"/>
  <c r="J146" i="23" s="1"/>
  <c r="J83" i="23"/>
  <c r="J60" i="23"/>
  <c r="J59" i="23"/>
  <c r="J54" i="23"/>
  <c r="J164" i="23" s="1"/>
  <c r="J53" i="23"/>
  <c r="J163" i="23" s="1"/>
  <c r="J44" i="23"/>
  <c r="J40" i="23"/>
  <c r="J37" i="23"/>
  <c r="J36" i="23"/>
  <c r="J35" i="23"/>
  <c r="J34" i="23"/>
  <c r="J33" i="23"/>
  <c r="J32" i="23"/>
  <c r="J10" i="23"/>
  <c r="J11" i="23" s="1"/>
  <c r="J8" i="23"/>
  <c r="AI55" i="25"/>
  <c r="AI52" i="25"/>
  <c r="AI44" i="25"/>
  <c r="AI46" i="25" s="1"/>
  <c r="AI13" i="25"/>
  <c r="AI120" i="23"/>
  <c r="AI186" i="23" s="1"/>
  <c r="AH120" i="23"/>
  <c r="AG120" i="23"/>
  <c r="AG150" i="23" s="1"/>
  <c r="AE120" i="23"/>
  <c r="AE251" i="23" s="1"/>
  <c r="AD120" i="23"/>
  <c r="AD186" i="23" s="1"/>
  <c r="AC120" i="23"/>
  <c r="AA120" i="23"/>
  <c r="Z120" i="23"/>
  <c r="Y120" i="23"/>
  <c r="W120" i="23"/>
  <c r="V120" i="23"/>
  <c r="U120" i="23"/>
  <c r="S120" i="23"/>
  <c r="R120" i="23"/>
  <c r="Q120" i="23"/>
  <c r="O120" i="23"/>
  <c r="N120" i="23"/>
  <c r="M120" i="23"/>
  <c r="I120" i="23"/>
  <c r="H120" i="23"/>
  <c r="H39" i="23" s="1"/>
  <c r="G121" i="23"/>
  <c r="G120" i="23" s="1"/>
  <c r="F121" i="23"/>
  <c r="F120" i="23" s="1"/>
  <c r="E121" i="23"/>
  <c r="E120" i="23" s="1"/>
  <c r="D121" i="23"/>
  <c r="D120" i="23" s="1"/>
  <c r="C121" i="23"/>
  <c r="C120" i="23" s="1"/>
  <c r="AI205" i="23"/>
  <c r="AI206" i="23"/>
  <c r="AI261" i="23" s="1"/>
  <c r="AI108" i="23"/>
  <c r="AI118" i="23" s="1"/>
  <c r="AI107" i="23"/>
  <c r="AI117" i="23" s="1"/>
  <c r="AI95" i="23"/>
  <c r="AI90" i="23"/>
  <c r="AI65" i="23"/>
  <c r="AI56" i="23" s="1"/>
  <c r="AI221" i="23"/>
  <c r="AI210" i="23"/>
  <c r="AI173" i="23"/>
  <c r="AI172" i="23"/>
  <c r="AI170" i="23"/>
  <c r="AI162" i="23"/>
  <c r="AI159" i="23"/>
  <c r="AI156" i="23"/>
  <c r="AI145" i="23"/>
  <c r="AI129" i="23"/>
  <c r="AI114" i="23"/>
  <c r="AI104" i="23"/>
  <c r="AI103" i="23"/>
  <c r="AI102" i="23"/>
  <c r="AI99" i="23"/>
  <c r="AI93" i="23"/>
  <c r="AI83" i="23"/>
  <c r="AI59" i="23"/>
  <c r="AI54" i="23"/>
  <c r="AI164" i="23" s="1"/>
  <c r="AI53" i="23"/>
  <c r="AI163" i="23" s="1"/>
  <c r="AI44" i="23"/>
  <c r="AI40" i="23"/>
  <c r="AI37" i="23"/>
  <c r="AI36" i="23"/>
  <c r="AI35" i="23"/>
  <c r="AI34" i="23"/>
  <c r="AI33" i="23"/>
  <c r="AI32" i="23"/>
  <c r="AI10" i="23"/>
  <c r="AI19" i="23" s="1"/>
  <c r="AI24" i="23" s="1"/>
  <c r="AI8" i="23"/>
  <c r="I176" i="22"/>
  <c r="C196" i="22"/>
  <c r="C194" i="22"/>
  <c r="C185" i="22"/>
  <c r="C184" i="22" s="1"/>
  <c r="C182" i="22"/>
  <c r="C180" i="22" s="1"/>
  <c r="C212" i="22" s="1"/>
  <c r="C207" i="22"/>
  <c r="C202" i="22"/>
  <c r="C188" i="22"/>
  <c r="AH55" i="25"/>
  <c r="AH52" i="25"/>
  <c r="AH44" i="25"/>
  <c r="AH46" i="25" s="1"/>
  <c r="AH13" i="25"/>
  <c r="AH107" i="23"/>
  <c r="AH108" i="23"/>
  <c r="AH118" i="23" s="1"/>
  <c r="AH95" i="23"/>
  <c r="AH90" i="23"/>
  <c r="AH65" i="23"/>
  <c r="AH171" i="23" s="1"/>
  <c r="AH35" i="23"/>
  <c r="AH238" i="23"/>
  <c r="AH237" i="23"/>
  <c r="AH235" i="23"/>
  <c r="AH227" i="23"/>
  <c r="AH224" i="23"/>
  <c r="AH221" i="23"/>
  <c r="AH210" i="23"/>
  <c r="AH173" i="23"/>
  <c r="AH172" i="23"/>
  <c r="AH170" i="23"/>
  <c r="AH162" i="23"/>
  <c r="AH159" i="23"/>
  <c r="AH156" i="23"/>
  <c r="AH145" i="23"/>
  <c r="AH129" i="23"/>
  <c r="AH114" i="23"/>
  <c r="AH104" i="23"/>
  <c r="AH103" i="23"/>
  <c r="AH102" i="23"/>
  <c r="AH99" i="23"/>
  <c r="AH93" i="23"/>
  <c r="AH83" i="23"/>
  <c r="AH59" i="23"/>
  <c r="AH54" i="23"/>
  <c r="AH164" i="23" s="1"/>
  <c r="AH53" i="23"/>
  <c r="AH163" i="23" s="1"/>
  <c r="AH44" i="23"/>
  <c r="AH40" i="23"/>
  <c r="AH37" i="23"/>
  <c r="AH36" i="23"/>
  <c r="AH34" i="23"/>
  <c r="AH33" i="23"/>
  <c r="AH32" i="23"/>
  <c r="AH10" i="23"/>
  <c r="AH11" i="23" s="1"/>
  <c r="AH8" i="23"/>
  <c r="AG205" i="23"/>
  <c r="AJ207" i="23" s="1"/>
  <c r="AG206" i="23"/>
  <c r="AG261" i="23" s="1"/>
  <c r="C239" i="22"/>
  <c r="C237" i="22"/>
  <c r="C250" i="22"/>
  <c r="C245" i="22"/>
  <c r="C231" i="22"/>
  <c r="I227" i="22"/>
  <c r="C227" i="22"/>
  <c r="C223" i="22"/>
  <c r="C254" i="22" s="1"/>
  <c r="C255" i="22" s="1"/>
  <c r="AG55" i="25"/>
  <c r="AG52" i="25"/>
  <c r="AG44" i="25"/>
  <c r="AG46" i="25" s="1"/>
  <c r="AG13" i="25"/>
  <c r="AB174" i="23"/>
  <c r="AA174" i="23"/>
  <c r="Z174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AF173" i="23"/>
  <c r="AE173" i="23"/>
  <c r="AD173" i="23"/>
  <c r="AC173" i="23"/>
  <c r="AB173" i="23"/>
  <c r="AA173" i="23"/>
  <c r="Z173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AF172" i="23"/>
  <c r="AE172" i="23"/>
  <c r="AD172" i="23"/>
  <c r="AC172" i="23"/>
  <c r="AB172" i="23"/>
  <c r="AA172" i="23"/>
  <c r="Z172" i="23"/>
  <c r="Y172" i="23"/>
  <c r="X172" i="23"/>
  <c r="W172" i="23"/>
  <c r="V172" i="23"/>
  <c r="U172" i="23"/>
  <c r="T172" i="23"/>
  <c r="S172" i="23"/>
  <c r="R172" i="23"/>
  <c r="Q172" i="23"/>
  <c r="P172" i="23"/>
  <c r="O172" i="23"/>
  <c r="N172" i="23"/>
  <c r="M172" i="23"/>
  <c r="S171" i="23"/>
  <c r="R171" i="23"/>
  <c r="Q171" i="23"/>
  <c r="P171" i="23"/>
  <c r="O171" i="23"/>
  <c r="N171" i="23"/>
  <c r="M171" i="23"/>
  <c r="AF170" i="23"/>
  <c r="AE170" i="23"/>
  <c r="AD170" i="23"/>
  <c r="AC170" i="23"/>
  <c r="AB170" i="23"/>
  <c r="AA170" i="23"/>
  <c r="Z170" i="23"/>
  <c r="Y170" i="23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AG173" i="23"/>
  <c r="AG172" i="23"/>
  <c r="AG170" i="23"/>
  <c r="V235" i="23"/>
  <c r="V237" i="23"/>
  <c r="V238" i="23"/>
  <c r="V239" i="23"/>
  <c r="Y235" i="23"/>
  <c r="Z235" i="23"/>
  <c r="AA235" i="23"/>
  <c r="AD235" i="23"/>
  <c r="AE235" i="23"/>
  <c r="Y237" i="23"/>
  <c r="Z237" i="23"/>
  <c r="AA237" i="23"/>
  <c r="AD237" i="23"/>
  <c r="AE237" i="23"/>
  <c r="Y238" i="23"/>
  <c r="Z238" i="23"/>
  <c r="AA238" i="23"/>
  <c r="AD238" i="23"/>
  <c r="AE238" i="23"/>
  <c r="Y239" i="23"/>
  <c r="Z239" i="23"/>
  <c r="AA239" i="23"/>
  <c r="AG108" i="23"/>
  <c r="AG109" i="23" s="1"/>
  <c r="AG95" i="23"/>
  <c r="AG90" i="23"/>
  <c r="AG65" i="23"/>
  <c r="AG68" i="23" s="1"/>
  <c r="AG174" i="23" s="1"/>
  <c r="AG221" i="23"/>
  <c r="AG210" i="23"/>
  <c r="AG162" i="23"/>
  <c r="AG159" i="23"/>
  <c r="AG156" i="23"/>
  <c r="AG145" i="23"/>
  <c r="AG129" i="23"/>
  <c r="AG117" i="23"/>
  <c r="AG114" i="23"/>
  <c r="AG104" i="23"/>
  <c r="AG103" i="23"/>
  <c r="AG102" i="23"/>
  <c r="AG99" i="23"/>
  <c r="AG93" i="23"/>
  <c r="AG83" i="23"/>
  <c r="AG59" i="23"/>
  <c r="AG54" i="23"/>
  <c r="AG164" i="23" s="1"/>
  <c r="AG53" i="23"/>
  <c r="AG163" i="23" s="1"/>
  <c r="AG44" i="23"/>
  <c r="AG40" i="23"/>
  <c r="AG37" i="23"/>
  <c r="AG36" i="23"/>
  <c r="AG35" i="23"/>
  <c r="AG34" i="23"/>
  <c r="AG33" i="23"/>
  <c r="AG32" i="23"/>
  <c r="AG10" i="23"/>
  <c r="AG11" i="23" s="1"/>
  <c r="AG8" i="23"/>
  <c r="I88" i="23"/>
  <c r="I60" i="23"/>
  <c r="I73" i="23"/>
  <c r="I72" i="23"/>
  <c r="I178" i="23" s="1"/>
  <c r="I65" i="23"/>
  <c r="I69" i="23" s="1"/>
  <c r="I61" i="23"/>
  <c r="I167" i="23" s="1"/>
  <c r="C288" i="22"/>
  <c r="C283" i="22"/>
  <c r="C269" i="22"/>
  <c r="I265" i="22"/>
  <c r="C265" i="22"/>
  <c r="C292" i="22" s="1"/>
  <c r="C261" i="22"/>
  <c r="AF54" i="25"/>
  <c r="AF53" i="25"/>
  <c r="AF51" i="25"/>
  <c r="AF50" i="25"/>
  <c r="AF45" i="25"/>
  <c r="AF43" i="25"/>
  <c r="AF41" i="25"/>
  <c r="AF40" i="25"/>
  <c r="AF14" i="25"/>
  <c r="AF12" i="25"/>
  <c r="AF11" i="25"/>
  <c r="AF9" i="25"/>
  <c r="AF8" i="25"/>
  <c r="I55" i="25"/>
  <c r="I52" i="25"/>
  <c r="I44" i="25"/>
  <c r="I46" i="25" s="1"/>
  <c r="I13" i="25"/>
  <c r="AF205" i="23"/>
  <c r="I258" i="22" s="1"/>
  <c r="AF206" i="23"/>
  <c r="I206" i="23" s="1"/>
  <c r="AF126" i="23"/>
  <c r="AF122" i="23"/>
  <c r="C275" i="22" s="1"/>
  <c r="AF113" i="23"/>
  <c r="AF112" i="23"/>
  <c r="AF107" i="23"/>
  <c r="AF98" i="23"/>
  <c r="AF97" i="23"/>
  <c r="AF96" i="23"/>
  <c r="AF90" i="23"/>
  <c r="AB90" i="23"/>
  <c r="AB65" i="23"/>
  <c r="AB171" i="23" s="1"/>
  <c r="AF65" i="23"/>
  <c r="AF52" i="23"/>
  <c r="AH87" i="23" s="1"/>
  <c r="C198" i="22" s="1"/>
  <c r="AF46" i="23"/>
  <c r="AF28" i="23"/>
  <c r="AF25" i="23"/>
  <c r="AF23" i="23"/>
  <c r="AF22" i="23"/>
  <c r="AF21" i="23"/>
  <c r="AF20" i="23"/>
  <c r="AF17" i="23"/>
  <c r="AF16" i="23"/>
  <c r="AF15" i="23"/>
  <c r="AF14" i="23"/>
  <c r="AF13" i="23"/>
  <c r="AF9" i="23"/>
  <c r="AF7" i="23"/>
  <c r="AI84" i="23" s="1"/>
  <c r="AI146" i="23" s="1"/>
  <c r="AF221" i="23"/>
  <c r="AF210" i="23"/>
  <c r="AF156" i="23"/>
  <c r="AF145" i="23"/>
  <c r="AF129" i="23"/>
  <c r="AF93" i="23"/>
  <c r="AF83" i="23"/>
  <c r="AF59" i="23"/>
  <c r="AF44" i="23"/>
  <c r="I108" i="23"/>
  <c r="AF108" i="23" s="1"/>
  <c r="I95" i="23"/>
  <c r="AF95" i="23" s="1"/>
  <c r="I18" i="23"/>
  <c r="AF18" i="23" s="1"/>
  <c r="I221" i="23"/>
  <c r="I210" i="23"/>
  <c r="I182" i="23"/>
  <c r="I177" i="23"/>
  <c r="I176" i="23"/>
  <c r="I173" i="23"/>
  <c r="I172" i="23"/>
  <c r="I169" i="23"/>
  <c r="I168" i="23"/>
  <c r="I162" i="23"/>
  <c r="I159" i="23"/>
  <c r="I156" i="23"/>
  <c r="I145" i="23"/>
  <c r="I129" i="23"/>
  <c r="I117" i="23"/>
  <c r="I114" i="23"/>
  <c r="I104" i="23"/>
  <c r="I103" i="23"/>
  <c r="I102" i="23"/>
  <c r="I99" i="23"/>
  <c r="I93" i="23"/>
  <c r="I87" i="23"/>
  <c r="I147" i="23" s="1"/>
  <c r="I84" i="23"/>
  <c r="I146" i="23" s="1"/>
  <c r="I83" i="23"/>
  <c r="I59" i="23"/>
  <c r="I54" i="23"/>
  <c r="I164" i="23" s="1"/>
  <c r="I53" i="23"/>
  <c r="I163" i="23" s="1"/>
  <c r="I44" i="23"/>
  <c r="I40" i="23"/>
  <c r="I37" i="23"/>
  <c r="I36" i="23"/>
  <c r="I35" i="23"/>
  <c r="I34" i="23"/>
  <c r="I33" i="23"/>
  <c r="I32" i="23"/>
  <c r="I10" i="23"/>
  <c r="I11" i="23" s="1"/>
  <c r="I8" i="23"/>
  <c r="C316" i="22"/>
  <c r="C314" i="22"/>
  <c r="I297" i="22"/>
  <c r="I296" i="22"/>
  <c r="D328" i="22" s="1"/>
  <c r="C327" i="22"/>
  <c r="C322" i="22"/>
  <c r="C308" i="22"/>
  <c r="I304" i="22"/>
  <c r="C304" i="22"/>
  <c r="C300" i="22"/>
  <c r="AE55" i="25"/>
  <c r="AE52" i="25"/>
  <c r="AE44" i="25"/>
  <c r="AE46" i="25" s="1"/>
  <c r="AE13" i="25"/>
  <c r="AE108" i="23"/>
  <c r="AE109" i="23" s="1"/>
  <c r="AE95" i="23"/>
  <c r="AE90" i="23"/>
  <c r="AE65" i="23"/>
  <c r="AE56" i="23" s="1"/>
  <c r="AE227" i="23"/>
  <c r="AE224" i="23"/>
  <c r="AE221" i="23"/>
  <c r="AE210" i="23"/>
  <c r="AE162" i="23"/>
  <c r="AE159" i="23"/>
  <c r="AE156" i="23"/>
  <c r="AE145" i="23"/>
  <c r="AE129" i="23"/>
  <c r="AE117" i="23"/>
  <c r="AE114" i="23"/>
  <c r="AE104" i="23"/>
  <c r="AE103" i="23"/>
  <c r="AE102" i="23"/>
  <c r="AE99" i="23"/>
  <c r="AE93" i="23"/>
  <c r="AE83" i="23"/>
  <c r="AE59" i="23"/>
  <c r="AE54" i="23"/>
  <c r="AE164" i="23" s="1"/>
  <c r="AE53" i="23"/>
  <c r="AE163" i="23" s="1"/>
  <c r="AE44" i="23"/>
  <c r="AE40" i="23"/>
  <c r="AE37" i="23"/>
  <c r="AE36" i="23"/>
  <c r="AE35" i="23"/>
  <c r="AE34" i="23"/>
  <c r="AE33" i="23"/>
  <c r="AE32" i="23"/>
  <c r="AE10" i="23"/>
  <c r="AE11" i="23" s="1"/>
  <c r="AE8" i="23"/>
  <c r="C355" i="22"/>
  <c r="C353" i="22"/>
  <c r="C363" i="22" s="1"/>
  <c r="I336" i="22"/>
  <c r="I335" i="22"/>
  <c r="C366" i="22"/>
  <c r="C361" i="22"/>
  <c r="C347" i="22"/>
  <c r="I343" i="22"/>
  <c r="C343" i="22"/>
  <c r="C339" i="22"/>
  <c r="AD55" i="25"/>
  <c r="AD52" i="25"/>
  <c r="AD44" i="25"/>
  <c r="AD46" i="25" s="1"/>
  <c r="AD13" i="25"/>
  <c r="AD108" i="23"/>
  <c r="AD118" i="23" s="1"/>
  <c r="AD95" i="23"/>
  <c r="AD90" i="23"/>
  <c r="AD10" i="23"/>
  <c r="AD11" i="23" s="1"/>
  <c r="AD227" i="23"/>
  <c r="AD224" i="23"/>
  <c r="AD221" i="23"/>
  <c r="AD210" i="23"/>
  <c r="AD162" i="23"/>
  <c r="AD159" i="23"/>
  <c r="AD156" i="23"/>
  <c r="AD145" i="23"/>
  <c r="AD129" i="23"/>
  <c r="AD117" i="23"/>
  <c r="AD114" i="23"/>
  <c r="AD104" i="23"/>
  <c r="AD103" i="23"/>
  <c r="AD102" i="23"/>
  <c r="AD99" i="23"/>
  <c r="AD93" i="23"/>
  <c r="AD83" i="23"/>
  <c r="AD65" i="23"/>
  <c r="AD236" i="23" s="1"/>
  <c r="AD59" i="23"/>
  <c r="AD54" i="23"/>
  <c r="AD164" i="23" s="1"/>
  <c r="AD53" i="23"/>
  <c r="AD163" i="23" s="1"/>
  <c r="AD44" i="23"/>
  <c r="AD40" i="23"/>
  <c r="AD37" i="23"/>
  <c r="AD36" i="23"/>
  <c r="AD35" i="23"/>
  <c r="AD34" i="23"/>
  <c r="AD33" i="23"/>
  <c r="AD32" i="23"/>
  <c r="AD8" i="23"/>
  <c r="AC90" i="23"/>
  <c r="Y90" i="23"/>
  <c r="E11" i="22" l="1"/>
  <c r="E19" i="22" s="1"/>
  <c r="C19" i="22"/>
  <c r="D19" i="22"/>
  <c r="C22" i="22"/>
  <c r="C30" i="22"/>
  <c r="C31" i="22"/>
  <c r="D31" i="22" s="1"/>
  <c r="C40" i="22"/>
  <c r="AF56" i="23"/>
  <c r="J64" i="23"/>
  <c r="AD259" i="23"/>
  <c r="AC259" i="23"/>
  <c r="J147" i="23"/>
  <c r="C352" i="22"/>
  <c r="I344" i="22" s="1"/>
  <c r="AI238" i="23"/>
  <c r="AH56" i="23"/>
  <c r="AF258" i="23"/>
  <c r="AH228" i="23"/>
  <c r="AH229" i="23"/>
  <c r="J170" i="23"/>
  <c r="J68" i="23"/>
  <c r="J74" i="23" s="1"/>
  <c r="I56" i="23"/>
  <c r="C152" i="22"/>
  <c r="C162" i="22" s="1"/>
  <c r="AJ56" i="23"/>
  <c r="I57" i="23"/>
  <c r="AK160" i="23"/>
  <c r="C313" i="22"/>
  <c r="C323" i="22" s="1"/>
  <c r="AD56" i="23"/>
  <c r="E67" i="22"/>
  <c r="AF257" i="23"/>
  <c r="AG56" i="23"/>
  <c r="C63" i="22"/>
  <c r="C75" i="22"/>
  <c r="D75" i="22" s="1"/>
  <c r="E65" i="22"/>
  <c r="C74" i="22"/>
  <c r="E64" i="22"/>
  <c r="D84" i="22"/>
  <c r="D83" i="22"/>
  <c r="D82" i="22"/>
  <c r="D81" i="22"/>
  <c r="E57" i="22"/>
  <c r="E52" i="22"/>
  <c r="E60" i="22"/>
  <c r="E56" i="22"/>
  <c r="E53" i="22"/>
  <c r="E61" i="22"/>
  <c r="AK74" i="25"/>
  <c r="AK71" i="25"/>
  <c r="AJ73" i="25"/>
  <c r="AJ72" i="25"/>
  <c r="AJ70" i="25"/>
  <c r="AJ69" i="25"/>
  <c r="J74" i="25"/>
  <c r="J71" i="25"/>
  <c r="AI74" i="25"/>
  <c r="AI71" i="25"/>
  <c r="AH74" i="25"/>
  <c r="AH71" i="25"/>
  <c r="AD15" i="25"/>
  <c r="AD16" i="25" s="1"/>
  <c r="AI15" i="25"/>
  <c r="AI24" i="25" s="1"/>
  <c r="AI34" i="25"/>
  <c r="AH15" i="25"/>
  <c r="AH24" i="25" s="1"/>
  <c r="AH34" i="25"/>
  <c r="AG15" i="25"/>
  <c r="I15" i="25"/>
  <c r="AE15" i="25"/>
  <c r="AE24" i="25" s="1"/>
  <c r="AK15" i="25"/>
  <c r="AK34" i="25"/>
  <c r="AJ35" i="25"/>
  <c r="AJ33" i="25"/>
  <c r="AJ32" i="25"/>
  <c r="AJ30" i="25"/>
  <c r="AJ29" i="25"/>
  <c r="J15" i="25"/>
  <c r="J23" i="25" s="1"/>
  <c r="J34" i="25"/>
  <c r="AE21" i="25"/>
  <c r="AK56" i="25"/>
  <c r="AJ44" i="25"/>
  <c r="AJ46" i="25" s="1"/>
  <c r="J167" i="23"/>
  <c r="J57" i="23"/>
  <c r="Y259" i="23"/>
  <c r="Z259" i="23"/>
  <c r="AJ102" i="23"/>
  <c r="AJ40" i="23"/>
  <c r="AJ36" i="23"/>
  <c r="AJ33" i="23"/>
  <c r="AJ261" i="23"/>
  <c r="AK84" i="23"/>
  <c r="AK146" i="23" s="1"/>
  <c r="AJ159" i="23"/>
  <c r="I257" i="23"/>
  <c r="I258" i="23"/>
  <c r="C277" i="22"/>
  <c r="AF261" i="23"/>
  <c r="AA259" i="23"/>
  <c r="AF259" i="23"/>
  <c r="AJ32" i="23"/>
  <c r="AK261" i="23"/>
  <c r="AK258" i="23"/>
  <c r="AK257" i="23"/>
  <c r="AK238" i="23"/>
  <c r="AK235" i="23"/>
  <c r="AK227" i="23"/>
  <c r="AK224" i="23"/>
  <c r="AK251" i="23"/>
  <c r="AK186" i="23"/>
  <c r="AK150" i="23"/>
  <c r="AK215" i="23" s="1"/>
  <c r="AK118" i="23"/>
  <c r="AK119" i="23" s="1"/>
  <c r="AK109" i="23"/>
  <c r="AK236" i="23"/>
  <c r="AK68" i="23"/>
  <c r="AK171" i="23"/>
  <c r="AK11" i="23"/>
  <c r="AK19" i="23"/>
  <c r="AK47" i="25" s="1"/>
  <c r="AJ235" i="23"/>
  <c r="AJ238" i="23"/>
  <c r="AJ237" i="23"/>
  <c r="J206" i="23"/>
  <c r="J251" i="23" s="1"/>
  <c r="AJ258" i="23"/>
  <c r="AJ257" i="23"/>
  <c r="AJ108" i="23"/>
  <c r="J118" i="23"/>
  <c r="J117" i="23"/>
  <c r="AJ107" i="23"/>
  <c r="AJ104" i="23"/>
  <c r="AJ87" i="23"/>
  <c r="AK87" i="23"/>
  <c r="AK39" i="23"/>
  <c r="AJ37" i="23"/>
  <c r="AJ35" i="23"/>
  <c r="AJ34" i="23"/>
  <c r="C193" i="22"/>
  <c r="AH186" i="23"/>
  <c r="I39" i="23"/>
  <c r="I150" i="23"/>
  <c r="I186" i="23"/>
  <c r="AI235" i="23"/>
  <c r="AK207" i="23"/>
  <c r="AI258" i="23"/>
  <c r="AI257" i="23"/>
  <c r="I219" i="22"/>
  <c r="AG257" i="23"/>
  <c r="AG258" i="23"/>
  <c r="C151" i="22"/>
  <c r="C107" i="22"/>
  <c r="C110" i="22"/>
  <c r="C118" i="22"/>
  <c r="C119" i="22"/>
  <c r="C163" i="22"/>
  <c r="J56" i="25"/>
  <c r="AJ13" i="25"/>
  <c r="AJ56" i="25"/>
  <c r="AJ68" i="23"/>
  <c r="AJ239" i="23" s="1"/>
  <c r="AJ224" i="23"/>
  <c r="J100" i="23"/>
  <c r="AJ236" i="23"/>
  <c r="AJ99" i="23"/>
  <c r="I251" i="23"/>
  <c r="AJ103" i="23"/>
  <c r="J205" i="23"/>
  <c r="AI119" i="23"/>
  <c r="AI123" i="23" s="1"/>
  <c r="AI142" i="23" s="1"/>
  <c r="AJ120" i="23"/>
  <c r="AJ150" i="23" s="1"/>
  <c r="AJ215" i="23" s="1"/>
  <c r="J150" i="23"/>
  <c r="AJ54" i="23"/>
  <c r="AJ164" i="23" s="1"/>
  <c r="AJ227" i="23"/>
  <c r="J19" i="23"/>
  <c r="AJ53" i="23"/>
  <c r="AJ163" i="23" s="1"/>
  <c r="AJ162" i="23"/>
  <c r="AJ8" i="23"/>
  <c r="AG171" i="23"/>
  <c r="C236" i="22"/>
  <c r="C246" i="22" s="1"/>
  <c r="AH251" i="23"/>
  <c r="J109" i="23"/>
  <c r="J160" i="23"/>
  <c r="AJ10" i="23"/>
  <c r="AJ114" i="23"/>
  <c r="J39" i="23"/>
  <c r="AI237" i="23"/>
  <c r="AJ84" i="23"/>
  <c r="AJ146" i="23" s="1"/>
  <c r="AJ211" i="23" s="1"/>
  <c r="J200" i="23"/>
  <c r="J148" i="23"/>
  <c r="AI47" i="25"/>
  <c r="J166" i="23"/>
  <c r="AG186" i="23"/>
  <c r="AI227" i="23"/>
  <c r="J178" i="23"/>
  <c r="AI160" i="23"/>
  <c r="J90" i="23"/>
  <c r="J171" i="23"/>
  <c r="J179" i="23"/>
  <c r="AG118" i="23"/>
  <c r="AG119" i="23" s="1"/>
  <c r="AG127" i="23" s="1"/>
  <c r="AI109" i="23"/>
  <c r="AI87" i="23"/>
  <c r="C157" i="22" s="1"/>
  <c r="AF120" i="23"/>
  <c r="AI56" i="25"/>
  <c r="AD150" i="23"/>
  <c r="AD215" i="23" s="1"/>
  <c r="AH150" i="23"/>
  <c r="AH215" i="23" s="1"/>
  <c r="AD251" i="23"/>
  <c r="AE186" i="23"/>
  <c r="AI39" i="23"/>
  <c r="AI251" i="23"/>
  <c r="AE150" i="23"/>
  <c r="AE215" i="23" s="1"/>
  <c r="AI150" i="23"/>
  <c r="AI215" i="23" s="1"/>
  <c r="AH68" i="23"/>
  <c r="AH239" i="23" s="1"/>
  <c r="AI100" i="23"/>
  <c r="AF171" i="23"/>
  <c r="AI224" i="23"/>
  <c r="AF237" i="23"/>
  <c r="AF238" i="23"/>
  <c r="AF236" i="23"/>
  <c r="AG215" i="23"/>
  <c r="AH109" i="23"/>
  <c r="AI207" i="23"/>
  <c r="AI236" i="23"/>
  <c r="AI171" i="23"/>
  <c r="AI68" i="23"/>
  <c r="AI11" i="23"/>
  <c r="AI26" i="23"/>
  <c r="AI41" i="23"/>
  <c r="AI45" i="23"/>
  <c r="AI47" i="23" s="1"/>
  <c r="AF55" i="25"/>
  <c r="AJ74" i="25" s="1"/>
  <c r="AH39" i="23"/>
  <c r="AF68" i="23"/>
  <c r="AG39" i="23"/>
  <c r="AD68" i="23"/>
  <c r="AE68" i="23"/>
  <c r="AG251" i="23"/>
  <c r="AF235" i="23"/>
  <c r="AH160" i="23"/>
  <c r="D211" i="22"/>
  <c r="AD171" i="23"/>
  <c r="AH117" i="23"/>
  <c r="AH119" i="23" s="1"/>
  <c r="AH123" i="23" s="1"/>
  <c r="AH147" i="23"/>
  <c r="E185" i="22"/>
  <c r="D209" i="22"/>
  <c r="E189" i="22"/>
  <c r="E181" i="22"/>
  <c r="E194" i="22"/>
  <c r="E196" i="22"/>
  <c r="C192" i="22"/>
  <c r="D212" i="22" s="1"/>
  <c r="E186" i="22"/>
  <c r="D208" i="22"/>
  <c r="E182" i="22"/>
  <c r="D210" i="22"/>
  <c r="C204" i="22"/>
  <c r="D204" i="22" s="1"/>
  <c r="E190" i="22"/>
  <c r="AH56" i="25"/>
  <c r="AH19" i="23"/>
  <c r="AH225" i="23"/>
  <c r="AE171" i="23"/>
  <c r="AH84" i="23"/>
  <c r="AE236" i="23"/>
  <c r="AG84" i="23"/>
  <c r="AG146" i="23" s="1"/>
  <c r="AH207" i="23"/>
  <c r="AH236" i="23"/>
  <c r="AG235" i="23"/>
  <c r="AG224" i="23"/>
  <c r="AG236" i="23"/>
  <c r="AG237" i="23"/>
  <c r="AG238" i="23"/>
  <c r="AG239" i="23"/>
  <c r="AG227" i="23"/>
  <c r="C235" i="22"/>
  <c r="C247" i="22"/>
  <c r="AG56" i="25"/>
  <c r="AG19" i="23"/>
  <c r="AG207" i="23"/>
  <c r="I118" i="23"/>
  <c r="I119" i="23" s="1"/>
  <c r="I261" i="23"/>
  <c r="AG87" i="23"/>
  <c r="I109" i="23"/>
  <c r="AF117" i="23"/>
  <c r="AF102" i="23"/>
  <c r="AF32" i="23"/>
  <c r="AF103" i="23"/>
  <c r="I205" i="23"/>
  <c r="I207" i="23" s="1"/>
  <c r="I64" i="23"/>
  <c r="I68" i="23" s="1"/>
  <c r="I74" i="23" s="1"/>
  <c r="I75" i="23" s="1"/>
  <c r="I81" i="23" s="1"/>
  <c r="AF40" i="23"/>
  <c r="AF118" i="23"/>
  <c r="AF34" i="23"/>
  <c r="AF109" i="23"/>
  <c r="I257" i="22"/>
  <c r="E261" i="22" s="1"/>
  <c r="I140" i="23"/>
  <c r="I200" i="23" s="1"/>
  <c r="E300" i="22"/>
  <c r="E314" i="22"/>
  <c r="E316" i="22"/>
  <c r="C285" i="22"/>
  <c r="E308" i="22"/>
  <c r="E305" i="22"/>
  <c r="C273" i="22"/>
  <c r="AF52" i="25"/>
  <c r="AJ71" i="25" s="1"/>
  <c r="AF44" i="25"/>
  <c r="AF46" i="25" s="1"/>
  <c r="AF13" i="25"/>
  <c r="I56" i="25"/>
  <c r="I215" i="23"/>
  <c r="AF104" i="23"/>
  <c r="AF36" i="23"/>
  <c r="AF33" i="23"/>
  <c r="AF159" i="23"/>
  <c r="AF35" i="23"/>
  <c r="AF37" i="23"/>
  <c r="AF162" i="23"/>
  <c r="AF87" i="23"/>
  <c r="AF99" i="23"/>
  <c r="AF224" i="23"/>
  <c r="AF114" i="23"/>
  <c r="AF227" i="23"/>
  <c r="AF10" i="23"/>
  <c r="AF84" i="23"/>
  <c r="AF146" i="23" s="1"/>
  <c r="AF54" i="23"/>
  <c r="AF164" i="23" s="1"/>
  <c r="I100" i="23"/>
  <c r="I90" i="23"/>
  <c r="I139" i="23" s="1"/>
  <c r="I19" i="23"/>
  <c r="I45" i="23" s="1"/>
  <c r="I47" i="23" s="1"/>
  <c r="I148" i="23"/>
  <c r="I166" i="23"/>
  <c r="I175" i="23"/>
  <c r="I171" i="23"/>
  <c r="I179" i="23"/>
  <c r="E304" i="22"/>
  <c r="E306" i="22"/>
  <c r="E301" i="22"/>
  <c r="D329" i="22"/>
  <c r="E302" i="22"/>
  <c r="D330" i="22"/>
  <c r="E309" i="22"/>
  <c r="C324" i="22"/>
  <c r="D324" i="22" s="1"/>
  <c r="E310" i="22"/>
  <c r="C312" i="22"/>
  <c r="AE56" i="25"/>
  <c r="AE65" i="25" s="1"/>
  <c r="AE229" i="23"/>
  <c r="AE19" i="23"/>
  <c r="AE118" i="23"/>
  <c r="C351" i="22"/>
  <c r="E343" i="22"/>
  <c r="E347" i="22"/>
  <c r="E349" i="22"/>
  <c r="E348" i="22"/>
  <c r="E352" i="22"/>
  <c r="E339" i="22"/>
  <c r="D363" i="22"/>
  <c r="E355" i="22"/>
  <c r="E353" i="22"/>
  <c r="E344" i="22"/>
  <c r="E345" i="22"/>
  <c r="D367" i="22"/>
  <c r="E340" i="22"/>
  <c r="C362" i="22"/>
  <c r="D368" i="22"/>
  <c r="E341" i="22"/>
  <c r="D369" i="22"/>
  <c r="AD56" i="25"/>
  <c r="AD65" i="25" s="1"/>
  <c r="AD229" i="23"/>
  <c r="AD109" i="23"/>
  <c r="AD119" i="23"/>
  <c r="AD123" i="23" s="1"/>
  <c r="AD19" i="23"/>
  <c r="C41" i="22" l="1"/>
  <c r="D40" i="22"/>
  <c r="D41" i="22" s="1"/>
  <c r="C32" i="22"/>
  <c r="D30" i="22"/>
  <c r="D32" i="22" s="1"/>
  <c r="E22" i="22"/>
  <c r="F22" i="22" s="1"/>
  <c r="F19" i="22"/>
  <c r="D22" i="22"/>
  <c r="C24" i="22"/>
  <c r="E24" i="22" s="1"/>
  <c r="C70" i="22"/>
  <c r="I305" i="22"/>
  <c r="J24" i="25"/>
  <c r="AE22" i="25"/>
  <c r="AE16" i="25"/>
  <c r="AJ229" i="23"/>
  <c r="AJ39" i="23"/>
  <c r="AI259" i="23"/>
  <c r="AJ174" i="23"/>
  <c r="AK147" i="23"/>
  <c r="C69" i="22"/>
  <c r="D63" i="22" s="1"/>
  <c r="AK259" i="23"/>
  <c r="AJ251" i="23"/>
  <c r="E313" i="22"/>
  <c r="AK100" i="23"/>
  <c r="J75" i="23"/>
  <c r="J81" i="23" s="1"/>
  <c r="J77" i="23"/>
  <c r="I259" i="23"/>
  <c r="J139" i="23"/>
  <c r="J199" i="23" s="1"/>
  <c r="E55" i="22"/>
  <c r="D85" i="22"/>
  <c r="C66" i="22"/>
  <c r="C68" i="22" s="1"/>
  <c r="E68" i="22" s="1"/>
  <c r="D74" i="22"/>
  <c r="D76" i="22" s="1"/>
  <c r="C76" i="22"/>
  <c r="E51" i="22"/>
  <c r="E59" i="22"/>
  <c r="AD22" i="25"/>
  <c r="AD21" i="25"/>
  <c r="AD20" i="25"/>
  <c r="AD24" i="25"/>
  <c r="J65" i="25"/>
  <c r="J62" i="25"/>
  <c r="AJ64" i="25"/>
  <c r="AJ63" i="25"/>
  <c r="AJ61" i="25"/>
  <c r="AJ60" i="25"/>
  <c r="AJ65" i="25"/>
  <c r="AJ62" i="25"/>
  <c r="AJ66" i="25" s="1"/>
  <c r="AI65" i="25"/>
  <c r="AI62" i="25"/>
  <c r="AI16" i="25"/>
  <c r="AI22" i="25"/>
  <c r="AI21" i="25"/>
  <c r="AH16" i="25"/>
  <c r="AH20" i="25"/>
  <c r="AH21" i="25"/>
  <c r="AH22" i="25"/>
  <c r="AG24" i="25"/>
  <c r="AG16" i="25"/>
  <c r="AG20" i="25"/>
  <c r="AG21" i="25"/>
  <c r="AG22" i="25"/>
  <c r="I24" i="25"/>
  <c r="I16" i="25"/>
  <c r="I21" i="25"/>
  <c r="I20" i="25"/>
  <c r="I22" i="25"/>
  <c r="AK57" i="25"/>
  <c r="AK65" i="25"/>
  <c r="AK62" i="25"/>
  <c r="AK66" i="25" s="1"/>
  <c r="AK75" i="25"/>
  <c r="AK63" i="25"/>
  <c r="AK64" i="25"/>
  <c r="AK61" i="25"/>
  <c r="AK60" i="25"/>
  <c r="J57" i="25"/>
  <c r="J63" i="25"/>
  <c r="J60" i="25"/>
  <c r="J64" i="25"/>
  <c r="J61" i="25"/>
  <c r="J75" i="25"/>
  <c r="AJ57" i="25"/>
  <c r="AI57" i="25"/>
  <c r="AI64" i="25"/>
  <c r="AI63" i="25"/>
  <c r="AI61" i="25"/>
  <c r="AI75" i="25"/>
  <c r="AI60" i="25"/>
  <c r="AH57" i="25"/>
  <c r="AH75" i="25"/>
  <c r="AH64" i="25"/>
  <c r="AH63" i="25"/>
  <c r="AH62" i="25"/>
  <c r="AH60" i="25"/>
  <c r="AH65" i="25"/>
  <c r="AH61" i="25"/>
  <c r="AG57" i="25"/>
  <c r="AG65" i="25"/>
  <c r="AG64" i="25"/>
  <c r="AG63" i="25"/>
  <c r="AG62" i="25"/>
  <c r="AG61" i="25"/>
  <c r="AG60" i="25"/>
  <c r="I57" i="25"/>
  <c r="I63" i="25"/>
  <c r="I61" i="25"/>
  <c r="I65" i="25"/>
  <c r="I60" i="25"/>
  <c r="I62" i="25"/>
  <c r="I64" i="25"/>
  <c r="AE57" i="25"/>
  <c r="AE62" i="25"/>
  <c r="AE66" i="25" s="1"/>
  <c r="AE64" i="25"/>
  <c r="AE63" i="25"/>
  <c r="AE61" i="25"/>
  <c r="AE60" i="25"/>
  <c r="AD57" i="25"/>
  <c r="AD62" i="25"/>
  <c r="AD66" i="25" s="1"/>
  <c r="AD60" i="25"/>
  <c r="AD64" i="25"/>
  <c r="AD61" i="25"/>
  <c r="AD63" i="25"/>
  <c r="AD19" i="25"/>
  <c r="AD23" i="25"/>
  <c r="AD25" i="25"/>
  <c r="AI19" i="25"/>
  <c r="AI20" i="25"/>
  <c r="AI23" i="25"/>
  <c r="AI25" i="25"/>
  <c r="AI26" i="25" s="1"/>
  <c r="AI36" i="25"/>
  <c r="AH19" i="25"/>
  <c r="AH23" i="25"/>
  <c r="AH25" i="25"/>
  <c r="AH26" i="25" s="1"/>
  <c r="AH36" i="25"/>
  <c r="AG19" i="25"/>
  <c r="AG23" i="25"/>
  <c r="AG25" i="25"/>
  <c r="AG26" i="25" s="1"/>
  <c r="I19" i="25"/>
  <c r="I23" i="25"/>
  <c r="I25" i="25"/>
  <c r="AE19" i="25"/>
  <c r="AE20" i="25"/>
  <c r="AE23" i="25"/>
  <c r="AE25" i="25"/>
  <c r="AE26" i="25" s="1"/>
  <c r="AK23" i="25"/>
  <c r="AK22" i="25"/>
  <c r="AK24" i="25"/>
  <c r="AK21" i="25"/>
  <c r="AK36" i="25"/>
  <c r="AK20" i="25"/>
  <c r="AK25" i="25"/>
  <c r="AK19" i="25"/>
  <c r="AK16" i="25"/>
  <c r="J22" i="25"/>
  <c r="J19" i="25"/>
  <c r="J21" i="25"/>
  <c r="J20" i="25"/>
  <c r="J25" i="25"/>
  <c r="J26" i="25" s="1"/>
  <c r="J36" i="25"/>
  <c r="J16" i="25"/>
  <c r="AJ15" i="25"/>
  <c r="AJ24" i="25" s="1"/>
  <c r="AJ34" i="25"/>
  <c r="AF15" i="25"/>
  <c r="AF24" i="25" s="1"/>
  <c r="C203" i="22"/>
  <c r="D203" i="22" s="1"/>
  <c r="E193" i="22"/>
  <c r="AJ259" i="23"/>
  <c r="J119" i="23"/>
  <c r="J250" i="23" s="1"/>
  <c r="AK211" i="23"/>
  <c r="J215" i="23"/>
  <c r="D246" i="22"/>
  <c r="D248" i="22" s="1"/>
  <c r="D247" i="22"/>
  <c r="AJ160" i="23"/>
  <c r="I91" i="22"/>
  <c r="D118" i="22" s="1"/>
  <c r="I135" i="22"/>
  <c r="E229" i="22"/>
  <c r="E225" i="22"/>
  <c r="D252" i="22"/>
  <c r="D253" i="22"/>
  <c r="E228" i="22"/>
  <c r="E239" i="22"/>
  <c r="E237" i="22"/>
  <c r="E233" i="22"/>
  <c r="E224" i="22"/>
  <c r="D251" i="22"/>
  <c r="E232" i="22"/>
  <c r="AK228" i="23"/>
  <c r="AK229" i="23"/>
  <c r="AK38" i="23"/>
  <c r="AK250" i="23"/>
  <c r="AK185" i="23"/>
  <c r="AK149" i="23"/>
  <c r="AK135" i="23"/>
  <c r="AK132" i="23"/>
  <c r="AK192" i="23" s="1"/>
  <c r="AK127" i="23"/>
  <c r="AK123" i="23"/>
  <c r="AK174" i="23"/>
  <c r="AK239" i="23"/>
  <c r="AK24" i="23"/>
  <c r="AK45" i="23"/>
  <c r="AK47" i="23" s="1"/>
  <c r="J258" i="23"/>
  <c r="J257" i="23"/>
  <c r="C113" i="22"/>
  <c r="D110" i="22" s="1"/>
  <c r="AJ147" i="23"/>
  <c r="AK148" i="23"/>
  <c r="AK212" i="23"/>
  <c r="AK225" i="23"/>
  <c r="AG259" i="23"/>
  <c r="C158" i="22"/>
  <c r="AJ225" i="23"/>
  <c r="AJ117" i="23"/>
  <c r="J244" i="23"/>
  <c r="J238" i="23"/>
  <c r="J224" i="23"/>
  <c r="J241" i="23"/>
  <c r="J227" i="23"/>
  <c r="J263" i="23" s="1"/>
  <c r="I48" i="22"/>
  <c r="J24" i="23"/>
  <c r="J26" i="23" s="1"/>
  <c r="J47" i="25"/>
  <c r="AI228" i="23"/>
  <c r="AK263" i="23"/>
  <c r="C274" i="22"/>
  <c r="I266" i="22" s="1"/>
  <c r="AF251" i="23"/>
  <c r="AF186" i="23"/>
  <c r="AH47" i="25"/>
  <c r="C154" i="22"/>
  <c r="C156" i="22" s="1"/>
  <c r="D151" i="22"/>
  <c r="C112" i="22"/>
  <c r="C120" i="22"/>
  <c r="C164" i="22"/>
  <c r="E236" i="22"/>
  <c r="AF56" i="25"/>
  <c r="AF65" i="25" s="1"/>
  <c r="AI127" i="23"/>
  <c r="AI185" i="23"/>
  <c r="J207" i="23"/>
  <c r="J237" i="23"/>
  <c r="J243" i="23"/>
  <c r="AI250" i="23"/>
  <c r="AI252" i="23" s="1"/>
  <c r="AI276" i="23" s="1"/>
  <c r="AI38" i="23"/>
  <c r="AI149" i="23"/>
  <c r="AI151" i="23" s="1"/>
  <c r="AI216" i="23" s="1"/>
  <c r="AI135" i="23"/>
  <c r="J247" i="23"/>
  <c r="J242" i="23"/>
  <c r="J232" i="23"/>
  <c r="J231" i="23"/>
  <c r="AJ186" i="23"/>
  <c r="I228" i="22"/>
  <c r="J234" i="23"/>
  <c r="J236" i="23"/>
  <c r="AJ228" i="23"/>
  <c r="J45" i="23"/>
  <c r="J47" i="23" s="1"/>
  <c r="J86" i="23" s="1"/>
  <c r="J85" i="23"/>
  <c r="J261" i="23"/>
  <c r="AJ11" i="23"/>
  <c r="AJ19" i="23"/>
  <c r="AJ100" i="23"/>
  <c r="AH174" i="23"/>
  <c r="AG47" i="25"/>
  <c r="AJ263" i="23"/>
  <c r="AI229" i="23"/>
  <c r="J240" i="23"/>
  <c r="J175" i="23"/>
  <c r="J235" i="23"/>
  <c r="AF150" i="23"/>
  <c r="AF215" i="23" s="1"/>
  <c r="AF39" i="23"/>
  <c r="AG132" i="23"/>
  <c r="AG192" i="23" s="1"/>
  <c r="AI147" i="23"/>
  <c r="AI148" i="23" s="1"/>
  <c r="AG38" i="23"/>
  <c r="AG123" i="23"/>
  <c r="AI132" i="23"/>
  <c r="AI192" i="23" s="1"/>
  <c r="I250" i="23"/>
  <c r="I123" i="23"/>
  <c r="I142" i="23" s="1"/>
  <c r="I202" i="23" s="1"/>
  <c r="E184" i="22"/>
  <c r="AI225" i="23"/>
  <c r="AI211" i="23"/>
  <c r="AI174" i="23"/>
  <c r="AI239" i="23"/>
  <c r="AG263" i="23"/>
  <c r="AI263" i="23"/>
  <c r="E180" i="22"/>
  <c r="AI49" i="23"/>
  <c r="AI51" i="23"/>
  <c r="AI27" i="23"/>
  <c r="AI29" i="23"/>
  <c r="AG100" i="23"/>
  <c r="AI134" i="23"/>
  <c r="AI202" i="23"/>
  <c r="AI125" i="23"/>
  <c r="AI131" i="23"/>
  <c r="AI191" i="23" s="1"/>
  <c r="AI187" i="23"/>
  <c r="AH38" i="23"/>
  <c r="AH132" i="23"/>
  <c r="AH192" i="23" s="1"/>
  <c r="E188" i="22"/>
  <c r="I38" i="23"/>
  <c r="AH263" i="23"/>
  <c r="AE239" i="23"/>
  <c r="AE174" i="23"/>
  <c r="AF174" i="23"/>
  <c r="AF239" i="23"/>
  <c r="AD239" i="23"/>
  <c r="AD174" i="23"/>
  <c r="AG250" i="23"/>
  <c r="I177" i="22"/>
  <c r="E198" i="22" s="1"/>
  <c r="AH212" i="23"/>
  <c r="D192" i="22"/>
  <c r="C199" i="22"/>
  <c r="D205" i="22"/>
  <c r="C195" i="22"/>
  <c r="C197" i="22" s="1"/>
  <c r="E197" i="22" s="1"/>
  <c r="C213" i="22"/>
  <c r="C205" i="22"/>
  <c r="AH135" i="23"/>
  <c r="AH195" i="23" s="1"/>
  <c r="AH149" i="23"/>
  <c r="AH151" i="23" s="1"/>
  <c r="AH216" i="23" s="1"/>
  <c r="AH127" i="23"/>
  <c r="AH185" i="23"/>
  <c r="AH250" i="23"/>
  <c r="AH252" i="23" s="1"/>
  <c r="AH45" i="23"/>
  <c r="AH47" i="23" s="1"/>
  <c r="AH24" i="23"/>
  <c r="AE45" i="23"/>
  <c r="AE47" i="23" s="1"/>
  <c r="AE51" i="23" s="1"/>
  <c r="AG229" i="23"/>
  <c r="AG147" i="23"/>
  <c r="AG212" i="23" s="1"/>
  <c r="C241" i="22"/>
  <c r="D235" i="22" s="1"/>
  <c r="AG211" i="23"/>
  <c r="I220" i="22"/>
  <c r="C242" i="22"/>
  <c r="AH146" i="23"/>
  <c r="AH100" i="23"/>
  <c r="C238" i="22"/>
  <c r="C248" i="22"/>
  <c r="D291" i="22"/>
  <c r="AG135" i="23"/>
  <c r="AG195" i="23" s="1"/>
  <c r="AG185" i="23"/>
  <c r="AG149" i="23"/>
  <c r="AG214" i="23" s="1"/>
  <c r="AD45" i="23"/>
  <c r="AD47" i="23" s="1"/>
  <c r="AD49" i="23" s="1"/>
  <c r="E312" i="22"/>
  <c r="E315" i="22" s="1"/>
  <c r="I170" i="23"/>
  <c r="AG24" i="23"/>
  <c r="AG45" i="23"/>
  <c r="AG47" i="23" s="1"/>
  <c r="E263" i="22"/>
  <c r="E265" i="22"/>
  <c r="I47" i="25"/>
  <c r="I77" i="23"/>
  <c r="E267" i="22"/>
  <c r="E266" i="22"/>
  <c r="D289" i="22"/>
  <c r="D290" i="22"/>
  <c r="AF119" i="23"/>
  <c r="AF123" i="23" s="1"/>
  <c r="AF147" i="23"/>
  <c r="AF148" i="23" s="1"/>
  <c r="C279" i="22"/>
  <c r="E279" i="22" s="1"/>
  <c r="E271" i="22"/>
  <c r="I199" i="23"/>
  <c r="D285" i="22"/>
  <c r="E262" i="22"/>
  <c r="E277" i="22"/>
  <c r="E270" i="22"/>
  <c r="E269" i="22"/>
  <c r="E275" i="22"/>
  <c r="AF100" i="23"/>
  <c r="AF11" i="23"/>
  <c r="AF19" i="23"/>
  <c r="AF229" i="23"/>
  <c r="I135" i="23"/>
  <c r="I195" i="23" s="1"/>
  <c r="I127" i="23"/>
  <c r="I132" i="23"/>
  <c r="I192" i="23" s="1"/>
  <c r="I149" i="23"/>
  <c r="I214" i="23" s="1"/>
  <c r="I185" i="23"/>
  <c r="I85" i="23"/>
  <c r="I24" i="23"/>
  <c r="I26" i="23" s="1"/>
  <c r="I174" i="23"/>
  <c r="I91" i="23"/>
  <c r="I51" i="23"/>
  <c r="I49" i="23"/>
  <c r="I86" i="23"/>
  <c r="AE119" i="23"/>
  <c r="AE123" i="23" s="1"/>
  <c r="E351" i="22"/>
  <c r="E354" i="22" s="1"/>
  <c r="AE47" i="25"/>
  <c r="C325" i="22"/>
  <c r="D323" i="22"/>
  <c r="D325" i="22" s="1"/>
  <c r="C315" i="22"/>
  <c r="C331" i="22"/>
  <c r="C370" i="22"/>
  <c r="D370" i="22" s="1"/>
  <c r="D371" i="22" s="1"/>
  <c r="AE24" i="23"/>
  <c r="AD149" i="23"/>
  <c r="AD151" i="23" s="1"/>
  <c r="AD216" i="23" s="1"/>
  <c r="C358" i="22"/>
  <c r="AD250" i="23"/>
  <c r="AD47" i="25"/>
  <c r="C354" i="22"/>
  <c r="C356" i="22" s="1"/>
  <c r="E356" i="22" s="1"/>
  <c r="D362" i="22"/>
  <c r="D364" i="22" s="1"/>
  <c r="C364" i="22"/>
  <c r="AD127" i="23"/>
  <c r="AD185" i="23"/>
  <c r="AD24" i="23"/>
  <c r="AD41" i="23" s="1"/>
  <c r="C394" i="22"/>
  <c r="C392" i="22"/>
  <c r="C391" i="22"/>
  <c r="I374" i="22"/>
  <c r="E383" i="22" s="1"/>
  <c r="C405" i="22"/>
  <c r="C400" i="22"/>
  <c r="C386" i="22"/>
  <c r="I382" i="22"/>
  <c r="C382" i="22"/>
  <c r="C378" i="22"/>
  <c r="AC55" i="25"/>
  <c r="AC52" i="25"/>
  <c r="AC44" i="25"/>
  <c r="AC46" i="25" s="1"/>
  <c r="AC13" i="25"/>
  <c r="AC205" i="23"/>
  <c r="AC108" i="23"/>
  <c r="AC118" i="23" s="1"/>
  <c r="AC104" i="23"/>
  <c r="AC103" i="23"/>
  <c r="AC102" i="23"/>
  <c r="AC95" i="23"/>
  <c r="AC117" i="23"/>
  <c r="AC114" i="23"/>
  <c r="AC99" i="23"/>
  <c r="AC65" i="23"/>
  <c r="H61" i="23"/>
  <c r="H57" i="23" s="1"/>
  <c r="H65" i="23"/>
  <c r="H72" i="23"/>
  <c r="H73" i="23" s="1"/>
  <c r="AC251" i="23"/>
  <c r="AC221" i="23"/>
  <c r="AC210" i="23"/>
  <c r="AC186" i="23"/>
  <c r="AC162" i="23"/>
  <c r="AC159" i="23"/>
  <c r="AG160" i="23" s="1"/>
  <c r="AC156" i="23"/>
  <c r="AC150" i="23"/>
  <c r="AC215" i="23" s="1"/>
  <c r="AC145" i="23"/>
  <c r="AC129" i="23"/>
  <c r="AC93" i="23"/>
  <c r="AC83" i="23"/>
  <c r="AC59" i="23"/>
  <c r="AC54" i="23"/>
  <c r="AC164" i="23" s="1"/>
  <c r="AC53" i="23"/>
  <c r="AC163" i="23" s="1"/>
  <c r="AC44" i="23"/>
  <c r="AC40" i="23"/>
  <c r="AC37" i="23"/>
  <c r="AC36" i="23"/>
  <c r="AC35" i="23"/>
  <c r="AC34" i="23"/>
  <c r="AC33" i="23"/>
  <c r="AC32" i="23"/>
  <c r="AC10" i="23"/>
  <c r="AC19" i="23" s="1"/>
  <c r="AC8" i="23"/>
  <c r="E274" i="22" l="1"/>
  <c r="C276" i="22"/>
  <c r="AK26" i="25"/>
  <c r="AD26" i="25"/>
  <c r="I26" i="25"/>
  <c r="AI66" i="25"/>
  <c r="J66" i="25"/>
  <c r="J123" i="23"/>
  <c r="AK213" i="23"/>
  <c r="E156" i="22"/>
  <c r="J149" i="23"/>
  <c r="J51" i="23"/>
  <c r="J127" i="23"/>
  <c r="D154" i="22"/>
  <c r="J38" i="23"/>
  <c r="J185" i="23"/>
  <c r="J41" i="23"/>
  <c r="D66" i="22"/>
  <c r="E227" i="22"/>
  <c r="J259" i="23"/>
  <c r="E231" i="22"/>
  <c r="E235" i="22" s="1"/>
  <c r="E238" i="22" s="1"/>
  <c r="H69" i="23"/>
  <c r="H56" i="23"/>
  <c r="E223" i="22"/>
  <c r="AK85" i="23"/>
  <c r="AC68" i="23"/>
  <c r="AC174" i="23" s="1"/>
  <c r="AC56" i="23"/>
  <c r="C284" i="22"/>
  <c r="C286" i="22" s="1"/>
  <c r="J229" i="23"/>
  <c r="E69" i="22"/>
  <c r="E63" i="22"/>
  <c r="AG66" i="25"/>
  <c r="AJ75" i="25"/>
  <c r="AF62" i="25"/>
  <c r="AF66" i="25" s="1"/>
  <c r="AH66" i="25"/>
  <c r="I66" i="25"/>
  <c r="AF57" i="25"/>
  <c r="AF61" i="25"/>
  <c r="AF64" i="25"/>
  <c r="AF63" i="25"/>
  <c r="AF60" i="25"/>
  <c r="AG74" i="25"/>
  <c r="AG71" i="25"/>
  <c r="AJ25" i="25"/>
  <c r="AJ26" i="25" s="1"/>
  <c r="AJ22" i="25"/>
  <c r="AJ20" i="25"/>
  <c r="AJ19" i="25"/>
  <c r="AJ36" i="25"/>
  <c r="AJ21" i="25"/>
  <c r="AJ23" i="25"/>
  <c r="AJ16" i="25"/>
  <c r="AF19" i="25"/>
  <c r="AF20" i="25"/>
  <c r="AF22" i="25"/>
  <c r="AF21" i="25"/>
  <c r="AF23" i="25"/>
  <c r="AF25" i="25"/>
  <c r="AF26" i="25" s="1"/>
  <c r="AF16" i="25"/>
  <c r="AG34" i="25"/>
  <c r="E112" i="22"/>
  <c r="E108" i="22"/>
  <c r="D128" i="22"/>
  <c r="E105" i="22"/>
  <c r="E97" i="22"/>
  <c r="D127" i="22"/>
  <c r="D119" i="22"/>
  <c r="D120" i="22" s="1"/>
  <c r="D126" i="22"/>
  <c r="D124" i="22"/>
  <c r="E101" i="22"/>
  <c r="E111" i="22"/>
  <c r="E109" i="22"/>
  <c r="E100" i="22"/>
  <c r="E104" i="22"/>
  <c r="D125" i="22"/>
  <c r="E96" i="22"/>
  <c r="D163" i="22"/>
  <c r="E141" i="22"/>
  <c r="D162" i="22"/>
  <c r="D169" i="22"/>
  <c r="E152" i="22"/>
  <c r="D167" i="22"/>
  <c r="D171" i="22"/>
  <c r="D170" i="22"/>
  <c r="D168" i="22"/>
  <c r="E155" i="22"/>
  <c r="E153" i="22"/>
  <c r="E149" i="22"/>
  <c r="E148" i="22"/>
  <c r="E144" i="22"/>
  <c r="E140" i="22"/>
  <c r="E145" i="22"/>
  <c r="J132" i="23"/>
  <c r="J192" i="23" s="1"/>
  <c r="J135" i="23"/>
  <c r="J152" i="23" s="1"/>
  <c r="AJ148" i="23"/>
  <c r="AJ212" i="23"/>
  <c r="AJ213" i="23" s="1"/>
  <c r="AK252" i="23"/>
  <c r="AK266" i="23"/>
  <c r="AK269" i="23"/>
  <c r="AK151" i="23"/>
  <c r="AK216" i="23" s="1"/>
  <c r="AK218" i="23" s="1"/>
  <c r="AK214" i="23"/>
  <c r="AK217" i="23" s="1"/>
  <c r="AK152" i="23"/>
  <c r="AK195" i="23"/>
  <c r="AK125" i="23"/>
  <c r="AK131" i="23"/>
  <c r="AK191" i="23" s="1"/>
  <c r="AK134" i="23"/>
  <c r="AK142" i="23"/>
  <c r="AK202" i="23" s="1"/>
  <c r="AK187" i="23"/>
  <c r="AK26" i="23"/>
  <c r="AK41" i="23"/>
  <c r="AK48" i="23"/>
  <c r="AK49" i="23"/>
  <c r="AK51" i="23"/>
  <c r="D107" i="22"/>
  <c r="I136" i="22"/>
  <c r="E157" i="22" s="1"/>
  <c r="I92" i="22"/>
  <c r="E113" i="22" s="1"/>
  <c r="AI195" i="23"/>
  <c r="AI152" i="23"/>
  <c r="AJ85" i="23"/>
  <c r="AJ47" i="25"/>
  <c r="J134" i="23"/>
  <c r="J131" i="23"/>
  <c r="J191" i="23" s="1"/>
  <c r="AI214" i="23"/>
  <c r="J211" i="23"/>
  <c r="J212" i="23"/>
  <c r="J48" i="23"/>
  <c r="J49" i="23"/>
  <c r="AJ45" i="23"/>
  <c r="AJ24" i="23"/>
  <c r="J91" i="23"/>
  <c r="J239" i="23"/>
  <c r="J174" i="23"/>
  <c r="J273" i="23"/>
  <c r="J274" i="23"/>
  <c r="J269" i="23"/>
  <c r="J266" i="23"/>
  <c r="J252" i="23"/>
  <c r="J125" i="23"/>
  <c r="J187" i="23"/>
  <c r="J142" i="23"/>
  <c r="J202" i="23" s="1"/>
  <c r="J89" i="23"/>
  <c r="J29" i="23"/>
  <c r="J27" i="23"/>
  <c r="AG269" i="23"/>
  <c r="J151" i="23"/>
  <c r="J216" i="23" s="1"/>
  <c r="J214" i="23"/>
  <c r="AI212" i="23"/>
  <c r="AI218" i="23" s="1"/>
  <c r="I125" i="23"/>
  <c r="AF125" i="23" s="1"/>
  <c r="AF189" i="23" s="1"/>
  <c r="I134" i="23"/>
  <c r="I187" i="23"/>
  <c r="AI48" i="23"/>
  <c r="AG142" i="23"/>
  <c r="AG202" i="23" s="1"/>
  <c r="AH134" i="23"/>
  <c r="AH153" i="23" s="1"/>
  <c r="AH142" i="23"/>
  <c r="AH202" i="23" s="1"/>
  <c r="AD134" i="23"/>
  <c r="AD194" i="23" s="1"/>
  <c r="AD142" i="23"/>
  <c r="AD202" i="23" s="1"/>
  <c r="I131" i="23"/>
  <c r="I191" i="23" s="1"/>
  <c r="AF47" i="25"/>
  <c r="AI85" i="23"/>
  <c r="AI189" i="23"/>
  <c r="AI254" i="23"/>
  <c r="AI271" i="23" s="1"/>
  <c r="AI137" i="23"/>
  <c r="AI197" i="23" s="1"/>
  <c r="AH214" i="23"/>
  <c r="AH217" i="23" s="1"/>
  <c r="AI153" i="23"/>
  <c r="AI194" i="23"/>
  <c r="AI266" i="23"/>
  <c r="AI265" i="23"/>
  <c r="AI268" i="23"/>
  <c r="AI269" i="23"/>
  <c r="AH269" i="23"/>
  <c r="E192" i="22"/>
  <c r="F192" i="22" s="1"/>
  <c r="AG134" i="23"/>
  <c r="AG153" i="23" s="1"/>
  <c r="AF132" i="23"/>
  <c r="AF192" i="23" s="1"/>
  <c r="AF38" i="23"/>
  <c r="AG125" i="23"/>
  <c r="AG137" i="23" s="1"/>
  <c r="AG197" i="23" s="1"/>
  <c r="AE49" i="23"/>
  <c r="AG252" i="23"/>
  <c r="AG276" i="23" s="1"/>
  <c r="AG148" i="23"/>
  <c r="AH266" i="23"/>
  <c r="C319" i="22"/>
  <c r="AG266" i="23"/>
  <c r="AH218" i="23"/>
  <c r="D195" i="22"/>
  <c r="D254" i="22"/>
  <c r="D255" i="22" s="1"/>
  <c r="D213" i="22"/>
  <c r="D238" i="22"/>
  <c r="AH131" i="23"/>
  <c r="AH191" i="23" s="1"/>
  <c r="AH187" i="23"/>
  <c r="AH125" i="23"/>
  <c r="AH137" i="23" s="1"/>
  <c r="AH197" i="23" s="1"/>
  <c r="AH152" i="23"/>
  <c r="AH48" i="23"/>
  <c r="AH51" i="23"/>
  <c r="AH49" i="23"/>
  <c r="AH41" i="23"/>
  <c r="AH26" i="23"/>
  <c r="AG187" i="23"/>
  <c r="AH211" i="23"/>
  <c r="AH213" i="23" s="1"/>
  <c r="AH148" i="23"/>
  <c r="E241" i="22"/>
  <c r="AH85" i="23"/>
  <c r="AG213" i="23"/>
  <c r="AG131" i="23"/>
  <c r="AG191" i="23" s="1"/>
  <c r="AC171" i="23"/>
  <c r="AC236" i="23"/>
  <c r="AH276" i="23"/>
  <c r="AH265" i="23"/>
  <c r="AH268" i="23"/>
  <c r="AC235" i="23"/>
  <c r="AC237" i="23"/>
  <c r="AC238" i="23"/>
  <c r="AC239" i="23"/>
  <c r="AG152" i="23"/>
  <c r="AG217" i="23"/>
  <c r="C240" i="22"/>
  <c r="E240" i="22" s="1"/>
  <c r="C390" i="22"/>
  <c r="C409" i="22" s="1"/>
  <c r="D273" i="22"/>
  <c r="AG151" i="23"/>
  <c r="AG216" i="23" s="1"/>
  <c r="AG218" i="23" s="1"/>
  <c r="AD252" i="23"/>
  <c r="AG85" i="23"/>
  <c r="AD51" i="23"/>
  <c r="AG51" i="23"/>
  <c r="AG49" i="23"/>
  <c r="AG26" i="23"/>
  <c r="AG41" i="23"/>
  <c r="AE127" i="23"/>
  <c r="AD187" i="23"/>
  <c r="E273" i="22"/>
  <c r="F273" i="22" s="1"/>
  <c r="AF142" i="23"/>
  <c r="AF149" i="23"/>
  <c r="AF185" i="23"/>
  <c r="AF127" i="23"/>
  <c r="AF250" i="23"/>
  <c r="AF135" i="23"/>
  <c r="AF195" i="23" s="1"/>
  <c r="C280" i="22"/>
  <c r="AF207" i="23"/>
  <c r="C371" i="22"/>
  <c r="C293" i="22"/>
  <c r="D292" i="22"/>
  <c r="D293" i="22" s="1"/>
  <c r="D276" i="22"/>
  <c r="C278" i="22"/>
  <c r="E278" i="22" s="1"/>
  <c r="AF85" i="23"/>
  <c r="AF45" i="23"/>
  <c r="AF47" i="23" s="1"/>
  <c r="AF24" i="23"/>
  <c r="I41" i="23"/>
  <c r="I151" i="23"/>
  <c r="I216" i="23" s="1"/>
  <c r="I375" i="22"/>
  <c r="I152" i="23"/>
  <c r="I252" i="23"/>
  <c r="I276" i="23" s="1"/>
  <c r="I180" i="23"/>
  <c r="I89" i="23"/>
  <c r="I29" i="23"/>
  <c r="I27" i="23"/>
  <c r="AE185" i="23"/>
  <c r="AE250" i="23"/>
  <c r="AE149" i="23"/>
  <c r="AE214" i="23" s="1"/>
  <c r="C317" i="22"/>
  <c r="E317" i="22" s="1"/>
  <c r="C332" i="22"/>
  <c r="D331" i="22"/>
  <c r="D332" i="22" s="1"/>
  <c r="AE41" i="23"/>
  <c r="AE26" i="23"/>
  <c r="AD125" i="23"/>
  <c r="AD254" i="23" s="1"/>
  <c r="AD214" i="23"/>
  <c r="AD131" i="23"/>
  <c r="AD191" i="23" s="1"/>
  <c r="AC224" i="23"/>
  <c r="AG225" i="23" s="1"/>
  <c r="AD26" i="23"/>
  <c r="E384" i="22"/>
  <c r="E386" i="22"/>
  <c r="AC227" i="23"/>
  <c r="E392" i="22"/>
  <c r="AC47" i="25"/>
  <c r="E382" i="22"/>
  <c r="I383" i="22"/>
  <c r="E391" i="22"/>
  <c r="E394" i="22"/>
  <c r="E379" i="22"/>
  <c r="C401" i="22"/>
  <c r="D407" i="22"/>
  <c r="E380" i="22"/>
  <c r="D408" i="22"/>
  <c r="D406" i="22"/>
  <c r="E387" i="22"/>
  <c r="C402" i="22"/>
  <c r="D402" i="22" s="1"/>
  <c r="E378" i="22"/>
  <c r="E388" i="22"/>
  <c r="AC56" i="25"/>
  <c r="AC65" i="25" s="1"/>
  <c r="AC119" i="23"/>
  <c r="AC123" i="23" s="1"/>
  <c r="AC109" i="23"/>
  <c r="AC24" i="23"/>
  <c r="AC45" i="23"/>
  <c r="AC47" i="23" s="1"/>
  <c r="AG48" i="23" s="1"/>
  <c r="AC11" i="23"/>
  <c r="I413" i="22"/>
  <c r="D445" i="22" s="1"/>
  <c r="I452" i="22"/>
  <c r="I451" i="22"/>
  <c r="C444" i="22"/>
  <c r="C439" i="22"/>
  <c r="C425" i="22"/>
  <c r="I421" i="22"/>
  <c r="C421" i="22"/>
  <c r="C417" i="22"/>
  <c r="C471" i="22"/>
  <c r="C469" i="22"/>
  <c r="C468" i="22"/>
  <c r="X18" i="23"/>
  <c r="T18" i="23"/>
  <c r="H23" i="23"/>
  <c r="H18" i="23"/>
  <c r="AB18" i="23" s="1"/>
  <c r="I490" i="22"/>
  <c r="AB54" i="25"/>
  <c r="AB53" i="25"/>
  <c r="AB51" i="25"/>
  <c r="AB50" i="25"/>
  <c r="AB45" i="25"/>
  <c r="AB43" i="25"/>
  <c r="AB42" i="25"/>
  <c r="AB41" i="25"/>
  <c r="AB40" i="25"/>
  <c r="AB14" i="25"/>
  <c r="AB12" i="25"/>
  <c r="AB11" i="25"/>
  <c r="AB10" i="25"/>
  <c r="AB9" i="25"/>
  <c r="AB8" i="25"/>
  <c r="H55" i="25"/>
  <c r="H52" i="25"/>
  <c r="H44" i="25"/>
  <c r="H46" i="25" s="1"/>
  <c r="H13" i="25"/>
  <c r="H206" i="23"/>
  <c r="H108" i="23"/>
  <c r="H95" i="23"/>
  <c r="E99" i="22" l="1"/>
  <c r="AC62" i="25"/>
  <c r="AC66" i="25" s="1"/>
  <c r="J218" i="23"/>
  <c r="J195" i="23"/>
  <c r="D164" i="22"/>
  <c r="E103" i="22"/>
  <c r="E147" i="22"/>
  <c r="D284" i="22"/>
  <c r="D286" i="22" s="1"/>
  <c r="F63" i="22"/>
  <c r="E66" i="22"/>
  <c r="F66" i="22" s="1"/>
  <c r="AC57" i="25"/>
  <c r="AC64" i="25"/>
  <c r="AC63" i="25"/>
  <c r="AC61" i="25"/>
  <c r="AC60" i="25"/>
  <c r="AG75" i="25"/>
  <c r="AF73" i="25"/>
  <c r="AF72" i="25"/>
  <c r="AF70" i="25"/>
  <c r="AF69" i="25"/>
  <c r="I74" i="25"/>
  <c r="I71" i="25"/>
  <c r="AF35" i="25"/>
  <c r="AF33" i="25"/>
  <c r="AF32" i="25"/>
  <c r="AF31" i="25"/>
  <c r="AF30" i="25"/>
  <c r="AF29" i="25"/>
  <c r="H15" i="25"/>
  <c r="H24" i="25" s="1"/>
  <c r="I34" i="25"/>
  <c r="E95" i="22"/>
  <c r="D129" i="22"/>
  <c r="E139" i="22"/>
  <c r="D172" i="22"/>
  <c r="E143" i="22"/>
  <c r="AK265" i="23"/>
  <c r="AK268" i="23"/>
  <c r="AK276" i="23"/>
  <c r="AK137" i="23"/>
  <c r="AK197" i="23" s="1"/>
  <c r="AK189" i="23"/>
  <c r="AK254" i="23"/>
  <c r="AK271" i="23" s="1"/>
  <c r="AK153" i="23"/>
  <c r="AK194" i="23"/>
  <c r="AK27" i="23"/>
  <c r="AK29" i="23"/>
  <c r="I194" i="23"/>
  <c r="I153" i="23"/>
  <c r="H257" i="23"/>
  <c r="H258" i="23"/>
  <c r="J213" i="23"/>
  <c r="J217" i="23"/>
  <c r="AI213" i="23"/>
  <c r="AJ26" i="23"/>
  <c r="AJ41" i="23"/>
  <c r="J153" i="23"/>
  <c r="J194" i="23"/>
  <c r="I254" i="23"/>
  <c r="AF137" i="23"/>
  <c r="AF197" i="23" s="1"/>
  <c r="J254" i="23"/>
  <c r="J271" i="23" s="1"/>
  <c r="J189" i="23"/>
  <c r="J137" i="23"/>
  <c r="J197" i="23" s="1"/>
  <c r="J245" i="23"/>
  <c r="J180" i="23"/>
  <c r="AF254" i="23"/>
  <c r="AI217" i="23"/>
  <c r="J268" i="23"/>
  <c r="J276" i="23"/>
  <c r="J265" i="23"/>
  <c r="F235" i="22"/>
  <c r="E195" i="22"/>
  <c r="F195" i="22" s="1"/>
  <c r="AH194" i="23"/>
  <c r="AH254" i="23"/>
  <c r="AH271" i="23" s="1"/>
  <c r="AD153" i="23"/>
  <c r="I137" i="23"/>
  <c r="I197" i="23" s="1"/>
  <c r="I189" i="23"/>
  <c r="AG194" i="23"/>
  <c r="AE142" i="23"/>
  <c r="AE202" i="23" s="1"/>
  <c r="AG86" i="23"/>
  <c r="AI86" i="23"/>
  <c r="AG265" i="23"/>
  <c r="AG268" i="23"/>
  <c r="AG189" i="23"/>
  <c r="AH189" i="23"/>
  <c r="AG254" i="23"/>
  <c r="AG271" i="23" s="1"/>
  <c r="C393" i="22"/>
  <c r="C395" i="22" s="1"/>
  <c r="E395" i="22" s="1"/>
  <c r="AH27" i="23"/>
  <c r="AH29" i="23"/>
  <c r="F238" i="22"/>
  <c r="AH86" i="23"/>
  <c r="AD27" i="23"/>
  <c r="E276" i="22"/>
  <c r="F276" i="22" s="1"/>
  <c r="H261" i="23"/>
  <c r="AF252" i="23"/>
  <c r="AD29" i="23"/>
  <c r="AF263" i="23"/>
  <c r="AF269" i="23" s="1"/>
  <c r="AG228" i="23"/>
  <c r="AG29" i="23"/>
  <c r="AG27" i="23"/>
  <c r="AD276" i="23"/>
  <c r="AF152" i="23"/>
  <c r="AF211" i="23"/>
  <c r="AF212" i="23"/>
  <c r="AE151" i="23"/>
  <c r="AE216" i="23" s="1"/>
  <c r="AF214" i="23"/>
  <c r="AF151" i="23"/>
  <c r="AF216" i="23" s="1"/>
  <c r="AF187" i="23"/>
  <c r="AF202" i="23"/>
  <c r="AF134" i="23"/>
  <c r="AF131" i="23"/>
  <c r="AF191" i="23" s="1"/>
  <c r="AF49" i="23"/>
  <c r="AF86" i="23"/>
  <c r="AF51" i="23"/>
  <c r="AF26" i="23"/>
  <c r="AF41" i="23"/>
  <c r="AE134" i="23"/>
  <c r="AE194" i="23" s="1"/>
  <c r="I227" i="23"/>
  <c r="I263" i="23" s="1"/>
  <c r="I244" i="23"/>
  <c r="I240" i="23"/>
  <c r="I235" i="23"/>
  <c r="I231" i="23"/>
  <c r="I242" i="23"/>
  <c r="I237" i="23"/>
  <c r="I234" i="23"/>
  <c r="I247" i="23"/>
  <c r="I243" i="23"/>
  <c r="I233" i="23"/>
  <c r="I236" i="23"/>
  <c r="I241" i="23"/>
  <c r="I232" i="23"/>
  <c r="I238" i="23"/>
  <c r="I224" i="23"/>
  <c r="J225" i="23" s="1"/>
  <c r="I239" i="23"/>
  <c r="AE187" i="23"/>
  <c r="I245" i="23"/>
  <c r="AD189" i="23"/>
  <c r="I248" i="23"/>
  <c r="I183" i="23"/>
  <c r="I246" i="23"/>
  <c r="I181" i="23"/>
  <c r="AE252" i="23"/>
  <c r="AE125" i="23"/>
  <c r="AE131" i="23"/>
  <c r="AE191" i="23" s="1"/>
  <c r="AE27" i="23"/>
  <c r="AE29" i="23"/>
  <c r="E390" i="22"/>
  <c r="E393" i="22" s="1"/>
  <c r="AC229" i="23"/>
  <c r="C397" i="22"/>
  <c r="C410" i="22"/>
  <c r="D409" i="22"/>
  <c r="D410" i="22" s="1"/>
  <c r="C403" i="22"/>
  <c r="D401" i="22"/>
  <c r="D403" i="22" s="1"/>
  <c r="E423" i="22"/>
  <c r="E422" i="22"/>
  <c r="E421" i="22"/>
  <c r="E418" i="22"/>
  <c r="E417" i="22"/>
  <c r="AC127" i="23"/>
  <c r="AC149" i="23"/>
  <c r="AC214" i="23" s="1"/>
  <c r="AC250" i="23"/>
  <c r="AC185" i="23"/>
  <c r="AC51" i="23"/>
  <c r="AC49" i="23"/>
  <c r="AC26" i="23"/>
  <c r="AC41" i="23"/>
  <c r="E425" i="22"/>
  <c r="D446" i="22"/>
  <c r="E419" i="22"/>
  <c r="D447" i="22"/>
  <c r="E426" i="22"/>
  <c r="E427" i="22"/>
  <c r="C429" i="22"/>
  <c r="AB55" i="25"/>
  <c r="AB52" i="25"/>
  <c r="AB13" i="25"/>
  <c r="AB44" i="25"/>
  <c r="AB46" i="25" s="1"/>
  <c r="H56" i="25"/>
  <c r="E107" i="22" l="1"/>
  <c r="H65" i="25"/>
  <c r="H62" i="25"/>
  <c r="H66" i="25" s="1"/>
  <c r="AF74" i="25"/>
  <c r="AF71" i="25"/>
  <c r="H57" i="25"/>
  <c r="H64" i="25"/>
  <c r="H63" i="25"/>
  <c r="H61" i="25"/>
  <c r="H60" i="25"/>
  <c r="I75" i="25"/>
  <c r="H23" i="25"/>
  <c r="H19" i="25"/>
  <c r="H20" i="25"/>
  <c r="H21" i="25"/>
  <c r="H22" i="25"/>
  <c r="H25" i="25"/>
  <c r="H26" i="25" s="1"/>
  <c r="I36" i="25"/>
  <c r="H16" i="25"/>
  <c r="AB15" i="25"/>
  <c r="AB24" i="25" s="1"/>
  <c r="AF34" i="25"/>
  <c r="E110" i="22"/>
  <c r="F110" i="22" s="1"/>
  <c r="F107" i="22"/>
  <c r="H259" i="23"/>
  <c r="E151" i="22"/>
  <c r="AJ89" i="23"/>
  <c r="AK89" i="23"/>
  <c r="AJ27" i="23"/>
  <c r="I265" i="23"/>
  <c r="J228" i="23"/>
  <c r="J248" i="23"/>
  <c r="J183" i="23"/>
  <c r="J246" i="23"/>
  <c r="J181" i="23"/>
  <c r="AC125" i="23"/>
  <c r="AC189" i="23" s="1"/>
  <c r="AC142" i="23"/>
  <c r="AC202" i="23" s="1"/>
  <c r="AH89" i="23"/>
  <c r="AI89" i="23"/>
  <c r="AC134" i="23"/>
  <c r="AC153" i="23" s="1"/>
  <c r="AC187" i="23"/>
  <c r="AC131" i="23"/>
  <c r="AC191" i="23" s="1"/>
  <c r="AG89" i="23"/>
  <c r="AF271" i="23"/>
  <c r="AF266" i="23"/>
  <c r="AF265" i="23"/>
  <c r="AF276" i="23"/>
  <c r="AF268" i="23"/>
  <c r="I273" i="23"/>
  <c r="I274" i="23"/>
  <c r="I269" i="23"/>
  <c r="I266" i="23"/>
  <c r="I268" i="23"/>
  <c r="I271" i="23"/>
  <c r="AE276" i="23"/>
  <c r="AF217" i="23"/>
  <c r="AF218" i="23"/>
  <c r="AE153" i="23"/>
  <c r="AF213" i="23"/>
  <c r="AF153" i="23"/>
  <c r="AF194" i="23"/>
  <c r="AB56" i="25"/>
  <c r="AF29" i="23"/>
  <c r="AF27" i="23"/>
  <c r="AF89" i="23"/>
  <c r="AE189" i="23"/>
  <c r="I229" i="23"/>
  <c r="AC151" i="23"/>
  <c r="AC216" i="23" s="1"/>
  <c r="AE254" i="23"/>
  <c r="E429" i="22"/>
  <c r="AC252" i="23"/>
  <c r="AC29" i="23"/>
  <c r="AC27" i="23"/>
  <c r="C448" i="22"/>
  <c r="AB65" i="25" l="1"/>
  <c r="AB62" i="25"/>
  <c r="AF75" i="25"/>
  <c r="AB61" i="25"/>
  <c r="AB60" i="25"/>
  <c r="AB64" i="25"/>
  <c r="AB63" i="25"/>
  <c r="AB25" i="25"/>
  <c r="AB26" i="25" s="1"/>
  <c r="AB23" i="25"/>
  <c r="AB21" i="25"/>
  <c r="AB19" i="25"/>
  <c r="AB20" i="25"/>
  <c r="AB22" i="25"/>
  <c r="AF36" i="25"/>
  <c r="F151" i="22"/>
  <c r="E154" i="22"/>
  <c r="F154" i="22" s="1"/>
  <c r="AC194" i="23"/>
  <c r="AC254" i="23"/>
  <c r="AC276" i="23"/>
  <c r="C449" i="22"/>
  <c r="D448" i="22"/>
  <c r="D449" i="22" s="1"/>
  <c r="AB66" i="25" l="1"/>
  <c r="H40" i="23"/>
  <c r="AB221" i="23"/>
  <c r="AB210" i="23"/>
  <c r="AB205" i="23"/>
  <c r="AB156" i="23"/>
  <c r="AB145" i="23"/>
  <c r="AB129" i="23"/>
  <c r="AB126" i="23"/>
  <c r="AB261" i="23" s="1"/>
  <c r="AB122" i="23"/>
  <c r="AB113" i="23"/>
  <c r="AB258" i="23" s="1"/>
  <c r="AB112" i="23"/>
  <c r="AB257" i="23" s="1"/>
  <c r="AB107" i="23"/>
  <c r="AB98" i="23"/>
  <c r="AB97" i="23"/>
  <c r="AB96" i="23"/>
  <c r="AB95" i="23"/>
  <c r="AB93" i="23"/>
  <c r="AB83" i="23"/>
  <c r="AB59" i="23"/>
  <c r="AB52" i="23"/>
  <c r="AF53" i="23" s="1"/>
  <c r="AF163" i="23" s="1"/>
  <c r="AB46" i="23"/>
  <c r="AB44" i="23"/>
  <c r="AB25" i="23"/>
  <c r="AB22" i="23"/>
  <c r="AB21" i="23"/>
  <c r="AB20" i="23"/>
  <c r="AB17" i="23"/>
  <c r="AB16" i="23"/>
  <c r="AB15" i="23"/>
  <c r="AB14" i="23"/>
  <c r="AB13" i="23"/>
  <c r="AB9" i="23"/>
  <c r="AB7" i="23"/>
  <c r="H221" i="23"/>
  <c r="H210" i="23"/>
  <c r="H182" i="23"/>
  <c r="H177" i="23"/>
  <c r="H176" i="23"/>
  <c r="H173" i="23"/>
  <c r="H172" i="23"/>
  <c r="H169" i="23"/>
  <c r="H168" i="23"/>
  <c r="H162" i="23"/>
  <c r="H159" i="23"/>
  <c r="I160" i="23" s="1"/>
  <c r="H156" i="23"/>
  <c r="H145" i="23"/>
  <c r="H129" i="23"/>
  <c r="H251" i="23"/>
  <c r="H117" i="23"/>
  <c r="H114" i="23"/>
  <c r="H109" i="23"/>
  <c r="H104" i="23"/>
  <c r="H103" i="23"/>
  <c r="H102" i="23"/>
  <c r="H99" i="23"/>
  <c r="H93" i="23"/>
  <c r="H88" i="23"/>
  <c r="H87" i="23"/>
  <c r="H147" i="23" s="1"/>
  <c r="H84" i="23"/>
  <c r="H146" i="23" s="1"/>
  <c r="H83" i="23"/>
  <c r="H90" i="23"/>
  <c r="H60" i="23"/>
  <c r="H64" i="23" s="1"/>
  <c r="H59" i="23"/>
  <c r="H54" i="23"/>
  <c r="H164" i="23" s="1"/>
  <c r="H53" i="23"/>
  <c r="H163" i="23" s="1"/>
  <c r="H44" i="23"/>
  <c r="H37" i="23"/>
  <c r="H36" i="23"/>
  <c r="H35" i="23"/>
  <c r="H34" i="23"/>
  <c r="H33" i="23"/>
  <c r="H32" i="23"/>
  <c r="AB28" i="23"/>
  <c r="H10" i="23"/>
  <c r="H8" i="23"/>
  <c r="X90" i="23"/>
  <c r="T90" i="23"/>
  <c r="T65" i="23"/>
  <c r="X65" i="23"/>
  <c r="U90" i="23"/>
  <c r="Y65" i="23"/>
  <c r="Y56" i="23" s="1"/>
  <c r="U65" i="23"/>
  <c r="U56" i="23" s="1"/>
  <c r="V90" i="23"/>
  <c r="W90" i="23"/>
  <c r="AA90" i="23"/>
  <c r="Z90" i="23"/>
  <c r="Z65" i="23"/>
  <c r="Z56" i="23" s="1"/>
  <c r="V65" i="23"/>
  <c r="V56" i="23" s="1"/>
  <c r="AA65" i="23"/>
  <c r="AA56" i="23" s="1"/>
  <c r="W65" i="23"/>
  <c r="W56" i="23" s="1"/>
  <c r="W91" i="23"/>
  <c r="C509" i="22"/>
  <c r="C506" i="22"/>
  <c r="C516" i="22" s="1"/>
  <c r="E460" i="22"/>
  <c r="I489" i="22"/>
  <c r="E495" i="22" s="1"/>
  <c r="C482" i="22"/>
  <c r="C477" i="22"/>
  <c r="C463" i="22"/>
  <c r="I459" i="22"/>
  <c r="C459" i="22"/>
  <c r="C455" i="22"/>
  <c r="AA55" i="25"/>
  <c r="AA52" i="25"/>
  <c r="AA44" i="25"/>
  <c r="AA46" i="25" s="1"/>
  <c r="AA13" i="25"/>
  <c r="AA108" i="23"/>
  <c r="AA186" i="23"/>
  <c r="AA95" i="23"/>
  <c r="AA221" i="23"/>
  <c r="AA210" i="23"/>
  <c r="AA227" i="23"/>
  <c r="AA162" i="23"/>
  <c r="AA159" i="23"/>
  <c r="AE160" i="23" s="1"/>
  <c r="AA156" i="23"/>
  <c r="AA145" i="23"/>
  <c r="AA129" i="23"/>
  <c r="AA117" i="23"/>
  <c r="AA114" i="23"/>
  <c r="AA104" i="23"/>
  <c r="AA103" i="23"/>
  <c r="AA102" i="23"/>
  <c r="AA99" i="23"/>
  <c r="AA93" i="23"/>
  <c r="AA83" i="23"/>
  <c r="AA59" i="23"/>
  <c r="AA54" i="23"/>
  <c r="AA164" i="23" s="1"/>
  <c r="AA53" i="23"/>
  <c r="AA163" i="23" s="1"/>
  <c r="AA44" i="23"/>
  <c r="AA40" i="23"/>
  <c r="AA37" i="23"/>
  <c r="AA36" i="23"/>
  <c r="AA35" i="23"/>
  <c r="AA34" i="23"/>
  <c r="AA33" i="23"/>
  <c r="AA32" i="23"/>
  <c r="AA10" i="23"/>
  <c r="AA8" i="23"/>
  <c r="C544" i="22"/>
  <c r="C524" i="22"/>
  <c r="C525" i="22" s="1"/>
  <c r="C507" i="22"/>
  <c r="C520" i="22"/>
  <c r="C515" i="22"/>
  <c r="C501" i="22"/>
  <c r="I497" i="22"/>
  <c r="C497" i="22"/>
  <c r="C493" i="22"/>
  <c r="Z55" i="25"/>
  <c r="Z52" i="25"/>
  <c r="Z44" i="25"/>
  <c r="Z46" i="25" s="1"/>
  <c r="Z13" i="25"/>
  <c r="AB259" i="23" l="1"/>
  <c r="AF8" i="23"/>
  <c r="AB56" i="23"/>
  <c r="AE74" i="25"/>
  <c r="AE71" i="25"/>
  <c r="AD74" i="25"/>
  <c r="AD71" i="25"/>
  <c r="AA15" i="25"/>
  <c r="AA24" i="25" s="1"/>
  <c r="AE34" i="25"/>
  <c r="Z15" i="25"/>
  <c r="Z24" i="25" s="1"/>
  <c r="AD34" i="25"/>
  <c r="C431" i="22"/>
  <c r="C441" i="22" s="1"/>
  <c r="D441" i="22" s="1"/>
  <c r="AB120" i="23"/>
  <c r="AB251" i="23" s="1"/>
  <c r="AD38" i="23"/>
  <c r="AE38" i="23"/>
  <c r="AC38" i="23"/>
  <c r="AE39" i="23"/>
  <c r="AD39" i="23"/>
  <c r="AC39" i="23"/>
  <c r="W171" i="23"/>
  <c r="U171" i="23"/>
  <c r="AA236" i="23"/>
  <c r="AA171" i="23"/>
  <c r="Y171" i="23"/>
  <c r="Y236" i="23"/>
  <c r="AB235" i="23"/>
  <c r="AB237" i="23"/>
  <c r="AB238" i="23"/>
  <c r="AB239" i="23"/>
  <c r="AB236" i="23"/>
  <c r="Z171" i="23"/>
  <c r="Z236" i="23"/>
  <c r="X171" i="23"/>
  <c r="V171" i="23"/>
  <c r="V236" i="23"/>
  <c r="T171" i="23"/>
  <c r="C433" i="22"/>
  <c r="E433" i="22" s="1"/>
  <c r="AE228" i="23"/>
  <c r="H68" i="23"/>
  <c r="H74" i="23" s="1"/>
  <c r="H75" i="23" s="1"/>
  <c r="H81" i="23" s="1"/>
  <c r="AE87" i="23"/>
  <c r="AE84" i="23"/>
  <c r="AE207" i="23"/>
  <c r="AA11" i="23"/>
  <c r="AA19" i="23"/>
  <c r="AA24" i="23" s="1"/>
  <c r="AA26" i="23" s="1"/>
  <c r="H19" i="23"/>
  <c r="H47" i="25" s="1"/>
  <c r="AD87" i="23"/>
  <c r="C357" i="22" s="1"/>
  <c r="AC87" i="23"/>
  <c r="AD84" i="23"/>
  <c r="AC84" i="23"/>
  <c r="AD207" i="23"/>
  <c r="AC207" i="23"/>
  <c r="I414" i="22"/>
  <c r="AB224" i="23"/>
  <c r="AF225" i="23" s="1"/>
  <c r="AB16" i="25"/>
  <c r="AB57" i="25"/>
  <c r="AB114" i="23"/>
  <c r="AB207" i="23"/>
  <c r="H205" i="23"/>
  <c r="H243" i="23" s="1"/>
  <c r="AB23" i="23"/>
  <c r="AB227" i="23"/>
  <c r="AA56" i="25"/>
  <c r="AB37" i="23"/>
  <c r="AB159" i="23"/>
  <c r="AF160" i="23" s="1"/>
  <c r="AB33" i="23"/>
  <c r="AB103" i="23"/>
  <c r="AB10" i="23"/>
  <c r="AB102" i="23"/>
  <c r="AB34" i="23"/>
  <c r="AB104" i="23"/>
  <c r="AB35" i="23"/>
  <c r="AB117" i="23"/>
  <c r="AB32" i="23"/>
  <c r="AB36" i="23"/>
  <c r="AB84" i="23"/>
  <c r="AB146" i="23" s="1"/>
  <c r="AB108" i="23"/>
  <c r="AB109" i="23" s="1"/>
  <c r="AB99" i="23"/>
  <c r="AB54" i="23"/>
  <c r="AB164" i="23" s="1"/>
  <c r="AB162" i="23"/>
  <c r="AB87" i="23"/>
  <c r="AA109" i="23"/>
  <c r="H11" i="23"/>
  <c r="E468" i="22"/>
  <c r="H100" i="23"/>
  <c r="AA118" i="23"/>
  <c r="H139" i="23"/>
  <c r="H199" i="23" s="1"/>
  <c r="H140" i="23"/>
  <c r="H200" i="23" s="1"/>
  <c r="H171" i="23"/>
  <c r="H150" i="23"/>
  <c r="H215" i="23" s="1"/>
  <c r="H148" i="23"/>
  <c r="H166" i="23"/>
  <c r="E469" i="22"/>
  <c r="H167" i="23"/>
  <c r="H118" i="23"/>
  <c r="H119" i="23" s="1"/>
  <c r="H186" i="23"/>
  <c r="H178" i="23"/>
  <c r="I460" i="22"/>
  <c r="C467" i="22"/>
  <c r="E471" i="22"/>
  <c r="E459" i="22"/>
  <c r="E463" i="22"/>
  <c r="E455" i="22"/>
  <c r="E461" i="22"/>
  <c r="D483" i="22"/>
  <c r="E456" i="22"/>
  <c r="C478" i="22"/>
  <c r="D484" i="22"/>
  <c r="E457" i="22"/>
  <c r="D485" i="22"/>
  <c r="E464" i="22"/>
  <c r="C479" i="22"/>
  <c r="D479" i="22" s="1"/>
  <c r="E465" i="22"/>
  <c r="AA251" i="23"/>
  <c r="E506" i="22"/>
  <c r="AA150" i="23"/>
  <c r="AA215" i="23" s="1"/>
  <c r="AA224" i="23"/>
  <c r="D523" i="22"/>
  <c r="E501" i="22"/>
  <c r="E502" i="22"/>
  <c r="E497" i="22"/>
  <c r="E509" i="22"/>
  <c r="D522" i="22"/>
  <c r="E503" i="22"/>
  <c r="E507" i="22"/>
  <c r="E493" i="22"/>
  <c r="I498" i="22"/>
  <c r="D516" i="22"/>
  <c r="C505" i="22"/>
  <c r="E499" i="22"/>
  <c r="D521" i="22"/>
  <c r="C517" i="22"/>
  <c r="D517" i="22" s="1"/>
  <c r="D524" i="22"/>
  <c r="E498" i="22"/>
  <c r="E494" i="22"/>
  <c r="Z56" i="25"/>
  <c r="Z108" i="23"/>
  <c r="Z118" i="23" s="1"/>
  <c r="Z95" i="23"/>
  <c r="Z227" i="23"/>
  <c r="Z224" i="23"/>
  <c r="AD225" i="23" s="1"/>
  <c r="Z221" i="23"/>
  <c r="Z210" i="23"/>
  <c r="Z186" i="23"/>
  <c r="Z162" i="23"/>
  <c r="Z159" i="23"/>
  <c r="AD160" i="23" s="1"/>
  <c r="Z156" i="23"/>
  <c r="Z145" i="23"/>
  <c r="Z129" i="23"/>
  <c r="Z150" i="23"/>
  <c r="Z215" i="23" s="1"/>
  <c r="Z117" i="23"/>
  <c r="Z114" i="23"/>
  <c r="Z104" i="23"/>
  <c r="Z103" i="23"/>
  <c r="Z102" i="23"/>
  <c r="Z99" i="23"/>
  <c r="Z93" i="23"/>
  <c r="Z83" i="23"/>
  <c r="Z59" i="23"/>
  <c r="Z54" i="23"/>
  <c r="Z164" i="23" s="1"/>
  <c r="Z53" i="23"/>
  <c r="Z163" i="23" s="1"/>
  <c r="Z44" i="23"/>
  <c r="Z40" i="23"/>
  <c r="Z37" i="23"/>
  <c r="Z36" i="23"/>
  <c r="Z35" i="23"/>
  <c r="Z34" i="23"/>
  <c r="Z33" i="23"/>
  <c r="Z32" i="23"/>
  <c r="Z10" i="23"/>
  <c r="Z8" i="23"/>
  <c r="I528" i="22"/>
  <c r="I527" i="22"/>
  <c r="C547" i="22"/>
  <c r="C545" i="22"/>
  <c r="Y44" i="25"/>
  <c r="AA57" i="25" l="1"/>
  <c r="AA65" i="25"/>
  <c r="AA62" i="25"/>
  <c r="AA66" i="25" s="1"/>
  <c r="AA64" i="25"/>
  <c r="AA63" i="25"/>
  <c r="AA61" i="25"/>
  <c r="AA60" i="25"/>
  <c r="AE75" i="25"/>
  <c r="Z57" i="25"/>
  <c r="Z65" i="25"/>
  <c r="Z62" i="25"/>
  <c r="Z66" i="25" s="1"/>
  <c r="Z64" i="25"/>
  <c r="Z63" i="25"/>
  <c r="Z61" i="25"/>
  <c r="Z60" i="25"/>
  <c r="AD75" i="25"/>
  <c r="AE36" i="25"/>
  <c r="AA19" i="25"/>
  <c r="AA20" i="25"/>
  <c r="AA21" i="25"/>
  <c r="AA22" i="25"/>
  <c r="AA23" i="25"/>
  <c r="AA25" i="25"/>
  <c r="AA26" i="25" s="1"/>
  <c r="AA16" i="25"/>
  <c r="AD36" i="25"/>
  <c r="Z19" i="25"/>
  <c r="Z20" i="25"/>
  <c r="Z21" i="25"/>
  <c r="Z22" i="25"/>
  <c r="Z23" i="25"/>
  <c r="Z25" i="25"/>
  <c r="Z26" i="25" s="1"/>
  <c r="Z16" i="25"/>
  <c r="E431" i="22"/>
  <c r="AB186" i="23"/>
  <c r="AB39" i="23"/>
  <c r="AB150" i="23"/>
  <c r="AB215" i="23" s="1"/>
  <c r="C430" i="22"/>
  <c r="C440" i="22" s="1"/>
  <c r="H38" i="23"/>
  <c r="H123" i="23"/>
  <c r="H142" i="23" s="1"/>
  <c r="C432" i="22"/>
  <c r="C434" i="22" s="1"/>
  <c r="E434" i="22" s="1"/>
  <c r="H45" i="23"/>
  <c r="H47" i="23" s="1"/>
  <c r="I48" i="23" s="1"/>
  <c r="AD228" i="23"/>
  <c r="AC263" i="23"/>
  <c r="AF228" i="23"/>
  <c r="AE263" i="23"/>
  <c r="AD263" i="23"/>
  <c r="H241" i="23"/>
  <c r="H85" i="23"/>
  <c r="I211" i="23"/>
  <c r="I212" i="23"/>
  <c r="H236" i="23"/>
  <c r="H24" i="23"/>
  <c r="H26" i="23" s="1"/>
  <c r="AA229" i="23"/>
  <c r="AE225" i="23"/>
  <c r="AE146" i="23"/>
  <c r="AE211" i="23" s="1"/>
  <c r="AE100" i="23"/>
  <c r="H237" i="23"/>
  <c r="AE147" i="23"/>
  <c r="C318" i="22"/>
  <c r="AE135" i="23"/>
  <c r="AE132" i="23"/>
  <c r="AE192" i="23" s="1"/>
  <c r="AE137" i="23"/>
  <c r="AE197" i="23" s="1"/>
  <c r="H227" i="23"/>
  <c r="H263" i="23" s="1"/>
  <c r="H233" i="23"/>
  <c r="H242" i="23"/>
  <c r="H234" i="23"/>
  <c r="H224" i="23"/>
  <c r="I225" i="23" s="1"/>
  <c r="H231" i="23"/>
  <c r="H247" i="23"/>
  <c r="H238" i="23"/>
  <c r="H240" i="23"/>
  <c r="E357" i="22"/>
  <c r="D351" i="22"/>
  <c r="D354" i="22"/>
  <c r="H232" i="23"/>
  <c r="AB229" i="23"/>
  <c r="AC147" i="23"/>
  <c r="C396" i="22"/>
  <c r="AC135" i="23"/>
  <c r="AC132" i="23"/>
  <c r="AC192" i="23" s="1"/>
  <c r="AC137" i="23"/>
  <c r="AC197" i="23" s="1"/>
  <c r="AD147" i="23"/>
  <c r="AD135" i="23"/>
  <c r="AD132" i="23"/>
  <c r="AD192" i="23" s="1"/>
  <c r="AD137" i="23"/>
  <c r="AD197" i="23" s="1"/>
  <c r="Z11" i="23"/>
  <c r="Z19" i="23"/>
  <c r="Z47" i="25" s="1"/>
  <c r="AB19" i="23"/>
  <c r="AC146" i="23"/>
  <c r="AC211" i="23" s="1"/>
  <c r="AC100" i="23"/>
  <c r="AD146" i="23"/>
  <c r="AD211" i="23" s="1"/>
  <c r="AD100" i="23"/>
  <c r="H77" i="23"/>
  <c r="AB147" i="23"/>
  <c r="AB212" i="23" s="1"/>
  <c r="C435" i="22"/>
  <c r="C486" i="22"/>
  <c r="C487" i="22" s="1"/>
  <c r="AB211" i="23"/>
  <c r="AB40" i="23"/>
  <c r="AB118" i="23"/>
  <c r="H207" i="23"/>
  <c r="AB11" i="23"/>
  <c r="AB100" i="23"/>
  <c r="AA119" i="23"/>
  <c r="AA123" i="23" s="1"/>
  <c r="H235" i="23"/>
  <c r="H170" i="23"/>
  <c r="E467" i="22"/>
  <c r="E470" i="22" s="1"/>
  <c r="H175" i="23"/>
  <c r="H244" i="23"/>
  <c r="H179" i="23"/>
  <c r="H149" i="23"/>
  <c r="H135" i="23"/>
  <c r="H250" i="23"/>
  <c r="H185" i="23"/>
  <c r="H132" i="23"/>
  <c r="H192" i="23" s="1"/>
  <c r="H127" i="23"/>
  <c r="AA47" i="25"/>
  <c r="H91" i="23"/>
  <c r="H239" i="23"/>
  <c r="H174" i="23"/>
  <c r="C470" i="22"/>
  <c r="C480" i="22"/>
  <c r="D478" i="22"/>
  <c r="D480" i="22" s="1"/>
  <c r="AA45" i="23"/>
  <c r="AA47" i="23" s="1"/>
  <c r="AE48" i="23" s="1"/>
  <c r="AA41" i="23"/>
  <c r="AA29" i="23"/>
  <c r="AA27" i="23"/>
  <c r="D525" i="22"/>
  <c r="D518" i="22"/>
  <c r="C518" i="22"/>
  <c r="E505" i="22"/>
  <c r="C508" i="22"/>
  <c r="Z229" i="23"/>
  <c r="Z119" i="23"/>
  <c r="Z123" i="23" s="1"/>
  <c r="Z109" i="23"/>
  <c r="Z251" i="23"/>
  <c r="Y108" i="23"/>
  <c r="Y109" i="23" s="1"/>
  <c r="Y95" i="23"/>
  <c r="Y55" i="25"/>
  <c r="Y52" i="25"/>
  <c r="Y46" i="25"/>
  <c r="Y13" i="25"/>
  <c r="C553" i="22"/>
  <c r="E547" i="22"/>
  <c r="E545" i="22"/>
  <c r="E544" i="22"/>
  <c r="C539" i="22"/>
  <c r="E539" i="22" s="1"/>
  <c r="I535" i="22"/>
  <c r="I536" i="22" s="1"/>
  <c r="C535" i="22"/>
  <c r="E535" i="22" s="1"/>
  <c r="C531" i="22"/>
  <c r="E531" i="22" s="1"/>
  <c r="E536" i="22"/>
  <c r="Y227" i="23"/>
  <c r="Y221" i="23"/>
  <c r="Y210" i="23"/>
  <c r="Y224" i="23"/>
  <c r="AC225" i="23" s="1"/>
  <c r="Y162" i="23"/>
  <c r="Y159" i="23"/>
  <c r="AC160" i="23" s="1"/>
  <c r="Y156" i="23"/>
  <c r="Y145" i="23"/>
  <c r="Y129" i="23"/>
  <c r="Y251" i="23"/>
  <c r="Y117" i="23"/>
  <c r="Y114" i="23"/>
  <c r="Y104" i="23"/>
  <c r="Y103" i="23"/>
  <c r="Y102" i="23"/>
  <c r="Y99" i="23"/>
  <c r="Y93" i="23"/>
  <c r="Y83" i="23"/>
  <c r="Y59" i="23"/>
  <c r="Y54" i="23"/>
  <c r="Y164" i="23" s="1"/>
  <c r="Y53" i="23"/>
  <c r="Y163" i="23" s="1"/>
  <c r="Y44" i="23"/>
  <c r="Y40" i="23"/>
  <c r="Y37" i="23"/>
  <c r="Y36" i="23"/>
  <c r="Y35" i="23"/>
  <c r="Y34" i="23"/>
  <c r="Y33" i="23"/>
  <c r="Y32" i="23"/>
  <c r="Y10" i="23"/>
  <c r="Y8" i="23"/>
  <c r="Q8" i="23"/>
  <c r="R8" i="23"/>
  <c r="S8" i="23"/>
  <c r="U8" i="23"/>
  <c r="V8" i="23"/>
  <c r="W8" i="23"/>
  <c r="G8" i="23"/>
  <c r="F8" i="23"/>
  <c r="E8" i="23"/>
  <c r="D8" i="23"/>
  <c r="C741" i="22"/>
  <c r="C752" i="22" s="1"/>
  <c r="C678" i="22"/>
  <c r="C688" i="22" s="1"/>
  <c r="C647" i="22"/>
  <c r="C657" i="22" s="1"/>
  <c r="C616" i="22"/>
  <c r="C626" i="22" s="1"/>
  <c r="G182" i="23"/>
  <c r="G177" i="23"/>
  <c r="G176" i="23"/>
  <c r="G173" i="23"/>
  <c r="G172" i="23"/>
  <c r="G169" i="23"/>
  <c r="G168" i="23"/>
  <c r="X122" i="23"/>
  <c r="T122" i="23"/>
  <c r="P122" i="23"/>
  <c r="P120" i="23" s="1"/>
  <c r="C39" i="23"/>
  <c r="D39" i="23"/>
  <c r="E39" i="23"/>
  <c r="F39" i="23"/>
  <c r="G39" i="23"/>
  <c r="G61" i="23"/>
  <c r="G88" i="23"/>
  <c r="G87" i="23"/>
  <c r="G84" i="23"/>
  <c r="G72" i="23"/>
  <c r="G178" i="23" s="1"/>
  <c r="G65" i="23"/>
  <c r="G60" i="23"/>
  <c r="G166" i="23" s="1"/>
  <c r="D102" i="23"/>
  <c r="W102" i="23"/>
  <c r="V102" i="23"/>
  <c r="U102" i="23"/>
  <c r="S102" i="23"/>
  <c r="R102" i="23"/>
  <c r="Q102" i="23"/>
  <c r="O102" i="23"/>
  <c r="N102" i="23"/>
  <c r="M102" i="23"/>
  <c r="C594" i="22"/>
  <c r="C595" i="22" s="1"/>
  <c r="C590" i="22"/>
  <c r="F72" i="23"/>
  <c r="F178" i="23" s="1"/>
  <c r="F70" i="23"/>
  <c r="F65" i="23"/>
  <c r="F61" i="23"/>
  <c r="F168" i="23"/>
  <c r="F169" i="23"/>
  <c r="F172" i="23"/>
  <c r="F173" i="23"/>
  <c r="F177" i="23"/>
  <c r="F182" i="23"/>
  <c r="F88" i="23"/>
  <c r="F60" i="23"/>
  <c r="F167" i="23" l="1"/>
  <c r="F57" i="23"/>
  <c r="F69" i="23"/>
  <c r="F56" i="23"/>
  <c r="G90" i="23"/>
  <c r="G56" i="23"/>
  <c r="G167" i="23"/>
  <c r="G57" i="23"/>
  <c r="AC74" i="25"/>
  <c r="AC71" i="25"/>
  <c r="AC34" i="25"/>
  <c r="D440" i="22"/>
  <c r="D442" i="22" s="1"/>
  <c r="C442" i="22"/>
  <c r="I422" i="22"/>
  <c r="H49" i="23"/>
  <c r="H51" i="23"/>
  <c r="C709" i="22"/>
  <c r="C720" i="22" s="1"/>
  <c r="T120" i="23"/>
  <c r="C577" i="22"/>
  <c r="C587" i="22" s="1"/>
  <c r="X120" i="23"/>
  <c r="E430" i="22"/>
  <c r="E432" i="22" s="1"/>
  <c r="D432" i="22"/>
  <c r="H86" i="23"/>
  <c r="C512" i="22"/>
  <c r="AA149" i="23"/>
  <c r="AA214" i="23" s="1"/>
  <c r="AB213" i="23"/>
  <c r="AC228" i="23"/>
  <c r="AB263" i="23"/>
  <c r="AE271" i="23"/>
  <c r="AE269" i="23"/>
  <c r="AE266" i="23"/>
  <c r="AE268" i="23"/>
  <c r="AE265" i="23"/>
  <c r="I228" i="23"/>
  <c r="H269" i="23"/>
  <c r="AD269" i="23"/>
  <c r="AD266" i="23"/>
  <c r="AD268" i="23"/>
  <c r="AD271" i="23"/>
  <c r="AD265" i="23"/>
  <c r="AC269" i="23"/>
  <c r="AC266" i="23"/>
  <c r="AC271" i="23"/>
  <c r="AC268" i="23"/>
  <c r="AC265" i="23"/>
  <c r="H229" i="23"/>
  <c r="I213" i="23"/>
  <c r="I217" i="23"/>
  <c r="I218" i="23"/>
  <c r="H41" i="23"/>
  <c r="AB45" i="23"/>
  <c r="AB47" i="23" s="1"/>
  <c r="AD86" i="23" s="1"/>
  <c r="AE85" i="23"/>
  <c r="AE152" i="23"/>
  <c r="AE195" i="23"/>
  <c r="E318" i="22"/>
  <c r="D312" i="22"/>
  <c r="D315" i="22"/>
  <c r="AE212" i="23"/>
  <c r="AE148" i="23"/>
  <c r="F351" i="22"/>
  <c r="F354" i="22"/>
  <c r="AB148" i="23"/>
  <c r="AA49" i="23"/>
  <c r="C474" i="22"/>
  <c r="AB47" i="25"/>
  <c r="AD152" i="23"/>
  <c r="AD195" i="23"/>
  <c r="AD85" i="23"/>
  <c r="AD212" i="23"/>
  <c r="AD148" i="23"/>
  <c r="Y19" i="23"/>
  <c r="AB85" i="23" s="1"/>
  <c r="E435" i="22"/>
  <c r="D429" i="22"/>
  <c r="AC85" i="23"/>
  <c r="AC152" i="23"/>
  <c r="AC195" i="23"/>
  <c r="AB24" i="23"/>
  <c r="AB26" i="23" s="1"/>
  <c r="E396" i="22"/>
  <c r="D390" i="22"/>
  <c r="D393" i="22"/>
  <c r="AC148" i="23"/>
  <c r="AC212" i="23"/>
  <c r="D486" i="22"/>
  <c r="D487" i="22" s="1"/>
  <c r="AA250" i="23"/>
  <c r="AA51" i="23"/>
  <c r="AB119" i="23"/>
  <c r="AB123" i="23" s="1"/>
  <c r="AA127" i="23"/>
  <c r="G140" i="23"/>
  <c r="G200" i="23" s="1"/>
  <c r="F171" i="23"/>
  <c r="AA185" i="23"/>
  <c r="G69" i="23"/>
  <c r="G175" i="23" s="1"/>
  <c r="F73" i="23"/>
  <c r="H89" i="23"/>
  <c r="H29" i="23"/>
  <c r="H27" i="23"/>
  <c r="F64" i="23"/>
  <c r="F68" i="23" s="1"/>
  <c r="F174" i="23" s="1"/>
  <c r="G171" i="23"/>
  <c r="H252" i="23"/>
  <c r="H245" i="23"/>
  <c r="H180" i="23"/>
  <c r="H152" i="23"/>
  <c r="H195" i="23"/>
  <c r="G64" i="23"/>
  <c r="G170" i="23" s="1"/>
  <c r="H187" i="23"/>
  <c r="H134" i="23"/>
  <c r="H125" i="23"/>
  <c r="AB125" i="23" s="1"/>
  <c r="H131" i="23"/>
  <c r="H191" i="23" s="1"/>
  <c r="H202" i="23"/>
  <c r="G139" i="23"/>
  <c r="G199" i="23" s="1"/>
  <c r="H214" i="23"/>
  <c r="H151" i="23"/>
  <c r="H216" i="23" s="1"/>
  <c r="C472" i="22"/>
  <c r="E472" i="22" s="1"/>
  <c r="G73" i="23"/>
  <c r="F166" i="23"/>
  <c r="Y15" i="25"/>
  <c r="C510" i="22"/>
  <c r="E510" i="22" s="1"/>
  <c r="E508" i="22"/>
  <c r="Z142" i="23"/>
  <c r="Z250" i="23"/>
  <c r="Z149" i="23"/>
  <c r="Z127" i="23"/>
  <c r="Z185" i="23"/>
  <c r="Z45" i="23"/>
  <c r="Z47" i="23" s="1"/>
  <c r="Z24" i="23"/>
  <c r="C543" i="22"/>
  <c r="Y56" i="25"/>
  <c r="Y62" i="25" s="1"/>
  <c r="Y229" i="23"/>
  <c r="Y118" i="23"/>
  <c r="Y119" i="23" s="1"/>
  <c r="Y123" i="23" s="1"/>
  <c r="E537" i="22"/>
  <c r="C554" i="22"/>
  <c r="E532" i="22"/>
  <c r="E533" i="22"/>
  <c r="C555" i="22"/>
  <c r="D555" i="22" s="1"/>
  <c r="E540" i="22"/>
  <c r="E541" i="22"/>
  <c r="Y150" i="23"/>
  <c r="Y215" i="23" s="1"/>
  <c r="Y11" i="23"/>
  <c r="Y186" i="23"/>
  <c r="F90" i="23"/>
  <c r="F176" i="23"/>
  <c r="F175" i="23"/>
  <c r="G108" i="23"/>
  <c r="G118" i="23" s="1"/>
  <c r="X54" i="25"/>
  <c r="X53" i="25"/>
  <c r="X51" i="25"/>
  <c r="X50" i="25"/>
  <c r="X42" i="25"/>
  <c r="X10" i="25"/>
  <c r="G95" i="23"/>
  <c r="X95" i="23" s="1"/>
  <c r="G28" i="23"/>
  <c r="X205" i="23"/>
  <c r="X206" i="23"/>
  <c r="G206" i="23" s="1"/>
  <c r="N103" i="23"/>
  <c r="O103" i="23"/>
  <c r="Q103" i="23"/>
  <c r="R103" i="23"/>
  <c r="S103" i="23"/>
  <c r="U103" i="23"/>
  <c r="V103" i="23"/>
  <c r="W103" i="23"/>
  <c r="N104" i="23"/>
  <c r="O104" i="23"/>
  <c r="Q104" i="23"/>
  <c r="R104" i="23"/>
  <c r="S104" i="23"/>
  <c r="U104" i="23"/>
  <c r="V104" i="23"/>
  <c r="W104" i="23"/>
  <c r="M104" i="23"/>
  <c r="M103" i="23"/>
  <c r="E102" i="23"/>
  <c r="F102" i="23"/>
  <c r="G102" i="23"/>
  <c r="D103" i="23"/>
  <c r="E103" i="23"/>
  <c r="F103" i="23"/>
  <c r="G103" i="23"/>
  <c r="D104" i="23"/>
  <c r="E104" i="23"/>
  <c r="F104" i="23"/>
  <c r="G104" i="23"/>
  <c r="C104" i="23"/>
  <c r="C103" i="23"/>
  <c r="C102" i="23"/>
  <c r="C585" i="22"/>
  <c r="C571" i="22"/>
  <c r="I567" i="22"/>
  <c r="C567" i="22"/>
  <c r="C563" i="22"/>
  <c r="X45" i="25"/>
  <c r="X43" i="25"/>
  <c r="X41" i="25"/>
  <c r="X40" i="25"/>
  <c r="X14" i="25"/>
  <c r="X12" i="25"/>
  <c r="X11" i="25"/>
  <c r="X9" i="25"/>
  <c r="X8" i="25"/>
  <c r="G55" i="25"/>
  <c r="G52" i="25"/>
  <c r="G44" i="25"/>
  <c r="G46" i="25" s="1"/>
  <c r="G13" i="25"/>
  <c r="X126" i="23"/>
  <c r="X113" i="23"/>
  <c r="X112" i="23"/>
  <c r="X107" i="23"/>
  <c r="X96" i="23"/>
  <c r="X97" i="23"/>
  <c r="X98" i="23"/>
  <c r="X52" i="23"/>
  <c r="X46" i="23"/>
  <c r="X25" i="23"/>
  <c r="X21" i="23"/>
  <c r="AA38" i="23" s="1"/>
  <c r="X22" i="23"/>
  <c r="X23" i="23"/>
  <c r="X20" i="23"/>
  <c r="X16" i="23"/>
  <c r="X17" i="23"/>
  <c r="X15" i="23"/>
  <c r="X14" i="23"/>
  <c r="X13" i="23"/>
  <c r="X9" i="23"/>
  <c r="X7" i="23"/>
  <c r="X56" i="23" s="1"/>
  <c r="X221" i="23"/>
  <c r="X210" i="23"/>
  <c r="X156" i="23"/>
  <c r="X145" i="23"/>
  <c r="X129" i="23"/>
  <c r="X93" i="23"/>
  <c r="X83" i="23"/>
  <c r="X59" i="23"/>
  <c r="X44" i="23"/>
  <c r="G221" i="23"/>
  <c r="G210" i="23"/>
  <c r="G162" i="23"/>
  <c r="G159" i="23"/>
  <c r="H160" i="23" s="1"/>
  <c r="G156" i="23"/>
  <c r="G145" i="23"/>
  <c r="G129" i="23"/>
  <c r="G117" i="23"/>
  <c r="G114" i="23"/>
  <c r="G99" i="23"/>
  <c r="G93" i="23"/>
  <c r="G147" i="23"/>
  <c r="G146" i="23"/>
  <c r="G83" i="23"/>
  <c r="G59" i="23"/>
  <c r="G54" i="23"/>
  <c r="G164" i="23" s="1"/>
  <c r="G53" i="23"/>
  <c r="G163" i="23" s="1"/>
  <c r="G44" i="23"/>
  <c r="G40" i="23"/>
  <c r="G37" i="23"/>
  <c r="G36" i="23"/>
  <c r="G35" i="23"/>
  <c r="G34" i="23"/>
  <c r="G33" i="23"/>
  <c r="G32" i="23"/>
  <c r="G10" i="23"/>
  <c r="G19" i="23" s="1"/>
  <c r="C618" i="22"/>
  <c r="C624" i="22"/>
  <c r="C610" i="22"/>
  <c r="I606" i="22"/>
  <c r="C606" i="22"/>
  <c r="C602" i="22"/>
  <c r="W55" i="25"/>
  <c r="W52" i="25"/>
  <c r="W44" i="25"/>
  <c r="W46" i="25" s="1"/>
  <c r="W13" i="25"/>
  <c r="W206" i="23"/>
  <c r="W205" i="23"/>
  <c r="W108" i="23"/>
  <c r="W118" i="23" s="1"/>
  <c r="W95" i="23"/>
  <c r="W117" i="23"/>
  <c r="W114" i="23"/>
  <c r="W99" i="23"/>
  <c r="W221" i="23"/>
  <c r="W210" i="23"/>
  <c r="W162" i="23"/>
  <c r="W159" i="23"/>
  <c r="W156" i="23"/>
  <c r="W145" i="23"/>
  <c r="W129" i="23"/>
  <c r="W93" i="23"/>
  <c r="W83" i="23"/>
  <c r="W59" i="23"/>
  <c r="W54" i="23"/>
  <c r="W164" i="23" s="1"/>
  <c r="W53" i="23"/>
  <c r="W163" i="23" s="1"/>
  <c r="W44" i="23"/>
  <c r="W40" i="23"/>
  <c r="W37" i="23"/>
  <c r="W36" i="23"/>
  <c r="W35" i="23"/>
  <c r="W34" i="23"/>
  <c r="W33" i="23"/>
  <c r="W32" i="23"/>
  <c r="W10" i="23"/>
  <c r="C649" i="22"/>
  <c r="I630" i="22"/>
  <c r="D657" i="22" s="1"/>
  <c r="C655" i="22"/>
  <c r="C641" i="22"/>
  <c r="I637" i="22"/>
  <c r="C637" i="22"/>
  <c r="C633" i="22"/>
  <c r="V55" i="25"/>
  <c r="V52" i="25"/>
  <c r="V44" i="25"/>
  <c r="V46" i="25" s="1"/>
  <c r="V13" i="25"/>
  <c r="V206" i="23"/>
  <c r="C646" i="22"/>
  <c r="C656" i="22" s="1"/>
  <c r="C658" i="22" s="1"/>
  <c r="V108" i="23"/>
  <c r="V109" i="23" s="1"/>
  <c r="V95" i="23"/>
  <c r="V117" i="23"/>
  <c r="V114" i="23"/>
  <c r="V99" i="23"/>
  <c r="V28" i="23"/>
  <c r="V221" i="23"/>
  <c r="V210" i="23"/>
  <c r="V227" i="23"/>
  <c r="V162" i="23"/>
  <c r="V159" i="23"/>
  <c r="V156" i="23"/>
  <c r="V145" i="23"/>
  <c r="V129" i="23"/>
  <c r="V93" i="23"/>
  <c r="V83" i="23"/>
  <c r="V59" i="23"/>
  <c r="V54" i="23"/>
  <c r="V164" i="23" s="1"/>
  <c r="V53" i="23"/>
  <c r="V163" i="23" s="1"/>
  <c r="V44" i="23"/>
  <c r="V40" i="23"/>
  <c r="V37" i="23"/>
  <c r="V36" i="23"/>
  <c r="V35" i="23"/>
  <c r="V34" i="23"/>
  <c r="V33" i="23"/>
  <c r="V32" i="23"/>
  <c r="V10" i="23"/>
  <c r="V19" i="23" s="1"/>
  <c r="Y57" i="25" l="1"/>
  <c r="Y65" i="25"/>
  <c r="Y66" i="25" s="1"/>
  <c r="Y61" i="25"/>
  <c r="Y64" i="25"/>
  <c r="Y60" i="25"/>
  <c r="Y63" i="25"/>
  <c r="AC75" i="25"/>
  <c r="AB73" i="25"/>
  <c r="AB72" i="25"/>
  <c r="AB70" i="25"/>
  <c r="AB69" i="25"/>
  <c r="H74" i="25"/>
  <c r="H71" i="25"/>
  <c r="AA74" i="25"/>
  <c r="AA71" i="25"/>
  <c r="Z74" i="25"/>
  <c r="Z71" i="25"/>
  <c r="Y24" i="25"/>
  <c r="Y20" i="25"/>
  <c r="Y25" i="25"/>
  <c r="Y23" i="25"/>
  <c r="Y22" i="25"/>
  <c r="Y21" i="25"/>
  <c r="Y19" i="25"/>
  <c r="X31" i="25"/>
  <c r="AB31" i="25"/>
  <c r="AB35" i="25"/>
  <c r="AB33" i="25"/>
  <c r="AB32" i="25"/>
  <c r="AB30" i="25"/>
  <c r="AB29" i="25"/>
  <c r="G15" i="25"/>
  <c r="G24" i="25" s="1"/>
  <c r="H34" i="25"/>
  <c r="W15" i="25"/>
  <c r="W24" i="25" s="1"/>
  <c r="AA34" i="25"/>
  <c r="Z34" i="25"/>
  <c r="X261" i="23"/>
  <c r="X258" i="23"/>
  <c r="X257" i="23"/>
  <c r="W261" i="23"/>
  <c r="W257" i="23"/>
  <c r="W258" i="23"/>
  <c r="V261" i="23"/>
  <c r="V257" i="23"/>
  <c r="V258" i="23"/>
  <c r="AA151" i="23"/>
  <c r="AA216" i="23" s="1"/>
  <c r="AA187" i="23"/>
  <c r="AA142" i="23"/>
  <c r="AA202" i="23" s="1"/>
  <c r="Y149" i="23"/>
  <c r="Y38" i="23"/>
  <c r="AA125" i="23"/>
  <c r="AA254" i="23" s="1"/>
  <c r="Z38" i="23"/>
  <c r="C436" i="22"/>
  <c r="AB38" i="23"/>
  <c r="AA39" i="23"/>
  <c r="Z39" i="23"/>
  <c r="Y39" i="23"/>
  <c r="W238" i="23"/>
  <c r="W235" i="23"/>
  <c r="W237" i="23"/>
  <c r="W239" i="23"/>
  <c r="W236" i="23"/>
  <c r="X238" i="23"/>
  <c r="X239" i="23"/>
  <c r="X235" i="23"/>
  <c r="X237" i="23"/>
  <c r="X236" i="23"/>
  <c r="Z228" i="23"/>
  <c r="I629" i="22"/>
  <c r="E635" i="22" s="1"/>
  <c r="G251" i="23"/>
  <c r="G257" i="23"/>
  <c r="G258" i="23"/>
  <c r="G261" i="23"/>
  <c r="H268" i="23"/>
  <c r="H276" i="23"/>
  <c r="H265" i="23"/>
  <c r="H274" i="23"/>
  <c r="H273" i="23"/>
  <c r="I598" i="22"/>
  <c r="E616" i="22" s="1"/>
  <c r="AA252" i="23"/>
  <c r="H266" i="23"/>
  <c r="AB51" i="23"/>
  <c r="AB49" i="23"/>
  <c r="AA134" i="23"/>
  <c r="AA153" i="23" s="1"/>
  <c r="AE86" i="23"/>
  <c r="AF48" i="23"/>
  <c r="AE213" i="23"/>
  <c r="AE217" i="23"/>
  <c r="AE218" i="23"/>
  <c r="F315" i="22"/>
  <c r="F312" i="22"/>
  <c r="AD89" i="23"/>
  <c r="AE89" i="23"/>
  <c r="F170" i="23"/>
  <c r="Y45" i="23"/>
  <c r="Y47" i="23" s="1"/>
  <c r="AC48" i="23" s="1"/>
  <c r="Y47" i="25"/>
  <c r="AC213" i="23"/>
  <c r="AC217" i="23"/>
  <c r="AC218" i="23"/>
  <c r="AB41" i="23"/>
  <c r="AD213" i="23"/>
  <c r="AD218" i="23"/>
  <c r="AD217" i="23"/>
  <c r="AA131" i="23"/>
  <c r="AA191" i="23" s="1"/>
  <c r="F429" i="22"/>
  <c r="F432" i="22"/>
  <c r="AD48" i="23"/>
  <c r="AC86" i="23"/>
  <c r="F91" i="23"/>
  <c r="Y24" i="23"/>
  <c r="Y41" i="23" s="1"/>
  <c r="F390" i="22"/>
  <c r="F393" i="22"/>
  <c r="W19" i="23"/>
  <c r="W45" i="23" s="1"/>
  <c r="W47" i="23" s="1"/>
  <c r="AA48" i="23" s="1"/>
  <c r="AB185" i="23"/>
  <c r="AB149" i="23"/>
  <c r="AB135" i="23"/>
  <c r="AB250" i="23"/>
  <c r="AB142" i="23"/>
  <c r="AB132" i="23"/>
  <c r="AB192" i="23" s="1"/>
  <c r="AB127" i="23"/>
  <c r="AB53" i="23"/>
  <c r="AB163" i="23" s="1"/>
  <c r="AB8" i="23"/>
  <c r="F74" i="23"/>
  <c r="F180" i="23" s="1"/>
  <c r="AB254" i="23"/>
  <c r="AB271" i="23" s="1"/>
  <c r="AB189" i="23"/>
  <c r="AB137" i="23"/>
  <c r="AB197" i="23" s="1"/>
  <c r="AB27" i="23"/>
  <c r="AB29" i="23"/>
  <c r="AA207" i="23"/>
  <c r="G68" i="23"/>
  <c r="G91" i="23" s="1"/>
  <c r="H181" i="23"/>
  <c r="H246" i="23"/>
  <c r="H254" i="23"/>
  <c r="H271" i="23" s="1"/>
  <c r="H189" i="23"/>
  <c r="H137" i="23"/>
  <c r="H197" i="23" s="1"/>
  <c r="H153" i="23"/>
  <c r="H194" i="23"/>
  <c r="Z160" i="23"/>
  <c r="AA84" i="23"/>
  <c r="Z84" i="23"/>
  <c r="Y84" i="23"/>
  <c r="G85" i="23"/>
  <c r="G11" i="23"/>
  <c r="C550" i="22"/>
  <c r="AA160" i="23"/>
  <c r="AA87" i="23"/>
  <c r="C473" i="22" s="1"/>
  <c r="Z87" i="23"/>
  <c r="C511" i="22" s="1"/>
  <c r="Y87" i="23"/>
  <c r="Y132" i="23" s="1"/>
  <c r="Y192" i="23" s="1"/>
  <c r="W224" i="23"/>
  <c r="AA225" i="23" s="1"/>
  <c r="Z207" i="23"/>
  <c r="Y207" i="23"/>
  <c r="G179" i="23"/>
  <c r="V15" i="25"/>
  <c r="V24" i="25" s="1"/>
  <c r="Y16" i="25"/>
  <c r="Z51" i="23"/>
  <c r="Z49" i="23"/>
  <c r="Z214" i="23"/>
  <c r="Z151" i="23"/>
  <c r="Z216" i="23" s="1"/>
  <c r="Z252" i="23"/>
  <c r="Z26" i="23"/>
  <c r="AC89" i="23" s="1"/>
  <c r="Z41" i="23"/>
  <c r="Z125" i="23"/>
  <c r="Z131" i="23"/>
  <c r="Z191" i="23" s="1"/>
  <c r="Z187" i="23"/>
  <c r="Z202" i="23"/>
  <c r="Z134" i="23"/>
  <c r="E543" i="22"/>
  <c r="C546" i="22"/>
  <c r="C548" i="22" s="1"/>
  <c r="E548" i="22" s="1"/>
  <c r="Y185" i="23"/>
  <c r="Y250" i="23"/>
  <c r="Y127" i="23"/>
  <c r="C556" i="22"/>
  <c r="D554" i="22"/>
  <c r="D556" i="22" s="1"/>
  <c r="I638" i="22"/>
  <c r="G205" i="23"/>
  <c r="G224" i="23" s="1"/>
  <c r="H225" i="23" s="1"/>
  <c r="X224" i="23"/>
  <c r="AB225" i="23" s="1"/>
  <c r="X102" i="23"/>
  <c r="F179" i="23"/>
  <c r="X103" i="23"/>
  <c r="X104" i="23"/>
  <c r="X227" i="23"/>
  <c r="AA263" i="23" s="1"/>
  <c r="AA269" i="23" s="1"/>
  <c r="X114" i="23"/>
  <c r="C579" i="22"/>
  <c r="G47" i="25"/>
  <c r="I559" i="22"/>
  <c r="D587" i="22" s="1"/>
  <c r="X54" i="23"/>
  <c r="X164" i="23" s="1"/>
  <c r="I560" i="22"/>
  <c r="C575" i="22"/>
  <c r="X52" i="25"/>
  <c r="X55" i="25"/>
  <c r="G56" i="25"/>
  <c r="X44" i="25"/>
  <c r="X46" i="25" s="1"/>
  <c r="X13" i="25"/>
  <c r="X99" i="23"/>
  <c r="G100" i="23"/>
  <c r="I599" i="22"/>
  <c r="D626" i="22" s="1"/>
  <c r="X32" i="23"/>
  <c r="X108" i="23"/>
  <c r="X37" i="23"/>
  <c r="X84" i="23"/>
  <c r="X146" i="23" s="1"/>
  <c r="X40" i="23"/>
  <c r="X33" i="23"/>
  <c r="X35" i="23"/>
  <c r="X34" i="23"/>
  <c r="X36" i="23"/>
  <c r="X87" i="23"/>
  <c r="X159" i="23"/>
  <c r="AB160" i="23" s="1"/>
  <c r="X10" i="23"/>
  <c r="X19" i="23" s="1"/>
  <c r="X117" i="23"/>
  <c r="X162" i="23"/>
  <c r="G45" i="23"/>
  <c r="G47" i="23" s="1"/>
  <c r="G148" i="23"/>
  <c r="G119" i="23"/>
  <c r="G109" i="23"/>
  <c r="G186" i="23"/>
  <c r="G150" i="23"/>
  <c r="G215" i="23" s="1"/>
  <c r="C615" i="22"/>
  <c r="C614" i="22"/>
  <c r="W56" i="25"/>
  <c r="W251" i="23"/>
  <c r="W227" i="23"/>
  <c r="V251" i="23"/>
  <c r="W109" i="23"/>
  <c r="W119" i="23"/>
  <c r="W123" i="23" s="1"/>
  <c r="W11" i="23"/>
  <c r="W150" i="23"/>
  <c r="W215" i="23" s="1"/>
  <c r="W186" i="23"/>
  <c r="V47" i="25"/>
  <c r="C645" i="22"/>
  <c r="V56" i="25"/>
  <c r="V118" i="23"/>
  <c r="V119" i="23" s="1"/>
  <c r="V123" i="23" s="1"/>
  <c r="V11" i="23"/>
  <c r="V224" i="23"/>
  <c r="V45" i="23"/>
  <c r="V47" i="23" s="1"/>
  <c r="Z48" i="23" s="1"/>
  <c r="V24" i="23"/>
  <c r="V150" i="23"/>
  <c r="V215" i="23" s="1"/>
  <c r="V186" i="23"/>
  <c r="I668" i="22"/>
  <c r="C680" i="22"/>
  <c r="C672" i="22"/>
  <c r="C668" i="22"/>
  <c r="C664" i="22"/>
  <c r="U108" i="23"/>
  <c r="U118" i="23" s="1"/>
  <c r="C686" i="22"/>
  <c r="U55" i="25"/>
  <c r="U52" i="25"/>
  <c r="U44" i="25"/>
  <c r="U46" i="25" s="1"/>
  <c r="U13" i="25"/>
  <c r="U205" i="23"/>
  <c r="U206" i="23"/>
  <c r="U186" i="23"/>
  <c r="U95" i="23"/>
  <c r="U28" i="23"/>
  <c r="U221" i="23"/>
  <c r="U210" i="23"/>
  <c r="U162" i="23"/>
  <c r="U159" i="23"/>
  <c r="U156" i="23"/>
  <c r="U145" i="23"/>
  <c r="U129" i="23"/>
  <c r="U114" i="23"/>
  <c r="U117" i="23"/>
  <c r="U99" i="23"/>
  <c r="U93" i="23"/>
  <c r="U83" i="23"/>
  <c r="U59" i="23"/>
  <c r="U54" i="23"/>
  <c r="U164" i="23" s="1"/>
  <c r="U53" i="23"/>
  <c r="U163" i="23" s="1"/>
  <c r="U44" i="23"/>
  <c r="U40" i="23"/>
  <c r="U37" i="23"/>
  <c r="U36" i="23"/>
  <c r="U35" i="23"/>
  <c r="U34" i="23"/>
  <c r="U33" i="23"/>
  <c r="U32" i="23"/>
  <c r="U10" i="23"/>
  <c r="I695" i="22"/>
  <c r="I697" i="22" s="1"/>
  <c r="X259" i="23" l="1"/>
  <c r="W65" i="25"/>
  <c r="W62" i="25"/>
  <c r="W66" i="25" s="1"/>
  <c r="V65" i="25"/>
  <c r="V62" i="25"/>
  <c r="V66" i="25" s="1"/>
  <c r="AB71" i="25"/>
  <c r="X65" i="25"/>
  <c r="AB74" i="25"/>
  <c r="G57" i="25"/>
  <c r="G65" i="25"/>
  <c r="G62" i="25"/>
  <c r="G66" i="25" s="1"/>
  <c r="G64" i="25"/>
  <c r="G63" i="25"/>
  <c r="G61" i="25"/>
  <c r="G60" i="25"/>
  <c r="H75" i="25"/>
  <c r="W57" i="25"/>
  <c r="W61" i="25"/>
  <c r="W64" i="25"/>
  <c r="W63" i="25"/>
  <c r="W60" i="25"/>
  <c r="AA75" i="25"/>
  <c r="V57" i="25"/>
  <c r="V63" i="25"/>
  <c r="V61" i="25"/>
  <c r="V64" i="25"/>
  <c r="V60" i="25"/>
  <c r="Z75" i="25"/>
  <c r="U65" i="25"/>
  <c r="Y74" i="25"/>
  <c r="U62" i="25"/>
  <c r="U66" i="25" s="1"/>
  <c r="Y71" i="25"/>
  <c r="H36" i="25"/>
  <c r="G23" i="25"/>
  <c r="G19" i="25"/>
  <c r="G25" i="25"/>
  <c r="G26" i="25" s="1"/>
  <c r="G20" i="25"/>
  <c r="G21" i="25"/>
  <c r="G22" i="25"/>
  <c r="G16" i="25"/>
  <c r="AA36" i="25"/>
  <c r="W19" i="25"/>
  <c r="W23" i="25"/>
  <c r="W21" i="25"/>
  <c r="W22" i="25"/>
  <c r="W20" i="25"/>
  <c r="W25" i="25"/>
  <c r="W26" i="25" s="1"/>
  <c r="W16" i="25"/>
  <c r="Y26" i="25"/>
  <c r="V25" i="25"/>
  <c r="V26" i="25" s="1"/>
  <c r="V23" i="25"/>
  <c r="V22" i="25"/>
  <c r="V21" i="25"/>
  <c r="V20" i="25"/>
  <c r="V19" i="25"/>
  <c r="Z36" i="25"/>
  <c r="X15" i="25"/>
  <c r="AB34" i="25"/>
  <c r="U15" i="25"/>
  <c r="Y34" i="25"/>
  <c r="Y214" i="23"/>
  <c r="Y151" i="23"/>
  <c r="Y216" i="23" s="1"/>
  <c r="W259" i="23"/>
  <c r="V259" i="23"/>
  <c r="U261" i="23"/>
  <c r="U257" i="23"/>
  <c r="U258" i="23"/>
  <c r="G38" i="23"/>
  <c r="G123" i="23"/>
  <c r="G142" i="23" s="1"/>
  <c r="E643" i="22"/>
  <c r="E642" i="22"/>
  <c r="Y125" i="23"/>
  <c r="Y254" i="23" s="1"/>
  <c r="Y142" i="23"/>
  <c r="Y202" i="23" s="1"/>
  <c r="AA189" i="23"/>
  <c r="Y49" i="23"/>
  <c r="W142" i="23"/>
  <c r="AA194" i="23"/>
  <c r="V142" i="23"/>
  <c r="C576" i="22"/>
  <c r="C586" i="22" s="1"/>
  <c r="C588" i="22" s="1"/>
  <c r="X39" i="23"/>
  <c r="E639" i="22"/>
  <c r="E637" i="22"/>
  <c r="E641" i="22"/>
  <c r="E633" i="22"/>
  <c r="D656" i="22"/>
  <c r="D658" i="22" s="1"/>
  <c r="E634" i="22"/>
  <c r="E647" i="22"/>
  <c r="E649" i="22"/>
  <c r="E638" i="22"/>
  <c r="E646" i="22"/>
  <c r="U235" i="23"/>
  <c r="U237" i="23"/>
  <c r="U239" i="23"/>
  <c r="U238" i="23"/>
  <c r="U236" i="23"/>
  <c r="Z263" i="23"/>
  <c r="Z269" i="23" s="1"/>
  <c r="G259" i="23"/>
  <c r="AA271" i="23"/>
  <c r="E603" i="22"/>
  <c r="E604" i="22"/>
  <c r="Z276" i="23"/>
  <c r="AA266" i="23"/>
  <c r="E607" i="22"/>
  <c r="AA268" i="23"/>
  <c r="AA276" i="23"/>
  <c r="AA265" i="23"/>
  <c r="E608" i="22"/>
  <c r="E606" i="22"/>
  <c r="E602" i="22"/>
  <c r="E611" i="22"/>
  <c r="E615" i="22"/>
  <c r="E612" i="22"/>
  <c r="AB269" i="23"/>
  <c r="AB266" i="23"/>
  <c r="Y263" i="23"/>
  <c r="Y269" i="23" s="1"/>
  <c r="I660" i="22"/>
  <c r="E678" i="22" s="1"/>
  <c r="E610" i="22"/>
  <c r="E618" i="22"/>
  <c r="Y26" i="23"/>
  <c r="Y29" i="23" s="1"/>
  <c r="W47" i="25"/>
  <c r="G227" i="23"/>
  <c r="AB86" i="23"/>
  <c r="Y51" i="23"/>
  <c r="W24" i="23"/>
  <c r="U11" i="23"/>
  <c r="U19" i="23"/>
  <c r="G24" i="23"/>
  <c r="G41" i="23" s="1"/>
  <c r="G74" i="23"/>
  <c r="G245" i="23" s="1"/>
  <c r="F75" i="23"/>
  <c r="F81" i="23" s="1"/>
  <c r="AB134" i="23"/>
  <c r="AB131" i="23"/>
  <c r="AB191" i="23" s="1"/>
  <c r="AB187" i="23"/>
  <c r="AB202" i="23"/>
  <c r="AB252" i="23"/>
  <c r="G174" i="23"/>
  <c r="AB214" i="23"/>
  <c r="AB217" i="23" s="1"/>
  <c r="AB151" i="23"/>
  <c r="AB216" i="23" s="1"/>
  <c r="AB218" i="23" s="1"/>
  <c r="AB152" i="23"/>
  <c r="AB195" i="23"/>
  <c r="X229" i="23"/>
  <c r="AB228" i="23"/>
  <c r="Y135" i="23"/>
  <c r="Y152" i="23" s="1"/>
  <c r="G86" i="23"/>
  <c r="H48" i="23"/>
  <c r="H211" i="23"/>
  <c r="H212" i="23"/>
  <c r="H248" i="23"/>
  <c r="H183" i="23"/>
  <c r="E473" i="22"/>
  <c r="D467" i="22"/>
  <c r="D470" i="22"/>
  <c r="Y160" i="23"/>
  <c r="W229" i="23"/>
  <c r="AA228" i="23"/>
  <c r="Z146" i="23"/>
  <c r="Z211" i="23" s="1"/>
  <c r="Z100" i="23"/>
  <c r="AA146" i="23"/>
  <c r="AA211" i="23" s="1"/>
  <c r="AA100" i="23"/>
  <c r="V229" i="23"/>
  <c r="Z225" i="23"/>
  <c r="AA147" i="23"/>
  <c r="AA135" i="23"/>
  <c r="AA132" i="23"/>
  <c r="AA192" i="23" s="1"/>
  <c r="AA137" i="23"/>
  <c r="AA197" i="23" s="1"/>
  <c r="Y146" i="23"/>
  <c r="Y211" i="23" s="1"/>
  <c r="Y100" i="23"/>
  <c r="Y147" i="23"/>
  <c r="C549" i="22"/>
  <c r="G250" i="23"/>
  <c r="G241" i="23"/>
  <c r="G233" i="23"/>
  <c r="G238" i="23"/>
  <c r="G234" i="23"/>
  <c r="G247" i="23"/>
  <c r="G237" i="23"/>
  <c r="G242" i="23"/>
  <c r="G235" i="23"/>
  <c r="G240" i="23"/>
  <c r="G231" i="23"/>
  <c r="G236" i="23"/>
  <c r="G232" i="23"/>
  <c r="G243" i="23"/>
  <c r="Z147" i="23"/>
  <c r="Z132" i="23"/>
  <c r="Z192" i="23" s="1"/>
  <c r="Z135" i="23"/>
  <c r="G239" i="23"/>
  <c r="G244" i="23"/>
  <c r="V16" i="25"/>
  <c r="Z137" i="23"/>
  <c r="Z197" i="23" s="1"/>
  <c r="Z189" i="23"/>
  <c r="Z254" i="23"/>
  <c r="Z194" i="23"/>
  <c r="Z153" i="23"/>
  <c r="Z29" i="23"/>
  <c r="Z27" i="23"/>
  <c r="E546" i="22"/>
  <c r="Y131" i="23"/>
  <c r="Y191" i="23" s="1"/>
  <c r="Y134" i="23"/>
  <c r="Y194" i="23" s="1"/>
  <c r="Y187" i="23"/>
  <c r="Y252" i="23"/>
  <c r="E645" i="22"/>
  <c r="C648" i="22"/>
  <c r="E648" i="22" s="1"/>
  <c r="I607" i="22"/>
  <c r="E614" i="22"/>
  <c r="C617" i="22"/>
  <c r="D594" i="22"/>
  <c r="E577" i="22"/>
  <c r="E571" i="22"/>
  <c r="D593" i="22"/>
  <c r="D591" i="22"/>
  <c r="D592" i="22"/>
  <c r="X56" i="25"/>
  <c r="X62" i="25" s="1"/>
  <c r="E564" i="22"/>
  <c r="E569" i="22"/>
  <c r="E563" i="22"/>
  <c r="E575" i="22"/>
  <c r="E568" i="22"/>
  <c r="E565" i="22"/>
  <c r="X147" i="23"/>
  <c r="C581" i="22"/>
  <c r="E581" i="22" s="1"/>
  <c r="E579" i="22"/>
  <c r="E572" i="22"/>
  <c r="X186" i="23"/>
  <c r="E567" i="22"/>
  <c r="E573" i="22"/>
  <c r="X28" i="23"/>
  <c r="X118" i="23"/>
  <c r="X119" i="23" s="1"/>
  <c r="X251" i="23"/>
  <c r="X150" i="23"/>
  <c r="X215" i="23" s="1"/>
  <c r="X109" i="23"/>
  <c r="X100" i="23"/>
  <c r="U224" i="23"/>
  <c r="Y225" i="23" s="1"/>
  <c r="X207" i="23"/>
  <c r="G207" i="23" s="1"/>
  <c r="X11" i="23"/>
  <c r="G149" i="23"/>
  <c r="G132" i="23"/>
  <c r="G192" i="23" s="1"/>
  <c r="G185" i="23"/>
  <c r="G135" i="23"/>
  <c r="G127" i="23"/>
  <c r="G51" i="23"/>
  <c r="G49" i="23"/>
  <c r="W127" i="23"/>
  <c r="C621" i="22"/>
  <c r="C625" i="22"/>
  <c r="W185" i="23"/>
  <c r="W250" i="23"/>
  <c r="W149" i="23"/>
  <c r="W214" i="23" s="1"/>
  <c r="W125" i="23"/>
  <c r="W51" i="23"/>
  <c r="W49" i="23"/>
  <c r="V149" i="23"/>
  <c r="V214" i="23" s="1"/>
  <c r="C652" i="22"/>
  <c r="V127" i="23"/>
  <c r="U227" i="23"/>
  <c r="V250" i="23"/>
  <c r="V185" i="23"/>
  <c r="I661" i="22"/>
  <c r="D688" i="22" s="1"/>
  <c r="V51" i="23"/>
  <c r="V49" i="23"/>
  <c r="V41" i="23"/>
  <c r="V26" i="23"/>
  <c r="C677" i="22"/>
  <c r="C676" i="22"/>
  <c r="U56" i="25"/>
  <c r="U119" i="23"/>
  <c r="U123" i="23" s="1"/>
  <c r="U251" i="23"/>
  <c r="U150" i="23"/>
  <c r="U215" i="23" s="1"/>
  <c r="U109" i="23"/>
  <c r="T205" i="23"/>
  <c r="T206" i="23"/>
  <c r="I691" i="22" s="1"/>
  <c r="F205" i="23"/>
  <c r="F206" i="23"/>
  <c r="F108" i="23"/>
  <c r="T108" i="23" s="1"/>
  <c r="F95" i="23"/>
  <c r="T95" i="23" s="1"/>
  <c r="F87" i="23"/>
  <c r="F84" i="23"/>
  <c r="F28" i="23"/>
  <c r="C718" i="22"/>
  <c r="C703" i="22"/>
  <c r="C699" i="22"/>
  <c r="C695" i="22"/>
  <c r="T54" i="25"/>
  <c r="T53" i="25"/>
  <c r="T51" i="25"/>
  <c r="T50" i="25"/>
  <c r="T45" i="25"/>
  <c r="T43" i="25"/>
  <c r="T41" i="25"/>
  <c r="T40" i="25"/>
  <c r="T14" i="25"/>
  <c r="T12" i="25"/>
  <c r="T11" i="25"/>
  <c r="T9" i="25"/>
  <c r="T8" i="25"/>
  <c r="F55" i="25"/>
  <c r="F52" i="25"/>
  <c r="F44" i="25"/>
  <c r="F46" i="25" s="1"/>
  <c r="F13" i="25"/>
  <c r="T13" i="23"/>
  <c r="T9" i="23"/>
  <c r="T7" i="23"/>
  <c r="T56" i="23" s="1"/>
  <c r="T126" i="23"/>
  <c r="T261" i="23" s="1"/>
  <c r="T113" i="23"/>
  <c r="T112" i="23"/>
  <c r="T107" i="23"/>
  <c r="T98" i="23"/>
  <c r="T97" i="23"/>
  <c r="T96" i="23"/>
  <c r="T52" i="23"/>
  <c r="T46" i="23"/>
  <c r="T25" i="23"/>
  <c r="T23" i="23"/>
  <c r="T22" i="23"/>
  <c r="T21" i="23"/>
  <c r="W38" i="23" s="1"/>
  <c r="T20" i="23"/>
  <c r="T17" i="23"/>
  <c r="T16" i="23"/>
  <c r="T15" i="23"/>
  <c r="T14" i="23"/>
  <c r="T257" i="23" l="1"/>
  <c r="T258" i="23"/>
  <c r="T259" i="23"/>
  <c r="X66" i="25"/>
  <c r="X57" i="25"/>
  <c r="AB75" i="25"/>
  <c r="X64" i="25"/>
  <c r="X63" i="25"/>
  <c r="X61" i="25"/>
  <c r="X60" i="25"/>
  <c r="U57" i="25"/>
  <c r="U64" i="25"/>
  <c r="U63" i="25"/>
  <c r="U61" i="25"/>
  <c r="U60" i="25"/>
  <c r="Y75" i="25"/>
  <c r="X73" i="25"/>
  <c r="X72" i="25"/>
  <c r="X70" i="25"/>
  <c r="X69" i="25"/>
  <c r="G74" i="25"/>
  <c r="G71" i="25"/>
  <c r="X24" i="25"/>
  <c r="X20" i="25"/>
  <c r="X22" i="25"/>
  <c r="X23" i="25"/>
  <c r="X25" i="25"/>
  <c r="X21" i="25"/>
  <c r="X19" i="25"/>
  <c r="U24" i="25"/>
  <c r="Y36" i="25"/>
  <c r="AB36" i="25"/>
  <c r="X16" i="25"/>
  <c r="U19" i="25"/>
  <c r="U20" i="25"/>
  <c r="U21" i="25"/>
  <c r="U22" i="25"/>
  <c r="U23" i="25"/>
  <c r="U25" i="25"/>
  <c r="U16" i="25"/>
  <c r="X35" i="25"/>
  <c r="X33" i="25"/>
  <c r="X32" i="25"/>
  <c r="X30" i="25"/>
  <c r="X29" i="25"/>
  <c r="F15" i="25"/>
  <c r="F24" i="25" s="1"/>
  <c r="G34" i="25"/>
  <c r="U259" i="23"/>
  <c r="G229" i="23"/>
  <c r="G263" i="23"/>
  <c r="G266" i="23" s="1"/>
  <c r="W26" i="23"/>
  <c r="W41" i="23"/>
  <c r="F258" i="23"/>
  <c r="F257" i="23"/>
  <c r="Y137" i="23"/>
  <c r="Y197" i="23" s="1"/>
  <c r="Y189" i="23"/>
  <c r="X38" i="23"/>
  <c r="X123" i="23"/>
  <c r="Y27" i="23"/>
  <c r="AB89" i="23"/>
  <c r="V125" i="23"/>
  <c r="V254" i="23" s="1"/>
  <c r="Z266" i="23"/>
  <c r="Z271" i="23"/>
  <c r="T39" i="23"/>
  <c r="E576" i="22"/>
  <c r="E672" i="22"/>
  <c r="V38" i="23"/>
  <c r="U39" i="23"/>
  <c r="V39" i="23"/>
  <c r="W39" i="23"/>
  <c r="I568" i="22"/>
  <c r="C578" i="22"/>
  <c r="E578" i="22" s="1"/>
  <c r="F578" i="22" s="1"/>
  <c r="Y271" i="23"/>
  <c r="U38" i="23"/>
  <c r="D586" i="22"/>
  <c r="D588" i="22" s="1"/>
  <c r="Y266" i="23"/>
  <c r="E664" i="22"/>
  <c r="E677" i="22"/>
  <c r="E665" i="22"/>
  <c r="T235" i="23"/>
  <c r="T237" i="23"/>
  <c r="T239" i="23"/>
  <c r="T238" i="23"/>
  <c r="T236" i="23"/>
  <c r="E673" i="22"/>
  <c r="E669" i="22"/>
  <c r="Z265" i="23"/>
  <c r="E674" i="22"/>
  <c r="Z268" i="23"/>
  <c r="E670" i="22"/>
  <c r="AB276" i="23"/>
  <c r="AB268" i="23"/>
  <c r="AB265" i="23"/>
  <c r="E666" i="22"/>
  <c r="E680" i="22"/>
  <c r="H228" i="23"/>
  <c r="F261" i="23"/>
  <c r="Y268" i="23"/>
  <c r="Y265" i="23"/>
  <c r="Y276" i="23"/>
  <c r="G252" i="23"/>
  <c r="V252" i="23"/>
  <c r="E668" i="22"/>
  <c r="W252" i="23"/>
  <c r="Y228" i="23"/>
  <c r="X263" i="23"/>
  <c r="C711" i="22"/>
  <c r="E711" i="22" s="1"/>
  <c r="T102" i="23"/>
  <c r="F77" i="23"/>
  <c r="F183" i="23" s="1"/>
  <c r="G75" i="23"/>
  <c r="G77" i="23" s="1"/>
  <c r="G183" i="23" s="1"/>
  <c r="W151" i="23"/>
  <c r="W216" i="23" s="1"/>
  <c r="G180" i="23"/>
  <c r="G26" i="23"/>
  <c r="G89" i="23" s="1"/>
  <c r="F181" i="23"/>
  <c r="AB153" i="23"/>
  <c r="AB194" i="23"/>
  <c r="Y195" i="23"/>
  <c r="F467" i="22"/>
  <c r="F470" i="22"/>
  <c r="H213" i="23"/>
  <c r="H217" i="23"/>
  <c r="H218" i="23"/>
  <c r="U149" i="23"/>
  <c r="U214" i="23" s="1"/>
  <c r="U142" i="23"/>
  <c r="AA152" i="23"/>
  <c r="AA195" i="23"/>
  <c r="AA85" i="23"/>
  <c r="Z85" i="23"/>
  <c r="Z152" i="23"/>
  <c r="Z195" i="23"/>
  <c r="Y212" i="23"/>
  <c r="Y148" i="23"/>
  <c r="AA212" i="23"/>
  <c r="AA148" i="23"/>
  <c r="Z148" i="23"/>
  <c r="Z212" i="23"/>
  <c r="X8" i="23"/>
  <c r="E511" i="22"/>
  <c r="D505" i="22"/>
  <c r="D508" i="22"/>
  <c r="T104" i="23"/>
  <c r="C582" i="22"/>
  <c r="Y153" i="23"/>
  <c r="X47" i="25"/>
  <c r="Y85" i="23"/>
  <c r="E696" i="22"/>
  <c r="E709" i="22"/>
  <c r="D720" i="22" s="1"/>
  <c r="E676" i="22"/>
  <c r="C679" i="22"/>
  <c r="E679" i="22" s="1"/>
  <c r="I669" i="22"/>
  <c r="D625" i="22"/>
  <c r="D627" i="22" s="1"/>
  <c r="C627" i="22"/>
  <c r="G212" i="23"/>
  <c r="G211" i="23"/>
  <c r="X53" i="23"/>
  <c r="X163" i="23" s="1"/>
  <c r="T224" i="23"/>
  <c r="F246" i="23"/>
  <c r="T103" i="23"/>
  <c r="F140" i="23"/>
  <c r="F200" i="23" s="1"/>
  <c r="F139" i="23"/>
  <c r="F199" i="23" s="1"/>
  <c r="F232" i="23"/>
  <c r="F237" i="23"/>
  <c r="F247" i="23"/>
  <c r="F233" i="23"/>
  <c r="F238" i="23"/>
  <c r="F231" i="23"/>
  <c r="F243" i="23"/>
  <c r="F234" i="23"/>
  <c r="F242" i="23"/>
  <c r="F236" i="23"/>
  <c r="F240" i="23"/>
  <c r="F241" i="23"/>
  <c r="F235" i="23"/>
  <c r="F239" i="23"/>
  <c r="F244" i="23"/>
  <c r="F245" i="23"/>
  <c r="D595" i="22"/>
  <c r="X185" i="23"/>
  <c r="X250" i="23"/>
  <c r="X149" i="23"/>
  <c r="X214" i="23" s="1"/>
  <c r="X132" i="23"/>
  <c r="X192" i="23" s="1"/>
  <c r="D575" i="22"/>
  <c r="F575" i="22"/>
  <c r="X135" i="23"/>
  <c r="X152" i="23" s="1"/>
  <c r="X212" i="23"/>
  <c r="U229" i="23"/>
  <c r="X127" i="23"/>
  <c r="U45" i="23"/>
  <c r="U47" i="23" s="1"/>
  <c r="U49" i="23" s="1"/>
  <c r="X148" i="23"/>
  <c r="X211" i="23"/>
  <c r="V131" i="23"/>
  <c r="V191" i="23" s="1"/>
  <c r="X85" i="23"/>
  <c r="X45" i="23"/>
  <c r="X47" i="23" s="1"/>
  <c r="AB48" i="23" s="1"/>
  <c r="X24" i="23"/>
  <c r="G195" i="23"/>
  <c r="G152" i="23"/>
  <c r="G214" i="23"/>
  <c r="G151" i="23"/>
  <c r="G216" i="23" s="1"/>
  <c r="G134" i="23"/>
  <c r="G125" i="23"/>
  <c r="X125" i="23" s="1"/>
  <c r="G131" i="23"/>
  <c r="G191" i="23" s="1"/>
  <c r="G187" i="23"/>
  <c r="G202" i="23"/>
  <c r="C619" i="22"/>
  <c r="E619" i="22" s="1"/>
  <c r="E617" i="22"/>
  <c r="V151" i="23"/>
  <c r="V216" i="23" s="1"/>
  <c r="W87" i="23"/>
  <c r="W84" i="23"/>
  <c r="W100" i="23" s="1"/>
  <c r="W202" i="23"/>
  <c r="W187" i="23"/>
  <c r="W131" i="23"/>
  <c r="W191" i="23" s="1"/>
  <c r="W134" i="23"/>
  <c r="W153" i="23" s="1"/>
  <c r="W29" i="23"/>
  <c r="W27" i="23"/>
  <c r="I692" i="22"/>
  <c r="W207" i="23"/>
  <c r="W189" i="23"/>
  <c r="W254" i="23"/>
  <c r="C687" i="22"/>
  <c r="C689" i="22" s="1"/>
  <c r="C650" i="22"/>
  <c r="E650" i="22" s="1"/>
  <c r="F56" i="25"/>
  <c r="V134" i="23"/>
  <c r="V153" i="23" s="1"/>
  <c r="V202" i="23"/>
  <c r="V187" i="23"/>
  <c r="V84" i="23"/>
  <c r="V87" i="23"/>
  <c r="U47" i="25"/>
  <c r="V29" i="23"/>
  <c r="V27" i="23"/>
  <c r="V189" i="23"/>
  <c r="C683" i="22"/>
  <c r="U127" i="23"/>
  <c r="U185" i="23"/>
  <c r="T52" i="25"/>
  <c r="U250" i="23"/>
  <c r="U87" i="23"/>
  <c r="C682" i="22" s="1"/>
  <c r="U84" i="23"/>
  <c r="U24" i="23"/>
  <c r="U26" i="23" s="1"/>
  <c r="T55" i="25"/>
  <c r="T44" i="25"/>
  <c r="T46" i="25" s="1"/>
  <c r="T13" i="25"/>
  <c r="C708" i="22"/>
  <c r="E700" i="22"/>
  <c r="E701" i="22"/>
  <c r="E695" i="22"/>
  <c r="E699" i="22"/>
  <c r="E703" i="22"/>
  <c r="E697" i="22"/>
  <c r="E704" i="22"/>
  <c r="E705" i="22"/>
  <c r="C707" i="22"/>
  <c r="T99" i="23"/>
  <c r="F221" i="23"/>
  <c r="F210" i="23"/>
  <c r="F227" i="23"/>
  <c r="F263" i="23" s="1"/>
  <c r="F162" i="23"/>
  <c r="F159" i="23"/>
  <c r="G160" i="23" s="1"/>
  <c r="F156" i="23"/>
  <c r="F150" i="23"/>
  <c r="F215" i="23" s="1"/>
  <c r="F145" i="23"/>
  <c r="F129" i="23"/>
  <c r="F251" i="23"/>
  <c r="F117" i="23"/>
  <c r="F114" i="23"/>
  <c r="F109" i="23"/>
  <c r="F118" i="23"/>
  <c r="F99" i="23"/>
  <c r="F93" i="23"/>
  <c r="F147" i="23"/>
  <c r="F146" i="23"/>
  <c r="F83" i="23"/>
  <c r="F59" i="23"/>
  <c r="F54" i="23"/>
  <c r="F164" i="23" s="1"/>
  <c r="F53" i="23"/>
  <c r="F163" i="23" s="1"/>
  <c r="F44" i="23"/>
  <c r="F40" i="23"/>
  <c r="F37" i="23"/>
  <c r="F36" i="23"/>
  <c r="F35" i="23"/>
  <c r="F34" i="23"/>
  <c r="F33" i="23"/>
  <c r="F32" i="23"/>
  <c r="F10" i="23"/>
  <c r="F19" i="23" s="1"/>
  <c r="T227" i="23"/>
  <c r="T221" i="23"/>
  <c r="T210" i="23"/>
  <c r="T156" i="23"/>
  <c r="T145" i="23"/>
  <c r="T129" i="23"/>
  <c r="T114" i="23"/>
  <c r="T93" i="23"/>
  <c r="T87" i="23"/>
  <c r="T83" i="23"/>
  <c r="T59" i="23"/>
  <c r="T44" i="23"/>
  <c r="C95" i="23"/>
  <c r="D95" i="23"/>
  <c r="E95" i="23"/>
  <c r="M95" i="23"/>
  <c r="N95" i="23"/>
  <c r="O95" i="23"/>
  <c r="Q95" i="23"/>
  <c r="R95" i="23"/>
  <c r="S95" i="23"/>
  <c r="F259" i="23" l="1"/>
  <c r="G269" i="23"/>
  <c r="F62" i="25"/>
  <c r="F65" i="25"/>
  <c r="U26" i="25"/>
  <c r="F57" i="25"/>
  <c r="F64" i="25"/>
  <c r="F63" i="25"/>
  <c r="F61" i="25"/>
  <c r="F60" i="25"/>
  <c r="G75" i="25"/>
  <c r="X71" i="25"/>
  <c r="X74" i="25"/>
  <c r="X26" i="25"/>
  <c r="F23" i="25"/>
  <c r="F19" i="25"/>
  <c r="F20" i="25"/>
  <c r="F21" i="25"/>
  <c r="F22" i="25"/>
  <c r="F25" i="25"/>
  <c r="F26" i="25" s="1"/>
  <c r="G36" i="25"/>
  <c r="F16" i="25"/>
  <c r="T15" i="25"/>
  <c r="T24" i="25" s="1"/>
  <c r="X34" i="25"/>
  <c r="X213" i="23"/>
  <c r="G248" i="23"/>
  <c r="D578" i="22"/>
  <c r="C580" i="22"/>
  <c r="E580" i="22" s="1"/>
  <c r="X142" i="23"/>
  <c r="X202" i="23" s="1"/>
  <c r="G29" i="23"/>
  <c r="G81" i="23"/>
  <c r="G246" i="23"/>
  <c r="W276" i="23"/>
  <c r="G276" i="23"/>
  <c r="G268" i="23"/>
  <c r="G265" i="23"/>
  <c r="U252" i="23"/>
  <c r="G228" i="23"/>
  <c r="G181" i="23"/>
  <c r="F248" i="23"/>
  <c r="V276" i="23"/>
  <c r="X228" i="23"/>
  <c r="W263" i="23"/>
  <c r="W268" i="23" s="1"/>
  <c r="X252" i="23"/>
  <c r="X266" i="23"/>
  <c r="X269" i="23"/>
  <c r="G274" i="23"/>
  <c r="G273" i="23"/>
  <c r="G27" i="23"/>
  <c r="G218" i="23"/>
  <c r="U151" i="23"/>
  <c r="U216" i="23" s="1"/>
  <c r="AA213" i="23"/>
  <c r="AA218" i="23"/>
  <c r="AA217" i="23"/>
  <c r="F505" i="22"/>
  <c r="F508" i="22"/>
  <c r="Y86" i="23"/>
  <c r="AA86" i="23"/>
  <c r="Z86" i="23"/>
  <c r="U51" i="23"/>
  <c r="Y48" i="23"/>
  <c r="Y213" i="23"/>
  <c r="Y218" i="23"/>
  <c r="Y217" i="23"/>
  <c r="Z213" i="23"/>
  <c r="Z218" i="23"/>
  <c r="Z217" i="23"/>
  <c r="C710" i="22"/>
  <c r="E710" i="22" s="1"/>
  <c r="C719" i="22"/>
  <c r="C721" i="22" s="1"/>
  <c r="I698" i="22"/>
  <c r="G217" i="23"/>
  <c r="X225" i="23"/>
  <c r="G213" i="23"/>
  <c r="X134" i="23"/>
  <c r="X194" i="23" s="1"/>
  <c r="X131" i="23"/>
  <c r="X191" i="23" s="1"/>
  <c r="X187" i="23"/>
  <c r="X151" i="23"/>
  <c r="X216" i="23" s="1"/>
  <c r="X218" i="23" s="1"/>
  <c r="X195" i="23"/>
  <c r="X217" i="23"/>
  <c r="W146" i="23"/>
  <c r="W211" i="23" s="1"/>
  <c r="X189" i="23"/>
  <c r="X254" i="23"/>
  <c r="X271" i="23" s="1"/>
  <c r="X137" i="23"/>
  <c r="X197" i="23" s="1"/>
  <c r="X26" i="23"/>
  <c r="X41" i="23"/>
  <c r="X86" i="23"/>
  <c r="X49" i="23"/>
  <c r="X51" i="23"/>
  <c r="G194" i="23"/>
  <c r="G153" i="23"/>
  <c r="G137" i="23"/>
  <c r="G197" i="23" s="1"/>
  <c r="G189" i="23"/>
  <c r="G254" i="23"/>
  <c r="G271" i="23" s="1"/>
  <c r="W147" i="23"/>
  <c r="C620" i="22"/>
  <c r="W137" i="23"/>
  <c r="W197" i="23" s="1"/>
  <c r="D679" i="22"/>
  <c r="C681" i="22"/>
  <c r="E681" i="22" s="1"/>
  <c r="W135" i="23"/>
  <c r="W195" i="23" s="1"/>
  <c r="W132" i="23"/>
  <c r="W192" i="23" s="1"/>
  <c r="W194" i="23"/>
  <c r="V132" i="23"/>
  <c r="V192" i="23" s="1"/>
  <c r="C651" i="22"/>
  <c r="V194" i="23"/>
  <c r="D687" i="22"/>
  <c r="D689" i="22" s="1"/>
  <c r="V146" i="23"/>
  <c r="V100" i="23"/>
  <c r="V147" i="23"/>
  <c r="V135" i="23"/>
  <c r="V195" i="23" s="1"/>
  <c r="V137" i="23"/>
  <c r="V197" i="23" s="1"/>
  <c r="E682" i="22"/>
  <c r="F676" i="22" s="1"/>
  <c r="D676" i="22"/>
  <c r="U202" i="23"/>
  <c r="U131" i="23"/>
  <c r="U191" i="23" s="1"/>
  <c r="U125" i="23"/>
  <c r="U134" i="23"/>
  <c r="U194" i="23" s="1"/>
  <c r="U187" i="23"/>
  <c r="T56" i="25"/>
  <c r="F47" i="25"/>
  <c r="F85" i="23"/>
  <c r="U146" i="23"/>
  <c r="U100" i="23"/>
  <c r="T147" i="23"/>
  <c r="C713" i="22"/>
  <c r="U147" i="23"/>
  <c r="U135" i="23"/>
  <c r="U132" i="23"/>
  <c r="U192" i="23" s="1"/>
  <c r="E708" i="22"/>
  <c r="D719" i="22" s="1"/>
  <c r="D721" i="22" s="1"/>
  <c r="U41" i="23"/>
  <c r="U27" i="23"/>
  <c r="U29" i="23"/>
  <c r="F100" i="23"/>
  <c r="T84" i="23"/>
  <c r="T146" i="23" s="1"/>
  <c r="T37" i="23"/>
  <c r="F119" i="23"/>
  <c r="F123" i="23" s="1"/>
  <c r="F24" i="23"/>
  <c r="F45" i="23"/>
  <c r="F47" i="23" s="1"/>
  <c r="F148" i="23"/>
  <c r="F11" i="23"/>
  <c r="F207" i="23"/>
  <c r="F211" i="23" s="1"/>
  <c r="F186" i="23"/>
  <c r="F224" i="23"/>
  <c r="G225" i="23" s="1"/>
  <c r="T251" i="23"/>
  <c r="T150" i="23"/>
  <c r="T215" i="23" s="1"/>
  <c r="T10" i="23"/>
  <c r="T54" i="23"/>
  <c r="T164" i="23" s="1"/>
  <c r="T32" i="23"/>
  <c r="T33" i="23"/>
  <c r="T34" i="23"/>
  <c r="T35" i="23"/>
  <c r="T36" i="23"/>
  <c r="T159" i="23"/>
  <c r="T40" i="23"/>
  <c r="T162" i="23"/>
  <c r="T229" i="23"/>
  <c r="T186" i="23"/>
  <c r="C731" i="22"/>
  <c r="C727" i="22"/>
  <c r="N107" i="23"/>
  <c r="O107" i="23"/>
  <c r="Q107" i="23"/>
  <c r="S108" i="23"/>
  <c r="M150" i="23"/>
  <c r="O150" i="23"/>
  <c r="Q150" i="23"/>
  <c r="C72" i="23"/>
  <c r="D72" i="23"/>
  <c r="D73" i="23" s="1"/>
  <c r="E72" i="23"/>
  <c r="C70" i="23"/>
  <c r="E70" i="23"/>
  <c r="C65" i="23"/>
  <c r="D65" i="23"/>
  <c r="E65" i="23"/>
  <c r="C62" i="23"/>
  <c r="C61" i="23"/>
  <c r="C57" i="23" s="1"/>
  <c r="D61" i="23"/>
  <c r="D57" i="23" s="1"/>
  <c r="E61" i="23"/>
  <c r="E57" i="23" s="1"/>
  <c r="C206" i="23"/>
  <c r="C205" i="23"/>
  <c r="D205" i="23"/>
  <c r="D206" i="23"/>
  <c r="E205" i="23"/>
  <c r="E206" i="23"/>
  <c r="P205" i="23"/>
  <c r="P206" i="23"/>
  <c r="N205" i="23"/>
  <c r="N206" i="23"/>
  <c r="R206" i="23"/>
  <c r="R205" i="23"/>
  <c r="M206" i="23"/>
  <c r="M205" i="23"/>
  <c r="Q206" i="23"/>
  <c r="Q205" i="23"/>
  <c r="O206" i="23"/>
  <c r="O205" i="23"/>
  <c r="S205" i="23"/>
  <c r="S206" i="23"/>
  <c r="C743" i="22"/>
  <c r="C735" i="22"/>
  <c r="C750" i="22"/>
  <c r="P8" i="25"/>
  <c r="P54" i="25"/>
  <c r="P53" i="25"/>
  <c r="P51" i="25"/>
  <c r="P50" i="25"/>
  <c r="P45" i="25"/>
  <c r="P43" i="25"/>
  <c r="P41" i="25"/>
  <c r="P40" i="25"/>
  <c r="P14" i="25"/>
  <c r="P12" i="25"/>
  <c r="P11" i="25"/>
  <c r="P9" i="25"/>
  <c r="S55" i="25"/>
  <c r="S52" i="25"/>
  <c r="S44" i="25"/>
  <c r="S46" i="25" s="1"/>
  <c r="Q55" i="25"/>
  <c r="O55" i="25"/>
  <c r="N55" i="25"/>
  <c r="M55" i="25"/>
  <c r="E55" i="25"/>
  <c r="D55" i="25"/>
  <c r="C55" i="25"/>
  <c r="R55" i="25"/>
  <c r="Q52" i="25"/>
  <c r="O52" i="25"/>
  <c r="N52" i="25"/>
  <c r="M52" i="25"/>
  <c r="E52" i="25"/>
  <c r="D52" i="25"/>
  <c r="C52" i="25"/>
  <c r="R52" i="25"/>
  <c r="Q44" i="25"/>
  <c r="Q46" i="25" s="1"/>
  <c r="O44" i="25"/>
  <c r="O46" i="25" s="1"/>
  <c r="N44" i="25"/>
  <c r="N46" i="25" s="1"/>
  <c r="M44" i="25"/>
  <c r="M46" i="25" s="1"/>
  <c r="E44" i="25"/>
  <c r="E46" i="25" s="1"/>
  <c r="D44" i="25"/>
  <c r="D46" i="25" s="1"/>
  <c r="C44" i="25"/>
  <c r="C46" i="25" s="1"/>
  <c r="R44" i="25"/>
  <c r="R46" i="25" s="1"/>
  <c r="Q13" i="25"/>
  <c r="O13" i="25"/>
  <c r="N13" i="25"/>
  <c r="M13" i="25"/>
  <c r="E13" i="25"/>
  <c r="D13" i="25"/>
  <c r="C13" i="25"/>
  <c r="S13" i="25"/>
  <c r="R13" i="25"/>
  <c r="S150" i="23"/>
  <c r="N150" i="23"/>
  <c r="E150" i="23"/>
  <c r="D150" i="23"/>
  <c r="C150" i="23"/>
  <c r="S35" i="23"/>
  <c r="R35" i="23"/>
  <c r="Q35" i="23"/>
  <c r="O35" i="23"/>
  <c r="N35" i="23"/>
  <c r="M35" i="23"/>
  <c r="E35" i="23"/>
  <c r="D35" i="23"/>
  <c r="B35" i="23"/>
  <c r="C69" i="23" l="1"/>
  <c r="C56" i="23"/>
  <c r="E69" i="23"/>
  <c r="E56" i="23"/>
  <c r="D69" i="23"/>
  <c r="D56" i="23"/>
  <c r="F66" i="25"/>
  <c r="T62" i="25"/>
  <c r="T66" i="25" s="1"/>
  <c r="T65" i="25"/>
  <c r="T57" i="25"/>
  <c r="T61" i="25"/>
  <c r="T64" i="25"/>
  <c r="X75" i="25"/>
  <c r="T63" i="25"/>
  <c r="T60" i="25"/>
  <c r="T73" i="25"/>
  <c r="T72" i="25"/>
  <c r="T70" i="25"/>
  <c r="T69" i="25"/>
  <c r="S74" i="25"/>
  <c r="W74" i="25"/>
  <c r="S71" i="25"/>
  <c r="W71" i="25"/>
  <c r="U74" i="25"/>
  <c r="Q74" i="25"/>
  <c r="E74" i="25"/>
  <c r="F74" i="25"/>
  <c r="D74" i="25"/>
  <c r="D65" i="25"/>
  <c r="R74" i="25"/>
  <c r="R65" i="25"/>
  <c r="V74" i="25"/>
  <c r="U71" i="25"/>
  <c r="Q71" i="25"/>
  <c r="E71" i="25"/>
  <c r="F71" i="25"/>
  <c r="D71" i="25"/>
  <c r="R71" i="25"/>
  <c r="V71" i="25"/>
  <c r="X36" i="25"/>
  <c r="T22" i="25"/>
  <c r="T20" i="25"/>
  <c r="T25" i="25"/>
  <c r="T26" i="25" s="1"/>
  <c r="T23" i="25"/>
  <c r="T19" i="25"/>
  <c r="T21" i="25"/>
  <c r="T16" i="25"/>
  <c r="T29" i="25"/>
  <c r="T35" i="25"/>
  <c r="T33" i="25"/>
  <c r="T32" i="25"/>
  <c r="T30" i="25"/>
  <c r="Q15" i="25"/>
  <c r="Q24" i="25" s="1"/>
  <c r="U34" i="25"/>
  <c r="Q34" i="25"/>
  <c r="O15" i="25"/>
  <c r="O24" i="25" s="1"/>
  <c r="N15" i="25"/>
  <c r="N24" i="25" s="1"/>
  <c r="M15" i="25"/>
  <c r="M24" i="25" s="1"/>
  <c r="E15" i="25"/>
  <c r="F36" i="25" s="1"/>
  <c r="E34" i="25"/>
  <c r="F34" i="25"/>
  <c r="E24" i="25"/>
  <c r="D15" i="25"/>
  <c r="D24" i="25" s="1"/>
  <c r="D34" i="25"/>
  <c r="C15" i="25"/>
  <c r="C24" i="25" s="1"/>
  <c r="S15" i="25"/>
  <c r="S24" i="25" s="1"/>
  <c r="S34" i="25"/>
  <c r="W34" i="25"/>
  <c r="R15" i="25"/>
  <c r="R34" i="25"/>
  <c r="R24" i="25"/>
  <c r="V34" i="25"/>
  <c r="C258" i="23"/>
  <c r="C257" i="23"/>
  <c r="D258" i="23"/>
  <c r="D257" i="23"/>
  <c r="E258" i="23"/>
  <c r="E257" i="23"/>
  <c r="N261" i="23"/>
  <c r="N257" i="23"/>
  <c r="N258" i="23"/>
  <c r="R261" i="23"/>
  <c r="R257" i="23"/>
  <c r="R258" i="23"/>
  <c r="M261" i="23"/>
  <c r="M257" i="23"/>
  <c r="M258" i="23"/>
  <c r="Q261" i="23"/>
  <c r="Q257" i="23"/>
  <c r="Q258" i="23"/>
  <c r="O261" i="23"/>
  <c r="O257" i="23"/>
  <c r="O258" i="23"/>
  <c r="S261" i="23"/>
  <c r="S257" i="23"/>
  <c r="S258" i="23"/>
  <c r="W265" i="23"/>
  <c r="F142" i="23"/>
  <c r="F38" i="23"/>
  <c r="O236" i="23"/>
  <c r="O238" i="23"/>
  <c r="O237" i="23"/>
  <c r="O239" i="23"/>
  <c r="O235" i="23"/>
  <c r="Q236" i="23"/>
  <c r="Q238" i="23"/>
  <c r="Q235" i="23"/>
  <c r="Q237" i="23"/>
  <c r="Q239" i="23"/>
  <c r="P236" i="23"/>
  <c r="P238" i="23"/>
  <c r="P235" i="23"/>
  <c r="P239" i="23"/>
  <c r="P237" i="23"/>
  <c r="N235" i="23"/>
  <c r="N237" i="23"/>
  <c r="N239" i="23"/>
  <c r="N236" i="23"/>
  <c r="N238" i="23"/>
  <c r="M235" i="23"/>
  <c r="M237" i="23"/>
  <c r="M239" i="23"/>
  <c r="M236" i="23"/>
  <c r="M238" i="23"/>
  <c r="R236" i="23"/>
  <c r="R238" i="23"/>
  <c r="R235" i="23"/>
  <c r="R237" i="23"/>
  <c r="R239" i="23"/>
  <c r="S235" i="23"/>
  <c r="S237" i="23"/>
  <c r="S239" i="23"/>
  <c r="S238" i="23"/>
  <c r="S236" i="23"/>
  <c r="U276" i="23"/>
  <c r="I724" i="22"/>
  <c r="E741" i="22" s="1"/>
  <c r="D752" i="22" s="1"/>
  <c r="R251" i="23"/>
  <c r="N251" i="23"/>
  <c r="X276" i="23"/>
  <c r="X268" i="23"/>
  <c r="X265" i="23"/>
  <c r="F273" i="23"/>
  <c r="F274" i="23"/>
  <c r="M251" i="23"/>
  <c r="O251" i="23"/>
  <c r="C251" i="23"/>
  <c r="C261" i="23"/>
  <c r="W271" i="23"/>
  <c r="W269" i="23"/>
  <c r="W266" i="23"/>
  <c r="Q251" i="23"/>
  <c r="E251" i="23"/>
  <c r="E261" i="23"/>
  <c r="D251" i="23"/>
  <c r="D261" i="23"/>
  <c r="T19" i="23"/>
  <c r="W85" i="23" s="1"/>
  <c r="X160" i="23"/>
  <c r="Y89" i="23"/>
  <c r="AA89" i="23"/>
  <c r="Z89" i="23"/>
  <c r="E549" i="22"/>
  <c r="D543" i="22"/>
  <c r="D546" i="22"/>
  <c r="F212" i="23"/>
  <c r="F213" i="23" s="1"/>
  <c r="X153" i="23"/>
  <c r="W148" i="23"/>
  <c r="W152" i="23"/>
  <c r="F86" i="23"/>
  <c r="G48" i="23"/>
  <c r="X27" i="23"/>
  <c r="X89" i="23"/>
  <c r="X29" i="23"/>
  <c r="W212" i="23"/>
  <c r="W217" i="23" s="1"/>
  <c r="E620" i="22"/>
  <c r="D614" i="22"/>
  <c r="D617" i="22"/>
  <c r="C73" i="23"/>
  <c r="V148" i="23"/>
  <c r="E651" i="22"/>
  <c r="D645" i="22"/>
  <c r="D648" i="22"/>
  <c r="F679" i="22"/>
  <c r="V152" i="23"/>
  <c r="E73" i="23"/>
  <c r="U137" i="23"/>
  <c r="U197" i="23" s="1"/>
  <c r="U189" i="23"/>
  <c r="I725" i="22"/>
  <c r="V207" i="23"/>
  <c r="U254" i="23"/>
  <c r="U153" i="23"/>
  <c r="T148" i="23"/>
  <c r="U207" i="23"/>
  <c r="U152" i="23"/>
  <c r="U195" i="23"/>
  <c r="U148" i="23"/>
  <c r="T45" i="23"/>
  <c r="T47" i="23" s="1"/>
  <c r="C712" i="22"/>
  <c r="T11" i="23"/>
  <c r="T100" i="23"/>
  <c r="F149" i="23"/>
  <c r="F135" i="23"/>
  <c r="F250" i="23"/>
  <c r="F185" i="23"/>
  <c r="F132" i="23"/>
  <c r="F192" i="23" s="1"/>
  <c r="F127" i="23"/>
  <c r="F49" i="23"/>
  <c r="F51" i="23"/>
  <c r="F26" i="23"/>
  <c r="F89" i="23" s="1"/>
  <c r="F41" i="23"/>
  <c r="F229" i="23"/>
  <c r="T117" i="23"/>
  <c r="T207" i="23"/>
  <c r="R150" i="23"/>
  <c r="S251" i="23"/>
  <c r="C740" i="22"/>
  <c r="C751" i="22" s="1"/>
  <c r="C753" i="22" s="1"/>
  <c r="C56" i="25"/>
  <c r="E56" i="25"/>
  <c r="E65" i="25" s="1"/>
  <c r="O56" i="25"/>
  <c r="D56" i="25"/>
  <c r="P52" i="25"/>
  <c r="P55" i="25"/>
  <c r="P44" i="25"/>
  <c r="P46" i="25" s="1"/>
  <c r="P13" i="25"/>
  <c r="Q56" i="25"/>
  <c r="Q65" i="25" s="1"/>
  <c r="M56" i="25"/>
  <c r="S56" i="25"/>
  <c r="S62" i="25" s="1"/>
  <c r="N56" i="25"/>
  <c r="R56" i="25"/>
  <c r="M108" i="23"/>
  <c r="N108" i="23"/>
  <c r="T118" i="23" s="1"/>
  <c r="O108" i="23"/>
  <c r="Q108" i="23"/>
  <c r="R108" i="23"/>
  <c r="C108" i="23"/>
  <c r="D108" i="23"/>
  <c r="E108" i="23"/>
  <c r="C16" i="23"/>
  <c r="C35" i="23" s="1"/>
  <c r="C28" i="23"/>
  <c r="D28" i="23"/>
  <c r="E28" i="23"/>
  <c r="M28" i="23"/>
  <c r="AJ29" i="23" s="1"/>
  <c r="Q28" i="23"/>
  <c r="N28" i="23"/>
  <c r="R28" i="23"/>
  <c r="O28" i="23"/>
  <c r="P16" i="23"/>
  <c r="P21" i="23"/>
  <c r="Q62" i="25" l="1"/>
  <c r="S65" i="25"/>
  <c r="S66" i="25" s="1"/>
  <c r="Q66" i="25"/>
  <c r="E259" i="23"/>
  <c r="O259" i="23"/>
  <c r="C259" i="23"/>
  <c r="D259" i="23"/>
  <c r="C57" i="25"/>
  <c r="C62" i="25"/>
  <c r="C64" i="25"/>
  <c r="C63" i="25"/>
  <c r="C61" i="25"/>
  <c r="C60" i="25"/>
  <c r="C65" i="25"/>
  <c r="E57" i="25"/>
  <c r="E62" i="25"/>
  <c r="E66" i="25" s="1"/>
  <c r="E64" i="25"/>
  <c r="E75" i="25"/>
  <c r="E60" i="25"/>
  <c r="E61" i="25"/>
  <c r="E63" i="25"/>
  <c r="F75" i="25"/>
  <c r="O57" i="25"/>
  <c r="O60" i="25"/>
  <c r="O63" i="25"/>
  <c r="O65" i="25"/>
  <c r="O61" i="25"/>
  <c r="O62" i="25"/>
  <c r="O66" i="25" s="1"/>
  <c r="O64" i="25"/>
  <c r="D57" i="25"/>
  <c r="D62" i="25"/>
  <c r="D66" i="25" s="1"/>
  <c r="D75" i="25"/>
  <c r="D60" i="25"/>
  <c r="D64" i="25"/>
  <c r="D63" i="25"/>
  <c r="D61" i="25"/>
  <c r="T71" i="25"/>
  <c r="T74" i="25"/>
  <c r="Q57" i="25"/>
  <c r="U75" i="25"/>
  <c r="Q64" i="25"/>
  <c r="Q75" i="25"/>
  <c r="Q61" i="25"/>
  <c r="Q60" i="25"/>
  <c r="Q63" i="25"/>
  <c r="M57" i="25"/>
  <c r="M61" i="25"/>
  <c r="M60" i="25"/>
  <c r="M64" i="25"/>
  <c r="M65" i="25"/>
  <c r="M63" i="25"/>
  <c r="M62" i="25"/>
  <c r="M66" i="25" s="1"/>
  <c r="S57" i="25"/>
  <c r="S75" i="25"/>
  <c r="S64" i="25"/>
  <c r="W75" i="25"/>
  <c r="S60" i="25"/>
  <c r="S61" i="25"/>
  <c r="S63" i="25"/>
  <c r="N57" i="25"/>
  <c r="N61" i="25"/>
  <c r="N60" i="25"/>
  <c r="N64" i="25"/>
  <c r="N65" i="25"/>
  <c r="N63" i="25"/>
  <c r="N62" i="25"/>
  <c r="R57" i="25"/>
  <c r="R75" i="25"/>
  <c r="R61" i="25"/>
  <c r="V75" i="25"/>
  <c r="R60" i="25"/>
  <c r="R64" i="25"/>
  <c r="R63" i="25"/>
  <c r="R62" i="25"/>
  <c r="R66" i="25" s="1"/>
  <c r="U36" i="25"/>
  <c r="Q21" i="25"/>
  <c r="Q23" i="25"/>
  <c r="Q19" i="25"/>
  <c r="Q36" i="25"/>
  <c r="Q22" i="25"/>
  <c r="Q25" i="25"/>
  <c r="Q26" i="25" s="1"/>
  <c r="Q20" i="25"/>
  <c r="Q16" i="25"/>
  <c r="O21" i="25"/>
  <c r="O20" i="25"/>
  <c r="O23" i="25"/>
  <c r="O19" i="25"/>
  <c r="O22" i="25"/>
  <c r="O25" i="25"/>
  <c r="O26" i="25" s="1"/>
  <c r="O16" i="25"/>
  <c r="N19" i="25"/>
  <c r="N23" i="25"/>
  <c r="N21" i="25"/>
  <c r="N20" i="25"/>
  <c r="N22" i="25"/>
  <c r="N25" i="25"/>
  <c r="N26" i="25" s="1"/>
  <c r="N16" i="25"/>
  <c r="M21" i="25"/>
  <c r="M25" i="25"/>
  <c r="M26" i="25" s="1"/>
  <c r="M20" i="25"/>
  <c r="M19" i="25"/>
  <c r="M22" i="25"/>
  <c r="M23" i="25"/>
  <c r="M16" i="25"/>
  <c r="E21" i="25"/>
  <c r="E25" i="25"/>
  <c r="E26" i="25" s="1"/>
  <c r="E36" i="25"/>
  <c r="E23" i="25"/>
  <c r="E19" i="25"/>
  <c r="E20" i="25"/>
  <c r="E22" i="25"/>
  <c r="E16" i="25"/>
  <c r="D22" i="25"/>
  <c r="D36" i="25"/>
  <c r="D19" i="25"/>
  <c r="D21" i="25"/>
  <c r="D25" i="25"/>
  <c r="D26" i="25" s="1"/>
  <c r="D23" i="25"/>
  <c r="D20" i="25"/>
  <c r="D16" i="25"/>
  <c r="C19" i="25"/>
  <c r="C23" i="25"/>
  <c r="C22" i="25"/>
  <c r="C21" i="25"/>
  <c r="C20" i="25"/>
  <c r="C25" i="25"/>
  <c r="C26" i="25" s="1"/>
  <c r="C16" i="25"/>
  <c r="S20" i="25"/>
  <c r="S21" i="25"/>
  <c r="S25" i="25"/>
  <c r="S26" i="25" s="1"/>
  <c r="W36" i="25"/>
  <c r="S23" i="25"/>
  <c r="S22" i="25"/>
  <c r="S36" i="25"/>
  <c r="S19" i="25"/>
  <c r="S16" i="25"/>
  <c r="V36" i="25"/>
  <c r="R23" i="25"/>
  <c r="R21" i="25"/>
  <c r="R19" i="25"/>
  <c r="R36" i="25"/>
  <c r="R22" i="25"/>
  <c r="R20" i="25"/>
  <c r="R25" i="25"/>
  <c r="R26" i="25" s="1"/>
  <c r="R16" i="25"/>
  <c r="P15" i="25"/>
  <c r="P24" i="25" s="1"/>
  <c r="T34" i="25"/>
  <c r="R259" i="23"/>
  <c r="M259" i="23"/>
  <c r="Q259" i="23"/>
  <c r="S259" i="23"/>
  <c r="N259" i="23"/>
  <c r="AJ118" i="23"/>
  <c r="AJ119" i="23" s="1"/>
  <c r="C114" i="22" s="1"/>
  <c r="AJ109" i="23"/>
  <c r="E728" i="22"/>
  <c r="E737" i="22"/>
  <c r="E743" i="22"/>
  <c r="E731" i="22"/>
  <c r="E735" i="22"/>
  <c r="E736" i="22"/>
  <c r="E732" i="22"/>
  <c r="E729" i="22"/>
  <c r="E727" i="22"/>
  <c r="E733" i="22"/>
  <c r="T47" i="25"/>
  <c r="F269" i="23"/>
  <c r="F266" i="23"/>
  <c r="T24" i="23"/>
  <c r="T26" i="23" s="1"/>
  <c r="T27" i="23" s="1"/>
  <c r="F543" i="22"/>
  <c r="F546" i="22"/>
  <c r="X48" i="23"/>
  <c r="W213" i="23"/>
  <c r="W218" i="23"/>
  <c r="F614" i="22"/>
  <c r="F617" i="22"/>
  <c r="T49" i="23"/>
  <c r="W86" i="23"/>
  <c r="F645" i="22"/>
  <c r="F648" i="22"/>
  <c r="T51" i="23"/>
  <c r="V211" i="23"/>
  <c r="V212" i="23"/>
  <c r="U212" i="23"/>
  <c r="U211" i="23"/>
  <c r="T119" i="23"/>
  <c r="E712" i="22"/>
  <c r="E707" i="22"/>
  <c r="F27" i="23"/>
  <c r="F29" i="23"/>
  <c r="F187" i="23"/>
  <c r="F134" i="23"/>
  <c r="F131" i="23"/>
  <c r="F191" i="23" s="1"/>
  <c r="F202" i="23"/>
  <c r="F125" i="23"/>
  <c r="T125" i="23" s="1"/>
  <c r="F214" i="23"/>
  <c r="F217" i="23" s="1"/>
  <c r="F151" i="23"/>
  <c r="F216" i="23" s="1"/>
  <c r="F218" i="23" s="1"/>
  <c r="F252" i="23"/>
  <c r="F195" i="23"/>
  <c r="F152" i="23"/>
  <c r="T211" i="23"/>
  <c r="T212" i="23"/>
  <c r="T109" i="23"/>
  <c r="E740" i="22"/>
  <c r="D751" i="22" s="1"/>
  <c r="D753" i="22" s="1"/>
  <c r="P56" i="25"/>
  <c r="P62" i="25" s="1"/>
  <c r="S28" i="23"/>
  <c r="N66" i="25" l="1"/>
  <c r="P65" i="25"/>
  <c r="P66" i="25"/>
  <c r="C66" i="25"/>
  <c r="P64" i="25"/>
  <c r="T75" i="25"/>
  <c r="P61" i="25"/>
  <c r="P60" i="25"/>
  <c r="P63" i="25"/>
  <c r="P21" i="25"/>
  <c r="P20" i="25"/>
  <c r="P22" i="25"/>
  <c r="P23" i="25"/>
  <c r="P25" i="25"/>
  <c r="P26" i="25" s="1"/>
  <c r="P19" i="25"/>
  <c r="T36" i="25"/>
  <c r="AJ132" i="23"/>
  <c r="AJ192" i="23" s="1"/>
  <c r="AJ127" i="23"/>
  <c r="AJ38" i="23"/>
  <c r="AJ123" i="23"/>
  <c r="AJ125" i="23" s="1"/>
  <c r="AJ250" i="23"/>
  <c r="AJ135" i="23"/>
  <c r="AJ185" i="23"/>
  <c r="AJ149" i="23"/>
  <c r="T38" i="23"/>
  <c r="T123" i="23"/>
  <c r="E739" i="22"/>
  <c r="F265" i="23"/>
  <c r="F276" i="23"/>
  <c r="F268" i="23"/>
  <c r="T41" i="23"/>
  <c r="W89" i="23"/>
  <c r="C714" i="22"/>
  <c r="T28" i="23"/>
  <c r="U213" i="23"/>
  <c r="U217" i="23"/>
  <c r="U218" i="23"/>
  <c r="V213" i="23"/>
  <c r="V218" i="23"/>
  <c r="V217" i="23"/>
  <c r="T127" i="23"/>
  <c r="T149" i="23"/>
  <c r="T214" i="23" s="1"/>
  <c r="T217" i="23" s="1"/>
  <c r="T250" i="23"/>
  <c r="T135" i="23"/>
  <c r="T152" i="23" s="1"/>
  <c r="T132" i="23"/>
  <c r="T192" i="23" s="1"/>
  <c r="T185" i="23"/>
  <c r="T213" i="23"/>
  <c r="F153" i="23"/>
  <c r="F194" i="23"/>
  <c r="F254" i="23"/>
  <c r="F271" i="23" s="1"/>
  <c r="F189" i="23"/>
  <c r="F137" i="23"/>
  <c r="F197" i="23" s="1"/>
  <c r="S224" i="23"/>
  <c r="W225" i="23" s="1"/>
  <c r="R224" i="23"/>
  <c r="V225" i="23" s="1"/>
  <c r="Q224" i="23"/>
  <c r="U225" i="23" s="1"/>
  <c r="S221" i="23"/>
  <c r="R221" i="23"/>
  <c r="Q221" i="23"/>
  <c r="S210" i="23"/>
  <c r="R210" i="23"/>
  <c r="Q210" i="23"/>
  <c r="R207" i="23"/>
  <c r="Q207" i="23"/>
  <c r="S186" i="23"/>
  <c r="R186" i="23"/>
  <c r="Q186" i="23"/>
  <c r="S159" i="23"/>
  <c r="R159" i="23"/>
  <c r="Q159" i="23"/>
  <c r="S156" i="23"/>
  <c r="R156" i="23"/>
  <c r="Q156" i="23"/>
  <c r="S215" i="23"/>
  <c r="R215" i="23"/>
  <c r="Q215" i="23"/>
  <c r="S145" i="23"/>
  <c r="R145" i="23"/>
  <c r="Q145" i="23"/>
  <c r="S129" i="23"/>
  <c r="R129" i="23"/>
  <c r="Q129" i="23"/>
  <c r="S118" i="23"/>
  <c r="R118" i="23"/>
  <c r="Q118" i="23"/>
  <c r="S117" i="23"/>
  <c r="R117" i="23"/>
  <c r="Q117" i="23"/>
  <c r="S114" i="23"/>
  <c r="R114" i="23"/>
  <c r="Q114" i="23"/>
  <c r="S109" i="23"/>
  <c r="R109" i="23"/>
  <c r="Q109" i="23"/>
  <c r="S99" i="23"/>
  <c r="R99" i="23"/>
  <c r="Q99" i="23"/>
  <c r="S93" i="23"/>
  <c r="R93" i="23"/>
  <c r="Q93" i="23"/>
  <c r="S83" i="23"/>
  <c r="R83" i="23"/>
  <c r="Q83" i="23"/>
  <c r="S59" i="23"/>
  <c r="R59" i="23"/>
  <c r="Q59" i="23"/>
  <c r="S44" i="23"/>
  <c r="R44" i="23"/>
  <c r="Q44" i="23"/>
  <c r="S40" i="23"/>
  <c r="R40" i="23"/>
  <c r="Q40" i="23"/>
  <c r="S37" i="23"/>
  <c r="R37" i="23"/>
  <c r="Q37" i="23"/>
  <c r="S36" i="23"/>
  <c r="R36" i="23"/>
  <c r="Q36" i="23"/>
  <c r="S34" i="23"/>
  <c r="R34" i="23"/>
  <c r="Q34" i="23"/>
  <c r="S33" i="23"/>
  <c r="R33" i="23"/>
  <c r="Q33" i="23"/>
  <c r="S32" i="23"/>
  <c r="R32" i="23"/>
  <c r="Q32" i="23"/>
  <c r="S10" i="23"/>
  <c r="S19" i="23" s="1"/>
  <c r="R10" i="23"/>
  <c r="Q10" i="23"/>
  <c r="Q19" i="23" s="1"/>
  <c r="AJ214" i="23" l="1"/>
  <c r="AJ217" i="23" s="1"/>
  <c r="AJ151" i="23"/>
  <c r="AJ216" i="23" s="1"/>
  <c r="AJ218" i="23" s="1"/>
  <c r="AJ195" i="23"/>
  <c r="AJ152" i="23"/>
  <c r="AJ269" i="23"/>
  <c r="AJ266" i="23"/>
  <c r="AJ252" i="23"/>
  <c r="AJ131" i="23"/>
  <c r="AJ191" i="23" s="1"/>
  <c r="AJ142" i="23"/>
  <c r="AJ202" i="23" s="1"/>
  <c r="AJ187" i="23"/>
  <c r="AJ134" i="23"/>
  <c r="T134" i="23"/>
  <c r="T194" i="23" s="1"/>
  <c r="T142" i="23"/>
  <c r="T202" i="23" s="1"/>
  <c r="R11" i="23"/>
  <c r="R19" i="23"/>
  <c r="V160" i="23"/>
  <c r="W160" i="23"/>
  <c r="U160" i="23"/>
  <c r="T187" i="23"/>
  <c r="T29" i="23"/>
  <c r="T195" i="23"/>
  <c r="S47" i="25"/>
  <c r="V85" i="23"/>
  <c r="T151" i="23"/>
  <c r="T216" i="23" s="1"/>
  <c r="T218" i="23" s="1"/>
  <c r="T252" i="23"/>
  <c r="T131" i="23"/>
  <c r="T191" i="23" s="1"/>
  <c r="Q47" i="25"/>
  <c r="R119" i="23"/>
  <c r="R123" i="23" s="1"/>
  <c r="S119" i="23"/>
  <c r="S123" i="23" s="1"/>
  <c r="Q119" i="23"/>
  <c r="Q123" i="23" s="1"/>
  <c r="Q45" i="23"/>
  <c r="Q47" i="23" s="1"/>
  <c r="U48" i="23" s="1"/>
  <c r="Q24" i="23"/>
  <c r="S45" i="23"/>
  <c r="S47" i="23" s="1"/>
  <c r="W48" i="23" s="1"/>
  <c r="S24" i="23"/>
  <c r="Q11" i="23"/>
  <c r="S11" i="23"/>
  <c r="AJ276" i="23" l="1"/>
  <c r="AJ268" i="23"/>
  <c r="AJ265" i="23"/>
  <c r="AJ194" i="23"/>
  <c r="AJ153" i="23"/>
  <c r="T153" i="23"/>
  <c r="Q142" i="23"/>
  <c r="Q202" i="23" s="1"/>
  <c r="Q38" i="23"/>
  <c r="S142" i="23"/>
  <c r="S38" i="23"/>
  <c r="R142" i="23"/>
  <c r="R202" i="23" s="1"/>
  <c r="R38" i="23"/>
  <c r="T276" i="23"/>
  <c r="U85" i="23"/>
  <c r="S51" i="23"/>
  <c r="V86" i="23"/>
  <c r="T85" i="23"/>
  <c r="S149" i="23"/>
  <c r="S151" i="23" s="1"/>
  <c r="S216" i="23" s="1"/>
  <c r="S187" i="23"/>
  <c r="R250" i="23"/>
  <c r="R45" i="23"/>
  <c r="R47" i="23" s="1"/>
  <c r="V48" i="23" s="1"/>
  <c r="R47" i="25"/>
  <c r="Q185" i="23"/>
  <c r="R127" i="23"/>
  <c r="S127" i="23"/>
  <c r="R149" i="23"/>
  <c r="R151" i="23" s="1"/>
  <c r="R216" i="23" s="1"/>
  <c r="S185" i="23"/>
  <c r="R185" i="23"/>
  <c r="S250" i="23"/>
  <c r="Q127" i="23"/>
  <c r="Q149" i="23"/>
  <c r="Q151" i="23" s="1"/>
  <c r="Q216" i="23" s="1"/>
  <c r="Q250" i="23"/>
  <c r="R24" i="23"/>
  <c r="R26" i="23" s="1"/>
  <c r="S49" i="23"/>
  <c r="Q125" i="23"/>
  <c r="Q187" i="23"/>
  <c r="Q49" i="23"/>
  <c r="Q26" i="23"/>
  <c r="Q41" i="23"/>
  <c r="S41" i="23"/>
  <c r="S26" i="23"/>
  <c r="E114" i="23"/>
  <c r="R252" i="23" l="1"/>
  <c r="Q252" i="23"/>
  <c r="S252" i="23"/>
  <c r="S29" i="23"/>
  <c r="V89" i="23"/>
  <c r="R51" i="23"/>
  <c r="U86" i="23"/>
  <c r="U89" i="23"/>
  <c r="T86" i="23"/>
  <c r="T89" i="23"/>
  <c r="R49" i="23"/>
  <c r="S214" i="23"/>
  <c r="R125" i="23"/>
  <c r="R189" i="23" s="1"/>
  <c r="R187" i="23"/>
  <c r="R214" i="23"/>
  <c r="S202" i="23"/>
  <c r="S125" i="23"/>
  <c r="Q214" i="23"/>
  <c r="R41" i="23"/>
  <c r="R29" i="23"/>
  <c r="R27" i="23"/>
  <c r="Q189" i="23"/>
  <c r="Q254" i="23"/>
  <c r="S27" i="23"/>
  <c r="S162" i="23"/>
  <c r="S227" i="23"/>
  <c r="S54" i="23"/>
  <c r="S164" i="23" s="1"/>
  <c r="Q29" i="23"/>
  <c r="Q27" i="23"/>
  <c r="R276" i="23" l="1"/>
  <c r="W228" i="23"/>
  <c r="V263" i="23"/>
  <c r="S276" i="23"/>
  <c r="Q276" i="23"/>
  <c r="E713" i="22"/>
  <c r="D707" i="22"/>
  <c r="D710" i="22"/>
  <c r="P150" i="23"/>
  <c r="P251" i="23"/>
  <c r="R254" i="23"/>
  <c r="S189" i="23"/>
  <c r="S254" i="23"/>
  <c r="S229" i="23"/>
  <c r="V269" i="23" l="1"/>
  <c r="V266" i="23"/>
  <c r="V268" i="23"/>
  <c r="V271" i="23"/>
  <c r="V265" i="23"/>
  <c r="F710" i="22"/>
  <c r="F707" i="22"/>
  <c r="P23" i="23" l="1"/>
  <c r="O10" i="23"/>
  <c r="O19" i="23" s="1"/>
  <c r="O47" i="25" s="1"/>
  <c r="N10" i="23"/>
  <c r="N19" i="23" s="1"/>
  <c r="N47" i="25" s="1"/>
  <c r="M10" i="23"/>
  <c r="M19" i="23" s="1"/>
  <c r="M47" i="25" s="1"/>
  <c r="D10" i="23"/>
  <c r="D19" i="23" s="1"/>
  <c r="C10" i="23"/>
  <c r="C19" i="23" s="1"/>
  <c r="E10" i="23"/>
  <c r="E19" i="23" s="1"/>
  <c r="O24" i="23" l="1"/>
  <c r="N24" i="23"/>
  <c r="M24" i="23"/>
  <c r="C739" i="22" l="1"/>
  <c r="C742" i="22" l="1"/>
  <c r="C746" i="22"/>
  <c r="E742" i="22" l="1"/>
  <c r="P9" i="23"/>
  <c r="E744" i="22" l="1"/>
  <c r="C118" i="23"/>
  <c r="C117" i="23"/>
  <c r="C114" i="23"/>
  <c r="C109" i="23"/>
  <c r="D118" i="23"/>
  <c r="D117" i="23"/>
  <c r="D114" i="23"/>
  <c r="D109" i="23"/>
  <c r="E118" i="23"/>
  <c r="E117" i="23"/>
  <c r="E109" i="23"/>
  <c r="M118" i="23"/>
  <c r="M117" i="23"/>
  <c r="M114" i="23"/>
  <c r="M109" i="23"/>
  <c r="N118" i="23"/>
  <c r="N117" i="23"/>
  <c r="N114" i="23"/>
  <c r="N109" i="23"/>
  <c r="O118" i="23"/>
  <c r="O117" i="23"/>
  <c r="O114" i="23"/>
  <c r="O109" i="23"/>
  <c r="E33" i="23"/>
  <c r="D33" i="23"/>
  <c r="C33" i="23"/>
  <c r="O33" i="23"/>
  <c r="N33" i="23"/>
  <c r="M33" i="23"/>
  <c r="B33" i="23"/>
  <c r="P20" i="23"/>
  <c r="P22" i="23"/>
  <c r="C47" i="25"/>
  <c r="Q39" i="23" l="1"/>
  <c r="R39" i="23"/>
  <c r="S39" i="23"/>
  <c r="P39" i="23"/>
  <c r="D119" i="23"/>
  <c r="D123" i="23" s="1"/>
  <c r="C24" i="23"/>
  <c r="D47" i="25"/>
  <c r="E47" i="25"/>
  <c r="M119" i="23"/>
  <c r="M123" i="23" s="1"/>
  <c r="N119" i="23"/>
  <c r="N123" i="23" s="1"/>
  <c r="E119" i="23"/>
  <c r="E123" i="23" s="1"/>
  <c r="C119" i="23"/>
  <c r="C123" i="23" s="1"/>
  <c r="O119" i="23"/>
  <c r="O123" i="23" s="1"/>
  <c r="D142" i="23" l="1"/>
  <c r="D38" i="23"/>
  <c r="C142" i="23"/>
  <c r="C38" i="23"/>
  <c r="E38" i="23"/>
  <c r="D127" i="23"/>
  <c r="D125" i="23"/>
  <c r="O125" i="23"/>
  <c r="N125" i="23"/>
  <c r="M125" i="23"/>
  <c r="E24" i="23"/>
  <c r="D24" i="23"/>
  <c r="M127" i="23"/>
  <c r="C127" i="23"/>
  <c r="N127" i="23"/>
  <c r="O127" i="23"/>
  <c r="E127" i="23"/>
  <c r="P207" i="23"/>
  <c r="O207" i="23"/>
  <c r="N207" i="23"/>
  <c r="M207" i="23"/>
  <c r="E207" i="23"/>
  <c r="D207" i="23"/>
  <c r="C207" i="23"/>
  <c r="AJ254" i="23" l="1"/>
  <c r="AJ271" i="23" s="1"/>
  <c r="AJ189" i="23"/>
  <c r="AJ137" i="23"/>
  <c r="AJ197" i="23" s="1"/>
  <c r="E125" i="23"/>
  <c r="E142" i="23"/>
  <c r="T137" i="23"/>
  <c r="T197" i="23" s="1"/>
  <c r="T189" i="23"/>
  <c r="T254" i="23"/>
  <c r="C125" i="23"/>
  <c r="P46" i="23" l="1"/>
  <c r="P14" i="23"/>
  <c r="O99" i="23" l="1"/>
  <c r="N99" i="23"/>
  <c r="M99" i="23"/>
  <c r="D99" i="23"/>
  <c r="C99" i="23"/>
  <c r="E99" i="23"/>
  <c r="O45" i="23"/>
  <c r="N26" i="23"/>
  <c r="M26" i="23"/>
  <c r="M29" i="23" s="1"/>
  <c r="O37" i="23"/>
  <c r="N37" i="23"/>
  <c r="M37" i="23"/>
  <c r="D37" i="23"/>
  <c r="C37" i="23"/>
  <c r="E37" i="23"/>
  <c r="B37" i="23"/>
  <c r="O34" i="23"/>
  <c r="N34" i="23"/>
  <c r="M34" i="23"/>
  <c r="D34" i="23"/>
  <c r="C34" i="23"/>
  <c r="E34" i="23"/>
  <c r="B34" i="23"/>
  <c r="P17" i="23"/>
  <c r="P15" i="23"/>
  <c r="N29" i="23" l="1"/>
  <c r="M45" i="23"/>
  <c r="N45" i="23"/>
  <c r="O26" i="23"/>
  <c r="E40" i="23"/>
  <c r="D40" i="23"/>
  <c r="C40" i="23"/>
  <c r="E36" i="23"/>
  <c r="D36" i="23"/>
  <c r="C36" i="23"/>
  <c r="E32" i="23"/>
  <c r="D32" i="23"/>
  <c r="C32" i="23"/>
  <c r="O40" i="23"/>
  <c r="N40" i="23"/>
  <c r="M40" i="23"/>
  <c r="O36" i="23"/>
  <c r="N36" i="23"/>
  <c r="M36" i="23"/>
  <c r="O32" i="23"/>
  <c r="N32" i="23"/>
  <c r="M32" i="23"/>
  <c r="B36" i="23"/>
  <c r="P7" i="23"/>
  <c r="T8" i="23" l="1"/>
  <c r="P56" i="23"/>
  <c r="P57" i="25"/>
  <c r="P16" i="25"/>
  <c r="P35" i="23"/>
  <c r="S84" i="23"/>
  <c r="R84" i="23"/>
  <c r="Q84" i="23"/>
  <c r="O29" i="23"/>
  <c r="P33" i="23"/>
  <c r="P10" i="23"/>
  <c r="E85" i="23"/>
  <c r="E26" i="23"/>
  <c r="E45" i="23"/>
  <c r="P34" i="23"/>
  <c r="C85" i="23"/>
  <c r="C26" i="23"/>
  <c r="C29" i="23" s="1"/>
  <c r="C45" i="23"/>
  <c r="D26" i="23"/>
  <c r="D29" i="23" s="1"/>
  <c r="D85" i="23"/>
  <c r="D45" i="23"/>
  <c r="P37" i="23"/>
  <c r="P36" i="23"/>
  <c r="Q146" i="23" l="1"/>
  <c r="Q211" i="23" s="1"/>
  <c r="Q100" i="23"/>
  <c r="R146" i="23"/>
  <c r="R211" i="23" s="1"/>
  <c r="R100" i="23"/>
  <c r="S146" i="23"/>
  <c r="S100" i="23"/>
  <c r="D41" i="23"/>
  <c r="E41" i="23"/>
  <c r="C41" i="23"/>
  <c r="M41" i="23"/>
  <c r="N41" i="23"/>
  <c r="O41" i="23"/>
  <c r="P224" i="23"/>
  <c r="T225" i="23" s="1"/>
  <c r="E11" i="23"/>
  <c r="O11" i="23"/>
  <c r="P13" i="23"/>
  <c r="P25" i="23"/>
  <c r="P28" i="23"/>
  <c r="B32" i="23"/>
  <c r="B40" i="23"/>
  <c r="C44" i="23"/>
  <c r="D44" i="23"/>
  <c r="E44" i="23"/>
  <c r="M44" i="23"/>
  <c r="N44" i="23"/>
  <c r="O44" i="23"/>
  <c r="P44" i="23"/>
  <c r="C59" i="23"/>
  <c r="D59" i="23"/>
  <c r="E59" i="23"/>
  <c r="M59" i="23"/>
  <c r="N59" i="23"/>
  <c r="O59" i="23"/>
  <c r="P59" i="23"/>
  <c r="D178" i="23"/>
  <c r="D244" i="23"/>
  <c r="C83" i="23"/>
  <c r="D83" i="23"/>
  <c r="E83" i="23"/>
  <c r="M83" i="23"/>
  <c r="N83" i="23"/>
  <c r="O83" i="23"/>
  <c r="P83" i="23"/>
  <c r="B84" i="23"/>
  <c r="C84" i="23"/>
  <c r="C146" i="23" s="1"/>
  <c r="C211" i="23" s="1"/>
  <c r="E84" i="23"/>
  <c r="E146" i="23" s="1"/>
  <c r="E211" i="23" s="1"/>
  <c r="C88" i="23"/>
  <c r="D88" i="23"/>
  <c r="E88" i="23"/>
  <c r="C93" i="23"/>
  <c r="D93" i="23"/>
  <c r="E93" i="23"/>
  <c r="M93" i="23"/>
  <c r="N93" i="23"/>
  <c r="O93" i="23"/>
  <c r="P93" i="23"/>
  <c r="P95" i="23"/>
  <c r="P96" i="23"/>
  <c r="P102" i="23" s="1"/>
  <c r="P98" i="23"/>
  <c r="P104" i="23" s="1"/>
  <c r="P107" i="23"/>
  <c r="P108" i="23"/>
  <c r="P112" i="23"/>
  <c r="P257" i="23" s="1"/>
  <c r="P113" i="23"/>
  <c r="P258" i="23" s="1"/>
  <c r="P126" i="23"/>
  <c r="P261" i="23" s="1"/>
  <c r="C129" i="23"/>
  <c r="D129" i="23"/>
  <c r="E129" i="23"/>
  <c r="M129" i="23"/>
  <c r="N129" i="23"/>
  <c r="O129" i="23"/>
  <c r="P129" i="23"/>
  <c r="C145" i="23"/>
  <c r="D145" i="23"/>
  <c r="E145" i="23"/>
  <c r="M145" i="23"/>
  <c r="N145" i="23"/>
  <c r="O145" i="23"/>
  <c r="P145" i="23"/>
  <c r="C215" i="23"/>
  <c r="E215" i="23"/>
  <c r="M215" i="23"/>
  <c r="N215" i="23"/>
  <c r="O215" i="23"/>
  <c r="C156" i="23"/>
  <c r="D156" i="23"/>
  <c r="E156" i="23"/>
  <c r="M156" i="23"/>
  <c r="N156" i="23"/>
  <c r="O156" i="23"/>
  <c r="P156" i="23"/>
  <c r="B159" i="23"/>
  <c r="C159" i="23"/>
  <c r="E159" i="23"/>
  <c r="F160" i="23" s="1"/>
  <c r="M159" i="23"/>
  <c r="Q160" i="23" s="1"/>
  <c r="O159" i="23"/>
  <c r="S160" i="23" s="1"/>
  <c r="P159" i="23"/>
  <c r="T160" i="23" s="1"/>
  <c r="B162" i="23"/>
  <c r="B163" i="23"/>
  <c r="B164" i="23"/>
  <c r="B166" i="23"/>
  <c r="B167" i="23"/>
  <c r="B168" i="23"/>
  <c r="C168" i="23"/>
  <c r="D168" i="23"/>
  <c r="E168" i="23"/>
  <c r="B169" i="23"/>
  <c r="C169" i="23"/>
  <c r="D169" i="23"/>
  <c r="E169" i="23"/>
  <c r="B170" i="23"/>
  <c r="B171" i="23"/>
  <c r="C171" i="23"/>
  <c r="B172" i="23"/>
  <c r="C172" i="23"/>
  <c r="D172" i="23"/>
  <c r="E172" i="23"/>
  <c r="B173" i="23"/>
  <c r="C173" i="23"/>
  <c r="D173" i="23"/>
  <c r="E173" i="23"/>
  <c r="B174" i="23"/>
  <c r="B175" i="23"/>
  <c r="C175" i="23"/>
  <c r="D175" i="23"/>
  <c r="E175" i="23"/>
  <c r="B176" i="23"/>
  <c r="C176" i="23"/>
  <c r="D176" i="23"/>
  <c r="B177" i="23"/>
  <c r="C177" i="23"/>
  <c r="D177" i="23"/>
  <c r="E177" i="23"/>
  <c r="B178" i="23"/>
  <c r="B179" i="23"/>
  <c r="C179" i="23"/>
  <c r="B180" i="23"/>
  <c r="B181" i="23"/>
  <c r="B182" i="23"/>
  <c r="C182" i="23"/>
  <c r="D182" i="23"/>
  <c r="E182" i="23"/>
  <c r="B183" i="23"/>
  <c r="B185" i="23"/>
  <c r="B186" i="23"/>
  <c r="C186" i="23"/>
  <c r="D186" i="23"/>
  <c r="E186" i="23"/>
  <c r="M186" i="23"/>
  <c r="N186" i="23"/>
  <c r="O186" i="23"/>
  <c r="B187" i="23"/>
  <c r="B189" i="23"/>
  <c r="B191" i="23"/>
  <c r="B192" i="23"/>
  <c r="B194" i="23"/>
  <c r="B195" i="23"/>
  <c r="B197" i="23"/>
  <c r="B199" i="23"/>
  <c r="B200" i="23"/>
  <c r="B202" i="23"/>
  <c r="C210" i="23"/>
  <c r="D210" i="23"/>
  <c r="E210" i="23"/>
  <c r="M210" i="23"/>
  <c r="N210" i="23"/>
  <c r="O210" i="23"/>
  <c r="P210" i="23"/>
  <c r="C221" i="23"/>
  <c r="D221" i="23"/>
  <c r="E221" i="23"/>
  <c r="M221" i="23"/>
  <c r="N221" i="23"/>
  <c r="O221" i="23"/>
  <c r="P221" i="23"/>
  <c r="B224" i="23"/>
  <c r="C224" i="23"/>
  <c r="E224" i="23"/>
  <c r="F225" i="23" s="1"/>
  <c r="M224" i="23"/>
  <c r="Q225" i="23" s="1"/>
  <c r="O224" i="23"/>
  <c r="S225" i="23" s="1"/>
  <c r="B227" i="23"/>
  <c r="B228" i="23"/>
  <c r="B229" i="23"/>
  <c r="B231" i="23"/>
  <c r="B232" i="23"/>
  <c r="E232" i="23"/>
  <c r="B233" i="23"/>
  <c r="C233" i="23"/>
  <c r="D233" i="23"/>
  <c r="E233" i="23"/>
  <c r="B234" i="23"/>
  <c r="C234" i="23"/>
  <c r="D234" i="23"/>
  <c r="E234" i="23"/>
  <c r="B235" i="23"/>
  <c r="B236" i="23"/>
  <c r="B237" i="23"/>
  <c r="C237" i="23"/>
  <c r="D237" i="23"/>
  <c r="E237" i="23"/>
  <c r="B238" i="23"/>
  <c r="C238" i="23"/>
  <c r="D238" i="23"/>
  <c r="E238" i="23"/>
  <c r="B239" i="23"/>
  <c r="B240" i="23"/>
  <c r="C240" i="23"/>
  <c r="D240" i="23"/>
  <c r="B241" i="23"/>
  <c r="C241" i="23"/>
  <c r="D241" i="23"/>
  <c r="B242" i="23"/>
  <c r="C242" i="23"/>
  <c r="D242" i="23"/>
  <c r="E242" i="23"/>
  <c r="B243" i="23"/>
  <c r="D243" i="23"/>
  <c r="B244" i="23"/>
  <c r="C244" i="23"/>
  <c r="B245" i="23"/>
  <c r="B246" i="23"/>
  <c r="B247" i="23"/>
  <c r="C247" i="23"/>
  <c r="D247" i="23"/>
  <c r="E247" i="23"/>
  <c r="B248" i="23"/>
  <c r="B250" i="23"/>
  <c r="B251" i="23"/>
  <c r="B252" i="23"/>
  <c r="B254" i="23"/>
  <c r="B265" i="23"/>
  <c r="B266" i="23"/>
  <c r="B268" i="23"/>
  <c r="B269" i="23"/>
  <c r="B271" i="23"/>
  <c r="B273" i="23"/>
  <c r="B274" i="23"/>
  <c r="B276" i="23"/>
  <c r="P259" i="23" l="1"/>
  <c r="P19" i="23"/>
  <c r="P47" i="25" s="1"/>
  <c r="P40" i="23"/>
  <c r="C100" i="23"/>
  <c r="P215" i="23"/>
  <c r="C236" i="23"/>
  <c r="D179" i="23"/>
  <c r="C90" i="23"/>
  <c r="P32" i="23"/>
  <c r="D232" i="23"/>
  <c r="E167" i="23"/>
  <c r="P114" i="23"/>
  <c r="E243" i="23"/>
  <c r="E178" i="23"/>
  <c r="E240" i="23"/>
  <c r="E100" i="23"/>
  <c r="P97" i="23"/>
  <c r="D167" i="23"/>
  <c r="P118" i="23"/>
  <c r="D236" i="23"/>
  <c r="C232" i="23"/>
  <c r="C167" i="23"/>
  <c r="E171" i="23"/>
  <c r="P109" i="23"/>
  <c r="P117" i="23"/>
  <c r="E176" i="23"/>
  <c r="E241" i="23"/>
  <c r="E244" i="23"/>
  <c r="E90" i="23"/>
  <c r="E236" i="23"/>
  <c r="E179" i="23"/>
  <c r="D171" i="23"/>
  <c r="D215" i="23"/>
  <c r="D90" i="23"/>
  <c r="C178" i="23"/>
  <c r="C243" i="23"/>
  <c r="E47" i="23"/>
  <c r="D84" i="23"/>
  <c r="D146" i="23" s="1"/>
  <c r="D211" i="23" s="1"/>
  <c r="D159" i="23"/>
  <c r="D160" i="23" s="1"/>
  <c r="D224" i="23"/>
  <c r="D225" i="23" s="1"/>
  <c r="N159" i="23"/>
  <c r="R160" i="23" s="1"/>
  <c r="N224" i="23"/>
  <c r="R225" i="23" s="1"/>
  <c r="M11" i="23"/>
  <c r="P186" i="23"/>
  <c r="P84" i="23"/>
  <c r="P146" i="23" s="1"/>
  <c r="P211" i="23" s="1"/>
  <c r="C11" i="23"/>
  <c r="P99" i="23" l="1"/>
  <c r="P100" i="23" s="1"/>
  <c r="P103" i="23"/>
  <c r="E51" i="23"/>
  <c r="F48" i="23"/>
  <c r="S85" i="23"/>
  <c r="R85" i="23"/>
  <c r="Q85" i="23"/>
  <c r="E60" i="23"/>
  <c r="E64" i="23" s="1"/>
  <c r="P24" i="23"/>
  <c r="P26" i="23" s="1"/>
  <c r="O149" i="23"/>
  <c r="O151" i="23" s="1"/>
  <c r="O216" i="23" s="1"/>
  <c r="M185" i="23"/>
  <c r="P45" i="23"/>
  <c r="P85" i="23"/>
  <c r="O185" i="23"/>
  <c r="N250" i="23"/>
  <c r="N252" i="23" s="1"/>
  <c r="N185" i="23"/>
  <c r="N149" i="23"/>
  <c r="N151" i="23" s="1"/>
  <c r="N216" i="23" s="1"/>
  <c r="M149" i="23"/>
  <c r="M214" i="23" s="1"/>
  <c r="C250" i="23"/>
  <c r="C202" i="23"/>
  <c r="M250" i="23"/>
  <c r="M252" i="23" s="1"/>
  <c r="C185" i="23"/>
  <c r="C149" i="23"/>
  <c r="O250" i="23"/>
  <c r="O252" i="23" s="1"/>
  <c r="D100" i="23"/>
  <c r="N189" i="23"/>
  <c r="N187" i="23"/>
  <c r="C187" i="23"/>
  <c r="C254" i="23"/>
  <c r="P119" i="23"/>
  <c r="P123" i="23" s="1"/>
  <c r="E225" i="23"/>
  <c r="D185" i="23"/>
  <c r="D250" i="23"/>
  <c r="D149" i="23"/>
  <c r="E86" i="23"/>
  <c r="E49" i="23"/>
  <c r="E160" i="23"/>
  <c r="O47" i="23"/>
  <c r="D11" i="23"/>
  <c r="P11" i="23"/>
  <c r="N11" i="23"/>
  <c r="M47" i="23"/>
  <c r="C47" i="23"/>
  <c r="P142" i="23" l="1"/>
  <c r="P38" i="23"/>
  <c r="C252" i="23"/>
  <c r="D252" i="23"/>
  <c r="S48" i="23"/>
  <c r="P29" i="23"/>
  <c r="S89" i="23"/>
  <c r="Q89" i="23"/>
  <c r="R89" i="23"/>
  <c r="Q48" i="23"/>
  <c r="E68" i="23"/>
  <c r="E74" i="23" s="1"/>
  <c r="O214" i="23"/>
  <c r="O187" i="23"/>
  <c r="C744" i="22"/>
  <c r="P41" i="23"/>
  <c r="N254" i="23"/>
  <c r="M187" i="23"/>
  <c r="N214" i="23"/>
  <c r="M189" i="23"/>
  <c r="M151" i="23"/>
  <c r="M216" i="23" s="1"/>
  <c r="E250" i="23"/>
  <c r="C151" i="23"/>
  <c r="C216" i="23" s="1"/>
  <c r="C214" i="23"/>
  <c r="C189" i="23"/>
  <c r="O254" i="23"/>
  <c r="E185" i="23"/>
  <c r="E149" i="23"/>
  <c r="P185" i="23"/>
  <c r="P250" i="23"/>
  <c r="P127" i="23"/>
  <c r="P149" i="23"/>
  <c r="E87" i="23"/>
  <c r="E227" i="23"/>
  <c r="E263" i="23" s="1"/>
  <c r="E54" i="23"/>
  <c r="E164" i="23" s="1"/>
  <c r="E162" i="23"/>
  <c r="D187" i="23"/>
  <c r="D202" i="23"/>
  <c r="D214" i="23"/>
  <c r="D151" i="23"/>
  <c r="D216" i="23" s="1"/>
  <c r="M49" i="23"/>
  <c r="D47" i="23"/>
  <c r="P125" i="23"/>
  <c r="E189" i="23"/>
  <c r="E254" i="23"/>
  <c r="C49" i="23"/>
  <c r="C86" i="23"/>
  <c r="O49" i="23"/>
  <c r="N47" i="23"/>
  <c r="N51" i="23" s="1"/>
  <c r="P47" i="23"/>
  <c r="E271" i="23" l="1"/>
  <c r="P252" i="23"/>
  <c r="E274" i="23"/>
  <c r="E273" i="23"/>
  <c r="E252" i="23"/>
  <c r="E269" i="23"/>
  <c r="E266" i="23"/>
  <c r="D276" i="23"/>
  <c r="C276" i="23"/>
  <c r="S86" i="23"/>
  <c r="T48" i="23"/>
  <c r="E229" i="23"/>
  <c r="F228" i="23"/>
  <c r="E75" i="23"/>
  <c r="E81" i="23" s="1"/>
  <c r="R86" i="23"/>
  <c r="R48" i="23"/>
  <c r="Q86" i="23"/>
  <c r="E131" i="23"/>
  <c r="E191" i="23" s="1"/>
  <c r="E134" i="23"/>
  <c r="E202" i="23"/>
  <c r="E187" i="23"/>
  <c r="C163" i="23"/>
  <c r="M254" i="23"/>
  <c r="O189" i="23"/>
  <c r="E214" i="23"/>
  <c r="E151" i="23"/>
  <c r="E216" i="23" s="1"/>
  <c r="E140" i="23"/>
  <c r="E200" i="23" s="1"/>
  <c r="E147" i="23"/>
  <c r="E212" i="23" s="1"/>
  <c r="E139" i="23"/>
  <c r="E199" i="23" s="1"/>
  <c r="E132" i="23"/>
  <c r="E192" i="23" s="1"/>
  <c r="E135" i="23"/>
  <c r="P187" i="23"/>
  <c r="P202" i="23"/>
  <c r="E231" i="23"/>
  <c r="E166" i="23"/>
  <c r="E137" i="23"/>
  <c r="P214" i="23"/>
  <c r="P151" i="23"/>
  <c r="P216" i="23" s="1"/>
  <c r="D254" i="23"/>
  <c r="D189" i="23"/>
  <c r="P86" i="23"/>
  <c r="P49" i="23"/>
  <c r="D49" i="23"/>
  <c r="D48" i="23"/>
  <c r="E48" i="23"/>
  <c r="D86" i="23"/>
  <c r="P254" i="23"/>
  <c r="P189" i="23"/>
  <c r="N49" i="23"/>
  <c r="E268" i="23" l="1"/>
  <c r="E276" i="23"/>
  <c r="E265" i="23"/>
  <c r="P276" i="23"/>
  <c r="E77" i="23"/>
  <c r="E197" i="23"/>
  <c r="E170" i="23"/>
  <c r="E235" i="23"/>
  <c r="E153" i="23"/>
  <c r="E194" i="23"/>
  <c r="E148" i="23"/>
  <c r="E195" i="23"/>
  <c r="E152" i="23"/>
  <c r="E213" i="23" l="1"/>
  <c r="E217" i="23"/>
  <c r="E218" i="23"/>
  <c r="E239" i="23"/>
  <c r="E174" i="23"/>
  <c r="E91" i="23"/>
  <c r="E180" i="23" l="1"/>
  <c r="E245" i="23"/>
  <c r="E183" i="23" l="1"/>
  <c r="E181" i="23"/>
  <c r="E246" i="23"/>
  <c r="E248" i="23" l="1"/>
  <c r="M27" i="23" l="1"/>
  <c r="N27" i="23"/>
  <c r="O27" i="23"/>
  <c r="P27" i="23"/>
  <c r="P89" i="23"/>
  <c r="D89" i="23"/>
  <c r="E27" i="23"/>
  <c r="C27" i="23" l="1"/>
  <c r="C89" i="23"/>
  <c r="E89" i="23"/>
  <c r="D27" i="23"/>
  <c r="E29" i="23"/>
  <c r="S134" i="23"/>
  <c r="S153" i="23" s="1"/>
  <c r="S131" i="23"/>
  <c r="S191" i="23" s="1"/>
  <c r="S194" i="23" l="1"/>
  <c r="P131" i="23"/>
  <c r="P191" i="23" s="1"/>
  <c r="P134" i="23"/>
  <c r="P194" i="23" s="1"/>
  <c r="D134" i="23"/>
  <c r="D194" i="23" s="1"/>
  <c r="D131" i="23"/>
  <c r="D191" i="23" s="1"/>
  <c r="P153" i="23" l="1"/>
  <c r="D153" i="23"/>
  <c r="C134" i="23"/>
  <c r="C194" i="23" s="1"/>
  <c r="C131" i="23"/>
  <c r="C191" i="23" s="1"/>
  <c r="C153" i="23" l="1"/>
  <c r="R134" i="23"/>
  <c r="R194" i="23" s="1"/>
  <c r="R131" i="23"/>
  <c r="R191" i="23" s="1"/>
  <c r="R153" i="23" l="1"/>
  <c r="Q134" i="23"/>
  <c r="Q194" i="23" s="1"/>
  <c r="Q131" i="23"/>
  <c r="Q191" i="23" s="1"/>
  <c r="Q153" i="23" l="1"/>
  <c r="R162" i="23" l="1"/>
  <c r="R227" i="23"/>
  <c r="U263" i="23" s="1"/>
  <c r="R54" i="23"/>
  <c r="R164" i="23" s="1"/>
  <c r="U269" i="23" l="1"/>
  <c r="U266" i="23"/>
  <c r="U265" i="23"/>
  <c r="U268" i="23"/>
  <c r="U271" i="23"/>
  <c r="R229" i="23"/>
  <c r="V228" i="23"/>
  <c r="N162" i="23"/>
  <c r="N227" i="23"/>
  <c r="R53" i="23"/>
  <c r="R163" i="23" s="1"/>
  <c r="N54" i="23"/>
  <c r="N164" i="23" s="1"/>
  <c r="N229" i="23" l="1"/>
  <c r="R228" i="23"/>
  <c r="Q227" i="23"/>
  <c r="Q162" i="23"/>
  <c r="Q54" i="23"/>
  <c r="Q164" i="23" s="1"/>
  <c r="Q51" i="23"/>
  <c r="U228" i="23" l="1"/>
  <c r="T263" i="23"/>
  <c r="Q229" i="23"/>
  <c r="T266" i="23" l="1"/>
  <c r="T269" i="23"/>
  <c r="T268" i="23"/>
  <c r="T265" i="23"/>
  <c r="T271" i="23"/>
  <c r="M162" i="23"/>
  <c r="M227" i="23"/>
  <c r="M54" i="23"/>
  <c r="M164" i="23" s="1"/>
  <c r="Q53" i="23"/>
  <c r="Q163" i="23" s="1"/>
  <c r="M51" i="23"/>
  <c r="Q228" i="23" l="1"/>
  <c r="M229" i="23"/>
  <c r="O162" i="23" l="1"/>
  <c r="S53" i="23"/>
  <c r="S163" i="23" s="1"/>
  <c r="O227" i="23"/>
  <c r="O54" i="23"/>
  <c r="O164" i="23" s="1"/>
  <c r="P52" i="23"/>
  <c r="O51" i="23"/>
  <c r="O229" i="23" l="1"/>
  <c r="S87" i="23"/>
  <c r="C745" i="22" s="1"/>
  <c r="E745" i="22" s="1"/>
  <c r="T53" i="23"/>
  <c r="T163" i="23" s="1"/>
  <c r="P227" i="23"/>
  <c r="S263" i="23" s="1"/>
  <c r="R87" i="23"/>
  <c r="P87" i="23"/>
  <c r="P51" i="23"/>
  <c r="P162" i="23"/>
  <c r="Q87" i="23"/>
  <c r="P54" i="23"/>
  <c r="P164" i="23" s="1"/>
  <c r="S228" i="23"/>
  <c r="S269" i="23" l="1"/>
  <c r="S266" i="23"/>
  <c r="S265" i="23"/>
  <c r="S268" i="23"/>
  <c r="S271" i="23"/>
  <c r="P263" i="23"/>
  <c r="Q263" i="23"/>
  <c r="R263" i="23"/>
  <c r="D742" i="22"/>
  <c r="D739" i="22"/>
  <c r="F739" i="22"/>
  <c r="F742" i="22"/>
  <c r="Q147" i="23"/>
  <c r="Q135" i="23"/>
  <c r="Q137" i="23"/>
  <c r="Q197" i="23" s="1"/>
  <c r="Q132" i="23"/>
  <c r="Q192" i="23" s="1"/>
  <c r="P197" i="23"/>
  <c r="P147" i="23"/>
  <c r="P135" i="23"/>
  <c r="P132" i="23"/>
  <c r="P192" i="23" s="1"/>
  <c r="R137" i="23"/>
  <c r="R197" i="23" s="1"/>
  <c r="R147" i="23"/>
  <c r="R135" i="23"/>
  <c r="R132" i="23"/>
  <c r="R192" i="23" s="1"/>
  <c r="S137" i="23"/>
  <c r="S197" i="23" s="1"/>
  <c r="S147" i="23"/>
  <c r="S132" i="23"/>
  <c r="S192" i="23" s="1"/>
  <c r="S135" i="23"/>
  <c r="P229" i="23"/>
  <c r="P271" i="23" l="1"/>
  <c r="P266" i="23"/>
  <c r="P269" i="23"/>
  <c r="P268" i="23"/>
  <c r="P265" i="23"/>
  <c r="Q269" i="23"/>
  <c r="Q266" i="23"/>
  <c r="Q268" i="23"/>
  <c r="Q271" i="23"/>
  <c r="Q265" i="23"/>
  <c r="R266" i="23"/>
  <c r="R269" i="23"/>
  <c r="R265" i="23"/>
  <c r="R268" i="23"/>
  <c r="R271" i="23"/>
  <c r="S148" i="23"/>
  <c r="R195" i="23"/>
  <c r="R152" i="23"/>
  <c r="Q212" i="23"/>
  <c r="Q148" i="23"/>
  <c r="S195" i="23"/>
  <c r="S152" i="23"/>
  <c r="P195" i="23"/>
  <c r="P152" i="23"/>
  <c r="Q195" i="23"/>
  <c r="Q152" i="23"/>
  <c r="R212" i="23"/>
  <c r="R148" i="23"/>
  <c r="P148" i="23"/>
  <c r="P212" i="23"/>
  <c r="Q213" i="23" l="1"/>
  <c r="Q218" i="23"/>
  <c r="Q217" i="23"/>
  <c r="P217" i="23"/>
  <c r="P213" i="23"/>
  <c r="P218" i="23"/>
  <c r="R217" i="23"/>
  <c r="R218" i="23"/>
  <c r="R213" i="23"/>
  <c r="D162" i="23" l="1"/>
  <c r="D227" i="23"/>
  <c r="D263" i="23" s="1"/>
  <c r="D54" i="23"/>
  <c r="D164" i="23" s="1"/>
  <c r="E53" i="23"/>
  <c r="E163" i="23" s="1"/>
  <c r="D60" i="23"/>
  <c r="D64" i="23" s="1"/>
  <c r="D87" i="23"/>
  <c r="D132" i="23" s="1"/>
  <c r="D192" i="23" s="1"/>
  <c r="D51" i="23"/>
  <c r="E228" i="23" l="1"/>
  <c r="D137" i="23"/>
  <c r="D197" i="23" s="1"/>
  <c r="D140" i="23"/>
  <c r="D200" i="23" s="1"/>
  <c r="D229" i="23"/>
  <c r="D170" i="23"/>
  <c r="D68" i="23"/>
  <c r="D235" i="23"/>
  <c r="D231" i="23"/>
  <c r="D166" i="23"/>
  <c r="D139" i="23"/>
  <c r="D199" i="23" s="1"/>
  <c r="D135" i="23"/>
  <c r="D147" i="23"/>
  <c r="D212" i="23" s="1"/>
  <c r="D273" i="23" l="1"/>
  <c r="D274" i="23"/>
  <c r="D266" i="23"/>
  <c r="D269" i="23"/>
  <c r="D265" i="23"/>
  <c r="D268" i="23"/>
  <c r="D271" i="23"/>
  <c r="D148" i="23"/>
  <c r="D195" i="23"/>
  <c r="D152" i="23"/>
  <c r="D74" i="23"/>
  <c r="D75" i="23" s="1"/>
  <c r="D81" i="23" s="1"/>
  <c r="D239" i="23"/>
  <c r="D91" i="23"/>
  <c r="D174" i="23"/>
  <c r="D77" i="23" l="1"/>
  <c r="D245" i="23"/>
  <c r="D180" i="23"/>
  <c r="D213" i="23"/>
  <c r="D217" i="23"/>
  <c r="D218" i="23"/>
  <c r="D183" i="23" l="1"/>
  <c r="D248" i="23"/>
  <c r="D246" i="23"/>
  <c r="D181" i="23"/>
  <c r="C162" i="23"/>
  <c r="C227" i="23"/>
  <c r="C54" i="23"/>
  <c r="C164" i="23" s="1"/>
  <c r="C60" i="23"/>
  <c r="C166" i="23" s="1"/>
  <c r="D53" i="23"/>
  <c r="D163" i="23" s="1"/>
  <c r="C51" i="23"/>
  <c r="C87" i="23"/>
  <c r="C139" i="23" s="1"/>
  <c r="C199" i="23" s="1"/>
  <c r="C229" i="23" l="1"/>
  <c r="C263" i="23"/>
  <c r="D228" i="23"/>
  <c r="C64" i="23"/>
  <c r="C235" i="23" s="1"/>
  <c r="C231" i="23"/>
  <c r="C132" i="23"/>
  <c r="C192" i="23" s="1"/>
  <c r="C140" i="23"/>
  <c r="C200" i="23" s="1"/>
  <c r="C147" i="23"/>
  <c r="C212" i="23" s="1"/>
  <c r="C137" i="23"/>
  <c r="C197" i="23" s="1"/>
  <c r="C135" i="23"/>
  <c r="C274" i="23" l="1"/>
  <c r="C273" i="23"/>
  <c r="C271" i="23"/>
  <c r="C269" i="23"/>
  <c r="C266" i="23"/>
  <c r="C265" i="23"/>
  <c r="C268" i="23"/>
  <c r="C170" i="23"/>
  <c r="C68" i="23"/>
  <c r="C195" i="23"/>
  <c r="C152" i="23"/>
  <c r="C148" i="23"/>
  <c r="C91" i="23" l="1"/>
  <c r="C74" i="23"/>
  <c r="C75" i="23" s="1"/>
  <c r="C81" i="23" s="1"/>
  <c r="C239" i="23"/>
  <c r="C174" i="23"/>
  <c r="C217" i="23"/>
  <c r="C218" i="23"/>
  <c r="C213" i="23"/>
  <c r="C180" i="23" l="1"/>
  <c r="C245" i="23"/>
  <c r="C181" i="23" l="1"/>
  <c r="C246" i="23"/>
  <c r="C77" i="23"/>
  <c r="C78" i="23" s="1"/>
  <c r="C80" i="23" s="1"/>
  <c r="D78" i="23" l="1"/>
  <c r="D80" i="23" s="1"/>
  <c r="C248" i="23"/>
  <c r="C183" i="23"/>
  <c r="E78" i="23" l="1"/>
  <c r="F78" i="23" l="1"/>
  <c r="F80" i="23" s="1"/>
  <c r="E80" i="23"/>
  <c r="S207" i="23"/>
  <c r="S212" i="23" s="1"/>
  <c r="G78" i="23" l="1"/>
  <c r="H78" i="23"/>
  <c r="H80" i="23" s="1"/>
  <c r="G80" i="23"/>
  <c r="S218" i="23"/>
  <c r="S217" i="23"/>
  <c r="S211" i="23"/>
  <c r="S213" i="23" s="1"/>
  <c r="AC15" i="25"/>
  <c r="I78" i="23" l="1"/>
  <c r="J78" i="23"/>
  <c r="J80" i="23" s="1"/>
  <c r="I80" i="23"/>
  <c r="AC16" i="25"/>
  <c r="AC25" i="25"/>
  <c r="AC23" i="25"/>
  <c r="AC22" i="25"/>
  <c r="AC21" i="25"/>
  <c r="AC20" i="25"/>
  <c r="AC19" i="25"/>
  <c r="AG36" i="25"/>
  <c r="AC36" i="25"/>
  <c r="AC24" i="25"/>
  <c r="AC26" i="25" l="1"/>
  <c r="AJ47" i="23"/>
  <c r="AJ86" i="23" l="1"/>
  <c r="AK86" i="23"/>
  <c r="AJ48" i="23"/>
  <c r="AJ49" i="23"/>
  <c r="AJ5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Nayeem Shakir</author>
    <author>Crisil GR&amp;RS</author>
  </authors>
  <commentList>
    <comment ref="B35" authorId="0" shapeId="0" xr:uid="{BB4ACA07-623F-4E8B-9C72-055E34DC2636}">
      <text>
        <r>
          <rPr>
            <b/>
            <sz val="9"/>
            <color indexed="81"/>
            <rFont val="Tahoma"/>
            <charset val="1"/>
          </rPr>
          <t xml:space="preserve">CRISIL:
</t>
        </r>
        <r>
          <rPr>
            <sz val="9"/>
            <color indexed="81"/>
            <rFont val="Tahoma"/>
            <family val="2"/>
          </rPr>
          <t>data n/a in report, so took from BBG</t>
        </r>
      </text>
    </comment>
    <comment ref="C40" authorId="1" shapeId="0" xr:uid="{7854948B-AE62-4C8D-9C20-F4D0891741F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79" authorId="0" shapeId="0" xr:uid="{F6ECB6B9-24D5-40F4-94DD-4D3AFED706D4}">
      <text>
        <r>
          <rPr>
            <b/>
            <sz val="9"/>
            <color indexed="81"/>
            <rFont val="Tahoma"/>
            <charset val="1"/>
          </rPr>
          <t xml:space="preserve">CRISIL:
</t>
        </r>
        <r>
          <rPr>
            <sz val="9"/>
            <color indexed="81"/>
            <rFont val="Tahoma"/>
            <family val="2"/>
          </rPr>
          <t>data n/a in report, so took from BBG</t>
        </r>
      </text>
    </comment>
    <comment ref="C84" authorId="1" shapeId="0" xr:uid="{C2A31446-FF96-4278-95C0-2DBAB3CB0D9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123" authorId="0" shapeId="0" xr:uid="{4EAF7835-8450-41EE-93D8-5E07C5149832}">
      <text>
        <r>
          <rPr>
            <b/>
            <sz val="9"/>
            <color indexed="81"/>
            <rFont val="Tahoma"/>
            <charset val="1"/>
          </rPr>
          <t xml:space="preserve">CRISIL:
</t>
        </r>
        <r>
          <rPr>
            <sz val="9"/>
            <color indexed="81"/>
            <rFont val="Tahoma"/>
            <family val="2"/>
          </rPr>
          <t>data n/a in report, so took from BBG</t>
        </r>
      </text>
    </comment>
    <comment ref="C128" authorId="1" shapeId="0" xr:uid="{623964B1-8917-4CD7-99C4-335DBAD4923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166" authorId="0" shapeId="0" xr:uid="{E4A9AD88-055E-4A3C-9ECB-86DE9E57B709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BBG</t>
        </r>
      </text>
    </comment>
    <comment ref="C171" authorId="1" shapeId="0" xr:uid="{B3882669-254C-42CC-81D7-20083B102EA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207" authorId="0" shapeId="0" xr:uid="{09AC3A58-A2C2-4032-9B01-86F9ADE8D5C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BBG</t>
        </r>
      </text>
    </comment>
    <comment ref="C212" authorId="1" shapeId="0" xr:uid="{1624617E-DE3B-4FAF-B734-0F2E1F0AE53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250" authorId="0" shapeId="0" xr:uid="{083A0E1A-D013-472A-892E-912205CDDBC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BBG</t>
        </r>
      </text>
    </comment>
    <comment ref="C254" authorId="1" shapeId="0" xr:uid="{66A17506-703B-40B9-BEDC-71AC6E85151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288" authorId="0" shapeId="0" xr:uid="{49433436-7A9F-4892-95C8-CE0524698EFD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BBG</t>
        </r>
      </text>
    </comment>
    <comment ref="C292" authorId="1" shapeId="0" xr:uid="{661E6A37-7DC9-4B49-96A1-9DB7796747F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327" authorId="0" shapeId="0" xr:uid="{09D2703A-31A6-47A4-960E-C098029781B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BBG</t>
        </r>
      </text>
    </comment>
    <comment ref="C331" authorId="1" shapeId="0" xr:uid="{B6B914E8-9BF8-4C3F-A21A-D3CAD215315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366" authorId="0" shapeId="0" xr:uid="{2AC61C5E-5B2F-4779-8CAE-DC124907D20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BBG</t>
        </r>
      </text>
    </comment>
    <comment ref="C370" authorId="1" shapeId="0" xr:uid="{2021C8A4-9FE0-4281-8577-C427B1CB0E8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405" authorId="0" shapeId="0" xr:uid="{D7F3B37C-826A-4037-AF54-E82E8C0E4DE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BBG</t>
        </r>
      </text>
    </comment>
    <comment ref="C409" authorId="1" shapeId="0" xr:uid="{05E20704-90F4-4772-840E-BE1771715C1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C448" authorId="1" shapeId="0" xr:uid="{66D1E515-9DDD-466E-AC46-29F83405B70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Balancing</t>
        </r>
      </text>
    </comment>
    <comment ref="B482" authorId="1" shapeId="0" xr:uid="{884C6464-B435-41B1-8E43-F8BEEE71912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updated for latest- FY22 on Bloomberg. We have taken the available data.</t>
        </r>
      </text>
    </comment>
    <comment ref="B520" authorId="1" shapeId="0" xr:uid="{D032E8F9-351B-4F94-89A8-2B7E307E6AD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updated for latest- FY22 on Bloomberg. We have taken the available data.</t>
        </r>
      </text>
    </comment>
    <comment ref="B590" authorId="1" shapeId="0" xr:uid="{E6BFFC0E-E133-44E5-B1E1-5878ECB2705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updated for latest- FY22 on Bloomberg. We have taken the available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Pramod Doke</author>
    <author>CRISIL</author>
    <author>Crisil GR&amp;RS</author>
    <author>Pramod Vasant Doke</author>
    <author>CRISL GR&amp;RS</author>
  </authors>
  <commentList>
    <comment ref="C16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Impairment of goodwill and intangible assets
</t>
        </r>
      </text>
    </comment>
    <comment ref="B61" authorId="1" shapeId="0" xr:uid="{5DFE535D-01AA-4181-B8D1-5CE792E1B584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Includes:
* Accounts receivable
* Inventories
* Accounts payable</t>
        </r>
      </text>
    </comment>
    <comment ref="K66" authorId="1" shapeId="0" xr:uid="{4E5E42F0-3CE0-4DEB-9BA0-E892DE36C059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C66" authorId="1" shapeId="0" xr:uid="{892A4A28-0771-41F3-BF32-355035E2805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D66" authorId="1" shapeId="0" xr:uid="{5A290A5C-653E-48E8-B986-176A1536592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E66" authorId="1" shapeId="0" xr:uid="{922C1B0F-9620-4E89-B4D3-92948E57F50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F66" authorId="1" shapeId="0" xr:uid="{5208C796-5742-4CE8-8EC7-31B242351E1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G66" authorId="1" shapeId="0" xr:uid="{58EBDD7B-230A-4884-AA16-D7B79C5E7A2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H66" authorId="1" shapeId="0" xr:uid="{AD3BCB77-E695-4374-AE13-6C41660052F2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I66" authorId="1" shapeId="0" xr:uid="{58610A34-4829-4434-96D6-D48D13A678B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J66" authorId="1" shapeId="0" xr:uid="{0159F674-12C6-40CE-93E1-DF02DDCB4AC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K66" authorId="1" shapeId="0" xr:uid="{DBEA718B-3065-4EC5-91C0-6372ED4154FD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AL66" authorId="1" shapeId="0" xr:uid="{47AE455C-9741-4A69-B921-EAC06BB5A1DD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 Impact from consumer financing receivables included in the operating cash flow</t>
        </r>
      </text>
    </comment>
    <comment ref="I69" authorId="1" shapeId="0" xr:uid="{6D0B5C4E-650C-45BE-BD5C-A29B3EB0218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Majolry includes Maturity of time deposits and wealth management products and purchases of time deposits and wealth management products</t>
        </r>
      </text>
    </comment>
    <comment ref="J69" authorId="1" shapeId="0" xr:uid="{0B92E85B-D244-48D9-9C28-ACEE086A509A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FY includes:
* Purchases of time deposits and wealth management products: (80,193)
* Maturity of time deposits and wealth management products: 133,308
* Purchases of investment securities: (60)
* Disposal of investment securities : 3,213
* Prepayments and investments in equity investees: (935)
* Disposal of equity investments: 2,881
* Cash paid for loan originations: (83,617) 
* Cash received from loan repayments : 82,915
* Disposal of equipment and other assets: 169
* Cash paid for asset acquisitions, net of cash acquired: (3,607)
* Cash paid for construction in progress: (5,964)
* Sales of development properties: 4,887
* Loans settled by/(provided to) JD Technology: (680)
* Other investing activities : (1,160)</t>
        </r>
      </text>
    </comment>
    <comment ref="F75" authorId="2" shapeId="0" xr:uid="{102FF050-35E3-4B30-8245-7F11C462F8E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Major difference due to difference in EBITDA &amp; Adj EBITDA</t>
        </r>
      </text>
    </comment>
    <comment ref="G75" authorId="2" shapeId="0" xr:uid="{D9F8C3DA-8709-4E7F-9159-19B2F64AFE9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Major difference due to difference in EBITDA &amp; Adj EBITDA</t>
        </r>
      </text>
    </comment>
    <comment ref="H75" authorId="2" shapeId="0" xr:uid="{ED7C3C1A-A600-4B70-B876-9E610DF9E62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Major difference due to difference in EBITDA &amp; Adj EBITDA</t>
        </r>
      </text>
    </comment>
    <comment ref="I75" authorId="2" shapeId="0" xr:uid="{B48BACF7-9571-4C02-9FB1-087E04D5826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Major difference due to difference in EBITDA &amp; Adj EBITDA</t>
        </r>
      </text>
    </comment>
    <comment ref="J75" authorId="2" shapeId="0" xr:uid="{286B0F63-B515-43DD-85A5-2F457F37EF6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It is due to use of EBITDA instead of net income to calculate CFO and other adjustments apart from working capital, majorly:
* Deferred income tax: (4,742)
* Impairment of long-lived assets and goodwill: 1,303
* Share of results of equity investees: (8,025)
* Advance to suppliers: 1,821
* Prepayments and other current assets: 1,162
* Operating lease right-of-use assets: (5,931)
* Other non-current assets: (1,059)
* Advance from customers: 3,429
* Taxes payable: (2,275)
* Accrued expenses and other current liabilities: 3,492
* Operating lease liabilities: 6,719</t>
        </r>
      </text>
    </comment>
    <comment ref="E77" authorId="3" shapeId="0" xr:uid="{622E4083-5EFB-47D0-B2E0-A2A8B6212801}">
      <text>
        <r>
          <rPr>
            <sz val="9"/>
            <color indexed="81"/>
            <rFont val="Tahoma"/>
            <family val="2"/>
          </rPr>
          <t>Includeds cash, cash equivalents, and restricted cash classified within assets held for sale at end of year.</t>
        </r>
      </text>
    </comment>
    <comment ref="F77" authorId="3" shapeId="0" xr:uid="{5ABDF900-281F-4AB5-991A-3BE23E6B0C0D}">
      <text>
        <r>
          <rPr>
            <sz val="9"/>
            <color indexed="81"/>
            <rFont val="Tahoma"/>
            <family val="2"/>
          </rPr>
          <t>Includeds cash, cash equivalents, and restricted cash classified within assets held for sale at end of year.</t>
        </r>
      </text>
    </comment>
    <comment ref="G77" authorId="3" shapeId="0" xr:uid="{E8F69F10-D43F-47F0-B1F9-3F6869979CCE}">
      <text>
        <r>
          <rPr>
            <sz val="9"/>
            <color indexed="81"/>
            <rFont val="Tahoma"/>
            <family val="2"/>
          </rPr>
          <t>Includeds cash, cash equivalents, and restricted cash classified within assets held for sale at end of year.</t>
        </r>
      </text>
    </comment>
    <comment ref="H77" authorId="3" shapeId="0" xr:uid="{802F5B57-574B-467D-B636-BD5B1C0B1796}">
      <text>
        <r>
          <rPr>
            <sz val="9"/>
            <color indexed="81"/>
            <rFont val="Tahoma"/>
            <family val="2"/>
          </rPr>
          <t>Includeds cash, cash equivalents, and restricted cash classified within assets held for sale at end of year.</t>
        </r>
      </text>
    </comment>
    <comment ref="I77" authorId="3" shapeId="0" xr:uid="{49239E62-CE0E-43D2-AA3A-3396F705FAD4}">
      <text>
        <r>
          <rPr>
            <sz val="9"/>
            <color indexed="81"/>
            <rFont val="Tahoma"/>
            <family val="2"/>
          </rPr>
          <t>Includeds cash, cash equivalents, and restricted cash classified within assets held for sale at end of year.</t>
        </r>
      </text>
    </comment>
    <comment ref="F78" authorId="2" shapeId="0" xr:uid="{D0906163-8932-4E87-8AC8-A8A1A777843D}">
      <text>
        <r>
          <rPr>
            <b/>
            <sz val="9"/>
            <color indexed="81"/>
            <rFont val="Tahoma"/>
            <family val="2"/>
          </rPr>
          <t xml:space="preserve">Crisil GR&amp;RS:
</t>
        </r>
        <r>
          <rPr>
            <sz val="9"/>
            <color indexed="81"/>
            <rFont val="Tahoma"/>
            <family val="2"/>
          </rPr>
          <t>Adjusted for restricted cash</t>
        </r>
      </text>
    </comment>
    <comment ref="G78" authorId="4" shapeId="0" xr:uid="{628B77B6-75A0-4A76-B982-DFD8A7F9232A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Adjusted for restricted cash</t>
        </r>
      </text>
    </comment>
    <comment ref="H78" authorId="4" shapeId="0" xr:uid="{AA453E0E-DF51-4CAD-B5A3-45747C7B0A6C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Adjusted for restricted cash</t>
        </r>
      </text>
    </comment>
    <comment ref="I78" authorId="4" shapeId="0" xr:uid="{CCD573C1-BCD1-4A0E-99AF-7380CF348E4E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Adjusted for restricted cash</t>
        </r>
      </text>
    </comment>
    <comment ref="C80" authorId="2" shapeId="0" xr:uid="{65F1B451-DB60-4F9F-AFA1-2A87AE6632E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D80" authorId="2" shapeId="0" xr:uid="{B630C030-EBF9-433E-BCCF-808C78FCC25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E80" authorId="2" shapeId="0" xr:uid="{6D169956-A559-4561-B047-475E0445D59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F80" authorId="2" shapeId="0" xr:uid="{B2EC6842-4681-451B-B246-8A514E842C1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G80" authorId="2" shapeId="0" xr:uid="{83FA97C2-D0BB-4779-B9F7-DA47EF2797D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H80" authorId="2" shapeId="0" xr:uid="{E150FC53-5010-41D0-8B16-D9344085040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I80" authorId="2" shapeId="0" xr:uid="{1CC422C9-C99A-40DE-8D32-0955A2BBAD1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J80" authorId="2" shapeId="0" xr:uid="{1A617DD6-AA7B-49FA-9787-C941C9B5813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Restricted cash and Short-term investment</t>
        </r>
      </text>
    </comment>
    <comment ref="B95" authorId="1" shapeId="0" xr:uid="{C289E40D-A41D-43FE-B8F6-5D98E01D35A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Property, equipment and software, net
* Land use rights, net</t>
        </r>
      </text>
    </comment>
    <comment ref="B106" authorId="1" shapeId="0" xr:uid="{9DF7421C-AE8E-46F8-B351-F5A34DE2D0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senior notes
2. borrowings</t>
        </r>
      </text>
    </comment>
    <comment ref="J107" authorId="1" shapeId="0" xr:uid="{ED682D26-F35A-4B94-9522-0D417584780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unsecured senior notes: 3,511 
2. borrowings: 8,014</t>
        </r>
      </text>
    </comment>
    <comment ref="AH107" authorId="1" shapeId="0" xr:uid="{F2E33694-64C0-473F-873E-9C770BD8224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senior notes
2. borrowings</t>
        </r>
      </text>
    </comment>
    <comment ref="AI107" authorId="1" shapeId="0" xr:uid="{8F2B85E9-D46E-431E-82FD-995991C78FA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senior notes
2. borrowings</t>
        </r>
      </text>
    </comment>
    <comment ref="AK107" authorId="1" shapeId="0" xr:uid="{5533F13C-33EF-4B17-AF50-B393608AA29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* Short-term debts: 8,274
* Unsecured senior notes: 3,459 </t>
        </r>
      </text>
    </comment>
    <comment ref="AL107" authorId="1" shapeId="0" xr:uid="{AD0CA121-5768-4F64-8297-AB24EC1F8E6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* Short-term debts: 3,534
* Unsecured senior notes: 13,555 </t>
        </r>
      </text>
    </comment>
    <comment ref="J108" authorId="1" shapeId="0" xr:uid="{A4636E7D-4977-4B45-A15E-13C55F9AC6B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unsecured senior notes: 20,798 
2. borrowings: 41,675</t>
        </r>
      </text>
    </comment>
    <comment ref="AH108" authorId="1" shapeId="0" xr:uid="{7C10CBC3-317E-4CA3-826E-C25955C2D0A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senior notes
2. borrowings</t>
        </r>
      </text>
    </comment>
    <comment ref="AI108" authorId="1" shapeId="0" xr:uid="{D627B243-290E-454B-A1ED-647748D308C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senior notes
2. borrowings</t>
        </r>
      </text>
    </comment>
    <comment ref="AK108" authorId="1" shapeId="0" xr:uid="{84EBF1EA-C5BE-4270-ACC2-274BDE02605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* Long-term debts: 42,162 
* Unsecured senior notes: 20,494</t>
        </r>
      </text>
    </comment>
    <comment ref="AL108" authorId="1" shapeId="0" xr:uid="{50BD0EB6-2DBC-4CAF-B9D4-6117A93D922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* Long-term debts: 36,196
* Unsecured senior notes: 16,607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</authors>
  <commentList>
    <comment ref="J8" authorId="0" shapeId="0" xr:uid="{9B55FC59-77F7-41BB-A314-31223BF8365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G8" authorId="0" shapeId="0" xr:uid="{9F86056A-C2FB-4A06-BF93-B2C1E9E35074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H8" authorId="0" shapeId="0" xr:uid="{5DEF8963-4A0B-40A6-8CCA-23B82E6FA75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I8" authorId="0" shapeId="0" xr:uid="{7F057F6F-51CC-40F3-9AA6-D20529288E6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K8" authorId="0" shapeId="0" xr:uid="{E0690570-317F-4B0A-906F-13180AF87F2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L8" authorId="0" shapeId="0" xr:uid="{364A5512-791D-4A21-9741-950EAB360AF2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J40" authorId="0" shapeId="0" xr:uid="{86C75D67-188E-4F1B-A252-C870B8D9414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H40" authorId="0" shapeId="0" xr:uid="{061940E6-9C32-44A0-8325-158CBC39BFA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I40" authorId="0" shapeId="0" xr:uid="{F14F5CC4-E141-4A2C-94C9-7AD8E5651E0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L40" authorId="0" shapeId="0" xr:uid="{37FEA22B-5FD9-45DC-896D-BB55D6931E04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J50" authorId="0" shapeId="0" xr:uid="{DFD537E1-96A7-452B-B895-38BD2265CAD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H50" authorId="0" shapeId="0" xr:uid="{2A8F7543-EBAB-4C17-8FA0-F8007FEB185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I50" authorId="0" shapeId="0" xr:uid="{C55757C1-7CF5-4537-841C-06A9523A46D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AL50" authorId="0" shapeId="0" xr:uid="{3201291A-85CE-4AA7-BCDD-2D376007E00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filing</t>
        </r>
      </text>
    </comment>
    <comment ref="J80" authorId="0" shapeId="0" xr:uid="{220EB0F2-B732-4394-98E5-DEE25D9D1BE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AG80" authorId="0" shapeId="0" xr:uid="{C4DC615F-A70B-4701-985E-B5A3604EDF4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AH80" authorId="0" shapeId="0" xr:uid="{CAFC18AA-3D7E-4F22-9EE9-6B8C1FD3C59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AI80" authorId="0" shapeId="0" xr:uid="{751EA9FF-402D-422C-B626-F30A8452B55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AJ80" authorId="0" shapeId="0" xr:uid="{DED8FEDA-D8D9-442A-BC54-D5CA63E88E8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AK80" authorId="0" shapeId="0" xr:uid="{DCB155E7-5AD8-4C13-BAC0-8E064AE01D49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AL80" authorId="0" shapeId="0" xr:uid="{A5504823-FB13-4FEB-AE14-A8BB7531989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</commentList>
</comments>
</file>

<file path=xl/sharedStrings.xml><?xml version="1.0" encoding="utf-8"?>
<sst xmlns="http://schemas.openxmlformats.org/spreadsheetml/2006/main" count="1212" uniqueCount="304">
  <si>
    <t>2Q26</t>
  </si>
  <si>
    <t>Exchange rate as at end</t>
  </si>
  <si>
    <t>LTM Average Exchange rate</t>
  </si>
  <si>
    <t>Debt Breakdown as on 30-Jun-2026</t>
  </si>
  <si>
    <t>RMB mn</t>
  </si>
  <si>
    <t xml:space="preserve">Leverage </t>
  </si>
  <si>
    <t>USD mn</t>
  </si>
  <si>
    <t>Current</t>
  </si>
  <si>
    <t>Short-term debts</t>
  </si>
  <si>
    <t>Unsecured senior notes</t>
  </si>
  <si>
    <t>Non Current</t>
  </si>
  <si>
    <t>Long-term borrowings</t>
  </si>
  <si>
    <t>Leases</t>
  </si>
  <si>
    <t>Total Loans &amp; Borrowings</t>
  </si>
  <si>
    <t>Cash and Cash Equivalents</t>
  </si>
  <si>
    <t>Short term Investments</t>
  </si>
  <si>
    <t>Net debt</t>
  </si>
  <si>
    <t>Equity</t>
  </si>
  <si>
    <t xml:space="preserve">Total Capitalisation </t>
  </si>
  <si>
    <t>LTM Adjusted EBITDA</t>
  </si>
  <si>
    <t>check</t>
  </si>
  <si>
    <t>Liquidity at end 2Q26</t>
  </si>
  <si>
    <t>Total liquidity</t>
  </si>
  <si>
    <r>
      <t>Debt Maturity Profile at end-2Q26</t>
    </r>
    <r>
      <rPr>
        <b/>
        <sz val="10"/>
        <color rgb="FFFF0000"/>
        <rFont val="Calibri"/>
        <family val="2"/>
        <scheme val="minor"/>
      </rPr>
      <t xml:space="preserve"> (from BBG)</t>
    </r>
    <r>
      <rPr>
        <b/>
        <sz val="10"/>
        <rFont val="Calibri"/>
        <family val="2"/>
        <scheme val="minor"/>
      </rPr>
      <t>, excluding leases</t>
    </r>
  </si>
  <si>
    <t>2031 &amp; beyond</t>
  </si>
  <si>
    <t>Total Debt</t>
  </si>
  <si>
    <t>1Q26</t>
  </si>
  <si>
    <t>Debt Breakdown as on 31-Mar-2026</t>
  </si>
  <si>
    <t>Lease</t>
  </si>
  <si>
    <t>Liquidity at end 1Q26</t>
  </si>
  <si>
    <r>
      <t>Debt Maturity Profile at end-1Q26</t>
    </r>
    <r>
      <rPr>
        <b/>
        <sz val="10"/>
        <color rgb="FFFF0000"/>
        <rFont val="Calibri"/>
        <family val="2"/>
        <scheme val="minor"/>
      </rPr>
      <t xml:space="preserve"> (from BBG)</t>
    </r>
    <r>
      <rPr>
        <b/>
        <sz val="10"/>
        <rFont val="Calibri"/>
        <family val="2"/>
        <scheme val="minor"/>
      </rPr>
      <t>, excluding leases</t>
    </r>
  </si>
  <si>
    <t>FY25</t>
  </si>
  <si>
    <t>Debt Breakdown as on 31-Dec-2025</t>
  </si>
  <si>
    <t>Liquidity at end FY25</t>
  </si>
  <si>
    <r>
      <t>Debt Maturity Profile at end-FY25</t>
    </r>
    <r>
      <rPr>
        <b/>
        <sz val="10"/>
        <color rgb="FFFF0000"/>
        <rFont val="Calibri"/>
        <family val="2"/>
        <scheme val="minor"/>
      </rPr>
      <t xml:space="preserve"> (from BBG), </t>
    </r>
    <r>
      <rPr>
        <b/>
        <sz val="10"/>
        <rFont val="Calibri"/>
        <family val="2"/>
        <scheme val="minor"/>
      </rPr>
      <t>excluding leases</t>
    </r>
  </si>
  <si>
    <t>2030 &amp; beyond</t>
  </si>
  <si>
    <t>3Q25</t>
  </si>
  <si>
    <t>Exchange rate as at end 3Q25</t>
  </si>
  <si>
    <t>Average Exchange rate of 3Q25</t>
  </si>
  <si>
    <t>Debt Breakdown as on 30-Sep-2025</t>
  </si>
  <si>
    <t>Liquidity at end 3Q25</t>
  </si>
  <si>
    <r>
      <t>Debt Maturity Profile at end-3Q25</t>
    </r>
    <r>
      <rPr>
        <b/>
        <sz val="10"/>
        <color rgb="FFFF0000"/>
        <rFont val="Calibri"/>
        <family val="2"/>
        <scheme val="minor"/>
      </rPr>
      <t xml:space="preserve"> (from BBG)</t>
    </r>
    <r>
      <rPr>
        <b/>
        <sz val="10"/>
        <rFont val="Calibri"/>
        <family val="2"/>
        <scheme val="minor"/>
      </rPr>
      <t>, excluding leases</t>
    </r>
  </si>
  <si>
    <t>2Q25</t>
  </si>
  <si>
    <t>Exchange rate as at end 2Q25</t>
  </si>
  <si>
    <t>Average Exchange rate of 2Q25</t>
  </si>
  <si>
    <t>Debt Breakdown as on 30-Jun-2025</t>
  </si>
  <si>
    <t>Liquidity at end 2Q25</t>
  </si>
  <si>
    <t>Debt Maturity Profile at end-2Q25, excluding leases</t>
  </si>
  <si>
    <t>1Q25</t>
  </si>
  <si>
    <t>Exchange rate as at end 1Q25</t>
  </si>
  <si>
    <t>Average Exchange rate of 1Q25</t>
  </si>
  <si>
    <t>Debt Breakdown as on 31-Mar-2025</t>
  </si>
  <si>
    <t>Cash Breakdown as on 31-Mar-2025</t>
  </si>
  <si>
    <t>Short-term investments</t>
  </si>
  <si>
    <t>Total</t>
  </si>
  <si>
    <t>Check</t>
  </si>
  <si>
    <t>Liquidity at end 1Q25</t>
  </si>
  <si>
    <t>Debt Maturity Profile at end-1Q25, excluding leases</t>
  </si>
  <si>
    <t>FY24</t>
  </si>
  <si>
    <t>Exchange rate as at end FY24</t>
  </si>
  <si>
    <t>Average Exchange rate of FY24</t>
  </si>
  <si>
    <t>Debt Breakdown as on 31-Dec-2024</t>
  </si>
  <si>
    <t>Cash Breakdown as on 31-Dec-2024</t>
  </si>
  <si>
    <t>Liquidity at end FY24</t>
  </si>
  <si>
    <t>Debt Maturity Profile at end-FY24, excluding leases</t>
  </si>
  <si>
    <t>2028 &amp; beyond</t>
  </si>
  <si>
    <t>3Q24</t>
  </si>
  <si>
    <t>Exchange rate as at end 3Q24</t>
  </si>
  <si>
    <t>Average Exchange rate of 3Q24</t>
  </si>
  <si>
    <t>Debt Breakdown as on 30-Sept-2024</t>
  </si>
  <si>
    <t>Cash Breakdown as on 30-Sept-2024</t>
  </si>
  <si>
    <t>Liquidity at end 3Q24</t>
  </si>
  <si>
    <t>Debt Maturity Profile at end-3Q24</t>
  </si>
  <si>
    <t>2Q24</t>
  </si>
  <si>
    <t>Exchange rate as at end 2Q24</t>
  </si>
  <si>
    <t>Average Exchange rate of 2Q24</t>
  </si>
  <si>
    <t>Debt Breakdown as on 30-Jun-2024</t>
  </si>
  <si>
    <t>Cash Breakdown as on 30-Jun-2024</t>
  </si>
  <si>
    <t>Liquidity at end 2Q24</t>
  </si>
  <si>
    <t>Debt Maturity Profile at end-2Q24</t>
  </si>
  <si>
    <t>2027 &amp; beyond</t>
  </si>
  <si>
    <t>1Q24</t>
  </si>
  <si>
    <t>Exchange rate as at end 1Q24</t>
  </si>
  <si>
    <t>Average Exchange rate of 1Q24</t>
  </si>
  <si>
    <t>Debt Breakdown as on 31-Mar-2024</t>
  </si>
  <si>
    <t>Cash Breakdown as on 31-Mar-2024</t>
  </si>
  <si>
    <t>Liquidity at end 1Q24</t>
  </si>
  <si>
    <t>Debt Maturity Profile at end-1Q24</t>
  </si>
  <si>
    <t>FY23</t>
  </si>
  <si>
    <t>Exchange rate as at end FY23</t>
  </si>
  <si>
    <t>Average Exchange rate of FY23</t>
  </si>
  <si>
    <t>Debt Breakdown as on 31-Dec-2023</t>
  </si>
  <si>
    <t>Cash Breakdown as on 31-Dec-2023</t>
  </si>
  <si>
    <t>Liquidity at end FY23</t>
  </si>
  <si>
    <t>Debt Maturity Profile at end-FY23</t>
  </si>
  <si>
    <t>3Q23</t>
  </si>
  <si>
    <t>Exchange rate as at end 3Q23</t>
  </si>
  <si>
    <t>Average Exchange rate of 3Q23</t>
  </si>
  <si>
    <t>Debt Breakdown as on 30-Sep-2023</t>
  </si>
  <si>
    <t>Cash Breakdown as on 30-Sep-2023</t>
  </si>
  <si>
    <t>Liquidity at end 3Q23</t>
  </si>
  <si>
    <t>Debt Maturity Profile at end-3Q23</t>
  </si>
  <si>
    <t>2026 &amp; beyond</t>
  </si>
  <si>
    <t>2Q23</t>
  </si>
  <si>
    <t>Exchange rate as at end 2Q23</t>
  </si>
  <si>
    <t>Average Exchange rate of 2Q23</t>
  </si>
  <si>
    <t>Debt Breakdown as on 30-Jun-2023</t>
  </si>
  <si>
    <t>Cash Breakdown as on 30-Jun-2023</t>
  </si>
  <si>
    <t>Liquidity at end 2Q23</t>
  </si>
  <si>
    <t>Debt Maturity Profile at end-2Q23</t>
  </si>
  <si>
    <t>1Q23</t>
  </si>
  <si>
    <t>Exchange rate as at end 1Q23</t>
  </si>
  <si>
    <t>Average Exchange rate of 1Q23</t>
  </si>
  <si>
    <t>Debt Breakdown as on 31-Mar-2023</t>
  </si>
  <si>
    <t>Cash Breakdown as on 31-Mar-2023</t>
  </si>
  <si>
    <t>Liquidity at end 1Q23</t>
  </si>
  <si>
    <t>FY22</t>
  </si>
  <si>
    <t>Exchange rate as at end FY 2022</t>
  </si>
  <si>
    <t>Average Exchange rate of FY 2022</t>
  </si>
  <si>
    <t>Debt Breakdown as on 31-Dec-2022</t>
  </si>
  <si>
    <t>Cash Breakdown as on 31-Dec-2022</t>
  </si>
  <si>
    <t>Liquidity at end FY22</t>
  </si>
  <si>
    <t>Debt Maturity Profile at end-FY22</t>
  </si>
  <si>
    <t>3Q22</t>
  </si>
  <si>
    <t>Exchange rate as at end 3Q 2022</t>
  </si>
  <si>
    <t>Average Exchange rate of 3Q 2022</t>
  </si>
  <si>
    <t>Debt Breakdown as on 30-Sept-2022</t>
  </si>
  <si>
    <t>Cash Breakdown as on 30-Sept-2022</t>
  </si>
  <si>
    <t>Liquidity at end 3Q22</t>
  </si>
  <si>
    <t>2Q22</t>
  </si>
  <si>
    <t>Exchange rate as at end 2Q 2022</t>
  </si>
  <si>
    <t>Average Exchange rate of 2Q 2022</t>
  </si>
  <si>
    <t>Debt Breakdown as on 30-Jun-2022</t>
  </si>
  <si>
    <t>Cash Breakdown as on 30-Jun-2022</t>
  </si>
  <si>
    <t>Liquidity at end 2Q22</t>
  </si>
  <si>
    <t>Exchange rate as at end 1Q 2022</t>
  </si>
  <si>
    <t>1Q22</t>
  </si>
  <si>
    <t>Average Exchange rate of 1Q 2022</t>
  </si>
  <si>
    <t>Debt Breakdown as on 31-Mar-2022</t>
  </si>
  <si>
    <t>Cash Breakdown as on 31-Mar-2022</t>
  </si>
  <si>
    <t>Liquidity at end 1Q22</t>
  </si>
  <si>
    <t>4Q21</t>
  </si>
  <si>
    <t>Exchange rate as at end 4Q 2021</t>
  </si>
  <si>
    <t>Average Exchange rate of 4Q 2021</t>
  </si>
  <si>
    <t>Debt Breakdown as on 31-Dec-2021</t>
  </si>
  <si>
    <t>Cash Breakdown as on 31-Dec-2021</t>
  </si>
  <si>
    <t>Liquidity at end 4Q21</t>
  </si>
  <si>
    <t>3Q21</t>
  </si>
  <si>
    <t>Exchange rate as at end 3Q 2021</t>
  </si>
  <si>
    <t>Average Exchange rate of 3Q 2021</t>
  </si>
  <si>
    <t>Debt Breakdown as on 31-Sept-2021</t>
  </si>
  <si>
    <t>Liquidity at end 3Q21</t>
  </si>
  <si>
    <t>JD.com, Inc.</t>
  </si>
  <si>
    <t>Annual</t>
  </si>
  <si>
    <t xml:space="preserve">Quarters </t>
  </si>
  <si>
    <t>(RMB million)</t>
  </si>
  <si>
    <t>Act</t>
  </si>
  <si>
    <t>FY</t>
  </si>
  <si>
    <t>1Q</t>
  </si>
  <si>
    <t>2Q</t>
  </si>
  <si>
    <t>3Q</t>
  </si>
  <si>
    <t>4Q</t>
  </si>
  <si>
    <t>INCOME STATEMENT</t>
  </si>
  <si>
    <t>Revenue</t>
  </si>
  <si>
    <t xml:space="preserve">% of growth </t>
  </si>
  <si>
    <t>Cost of revenues</t>
  </si>
  <si>
    <t>Gross Profit</t>
  </si>
  <si>
    <t>Gross Profit margin</t>
  </si>
  <si>
    <t>Operating expenses:</t>
  </si>
  <si>
    <t>Fulfillment</t>
  </si>
  <si>
    <t>Marketing</t>
  </si>
  <si>
    <t>Research and development</t>
  </si>
  <si>
    <t>General and administrative</t>
  </si>
  <si>
    <t>Gain on sale of development properties</t>
  </si>
  <si>
    <t>Impairment of goodwill and impairment of long-lived assets</t>
  </si>
  <si>
    <t xml:space="preserve">Operating profit </t>
  </si>
  <si>
    <t>Share of results of equity investees</t>
  </si>
  <si>
    <t>Interest expense</t>
  </si>
  <si>
    <t>Finance income</t>
  </si>
  <si>
    <t>Others, net</t>
  </si>
  <si>
    <t>Profit before tax</t>
  </si>
  <si>
    <t>Income tax expenses</t>
  </si>
  <si>
    <t>Net profit/loss</t>
  </si>
  <si>
    <t>% margin</t>
  </si>
  <si>
    <t>Non-controlling interest</t>
  </si>
  <si>
    <t>As % of sales unless stated otherwise</t>
  </si>
  <si>
    <t>Interest expense as % of debt</t>
  </si>
  <si>
    <t>Finance income as % of cash and cash equivalents</t>
  </si>
  <si>
    <t>Tax %  of PBT</t>
  </si>
  <si>
    <t xml:space="preserve">EBITDA </t>
  </si>
  <si>
    <t>Depreciation, depletion &amp; amortization</t>
  </si>
  <si>
    <t xml:space="preserve">% growth </t>
  </si>
  <si>
    <t>Adjustment</t>
  </si>
  <si>
    <t xml:space="preserve">Adj. EBITDA </t>
  </si>
  <si>
    <t>Capex sales</t>
  </si>
  <si>
    <t xml:space="preserve">WC SALES </t>
  </si>
  <si>
    <t>CASH FLOW</t>
  </si>
  <si>
    <t>Working Capital</t>
  </si>
  <si>
    <t>Taxes</t>
  </si>
  <si>
    <t>Cash interest paid</t>
  </si>
  <si>
    <t xml:space="preserve">Net cash from operations </t>
  </si>
  <si>
    <t>Net Capex</t>
  </si>
  <si>
    <t>Purchase of intangible assets</t>
  </si>
  <si>
    <t>Disposals/ Acquistion, of subsidiaries, businesses</t>
  </si>
  <si>
    <t xml:space="preserve">Free cash flow </t>
  </si>
  <si>
    <t xml:space="preserve">Other Investing </t>
  </si>
  <si>
    <t>Equity Issuance</t>
  </si>
  <si>
    <t>Dividends</t>
  </si>
  <si>
    <t>Net Change in debt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</si>
  <si>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</si>
  <si>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</si>
  <si>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</si>
  <si>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</si>
  <si>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</si>
  <si>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Cash and cash equivalents</t>
  </si>
  <si>
    <t>check 1</t>
  </si>
  <si>
    <t>check 2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</si>
  <si>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</si>
  <si>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</si>
  <si>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</si>
  <si>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</si>
  <si>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</si>
  <si>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</si>
  <si>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</si>
  <si>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Inventory</t>
  </si>
  <si>
    <t>Trade accounts receivable</t>
  </si>
  <si>
    <t>Trade accounts payable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</si>
  <si>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</si>
  <si>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</si>
  <si>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</si>
  <si>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</si>
  <si>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</si>
  <si>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</si>
  <si>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Short-term debt</t>
  </si>
  <si>
    <t>Long-term debt</t>
  </si>
  <si>
    <t>Lease Obligations</t>
  </si>
  <si>
    <t>Short-term</t>
  </si>
  <si>
    <t>Long-term</t>
  </si>
  <si>
    <t>Total Lease</t>
  </si>
  <si>
    <t>Debt  Including Lease obligations</t>
  </si>
  <si>
    <t>Total debt</t>
  </si>
  <si>
    <t>Total Cash and cash equivalents</t>
  </si>
  <si>
    <t xml:space="preserve">Net debt </t>
  </si>
  <si>
    <t>Company reported net debt</t>
  </si>
  <si>
    <t>Equity (as reported on balance sheet)</t>
  </si>
  <si>
    <t>Total debt + Equity</t>
  </si>
  <si>
    <t>CREDIT RATIOS</t>
  </si>
  <si>
    <t>Net Leverage excluding lease obligations</t>
  </si>
  <si>
    <t>Gross Leverage  excluding lease obligations</t>
  </si>
  <si>
    <t>Net Leverage including lease obligations</t>
  </si>
  <si>
    <t>Gross Leverage  including lease obligations</t>
  </si>
  <si>
    <t>Company reported net leverage</t>
  </si>
  <si>
    <t>EBITDA - Capex / Interest</t>
  </si>
  <si>
    <t>EBITDA/Interest</t>
  </si>
  <si>
    <t xml:space="preserve">Gearing (Net debt / Equity) </t>
  </si>
  <si>
    <t>Key  Credit Metrics (R$ million)</t>
  </si>
  <si>
    <t xml:space="preserve">Revenues </t>
  </si>
  <si>
    <t>Adj. EBITDA</t>
  </si>
  <si>
    <t>Adj. EBITDA Margin</t>
  </si>
  <si>
    <t>Cash</t>
  </si>
  <si>
    <t>Net Debt</t>
  </si>
  <si>
    <t>Gross Leverage</t>
  </si>
  <si>
    <t xml:space="preserve">Net Leverage </t>
  </si>
  <si>
    <t>Summary Financials</t>
  </si>
  <si>
    <t>(R$ million)</t>
  </si>
  <si>
    <t>% growth</t>
  </si>
  <si>
    <t>FX rate average - RMB/USD</t>
  </si>
  <si>
    <t>FX rate  - RMB/USD (as at end of period)</t>
  </si>
  <si>
    <t>LTM - RMB/USD</t>
  </si>
  <si>
    <t>USD to RMB (EOP)</t>
  </si>
  <si>
    <t>Key  Credit Metrics (USD Mn where applicable)</t>
  </si>
  <si>
    <t>(USD millions)</t>
  </si>
  <si>
    <t>LTM EBITDA</t>
  </si>
  <si>
    <t>Net revenues</t>
  </si>
  <si>
    <t>JD Retail</t>
  </si>
  <si>
    <t>JD Logistics</t>
  </si>
  <si>
    <t>Dada</t>
  </si>
  <si>
    <t>New businesses</t>
  </si>
  <si>
    <t>Inter-segment</t>
  </si>
  <si>
    <t>Total segment net revenues</t>
  </si>
  <si>
    <t>Unallocated items</t>
  </si>
  <si>
    <t>Total consolidated net revenues</t>
  </si>
  <si>
    <t>Net revenues (Share %)</t>
  </si>
  <si>
    <t>Net revenues (YoY % Growth)</t>
  </si>
  <si>
    <t>Operating income/(loss)</t>
  </si>
  <si>
    <t>Total segment operating income</t>
  </si>
  <si>
    <t>Total consolidated operating income</t>
  </si>
  <si>
    <t>Revenues by product</t>
  </si>
  <si>
    <t>Electronics and home appliances revenues</t>
  </si>
  <si>
    <t>General merchandise revenues</t>
  </si>
  <si>
    <t>Net product revenues</t>
  </si>
  <si>
    <t>Marketplace and marketing revenues</t>
  </si>
  <si>
    <t>Logistics and other service revenues</t>
  </si>
  <si>
    <t>Net service revenues</t>
  </si>
  <si>
    <t>Total net revenues</t>
  </si>
  <si>
    <t>Revenues by product (Share %)</t>
  </si>
  <si>
    <t>Revenues by product (YoY % Growth)</t>
  </si>
  <si>
    <t>Headcount (Employees)</t>
  </si>
  <si>
    <t>Key Metrics</t>
  </si>
  <si>
    <t>Free cash flow (in RMB billions) – trailing twelve months</t>
  </si>
  <si>
    <t>Inventory turnover days</t>
  </si>
  <si>
    <t>Accounts payable turnover days</t>
  </si>
  <si>
    <t>Accounts receivable turnover days</t>
  </si>
  <si>
    <t>Annual active customer accounts 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</si>
</sst>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7"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 * #,##0.00_ ;_ * \-#,##0.00_ ;_ * &quot;-&quot;??_ ;_ @_ "/>
    <numFmt numFmtId="173" formatCode="#,##0.0_);\(#,##0.0\)"/>
    <numFmt numFmtId="174" formatCode="#0.0%_);\(#0.0%\)"/>
    <numFmt numFmtId="175" formatCode="#0.00\x"/>
    <numFmt numFmtId="176" formatCode="mmm\ yyyy"/>
    <numFmt numFmtId="177" formatCode="0.0%"/>
    <numFmt numFmtId="178" formatCode="_(* #,##0.0_);_(* \(#,##0.0\);_(* &quot;-&quot;??_);_(@_)"/>
    <numFmt numFmtId="179" formatCode="_(* #,##0.000_);_(* \(#,##0.000\);_(* &quot;-&quot;??_);_(@_)"/>
    <numFmt numFmtId="180" formatCode="_(* #,##0_);_(* \(#,##0\);_(* &quot;-&quot;??_);_(@_)"/>
    <numFmt numFmtId="181" formatCode="#,##0.0\ ;\(#,##0.0\)"/>
    <numFmt numFmtId="182" formatCode="&quot;$&quot;#,##0.00_)&quot;per share&quot;;\(&quot;$&quot;#,##0.00\)&quot; per share&quot;"/>
    <numFmt numFmtId="183" formatCode="0.0_)\%;\(0.0\)\%;0.0_)\%;@_)_%"/>
    <numFmt numFmtId="184" formatCode="#,##0.0_)_%;\(#,##0.0\)_%;0.0_)_%;@_)_%"/>
    <numFmt numFmtId="185" formatCode="#,##0.0_);\(#,##0.0\);#,##0.0_);@_)"/>
    <numFmt numFmtId="186" formatCode="&quot;$&quot;_(#,##0.00_);&quot;$&quot;\(#,##0.00\);&quot;$&quot;_(0.00_);@_)"/>
    <numFmt numFmtId="187" formatCode="&quot;$&quot;_(#,##0.00_);&quot;$&quot;\(#,##0.00\)"/>
    <numFmt numFmtId="188" formatCode="#,##0.00_);\(#,##0.00\);0.00_);@_)"/>
    <numFmt numFmtId="189" formatCode="\€_(#,##0.00_);\€\(#,##0.00\);\€_(0.00_);@_)"/>
    <numFmt numFmtId="190" formatCode="#,##0_)\x;\(#,##0\)\x;0_)\x;@_)_x"/>
    <numFmt numFmtId="191" formatCode="#,##0.0_)\x;\(#,##0.0\)\x"/>
    <numFmt numFmtId="192" formatCode="#,##0_)_x;\(#,##0\)_x;0_)_x;@_)_x"/>
    <numFmt numFmtId="193" formatCode="#,##0.0_)_x;\(#,##0.0\)_x"/>
    <numFmt numFmtId="194" formatCode="0.0_)\%;\(0.0\)\%"/>
    <numFmt numFmtId="195" formatCode="#,##0.0_)_%;\(#,##0.0\)_%"/>
    <numFmt numFmtId="196" formatCode="_(\£* #,##0_);_(\£* \(#,##0\);_(\£* &quot;-&quot;_);_(@_)"/>
    <numFmt numFmtId="197" formatCode="_(\£* #,##0.0_);_(\£* \(#,##0.0\);_(\£* &quot;-&quot;_);_(@_)"/>
    <numFmt numFmtId="198" formatCode="_(\£* #,##0.00_);_(\£* \(#,##0.00\);_(\£* &quot;-&quot;_);_(@_)"/>
    <numFmt numFmtId="199" formatCode="_(* #,##0\p_);_(* \(#,##0\p\);_(* &quot;-&quot;\ \p_);_(@_)"/>
    <numFmt numFmtId="200" formatCode="_(* #,##0.00\p_);_(* \(#,##0.00\p\);_(* &quot;-&quot;\ \p_);_(@_)"/>
    <numFmt numFmtId="201" formatCode="\£#,##0.00"/>
    <numFmt numFmtId="202" formatCode="&quot;$&quot;&quot; &quot;#,##0_);\(&quot;$&quot;&quot; &quot;#,##0\);\-_)"/>
    <numFmt numFmtId="203" formatCode="#,##0_);\(#,##0\);\-_)"/>
    <numFmt numFmtId="204" formatCode="&quot;$&quot;#,##0_);[Red]\(&quot;$&quot;#,##0\);&quot;-&quot;"/>
    <numFmt numFmtId="205" formatCode="[Blue]0.0%;[Blue]\-0.0%"/>
    <numFmt numFmtId="206" formatCode="\£#,##0_);\(\£#,##0\)"/>
    <numFmt numFmtId="207" formatCode="&quot;fl&quot;#,##0_);\(&quot;fl&quot;#,##0\)"/>
    <numFmt numFmtId="208" formatCode="&quot;$&quot;\ #,##0_);\(&quot;$&quot;\ #,##0\)"/>
    <numFmt numFmtId="209" formatCode="_(&quot;R$&quot;* #,##0.00_);_(&quot;R$&quot;* \(#,##0.00\);_(&quot;R$&quot;* &quot;-&quot;??_);_(@_)"/>
    <numFmt numFmtId="210" formatCode="0.0\x;[Red]\(0.0\x\)"/>
    <numFmt numFmtId="211" formatCode="#,##0.0_);\(#,##0.0\);&quot;—&quot;_)"/>
    <numFmt numFmtId="212" formatCode="&quot;$&quot;#,##0.0_);\(&quot;$&quot;#,##0.0\);&quot;—&quot;_)"/>
    <numFmt numFmtId="213" formatCode="0.000000000%"/>
    <numFmt numFmtId="214" formatCode="#,##0.0000"/>
    <numFmt numFmtId="215" formatCode="mm/dd/yy"/>
    <numFmt numFmtId="216" formatCode="&quot;$&quot;#,##0.00"/>
    <numFmt numFmtId="217" formatCode="_([$€-2]* #,##0.00_);_([$€-2]* \(#,##0.00\);_([$€-2]* &quot;-&quot;??_)"/>
    <numFmt numFmtId="218" formatCode="#&quot; mon&quot;"/>
    <numFmt numFmtId="219" formatCode="#,##0\ &quot;F&quot;;[Red]\-#,##0\ &quot;F&quot;"/>
    <numFmt numFmtId="220" formatCode="#,##0.00\ &quot;F&quot;;[Red]\-#,##0.00\ &quot;F&quot;"/>
    <numFmt numFmtId="221" formatCode="#,##0.0\x_)_);\(#,##0.0\x\)_);#,##0.0\x_)_);@_%_)"/>
    <numFmt numFmtId="222" formatCode="_(* #,##0.00\ ___);_(* \(#,##0.00\ __\);_(* &quot;-&quot;??_);_(@_)"/>
    <numFmt numFmtId="223" formatCode="0%\);[Red]\(0%"/>
    <numFmt numFmtId="224" formatCode="_(* #,##0\ ___);_(* \(#,##0\ __\);_(* &quot;-&quot;??_);_(@_)"/>
    <numFmt numFmtId="225" formatCode="_(* #,##0\ \x_);_(* \(#,##0\ \x\);_(* &quot;-&quot;??_);_(@_)"/>
    <numFmt numFmtId="226" formatCode="0%_);[Red]\(0%\)"/>
    <numFmt numFmtId="227" formatCode="_(* #,##0.0\ ___);_(* \(#,##0.0\ __\);_(* &quot;-&quot;??_);_(@_)"/>
    <numFmt numFmtId="228" formatCode="_(* #,##0.0\ \x_);_(* \(#,##0.0\ \x\);_(* &quot;-&quot;??_);_(@_)"/>
    <numFmt numFmtId="229" formatCode="#,##0&quot; F&quot;_);\(#,##0&quot; F&quot;\)"/>
    <numFmt numFmtId="230" formatCode="_(* #,##0.00_);_(* \(\ #,##0.00\ \);_(* &quot;&quot;??_);_(\ @_ \)"/>
    <numFmt numFmtId="231" formatCode="0.00_)"/>
    <numFmt numFmtId="232" formatCode="_(* #,##0.0_);_(* \(#,##0.0\);_(* &quot;-&quot;?_);_(@_)"/>
    <numFmt numFmtId="233" formatCode="0.00%\ &quot;Ramped&quot;\ "/>
    <numFmt numFmtId="234" formatCode="0.00%\ &quot;Ramped&quot;"/>
    <numFmt numFmtId="235" formatCode="0.0000"/>
    <numFmt numFmtId="236" formatCode="0.000"/>
    <numFmt numFmtId="237" formatCode="&quot;Diversity =&quot;\ #.0"/>
    <numFmt numFmtId="238" formatCode="&quot;Ratings Factor =&quot;\ #"/>
    <numFmt numFmtId="239" formatCode="&quot;Page &quot;0"/>
    <numFmt numFmtId="240" formatCode="&quot;\&quot;#,##0.00;[Red]\-&quot;\&quot;#,##0.00"/>
    <numFmt numFmtId="241" formatCode="0.0_%"/>
    <numFmt numFmtId="242" formatCode="_(0.0%;_(* \(0.0\)%"/>
    <numFmt numFmtId="243" formatCode="_(* #,##0.0000_);_(* \(#,##0.0000\);_(* &quot;-&quot;??_);_(@_)"/>
    <numFmt numFmtId="244" formatCode="0&quot; bps&quot;"/>
    <numFmt numFmtId="245" formatCode="&quot;WAS =&quot;\ #.00"/>
    <numFmt numFmtId="246" formatCode="&quot;Avg. Px.=&quot;#.00"/>
    <numFmt numFmtId="247" formatCode="&quot;WAL=&quot;#.00"/>
    <numFmt numFmtId="248" formatCode="#.00\ &quot;years&quot;"/>
    <numFmt numFmtId="249" formatCode="&quot;2nd Lien=&quot;#"/>
    <numFmt numFmtId="250" formatCode="&quot;WAPP=&quot;#.00"/>
    <numFmt numFmtId="251" formatCode="&quot;WAS=&quot;#.00"/>
    <numFmt numFmtId="252" formatCode="&quot;WAC=&quot;#.00"/>
    <numFmt numFmtId="253" formatCode="&quot;$&quot;#,##0.0_);\(&quot;$&quot;#,##0.0\)"/>
    <numFmt numFmtId="254" formatCode="#,###,;\(#,###,\)"/>
    <numFmt numFmtId="255" formatCode="000\-00\-0000"/>
    <numFmt numFmtId="256" formatCode="&quot;$&quot;#,##0.0000"/>
    <numFmt numFmtId="257" formatCode="&quot;$&quot;#,##0.000000"/>
    <numFmt numFmtId="258" formatCode="&quot;$&quot;#,##0.000"/>
    <numFmt numFmtId="259" formatCode="000000000"/>
    <numFmt numFmtId="260" formatCode="000"/>
    <numFmt numFmtId="261" formatCode="hh:mm\ AM/PM_)"/>
    <numFmt numFmtId="262" formatCode="#.0&quot;x&quot;"/>
    <numFmt numFmtId="263" formatCode="yyyy"/>
    <numFmt numFmtId="264" formatCode="\¥#,##0_);\(\¥#,##0\)"/>
    <numFmt numFmtId="265" formatCode="#0.0\x"/>
    <numFmt numFmtId="266" formatCode="0.0\x"/>
    <numFmt numFmtId="267" formatCode="0.0"/>
    <numFmt numFmtId="268" formatCode="_ * #,##0_ ;_ * \-#,##0_ ;_ * &quot;-&quot;??_ ;_ @_ "/>
    <numFmt numFmtId="269" formatCode="_ * #,##0.0_ ;_ * \-#,##0.0_ ;_ * &quot;-&quot;??_ ;_ @_ "/>
  </numFmts>
  <fonts count="13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b/>
      <sz val="11"/>
      <color indexed="9"/>
      <name val="Calibri"/>
      <family val="2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9"/>
      <color indexed="81"/>
      <name val="Tahoma"/>
      <family val="2"/>
    </font>
    <font>
      <b/>
      <u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902">
    <xf numFmtId="0" fontId="0" fillId="0" borderId="0"/>
    <xf numFmtId="181" fontId="28" fillId="0" borderId="0"/>
    <xf numFmtId="0" fontId="29" fillId="0" borderId="0">
      <alignment horizontal="right"/>
    </xf>
    <xf numFmtId="0" fontId="8" fillId="0" borderId="0"/>
    <xf numFmtId="182" fontId="24" fillId="0" borderId="0" applyFont="0" applyFill="0" applyBorder="0" applyAlignment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 applyNumberFormat="0" applyFill="0" applyBorder="0" applyAlignment="0" applyProtection="0">
      <alignment horizontal="left" wrapText="1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8" fillId="0" borderId="0" applyNumberFormat="0" applyFill="0" applyBorder="0" applyAlignment="0" applyProtection="0">
      <alignment horizontal="left" wrapText="1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vertical="top"/>
    </xf>
    <xf numFmtId="0" fontId="8" fillId="0" borderId="0" applyNumberFormat="0" applyFill="0" applyBorder="0" applyAlignment="0" applyProtection="0">
      <alignment horizontal="left" wrapText="1"/>
    </xf>
    <xf numFmtId="0" fontId="8" fillId="0" borderId="0">
      <alignment vertical="top"/>
    </xf>
    <xf numFmtId="185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8" fillId="2" borderId="0" applyNumberFormat="0" applyFont="0" applyAlignment="0" applyProtection="0"/>
    <xf numFmtId="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2" fontId="8" fillId="0" borderId="0" applyFont="0" applyFill="0" applyBorder="0" applyProtection="0">
      <alignment horizontal="right"/>
    </xf>
    <xf numFmtId="193" fontId="8" fillId="0" borderId="0" applyFont="0" applyFill="0" applyBorder="0" applyAlignment="0" applyProtection="0"/>
    <xf numFmtId="0" fontId="8" fillId="0" borderId="0">
      <alignment horizontal="left" wrapText="1"/>
    </xf>
    <xf numFmtId="0" fontId="8" fillId="0" borderId="0">
      <alignment horizontal="left" wrapText="1"/>
    </xf>
    <xf numFmtId="194" fontId="8" fillId="0" borderId="0" applyFont="0" applyFill="0" applyBorder="0" applyAlignment="0" applyProtection="0"/>
    <xf numFmtId="195" fontId="8" fillId="0" borderId="0" applyFont="0" applyFill="0" applyBorder="0" applyAlignment="0" applyProtection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2" fillId="0" borderId="1" applyNumberFormat="0" applyFill="0" applyAlignment="0" applyProtection="0"/>
    <xf numFmtId="0" fontId="33" fillId="0" borderId="2" applyNumberFormat="0" applyFill="0" applyProtection="0">
      <alignment horizontal="center"/>
    </xf>
    <xf numFmtId="0" fontId="33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centerContinuous"/>
    </xf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201" fontId="36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7" fillId="0" borderId="0" applyNumberFormat="0" applyFont="0" applyFill="0" applyBorder="0" applyProtection="0">
      <alignment horizontal="centerContinuous"/>
    </xf>
    <xf numFmtId="0" fontId="5" fillId="0" borderId="0" applyNumberFormat="0" applyFill="0" applyBorder="0" applyAlignment="0">
      <protection locked="0"/>
    </xf>
    <xf numFmtId="0" fontId="38" fillId="0" borderId="0"/>
    <xf numFmtId="0" fontId="39" fillId="0" borderId="0"/>
    <xf numFmtId="0" fontId="29" fillId="0" borderId="0">
      <alignment horizontal="center" wrapText="1"/>
      <protection locked="0"/>
    </xf>
    <xf numFmtId="0" fontId="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4" fillId="3" borderId="0" applyNumberFormat="0" applyBorder="0" applyAlignment="0">
      <protection locked="0"/>
    </xf>
    <xf numFmtId="202" fontId="24" fillId="0" borderId="0" applyFont="0" applyFill="0" applyBorder="0" applyAlignment="0" applyProtection="0"/>
    <xf numFmtId="203" fontId="41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106" fillId="25" borderId="0"/>
    <xf numFmtId="0" fontId="42" fillId="0" borderId="0" applyNumberFormat="0" applyFill="0" applyBorder="0" applyAlignment="0" applyProtection="0"/>
    <xf numFmtId="205" fontId="43" fillId="0" borderId="0"/>
    <xf numFmtId="0" fontId="44" fillId="0" borderId="0" applyNumberFormat="0" applyFill="0" applyBorder="0" applyAlignment="0" applyProtection="0"/>
    <xf numFmtId="0" fontId="7" fillId="0" borderId="0"/>
    <xf numFmtId="0" fontId="45" fillId="0" borderId="0"/>
    <xf numFmtId="0" fontId="37" fillId="0" borderId="3" applyNumberFormat="0" applyFont="0" applyFill="0" applyAlignment="0" applyProtection="0"/>
    <xf numFmtId="0" fontId="46" fillId="0" borderId="4" applyFill="0" applyProtection="0">
      <alignment horizontal="right"/>
    </xf>
    <xf numFmtId="206" fontId="2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7" fillId="0" borderId="0"/>
    <xf numFmtId="0" fontId="28" fillId="0" borderId="0" applyFill="0" applyBorder="0" applyAlignment="0"/>
    <xf numFmtId="0" fontId="28" fillId="0" borderId="0" applyFill="0" applyBorder="0" applyAlignment="0"/>
    <xf numFmtId="207" fontId="28" fillId="0" borderId="0" applyFill="0" applyBorder="0" applyAlignment="0"/>
    <xf numFmtId="208" fontId="28" fillId="0" borderId="0" applyFill="0" applyBorder="0" applyAlignment="0"/>
    <xf numFmtId="209" fontId="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39" fontId="29" fillId="4" borderId="0" applyNumberFormat="0" applyFont="0" applyBorder="0" applyAlignment="0"/>
    <xf numFmtId="0" fontId="48" fillId="0" borderId="0"/>
    <xf numFmtId="0" fontId="37" fillId="0" borderId="0" applyNumberFormat="0" applyFont="0" applyFill="0" applyBorder="0" applyProtection="0">
      <alignment horizontal="center"/>
    </xf>
    <xf numFmtId="49" fontId="22" fillId="0" borderId="0" applyFill="0" applyBorder="0" applyProtection="0">
      <alignment horizontal="center"/>
    </xf>
    <xf numFmtId="49" fontId="49" fillId="0" borderId="0" applyFill="0" applyBorder="0" applyProtection="0">
      <alignment horizontal="center"/>
    </xf>
    <xf numFmtId="167" fontId="8" fillId="0" borderId="5" applyFont="0" applyFill="0" applyBorder="0" applyProtection="0">
      <alignment horizontal="right"/>
    </xf>
    <xf numFmtId="0" fontId="6" fillId="0" borderId="0"/>
    <xf numFmtId="0" fontId="4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1" fillId="0" borderId="3" applyNumberFormat="0" applyFill="0" applyBorder="0" applyAlignment="0" applyProtection="0">
      <alignment horizontal="center"/>
    </xf>
    <xf numFmtId="0" fontId="10" fillId="5" borderId="0"/>
    <xf numFmtId="210" fontId="8" fillId="0" borderId="0"/>
    <xf numFmtId="210" fontId="8" fillId="0" borderId="0"/>
    <xf numFmtId="210" fontId="8" fillId="0" borderId="0"/>
    <xf numFmtId="210" fontId="8" fillId="0" borderId="0"/>
    <xf numFmtId="210" fontId="8" fillId="0" borderId="0"/>
    <xf numFmtId="210" fontId="8" fillId="0" borderId="0"/>
    <xf numFmtId="210" fontId="8" fillId="0" borderId="0"/>
    <xf numFmtId="210" fontId="8" fillId="0" borderId="0"/>
    <xf numFmtId="211" fontId="52" fillId="0" borderId="0"/>
    <xf numFmtId="0" fontId="28" fillId="0" borderId="0" applyFont="0" applyFill="0" applyBorder="0" applyAlignment="0" applyProtection="0"/>
    <xf numFmtId="178" fontId="53" fillId="0" borderId="0" applyFont="0" applyFill="0" applyBorder="0" applyAlignment="0" applyProtection="0"/>
    <xf numFmtId="40" fontId="8" fillId="0" borderId="0" applyFont="0" applyFill="0" applyBorder="0" applyProtection="0">
      <alignment horizontal="right"/>
    </xf>
    <xf numFmtId="3" fontId="8" fillId="0" borderId="0" applyFill="0" applyBorder="0" applyAlignment="0" applyProtection="0"/>
    <xf numFmtId="3" fontId="4" fillId="0" borderId="0" applyFont="0" applyFill="0" applyBorder="0" applyAlignment="0" applyProtection="0"/>
    <xf numFmtId="3" fontId="22" fillId="0" borderId="0" applyFill="0" applyBorder="0" applyAlignment="0" applyProtection="0"/>
    <xf numFmtId="38" fontId="54" fillId="0" borderId="0" applyNumberFormat="0" applyFill="0" applyBorder="0">
      <alignment vertical="center"/>
    </xf>
    <xf numFmtId="0" fontId="55" fillId="0" borderId="0" applyNumberFormat="0" applyAlignment="0">
      <alignment horizontal="left"/>
    </xf>
    <xf numFmtId="166" fontId="8" fillId="0" borderId="0" applyFont="0" applyFill="0" applyBorder="0" applyAlignment="0" applyProtection="0"/>
    <xf numFmtId="212" fontId="52" fillId="0" borderId="0"/>
    <xf numFmtId="0" fontId="28" fillId="0" borderId="0" applyFont="0" applyFill="0" applyBorder="0" applyAlignment="0" applyProtection="0"/>
    <xf numFmtId="213" fontId="24" fillId="0" borderId="0" applyFont="0" applyFill="0" applyBorder="0" applyAlignment="0" applyProtection="0"/>
    <xf numFmtId="167" fontId="37" fillId="0" borderId="0" applyBorder="0"/>
    <xf numFmtId="214" fontId="8" fillId="0" borderId="0" applyNumberFormat="0">
      <alignment horizontal="right"/>
    </xf>
    <xf numFmtId="15" fontId="8" fillId="0" borderId="0" applyFont="0" applyFill="0" applyBorder="0" applyProtection="0">
      <alignment horizontal="right"/>
    </xf>
    <xf numFmtId="14" fontId="6" fillId="0" borderId="0" applyFill="0" applyBorder="0" applyAlignment="0"/>
    <xf numFmtId="15" fontId="8" fillId="0" borderId="0" applyFont="0" applyFill="0" applyBorder="0" applyProtection="0">
      <alignment horizontal="right"/>
    </xf>
    <xf numFmtId="215" fontId="22" fillId="0" borderId="0" applyFill="0" applyBorder="0" applyProtection="0">
      <alignment horizontal="left"/>
    </xf>
    <xf numFmtId="0" fontId="8" fillId="0" borderId="0">
      <alignment horizontal="left"/>
    </xf>
    <xf numFmtId="38" fontId="56" fillId="0" borderId="6">
      <alignment vertical="center"/>
    </xf>
    <xf numFmtId="216" fontId="36" fillId="0" borderId="0" applyFont="0" applyFill="0" applyBorder="0" applyAlignment="0" applyProtection="0"/>
    <xf numFmtId="4" fontId="5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7" applyNumberFormat="0" applyFont="0" applyFill="0" applyAlignment="0" applyProtection="0"/>
    <xf numFmtId="168" fontId="58" fillId="0" borderId="0" applyFill="0" applyBorder="0" applyAlignment="0" applyProtection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59" fillId="0" borderId="0" applyNumberFormat="0" applyAlignment="0">
      <alignment horizontal="left"/>
    </xf>
    <xf numFmtId="217" fontId="8" fillId="0" borderId="0" applyFont="0" applyFill="0" applyBorder="0" applyAlignment="0" applyProtection="0"/>
    <xf numFmtId="177" fontId="37" fillId="0" borderId="0" applyNumberFormat="0" applyFont="0" applyAlignment="0">
      <alignment vertical="center"/>
    </xf>
    <xf numFmtId="0" fontId="60" fillId="0" borderId="0">
      <alignment horizontal="center"/>
    </xf>
    <xf numFmtId="0" fontId="61" fillId="0" borderId="0" applyNumberFormat="0" applyFill="0" applyBorder="0" applyAlignment="0" applyProtection="0"/>
    <xf numFmtId="38" fontId="4" fillId="6" borderId="0" applyNumberFormat="0" applyBorder="0" applyAlignment="0" applyProtection="0"/>
    <xf numFmtId="0" fontId="7" fillId="7" borderId="8" applyAlignment="0" applyProtection="0"/>
    <xf numFmtId="0" fontId="62" fillId="0" borderId="3" applyFill="0" applyProtection="0">
      <alignment horizontal="centerContinuous"/>
    </xf>
    <xf numFmtId="169" fontId="63" fillId="0" borderId="0">
      <alignment horizontal="center"/>
    </xf>
    <xf numFmtId="0" fontId="8" fillId="0" borderId="0">
      <alignment horizontal="center"/>
    </xf>
    <xf numFmtId="0" fontId="8" fillId="0" borderId="0">
      <alignment horizontal="left"/>
    </xf>
    <xf numFmtId="0" fontId="8" fillId="0" borderId="0">
      <alignment horizontal="right"/>
    </xf>
    <xf numFmtId="0" fontId="64" fillId="8" borderId="0"/>
    <xf numFmtId="0" fontId="65" fillId="0" borderId="0">
      <alignment horizontal="center" vertical="center"/>
    </xf>
    <xf numFmtId="0" fontId="66" fillId="0" borderId="9" applyNumberFormat="0" applyAlignment="0" applyProtection="0">
      <alignment horizontal="left" vertical="center"/>
    </xf>
    <xf numFmtId="0" fontId="66" fillId="0" borderId="8">
      <alignment horizontal="left" vertical="center"/>
    </xf>
    <xf numFmtId="0" fontId="67" fillId="0" borderId="0">
      <alignment horizontal="center"/>
    </xf>
    <xf numFmtId="0" fontId="68" fillId="0" borderId="0" applyFill="0" applyBorder="0" applyProtection="0">
      <alignment horizontal="right"/>
    </xf>
    <xf numFmtId="0" fontId="69" fillId="0" borderId="10">
      <alignment horizontal="center"/>
    </xf>
    <xf numFmtId="0" fontId="69" fillId="0" borderId="0">
      <alignment horizontal="center"/>
    </xf>
    <xf numFmtId="10" fontId="42" fillId="0" borderId="0" applyNumberFormat="0" applyFill="0" applyBorder="0" applyAlignment="0" applyProtection="0">
      <alignment horizontal="right"/>
    </xf>
    <xf numFmtId="10" fontId="4" fillId="9" borderId="11" applyNumberFormat="0" applyBorder="0" applyAlignment="0" applyProtection="0"/>
    <xf numFmtId="0" fontId="11" fillId="0" borderId="0"/>
    <xf numFmtId="0" fontId="70" fillId="0" borderId="0"/>
    <xf numFmtId="0" fontId="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4" fillId="0" borderId="0" applyFont="0" applyFill="0" applyBorder="0" applyProtection="0">
      <alignment horizontal="left"/>
    </xf>
    <xf numFmtId="49" fontId="22" fillId="0" borderId="0" applyFill="0" applyBorder="0" applyProtection="0">
      <alignment horizontal="left"/>
    </xf>
    <xf numFmtId="49" fontId="22" fillId="0" borderId="3" applyFill="0" applyProtection="0">
      <alignment horizontal="left"/>
    </xf>
    <xf numFmtId="49" fontId="22" fillId="0" borderId="12" applyFill="0" applyProtection="0">
      <alignment horizontal="left"/>
    </xf>
    <xf numFmtId="0" fontId="71" fillId="0" borderId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173" fontId="8" fillId="0" borderId="0" applyNumberFormat="0" applyFont="0" applyFill="0" applyBorder="0" applyAlignment="0"/>
    <xf numFmtId="17" fontId="24" fillId="0" borderId="0"/>
    <xf numFmtId="0" fontId="29" fillId="0" borderId="0" applyNumberFormat="0" applyFill="0" applyBorder="0" applyProtection="0"/>
    <xf numFmtId="0" fontId="24" fillId="0" borderId="0" applyNumberFormat="0" applyFill="0" applyBorder="0" applyProtection="0"/>
    <xf numFmtId="38" fontId="72" fillId="0" borderId="0" applyNumberFormat="0" applyFill="0" applyBorder="0">
      <alignment horizontal="left" vertical="center"/>
    </xf>
    <xf numFmtId="43" fontId="8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177" fontId="74" fillId="0" borderId="0" applyFill="0" applyBorder="0">
      <alignment vertical="center"/>
    </xf>
    <xf numFmtId="218" fontId="29" fillId="0" borderId="0">
      <alignment horizontal="center"/>
    </xf>
    <xf numFmtId="219" fontId="73" fillId="0" borderId="0" applyFont="0" applyFill="0" applyBorder="0" applyAlignment="0" applyProtection="0"/>
    <xf numFmtId="220" fontId="73" fillId="0" borderId="0" applyFont="0" applyFill="0" applyBorder="0" applyAlignment="0" applyProtection="0"/>
    <xf numFmtId="166" fontId="8" fillId="0" borderId="0"/>
    <xf numFmtId="221" fontId="75" fillId="0" borderId="0" applyFont="0" applyFill="0" applyBorder="0" applyProtection="0">
      <alignment horizontal="right"/>
    </xf>
    <xf numFmtId="222" fontId="57" fillId="0" borderId="0" applyFont="0" applyFill="0" applyBorder="0" applyAlignment="0" applyProtection="0"/>
    <xf numFmtId="223" fontId="24" fillId="0" borderId="0" applyFont="0" applyFill="0" applyBorder="0" applyAlignment="0" applyProtection="0"/>
    <xf numFmtId="224" fontId="57" fillId="0" borderId="0" applyFont="0" applyFill="0" applyBorder="0" applyAlignment="0" applyProtection="0"/>
    <xf numFmtId="225" fontId="29" fillId="0" borderId="0" applyFont="0" applyFill="0" applyBorder="0" applyAlignment="0" applyProtection="0"/>
    <xf numFmtId="226" fontId="24" fillId="0" borderId="0" applyFont="0" applyFill="0" applyBorder="0" applyAlignment="0" applyProtection="0"/>
    <xf numFmtId="227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9" fontId="24" fillId="0" borderId="0" applyFont="0" applyFill="0" applyBorder="0" applyAlignment="0" applyProtection="0"/>
    <xf numFmtId="230" fontId="8" fillId="0" borderId="0"/>
    <xf numFmtId="0" fontId="12" fillId="10" borderId="0"/>
    <xf numFmtId="0" fontId="13" fillId="11" borderId="0"/>
    <xf numFmtId="0" fontId="14" fillId="0" borderId="0"/>
    <xf numFmtId="231" fontId="76" fillId="0" borderId="0"/>
    <xf numFmtId="0" fontId="8" fillId="0" borderId="0"/>
    <xf numFmtId="0" fontId="8" fillId="0" borderId="0"/>
    <xf numFmtId="0" fontId="77" fillId="0" borderId="0">
      <alignment horizontal="center"/>
    </xf>
    <xf numFmtId="0" fontId="25" fillId="0" borderId="0">
      <alignment horizontal="center" vertical="center"/>
    </xf>
    <xf numFmtId="0" fontId="24" fillId="0" borderId="13"/>
    <xf numFmtId="0" fontId="24" fillId="0" borderId="14"/>
    <xf numFmtId="49" fontId="24" fillId="0" borderId="14">
      <alignment horizontal="left"/>
    </xf>
    <xf numFmtId="0" fontId="24" fillId="0" borderId="15"/>
    <xf numFmtId="0" fontId="24" fillId="0" borderId="3"/>
    <xf numFmtId="0" fontId="24" fillId="0" borderId="16"/>
    <xf numFmtId="0" fontId="24" fillId="6" borderId="17"/>
    <xf numFmtId="0" fontId="25" fillId="6" borderId="12">
      <alignment horizontal="left"/>
    </xf>
    <xf numFmtId="0" fontId="25" fillId="6" borderId="18">
      <alignment horizontal="left"/>
    </xf>
    <xf numFmtId="0" fontId="24" fillId="6" borderId="12"/>
    <xf numFmtId="0" fontId="24" fillId="0" borderId="0">
      <alignment horizontal="left"/>
    </xf>
    <xf numFmtId="0" fontId="25" fillId="6" borderId="12">
      <alignment horizontal="left"/>
    </xf>
    <xf numFmtId="0" fontId="41" fillId="6" borderId="12">
      <alignment horizontal="left"/>
    </xf>
    <xf numFmtId="0" fontId="24" fillId="6" borderId="18"/>
    <xf numFmtId="0" fontId="24" fillId="0" borderId="13">
      <alignment horizontal="left"/>
    </xf>
    <xf numFmtId="0" fontId="24" fillId="0" borderId="0">
      <alignment horizontal="left"/>
    </xf>
    <xf numFmtId="0" fontId="24" fillId="0" borderId="14">
      <alignment horizontal="center"/>
    </xf>
    <xf numFmtId="0" fontId="24" fillId="0" borderId="0">
      <alignment horizontal="left"/>
    </xf>
    <xf numFmtId="0" fontId="25" fillId="6" borderId="17">
      <alignment horizontal="left"/>
    </xf>
    <xf numFmtId="0" fontId="24" fillId="0" borderId="13">
      <alignment horizontal="left"/>
    </xf>
    <xf numFmtId="0" fontId="24" fillId="0" borderId="13">
      <alignment horizontal="right"/>
    </xf>
    <xf numFmtId="180" fontId="25" fillId="0" borderId="0"/>
    <xf numFmtId="0" fontId="24" fillId="0" borderId="13"/>
    <xf numFmtId="177" fontId="24" fillId="0" borderId="14"/>
    <xf numFmtId="0" fontId="24" fillId="0" borderId="13"/>
    <xf numFmtId="0" fontId="24" fillId="0" borderId="13">
      <alignment horizontal="left"/>
    </xf>
    <xf numFmtId="0" fontId="25" fillId="6" borderId="17"/>
    <xf numFmtId="0" fontId="78" fillId="6" borderId="13">
      <alignment horizontal="left"/>
    </xf>
    <xf numFmtId="0" fontId="24" fillId="6" borderId="14"/>
    <xf numFmtId="0" fontId="25" fillId="6" borderId="13">
      <alignment horizontal="left"/>
    </xf>
    <xf numFmtId="0" fontId="24" fillId="0" borderId="13">
      <alignment horizontal="left"/>
    </xf>
    <xf numFmtId="0" fontId="24" fillId="0" borderId="13">
      <alignment horizontal="left"/>
    </xf>
    <xf numFmtId="14" fontId="77" fillId="0" borderId="0">
      <alignment horizontal="center"/>
    </xf>
    <xf numFmtId="49" fontId="79" fillId="0" borderId="13">
      <alignment horizontal="left"/>
    </xf>
    <xf numFmtId="0" fontId="79" fillId="0" borderId="13"/>
    <xf numFmtId="0" fontId="25" fillId="6" borderId="13">
      <alignment horizontal="left"/>
    </xf>
    <xf numFmtId="0" fontId="25" fillId="6" borderId="13"/>
    <xf numFmtId="49" fontId="24" fillId="0" borderId="14">
      <alignment horizontal="left"/>
    </xf>
    <xf numFmtId="0" fontId="77" fillId="0" borderId="13"/>
    <xf numFmtId="0" fontId="77" fillId="0" borderId="0">
      <alignment horizontal="center"/>
    </xf>
    <xf numFmtId="14" fontId="77" fillId="0" borderId="0">
      <alignment horizontal="center"/>
    </xf>
    <xf numFmtId="0" fontId="77" fillId="0" borderId="15"/>
    <xf numFmtId="0" fontId="24" fillId="0" borderId="3">
      <alignment horizontal="center"/>
    </xf>
    <xf numFmtId="0" fontId="24" fillId="0" borderId="0"/>
    <xf numFmtId="0" fontId="77" fillId="0" borderId="3">
      <alignment horizontal="center"/>
    </xf>
    <xf numFmtId="14" fontId="77" fillId="0" borderId="3">
      <alignment horizontal="center"/>
    </xf>
    <xf numFmtId="0" fontId="25" fillId="0" borderId="0">
      <alignment horizontal="left" vertical="center" wrapText="1"/>
    </xf>
    <xf numFmtId="0" fontId="25" fillId="6" borderId="9">
      <alignment horizontal="left" wrapText="1"/>
    </xf>
    <xf numFmtId="0" fontId="25" fillId="0" borderId="0">
      <alignment horizontal="right" vertical="center"/>
    </xf>
    <xf numFmtId="180" fontId="25" fillId="0" borderId="0">
      <alignment horizontal="right"/>
    </xf>
    <xf numFmtId="14" fontId="80" fillId="0" borderId="0">
      <alignment horizontal="center"/>
    </xf>
    <xf numFmtId="0" fontId="25" fillId="6" borderId="19">
      <alignment horizontal="center" wrapText="1"/>
    </xf>
    <xf numFmtId="0" fontId="57" fillId="0" borderId="0">
      <alignment horizontal="center" vertical="center"/>
    </xf>
    <xf numFmtId="1" fontId="81" fillId="0" borderId="0">
      <alignment horizontal="center" wrapText="1"/>
    </xf>
    <xf numFmtId="0" fontId="25" fillId="6" borderId="9">
      <alignment horizontal="center" wrapText="1"/>
    </xf>
    <xf numFmtId="0" fontId="81" fillId="6" borderId="20">
      <alignment horizontal="center" wrapText="1"/>
    </xf>
    <xf numFmtId="0" fontId="81" fillId="6" borderId="19">
      <alignment horizontal="left" wrapText="1"/>
    </xf>
    <xf numFmtId="0" fontId="24" fillId="0" borderId="14">
      <alignment horizontal="left"/>
    </xf>
    <xf numFmtId="0" fontId="57" fillId="0" borderId="0">
      <alignment horizontal="center"/>
    </xf>
    <xf numFmtId="2" fontId="57" fillId="12" borderId="0">
      <alignment horizontal="center"/>
    </xf>
    <xf numFmtId="0" fontId="24" fillId="0" borderId="0">
      <alignment horizontal="left" vertical="top"/>
    </xf>
    <xf numFmtId="16" fontId="24" fillId="0" borderId="0"/>
    <xf numFmtId="0" fontId="24" fillId="12" borderId="0"/>
    <xf numFmtId="14" fontId="24" fillId="0" borderId="0">
      <alignment horizontal="center"/>
    </xf>
    <xf numFmtId="2" fontId="57" fillId="0" borderId="12">
      <alignment horizontal="center" vertical="center"/>
    </xf>
    <xf numFmtId="0" fontId="25" fillId="6" borderId="0">
      <alignment horizontal="center"/>
    </xf>
    <xf numFmtId="2" fontId="57" fillId="0" borderId="0">
      <alignment horizontal="center"/>
    </xf>
    <xf numFmtId="2" fontId="57" fillId="0" borderId="0">
      <alignment horizontal="center"/>
    </xf>
    <xf numFmtId="0" fontId="24" fillId="0" borderId="0">
      <alignment horizontal="left" vertical="top"/>
    </xf>
    <xf numFmtId="15" fontId="24" fillId="0" borderId="0">
      <alignment horizontal="left" vertical="top"/>
    </xf>
    <xf numFmtId="0" fontId="24" fillId="0" borderId="0">
      <alignment horizontal="left" vertical="top"/>
    </xf>
    <xf numFmtId="14" fontId="24" fillId="0" borderId="0">
      <alignment horizontal="center" vertical="top"/>
    </xf>
    <xf numFmtId="0" fontId="57" fillId="0" borderId="0"/>
    <xf numFmtId="0" fontId="81" fillId="0" borderId="3"/>
    <xf numFmtId="14" fontId="81" fillId="0" borderId="3"/>
    <xf numFmtId="2" fontId="57" fillId="0" borderId="3">
      <alignment horizontal="center"/>
    </xf>
    <xf numFmtId="0" fontId="24" fillId="0" borderId="0">
      <alignment horizontal="center"/>
    </xf>
    <xf numFmtId="2" fontId="57" fillId="0" borderId="3">
      <alignment horizontal="center"/>
    </xf>
    <xf numFmtId="0" fontId="57" fillId="0" borderId="3"/>
    <xf numFmtId="0" fontId="57" fillId="0" borderId="3">
      <alignment horizontal="center"/>
    </xf>
    <xf numFmtId="0" fontId="57" fillId="0" borderId="3">
      <alignment horizontal="center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4" fillId="0" borderId="0">
      <alignment horizontal="center" vertical="top"/>
    </xf>
    <xf numFmtId="171" fontId="57" fillId="0" borderId="0">
      <alignment horizontal="left"/>
    </xf>
    <xf numFmtId="180" fontId="24" fillId="0" borderId="0"/>
    <xf numFmtId="0" fontId="24" fillId="0" borderId="0">
      <alignment horizontal="center"/>
    </xf>
    <xf numFmtId="0" fontId="77" fillId="0" borderId="0"/>
    <xf numFmtId="171" fontId="24" fillId="0" borderId="0"/>
    <xf numFmtId="1" fontId="24" fillId="0" borderId="0"/>
    <xf numFmtId="0" fontId="25" fillId="0" borderId="0"/>
    <xf numFmtId="171" fontId="24" fillId="0" borderId="0">
      <alignment horizontal="center"/>
    </xf>
    <xf numFmtId="171" fontId="24" fillId="0" borderId="21"/>
    <xf numFmtId="171" fontId="24" fillId="0" borderId="22"/>
    <xf numFmtId="0" fontId="24" fillId="0" borderId="10"/>
    <xf numFmtId="171" fontId="24" fillId="0" borderId="0"/>
    <xf numFmtId="1" fontId="81" fillId="0" borderId="16">
      <alignment horizontal="center" wrapText="1"/>
    </xf>
    <xf numFmtId="0" fontId="57" fillId="0" borderId="0">
      <alignment horizontal="center"/>
    </xf>
    <xf numFmtId="0" fontId="24" fillId="0" borderId="0">
      <alignment horizontal="left"/>
    </xf>
    <xf numFmtId="0" fontId="57" fillId="0" borderId="0"/>
    <xf numFmtId="171" fontId="24" fillId="0" borderId="0">
      <alignment horizontal="center"/>
    </xf>
    <xf numFmtId="0" fontId="25" fillId="0" borderId="3">
      <alignment horizontal="left" vertical="top"/>
    </xf>
    <xf numFmtId="0" fontId="24" fillId="0" borderId="3">
      <alignment horizontal="center" vertical="top"/>
    </xf>
    <xf numFmtId="14" fontId="24" fillId="0" borderId="3">
      <alignment horizontal="center" vertical="top"/>
    </xf>
    <xf numFmtId="15" fontId="24" fillId="0" borderId="3">
      <alignment horizontal="left" vertical="top"/>
    </xf>
    <xf numFmtId="0" fontId="27" fillId="0" borderId="0"/>
    <xf numFmtId="232" fontId="24" fillId="0" borderId="0">
      <alignment vertical="top"/>
    </xf>
    <xf numFmtId="0" fontId="24" fillId="0" borderId="3">
      <alignment horizontal="left" vertical="top"/>
    </xf>
    <xf numFmtId="0" fontId="24" fillId="0" borderId="0">
      <alignment horizontal="center" wrapText="1"/>
    </xf>
    <xf numFmtId="0" fontId="24" fillId="0" borderId="0">
      <alignment horizontal="center"/>
    </xf>
    <xf numFmtId="0" fontId="24" fillId="0" borderId="0">
      <alignment horizontal="center" vertical="top"/>
    </xf>
    <xf numFmtId="0" fontId="25" fillId="0" borderId="0"/>
    <xf numFmtId="14" fontId="24" fillId="0" borderId="0">
      <alignment horizontal="center"/>
    </xf>
    <xf numFmtId="14" fontId="24" fillId="0" borderId="0">
      <alignment horizontal="left" vertical="top"/>
    </xf>
    <xf numFmtId="169" fontId="24" fillId="0" borderId="0"/>
    <xf numFmtId="3" fontId="25" fillId="0" borderId="23">
      <alignment horizontal="right" vertical="center"/>
    </xf>
    <xf numFmtId="180" fontId="25" fillId="0" borderId="22">
      <alignment horizontal="right"/>
    </xf>
    <xf numFmtId="233" fontId="81" fillId="0" borderId="0">
      <alignment wrapText="1"/>
    </xf>
    <xf numFmtId="0" fontId="24" fillId="0" borderId="0">
      <alignment horizontal="center"/>
    </xf>
    <xf numFmtId="234" fontId="25" fillId="0" borderId="10"/>
    <xf numFmtId="234" fontId="25" fillId="0" borderId="0"/>
    <xf numFmtId="0" fontId="24" fillId="0" borderId="0">
      <alignment vertical="top"/>
    </xf>
    <xf numFmtId="3" fontId="25" fillId="0" borderId="21">
      <alignment horizontal="right" vertical="center"/>
    </xf>
    <xf numFmtId="0" fontId="81" fillId="0" borderId="15">
      <alignment horizontal="center" wrapText="1"/>
    </xf>
    <xf numFmtId="3" fontId="25" fillId="0" borderId="24">
      <alignment horizontal="right" vertical="center"/>
    </xf>
    <xf numFmtId="3" fontId="25" fillId="0" borderId="0">
      <alignment horizontal="right" vertical="center"/>
    </xf>
    <xf numFmtId="180" fontId="25" fillId="0" borderId="10">
      <alignment horizontal="right"/>
    </xf>
    <xf numFmtId="0" fontId="6" fillId="0" borderId="25">
      <alignment wrapText="1"/>
    </xf>
    <xf numFmtId="235" fontId="6" fillId="0" borderId="25">
      <alignment horizontal="right" wrapText="1"/>
    </xf>
    <xf numFmtId="4" fontId="24" fillId="0" borderId="0">
      <alignment horizontal="center"/>
    </xf>
    <xf numFmtId="0" fontId="25" fillId="6" borderId="9">
      <alignment horizontal="center"/>
    </xf>
    <xf numFmtId="0" fontId="25" fillId="6" borderId="20">
      <alignment horizontal="center"/>
    </xf>
    <xf numFmtId="14" fontId="24" fillId="0" borderId="0">
      <alignment horizontal="center" vertical="top"/>
    </xf>
    <xf numFmtId="0" fontId="24" fillId="13" borderId="0">
      <alignment vertical="top"/>
    </xf>
    <xf numFmtId="0" fontId="24" fillId="13" borderId="0"/>
    <xf numFmtId="0" fontId="6" fillId="0" borderId="25">
      <alignment wrapText="1"/>
    </xf>
    <xf numFmtId="236" fontId="28" fillId="0" borderId="0">
      <alignment horizontal="right" vertical="center" wrapText="1"/>
    </xf>
    <xf numFmtId="0" fontId="28" fillId="0" borderId="0">
      <alignment horizontal="right" vertical="center" wrapText="1"/>
    </xf>
    <xf numFmtId="0" fontId="6" fillId="0" borderId="0">
      <alignment wrapText="1"/>
    </xf>
    <xf numFmtId="180" fontId="24" fillId="0" borderId="0"/>
    <xf numFmtId="0" fontId="24" fillId="13" borderId="0">
      <alignment horizontal="center"/>
    </xf>
    <xf numFmtId="0" fontId="25" fillId="13" borderId="0"/>
    <xf numFmtId="0" fontId="24" fillId="13" borderId="0">
      <alignment horizontal="center" vertical="top"/>
    </xf>
    <xf numFmtId="0" fontId="24" fillId="0" borderId="0">
      <alignment vertical="top"/>
    </xf>
    <xf numFmtId="14" fontId="24" fillId="13" borderId="0">
      <alignment horizontal="center" vertical="top"/>
    </xf>
    <xf numFmtId="15" fontId="24" fillId="13" borderId="0">
      <alignment horizontal="left" vertical="top"/>
    </xf>
    <xf numFmtId="0" fontId="24" fillId="13" borderId="0">
      <alignment horizontal="left" vertical="top"/>
    </xf>
    <xf numFmtId="14" fontId="24" fillId="13" borderId="0">
      <alignment horizontal="left" vertical="top"/>
    </xf>
    <xf numFmtId="0" fontId="24" fillId="14" borderId="0">
      <alignment horizontal="center"/>
    </xf>
    <xf numFmtId="0" fontId="25" fillId="14" borderId="0"/>
    <xf numFmtId="0" fontId="24" fillId="14" borderId="0">
      <alignment horizontal="center" vertical="top"/>
    </xf>
    <xf numFmtId="14" fontId="24" fillId="14" borderId="0">
      <alignment horizontal="center" vertical="top"/>
    </xf>
    <xf numFmtId="0" fontId="24" fillId="14" borderId="0">
      <alignment vertical="top"/>
    </xf>
    <xf numFmtId="15" fontId="24" fillId="14" borderId="0">
      <alignment horizontal="left" vertical="top"/>
    </xf>
    <xf numFmtId="15" fontId="77" fillId="0" borderId="0">
      <alignment horizontal="left"/>
    </xf>
    <xf numFmtId="0" fontId="24" fillId="14" borderId="0">
      <alignment horizontal="left" vertical="top"/>
    </xf>
    <xf numFmtId="180" fontId="24" fillId="14" borderId="0">
      <alignment vertical="top"/>
    </xf>
    <xf numFmtId="14" fontId="24" fillId="14" borderId="0">
      <alignment horizontal="left" vertical="top"/>
    </xf>
    <xf numFmtId="0" fontId="24" fillId="14" borderId="0">
      <alignment horizontal="center"/>
    </xf>
    <xf numFmtId="0" fontId="24" fillId="14" borderId="0"/>
    <xf numFmtId="0" fontId="25" fillId="14" borderId="0">
      <alignment horizontal="left" vertical="top"/>
    </xf>
    <xf numFmtId="14" fontId="24" fillId="14" borderId="0">
      <alignment horizontal="center" vertical="top"/>
    </xf>
    <xf numFmtId="0" fontId="57" fillId="14" borderId="0">
      <alignment horizontal="center"/>
    </xf>
    <xf numFmtId="0" fontId="77" fillId="14" borderId="0">
      <alignment horizontal="center"/>
    </xf>
    <xf numFmtId="0" fontId="24" fillId="14" borderId="0"/>
    <xf numFmtId="0" fontId="57" fillId="0" borderId="0"/>
    <xf numFmtId="0" fontId="25" fillId="0" borderId="0">
      <alignment horizontal="center"/>
    </xf>
    <xf numFmtId="0" fontId="25" fillId="0" borderId="0">
      <alignment horizontal="center"/>
    </xf>
    <xf numFmtId="180" fontId="25" fillId="6" borderId="23">
      <alignment horizontal="center"/>
    </xf>
    <xf numFmtId="180" fontId="25" fillId="6" borderId="24">
      <alignment horizontal="center"/>
    </xf>
    <xf numFmtId="2" fontId="57" fillId="0" borderId="0"/>
    <xf numFmtId="0" fontId="57" fillId="0" borderId="0"/>
    <xf numFmtId="2" fontId="57" fillId="0" borderId="0">
      <alignment horizontal="center"/>
    </xf>
    <xf numFmtId="0" fontId="57" fillId="0" borderId="0">
      <alignment horizontal="center"/>
    </xf>
    <xf numFmtId="0" fontId="77" fillId="0" borderId="0">
      <alignment wrapText="1"/>
    </xf>
    <xf numFmtId="0" fontId="57" fillId="0" borderId="0">
      <alignment horizontal="center"/>
    </xf>
    <xf numFmtId="0" fontId="81" fillId="0" borderId="0">
      <alignment horizontal="left" vertical="center"/>
    </xf>
    <xf numFmtId="2" fontId="57" fillId="0" borderId="12">
      <alignment horizontal="center" vertical="center"/>
    </xf>
    <xf numFmtId="0" fontId="57" fillId="0" borderId="12">
      <alignment horizontal="center" vertical="center"/>
    </xf>
    <xf numFmtId="0" fontId="57" fillId="0" borderId="18">
      <alignment horizontal="center" vertical="center"/>
    </xf>
    <xf numFmtId="0" fontId="57" fillId="0" borderId="0">
      <alignment horizontal="center" vertical="center"/>
    </xf>
    <xf numFmtId="0" fontId="57" fillId="0" borderId="0">
      <alignment horizontal="left" vertical="center"/>
    </xf>
    <xf numFmtId="0" fontId="81" fillId="0" borderId="0">
      <alignment horizontal="left"/>
    </xf>
    <xf numFmtId="0" fontId="81" fillId="0" borderId="0">
      <alignment horizontal="left"/>
    </xf>
    <xf numFmtId="0" fontId="81" fillId="0" borderId="0">
      <alignment horizontal="center"/>
    </xf>
    <xf numFmtId="0" fontId="24" fillId="0" borderId="0">
      <alignment horizontal="center" vertical="center" wrapText="1"/>
    </xf>
    <xf numFmtId="0" fontId="81" fillId="0" borderId="0">
      <alignment horizontal="center" wrapText="1"/>
    </xf>
    <xf numFmtId="0" fontId="81" fillId="0" borderId="13">
      <alignment horizontal="center" wrapText="1"/>
    </xf>
    <xf numFmtId="1" fontId="81" fillId="0" borderId="14">
      <alignment horizontal="center" wrapText="1"/>
    </xf>
    <xf numFmtId="0" fontId="81" fillId="0" borderId="0">
      <alignment horizontal="center"/>
    </xf>
    <xf numFmtId="237" fontId="81" fillId="0" borderId="0">
      <alignment horizontal="center" wrapText="1"/>
    </xf>
    <xf numFmtId="171" fontId="81" fillId="0" borderId="0"/>
    <xf numFmtId="0" fontId="81" fillId="0" borderId="0"/>
    <xf numFmtId="0" fontId="57" fillId="0" borderId="0">
      <alignment wrapText="1"/>
    </xf>
    <xf numFmtId="0" fontId="81" fillId="0" borderId="0">
      <alignment horizontal="center" wrapText="1"/>
    </xf>
    <xf numFmtId="0" fontId="81" fillId="0" borderId="0">
      <alignment horizontal="center" wrapText="1"/>
    </xf>
    <xf numFmtId="171" fontId="24" fillId="0" borderId="0">
      <alignment horizontal="center" vertical="center" wrapText="1"/>
    </xf>
    <xf numFmtId="0" fontId="81" fillId="0" borderId="0">
      <alignment horizontal="center" wrapText="1"/>
    </xf>
    <xf numFmtId="238" fontId="81" fillId="0" borderId="0">
      <alignment horizontal="center" wrapText="1"/>
    </xf>
    <xf numFmtId="0" fontId="81" fillId="6" borderId="9">
      <alignment horizontal="center" wrapText="1"/>
    </xf>
    <xf numFmtId="2" fontId="81" fillId="6" borderId="9">
      <alignment horizontal="center" wrapText="1"/>
    </xf>
    <xf numFmtId="0" fontId="81" fillId="6" borderId="9">
      <alignment horizontal="center" wrapText="1"/>
    </xf>
    <xf numFmtId="0" fontId="81" fillId="0" borderId="0">
      <alignment horizontal="center" wrapText="1"/>
    </xf>
    <xf numFmtId="0" fontId="24" fillId="0" borderId="0"/>
    <xf numFmtId="0" fontId="24" fillId="0" borderId="0"/>
    <xf numFmtId="0" fontId="82" fillId="0" borderId="0">
      <alignment horizontal="left" vertical="center"/>
    </xf>
    <xf numFmtId="180" fontId="82" fillId="0" borderId="0">
      <alignment horizontal="left" vertical="center"/>
    </xf>
    <xf numFmtId="0" fontId="25" fillId="0" borderId="0">
      <alignment horizontal="center" vertical="center" wrapText="1"/>
    </xf>
    <xf numFmtId="0" fontId="82" fillId="0" borderId="0">
      <alignment horizontal="center" vertical="center"/>
    </xf>
    <xf numFmtId="0" fontId="25" fillId="0" borderId="23">
      <alignment horizontal="left"/>
    </xf>
    <xf numFmtId="169" fontId="25" fillId="0" borderId="26"/>
    <xf numFmtId="0" fontId="25" fillId="0" borderId="23"/>
    <xf numFmtId="169" fontId="25" fillId="0" borderId="0"/>
    <xf numFmtId="0" fontId="25" fillId="0" borderId="21"/>
    <xf numFmtId="180" fontId="25" fillId="0" borderId="27"/>
    <xf numFmtId="180" fontId="25" fillId="0" borderId="0"/>
    <xf numFmtId="171" fontId="25" fillId="0" borderId="27"/>
    <xf numFmtId="171" fontId="25" fillId="0" borderId="0"/>
    <xf numFmtId="0" fontId="24" fillId="0" borderId="0">
      <alignment wrapText="1"/>
    </xf>
    <xf numFmtId="0" fontId="25" fillId="0" borderId="22"/>
    <xf numFmtId="171" fontId="25" fillId="0" borderId="28"/>
    <xf numFmtId="0" fontId="25" fillId="0" borderId="0">
      <alignment horizontal="center"/>
    </xf>
    <xf numFmtId="0" fontId="25" fillId="6" borderId="23">
      <alignment horizontal="center"/>
    </xf>
    <xf numFmtId="180" fontId="25" fillId="6" borderId="24">
      <alignment horizontal="center"/>
    </xf>
    <xf numFmtId="0" fontId="25" fillId="6" borderId="24">
      <alignment horizontal="center"/>
    </xf>
    <xf numFmtId="0" fontId="25" fillId="6" borderId="26">
      <alignment horizontal="center"/>
    </xf>
    <xf numFmtId="0" fontId="25" fillId="6" borderId="22">
      <alignment horizontal="center"/>
    </xf>
    <xf numFmtId="180" fontId="25" fillId="6" borderId="10">
      <alignment horizontal="right"/>
    </xf>
    <xf numFmtId="0" fontId="25" fillId="6" borderId="10">
      <alignment horizontal="center"/>
    </xf>
    <xf numFmtId="0" fontId="24" fillId="0" borderId="0">
      <alignment horizontal="left" vertical="center" wrapText="1"/>
    </xf>
    <xf numFmtId="0" fontId="25" fillId="6" borderId="28">
      <alignment horizontal="center"/>
    </xf>
    <xf numFmtId="0" fontId="25" fillId="15" borderId="0">
      <alignment horizontal="center"/>
    </xf>
    <xf numFmtId="180" fontId="25" fillId="6" borderId="22">
      <alignment horizontal="center"/>
    </xf>
    <xf numFmtId="180" fontId="25" fillId="6" borderId="10">
      <alignment horizontal="center"/>
    </xf>
    <xf numFmtId="0" fontId="25" fillId="6" borderId="10">
      <alignment horizontal="center"/>
    </xf>
    <xf numFmtId="180" fontId="25" fillId="6" borderId="28">
      <alignment horizontal="center"/>
    </xf>
    <xf numFmtId="0" fontId="25" fillId="6" borderId="29">
      <alignment horizontal="center"/>
    </xf>
    <xf numFmtId="0" fontId="25" fillId="6" borderId="3">
      <alignment horizontal="center"/>
    </xf>
    <xf numFmtId="0" fontId="25" fillId="6" borderId="3">
      <alignment horizontal="center"/>
    </xf>
    <xf numFmtId="0" fontId="25" fillId="6" borderId="30">
      <alignment horizontal="center"/>
    </xf>
    <xf numFmtId="0" fontId="24" fillId="0" borderId="0"/>
    <xf numFmtId="0" fontId="25" fillId="6" borderId="21">
      <alignment horizontal="center"/>
    </xf>
    <xf numFmtId="0" fontId="25" fillId="6" borderId="0">
      <alignment horizontal="center"/>
    </xf>
    <xf numFmtId="0" fontId="25" fillId="6" borderId="27">
      <alignment horizontal="center"/>
    </xf>
    <xf numFmtId="0" fontId="41" fillId="0" borderId="0">
      <alignment horizontal="left"/>
    </xf>
    <xf numFmtId="49" fontId="24" fillId="0" borderId="0">
      <alignment horizontal="left"/>
    </xf>
    <xf numFmtId="0" fontId="41" fillId="0" borderId="0">
      <alignment horizontal="left"/>
    </xf>
    <xf numFmtId="15" fontId="77" fillId="15" borderId="0">
      <alignment horizontal="left"/>
    </xf>
    <xf numFmtId="0" fontId="24" fillId="0" borderId="0">
      <alignment horizontal="right"/>
    </xf>
    <xf numFmtId="49" fontId="24" fillId="0" borderId="0">
      <alignment horizontal="left"/>
    </xf>
    <xf numFmtId="49" fontId="24" fillId="0" borderId="0">
      <alignment horizontal="left"/>
    </xf>
    <xf numFmtId="10" fontId="77" fillId="0" borderId="0"/>
    <xf numFmtId="0" fontId="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3" fillId="0" borderId="0">
      <alignment horizontal="left" vertical="top"/>
      <protection locked="0"/>
    </xf>
    <xf numFmtId="0" fontId="37" fillId="0" borderId="11" applyNumberFormat="0" applyFont="0" applyFill="0" applyAlignment="0" applyProtection="0"/>
    <xf numFmtId="40" fontId="84" fillId="15" borderId="0">
      <alignment horizontal="right"/>
    </xf>
    <xf numFmtId="0" fontId="85" fillId="15" borderId="0">
      <alignment horizontal="right"/>
    </xf>
    <xf numFmtId="0" fontId="86" fillId="15" borderId="14"/>
    <xf numFmtId="0" fontId="86" fillId="0" borderId="0" applyBorder="0">
      <alignment horizontal="centerContinuous"/>
    </xf>
    <xf numFmtId="239" fontId="87" fillId="0" borderId="0" applyFill="0">
      <alignment horizontal="center" vertical="center"/>
    </xf>
    <xf numFmtId="0" fontId="25" fillId="0" borderId="31" applyNumberFormat="0" applyAlignment="0" applyProtection="0"/>
    <xf numFmtId="0" fontId="24" fillId="16" borderId="0" applyNumberFormat="0" applyFont="0" applyBorder="0" applyAlignment="0" applyProtection="0"/>
    <xf numFmtId="0" fontId="4" fillId="17" borderId="32" applyNumberFormat="0" applyFont="0" applyBorder="0" applyAlignment="0" applyProtection="0">
      <alignment horizontal="center"/>
    </xf>
    <xf numFmtId="0" fontId="4" fillId="18" borderId="32" applyNumberFormat="0" applyFont="0" applyBorder="0" applyAlignment="0" applyProtection="0">
      <alignment horizontal="center"/>
    </xf>
    <xf numFmtId="0" fontId="24" fillId="0" borderId="33" applyNumberFormat="0" applyAlignment="0" applyProtection="0"/>
    <xf numFmtId="0" fontId="24" fillId="0" borderId="34" applyNumberFormat="0" applyAlignment="0" applyProtection="0"/>
    <xf numFmtId="0" fontId="25" fillId="0" borderId="35" applyNumberFormat="0" applyAlignment="0" applyProtection="0"/>
    <xf numFmtId="14" fontId="29" fillId="0" borderId="0">
      <alignment horizontal="center" wrapText="1"/>
      <protection locked="0"/>
    </xf>
    <xf numFmtId="9" fontId="57" fillId="0" borderId="0" applyFont="0" applyFill="0" applyBorder="0" applyAlignment="0" applyProtection="0"/>
    <xf numFmtId="240" fontId="88" fillId="0" borderId="0" applyFont="0" applyFill="0" applyBorder="0" applyAlignment="0" applyProtection="0"/>
    <xf numFmtId="177" fontId="57" fillId="0" borderId="0" applyFont="0" applyFill="0" applyBorder="0" applyAlignment="0" applyProtection="0"/>
    <xf numFmtId="241" fontId="57" fillId="0" borderId="0" applyFont="0" applyFill="0" applyBorder="0" applyAlignment="0" applyProtection="0"/>
    <xf numFmtId="242" fontId="57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180" fontId="77" fillId="0" borderId="0">
      <alignment horizontal="right"/>
    </xf>
    <xf numFmtId="180" fontId="25" fillId="0" borderId="0">
      <alignment horizontal="left" vertical="center"/>
    </xf>
    <xf numFmtId="179" fontId="4" fillId="0" borderId="0"/>
    <xf numFmtId="180" fontId="77" fillId="0" borderId="0">
      <alignment horizontal="right"/>
    </xf>
    <xf numFmtId="180" fontId="77" fillId="0" borderId="0">
      <alignment horizontal="center"/>
    </xf>
    <xf numFmtId="178" fontId="77" fillId="0" borderId="0">
      <alignment horizontal="right"/>
    </xf>
    <xf numFmtId="180" fontId="77" fillId="0" borderId="3">
      <alignment horizontal="right"/>
    </xf>
    <xf numFmtId="180" fontId="77" fillId="0" borderId="3">
      <alignment horizontal="center"/>
    </xf>
    <xf numFmtId="178" fontId="77" fillId="0" borderId="3">
      <alignment horizontal="right"/>
    </xf>
    <xf numFmtId="171" fontId="77" fillId="0" borderId="3">
      <alignment horizontal="center"/>
    </xf>
    <xf numFmtId="243" fontId="77" fillId="0" borderId="12"/>
    <xf numFmtId="244" fontId="77" fillId="0" borderId="12">
      <alignment horizontal="center"/>
    </xf>
    <xf numFmtId="180" fontId="25" fillId="0" borderId="0">
      <alignment horizontal="right" vertical="center"/>
    </xf>
    <xf numFmtId="244" fontId="77" fillId="0" borderId="18">
      <alignment horizontal="center" wrapText="1"/>
    </xf>
    <xf numFmtId="244" fontId="77" fillId="0" borderId="0">
      <alignment horizontal="center"/>
    </xf>
    <xf numFmtId="244" fontId="77" fillId="0" borderId="14">
      <alignment horizontal="center" wrapText="1"/>
    </xf>
    <xf numFmtId="243" fontId="77" fillId="0" borderId="14">
      <alignment wrapText="1"/>
    </xf>
    <xf numFmtId="243" fontId="77" fillId="0" borderId="3"/>
    <xf numFmtId="243" fontId="77" fillId="0" borderId="16">
      <alignment wrapText="1"/>
    </xf>
    <xf numFmtId="245" fontId="25" fillId="0" borderId="0">
      <alignment horizontal="left"/>
    </xf>
    <xf numFmtId="246" fontId="25" fillId="0" borderId="0">
      <alignment horizontal="left"/>
    </xf>
    <xf numFmtId="247" fontId="25" fillId="0" borderId="0">
      <alignment horizontal="left"/>
    </xf>
    <xf numFmtId="180" fontId="24" fillId="0" borderId="0">
      <alignment vertical="top"/>
    </xf>
    <xf numFmtId="248" fontId="25" fillId="0" borderId="0">
      <alignment horizontal="center"/>
    </xf>
    <xf numFmtId="243" fontId="80" fillId="0" borderId="0"/>
    <xf numFmtId="180" fontId="57" fillId="0" borderId="0">
      <alignment horizontal="right"/>
    </xf>
    <xf numFmtId="180" fontId="57" fillId="0" borderId="0">
      <alignment horizontal="center"/>
    </xf>
    <xf numFmtId="244" fontId="24" fillId="0" borderId="0">
      <alignment horizontal="center" vertical="top"/>
    </xf>
    <xf numFmtId="180" fontId="22" fillId="0" borderId="3">
      <alignment horizontal="centerContinuous"/>
    </xf>
    <xf numFmtId="180" fontId="4" fillId="0" borderId="3">
      <alignment horizontal="center"/>
    </xf>
    <xf numFmtId="180" fontId="4" fillId="0" borderId="0"/>
    <xf numFmtId="180" fontId="4" fillId="0" borderId="3"/>
    <xf numFmtId="171" fontId="4" fillId="0" borderId="3"/>
    <xf numFmtId="171" fontId="22" fillId="0" borderId="0">
      <alignment horizontal="right"/>
    </xf>
    <xf numFmtId="178" fontId="25" fillId="0" borderId="0">
      <alignment horizontal="right" vertical="center"/>
    </xf>
    <xf numFmtId="173" fontId="81" fillId="0" borderId="0">
      <alignment horizontal="center" wrapText="1"/>
    </xf>
    <xf numFmtId="2" fontId="81" fillId="0" borderId="0">
      <alignment horizontal="center"/>
    </xf>
    <xf numFmtId="171" fontId="57" fillId="0" borderId="0"/>
    <xf numFmtId="0" fontId="4" fillId="0" borderId="0">
      <alignment horizontal="center"/>
    </xf>
    <xf numFmtId="171" fontId="24" fillId="0" borderId="0">
      <alignment horizontal="center" vertical="top"/>
    </xf>
    <xf numFmtId="243" fontId="24" fillId="0" borderId="0">
      <alignment horizontal="center" vertical="top"/>
    </xf>
    <xf numFmtId="244" fontId="24" fillId="0" borderId="0">
      <alignment horizontal="center" vertical="top" wrapText="1"/>
    </xf>
    <xf numFmtId="171" fontId="24" fillId="0" borderId="0">
      <alignment horizontal="left" vertical="top"/>
    </xf>
    <xf numFmtId="180" fontId="24" fillId="0" borderId="0">
      <alignment horizontal="right" vertical="top"/>
    </xf>
    <xf numFmtId="171" fontId="24" fillId="0" borderId="0">
      <alignment horizontal="center" vertical="top"/>
    </xf>
    <xf numFmtId="171" fontId="25" fillId="0" borderId="0">
      <alignment horizontal="center"/>
    </xf>
    <xf numFmtId="243" fontId="24" fillId="0" borderId="0">
      <alignment horizontal="center" vertical="top"/>
    </xf>
    <xf numFmtId="244" fontId="24" fillId="0" borderId="0">
      <alignment horizontal="center" vertical="top" wrapText="1"/>
    </xf>
    <xf numFmtId="180" fontId="24" fillId="0" borderId="0">
      <alignment horizontal="left" vertical="top"/>
    </xf>
    <xf numFmtId="171" fontId="24" fillId="0" borderId="0">
      <alignment horizontal="left" vertical="top"/>
    </xf>
    <xf numFmtId="180" fontId="4" fillId="0" borderId="0">
      <alignment horizontal="left"/>
    </xf>
    <xf numFmtId="180" fontId="22" fillId="0" borderId="0">
      <alignment horizontal="centerContinuous"/>
    </xf>
    <xf numFmtId="180" fontId="22" fillId="0" borderId="0">
      <alignment horizontal="left"/>
    </xf>
    <xf numFmtId="180" fontId="22" fillId="0" borderId="3">
      <alignment horizontal="left"/>
    </xf>
    <xf numFmtId="171" fontId="57" fillId="0" borderId="0"/>
    <xf numFmtId="171" fontId="57" fillId="0" borderId="3">
      <alignment horizontal="center"/>
    </xf>
    <xf numFmtId="243" fontId="25" fillId="0" borderId="0">
      <alignment horizontal="center"/>
    </xf>
    <xf numFmtId="171" fontId="57" fillId="0" borderId="3"/>
    <xf numFmtId="171" fontId="22" fillId="0" borderId="0"/>
    <xf numFmtId="180" fontId="4" fillId="14" borderId="0">
      <alignment horizontal="center"/>
    </xf>
    <xf numFmtId="180" fontId="4" fillId="14" borderId="0">
      <alignment horizontal="center"/>
    </xf>
    <xf numFmtId="180" fontId="22" fillId="14" borderId="0">
      <alignment horizontal="centerContinuous"/>
    </xf>
    <xf numFmtId="180" fontId="22" fillId="14" borderId="3">
      <alignment horizontal="center" wrapText="1"/>
    </xf>
    <xf numFmtId="180" fontId="4" fillId="19" borderId="0">
      <alignment horizontal="center"/>
    </xf>
    <xf numFmtId="180" fontId="4" fillId="19" borderId="0">
      <alignment horizontal="center"/>
    </xf>
    <xf numFmtId="180" fontId="22" fillId="19" borderId="0">
      <alignment horizontal="centerContinuous"/>
    </xf>
    <xf numFmtId="180" fontId="22" fillId="19" borderId="3">
      <alignment horizontal="centerContinuous"/>
    </xf>
    <xf numFmtId="243" fontId="25" fillId="0" borderId="0">
      <alignment horizontal="center" wrapText="1"/>
    </xf>
    <xf numFmtId="180" fontId="24" fillId="0" borderId="0"/>
    <xf numFmtId="171" fontId="24" fillId="0" borderId="0"/>
    <xf numFmtId="171" fontId="24" fillId="0" borderId="0">
      <alignment horizontal="center"/>
    </xf>
    <xf numFmtId="180" fontId="24" fillId="0" borderId="0"/>
    <xf numFmtId="179" fontId="24" fillId="0" borderId="0"/>
    <xf numFmtId="171" fontId="24" fillId="0" borderId="27"/>
    <xf numFmtId="180" fontId="24" fillId="0" borderId="3"/>
    <xf numFmtId="171" fontId="24" fillId="0" borderId="28"/>
    <xf numFmtId="179" fontId="24" fillId="0" borderId="10"/>
    <xf numFmtId="10" fontId="24" fillId="0" borderId="0"/>
    <xf numFmtId="245" fontId="25" fillId="0" borderId="0">
      <alignment horizontal="center"/>
    </xf>
    <xf numFmtId="171" fontId="24" fillId="0" borderId="0"/>
    <xf numFmtId="249" fontId="25" fillId="0" borderId="0">
      <alignment horizontal="center" vertical="top"/>
    </xf>
    <xf numFmtId="14" fontId="22" fillId="0" borderId="0">
      <alignment horizontal="center"/>
    </xf>
    <xf numFmtId="4" fontId="57" fillId="0" borderId="0">
      <alignment horizontal="right" vertical="top"/>
    </xf>
    <xf numFmtId="180" fontId="57" fillId="0" borderId="0">
      <alignment horizontal="center" vertical="top"/>
    </xf>
    <xf numFmtId="180" fontId="24" fillId="0" borderId="3">
      <alignment horizontal="right" vertical="top"/>
    </xf>
    <xf numFmtId="178" fontId="24" fillId="0" borderId="3">
      <alignment horizontal="center" vertical="top"/>
    </xf>
    <xf numFmtId="171" fontId="24" fillId="0" borderId="3">
      <alignment horizontal="center" vertical="top"/>
    </xf>
    <xf numFmtId="243" fontId="24" fillId="0" borderId="3">
      <alignment horizontal="center" vertical="top"/>
    </xf>
    <xf numFmtId="244" fontId="24" fillId="0" borderId="3">
      <alignment horizontal="center" vertical="top" wrapText="1"/>
    </xf>
    <xf numFmtId="245" fontId="25" fillId="0" borderId="0">
      <alignment horizontal="center" wrapText="1"/>
    </xf>
    <xf numFmtId="180" fontId="24" fillId="0" borderId="3">
      <alignment horizontal="center" vertical="top"/>
    </xf>
    <xf numFmtId="180" fontId="24" fillId="0" borderId="3">
      <alignment horizontal="left" vertical="top"/>
    </xf>
    <xf numFmtId="180" fontId="24" fillId="0" borderId="3">
      <alignment vertical="top"/>
    </xf>
    <xf numFmtId="171" fontId="24" fillId="0" borderId="3">
      <alignment horizontal="left" vertical="top"/>
    </xf>
    <xf numFmtId="244" fontId="24" fillId="0" borderId="3">
      <alignment horizontal="center" vertical="top"/>
    </xf>
    <xf numFmtId="171" fontId="4" fillId="0" borderId="0">
      <alignment horizontal="center"/>
    </xf>
    <xf numFmtId="180" fontId="25" fillId="0" borderId="24">
      <alignment horizontal="right" vertical="center"/>
    </xf>
    <xf numFmtId="247" fontId="25" fillId="0" borderId="24">
      <alignment horizontal="left"/>
    </xf>
    <xf numFmtId="250" fontId="25" fillId="0" borderId="24">
      <alignment horizontal="left"/>
    </xf>
    <xf numFmtId="178" fontId="25" fillId="0" borderId="24">
      <alignment horizontal="right" vertical="center"/>
    </xf>
    <xf numFmtId="180" fontId="25" fillId="0" borderId="0">
      <alignment horizontal="left"/>
    </xf>
    <xf numFmtId="180" fontId="25" fillId="0" borderId="10">
      <alignment horizontal="right" vertical="center"/>
    </xf>
    <xf numFmtId="247" fontId="25" fillId="0" borderId="10">
      <alignment horizontal="left"/>
    </xf>
    <xf numFmtId="250" fontId="25" fillId="0" borderId="10">
      <alignment horizontal="left"/>
    </xf>
    <xf numFmtId="178" fontId="25" fillId="0" borderId="10">
      <alignment horizontal="right"/>
    </xf>
    <xf numFmtId="251" fontId="25" fillId="0" borderId="28">
      <alignment horizontal="left"/>
    </xf>
    <xf numFmtId="180" fontId="25" fillId="0" borderId="10">
      <alignment horizontal="left" vertical="center"/>
    </xf>
    <xf numFmtId="179" fontId="4" fillId="0" borderId="0">
      <alignment horizontal="center"/>
    </xf>
    <xf numFmtId="171" fontId="4" fillId="14" borderId="0">
      <alignment horizontal="center"/>
    </xf>
    <xf numFmtId="171" fontId="4" fillId="19" borderId="0">
      <alignment horizontal="center"/>
    </xf>
    <xf numFmtId="250" fontId="25" fillId="0" borderId="0">
      <alignment horizontal="left"/>
    </xf>
    <xf numFmtId="177" fontId="22" fillId="0" borderId="0" applyFill="0" applyBorder="0" applyAlignment="0" applyProtection="0"/>
    <xf numFmtId="180" fontId="77" fillId="0" borderId="0">
      <alignment horizontal="center"/>
    </xf>
    <xf numFmtId="180" fontId="25" fillId="0" borderId="0">
      <alignment horizontal="right"/>
    </xf>
    <xf numFmtId="251" fontId="25" fillId="0" borderId="27">
      <alignment horizontal="left"/>
    </xf>
    <xf numFmtId="171" fontId="24" fillId="0" borderId="26">
      <alignment horizontal="center"/>
    </xf>
    <xf numFmtId="180" fontId="25" fillId="0" borderId="3">
      <alignment horizontal="right" vertical="center"/>
    </xf>
    <xf numFmtId="252" fontId="25" fillId="0" borderId="27">
      <alignment horizontal="left"/>
    </xf>
    <xf numFmtId="180" fontId="24" fillId="13" borderId="0"/>
    <xf numFmtId="180" fontId="24" fillId="13" borderId="0">
      <alignment horizontal="center" vertical="top"/>
    </xf>
    <xf numFmtId="180" fontId="24" fillId="0" borderId="10"/>
    <xf numFmtId="180" fontId="24" fillId="13" borderId="0">
      <alignment horizontal="center" vertical="top"/>
    </xf>
    <xf numFmtId="180" fontId="24" fillId="13" borderId="0">
      <alignment horizontal="right" vertical="top"/>
    </xf>
    <xf numFmtId="178" fontId="24" fillId="13" borderId="0">
      <alignment horizontal="center" vertical="top"/>
    </xf>
    <xf numFmtId="178" fontId="25" fillId="0" borderId="0">
      <alignment horizontal="right"/>
    </xf>
    <xf numFmtId="171" fontId="24" fillId="13" borderId="0">
      <alignment horizontal="center" vertical="top"/>
    </xf>
    <xf numFmtId="243" fontId="24" fillId="13" borderId="0">
      <alignment horizontal="center" vertical="top"/>
    </xf>
    <xf numFmtId="244" fontId="24" fillId="13" borderId="0">
      <alignment horizontal="center" vertical="top"/>
    </xf>
    <xf numFmtId="244" fontId="24" fillId="13" borderId="0">
      <alignment horizontal="center" vertical="top" wrapText="1"/>
    </xf>
    <xf numFmtId="180" fontId="24" fillId="13" borderId="0">
      <alignment horizontal="left" vertical="top"/>
    </xf>
    <xf numFmtId="171" fontId="24" fillId="13" borderId="0">
      <alignment horizontal="left" vertical="top"/>
    </xf>
    <xf numFmtId="171" fontId="24" fillId="13" borderId="0"/>
    <xf numFmtId="180" fontId="24" fillId="14" borderId="0">
      <alignment horizontal="center" vertical="top"/>
    </xf>
    <xf numFmtId="180" fontId="24" fillId="14" borderId="0">
      <alignment horizontal="right" vertical="top"/>
    </xf>
    <xf numFmtId="178" fontId="24" fillId="14" borderId="0">
      <alignment horizontal="center" vertical="top"/>
    </xf>
    <xf numFmtId="180" fontId="24" fillId="0" borderId="0">
      <alignment horizontal="right"/>
    </xf>
    <xf numFmtId="171" fontId="24" fillId="14" borderId="0">
      <alignment horizontal="center" vertical="top"/>
    </xf>
    <xf numFmtId="243" fontId="24" fillId="14" borderId="0">
      <alignment horizontal="center" vertical="top"/>
    </xf>
    <xf numFmtId="244" fontId="24" fillId="14" borderId="0">
      <alignment horizontal="center" vertical="top"/>
    </xf>
    <xf numFmtId="244" fontId="24" fillId="14" borderId="0">
      <alignment horizontal="center" vertical="top" wrapText="1"/>
    </xf>
    <xf numFmtId="180" fontId="24" fillId="14" borderId="0">
      <alignment horizontal="center" vertical="top"/>
    </xf>
    <xf numFmtId="180" fontId="24" fillId="14" borderId="0">
      <alignment horizontal="left" vertical="top"/>
    </xf>
    <xf numFmtId="180" fontId="24" fillId="14" borderId="0"/>
    <xf numFmtId="171" fontId="24" fillId="14" borderId="0">
      <alignment horizontal="left" vertical="top"/>
    </xf>
    <xf numFmtId="243" fontId="24" fillId="14" borderId="0">
      <alignment horizontal="center" vertical="top"/>
    </xf>
    <xf numFmtId="244" fontId="77" fillId="14" borderId="0">
      <alignment horizontal="center" wrapText="1"/>
    </xf>
    <xf numFmtId="180" fontId="24" fillId="0" borderId="0"/>
    <xf numFmtId="180" fontId="24" fillId="14" borderId="0">
      <alignment horizontal="left" vertical="top"/>
    </xf>
    <xf numFmtId="180" fontId="24" fillId="14" borderId="0">
      <alignment horizontal="right"/>
    </xf>
    <xf numFmtId="180" fontId="24" fillId="14" borderId="0">
      <alignment horizontal="right"/>
    </xf>
    <xf numFmtId="4" fontId="57" fillId="14" borderId="0">
      <alignment horizontal="right" vertical="top"/>
    </xf>
    <xf numFmtId="171" fontId="24" fillId="14" borderId="0">
      <alignment horizontal="center" vertical="top"/>
    </xf>
    <xf numFmtId="244" fontId="24" fillId="14" borderId="0">
      <alignment horizontal="center" vertical="top" wrapText="1"/>
    </xf>
    <xf numFmtId="171" fontId="24" fillId="14" borderId="0">
      <alignment horizontal="left" vertical="top"/>
    </xf>
    <xf numFmtId="180" fontId="25" fillId="6" borderId="9">
      <alignment horizontal="right" wrapText="1"/>
    </xf>
    <xf numFmtId="180" fontId="25" fillId="6" borderId="9">
      <alignment horizontal="center" wrapText="1"/>
    </xf>
    <xf numFmtId="178" fontId="25" fillId="6" borderId="9">
      <alignment horizontal="right" wrapText="1"/>
    </xf>
    <xf numFmtId="171" fontId="25" fillId="6" borderId="9">
      <alignment horizontal="center" wrapText="1"/>
    </xf>
    <xf numFmtId="243" fontId="25" fillId="6" borderId="9">
      <alignment horizontal="center" wrapText="1"/>
    </xf>
    <xf numFmtId="243" fontId="25" fillId="6" borderId="9">
      <alignment horizontal="center" wrapText="1"/>
    </xf>
    <xf numFmtId="215" fontId="26" fillId="0" borderId="0">
      <alignment horizontal="left" vertical="center" wrapText="1"/>
    </xf>
    <xf numFmtId="180" fontId="24" fillId="0" borderId="0">
      <alignment horizontal="right"/>
    </xf>
    <xf numFmtId="180" fontId="24" fillId="0" borderId="0"/>
    <xf numFmtId="178" fontId="24" fillId="0" borderId="0">
      <alignment horizontal="right"/>
    </xf>
    <xf numFmtId="171" fontId="24" fillId="0" borderId="0">
      <alignment horizontal="center"/>
    </xf>
    <xf numFmtId="243" fontId="24" fillId="0" borderId="0"/>
    <xf numFmtId="243" fontId="24" fillId="0" borderId="0">
      <alignment wrapText="1"/>
    </xf>
    <xf numFmtId="178" fontId="24" fillId="0" borderId="0">
      <alignment horizontal="center" vertical="top"/>
    </xf>
    <xf numFmtId="180" fontId="24" fillId="0" borderId="0">
      <alignment horizontal="center" vertical="top"/>
    </xf>
    <xf numFmtId="180" fontId="24" fillId="0" borderId="0">
      <alignment horizontal="center" vertical="top"/>
    </xf>
    <xf numFmtId="180" fontId="24" fillId="0" borderId="0">
      <alignment horizontal="left" vertical="top"/>
    </xf>
    <xf numFmtId="180" fontId="24" fillId="0" borderId="0">
      <alignment horizontal="right" vertical="center" wrapText="1"/>
    </xf>
    <xf numFmtId="180" fontId="24" fillId="0" borderId="0">
      <alignment horizontal="right" vertical="top"/>
    </xf>
    <xf numFmtId="178" fontId="24" fillId="0" borderId="0">
      <alignment horizontal="center" vertical="top"/>
    </xf>
    <xf numFmtId="178" fontId="77" fillId="0" borderId="0">
      <alignment horizontal="right"/>
    </xf>
    <xf numFmtId="171" fontId="77" fillId="0" borderId="0">
      <alignment horizontal="center"/>
    </xf>
    <xf numFmtId="243" fontId="77" fillId="0" borderId="0"/>
    <xf numFmtId="244" fontId="77" fillId="0" borderId="0">
      <alignment horizontal="center"/>
    </xf>
    <xf numFmtId="244" fontId="77" fillId="0" borderId="0">
      <alignment horizontal="center" wrapText="1"/>
    </xf>
    <xf numFmtId="243" fontId="77" fillId="0" borderId="0">
      <alignment wrapText="1"/>
    </xf>
    <xf numFmtId="171" fontId="57" fillId="0" borderId="0">
      <alignment horizontal="center"/>
    </xf>
    <xf numFmtId="171" fontId="57" fillId="0" borderId="0"/>
    <xf numFmtId="180" fontId="24" fillId="0" borderId="0">
      <alignment horizontal="center" vertical="center" wrapText="1"/>
    </xf>
    <xf numFmtId="171" fontId="57" fillId="0" borderId="17">
      <alignment horizontal="center" vertical="center"/>
    </xf>
    <xf numFmtId="171" fontId="57" fillId="0" borderId="12">
      <alignment horizontal="center" vertical="center"/>
    </xf>
    <xf numFmtId="171" fontId="81" fillId="0" borderId="12">
      <alignment horizontal="center" vertical="center"/>
    </xf>
    <xf numFmtId="171" fontId="81" fillId="0" borderId="13">
      <alignment horizontal="center"/>
    </xf>
    <xf numFmtId="171" fontId="81" fillId="0" borderId="0">
      <alignment horizontal="center"/>
    </xf>
    <xf numFmtId="2" fontId="81" fillId="0" borderId="0">
      <alignment horizontal="center"/>
    </xf>
    <xf numFmtId="171" fontId="81" fillId="0" borderId="14">
      <alignment horizontal="center"/>
    </xf>
    <xf numFmtId="171" fontId="81" fillId="0" borderId="0">
      <alignment horizontal="center"/>
    </xf>
    <xf numFmtId="180" fontId="81" fillId="0" borderId="0">
      <alignment horizontal="center" wrapText="1"/>
    </xf>
    <xf numFmtId="180" fontId="81" fillId="0" borderId="3">
      <alignment horizontal="center" wrapText="1"/>
    </xf>
    <xf numFmtId="178" fontId="24" fillId="0" borderId="0">
      <alignment horizontal="right" vertical="center" wrapText="1"/>
    </xf>
    <xf numFmtId="173" fontId="81" fillId="0" borderId="3">
      <alignment horizontal="center" wrapText="1"/>
    </xf>
    <xf numFmtId="171" fontId="89" fillId="0" borderId="0">
      <alignment horizontal="left"/>
    </xf>
    <xf numFmtId="171" fontId="81" fillId="0" borderId="0">
      <alignment horizontal="center" wrapText="1"/>
    </xf>
    <xf numFmtId="171" fontId="81" fillId="0" borderId="0">
      <alignment wrapText="1"/>
    </xf>
    <xf numFmtId="171" fontId="81" fillId="6" borderId="9">
      <alignment horizontal="right" wrapText="1"/>
    </xf>
    <xf numFmtId="171" fontId="81" fillId="6" borderId="9">
      <alignment horizontal="center" wrapText="1"/>
    </xf>
    <xf numFmtId="180" fontId="4" fillId="0" borderId="0"/>
    <xf numFmtId="180" fontId="4" fillId="0" borderId="0">
      <alignment horizontal="center"/>
    </xf>
    <xf numFmtId="180" fontId="4" fillId="0" borderId="0">
      <alignment horizontal="left"/>
    </xf>
    <xf numFmtId="180" fontId="4" fillId="0" borderId="0">
      <alignment horizontal="center"/>
    </xf>
    <xf numFmtId="171" fontId="25" fillId="0" borderId="0">
      <alignment horizontal="center" vertical="center" wrapText="1"/>
    </xf>
    <xf numFmtId="180" fontId="22" fillId="0" borderId="0">
      <alignment horizontal="center"/>
    </xf>
    <xf numFmtId="180" fontId="4" fillId="0" borderId="0"/>
    <xf numFmtId="180" fontId="82" fillId="0" borderId="0">
      <alignment horizontal="left" vertical="center"/>
    </xf>
    <xf numFmtId="180" fontId="25" fillId="0" borderId="27"/>
    <xf numFmtId="180" fontId="25" fillId="0" borderId="0"/>
    <xf numFmtId="171" fontId="25" fillId="0" borderId="0"/>
    <xf numFmtId="171" fontId="25" fillId="0" borderId="0">
      <alignment horizontal="center"/>
    </xf>
    <xf numFmtId="180" fontId="25" fillId="0" borderId="0">
      <alignment horizontal="center"/>
    </xf>
    <xf numFmtId="180" fontId="25" fillId="6" borderId="24">
      <alignment horizontal="center"/>
    </xf>
    <xf numFmtId="49" fontId="24" fillId="0" borderId="0">
      <alignment horizontal="left"/>
    </xf>
    <xf numFmtId="243" fontId="25" fillId="0" borderId="0">
      <alignment horizontal="center" vertical="center" wrapText="1"/>
    </xf>
    <xf numFmtId="49" fontId="24" fillId="0" borderId="13">
      <alignment horizontal="left"/>
    </xf>
    <xf numFmtId="49" fontId="24" fillId="0" borderId="15">
      <alignment horizontal="left"/>
    </xf>
    <xf numFmtId="180" fontId="79" fillId="0" borderId="14"/>
    <xf numFmtId="49" fontId="24" fillId="0" borderId="14">
      <alignment horizontal="left"/>
    </xf>
    <xf numFmtId="180" fontId="4" fillId="0" borderId="0">
      <alignment horizontal="center"/>
    </xf>
    <xf numFmtId="180" fontId="4" fillId="0" borderId="0"/>
    <xf numFmtId="180" fontId="4" fillId="0" borderId="0"/>
    <xf numFmtId="180" fontId="22" fillId="0" borderId="0">
      <alignment horizontal="right"/>
    </xf>
    <xf numFmtId="180" fontId="22" fillId="0" borderId="0">
      <alignment horizontal="center"/>
    </xf>
    <xf numFmtId="180" fontId="22" fillId="0" borderId="3"/>
    <xf numFmtId="180" fontId="25" fillId="0" borderId="0">
      <alignment horizontal="left" vertical="center" wrapText="1"/>
    </xf>
    <xf numFmtId="180" fontId="22" fillId="0" borderId="3">
      <alignment horizontal="center"/>
    </xf>
    <xf numFmtId="180" fontId="22" fillId="0" borderId="3">
      <alignment horizontal="center" wrapText="1"/>
    </xf>
    <xf numFmtId="180" fontId="22" fillId="0" borderId="0"/>
    <xf numFmtId="180" fontId="22" fillId="0" borderId="3">
      <alignment horizontal="center" wrapText="1"/>
    </xf>
    <xf numFmtId="180" fontId="22" fillId="0" borderId="0">
      <alignment horizontal="center"/>
    </xf>
    <xf numFmtId="180" fontId="22" fillId="0" borderId="3">
      <alignment horizontal="center"/>
    </xf>
    <xf numFmtId="180" fontId="22" fillId="0" borderId="0"/>
    <xf numFmtId="180" fontId="22" fillId="0" borderId="3">
      <alignment horizontal="left" wrapText="1"/>
    </xf>
    <xf numFmtId="244" fontId="4" fillId="0" borderId="0">
      <alignment horizontal="center"/>
    </xf>
    <xf numFmtId="244" fontId="4" fillId="0" borderId="0">
      <alignment horizontal="left"/>
    </xf>
    <xf numFmtId="0" fontId="90" fillId="0" borderId="0"/>
    <xf numFmtId="10" fontId="8" fillId="0" borderId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235" fontId="8" fillId="0" borderId="0"/>
    <xf numFmtId="0" fontId="91" fillId="6" borderId="0"/>
    <xf numFmtId="0" fontId="56" fillId="0" borderId="0" applyNumberFormat="0" applyFont="0" applyFill="0" applyBorder="0" applyAlignment="0" applyProtection="0">
      <alignment horizontal="left"/>
    </xf>
    <xf numFmtId="15" fontId="56" fillId="0" borderId="0" applyFont="0" applyFill="0" applyBorder="0" applyAlignment="0" applyProtection="0"/>
    <xf numFmtId="4" fontId="56" fillId="0" borderId="0" applyFont="0" applyFill="0" applyBorder="0" applyAlignment="0" applyProtection="0"/>
    <xf numFmtId="0" fontId="92" fillId="0" borderId="10">
      <alignment horizontal="center"/>
    </xf>
    <xf numFmtId="3" fontId="56" fillId="0" borderId="0" applyFont="0" applyFill="0" applyBorder="0" applyAlignment="0" applyProtection="0"/>
    <xf numFmtId="0" fontId="56" fillId="20" borderId="0" applyNumberFormat="0" applyFon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53" fontId="93" fillId="0" borderId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94" fillId="21" borderId="0" applyNumberFormat="0" applyFont="0" applyBorder="0" applyAlignment="0">
      <alignment horizontal="center"/>
    </xf>
    <xf numFmtId="14" fontId="43" fillId="0" borderId="0" applyNumberFormat="0" applyFill="0" applyBorder="0" applyAlignment="0" applyProtection="0">
      <alignment horizontal="left"/>
    </xf>
    <xf numFmtId="49" fontId="4" fillId="0" borderId="0" applyFont="0" applyFill="0" applyBorder="0" applyProtection="0">
      <alignment horizontal="right"/>
    </xf>
    <xf numFmtId="49" fontId="22" fillId="0" borderId="0" applyFill="0" applyBorder="0" applyProtection="0">
      <alignment horizontal="right"/>
    </xf>
    <xf numFmtId="49" fontId="22" fillId="0" borderId="3" applyFill="0" applyProtection="0">
      <alignment horizontal="right"/>
    </xf>
    <xf numFmtId="49" fontId="22" fillId="0" borderId="12" applyFill="0" applyProtection="0">
      <alignment horizontal="right"/>
    </xf>
    <xf numFmtId="0" fontId="66" fillId="0" borderId="0" applyFill="0" applyBorder="0" applyProtection="0">
      <alignment horizontal="left"/>
    </xf>
    <xf numFmtId="0" fontId="15" fillId="22" borderId="0"/>
    <xf numFmtId="0" fontId="94" fillId="1" borderId="8" applyNumberFormat="0" applyFont="0" applyAlignment="0">
      <alignment horizontal="center"/>
    </xf>
    <xf numFmtId="254" fontId="95" fillId="0" borderId="0" applyFont="0" applyFill="0" applyBorder="0" applyAlignment="0" applyProtection="0"/>
    <xf numFmtId="1" fontId="8" fillId="0" borderId="0"/>
    <xf numFmtId="0" fontId="4" fillId="0" borderId="0" applyFont="0" applyFill="0" applyBorder="0" applyAlignment="0" applyProtection="0"/>
    <xf numFmtId="0" fontId="22" fillId="0" borderId="0" applyFill="0" applyBorder="0" applyAlignment="0" applyProtection="0"/>
    <xf numFmtId="168" fontId="23" fillId="0" borderId="0" applyFill="0" applyBorder="0" applyAlignment="0" applyProtection="0"/>
    <xf numFmtId="0" fontId="96" fillId="0" borderId="0" applyNumberFormat="0" applyFill="0" applyBorder="0" applyAlignment="0">
      <alignment horizontal="center"/>
    </xf>
    <xf numFmtId="12" fontId="8" fillId="0" borderId="0" applyFont="0" applyFill="0" applyBorder="0" applyProtection="0">
      <alignment horizontal="right"/>
    </xf>
    <xf numFmtId="0" fontId="8" fillId="23" borderId="0" applyFont="0" applyFill="0" applyBorder="0" applyProtection="0">
      <alignment horizontal="right"/>
    </xf>
    <xf numFmtId="0" fontId="6" fillId="0" borderId="0">
      <alignment vertical="top"/>
    </xf>
    <xf numFmtId="0" fontId="81" fillId="0" borderId="0" applyNumberFormat="0" applyFill="0" applyBorder="0" applyProtection="0">
      <alignment horizontal="left"/>
    </xf>
    <xf numFmtId="0" fontId="24" fillId="0" borderId="0" applyNumberFormat="0" applyFill="0" applyBorder="0" applyProtection="0">
      <alignment horizontal="left"/>
    </xf>
    <xf numFmtId="0" fontId="24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left"/>
    </xf>
    <xf numFmtId="0" fontId="25" fillId="0" borderId="0" applyFill="0" applyBorder="0" applyProtection="0">
      <alignment horizontal="left" wrapText="1"/>
    </xf>
    <xf numFmtId="0" fontId="25" fillId="0" borderId="0" applyNumberFormat="0" applyFill="0" applyBorder="0" applyProtection="0">
      <alignment horizontal="right" wrapText="1"/>
    </xf>
    <xf numFmtId="1" fontId="24" fillId="0" borderId="0" applyFill="0" applyBorder="0" applyProtection="0">
      <alignment horizontal="left"/>
    </xf>
    <xf numFmtId="49" fontId="24" fillId="0" borderId="0" applyFill="0" applyBorder="0" applyProtection="0">
      <alignment horizontal="left"/>
    </xf>
    <xf numFmtId="1" fontId="24" fillId="0" borderId="0" applyFill="0" applyBorder="0" applyProtection="0">
      <alignment horizontal="center"/>
    </xf>
    <xf numFmtId="37" fontId="24" fillId="0" borderId="0" applyFill="0" applyBorder="0" applyProtection="0">
      <alignment horizontal="right"/>
    </xf>
    <xf numFmtId="166" fontId="24" fillId="0" borderId="0" applyFill="0" applyBorder="0" applyProtection="0">
      <alignment horizontal="right"/>
    </xf>
    <xf numFmtId="255" fontId="24" fillId="0" borderId="0" applyFill="0" applyBorder="0" applyProtection="0">
      <alignment horizontal="left"/>
    </xf>
    <xf numFmtId="37" fontId="25" fillId="0" borderId="0" applyFill="0" applyBorder="0" applyProtection="0">
      <alignment horizontal="right"/>
    </xf>
    <xf numFmtId="166" fontId="25" fillId="0" borderId="0" applyFill="0" applyBorder="0" applyProtection="0">
      <alignment horizontal="right"/>
    </xf>
    <xf numFmtId="256" fontId="24" fillId="0" borderId="0" applyFill="0" applyBorder="0" applyProtection="0">
      <alignment horizontal="right"/>
    </xf>
    <xf numFmtId="257" fontId="24" fillId="0" borderId="0" applyFill="0" applyBorder="0" applyProtection="0">
      <alignment horizontal="right"/>
    </xf>
    <xf numFmtId="258" fontId="24" fillId="0" borderId="0" applyFill="0" applyBorder="0" applyProtection="0">
      <alignment horizontal="right"/>
    </xf>
    <xf numFmtId="14" fontId="24" fillId="0" borderId="0" applyFill="0" applyBorder="0" applyProtection="0">
      <alignment horizontal="right"/>
    </xf>
    <xf numFmtId="14" fontId="24" fillId="0" borderId="0" applyFill="0" applyBorder="0" applyProtection="0">
      <alignment horizontal="right"/>
    </xf>
    <xf numFmtId="259" fontId="24" fillId="0" borderId="0" applyFill="0" applyBorder="0" applyProtection="0">
      <alignment horizontal="left"/>
    </xf>
    <xf numFmtId="260" fontId="24" fillId="0" borderId="0" applyFill="0" applyBorder="0" applyProtection="0">
      <alignment horizontal="left"/>
    </xf>
    <xf numFmtId="256" fontId="25" fillId="0" borderId="0" applyFill="0" applyBorder="0" applyProtection="0">
      <alignment horizontal="right"/>
    </xf>
    <xf numFmtId="1" fontId="25" fillId="0" borderId="0" applyFill="0" applyBorder="0" applyProtection="0">
      <alignment horizontal="left"/>
    </xf>
    <xf numFmtId="255" fontId="25" fillId="0" borderId="0" applyFill="0" applyBorder="0" applyProtection="0">
      <alignment horizontal="left"/>
    </xf>
    <xf numFmtId="37" fontId="25" fillId="0" borderId="0" applyFill="0" applyBorder="0" applyProtection="0">
      <alignment horizontal="right"/>
    </xf>
    <xf numFmtId="1" fontId="97" fillId="0" borderId="0" applyFill="0" applyBorder="0" applyProtection="0">
      <alignment horizontal="left"/>
    </xf>
    <xf numFmtId="49" fontId="24" fillId="0" borderId="0" applyFill="0" applyBorder="0" applyProtection="0">
      <alignment horizontal="left"/>
    </xf>
    <xf numFmtId="260" fontId="24" fillId="0" borderId="0" applyFill="0" applyBorder="0" applyProtection="0">
      <alignment horizontal="left"/>
    </xf>
    <xf numFmtId="0" fontId="6" fillId="0" borderId="0" applyNumberFormat="0" applyBorder="0" applyAlignment="0"/>
    <xf numFmtId="0" fontId="16" fillId="0" borderId="0"/>
    <xf numFmtId="40" fontId="98" fillId="0" borderId="0" applyBorder="0">
      <alignment horizontal="right"/>
    </xf>
    <xf numFmtId="165" fontId="72" fillId="0" borderId="36" applyFill="0">
      <alignment vertical="center"/>
    </xf>
    <xf numFmtId="0" fontId="17" fillId="0" borderId="0"/>
    <xf numFmtId="0" fontId="99" fillId="0" borderId="0"/>
    <xf numFmtId="0" fontId="4" fillId="0" borderId="0"/>
    <xf numFmtId="49" fontId="6" fillId="0" borderId="0" applyFill="0" applyBorder="0" applyAlignment="0"/>
    <xf numFmtId="0" fontId="28" fillId="0" borderId="0" applyFill="0" applyBorder="0" applyAlignment="0"/>
    <xf numFmtId="209" fontId="8" fillId="0" borderId="0" applyFill="0" applyBorder="0" applyAlignment="0"/>
    <xf numFmtId="0" fontId="18" fillId="0" borderId="0"/>
    <xf numFmtId="0" fontId="19" fillId="0" borderId="0"/>
    <xf numFmtId="0" fontId="20" fillId="0" borderId="0">
      <alignment vertical="top"/>
    </xf>
    <xf numFmtId="261" fontId="72" fillId="0" borderId="0" applyFill="0" applyBorder="0">
      <alignment vertical="center"/>
    </xf>
    <xf numFmtId="0" fontId="24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8" fontId="100" fillId="0" borderId="0" applyNumberFormat="0" applyFill="0" applyBorder="0">
      <alignment horizontal="left" vertical="center"/>
    </xf>
    <xf numFmtId="38" fontId="101" fillId="0" borderId="0" applyNumberFormat="0" applyFill="0" applyBorder="0">
      <alignment horizontal="centerContinuous" vertical="center"/>
    </xf>
    <xf numFmtId="0" fontId="21" fillId="0" borderId="0">
      <alignment vertical="top"/>
    </xf>
    <xf numFmtId="0" fontId="10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7" fillId="0" borderId="0" applyFill="0" applyBorder="0" applyAlignment="0" applyProtection="0"/>
    <xf numFmtId="0" fontId="18" fillId="0" borderId="0">
      <alignment wrapText="1"/>
    </xf>
    <xf numFmtId="0" fontId="103" fillId="0" borderId="0">
      <alignment horizontal="left"/>
      <protection locked="0"/>
    </xf>
    <xf numFmtId="164" fontId="88" fillId="0" borderId="0">
      <alignment vertical="center"/>
    </xf>
    <xf numFmtId="231" fontId="28" fillId="0" borderId="0"/>
    <xf numFmtId="262" fontId="29" fillId="0" borderId="0" applyFill="0" applyBorder="0" applyAlignment="0" applyProtection="0"/>
    <xf numFmtId="14" fontId="24" fillId="0" borderId="0" applyFont="0" applyFill="0" applyBorder="0" applyProtection="0"/>
    <xf numFmtId="263" fontId="104" fillId="0" borderId="0" applyFill="0" applyBorder="0">
      <alignment vertical="center"/>
    </xf>
    <xf numFmtId="0" fontId="72" fillId="24" borderId="37" applyNumberFormat="0" applyFont="0" applyBorder="0" applyAlignment="0" applyProtection="0">
      <alignment horizontal="right"/>
    </xf>
    <xf numFmtId="264" fontId="23" fillId="0" borderId="0" applyFont="0" applyFill="0" applyBorder="0" applyAlignment="0" applyProtection="0"/>
    <xf numFmtId="263" fontId="105" fillId="0" borderId="0">
      <alignment horizontal="center"/>
    </xf>
    <xf numFmtId="171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/>
    <xf numFmtId="17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2" fillId="0" borderId="0"/>
    <xf numFmtId="171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1">
    <xf numFmtId="0" fontId="0" fillId="0" borderId="0" xfId="0"/>
    <xf numFmtId="0" fontId="2" fillId="0" borderId="0" xfId="894"/>
    <xf numFmtId="178" fontId="111" fillId="0" borderId="43" xfId="895" applyNumberFormat="1" applyFont="1" applyFill="1" applyBorder="1" applyAlignment="1">
      <alignment horizontal="right" wrapText="1"/>
    </xf>
    <xf numFmtId="0" fontId="111" fillId="0" borderId="42" xfId="896" applyFont="1" applyBorder="1"/>
    <xf numFmtId="0" fontId="107" fillId="0" borderId="21" xfId="896" applyFont="1" applyBorder="1" applyAlignment="1">
      <alignment horizontal="left" wrapText="1"/>
    </xf>
    <xf numFmtId="0" fontId="111" fillId="0" borderId="40" xfId="896" applyFont="1" applyBorder="1" applyAlignment="1">
      <alignment horizontal="left" wrapText="1"/>
    </xf>
    <xf numFmtId="178" fontId="111" fillId="0" borderId="0" xfId="895" applyNumberFormat="1" applyFont="1" applyFill="1" applyBorder="1" applyAlignment="1">
      <alignment horizontal="right" wrapText="1"/>
    </xf>
    <xf numFmtId="0" fontId="111" fillId="0" borderId="0" xfId="896" applyFont="1"/>
    <xf numFmtId="0" fontId="111" fillId="0" borderId="41" xfId="896" applyFont="1" applyBorder="1" applyAlignment="1">
      <alignment horizontal="right" wrapText="1"/>
    </xf>
    <xf numFmtId="0" fontId="114" fillId="0" borderId="0" xfId="896" applyFont="1"/>
    <xf numFmtId="180" fontId="117" fillId="0" borderId="0" xfId="895" applyNumberFormat="1" applyFont="1" applyFill="1"/>
    <xf numFmtId="0" fontId="117" fillId="0" borderId="0" xfId="896" applyFont="1"/>
    <xf numFmtId="0" fontId="107" fillId="0" borderId="0" xfId="896" applyFont="1"/>
    <xf numFmtId="173" fontId="107" fillId="0" borderId="0" xfId="894" applyNumberFormat="1" applyFont="1"/>
    <xf numFmtId="178" fontId="111" fillId="0" borderId="0" xfId="895" applyNumberFormat="1" applyFont="1" applyFill="1" applyBorder="1"/>
    <xf numFmtId="178" fontId="111" fillId="0" borderId="8" xfId="895" applyNumberFormat="1" applyFont="1" applyFill="1" applyBorder="1"/>
    <xf numFmtId="178" fontId="107" fillId="0" borderId="0" xfId="895" applyNumberFormat="1" applyFont="1" applyFill="1"/>
    <xf numFmtId="266" fontId="2" fillId="0" borderId="0" xfId="894" applyNumberFormat="1"/>
    <xf numFmtId="178" fontId="111" fillId="0" borderId="0" xfId="896" applyNumberFormat="1" applyFont="1" applyAlignment="1">
      <alignment horizontal="center" vertical="center" wrapText="1"/>
    </xf>
    <xf numFmtId="178" fontId="116" fillId="0" borderId="0" xfId="895" applyNumberFormat="1" applyFont="1" applyFill="1" applyBorder="1" applyAlignment="1">
      <alignment horizontal="center" wrapText="1"/>
    </xf>
    <xf numFmtId="0" fontId="111" fillId="0" borderId="0" xfId="896" applyFont="1" applyAlignment="1">
      <alignment wrapText="1"/>
    </xf>
    <xf numFmtId="0" fontId="107" fillId="0" borderId="0" xfId="894" applyFont="1"/>
    <xf numFmtId="177" fontId="107" fillId="0" borderId="0" xfId="897" applyNumberFormat="1" applyFont="1" applyFill="1" applyBorder="1"/>
    <xf numFmtId="177" fontId="107" fillId="0" borderId="3" xfId="897" applyNumberFormat="1" applyFont="1" applyFill="1" applyBorder="1"/>
    <xf numFmtId="0" fontId="107" fillId="0" borderId="3" xfId="894" applyFont="1" applyBorder="1"/>
    <xf numFmtId="0" fontId="107" fillId="0" borderId="0" xfId="894" applyFont="1" applyAlignment="1">
      <alignment horizontal="right"/>
    </xf>
    <xf numFmtId="0" fontId="111" fillId="0" borderId="0" xfId="894" applyFont="1"/>
    <xf numFmtId="267" fontId="111" fillId="0" borderId="0" xfId="894" applyNumberFormat="1" applyFont="1" applyAlignment="1">
      <alignment horizontal="right"/>
    </xf>
    <xf numFmtId="266" fontId="111" fillId="0" borderId="0" xfId="894" applyNumberFormat="1" applyFont="1" applyAlignment="1">
      <alignment horizontal="right"/>
    </xf>
    <xf numFmtId="266" fontId="107" fillId="0" borderId="0" xfId="894" applyNumberFormat="1" applyFont="1" applyAlignment="1">
      <alignment horizontal="right"/>
    </xf>
    <xf numFmtId="178" fontId="107" fillId="0" borderId="0" xfId="895" applyNumberFormat="1" applyFont="1" applyFill="1" applyBorder="1" applyAlignment="1">
      <alignment horizontal="right"/>
    </xf>
    <xf numFmtId="178" fontId="111" fillId="0" borderId="39" xfId="895" applyNumberFormat="1" applyFont="1" applyFill="1" applyBorder="1" applyAlignment="1">
      <alignment horizontal="right"/>
    </xf>
    <xf numFmtId="0" fontId="111" fillId="0" borderId="39" xfId="894" applyFont="1" applyBorder="1"/>
    <xf numFmtId="178" fontId="111" fillId="0" borderId="0" xfId="895" applyNumberFormat="1" applyFont="1" applyFill="1" applyBorder="1" applyAlignment="1">
      <alignment horizontal="right"/>
    </xf>
    <xf numFmtId="178" fontId="107" fillId="0" borderId="0" xfId="895" applyNumberFormat="1" applyFont="1"/>
    <xf numFmtId="178" fontId="111" fillId="0" borderId="0" xfId="895" applyNumberFormat="1" applyFont="1" applyFill="1"/>
    <xf numFmtId="37" fontId="107" fillId="0" borderId="0" xfId="894" applyNumberFormat="1" applyFont="1" applyAlignment="1">
      <alignment horizontal="right"/>
    </xf>
    <xf numFmtId="0" fontId="112" fillId="0" borderId="0" xfId="894" applyFont="1"/>
    <xf numFmtId="9" fontId="112" fillId="27" borderId="0" xfId="897" applyFont="1" applyFill="1" applyAlignment="1">
      <alignment horizontal="right"/>
    </xf>
    <xf numFmtId="0" fontId="112" fillId="27" borderId="0" xfId="894" applyFont="1" applyFill="1"/>
    <xf numFmtId="173" fontId="111" fillId="0" borderId="39" xfId="894" applyNumberFormat="1" applyFont="1" applyBorder="1"/>
    <xf numFmtId="173" fontId="111" fillId="0" borderId="0" xfId="894" applyNumberFormat="1" applyFont="1" applyAlignment="1">
      <alignment horizontal="right"/>
    </xf>
    <xf numFmtId="0" fontId="112" fillId="27" borderId="0" xfId="894" applyFont="1" applyFill="1" applyAlignment="1">
      <alignment horizontal="left" indent="1"/>
    </xf>
    <xf numFmtId="176" fontId="111" fillId="26" borderId="0" xfId="894" applyNumberFormat="1" applyFont="1" applyFill="1" applyAlignment="1">
      <alignment horizontal="center"/>
    </xf>
    <xf numFmtId="0" fontId="111" fillId="26" borderId="0" xfId="894" applyFont="1" applyFill="1"/>
    <xf numFmtId="0" fontId="108" fillId="0" borderId="0" xfId="894" applyFont="1"/>
    <xf numFmtId="176" fontId="111" fillId="26" borderId="3" xfId="894" applyNumberFormat="1" applyFont="1" applyFill="1" applyBorder="1" applyAlignment="1">
      <alignment horizontal="centerContinuous"/>
    </xf>
    <xf numFmtId="0" fontId="111" fillId="26" borderId="3" xfId="894" applyFont="1" applyFill="1" applyBorder="1"/>
    <xf numFmtId="178" fontId="111" fillId="0" borderId="0" xfId="895" applyNumberFormat="1" applyFont="1" applyAlignment="1">
      <alignment horizontal="right"/>
    </xf>
    <xf numFmtId="177" fontId="112" fillId="27" borderId="0" xfId="897" applyNumberFormat="1" applyFont="1" applyFill="1" applyAlignment="1">
      <alignment horizontal="right"/>
    </xf>
    <xf numFmtId="173" fontId="111" fillId="0" borderId="0" xfId="894" applyNumberFormat="1" applyFont="1"/>
    <xf numFmtId="176" fontId="111" fillId="26" borderId="3" xfId="894" applyNumberFormat="1" applyFont="1" applyFill="1" applyBorder="1" applyAlignment="1">
      <alignment horizontal="center"/>
    </xf>
    <xf numFmtId="174" fontId="111" fillId="0" borderId="0" xfId="894" applyNumberFormat="1" applyFont="1"/>
    <xf numFmtId="0" fontId="111" fillId="0" borderId="3" xfId="894" applyFont="1" applyBorder="1"/>
    <xf numFmtId="175" fontId="107" fillId="0" borderId="0" xfId="894" applyNumberFormat="1" applyFont="1"/>
    <xf numFmtId="265" fontId="107" fillId="0" borderId="0" xfId="894" applyNumberFormat="1" applyFont="1"/>
    <xf numFmtId="265" fontId="111" fillId="0" borderId="0" xfId="894" applyNumberFormat="1" applyFont="1"/>
    <xf numFmtId="173" fontId="110" fillId="0" borderId="0" xfId="894" applyNumberFormat="1" applyFont="1"/>
    <xf numFmtId="37" fontId="114" fillId="0" borderId="0" xfId="897" applyNumberFormat="1" applyFont="1" applyFill="1"/>
    <xf numFmtId="37" fontId="110" fillId="0" borderId="0" xfId="897" applyNumberFormat="1" applyFont="1" applyFill="1" applyBorder="1"/>
    <xf numFmtId="0" fontId="107" fillId="0" borderId="0" xfId="894" applyFont="1" applyAlignment="1">
      <alignment horizontal="left"/>
    </xf>
    <xf numFmtId="173" fontId="114" fillId="0" borderId="0" xfId="894" applyNumberFormat="1" applyFont="1"/>
    <xf numFmtId="177" fontId="113" fillId="0" borderId="0" xfId="897" applyNumberFormat="1" applyFont="1" applyFill="1"/>
    <xf numFmtId="0" fontId="112" fillId="27" borderId="0" xfId="894" applyFont="1" applyFill="1" applyAlignment="1">
      <alignment horizontal="left"/>
    </xf>
    <xf numFmtId="9" fontId="107" fillId="0" borderId="0" xfId="897" applyFont="1" applyFill="1" applyBorder="1"/>
    <xf numFmtId="9" fontId="107" fillId="0" borderId="0" xfId="897" applyFont="1" applyFill="1"/>
    <xf numFmtId="0" fontId="111" fillId="0" borderId="0" xfId="894" applyFont="1" applyAlignment="1">
      <alignment horizontal="left"/>
    </xf>
    <xf numFmtId="173" fontId="115" fillId="0" borderId="0" xfId="894" applyNumberFormat="1" applyFont="1"/>
    <xf numFmtId="177" fontId="113" fillId="27" borderId="0" xfId="897" applyNumberFormat="1" applyFont="1" applyFill="1"/>
    <xf numFmtId="9" fontId="107" fillId="0" borderId="0" xfId="897" applyFont="1"/>
    <xf numFmtId="0" fontId="112" fillId="0" borderId="0" xfId="894" applyFont="1" applyAlignment="1">
      <alignment horizontal="left" indent="1"/>
    </xf>
    <xf numFmtId="177" fontId="112" fillId="27" borderId="0" xfId="897" applyNumberFormat="1" applyFont="1" applyFill="1"/>
    <xf numFmtId="37" fontId="107" fillId="0" borderId="0" xfId="894" applyNumberFormat="1" applyFont="1"/>
    <xf numFmtId="177" fontId="113" fillId="27" borderId="0" xfId="897" applyNumberFormat="1" applyFont="1" applyFill="1" applyBorder="1"/>
    <xf numFmtId="0" fontId="107" fillId="0" borderId="0" xfId="894" applyFont="1" applyAlignment="1">
      <alignment horizontal="left" indent="1"/>
    </xf>
    <xf numFmtId="171" fontId="109" fillId="0" borderId="0" xfId="895" applyFont="1" applyFill="1" applyBorder="1" applyAlignment="1">
      <alignment horizontal="center"/>
    </xf>
    <xf numFmtId="171" fontId="110" fillId="0" borderId="0" xfId="895" applyFont="1" applyFill="1" applyBorder="1" applyAlignment="1">
      <alignment horizontal="center"/>
    </xf>
    <xf numFmtId="0" fontId="107" fillId="0" borderId="0" xfId="898" applyFont="1"/>
    <xf numFmtId="0" fontId="111" fillId="0" borderId="0" xfId="898" applyFont="1"/>
    <xf numFmtId="16" fontId="107" fillId="0" borderId="21" xfId="896" applyNumberFormat="1" applyFont="1" applyBorder="1" applyAlignment="1">
      <alignment horizontal="left" wrapText="1"/>
    </xf>
    <xf numFmtId="265" fontId="111" fillId="0" borderId="0" xfId="894" applyNumberFormat="1" applyFont="1" applyAlignment="1">
      <alignment horizontal="center"/>
    </xf>
    <xf numFmtId="268" fontId="110" fillId="0" borderId="0" xfId="900" applyNumberFormat="1" applyFont="1" applyFill="1" applyBorder="1"/>
    <xf numFmtId="268" fontId="107" fillId="0" borderId="0" xfId="900" applyNumberFormat="1" applyFont="1" applyFill="1"/>
    <xf numFmtId="3" fontId="111" fillId="0" borderId="0" xfId="898" applyNumberFormat="1" applyFont="1"/>
    <xf numFmtId="268" fontId="110" fillId="0" borderId="0" xfId="900" applyNumberFormat="1" applyFont="1" applyFill="1" applyBorder="1" applyAlignment="1">
      <alignment horizontal="center"/>
    </xf>
    <xf numFmtId="268" fontId="107" fillId="0" borderId="0" xfId="900" applyNumberFormat="1" applyFont="1" applyFill="1" applyBorder="1" applyAlignment="1">
      <alignment horizontal="center"/>
    </xf>
    <xf numFmtId="172" fontId="117" fillId="0" borderId="0" xfId="900" applyFont="1"/>
    <xf numFmtId="268" fontId="107" fillId="0" borderId="0" xfId="898" applyNumberFormat="1" applyFont="1"/>
    <xf numFmtId="268" fontId="117" fillId="0" borderId="0" xfId="900" applyNumberFormat="1" applyFont="1"/>
    <xf numFmtId="17" fontId="111" fillId="0" borderId="41" xfId="896" applyNumberFormat="1" applyFont="1" applyBorder="1" applyAlignment="1">
      <alignment horizontal="right" wrapText="1"/>
    </xf>
    <xf numFmtId="0" fontId="2" fillId="0" borderId="27" xfId="894" applyBorder="1"/>
    <xf numFmtId="178" fontId="111" fillId="0" borderId="0" xfId="895" applyNumberFormat="1" applyFont="1" applyFill="1" applyBorder="1" applyAlignment="1">
      <alignment horizontal="center" wrapText="1"/>
    </xf>
    <xf numFmtId="178" fontId="107" fillId="0" borderId="0" xfId="895" applyNumberFormat="1" applyFont="1" applyFill="1" applyBorder="1"/>
    <xf numFmtId="17" fontId="111" fillId="0" borderId="40" xfId="896" applyNumberFormat="1" applyFont="1" applyBorder="1" applyAlignment="1">
      <alignment horizontal="left" vertical="center" wrapText="1"/>
    </xf>
    <xf numFmtId="17" fontId="111" fillId="0" borderId="44" xfId="896" applyNumberFormat="1" applyFont="1" applyBorder="1" applyAlignment="1">
      <alignment horizontal="right" vertical="center" wrapText="1"/>
    </xf>
    <xf numFmtId="0" fontId="111" fillId="0" borderId="21" xfId="896" applyFont="1" applyBorder="1" applyAlignment="1">
      <alignment horizontal="left" wrapText="1"/>
    </xf>
    <xf numFmtId="232" fontId="2" fillId="0" borderId="0" xfId="894" applyNumberFormat="1"/>
    <xf numFmtId="0" fontId="111" fillId="0" borderId="27" xfId="896" applyFont="1" applyBorder="1" applyAlignment="1">
      <alignment horizontal="right" wrapText="1"/>
    </xf>
    <xf numFmtId="0" fontId="111" fillId="0" borderId="46" xfId="896" applyFont="1" applyBorder="1"/>
    <xf numFmtId="266" fontId="111" fillId="0" borderId="47" xfId="896" applyNumberFormat="1" applyFont="1" applyBorder="1"/>
    <xf numFmtId="0" fontId="107" fillId="0" borderId="21" xfId="896" applyFont="1" applyBorder="1"/>
    <xf numFmtId="266" fontId="107" fillId="0" borderId="27" xfId="896" applyNumberFormat="1" applyFont="1" applyBorder="1"/>
    <xf numFmtId="0" fontId="111" fillId="0" borderId="21" xfId="896" applyFont="1" applyBorder="1"/>
    <xf numFmtId="266" fontId="111" fillId="0" borderId="27" xfId="896" applyNumberFormat="1" applyFont="1" applyBorder="1"/>
    <xf numFmtId="0" fontId="107" fillId="0" borderId="22" xfId="896" applyFont="1" applyBorder="1"/>
    <xf numFmtId="173" fontId="107" fillId="0" borderId="10" xfId="894" applyNumberFormat="1" applyFont="1" applyBorder="1"/>
    <xf numFmtId="0" fontId="107" fillId="0" borderId="28" xfId="896" applyFont="1" applyBorder="1"/>
    <xf numFmtId="266" fontId="111" fillId="0" borderId="8" xfId="896" applyNumberFormat="1" applyFont="1" applyBorder="1"/>
    <xf numFmtId="266" fontId="107" fillId="0" borderId="0" xfId="896" applyNumberFormat="1" applyFont="1"/>
    <xf numFmtId="0" fontId="111" fillId="0" borderId="44" xfId="896" applyFont="1" applyBorder="1" applyAlignment="1">
      <alignment horizontal="right" wrapText="1"/>
    </xf>
    <xf numFmtId="173" fontId="107" fillId="27" borderId="0" xfId="894" applyNumberFormat="1" applyFont="1" applyFill="1"/>
    <xf numFmtId="265" fontId="111" fillId="27" borderId="0" xfId="896" applyNumberFormat="1" applyFont="1" applyFill="1"/>
    <xf numFmtId="174" fontId="111" fillId="27" borderId="3" xfId="894" applyNumberFormat="1" applyFont="1" applyFill="1" applyBorder="1" applyAlignment="1">
      <alignment horizontal="right"/>
    </xf>
    <xf numFmtId="177" fontId="107" fillId="27" borderId="0" xfId="897" applyNumberFormat="1" applyFont="1" applyFill="1" applyBorder="1"/>
    <xf numFmtId="266" fontId="107" fillId="27" borderId="0" xfId="894" applyNumberFormat="1" applyFont="1" applyFill="1"/>
    <xf numFmtId="266" fontId="107" fillId="27" borderId="0" xfId="894" applyNumberFormat="1" applyFont="1" applyFill="1" applyAlignment="1">
      <alignment horizontal="right"/>
    </xf>
    <xf numFmtId="178" fontId="111" fillId="27" borderId="0" xfId="895" applyNumberFormat="1" applyFont="1" applyFill="1"/>
    <xf numFmtId="178" fontId="107" fillId="27" borderId="0" xfId="895" applyNumberFormat="1" applyFont="1" applyFill="1"/>
    <xf numFmtId="178" fontId="111" fillId="27" borderId="39" xfId="895" applyNumberFormat="1" applyFont="1" applyFill="1" applyBorder="1" applyAlignment="1">
      <alignment horizontal="right"/>
    </xf>
    <xf numFmtId="266" fontId="111" fillId="27" borderId="0" xfId="894" applyNumberFormat="1" applyFont="1" applyFill="1" applyAlignment="1">
      <alignment horizontal="right"/>
    </xf>
    <xf numFmtId="177" fontId="107" fillId="27" borderId="3" xfId="897" applyNumberFormat="1" applyFont="1" applyFill="1" applyBorder="1"/>
    <xf numFmtId="178" fontId="107" fillId="0" borderId="27" xfId="895" applyNumberFormat="1" applyFont="1" applyFill="1" applyBorder="1" applyAlignment="1">
      <alignment horizontal="left" wrapText="1"/>
    </xf>
    <xf numFmtId="0" fontId="111" fillId="0" borderId="45" xfId="896" applyFont="1" applyBorder="1" applyAlignment="1">
      <alignment horizontal="right"/>
    </xf>
    <xf numFmtId="0" fontId="117" fillId="0" borderId="0" xfId="894" applyFont="1"/>
    <xf numFmtId="39" fontId="120" fillId="0" borderId="0" xfId="894" applyNumberFormat="1" applyFont="1"/>
    <xf numFmtId="178" fontId="116" fillId="0" borderId="49" xfId="895" applyNumberFormat="1" applyFont="1" applyFill="1" applyBorder="1" applyAlignment="1">
      <alignment horizontal="center" wrapText="1"/>
    </xf>
    <xf numFmtId="0" fontId="111" fillId="0" borderId="19" xfId="896" applyFont="1" applyBorder="1" applyAlignment="1">
      <alignment horizontal="left" wrapText="1"/>
    </xf>
    <xf numFmtId="178" fontId="111" fillId="0" borderId="50" xfId="895" applyNumberFormat="1" applyFont="1" applyFill="1" applyBorder="1" applyAlignment="1">
      <alignment horizontal="center" wrapText="1"/>
    </xf>
    <xf numFmtId="0" fontId="121" fillId="0" borderId="0" xfId="894" applyFont="1"/>
    <xf numFmtId="232" fontId="121" fillId="0" borderId="0" xfId="894" applyNumberFormat="1" applyFont="1"/>
    <xf numFmtId="17" fontId="111" fillId="0" borderId="40" xfId="896" applyNumberFormat="1" applyFont="1" applyBorder="1" applyAlignment="1">
      <alignment horizontal="left" vertical="center"/>
    </xf>
    <xf numFmtId="17" fontId="111" fillId="0" borderId="48" xfId="896" applyNumberFormat="1" applyFont="1" applyBorder="1" applyAlignment="1">
      <alignment horizontal="center" vertical="center"/>
    </xf>
    <xf numFmtId="0" fontId="2" fillId="0" borderId="10" xfId="894" applyBorder="1"/>
    <xf numFmtId="0" fontId="2" fillId="0" borderId="28" xfId="894" applyBorder="1"/>
    <xf numFmtId="178" fontId="120" fillId="0" borderId="0" xfId="894" applyNumberFormat="1" applyFont="1"/>
    <xf numFmtId="178" fontId="120" fillId="0" borderId="10" xfId="900" applyNumberFormat="1" applyFont="1" applyBorder="1"/>
    <xf numFmtId="178" fontId="122" fillId="0" borderId="0" xfId="894" applyNumberFormat="1" applyFont="1"/>
    <xf numFmtId="178" fontId="122" fillId="0" borderId="0" xfId="900" applyNumberFormat="1" applyFont="1" applyBorder="1"/>
    <xf numFmtId="171" fontId="2" fillId="0" borderId="0" xfId="894" applyNumberFormat="1"/>
    <xf numFmtId="178" fontId="120" fillId="0" borderId="10" xfId="894" applyNumberFormat="1" applyFont="1" applyBorder="1"/>
    <xf numFmtId="178" fontId="122" fillId="0" borderId="8" xfId="894" applyNumberFormat="1" applyFont="1" applyBorder="1"/>
    <xf numFmtId="178" fontId="122" fillId="0" borderId="51" xfId="894" applyNumberFormat="1" applyFont="1" applyBorder="1"/>
    <xf numFmtId="265" fontId="122" fillId="0" borderId="8" xfId="894" applyNumberFormat="1" applyFont="1" applyBorder="1"/>
    <xf numFmtId="266" fontId="122" fillId="0" borderId="47" xfId="894" applyNumberFormat="1" applyFont="1" applyBorder="1"/>
    <xf numFmtId="171" fontId="120" fillId="0" borderId="0" xfId="894" applyNumberFormat="1" applyFont="1"/>
    <xf numFmtId="0" fontId="122" fillId="0" borderId="0" xfId="894" applyFont="1"/>
    <xf numFmtId="180" fontId="110" fillId="0" borderId="0" xfId="895" applyNumberFormat="1" applyFont="1" applyFill="1" applyBorder="1" applyAlignment="1">
      <alignment horizontal="center"/>
    </xf>
    <xf numFmtId="39" fontId="122" fillId="0" borderId="0" xfId="894" applyNumberFormat="1" applyFont="1"/>
    <xf numFmtId="0" fontId="107" fillId="0" borderId="21" xfId="896" applyFont="1" applyBorder="1" applyAlignment="1">
      <alignment horizontal="left"/>
    </xf>
    <xf numFmtId="173" fontId="116" fillId="0" borderId="52" xfId="0" applyNumberFormat="1" applyFont="1" applyBorder="1"/>
    <xf numFmtId="232" fontId="107" fillId="0" borderId="52" xfId="896" applyNumberFormat="1" applyFont="1" applyBorder="1"/>
    <xf numFmtId="180" fontId="111" fillId="0" borderId="19" xfId="896" applyNumberFormat="1" applyFont="1" applyBorder="1"/>
    <xf numFmtId="232" fontId="111" fillId="0" borderId="51" xfId="896" applyNumberFormat="1" applyFont="1" applyBorder="1"/>
    <xf numFmtId="0" fontId="111" fillId="0" borderId="19" xfId="896" applyFont="1" applyBorder="1"/>
    <xf numFmtId="17" fontId="111" fillId="0" borderId="19" xfId="896" applyNumberFormat="1" applyFont="1" applyBorder="1" applyAlignment="1">
      <alignment horizontal="right" wrapText="1"/>
    </xf>
    <xf numFmtId="0" fontId="111" fillId="0" borderId="51" xfId="896" applyFont="1" applyBorder="1" applyAlignment="1">
      <alignment horizontal="right"/>
    </xf>
    <xf numFmtId="171" fontId="122" fillId="0" borderId="0" xfId="894" applyNumberFormat="1" applyFont="1"/>
    <xf numFmtId="178" fontId="120" fillId="0" borderId="12" xfId="900" applyNumberFormat="1" applyFont="1" applyBorder="1"/>
    <xf numFmtId="0" fontId="2" fillId="0" borderId="12" xfId="894" applyBorder="1"/>
    <xf numFmtId="178" fontId="120" fillId="0" borderId="12" xfId="894" applyNumberFormat="1" applyFont="1" applyBorder="1"/>
    <xf numFmtId="0" fontId="2" fillId="0" borderId="53" xfId="894" applyBorder="1"/>
    <xf numFmtId="178" fontId="120" fillId="0" borderId="3" xfId="900" applyNumberFormat="1" applyFont="1" applyBorder="1"/>
    <xf numFmtId="0" fontId="2" fillId="0" borderId="3" xfId="894" applyBorder="1"/>
    <xf numFmtId="178" fontId="120" fillId="0" borderId="3" xfId="894" applyNumberFormat="1" applyFont="1" applyBorder="1"/>
    <xf numFmtId="0" fontId="2" fillId="0" borderId="30" xfId="894" applyBorder="1"/>
    <xf numFmtId="0" fontId="111" fillId="0" borderId="41" xfId="896" applyFont="1" applyBorder="1" applyAlignment="1">
      <alignment horizontal="right"/>
    </xf>
    <xf numFmtId="178" fontId="122" fillId="0" borderId="28" xfId="894" applyNumberFormat="1" applyFont="1" applyBorder="1"/>
    <xf numFmtId="17" fontId="111" fillId="0" borderId="45" xfId="896" applyNumberFormat="1" applyFont="1" applyBorder="1" applyAlignment="1">
      <alignment horizontal="right" wrapText="1"/>
    </xf>
    <xf numFmtId="178" fontId="122" fillId="0" borderId="54" xfId="894" applyNumberFormat="1" applyFont="1" applyBorder="1"/>
    <xf numFmtId="178" fontId="120" fillId="0" borderId="52" xfId="894" applyNumberFormat="1" applyFont="1" applyBorder="1"/>
    <xf numFmtId="178" fontId="120" fillId="0" borderId="56" xfId="894" applyNumberFormat="1" applyFont="1" applyBorder="1"/>
    <xf numFmtId="178" fontId="120" fillId="0" borderId="53" xfId="894" applyNumberFormat="1" applyFont="1" applyBorder="1"/>
    <xf numFmtId="178" fontId="120" fillId="0" borderId="30" xfId="894" applyNumberFormat="1" applyFont="1" applyBorder="1"/>
    <xf numFmtId="178" fontId="122" fillId="0" borderId="55" xfId="894" applyNumberFormat="1" applyFont="1" applyBorder="1"/>
    <xf numFmtId="173" fontId="115" fillId="27" borderId="0" xfId="894" applyNumberFormat="1" applyFont="1" applyFill="1"/>
    <xf numFmtId="173" fontId="111" fillId="27" borderId="0" xfId="894" applyNumberFormat="1" applyFont="1" applyFill="1"/>
    <xf numFmtId="10" fontId="111" fillId="0" borderId="0" xfId="898" applyNumberFormat="1" applyFont="1"/>
    <xf numFmtId="10" fontId="107" fillId="0" borderId="0" xfId="898" applyNumberFormat="1" applyFont="1"/>
    <xf numFmtId="10" fontId="107" fillId="0" borderId="0" xfId="900" applyNumberFormat="1" applyFont="1" applyFill="1"/>
    <xf numFmtId="10" fontId="112" fillId="27" borderId="0" xfId="894" applyNumberFormat="1" applyFont="1" applyFill="1"/>
    <xf numFmtId="10" fontId="112" fillId="27" borderId="0" xfId="897" applyNumberFormat="1" applyFont="1" applyFill="1" applyAlignment="1">
      <alignment horizontal="right"/>
    </xf>
    <xf numFmtId="10" fontId="112" fillId="0" borderId="0" xfId="894" applyNumberFormat="1" applyFont="1"/>
    <xf numFmtId="268" fontId="117" fillId="0" borderId="0" xfId="900" applyNumberFormat="1" applyFont="1" applyFill="1"/>
    <xf numFmtId="3" fontId="2" fillId="0" borderId="0" xfId="894" applyNumberFormat="1"/>
    <xf numFmtId="178" fontId="110" fillId="0" borderId="0" xfId="895" applyNumberFormat="1" applyFont="1" applyFill="1" applyBorder="1" applyAlignment="1">
      <alignment horizontal="center"/>
    </xf>
    <xf numFmtId="178" fontId="107" fillId="0" borderId="0" xfId="894" applyNumberFormat="1" applyFont="1"/>
    <xf numFmtId="178" fontId="2" fillId="0" borderId="0" xfId="894" applyNumberFormat="1"/>
    <xf numFmtId="267" fontId="107" fillId="27" borderId="0" xfId="894" applyNumberFormat="1" applyFont="1" applyFill="1" applyAlignment="1">
      <alignment horizontal="right"/>
    </xf>
    <xf numFmtId="173" fontId="126" fillId="27" borderId="0" xfId="894" applyNumberFormat="1" applyFont="1" applyFill="1"/>
    <xf numFmtId="232" fontId="117" fillId="0" borderId="0" xfId="894" applyNumberFormat="1" applyFont="1"/>
    <xf numFmtId="173" fontId="127" fillId="27" borderId="0" xfId="894" applyNumberFormat="1" applyFont="1" applyFill="1"/>
    <xf numFmtId="173" fontId="116" fillId="27" borderId="0" xfId="894" applyNumberFormat="1" applyFont="1" applyFill="1"/>
    <xf numFmtId="17" fontId="111" fillId="26" borderId="40" xfId="896" applyNumberFormat="1" applyFont="1" applyFill="1" applyBorder="1" applyAlignment="1">
      <alignment horizontal="left" vertical="center" wrapText="1"/>
    </xf>
    <xf numFmtId="17" fontId="111" fillId="26" borderId="44" xfId="896" applyNumberFormat="1" applyFont="1" applyFill="1" applyBorder="1" applyAlignment="1">
      <alignment horizontal="center" vertical="center" wrapText="1"/>
    </xf>
    <xf numFmtId="0" fontId="111" fillId="26" borderId="44" xfId="896" applyFont="1" applyFill="1" applyBorder="1" applyAlignment="1">
      <alignment horizontal="center" wrapText="1"/>
    </xf>
    <xf numFmtId="0" fontId="111" fillId="26" borderId="41" xfId="896" applyFont="1" applyFill="1" applyBorder="1" applyAlignment="1">
      <alignment horizontal="center" wrapText="1"/>
    </xf>
    <xf numFmtId="0" fontId="111" fillId="26" borderId="40" xfId="896" applyFont="1" applyFill="1" applyBorder="1" applyAlignment="1">
      <alignment horizontal="left" wrapText="1"/>
    </xf>
    <xf numFmtId="17" fontId="111" fillId="26" borderId="45" xfId="896" applyNumberFormat="1" applyFont="1" applyFill="1" applyBorder="1" applyAlignment="1">
      <alignment horizontal="center" wrapText="1"/>
    </xf>
    <xf numFmtId="0" fontId="111" fillId="26" borderId="41" xfId="896" applyFont="1" applyFill="1" applyBorder="1" applyAlignment="1">
      <alignment horizontal="center"/>
    </xf>
    <xf numFmtId="0" fontId="111" fillId="26" borderId="19" xfId="896" applyFont="1" applyFill="1" applyBorder="1"/>
    <xf numFmtId="17" fontId="111" fillId="26" borderId="19" xfId="896" applyNumberFormat="1" applyFont="1" applyFill="1" applyBorder="1" applyAlignment="1">
      <alignment horizontal="center" wrapText="1"/>
    </xf>
    <xf numFmtId="0" fontId="111" fillId="26" borderId="51" xfId="896" applyFont="1" applyFill="1" applyBorder="1" applyAlignment="1">
      <alignment horizontal="center"/>
    </xf>
    <xf numFmtId="265" fontId="111" fillId="27" borderId="0" xfId="896" applyNumberFormat="1" applyFont="1" applyFill="1" applyAlignment="1">
      <alignment horizontal="left" indent="2"/>
    </xf>
    <xf numFmtId="173" fontId="111" fillId="0" borderId="0" xfId="894" applyNumberFormat="1" applyFont="1" applyAlignment="1">
      <alignment horizontal="left" indent="2"/>
    </xf>
    <xf numFmtId="177" fontId="111" fillId="0" borderId="0" xfId="901" applyNumberFormat="1" applyFont="1"/>
    <xf numFmtId="177" fontId="111" fillId="0" borderId="3" xfId="901" applyNumberFormat="1" applyFont="1" applyBorder="1" applyAlignment="1">
      <alignment horizontal="right"/>
    </xf>
    <xf numFmtId="171" fontId="111" fillId="0" borderId="0" xfId="894" applyNumberFormat="1" applyFont="1"/>
    <xf numFmtId="0" fontId="107" fillId="0" borderId="0" xfId="898" applyFont="1" applyAlignment="1">
      <alignment horizontal="left" indent="1"/>
    </xf>
    <xf numFmtId="0" fontId="111" fillId="0" borderId="0" xfId="898" applyFont="1" applyAlignment="1">
      <alignment horizontal="left" indent="1"/>
    </xf>
    <xf numFmtId="180" fontId="111" fillId="0" borderId="0" xfId="896" applyNumberFormat="1" applyFont="1"/>
    <xf numFmtId="232" fontId="111" fillId="0" borderId="0" xfId="896" applyNumberFormat="1" applyFont="1"/>
    <xf numFmtId="39" fontId="116" fillId="28" borderId="0" xfId="894" applyNumberFormat="1" applyFont="1" applyFill="1" applyAlignment="1">
      <alignment horizontal="right"/>
    </xf>
    <xf numFmtId="39" fontId="107" fillId="28" borderId="0" xfId="894" applyNumberFormat="1" applyFont="1" applyFill="1" applyAlignment="1">
      <alignment horizontal="right"/>
    </xf>
    <xf numFmtId="0" fontId="107" fillId="27" borderId="0" xfId="894" applyFont="1" applyFill="1"/>
    <xf numFmtId="173" fontId="109" fillId="0" borderId="0" xfId="894" applyNumberFormat="1" applyFont="1"/>
    <xf numFmtId="0" fontId="129" fillId="0" borderId="0" xfId="894" applyFont="1"/>
    <xf numFmtId="0" fontId="111" fillId="28" borderId="0" xfId="894" applyFont="1" applyFill="1" applyAlignment="1">
      <alignment horizontal="left"/>
    </xf>
    <xf numFmtId="173" fontId="110" fillId="28" borderId="0" xfId="894" applyNumberFormat="1" applyFont="1" applyFill="1"/>
    <xf numFmtId="173" fontId="107" fillId="28" borderId="0" xfId="894" applyNumberFormat="1" applyFont="1" applyFill="1"/>
    <xf numFmtId="37" fontId="107" fillId="28" borderId="0" xfId="894" applyNumberFormat="1" applyFont="1" applyFill="1"/>
    <xf numFmtId="177" fontId="112" fillId="0" borderId="0" xfId="897" applyNumberFormat="1" applyFont="1" applyFill="1"/>
    <xf numFmtId="178" fontId="111" fillId="0" borderId="0" xfId="894" applyNumberFormat="1" applyFont="1"/>
    <xf numFmtId="178" fontId="109" fillId="0" borderId="0" xfId="895" applyNumberFormat="1" applyFont="1" applyFill="1" applyBorder="1" applyAlignment="1">
      <alignment horizontal="center"/>
    </xf>
    <xf numFmtId="0" fontId="112" fillId="0" borderId="0" xfId="0" applyFont="1"/>
    <xf numFmtId="173" fontId="130" fillId="0" borderId="0" xfId="0" applyNumberFormat="1" applyFont="1"/>
    <xf numFmtId="173" fontId="129" fillId="0" borderId="0" xfId="894" applyNumberFormat="1" applyFont="1"/>
    <xf numFmtId="265" fontId="111" fillId="0" borderId="0" xfId="896" applyNumberFormat="1" applyFont="1"/>
    <xf numFmtId="0" fontId="107" fillId="28" borderId="0" xfId="894" applyFont="1" applyFill="1"/>
    <xf numFmtId="178" fontId="111" fillId="0" borderId="0" xfId="895" applyNumberFormat="1" applyFont="1"/>
    <xf numFmtId="268" fontId="110" fillId="27" borderId="0" xfId="900" applyNumberFormat="1" applyFont="1" applyFill="1" applyBorder="1" applyAlignment="1">
      <alignment horizontal="center"/>
    </xf>
    <xf numFmtId="3" fontId="107" fillId="27" borderId="0" xfId="898" applyNumberFormat="1" applyFont="1" applyFill="1"/>
    <xf numFmtId="0" fontId="111" fillId="0" borderId="0" xfId="896" applyFont="1" applyAlignment="1">
      <alignment horizontal="left" wrapText="1"/>
    </xf>
    <xf numFmtId="0" fontId="107" fillId="0" borderId="0" xfId="896" applyFont="1" applyAlignment="1">
      <alignment horizontal="left" wrapText="1"/>
    </xf>
    <xf numFmtId="178" fontId="120" fillId="0" borderId="0" xfId="900" applyNumberFormat="1" applyFont="1" applyBorder="1"/>
    <xf numFmtId="17" fontId="111" fillId="26" borderId="8" xfId="896" applyNumberFormat="1" applyFont="1" applyFill="1" applyBorder="1" applyAlignment="1">
      <alignment horizontal="left" vertical="center" wrapText="1"/>
    </xf>
    <xf numFmtId="17" fontId="111" fillId="26" borderId="8" xfId="896" applyNumberFormat="1" applyFont="1" applyFill="1" applyBorder="1" applyAlignment="1">
      <alignment horizontal="center" vertical="center" wrapText="1"/>
    </xf>
    <xf numFmtId="0" fontId="111" fillId="26" borderId="8" xfId="896" applyFont="1" applyFill="1" applyBorder="1" applyAlignment="1">
      <alignment horizontal="center" wrapText="1"/>
    </xf>
    <xf numFmtId="0" fontId="111" fillId="0" borderId="8" xfId="896" applyFont="1" applyBorder="1"/>
    <xf numFmtId="266" fontId="122" fillId="0" borderId="8" xfId="894" applyNumberFormat="1" applyFont="1" applyBorder="1"/>
    <xf numFmtId="0" fontId="1" fillId="0" borderId="0" xfId="894" applyFont="1"/>
    <xf numFmtId="0" fontId="131" fillId="0" borderId="0" xfId="894" applyFont="1"/>
    <xf numFmtId="0" fontId="107" fillId="27" borderId="0" xfId="894" applyFont="1" applyFill="1" applyAlignment="1">
      <alignment horizontal="left"/>
    </xf>
    <xf numFmtId="173" fontId="116" fillId="0" borderId="0" xfId="894" applyNumberFormat="1" applyFont="1"/>
    <xf numFmtId="173" fontId="127" fillId="0" borderId="0" xfId="894" applyNumberFormat="1" applyFont="1"/>
    <xf numFmtId="0" fontId="116" fillId="0" borderId="0" xfId="894" applyFont="1"/>
    <xf numFmtId="178" fontId="117" fillId="0" borderId="0" xfId="895" applyNumberFormat="1" applyFont="1" applyFill="1" applyBorder="1"/>
    <xf numFmtId="180" fontId="117" fillId="0" borderId="0" xfId="895" applyNumberFormat="1" applyFont="1" applyFill="1" applyBorder="1"/>
    <xf numFmtId="173" fontId="132" fillId="0" borderId="0" xfId="894" applyNumberFormat="1" applyFont="1"/>
    <xf numFmtId="0" fontId="133" fillId="0" borderId="0" xfId="894" applyFont="1"/>
    <xf numFmtId="173" fontId="117" fillId="0" borderId="0" xfId="894" applyNumberFormat="1" applyFont="1"/>
    <xf numFmtId="243" fontId="117" fillId="0" borderId="0" xfId="895" applyNumberFormat="1" applyFont="1" applyFill="1" applyBorder="1"/>
    <xf numFmtId="177" fontId="111" fillId="0" borderId="3" xfId="897" applyNumberFormat="1" applyFont="1" applyFill="1" applyBorder="1"/>
    <xf numFmtId="177" fontId="111" fillId="27" borderId="3" xfId="897" applyNumberFormat="1" applyFont="1" applyFill="1" applyBorder="1"/>
    <xf numFmtId="0" fontId="111" fillId="29" borderId="0" xfId="898" applyFont="1" applyFill="1"/>
    <xf numFmtId="0" fontId="107" fillId="29" borderId="0" xfId="898" applyFont="1" applyFill="1"/>
    <xf numFmtId="0" fontId="111" fillId="27" borderId="0" xfId="898" applyFont="1" applyFill="1"/>
    <xf numFmtId="177" fontId="107" fillId="0" borderId="0" xfId="901" applyNumberFormat="1" applyFont="1"/>
    <xf numFmtId="172" fontId="117" fillId="27" borderId="0" xfId="900" applyFont="1" applyFill="1"/>
    <xf numFmtId="3" fontId="111" fillId="29" borderId="0" xfId="898" applyNumberFormat="1" applyFont="1" applyFill="1"/>
    <xf numFmtId="268" fontId="117" fillId="27" borderId="0" xfId="900" applyNumberFormat="1" applyFont="1" applyFill="1"/>
    <xf numFmtId="0" fontId="119" fillId="26" borderId="0" xfId="894" applyFont="1" applyFill="1" applyAlignment="1">
      <alignment horizontal="left" vertical="center"/>
    </xf>
    <xf numFmtId="0" fontId="111" fillId="26" borderId="38" xfId="894" applyFont="1" applyFill="1" applyBorder="1" applyAlignment="1">
      <alignment horizontal="center" vertical="center"/>
    </xf>
    <xf numFmtId="173" fontId="111" fillId="0" borderId="0" xfId="894" applyNumberFormat="1" applyFont="1" applyAlignment="1">
      <alignment vertical="center"/>
    </xf>
    <xf numFmtId="0" fontId="108" fillId="0" borderId="0" xfId="894" applyFont="1" applyAlignment="1">
      <alignment vertical="center"/>
    </xf>
    <xf numFmtId="0" fontId="111" fillId="26" borderId="0" xfId="894" applyFont="1" applyFill="1" applyAlignment="1">
      <alignment vertical="center"/>
    </xf>
    <xf numFmtId="176" fontId="111" fillId="26" borderId="0" xfId="894" applyNumberFormat="1" applyFont="1" applyFill="1" applyAlignment="1">
      <alignment horizontal="center" vertical="center"/>
    </xf>
    <xf numFmtId="0" fontId="111" fillId="0" borderId="0" xfId="894" applyFont="1" applyAlignment="1">
      <alignment vertical="center"/>
    </xf>
    <xf numFmtId="0" fontId="109" fillId="0" borderId="0" xfId="894" applyFont="1" applyAlignment="1">
      <alignment vertical="center"/>
    </xf>
    <xf numFmtId="171" fontId="109" fillId="0" borderId="0" xfId="895" applyFont="1" applyFill="1" applyBorder="1" applyAlignment="1">
      <alignment horizontal="center" vertical="center"/>
    </xf>
    <xf numFmtId="171" fontId="111" fillId="0" borderId="0" xfId="895" applyFont="1" applyFill="1" applyBorder="1" applyAlignment="1">
      <alignment horizontal="center" vertical="center"/>
    </xf>
    <xf numFmtId="0" fontId="111" fillId="26" borderId="3" xfId="894" applyFont="1" applyFill="1" applyBorder="1" applyAlignment="1">
      <alignment vertical="center"/>
    </xf>
    <xf numFmtId="0" fontId="107" fillId="26" borderId="3" xfId="894" applyFont="1" applyFill="1" applyBorder="1" applyAlignment="1">
      <alignment vertical="center"/>
    </xf>
    <xf numFmtId="0" fontId="107" fillId="26" borderId="0" xfId="894" applyFont="1" applyFill="1" applyAlignment="1">
      <alignment vertical="center"/>
    </xf>
    <xf numFmtId="0" fontId="107" fillId="0" borderId="0" xfId="894" applyFont="1" applyAlignment="1">
      <alignment vertical="center"/>
    </xf>
    <xf numFmtId="39" fontId="107" fillId="27" borderId="0" xfId="894" applyNumberFormat="1" applyFont="1" applyFill="1" applyAlignment="1">
      <alignment horizontal="right"/>
    </xf>
    <xf numFmtId="266" fontId="111" fillId="27" borderId="0" xfId="894" applyNumberFormat="1" applyFont="1" applyFill="1"/>
    <xf numFmtId="177" fontId="111" fillId="0" borderId="0" xfId="894" applyNumberFormat="1" applyFont="1"/>
    <xf numFmtId="0" fontId="111" fillId="29" borderId="38" xfId="894" applyFont="1" applyFill="1" applyBorder="1" applyAlignment="1">
      <alignment horizontal="center" vertical="center"/>
    </xf>
    <xf numFmtId="176" fontId="111" fillId="29" borderId="0" xfId="894" applyNumberFormat="1" applyFont="1" applyFill="1" applyAlignment="1">
      <alignment horizontal="center" vertical="center"/>
    </xf>
    <xf numFmtId="0" fontId="111" fillId="26" borderId="38" xfId="898" applyFont="1" applyFill="1" applyBorder="1" applyAlignment="1">
      <alignment horizontal="center" vertical="center"/>
    </xf>
    <xf numFmtId="268" fontId="107" fillId="0" borderId="0" xfId="898" applyNumberFormat="1" applyFont="1" applyAlignment="1">
      <alignment vertical="center"/>
    </xf>
    <xf numFmtId="10" fontId="108" fillId="0" borderId="0" xfId="898" applyNumberFormat="1" applyFont="1" applyAlignment="1">
      <alignment vertical="center"/>
    </xf>
    <xf numFmtId="0" fontId="108" fillId="0" borderId="0" xfId="898" applyFont="1" applyAlignment="1">
      <alignment vertical="center"/>
    </xf>
    <xf numFmtId="176" fontId="111" fillId="26" borderId="0" xfId="898" applyNumberFormat="1" applyFont="1" applyFill="1" applyAlignment="1">
      <alignment horizontal="center" vertical="center"/>
    </xf>
    <xf numFmtId="10" fontId="111" fillId="0" borderId="0" xfId="898" applyNumberFormat="1" applyFont="1" applyAlignment="1">
      <alignment vertical="center"/>
    </xf>
    <xf numFmtId="0" fontId="111" fillId="0" borderId="0" xfId="898" applyFont="1" applyAlignment="1">
      <alignment vertical="center"/>
    </xf>
    <xf numFmtId="0" fontId="109" fillId="0" borderId="0" xfId="898" applyFont="1" applyAlignment="1">
      <alignment vertical="center"/>
    </xf>
    <xf numFmtId="171" fontId="109" fillId="0" borderId="0" xfId="899" applyFont="1" applyFill="1" applyBorder="1" applyAlignment="1">
      <alignment horizontal="center" vertical="center"/>
    </xf>
    <xf numFmtId="171" fontId="111" fillId="0" borderId="0" xfId="899" applyFont="1" applyFill="1" applyBorder="1" applyAlignment="1">
      <alignment horizontal="center" vertical="center"/>
    </xf>
    <xf numFmtId="10" fontId="109" fillId="0" borderId="0" xfId="898" applyNumberFormat="1" applyFont="1" applyAlignment="1">
      <alignment vertical="center"/>
    </xf>
    <xf numFmtId="0" fontId="109" fillId="26" borderId="0" xfId="898" applyFont="1" applyFill="1" applyAlignment="1">
      <alignment vertical="center"/>
    </xf>
    <xf numFmtId="171" fontId="109" fillId="26" borderId="0" xfId="899" applyFont="1" applyFill="1" applyBorder="1" applyAlignment="1">
      <alignment horizontal="center" vertical="center"/>
    </xf>
    <xf numFmtId="171" fontId="111" fillId="26" borderId="0" xfId="899" applyFont="1" applyFill="1" applyBorder="1" applyAlignment="1">
      <alignment horizontal="center" vertical="center"/>
    </xf>
    <xf numFmtId="171" fontId="109" fillId="26" borderId="0" xfId="895" applyFont="1" applyFill="1" applyBorder="1" applyAlignment="1">
      <alignment horizontal="center" vertical="center"/>
    </xf>
    <xf numFmtId="171" fontId="111" fillId="26" borderId="0" xfId="895" applyFont="1" applyFill="1" applyBorder="1" applyAlignment="1">
      <alignment horizontal="center" vertical="center"/>
    </xf>
    <xf numFmtId="269" fontId="110" fillId="0" borderId="0" xfId="900" applyNumberFormat="1" applyFont="1" applyFill="1" applyBorder="1" applyAlignment="1">
      <alignment horizontal="center"/>
    </xf>
    <xf numFmtId="269" fontId="107" fillId="0" borderId="0" xfId="898" applyNumberFormat="1" applyFont="1"/>
    <xf numFmtId="0" fontId="111" fillId="29" borderId="38" xfId="898" applyFont="1" applyFill="1" applyBorder="1" applyAlignment="1">
      <alignment horizontal="center" vertical="center"/>
    </xf>
    <xf numFmtId="176" fontId="111" fillId="29" borderId="0" xfId="898" applyNumberFormat="1" applyFont="1" applyFill="1" applyAlignment="1">
      <alignment horizontal="center" vertical="center"/>
    </xf>
    <xf numFmtId="0" fontId="122" fillId="29" borderId="0" xfId="894" applyFont="1" applyFill="1"/>
    <xf numFmtId="0" fontId="2" fillId="29" borderId="0" xfId="894" applyFill="1"/>
  </cellXfs>
  <cellStyles count="902">
    <cellStyle name="$" xfId="1" xr:uid="{00000000-0005-0000-0000-000000000000}"/>
    <cellStyle name="$_TSA Model - 1 8 06 - v2" xfId="2" xr:uid="{00000000-0005-0000-0000-000001000000}"/>
    <cellStyle name="%" xfId="3" xr:uid="{00000000-0005-0000-0000-000002000000}"/>
    <cellStyle name=";;;" xfId="4" xr:uid="{00000000-0005-0000-0000-000003000000}"/>
    <cellStyle name="_%(SignOnly)" xfId="5" xr:uid="{00000000-0005-0000-0000-000004000000}"/>
    <cellStyle name="_%(SignSpaceOnly)" xfId="6" xr:uid="{00000000-0005-0000-0000-000005000000}"/>
    <cellStyle name="_0% CADR" xfId="7" xr:uid="{00000000-0005-0000-0000-000006000000}"/>
    <cellStyle name="_0% IRR" xfId="8" xr:uid="{00000000-0005-0000-0000-000007000000}"/>
    <cellStyle name="_1% CADR" xfId="9" xr:uid="{00000000-0005-0000-0000-000008000000}"/>
    <cellStyle name="_10% CADR" xfId="10" xr:uid="{00000000-0005-0000-0000-000009000000}"/>
    <cellStyle name="_10% CDR" xfId="11" xr:uid="{00000000-0005-0000-0000-00000A000000}"/>
    <cellStyle name="_11% CADR" xfId="12" xr:uid="{00000000-0005-0000-0000-00000B000000}"/>
    <cellStyle name="_12% CADR" xfId="13" xr:uid="{00000000-0005-0000-0000-00000C000000}"/>
    <cellStyle name="_12% CDR" xfId="14" xr:uid="{00000000-0005-0000-0000-00000D000000}"/>
    <cellStyle name="_13% CADR" xfId="15" xr:uid="{00000000-0005-0000-0000-00000E000000}"/>
    <cellStyle name="_14% CADR" xfId="16" xr:uid="{00000000-0005-0000-0000-00000F000000}"/>
    <cellStyle name="_14% CDR" xfId="17" xr:uid="{00000000-0005-0000-0000-000010000000}"/>
    <cellStyle name="_16% CDR" xfId="18" xr:uid="{00000000-0005-0000-0000-000011000000}"/>
    <cellStyle name="_18% CDR" xfId="19" xr:uid="{00000000-0005-0000-0000-000012000000}"/>
    <cellStyle name="_19.6% CDR BBB Break In Yield" xfId="20" xr:uid="{00000000-0005-0000-0000-000013000000}"/>
    <cellStyle name="_2% CADR" xfId="21" xr:uid="{00000000-0005-0000-0000-000014000000}"/>
    <cellStyle name="_20% CDR" xfId="22" xr:uid="{00000000-0005-0000-0000-000015000000}"/>
    <cellStyle name="_21.5% CDR BBB Break In Yield" xfId="23" xr:uid="{00000000-0005-0000-0000-000016000000}"/>
    <cellStyle name="_3% CADR" xfId="24" xr:uid="{00000000-0005-0000-0000-000017000000}"/>
    <cellStyle name="_3% CDR" xfId="25" xr:uid="{00000000-0005-0000-0000-000018000000}"/>
    <cellStyle name="_4% CADR" xfId="26" xr:uid="{00000000-0005-0000-0000-000019000000}"/>
    <cellStyle name="_5% CADR" xfId="27" xr:uid="{00000000-0005-0000-0000-00001A000000}"/>
    <cellStyle name="_5% CDR" xfId="28" xr:uid="{00000000-0005-0000-0000-00001B000000}"/>
    <cellStyle name="_6% CADR" xfId="29" xr:uid="{00000000-0005-0000-0000-00001C000000}"/>
    <cellStyle name="_7% CADR" xfId="30" xr:uid="{00000000-0005-0000-0000-00001D000000}"/>
    <cellStyle name="_7% CDR" xfId="31" xr:uid="{00000000-0005-0000-0000-00001E000000}"/>
    <cellStyle name="_8% CADR" xfId="32" xr:uid="{00000000-0005-0000-0000-00001F000000}"/>
    <cellStyle name="_8.0% CDR BB Break In Yield" xfId="33" xr:uid="{00000000-0005-0000-0000-000020000000}"/>
    <cellStyle name="_8.1% CDR BB Break In Yield" xfId="34" xr:uid="{00000000-0005-0000-0000-000021000000}"/>
    <cellStyle name="_9% CADR" xfId="35" xr:uid="{00000000-0005-0000-0000-000022000000}"/>
    <cellStyle name="_Assets" xfId="36" xr:uid="{00000000-0005-0000-0000-000023000000}"/>
    <cellStyle name="_Assets_1" xfId="37" xr:uid="{00000000-0005-0000-0000-000024000000}"/>
    <cellStyle name="_Assets_1_COMPS - B2B Publishers" xfId="38" xr:uid="{00000000-0005-0000-0000-000025000000}"/>
    <cellStyle name="_Assets_1_COMPS - Directories" xfId="39" xr:uid="{00000000-0005-0000-0000-000026000000}"/>
    <cellStyle name="_Assets_1_F&amp;W Servicing Model" xfId="40" xr:uid="{00000000-0005-0000-0000-000027000000}"/>
    <cellStyle name="_Assets_1_F&amp;W Servicing Model v2" xfId="41" xr:uid="{00000000-0005-0000-0000-000028000000}"/>
    <cellStyle name="_Assets_1_S&amp;P Analysis" xfId="42" xr:uid="{00000000-0005-0000-0000-000029000000}"/>
    <cellStyle name="_Assets_1_Univision Annual Model" xfId="43" xr:uid="{00000000-0005-0000-0000-00002A000000}"/>
    <cellStyle name="_Assets_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00000000-0005-0000-0000-00002D000000}"/>
    <cellStyle name="_Assets_S&amp;P Analysis_COMPS - Directories" xfId="47" xr:uid="{00000000-0005-0000-0000-00002E000000}"/>
    <cellStyle name="_Assets_S&amp;P Analysis_F&amp;W Servicing Model" xfId="48" xr:uid="{00000000-0005-0000-0000-00002F000000}"/>
    <cellStyle name="_Assets_S&amp;P Analysis_F&amp;W Servicing Model v2" xfId="49" xr:uid="{00000000-0005-0000-0000-000030000000}"/>
    <cellStyle name="_Assets_S&amp;P Analysis_Univision Annual Model" xfId="50" xr:uid="{00000000-0005-0000-0000-000031000000}"/>
    <cellStyle name="_Assets_S&amp;P Analysis_Yell Servicing Model" xfId="51" xr:uid="{00000000-0005-0000-0000-000032000000}"/>
    <cellStyle name="_Assumptions" xfId="52" xr:uid="{00000000-0005-0000-0000-000033000000}"/>
    <cellStyle name="_Assumptions_1" xfId="53" xr:uid="{00000000-0005-0000-0000-000034000000}"/>
    <cellStyle name="_Assumptions_1_COMPS - B2B Publishers" xfId="54" xr:uid="{00000000-0005-0000-0000-000035000000}"/>
    <cellStyle name="_Assumptions_1_COMPS - Directories" xfId="55" xr:uid="{00000000-0005-0000-0000-000036000000}"/>
    <cellStyle name="_Assumptions_1_F&amp;W Servicing Model" xfId="56" xr:uid="{00000000-0005-0000-0000-000037000000}"/>
    <cellStyle name="_Assumptions_1_F&amp;W Servicing Model v2" xfId="57" xr:uid="{00000000-0005-0000-0000-000038000000}"/>
    <cellStyle name="_Assumptions_1_Univision Annual Model" xfId="58" xr:uid="{00000000-0005-0000-0000-000039000000}"/>
    <cellStyle name="_Assumptions_1_Yell Servicing Model" xfId="59" xr:uid="{00000000-0005-0000-0000-00003A000000}"/>
    <cellStyle name="_Blue Mountain TRS (7-5-05)" xfId="60" xr:uid="{00000000-0005-0000-0000-00003B000000}"/>
    <cellStyle name="_Book2" xfId="61" xr:uid="{00000000-0005-0000-0000-00003C000000}"/>
    <cellStyle name="_CDO of CDO" xfId="62" xr:uid="{00000000-0005-0000-0000-00003D000000}"/>
    <cellStyle name="_CLO Portfolio 10_07_2005" xfId="63" xr:uid="{00000000-0005-0000-0000-00003E000000}"/>
    <cellStyle name="_Comma" xfId="64" xr:uid="{00000000-0005-0000-0000-00003F000000}"/>
    <cellStyle name="_Comma_dcf" xfId="65" xr:uid="{00000000-0005-0000-0000-000040000000}"/>
    <cellStyle name="_Currency" xfId="66" xr:uid="{00000000-0005-0000-0000-000041000000}"/>
    <cellStyle name="_Currency_dcf" xfId="67" xr:uid="{00000000-0005-0000-0000-000042000000}"/>
    <cellStyle name="_CurrencySpace" xfId="68" xr:uid="{00000000-0005-0000-0000-000043000000}"/>
    <cellStyle name="_CurrencySpace_dcf" xfId="69" xr:uid="{00000000-0005-0000-0000-000044000000}"/>
    <cellStyle name="_Euro" xfId="70" xr:uid="{00000000-0005-0000-0000-000045000000}"/>
    <cellStyle name="_EV8 Assumption List" xfId="71" xr:uid="{00000000-0005-0000-0000-000046000000}"/>
    <cellStyle name="_Exhibit I Babson Warehouse 2006-II CLO 8 18 06" xfId="72" xr:uid="{00000000-0005-0000-0000-000047000000}"/>
    <cellStyle name="_First PIK" xfId="73" xr:uid="{00000000-0005-0000-0000-000048000000}"/>
    <cellStyle name="_Galaxy VI CLO - WestLB Request" xfId="74" xr:uid="{00000000-0005-0000-0000-000049000000}"/>
    <cellStyle name="_Heading" xfId="75" xr:uid="{00000000-0005-0000-0000-00004A000000}"/>
    <cellStyle name="_Heading_prestemp" xfId="76" xr:uid="{00000000-0005-0000-0000-00004B000000}"/>
    <cellStyle name="_Highlight" xfId="77" xr:uid="{00000000-0005-0000-0000-00004C000000}"/>
    <cellStyle name="_Model FINAL (2)" xfId="78" xr:uid="{00000000-0005-0000-0000-00004D000000}"/>
    <cellStyle name="_Multiple" xfId="79" xr:uid="{00000000-0005-0000-0000-00004E000000}"/>
    <cellStyle name="_Multiple_dcf" xfId="80" xr:uid="{00000000-0005-0000-0000-00004F000000}"/>
    <cellStyle name="_MultipleSpace" xfId="81" xr:uid="{00000000-0005-0000-0000-000050000000}"/>
    <cellStyle name="_MultipleSpace_dcf" xfId="82" xr:uid="{00000000-0005-0000-0000-000051000000}"/>
    <cellStyle name="_Other Defafult Scenario 1" xfId="83" xr:uid="{00000000-0005-0000-0000-000052000000}"/>
    <cellStyle name="_Other Default Scenario 2" xfId="84" xr:uid="{00000000-0005-0000-0000-000053000000}"/>
    <cellStyle name="_Percent" xfId="85" xr:uid="{00000000-0005-0000-0000-000054000000}"/>
    <cellStyle name="_PercentSpace" xfId="86" xr:uid="{00000000-0005-0000-0000-000055000000}"/>
    <cellStyle name="_Port" xfId="87" xr:uid="{00000000-0005-0000-0000-000056000000}"/>
    <cellStyle name="_Port For S&amp;P" xfId="88" xr:uid="{00000000-0005-0000-0000-000057000000}"/>
    <cellStyle name="_Port_COMPS - B2B Publishers" xfId="89" xr:uid="{00000000-0005-0000-0000-000058000000}"/>
    <cellStyle name="_Port_COMPS - Directories" xfId="90" xr:uid="{00000000-0005-0000-0000-000059000000}"/>
    <cellStyle name="_Port_F&amp;W Servicing Model" xfId="91" xr:uid="{00000000-0005-0000-0000-00005A000000}"/>
    <cellStyle name="_Port_F&amp;W Servicing Model v2" xfId="92" xr:uid="{00000000-0005-0000-0000-00005B000000}"/>
    <cellStyle name="_Port_Univision Annual Model" xfId="93" xr:uid="{00000000-0005-0000-0000-00005C000000}"/>
    <cellStyle name="_Port_Yell Servicing Model" xfId="94" xr:uid="{00000000-0005-0000-0000-00005D000000}"/>
    <cellStyle name="_Pro Forma TTM 9.30.07 (CW NEIRB Acquisition)" xfId="95" xr:uid="{00000000-0005-0000-0000-00005E000000}"/>
    <cellStyle name="_S&amp;P Analysis" xfId="96" xr:uid="{00000000-0005-0000-0000-00005F000000}"/>
    <cellStyle name="_S&amp;P Analysis_COMPS - B2B Publishers" xfId="97" xr:uid="{00000000-0005-0000-0000-000060000000}"/>
    <cellStyle name="_S&amp;P Analysis_COMPS - Directories" xfId="98" xr:uid="{00000000-0005-0000-0000-000061000000}"/>
    <cellStyle name="_S&amp;P Analysis_F&amp;W Servicing Model" xfId="99" xr:uid="{00000000-0005-0000-0000-000062000000}"/>
    <cellStyle name="_S&amp;P Analysis_F&amp;W Servicing Model v2" xfId="100" xr:uid="{00000000-0005-0000-0000-000063000000}"/>
    <cellStyle name="_S&amp;P Analysis_Univision Annual Model" xfId="101" xr:uid="{00000000-0005-0000-0000-000064000000}"/>
    <cellStyle name="_S&amp;P Analysis_Yell Servicing Model" xfId="102" xr:uid="{00000000-0005-0000-0000-000065000000}"/>
    <cellStyle name="_S&amp;P Hypothetical Port Summary" xfId="103" xr:uid="{00000000-0005-0000-0000-000066000000}"/>
    <cellStyle name="_S&amp;P Port 80Div_2099WARF" xfId="104" xr:uid="{00000000-0005-0000-0000-000067000000}"/>
    <cellStyle name="_S&amp;P Stress Scenarios" xfId="105" xr:uid="{00000000-0005-0000-0000-000068000000}"/>
    <cellStyle name="_Sources and Uses" xfId="106" xr:uid="{00000000-0005-0000-0000-000069000000}"/>
    <cellStyle name="_SubHeading" xfId="107" xr:uid="{00000000-0005-0000-0000-00006A000000}"/>
    <cellStyle name="_SubHeading_prestemp" xfId="108" xr:uid="{00000000-0005-0000-0000-00006B000000}"/>
    <cellStyle name="_Table" xfId="109" xr:uid="{00000000-0005-0000-0000-00006C000000}"/>
    <cellStyle name="_TableHead" xfId="110" xr:uid="{00000000-0005-0000-0000-00006D000000}"/>
    <cellStyle name="_TableRowHead" xfId="111" xr:uid="{00000000-0005-0000-0000-00006E000000}"/>
    <cellStyle name="_TableSuperHead" xfId="112" xr:uid="{00000000-0005-0000-0000-00006F000000}"/>
    <cellStyle name="£Currency [0]" xfId="113" xr:uid="{00000000-0005-0000-0000-000070000000}"/>
    <cellStyle name="£Currency [1]" xfId="114" xr:uid="{00000000-0005-0000-0000-000071000000}"/>
    <cellStyle name="£Currency [2]" xfId="115" xr:uid="{00000000-0005-0000-0000-000072000000}"/>
    <cellStyle name="£Currency [p]" xfId="116" xr:uid="{00000000-0005-0000-0000-000073000000}"/>
    <cellStyle name="£Currency [p2]" xfId="117" xr:uid="{00000000-0005-0000-0000-000074000000}"/>
    <cellStyle name="£Pounds" xfId="118" xr:uid="{00000000-0005-0000-0000-000075000000}"/>
    <cellStyle name="Accounting $" xfId="119" xr:uid="{00000000-0005-0000-0000-000076000000}"/>
    <cellStyle name="Across" xfId="120" xr:uid="{00000000-0005-0000-0000-000077000000}"/>
    <cellStyle name="Adjustable" xfId="121" xr:uid="{00000000-0005-0000-0000-000078000000}"/>
    <cellStyle name="AFE" xfId="122" xr:uid="{00000000-0005-0000-0000-000079000000}"/>
    <cellStyle name="Andre's Title" xfId="123" xr:uid="{00000000-0005-0000-0000-00007A000000}"/>
    <cellStyle name="args.style" xfId="124" xr:uid="{00000000-0005-0000-0000-00007B000000}"/>
    <cellStyle name="Arial 10" xfId="125" xr:uid="{00000000-0005-0000-0000-00007C000000}"/>
    <cellStyle name="Arial 12" xfId="126" xr:uid="{00000000-0005-0000-0000-00007D000000}"/>
    <cellStyle name="Best" xfId="127" xr:uid="{00000000-0005-0000-0000-00007E000000}"/>
    <cellStyle name="Blank [$]" xfId="128" xr:uid="{00000000-0005-0000-0000-00007F000000}"/>
    <cellStyle name="Blank [,]" xfId="129" xr:uid="{00000000-0005-0000-0000-000080000000}"/>
    <cellStyle name="BlankedZeros" xfId="130" xr:uid="{00000000-0005-0000-0000-000081000000}"/>
    <cellStyle name="blp_column_header" xfId="131" xr:uid="{00000000-0005-0000-0000-000082000000}"/>
    <cellStyle name="Blue" xfId="132" xr:uid="{00000000-0005-0000-0000-000083000000}"/>
    <cellStyle name="bluepercent" xfId="133" xr:uid="{00000000-0005-0000-0000-000084000000}"/>
    <cellStyle name="Body" xfId="134" xr:uid="{00000000-0005-0000-0000-000085000000}"/>
    <cellStyle name="Bold" xfId="135" xr:uid="{00000000-0005-0000-0000-000086000000}"/>
    <cellStyle name="BoldItalic" xfId="136" xr:uid="{00000000-0005-0000-0000-000087000000}"/>
    <cellStyle name="Bottom" xfId="137" xr:uid="{00000000-0005-0000-0000-000088000000}"/>
    <cellStyle name="Bottom Edge" xfId="138" xr:uid="{00000000-0005-0000-0000-000089000000}"/>
    <cellStyle name="British Pound" xfId="139" xr:uid="{00000000-0005-0000-0000-00008A000000}"/>
    <cellStyle name="Business Description" xfId="140" xr:uid="{00000000-0005-0000-0000-00008B000000}"/>
    <cellStyle name="c" xfId="141" xr:uid="{00000000-0005-0000-0000-00008C000000}"/>
    <cellStyle name="Calc Currency (0)" xfId="142" xr:uid="{00000000-0005-0000-0000-00008D000000}"/>
    <cellStyle name="Calc Currency (2)" xfId="143" xr:uid="{00000000-0005-0000-0000-00008E000000}"/>
    <cellStyle name="Calc Percent (0)" xfId="144" xr:uid="{00000000-0005-0000-0000-00008F000000}"/>
    <cellStyle name="Calc Percent (1)" xfId="145" xr:uid="{00000000-0005-0000-0000-000090000000}"/>
    <cellStyle name="Calc Percent (2)" xfId="146" xr:uid="{00000000-0005-0000-0000-000091000000}"/>
    <cellStyle name="Calc Units (0)" xfId="147" xr:uid="{00000000-0005-0000-0000-000092000000}"/>
    <cellStyle name="Calc Units (1)" xfId="148" xr:uid="{00000000-0005-0000-0000-000093000000}"/>
    <cellStyle name="Calc Units (2)" xfId="149" xr:uid="{00000000-0005-0000-0000-000094000000}"/>
    <cellStyle name="Case" xfId="150" xr:uid="{00000000-0005-0000-0000-000095000000}"/>
    <cellStyle name="cc" xfId="151" xr:uid="{00000000-0005-0000-0000-000096000000}"/>
    <cellStyle name="Center" xfId="152" xr:uid="{00000000-0005-0000-0000-000097000000}"/>
    <cellStyle name="CenterBold" xfId="153" xr:uid="{00000000-0005-0000-0000-000098000000}"/>
    <cellStyle name="CenterItalic" xfId="154" xr:uid="{00000000-0005-0000-0000-000099000000}"/>
    <cellStyle name="Cents" xfId="155" xr:uid="{00000000-0005-0000-0000-00009A000000}"/>
    <cellStyle name="ChartingText" xfId="156" xr:uid="{00000000-0005-0000-0000-00009B000000}"/>
    <cellStyle name="Co. Names" xfId="157" xr:uid="{00000000-0005-0000-0000-00009C000000}"/>
    <cellStyle name="Co. Names - Bold" xfId="158" xr:uid="{00000000-0005-0000-0000-00009D000000}"/>
    <cellStyle name="Co. Names_Break-Up" xfId="159" xr:uid="{00000000-0005-0000-0000-00009E000000}"/>
    <cellStyle name="COL HEADINGS" xfId="160" xr:uid="{00000000-0005-0000-0000-00009F000000}"/>
    <cellStyle name="ColumnHeaderNormal" xfId="161" xr:uid="{00000000-0005-0000-0000-0000A0000000}"/>
    <cellStyle name="Comma" xfId="900" builtinId="3"/>
    <cellStyle name="Comma  - Style1" xfId="162" xr:uid="{00000000-0005-0000-0000-0000A2000000}"/>
    <cellStyle name="Comma  - Style2" xfId="163" xr:uid="{00000000-0005-0000-0000-0000A3000000}"/>
    <cellStyle name="Comma  - Style3" xfId="164" xr:uid="{00000000-0005-0000-0000-0000A4000000}"/>
    <cellStyle name="Comma  - Style4" xfId="165" xr:uid="{00000000-0005-0000-0000-0000A5000000}"/>
    <cellStyle name="Comma  - Style5" xfId="166" xr:uid="{00000000-0005-0000-0000-0000A6000000}"/>
    <cellStyle name="Comma  - Style6" xfId="167" xr:uid="{00000000-0005-0000-0000-0000A7000000}"/>
    <cellStyle name="Comma  - Style7" xfId="168" xr:uid="{00000000-0005-0000-0000-0000A8000000}"/>
    <cellStyle name="Comma  - Style8" xfId="169" xr:uid="{00000000-0005-0000-0000-0000A9000000}"/>
    <cellStyle name="Comma [0]; --" xfId="170" xr:uid="{00000000-0005-0000-0000-0000AA000000}"/>
    <cellStyle name="Comma [00]" xfId="171" xr:uid="{00000000-0005-0000-0000-0000AB000000}"/>
    <cellStyle name="Comma [1]" xfId="172" xr:uid="{00000000-0005-0000-0000-0000AC000000}"/>
    <cellStyle name="Comma 2" xfId="895" xr:uid="{00000000-0005-0000-0000-0000AD000000}"/>
    <cellStyle name="Comma 2 2" xfId="899" xr:uid="{00000000-0005-0000-0000-0000AE000000}"/>
    <cellStyle name="Comma Cents" xfId="173" xr:uid="{00000000-0005-0000-0000-0000AF000000}"/>
    <cellStyle name="Comma0" xfId="174" xr:uid="{00000000-0005-0000-0000-0000B0000000}"/>
    <cellStyle name="Commas" xfId="175" xr:uid="{00000000-0005-0000-0000-0000B1000000}"/>
    <cellStyle name="CommasBold" xfId="176" xr:uid="{00000000-0005-0000-0000-0000B2000000}"/>
    <cellStyle name="CompanyTitle" xfId="177" xr:uid="{00000000-0005-0000-0000-0000B3000000}"/>
    <cellStyle name="Copied" xfId="178" xr:uid="{00000000-0005-0000-0000-0000B4000000}"/>
    <cellStyle name="Currency $" xfId="179" xr:uid="{00000000-0005-0000-0000-0000B5000000}"/>
    <cellStyle name="Currency [0]; --" xfId="180" xr:uid="{00000000-0005-0000-0000-0000B6000000}"/>
    <cellStyle name="Currency [00]" xfId="181" xr:uid="{00000000-0005-0000-0000-0000B7000000}"/>
    <cellStyle name="Currency [1]" xfId="182" xr:uid="{00000000-0005-0000-0000-0000B8000000}"/>
    <cellStyle name="Currency [2]" xfId="183" xr:uid="{00000000-0005-0000-0000-0000B9000000}"/>
    <cellStyle name="data" xfId="184" xr:uid="{00000000-0005-0000-0000-0000BA000000}"/>
    <cellStyle name="Date" xfId="185" xr:uid="{00000000-0005-0000-0000-0000BB000000}"/>
    <cellStyle name="Date Short" xfId="186" xr:uid="{00000000-0005-0000-0000-0000BC000000}"/>
    <cellStyle name="Date_COMPS - Directories" xfId="187" xr:uid="{00000000-0005-0000-0000-0000BD000000}"/>
    <cellStyle name="DateLeftBold" xfId="188" xr:uid="{00000000-0005-0000-0000-0000BE000000}"/>
    <cellStyle name="Default" xfId="189" xr:uid="{00000000-0005-0000-0000-0000BF000000}"/>
    <cellStyle name="DELTA" xfId="190" xr:uid="{00000000-0005-0000-0000-0000C0000000}"/>
    <cellStyle name="Dollars" xfId="191" xr:uid="{00000000-0005-0000-0000-0000C1000000}"/>
    <cellStyle name="Dollars []" xfId="192" xr:uid="{00000000-0005-0000-0000-0000C2000000}"/>
    <cellStyle name="Dollars_Pro Forma TTM 9.30.07 (CW NEIRB Acquisition)" xfId="193" xr:uid="{00000000-0005-0000-0000-0000C3000000}"/>
    <cellStyle name="Double" xfId="194" xr:uid="{00000000-0005-0000-0000-0000C4000000}"/>
    <cellStyle name="Double Accounting" xfId="195" xr:uid="{00000000-0005-0000-0000-0000C5000000}"/>
    <cellStyle name="Enter Currency (0)" xfId="196" xr:uid="{00000000-0005-0000-0000-0000C6000000}"/>
    <cellStyle name="Enter Currency (2)" xfId="197" xr:uid="{00000000-0005-0000-0000-0000C7000000}"/>
    <cellStyle name="Enter Units (0)" xfId="198" xr:uid="{00000000-0005-0000-0000-0000C8000000}"/>
    <cellStyle name="Enter Units (1)" xfId="199" xr:uid="{00000000-0005-0000-0000-0000C9000000}"/>
    <cellStyle name="Enter Units (2)" xfId="200" xr:uid="{00000000-0005-0000-0000-0000CA000000}"/>
    <cellStyle name="Entered" xfId="201" xr:uid="{00000000-0005-0000-0000-0000CB000000}"/>
    <cellStyle name="Euro" xfId="202" xr:uid="{00000000-0005-0000-0000-0000CC000000}"/>
    <cellStyle name="Fit" xfId="203" xr:uid="{00000000-0005-0000-0000-0000CD000000}"/>
    <cellStyle name="Footer" xfId="204" xr:uid="{00000000-0005-0000-0000-0000CE000000}"/>
    <cellStyle name="Footnotes" xfId="205" xr:uid="{00000000-0005-0000-0000-0000CF000000}"/>
    <cellStyle name="Grey" xfId="206" xr:uid="{00000000-0005-0000-0000-0000D0000000}"/>
    <cellStyle name="GreybarHeader" xfId="207" xr:uid="{00000000-0005-0000-0000-0000D1000000}"/>
    <cellStyle name="Grouped Head" xfId="208" xr:uid="{00000000-0005-0000-0000-0000D2000000}"/>
    <cellStyle name="h" xfId="209" xr:uid="{00000000-0005-0000-0000-0000D3000000}"/>
    <cellStyle name="HAlignCenter" xfId="210" xr:uid="{00000000-0005-0000-0000-0000D4000000}"/>
    <cellStyle name="HAlignLeft" xfId="211" xr:uid="{00000000-0005-0000-0000-0000D5000000}"/>
    <cellStyle name="HAlignRight" xfId="212" xr:uid="{00000000-0005-0000-0000-0000D6000000}"/>
    <cellStyle name="Head 1" xfId="213" xr:uid="{00000000-0005-0000-0000-0000D7000000}"/>
    <cellStyle name="Header" xfId="214" xr:uid="{00000000-0005-0000-0000-0000D8000000}"/>
    <cellStyle name="Header1" xfId="215" xr:uid="{00000000-0005-0000-0000-0000D9000000}"/>
    <cellStyle name="Header2" xfId="216" xr:uid="{00000000-0005-0000-0000-0000DA000000}"/>
    <cellStyle name="headers" xfId="217" xr:uid="{00000000-0005-0000-0000-0000DB000000}"/>
    <cellStyle name="Heading" xfId="218" xr:uid="{00000000-0005-0000-0000-0000DC000000}"/>
    <cellStyle name="HEADINGS" xfId="219" xr:uid="{00000000-0005-0000-0000-0000DD000000}"/>
    <cellStyle name="HEADINGSTOP" xfId="220" xr:uid="{00000000-0005-0000-0000-0000DE000000}"/>
    <cellStyle name="imput" xfId="221" xr:uid="{00000000-0005-0000-0000-0000DF000000}"/>
    <cellStyle name="Input [yellow]" xfId="222" xr:uid="{00000000-0005-0000-0000-0000E0000000}"/>
    <cellStyle name="Invisible" xfId="223" xr:uid="{00000000-0005-0000-0000-0000E1000000}"/>
    <cellStyle name="ItalicHeader" xfId="224" xr:uid="{00000000-0005-0000-0000-0000E2000000}"/>
    <cellStyle name="Item Descriptions" xfId="225" xr:uid="{00000000-0005-0000-0000-0000E3000000}"/>
    <cellStyle name="Item Descriptions - Bold" xfId="226" xr:uid="{00000000-0005-0000-0000-0000E4000000}"/>
    <cellStyle name="Item Descriptions_6079BX" xfId="227" xr:uid="{00000000-0005-0000-0000-0000E5000000}"/>
    <cellStyle name="Left" xfId="228" xr:uid="{00000000-0005-0000-0000-0000E6000000}"/>
    <cellStyle name="LeftBold" xfId="229" xr:uid="{00000000-0005-0000-0000-0000E7000000}"/>
    <cellStyle name="LeftBoldBottomRule" xfId="230" xr:uid="{00000000-0005-0000-0000-0000E8000000}"/>
    <cellStyle name="LeftBoldCenterRule" xfId="231" xr:uid="{00000000-0005-0000-0000-0000E9000000}"/>
    <cellStyle name="Line" xfId="232" xr:uid="{00000000-0005-0000-0000-0000EA000000}"/>
    <cellStyle name="Link Currency (0)" xfId="233" xr:uid="{00000000-0005-0000-0000-0000EB000000}"/>
    <cellStyle name="Link Currency (2)" xfId="234" xr:uid="{00000000-0005-0000-0000-0000EC000000}"/>
    <cellStyle name="Link Units (0)" xfId="235" xr:uid="{00000000-0005-0000-0000-0000ED000000}"/>
    <cellStyle name="Link Units (1)" xfId="236" xr:uid="{00000000-0005-0000-0000-0000EE000000}"/>
    <cellStyle name="Link Units (2)" xfId="237" xr:uid="{00000000-0005-0000-0000-0000EF000000}"/>
    <cellStyle name="locked" xfId="238" xr:uid="{00000000-0005-0000-0000-0000F0000000}"/>
    <cellStyle name="m&amp;a" xfId="239" xr:uid="{00000000-0005-0000-0000-0000F1000000}"/>
    <cellStyle name="Map Labels" xfId="240" xr:uid="{00000000-0005-0000-0000-0000F2000000}"/>
    <cellStyle name="Map Legend" xfId="241" xr:uid="{00000000-0005-0000-0000-0000F3000000}"/>
    <cellStyle name="Merrill" xfId="242" xr:uid="{00000000-0005-0000-0000-0000F4000000}"/>
    <cellStyle name="Millares_Inv Detail A7" xfId="243" xr:uid="{00000000-0005-0000-0000-0000F5000000}"/>
    <cellStyle name="Milliers [0]_r00SC" xfId="244" xr:uid="{00000000-0005-0000-0000-0000F6000000}"/>
    <cellStyle name="Milliers_r00SC" xfId="245" xr:uid="{00000000-0005-0000-0000-0000F7000000}"/>
    <cellStyle name="Mix" xfId="246" xr:uid="{00000000-0005-0000-0000-0000F8000000}"/>
    <cellStyle name="mon" xfId="247" xr:uid="{00000000-0005-0000-0000-0000F9000000}"/>
    <cellStyle name="Monétaire [0]_r00SC" xfId="248" xr:uid="{00000000-0005-0000-0000-0000FA000000}"/>
    <cellStyle name="Monétaire_r00SC" xfId="249" xr:uid="{00000000-0005-0000-0000-0000FB000000}"/>
    <cellStyle name="Money" xfId="250" xr:uid="{00000000-0005-0000-0000-0000FC000000}"/>
    <cellStyle name="Multiple" xfId="251" xr:uid="{00000000-0005-0000-0000-0000FD000000}"/>
    <cellStyle name="Multiple []" xfId="252" xr:uid="{00000000-0005-0000-0000-0000FE000000}"/>
    <cellStyle name="Multiple [0]" xfId="253" xr:uid="{00000000-0005-0000-0000-0000FF000000}"/>
    <cellStyle name="Multiple [0] []" xfId="254" xr:uid="{00000000-0005-0000-0000-000000010000}"/>
    <cellStyle name="Multiple [0]_New MA Public Comps and WACC Model" xfId="255" xr:uid="{00000000-0005-0000-0000-000001010000}"/>
    <cellStyle name="Multiple [1]" xfId="256" xr:uid="{00000000-0005-0000-0000-000002010000}"/>
    <cellStyle name="Multiple [1] []" xfId="257" xr:uid="{00000000-0005-0000-0000-000003010000}"/>
    <cellStyle name="Multiple [1]_New MA Public Comps and WACC Model" xfId="258" xr:uid="{00000000-0005-0000-0000-000004010000}"/>
    <cellStyle name="Multiple_CapitalSum" xfId="259" xr:uid="{00000000-0005-0000-0000-000005010000}"/>
    <cellStyle name="N2Style" xfId="260" xr:uid="{00000000-0005-0000-0000-000006010000}"/>
    <cellStyle name="NewColumnHeaderNormal" xfId="261" xr:uid="{00000000-0005-0000-0000-000007010000}"/>
    <cellStyle name="NewSectionHeaderNormal" xfId="262" xr:uid="{00000000-0005-0000-0000-000008010000}"/>
    <cellStyle name="NewTitleNormal" xfId="263" xr:uid="{00000000-0005-0000-0000-000009010000}"/>
    <cellStyle name="Normal" xfId="0" builtinId="0"/>
    <cellStyle name="Normal - Style1" xfId="264" xr:uid="{00000000-0005-0000-0000-00000B010000}"/>
    <cellStyle name="Normal 2" xfId="265" xr:uid="{00000000-0005-0000-0000-00000C010000}"/>
    <cellStyle name="Normal 2 2" xfId="266" xr:uid="{00000000-0005-0000-0000-00000D010000}"/>
    <cellStyle name="Normal 2 2 2" xfId="896" xr:uid="{00000000-0005-0000-0000-00000E010000}"/>
    <cellStyle name="Normal 3" xfId="894" xr:uid="{00000000-0005-0000-0000-00000F010000}"/>
    <cellStyle name="Normal 3 2" xfId="898" xr:uid="{00000000-0005-0000-0000-000010010000}"/>
    <cellStyle name="Normal1" xfId="267" xr:uid="{00000000-0005-0000-0000-000011010000}"/>
    <cellStyle name="Normal10" xfId="268" xr:uid="{00000000-0005-0000-0000-000012010000}"/>
    <cellStyle name="Normal100" xfId="269" xr:uid="{00000000-0005-0000-0000-000013010000}"/>
    <cellStyle name="Normal101" xfId="270" xr:uid="{00000000-0005-0000-0000-000014010000}"/>
    <cellStyle name="Normal102" xfId="271" xr:uid="{00000000-0005-0000-0000-000015010000}"/>
    <cellStyle name="Normal103" xfId="272" xr:uid="{00000000-0005-0000-0000-000016010000}"/>
    <cellStyle name="Normal104" xfId="273" xr:uid="{00000000-0005-0000-0000-000017010000}"/>
    <cellStyle name="Normal105" xfId="274" xr:uid="{00000000-0005-0000-0000-000018010000}"/>
    <cellStyle name="Normal106" xfId="275" xr:uid="{00000000-0005-0000-0000-000019010000}"/>
    <cellStyle name="Normal107" xfId="276" xr:uid="{00000000-0005-0000-0000-00001A010000}"/>
    <cellStyle name="Normal108" xfId="277" xr:uid="{00000000-0005-0000-0000-00001B010000}"/>
    <cellStyle name="Normal109" xfId="278" xr:uid="{00000000-0005-0000-0000-00001C010000}"/>
    <cellStyle name="Normal11" xfId="279" xr:uid="{00000000-0005-0000-0000-00001D010000}"/>
    <cellStyle name="Normal110" xfId="280" xr:uid="{00000000-0005-0000-0000-00001E010000}"/>
    <cellStyle name="Normal111" xfId="281" xr:uid="{00000000-0005-0000-0000-00001F010000}"/>
    <cellStyle name="Normal112" xfId="282" xr:uid="{00000000-0005-0000-0000-000020010000}"/>
    <cellStyle name="Normal113" xfId="283" xr:uid="{00000000-0005-0000-0000-000021010000}"/>
    <cellStyle name="Normal114" xfId="284" xr:uid="{00000000-0005-0000-0000-000022010000}"/>
    <cellStyle name="Normal115" xfId="285" xr:uid="{00000000-0005-0000-0000-000023010000}"/>
    <cellStyle name="Normal116" xfId="286" xr:uid="{00000000-0005-0000-0000-000024010000}"/>
    <cellStyle name="Normal117" xfId="287" xr:uid="{00000000-0005-0000-0000-000025010000}"/>
    <cellStyle name="Normal118" xfId="288" xr:uid="{00000000-0005-0000-0000-000026010000}"/>
    <cellStyle name="Normal119" xfId="289" xr:uid="{00000000-0005-0000-0000-000027010000}"/>
    <cellStyle name="Normal12" xfId="290" xr:uid="{00000000-0005-0000-0000-000028010000}"/>
    <cellStyle name="Normal120" xfId="291" xr:uid="{00000000-0005-0000-0000-000029010000}"/>
    <cellStyle name="Normal121" xfId="292" xr:uid="{00000000-0005-0000-0000-00002A010000}"/>
    <cellStyle name="Normal122" xfId="293" xr:uid="{00000000-0005-0000-0000-00002B010000}"/>
    <cellStyle name="Normal123" xfId="294" xr:uid="{00000000-0005-0000-0000-00002C010000}"/>
    <cellStyle name="Normal124" xfId="295" xr:uid="{00000000-0005-0000-0000-00002D010000}"/>
    <cellStyle name="Normal125" xfId="296" xr:uid="{00000000-0005-0000-0000-00002E010000}"/>
    <cellStyle name="Normal126" xfId="297" xr:uid="{00000000-0005-0000-0000-00002F010000}"/>
    <cellStyle name="Normal127" xfId="298" xr:uid="{00000000-0005-0000-0000-000030010000}"/>
    <cellStyle name="Normal128" xfId="299" xr:uid="{00000000-0005-0000-0000-000031010000}"/>
    <cellStyle name="Normal129" xfId="300" xr:uid="{00000000-0005-0000-0000-000032010000}"/>
    <cellStyle name="Normal13" xfId="301" xr:uid="{00000000-0005-0000-0000-000033010000}"/>
    <cellStyle name="Normal130" xfId="302" xr:uid="{00000000-0005-0000-0000-000034010000}"/>
    <cellStyle name="Normal131" xfId="303" xr:uid="{00000000-0005-0000-0000-000035010000}"/>
    <cellStyle name="Normal132" xfId="304" xr:uid="{00000000-0005-0000-0000-000036010000}"/>
    <cellStyle name="Normal133" xfId="305" xr:uid="{00000000-0005-0000-0000-000037010000}"/>
    <cellStyle name="Normal134" xfId="306" xr:uid="{00000000-0005-0000-0000-000038010000}"/>
    <cellStyle name="Normal135" xfId="307" xr:uid="{00000000-0005-0000-0000-000039010000}"/>
    <cellStyle name="Normal136" xfId="308" xr:uid="{00000000-0005-0000-0000-00003A010000}"/>
    <cellStyle name="Normal137" xfId="309" xr:uid="{00000000-0005-0000-0000-00003B010000}"/>
    <cellStyle name="Normal138" xfId="310" xr:uid="{00000000-0005-0000-0000-00003C010000}"/>
    <cellStyle name="Normal139" xfId="311" xr:uid="{00000000-0005-0000-0000-00003D010000}"/>
    <cellStyle name="Normal14" xfId="312" xr:uid="{00000000-0005-0000-0000-00003E010000}"/>
    <cellStyle name="Normal140" xfId="313" xr:uid="{00000000-0005-0000-0000-00003F010000}"/>
    <cellStyle name="Normal141" xfId="314" xr:uid="{00000000-0005-0000-0000-000040010000}"/>
    <cellStyle name="Normal142" xfId="315" xr:uid="{00000000-0005-0000-0000-000041010000}"/>
    <cellStyle name="Normal143" xfId="316" xr:uid="{00000000-0005-0000-0000-000042010000}"/>
    <cellStyle name="Normal144" xfId="317" xr:uid="{00000000-0005-0000-0000-000043010000}"/>
    <cellStyle name="Normal145" xfId="318" xr:uid="{00000000-0005-0000-0000-000044010000}"/>
    <cellStyle name="Normal146" xfId="319" xr:uid="{00000000-0005-0000-0000-000045010000}"/>
    <cellStyle name="Normal147" xfId="320" xr:uid="{00000000-0005-0000-0000-000046010000}"/>
    <cellStyle name="Normal148" xfId="321" xr:uid="{00000000-0005-0000-0000-000047010000}"/>
    <cellStyle name="Normal149" xfId="322" xr:uid="{00000000-0005-0000-0000-000048010000}"/>
    <cellStyle name="Normal15" xfId="323" xr:uid="{00000000-0005-0000-0000-000049010000}"/>
    <cellStyle name="Normal150" xfId="324" xr:uid="{00000000-0005-0000-0000-00004A010000}"/>
    <cellStyle name="Normal151" xfId="325" xr:uid="{00000000-0005-0000-0000-00004B010000}"/>
    <cellStyle name="Normal152" xfId="326" xr:uid="{00000000-0005-0000-0000-00004C010000}"/>
    <cellStyle name="Normal153" xfId="327" xr:uid="{00000000-0005-0000-0000-00004D010000}"/>
    <cellStyle name="Normal154" xfId="328" xr:uid="{00000000-0005-0000-0000-00004E010000}"/>
    <cellStyle name="Normal155" xfId="329" xr:uid="{00000000-0005-0000-0000-00004F010000}"/>
    <cellStyle name="Normal156" xfId="330" xr:uid="{00000000-0005-0000-0000-000050010000}"/>
    <cellStyle name="Normal157" xfId="331" xr:uid="{00000000-0005-0000-0000-000051010000}"/>
    <cellStyle name="Normal158" xfId="332" xr:uid="{00000000-0005-0000-0000-000052010000}"/>
    <cellStyle name="Normal159" xfId="333" xr:uid="{00000000-0005-0000-0000-000053010000}"/>
    <cellStyle name="Normal16" xfId="334" xr:uid="{00000000-0005-0000-0000-000054010000}"/>
    <cellStyle name="Normal160" xfId="335" xr:uid="{00000000-0005-0000-0000-000055010000}"/>
    <cellStyle name="Normal161" xfId="336" xr:uid="{00000000-0005-0000-0000-000056010000}"/>
    <cellStyle name="Normal162" xfId="337" xr:uid="{00000000-0005-0000-0000-000057010000}"/>
    <cellStyle name="Normal163" xfId="338" xr:uid="{00000000-0005-0000-0000-000058010000}"/>
    <cellStyle name="Normal164" xfId="339" xr:uid="{00000000-0005-0000-0000-000059010000}"/>
    <cellStyle name="Normal165" xfId="340" xr:uid="{00000000-0005-0000-0000-00005A010000}"/>
    <cellStyle name="Normal166" xfId="341" xr:uid="{00000000-0005-0000-0000-00005B010000}"/>
    <cellStyle name="Normal167" xfId="342" xr:uid="{00000000-0005-0000-0000-00005C010000}"/>
    <cellStyle name="Normal168" xfId="343" xr:uid="{00000000-0005-0000-0000-00005D010000}"/>
    <cellStyle name="Normal169" xfId="344" xr:uid="{00000000-0005-0000-0000-00005E010000}"/>
    <cellStyle name="Normal17" xfId="345" xr:uid="{00000000-0005-0000-0000-00005F010000}"/>
    <cellStyle name="Normal170" xfId="346" xr:uid="{00000000-0005-0000-0000-000060010000}"/>
    <cellStyle name="Normal171" xfId="347" xr:uid="{00000000-0005-0000-0000-000061010000}"/>
    <cellStyle name="Normal172" xfId="348" xr:uid="{00000000-0005-0000-0000-000062010000}"/>
    <cellStyle name="Normal173" xfId="349" xr:uid="{00000000-0005-0000-0000-000063010000}"/>
    <cellStyle name="Normal174" xfId="350" xr:uid="{00000000-0005-0000-0000-000064010000}"/>
    <cellStyle name="Normal175" xfId="351" xr:uid="{00000000-0005-0000-0000-000065010000}"/>
    <cellStyle name="Normal176" xfId="352" xr:uid="{00000000-0005-0000-0000-000066010000}"/>
    <cellStyle name="Normal177" xfId="353" xr:uid="{00000000-0005-0000-0000-000067010000}"/>
    <cellStyle name="Normal178" xfId="354" xr:uid="{00000000-0005-0000-0000-000068010000}"/>
    <cellStyle name="Normal179" xfId="355" xr:uid="{00000000-0005-0000-0000-000069010000}"/>
    <cellStyle name="Normal18" xfId="356" xr:uid="{00000000-0005-0000-0000-00006A010000}"/>
    <cellStyle name="Normal180" xfId="357" xr:uid="{00000000-0005-0000-0000-00006B010000}"/>
    <cellStyle name="Normal181" xfId="358" xr:uid="{00000000-0005-0000-0000-00006C010000}"/>
    <cellStyle name="Normal182" xfId="359" xr:uid="{00000000-0005-0000-0000-00006D010000}"/>
    <cellStyle name="Normal183" xfId="360" xr:uid="{00000000-0005-0000-0000-00006E010000}"/>
    <cellStyle name="Normal184" xfId="361" xr:uid="{00000000-0005-0000-0000-00006F010000}"/>
    <cellStyle name="Normal185" xfId="362" xr:uid="{00000000-0005-0000-0000-000070010000}"/>
    <cellStyle name="Normal186" xfId="363" xr:uid="{00000000-0005-0000-0000-000071010000}"/>
    <cellStyle name="Normal187" xfId="364" xr:uid="{00000000-0005-0000-0000-000072010000}"/>
    <cellStyle name="Normal188" xfId="365" xr:uid="{00000000-0005-0000-0000-000073010000}"/>
    <cellStyle name="Normal189" xfId="366" xr:uid="{00000000-0005-0000-0000-000074010000}"/>
    <cellStyle name="Normal19" xfId="367" xr:uid="{00000000-0005-0000-0000-000075010000}"/>
    <cellStyle name="Normal190" xfId="368" xr:uid="{00000000-0005-0000-0000-000076010000}"/>
    <cellStyle name="Normal191" xfId="369" xr:uid="{00000000-0005-0000-0000-000077010000}"/>
    <cellStyle name="Normal192" xfId="370" xr:uid="{00000000-0005-0000-0000-000078010000}"/>
    <cellStyle name="Normal193" xfId="371" xr:uid="{00000000-0005-0000-0000-000079010000}"/>
    <cellStyle name="Normal194" xfId="372" xr:uid="{00000000-0005-0000-0000-00007A010000}"/>
    <cellStyle name="Normal195" xfId="373" xr:uid="{00000000-0005-0000-0000-00007B010000}"/>
    <cellStyle name="Normal196" xfId="374" xr:uid="{00000000-0005-0000-0000-00007C010000}"/>
    <cellStyle name="Normal197" xfId="375" xr:uid="{00000000-0005-0000-0000-00007D010000}"/>
    <cellStyle name="Normal198" xfId="376" xr:uid="{00000000-0005-0000-0000-00007E010000}"/>
    <cellStyle name="Normal199" xfId="377" xr:uid="{00000000-0005-0000-0000-00007F010000}"/>
    <cellStyle name="Normal2" xfId="378" xr:uid="{00000000-0005-0000-0000-000080010000}"/>
    <cellStyle name="Normal20" xfId="379" xr:uid="{00000000-0005-0000-0000-000081010000}"/>
    <cellStyle name="Normal200" xfId="380" xr:uid="{00000000-0005-0000-0000-000082010000}"/>
    <cellStyle name="Normal201" xfId="381" xr:uid="{00000000-0005-0000-0000-000083010000}"/>
    <cellStyle name="Normal202" xfId="382" xr:uid="{00000000-0005-0000-0000-000084010000}"/>
    <cellStyle name="Normal203" xfId="383" xr:uid="{00000000-0005-0000-0000-000085010000}"/>
    <cellStyle name="Normal204" xfId="384" xr:uid="{00000000-0005-0000-0000-000086010000}"/>
    <cellStyle name="Normal205" xfId="385" xr:uid="{00000000-0005-0000-0000-000087010000}"/>
    <cellStyle name="Normal206" xfId="386" xr:uid="{00000000-0005-0000-0000-000088010000}"/>
    <cellStyle name="Normal207" xfId="387" xr:uid="{00000000-0005-0000-0000-000089010000}"/>
    <cellStyle name="Normal208" xfId="388" xr:uid="{00000000-0005-0000-0000-00008A010000}"/>
    <cellStyle name="Normal209" xfId="389" xr:uid="{00000000-0005-0000-0000-00008B010000}"/>
    <cellStyle name="Normal21" xfId="390" xr:uid="{00000000-0005-0000-0000-00008C010000}"/>
    <cellStyle name="Normal210" xfId="391" xr:uid="{00000000-0005-0000-0000-00008D010000}"/>
    <cellStyle name="Normal211" xfId="392" xr:uid="{00000000-0005-0000-0000-00008E010000}"/>
    <cellStyle name="Normal212" xfId="393" xr:uid="{00000000-0005-0000-0000-00008F010000}"/>
    <cellStyle name="Normal213" xfId="394" xr:uid="{00000000-0005-0000-0000-000090010000}"/>
    <cellStyle name="Normal214" xfId="395" xr:uid="{00000000-0005-0000-0000-000091010000}"/>
    <cellStyle name="Normal215" xfId="396" xr:uid="{00000000-0005-0000-0000-000092010000}"/>
    <cellStyle name="Normal216" xfId="397" xr:uid="{00000000-0005-0000-0000-000093010000}"/>
    <cellStyle name="Normal217" xfId="398" xr:uid="{00000000-0005-0000-0000-000094010000}"/>
    <cellStyle name="Normal218" xfId="399" xr:uid="{00000000-0005-0000-0000-000095010000}"/>
    <cellStyle name="Normal219" xfId="400" xr:uid="{00000000-0005-0000-0000-000096010000}"/>
    <cellStyle name="Normal22" xfId="401" xr:uid="{00000000-0005-0000-0000-000097010000}"/>
    <cellStyle name="Normal220" xfId="402" xr:uid="{00000000-0005-0000-0000-000098010000}"/>
    <cellStyle name="Normal221" xfId="403" xr:uid="{00000000-0005-0000-0000-000099010000}"/>
    <cellStyle name="Normal222" xfId="404" xr:uid="{00000000-0005-0000-0000-00009A010000}"/>
    <cellStyle name="Normal223" xfId="405" xr:uid="{00000000-0005-0000-0000-00009B010000}"/>
    <cellStyle name="Normal224" xfId="406" xr:uid="{00000000-0005-0000-0000-00009C010000}"/>
    <cellStyle name="Normal225" xfId="407" xr:uid="{00000000-0005-0000-0000-00009D010000}"/>
    <cellStyle name="Normal226" xfId="408" xr:uid="{00000000-0005-0000-0000-00009E010000}"/>
    <cellStyle name="Normal227" xfId="409" xr:uid="{00000000-0005-0000-0000-00009F010000}"/>
    <cellStyle name="Normal228" xfId="410" xr:uid="{00000000-0005-0000-0000-0000A0010000}"/>
    <cellStyle name="Normal229" xfId="411" xr:uid="{00000000-0005-0000-0000-0000A1010000}"/>
    <cellStyle name="Normal23" xfId="412" xr:uid="{00000000-0005-0000-0000-0000A2010000}"/>
    <cellStyle name="Normal230" xfId="413" xr:uid="{00000000-0005-0000-0000-0000A3010000}"/>
    <cellStyle name="Normal231" xfId="414" xr:uid="{00000000-0005-0000-0000-0000A4010000}"/>
    <cellStyle name="Normal232" xfId="415" xr:uid="{00000000-0005-0000-0000-0000A5010000}"/>
    <cellStyle name="Normal233" xfId="416" xr:uid="{00000000-0005-0000-0000-0000A6010000}"/>
    <cellStyle name="Normal234" xfId="417" xr:uid="{00000000-0005-0000-0000-0000A7010000}"/>
    <cellStyle name="Normal235" xfId="418" xr:uid="{00000000-0005-0000-0000-0000A8010000}"/>
    <cellStyle name="Normal236" xfId="419" xr:uid="{00000000-0005-0000-0000-0000A9010000}"/>
    <cellStyle name="Normal237" xfId="420" xr:uid="{00000000-0005-0000-0000-0000AA010000}"/>
    <cellStyle name="Normal238" xfId="421" xr:uid="{00000000-0005-0000-0000-0000AB010000}"/>
    <cellStyle name="Normal239" xfId="422" xr:uid="{00000000-0005-0000-0000-0000AC010000}"/>
    <cellStyle name="Normal24" xfId="423" xr:uid="{00000000-0005-0000-0000-0000AD010000}"/>
    <cellStyle name="Normal240" xfId="424" xr:uid="{00000000-0005-0000-0000-0000AE010000}"/>
    <cellStyle name="Normal241" xfId="425" xr:uid="{00000000-0005-0000-0000-0000AF010000}"/>
    <cellStyle name="Normal242" xfId="426" xr:uid="{00000000-0005-0000-0000-0000B0010000}"/>
    <cellStyle name="Normal243" xfId="427" xr:uid="{00000000-0005-0000-0000-0000B1010000}"/>
    <cellStyle name="Normal244" xfId="428" xr:uid="{00000000-0005-0000-0000-0000B2010000}"/>
    <cellStyle name="Normal245" xfId="429" xr:uid="{00000000-0005-0000-0000-0000B3010000}"/>
    <cellStyle name="Normal246" xfId="430" xr:uid="{00000000-0005-0000-0000-0000B4010000}"/>
    <cellStyle name="Normal247" xfId="431" xr:uid="{00000000-0005-0000-0000-0000B5010000}"/>
    <cellStyle name="Normal248" xfId="432" xr:uid="{00000000-0005-0000-0000-0000B6010000}"/>
    <cellStyle name="Normal249" xfId="433" xr:uid="{00000000-0005-0000-0000-0000B7010000}"/>
    <cellStyle name="Normal25" xfId="434" xr:uid="{00000000-0005-0000-0000-0000B8010000}"/>
    <cellStyle name="Normal250" xfId="435" xr:uid="{00000000-0005-0000-0000-0000B9010000}"/>
    <cellStyle name="Normal251" xfId="436" xr:uid="{00000000-0005-0000-0000-0000BA010000}"/>
    <cellStyle name="Normal252" xfId="437" xr:uid="{00000000-0005-0000-0000-0000BB010000}"/>
    <cellStyle name="Normal253" xfId="438" xr:uid="{00000000-0005-0000-0000-0000BC010000}"/>
    <cellStyle name="Normal26" xfId="439" xr:uid="{00000000-0005-0000-0000-0000BD010000}"/>
    <cellStyle name="Normal27" xfId="440" xr:uid="{00000000-0005-0000-0000-0000BE010000}"/>
    <cellStyle name="Normal28" xfId="441" xr:uid="{00000000-0005-0000-0000-0000BF010000}"/>
    <cellStyle name="Normal29" xfId="442" xr:uid="{00000000-0005-0000-0000-0000C0010000}"/>
    <cellStyle name="Normal3" xfId="443" xr:uid="{00000000-0005-0000-0000-0000C1010000}"/>
    <cellStyle name="Normal30" xfId="444" xr:uid="{00000000-0005-0000-0000-0000C2010000}"/>
    <cellStyle name="Normal31" xfId="445" xr:uid="{00000000-0005-0000-0000-0000C3010000}"/>
    <cellStyle name="Normal32" xfId="446" xr:uid="{00000000-0005-0000-0000-0000C4010000}"/>
    <cellStyle name="Normal33" xfId="447" xr:uid="{00000000-0005-0000-0000-0000C5010000}"/>
    <cellStyle name="Normal34" xfId="448" xr:uid="{00000000-0005-0000-0000-0000C6010000}"/>
    <cellStyle name="Normal35" xfId="449" xr:uid="{00000000-0005-0000-0000-0000C7010000}"/>
    <cellStyle name="Normal36" xfId="450" xr:uid="{00000000-0005-0000-0000-0000C8010000}"/>
    <cellStyle name="Normal37" xfId="451" xr:uid="{00000000-0005-0000-0000-0000C9010000}"/>
    <cellStyle name="Normal38" xfId="452" xr:uid="{00000000-0005-0000-0000-0000CA010000}"/>
    <cellStyle name="Normal39" xfId="453" xr:uid="{00000000-0005-0000-0000-0000CB010000}"/>
    <cellStyle name="Normal4" xfId="454" xr:uid="{00000000-0005-0000-0000-0000CC010000}"/>
    <cellStyle name="Normal40" xfId="455" xr:uid="{00000000-0005-0000-0000-0000CD010000}"/>
    <cellStyle name="Normal41" xfId="456" xr:uid="{00000000-0005-0000-0000-0000CE010000}"/>
    <cellStyle name="Normal42" xfId="457" xr:uid="{00000000-0005-0000-0000-0000CF010000}"/>
    <cellStyle name="Normal43" xfId="458" xr:uid="{00000000-0005-0000-0000-0000D0010000}"/>
    <cellStyle name="Normal44" xfId="459" xr:uid="{00000000-0005-0000-0000-0000D1010000}"/>
    <cellStyle name="Normal45" xfId="460" xr:uid="{00000000-0005-0000-0000-0000D2010000}"/>
    <cellStyle name="Normal46" xfId="461" xr:uid="{00000000-0005-0000-0000-0000D3010000}"/>
    <cellStyle name="Normal47" xfId="462" xr:uid="{00000000-0005-0000-0000-0000D4010000}"/>
    <cellStyle name="Normal48" xfId="463" xr:uid="{00000000-0005-0000-0000-0000D5010000}"/>
    <cellStyle name="Normal49" xfId="464" xr:uid="{00000000-0005-0000-0000-0000D6010000}"/>
    <cellStyle name="Normal5" xfId="465" xr:uid="{00000000-0005-0000-0000-0000D7010000}"/>
    <cellStyle name="Normal50" xfId="466" xr:uid="{00000000-0005-0000-0000-0000D8010000}"/>
    <cellStyle name="Normal51" xfId="467" xr:uid="{00000000-0005-0000-0000-0000D9010000}"/>
    <cellStyle name="Normal52" xfId="468" xr:uid="{00000000-0005-0000-0000-0000DA010000}"/>
    <cellStyle name="Normal53" xfId="469" xr:uid="{00000000-0005-0000-0000-0000DB010000}"/>
    <cellStyle name="Normal54" xfId="470" xr:uid="{00000000-0005-0000-0000-0000DC010000}"/>
    <cellStyle name="Normal55" xfId="471" xr:uid="{00000000-0005-0000-0000-0000DD010000}"/>
    <cellStyle name="Normal56" xfId="472" xr:uid="{00000000-0005-0000-0000-0000DE010000}"/>
    <cellStyle name="Normal57" xfId="473" xr:uid="{00000000-0005-0000-0000-0000DF010000}"/>
    <cellStyle name="Normal58" xfId="474" xr:uid="{00000000-0005-0000-0000-0000E0010000}"/>
    <cellStyle name="Normal59" xfId="475" xr:uid="{00000000-0005-0000-0000-0000E1010000}"/>
    <cellStyle name="Normal6" xfId="476" xr:uid="{00000000-0005-0000-0000-0000E2010000}"/>
    <cellStyle name="Normal60" xfId="477" xr:uid="{00000000-0005-0000-0000-0000E3010000}"/>
    <cellStyle name="Normal61" xfId="478" xr:uid="{00000000-0005-0000-0000-0000E4010000}"/>
    <cellStyle name="Normal62" xfId="479" xr:uid="{00000000-0005-0000-0000-0000E5010000}"/>
    <cellStyle name="Normal63" xfId="480" xr:uid="{00000000-0005-0000-0000-0000E6010000}"/>
    <cellStyle name="Normal64" xfId="481" xr:uid="{00000000-0005-0000-0000-0000E7010000}"/>
    <cellStyle name="Normal65" xfId="482" xr:uid="{00000000-0005-0000-0000-0000E8010000}"/>
    <cellStyle name="Normal66" xfId="483" xr:uid="{00000000-0005-0000-0000-0000E9010000}"/>
    <cellStyle name="Normal67" xfId="484" xr:uid="{00000000-0005-0000-0000-0000EA010000}"/>
    <cellStyle name="Normal68" xfId="485" xr:uid="{00000000-0005-0000-0000-0000EB010000}"/>
    <cellStyle name="Normal69" xfId="486" xr:uid="{00000000-0005-0000-0000-0000EC010000}"/>
    <cellStyle name="Normal7" xfId="487" xr:uid="{00000000-0005-0000-0000-0000ED010000}"/>
    <cellStyle name="Normal70" xfId="488" xr:uid="{00000000-0005-0000-0000-0000EE010000}"/>
    <cellStyle name="Normal71" xfId="489" xr:uid="{00000000-0005-0000-0000-0000EF010000}"/>
    <cellStyle name="Normal72" xfId="490" xr:uid="{00000000-0005-0000-0000-0000F0010000}"/>
    <cellStyle name="Normal73" xfId="491" xr:uid="{00000000-0005-0000-0000-0000F1010000}"/>
    <cellStyle name="Normal74" xfId="492" xr:uid="{00000000-0005-0000-0000-0000F2010000}"/>
    <cellStyle name="Normal75" xfId="493" xr:uid="{00000000-0005-0000-0000-0000F3010000}"/>
    <cellStyle name="Normal76" xfId="494" xr:uid="{00000000-0005-0000-0000-0000F4010000}"/>
    <cellStyle name="Normal77" xfId="495" xr:uid="{00000000-0005-0000-0000-0000F5010000}"/>
    <cellStyle name="Normal78" xfId="496" xr:uid="{00000000-0005-0000-0000-0000F6010000}"/>
    <cellStyle name="Normal79" xfId="497" xr:uid="{00000000-0005-0000-0000-0000F7010000}"/>
    <cellStyle name="Normal8" xfId="498" xr:uid="{00000000-0005-0000-0000-0000F8010000}"/>
    <cellStyle name="Normal80" xfId="499" xr:uid="{00000000-0005-0000-0000-0000F9010000}"/>
    <cellStyle name="Normal81" xfId="500" xr:uid="{00000000-0005-0000-0000-0000FA010000}"/>
    <cellStyle name="Normal82" xfId="501" xr:uid="{00000000-0005-0000-0000-0000FB010000}"/>
    <cellStyle name="Normal83" xfId="502" xr:uid="{00000000-0005-0000-0000-0000FC010000}"/>
    <cellStyle name="Normal84" xfId="503" xr:uid="{00000000-0005-0000-0000-0000FD010000}"/>
    <cellStyle name="Normal85" xfId="504" xr:uid="{00000000-0005-0000-0000-0000FE010000}"/>
    <cellStyle name="Normal86" xfId="505" xr:uid="{00000000-0005-0000-0000-0000FF010000}"/>
    <cellStyle name="Normal87" xfId="506" xr:uid="{00000000-0005-0000-0000-000000020000}"/>
    <cellStyle name="Normal88" xfId="507" xr:uid="{00000000-0005-0000-0000-000001020000}"/>
    <cellStyle name="Normal89" xfId="508" xr:uid="{00000000-0005-0000-0000-000002020000}"/>
    <cellStyle name="Normal9" xfId="509" xr:uid="{00000000-0005-0000-0000-000003020000}"/>
    <cellStyle name="Normal90" xfId="510" xr:uid="{00000000-0005-0000-0000-000004020000}"/>
    <cellStyle name="Normal91" xfId="511" xr:uid="{00000000-0005-0000-0000-000005020000}"/>
    <cellStyle name="Normal92" xfId="512" xr:uid="{00000000-0005-0000-0000-000006020000}"/>
    <cellStyle name="Normal93" xfId="513" xr:uid="{00000000-0005-0000-0000-000007020000}"/>
    <cellStyle name="Normal94" xfId="514" xr:uid="{00000000-0005-0000-0000-000008020000}"/>
    <cellStyle name="Normal95" xfId="515" xr:uid="{00000000-0005-0000-0000-000009020000}"/>
    <cellStyle name="Normal96" xfId="516" xr:uid="{00000000-0005-0000-0000-00000A020000}"/>
    <cellStyle name="Normal97" xfId="517" xr:uid="{00000000-0005-0000-0000-00000B020000}"/>
    <cellStyle name="Normal98" xfId="518" xr:uid="{00000000-0005-0000-0000-00000C020000}"/>
    <cellStyle name="Normal99" xfId="519" xr:uid="{00000000-0005-0000-0000-00000D020000}"/>
    <cellStyle name="NotDeclared_1" xfId="520" xr:uid="{00000000-0005-0000-0000-00000E020000}"/>
    <cellStyle name="Numbers" xfId="521" xr:uid="{00000000-0005-0000-0000-00000F020000}"/>
    <cellStyle name="Numbers - Bold" xfId="522" xr:uid="{00000000-0005-0000-0000-000010020000}"/>
    <cellStyle name="Numbers - Bold - Italic" xfId="523" xr:uid="{00000000-0005-0000-0000-000011020000}"/>
    <cellStyle name="Numbers - Bold_6079BX" xfId="524" xr:uid="{00000000-0005-0000-0000-000012020000}"/>
    <cellStyle name="Numbers - Large" xfId="525" xr:uid="{00000000-0005-0000-0000-000013020000}"/>
    <cellStyle name="Numbers_6079BX" xfId="526" xr:uid="{00000000-0005-0000-0000-000014020000}"/>
    <cellStyle name="OSW_RowLabels" xfId="527" xr:uid="{00000000-0005-0000-0000-000015020000}"/>
    <cellStyle name="Outline" xfId="528" xr:uid="{00000000-0005-0000-0000-000016020000}"/>
    <cellStyle name="Output Amounts" xfId="529" xr:uid="{00000000-0005-0000-0000-000017020000}"/>
    <cellStyle name="Output Column Headings" xfId="530" xr:uid="{00000000-0005-0000-0000-000018020000}"/>
    <cellStyle name="Output Line Items" xfId="531" xr:uid="{00000000-0005-0000-0000-000019020000}"/>
    <cellStyle name="Output Report Heading" xfId="532" xr:uid="{00000000-0005-0000-0000-00001A020000}"/>
    <cellStyle name="Page" xfId="533" xr:uid="{00000000-0005-0000-0000-00001B020000}"/>
    <cellStyle name="PB Table Heading" xfId="534" xr:uid="{00000000-0005-0000-0000-00001C020000}"/>
    <cellStyle name="PB Table Highlight1" xfId="535" xr:uid="{00000000-0005-0000-0000-00001D020000}"/>
    <cellStyle name="PB Table Highlight2" xfId="536" xr:uid="{00000000-0005-0000-0000-00001E020000}"/>
    <cellStyle name="PB Table Highlight3" xfId="537" xr:uid="{00000000-0005-0000-0000-00001F020000}"/>
    <cellStyle name="PB Table Standard Row" xfId="538" xr:uid="{00000000-0005-0000-0000-000020020000}"/>
    <cellStyle name="PB Table Subtotal Row" xfId="539" xr:uid="{00000000-0005-0000-0000-000021020000}"/>
    <cellStyle name="PB Table Total Row" xfId="540" xr:uid="{00000000-0005-0000-0000-000022020000}"/>
    <cellStyle name="per.style" xfId="541" xr:uid="{00000000-0005-0000-0000-000023020000}"/>
    <cellStyle name="Percent" xfId="901" builtinId="5"/>
    <cellStyle name="Percent [0]" xfId="542" xr:uid="{00000000-0005-0000-0000-000024020000}"/>
    <cellStyle name="Percent [00]" xfId="543" xr:uid="{00000000-0005-0000-0000-000025020000}"/>
    <cellStyle name="Percent [1]" xfId="544" xr:uid="{00000000-0005-0000-0000-000026020000}"/>
    <cellStyle name="Percent [1][]" xfId="545" xr:uid="{00000000-0005-0000-0000-000027020000}"/>
    <cellStyle name="Percent [1]_New MA Public Comps and WACC Model" xfId="546" xr:uid="{00000000-0005-0000-0000-000028020000}"/>
    <cellStyle name="Percent [2]" xfId="547" xr:uid="{00000000-0005-0000-0000-000029020000}"/>
    <cellStyle name="Percent 2" xfId="897" xr:uid="{00000000-0005-0000-0000-00002A020000}"/>
    <cellStyle name="Percent Comma" xfId="548" xr:uid="{00000000-0005-0000-0000-00002B020000}"/>
    <cellStyle name="Percent1" xfId="549" xr:uid="{00000000-0005-0000-0000-00002C020000}"/>
    <cellStyle name="Percent10" xfId="550" xr:uid="{00000000-0005-0000-0000-00002D020000}"/>
    <cellStyle name="Percent100" xfId="551" xr:uid="{00000000-0005-0000-0000-00002E020000}"/>
    <cellStyle name="Percent101" xfId="552" xr:uid="{00000000-0005-0000-0000-00002F020000}"/>
    <cellStyle name="Percent102" xfId="553" xr:uid="{00000000-0005-0000-0000-000030020000}"/>
    <cellStyle name="Percent103" xfId="554" xr:uid="{00000000-0005-0000-0000-000031020000}"/>
    <cellStyle name="Percent104" xfId="555" xr:uid="{00000000-0005-0000-0000-000032020000}"/>
    <cellStyle name="Percent105" xfId="556" xr:uid="{00000000-0005-0000-0000-000033020000}"/>
    <cellStyle name="Percent106" xfId="557" xr:uid="{00000000-0005-0000-0000-000034020000}"/>
    <cellStyle name="Percent107" xfId="558" xr:uid="{00000000-0005-0000-0000-000035020000}"/>
    <cellStyle name="Percent108" xfId="559" xr:uid="{00000000-0005-0000-0000-000036020000}"/>
    <cellStyle name="Percent109" xfId="560" xr:uid="{00000000-0005-0000-0000-000037020000}"/>
    <cellStyle name="Percent11" xfId="561" xr:uid="{00000000-0005-0000-0000-000038020000}"/>
    <cellStyle name="Percent110" xfId="562" xr:uid="{00000000-0005-0000-0000-000039020000}"/>
    <cellStyle name="Percent111" xfId="563" xr:uid="{00000000-0005-0000-0000-00003A020000}"/>
    <cellStyle name="Percent112" xfId="564" xr:uid="{00000000-0005-0000-0000-00003B020000}"/>
    <cellStyle name="Percent113" xfId="565" xr:uid="{00000000-0005-0000-0000-00003C020000}"/>
    <cellStyle name="Percent114" xfId="566" xr:uid="{00000000-0005-0000-0000-00003D020000}"/>
    <cellStyle name="Percent115" xfId="567" xr:uid="{00000000-0005-0000-0000-00003E020000}"/>
    <cellStyle name="Percent116" xfId="568" xr:uid="{00000000-0005-0000-0000-00003F020000}"/>
    <cellStyle name="Percent117" xfId="569" xr:uid="{00000000-0005-0000-0000-000040020000}"/>
    <cellStyle name="Percent118" xfId="570" xr:uid="{00000000-0005-0000-0000-000041020000}"/>
    <cellStyle name="Percent119" xfId="571" xr:uid="{00000000-0005-0000-0000-000042020000}"/>
    <cellStyle name="Percent12" xfId="572" xr:uid="{00000000-0005-0000-0000-000043020000}"/>
    <cellStyle name="Percent120" xfId="573" xr:uid="{00000000-0005-0000-0000-000044020000}"/>
    <cellStyle name="Percent121" xfId="574" xr:uid="{00000000-0005-0000-0000-000045020000}"/>
    <cellStyle name="Percent122" xfId="575" xr:uid="{00000000-0005-0000-0000-000046020000}"/>
    <cellStyle name="Percent123" xfId="576" xr:uid="{00000000-0005-0000-0000-000047020000}"/>
    <cellStyle name="Percent124" xfId="577" xr:uid="{00000000-0005-0000-0000-000048020000}"/>
    <cellStyle name="Percent125" xfId="578" xr:uid="{00000000-0005-0000-0000-000049020000}"/>
    <cellStyle name="Percent126" xfId="579" xr:uid="{00000000-0005-0000-0000-00004A020000}"/>
    <cellStyle name="Percent127" xfId="580" xr:uid="{00000000-0005-0000-0000-00004B020000}"/>
    <cellStyle name="Percent128" xfId="581" xr:uid="{00000000-0005-0000-0000-00004C020000}"/>
    <cellStyle name="Percent129" xfId="582" xr:uid="{00000000-0005-0000-0000-00004D020000}"/>
    <cellStyle name="Percent13" xfId="583" xr:uid="{00000000-0005-0000-0000-00004E020000}"/>
    <cellStyle name="Percent130" xfId="584" xr:uid="{00000000-0005-0000-0000-00004F020000}"/>
    <cellStyle name="Percent131" xfId="585" xr:uid="{00000000-0005-0000-0000-000050020000}"/>
    <cellStyle name="Percent132" xfId="586" xr:uid="{00000000-0005-0000-0000-000051020000}"/>
    <cellStyle name="Percent133" xfId="587" xr:uid="{00000000-0005-0000-0000-000052020000}"/>
    <cellStyle name="Percent134" xfId="588" xr:uid="{00000000-0005-0000-0000-000053020000}"/>
    <cellStyle name="Percent135" xfId="589" xr:uid="{00000000-0005-0000-0000-000054020000}"/>
    <cellStyle name="Percent136" xfId="590" xr:uid="{00000000-0005-0000-0000-000055020000}"/>
    <cellStyle name="Percent137" xfId="591" xr:uid="{00000000-0005-0000-0000-000056020000}"/>
    <cellStyle name="Percent138" xfId="592" xr:uid="{00000000-0005-0000-0000-000057020000}"/>
    <cellStyle name="Percent139" xfId="593" xr:uid="{00000000-0005-0000-0000-000058020000}"/>
    <cellStyle name="Percent14" xfId="594" xr:uid="{00000000-0005-0000-0000-000059020000}"/>
    <cellStyle name="Percent140" xfId="595" xr:uid="{00000000-0005-0000-0000-00005A020000}"/>
    <cellStyle name="Percent141" xfId="596" xr:uid="{00000000-0005-0000-0000-00005B020000}"/>
    <cellStyle name="Percent142" xfId="597" xr:uid="{00000000-0005-0000-0000-00005C020000}"/>
    <cellStyle name="Percent143" xfId="598" xr:uid="{00000000-0005-0000-0000-00005D020000}"/>
    <cellStyle name="Percent144" xfId="599" xr:uid="{00000000-0005-0000-0000-00005E020000}"/>
    <cellStyle name="Percent145" xfId="600" xr:uid="{00000000-0005-0000-0000-00005F020000}"/>
    <cellStyle name="Percent146" xfId="601" xr:uid="{00000000-0005-0000-0000-000060020000}"/>
    <cellStyle name="Percent147" xfId="602" xr:uid="{00000000-0005-0000-0000-000061020000}"/>
    <cellStyle name="Percent148" xfId="603" xr:uid="{00000000-0005-0000-0000-000062020000}"/>
    <cellStyle name="Percent149" xfId="604" xr:uid="{00000000-0005-0000-0000-000063020000}"/>
    <cellStyle name="Percent15" xfId="605" xr:uid="{00000000-0005-0000-0000-000064020000}"/>
    <cellStyle name="Percent150" xfId="606" xr:uid="{00000000-0005-0000-0000-000065020000}"/>
    <cellStyle name="Percent151" xfId="607" xr:uid="{00000000-0005-0000-0000-000066020000}"/>
    <cellStyle name="Percent152" xfId="608" xr:uid="{00000000-0005-0000-0000-000067020000}"/>
    <cellStyle name="Percent153" xfId="609" xr:uid="{00000000-0005-0000-0000-000068020000}"/>
    <cellStyle name="Percent154" xfId="610" xr:uid="{00000000-0005-0000-0000-000069020000}"/>
    <cellStyle name="Percent155" xfId="611" xr:uid="{00000000-0005-0000-0000-00006A020000}"/>
    <cellStyle name="Percent156" xfId="612" xr:uid="{00000000-0005-0000-0000-00006B020000}"/>
    <cellStyle name="Percent157" xfId="613" xr:uid="{00000000-0005-0000-0000-00006C020000}"/>
    <cellStyle name="Percent158" xfId="614" xr:uid="{00000000-0005-0000-0000-00006D020000}"/>
    <cellStyle name="Percent159" xfId="615" xr:uid="{00000000-0005-0000-0000-00006E020000}"/>
    <cellStyle name="Percent16" xfId="616" xr:uid="{00000000-0005-0000-0000-00006F020000}"/>
    <cellStyle name="Percent160" xfId="617" xr:uid="{00000000-0005-0000-0000-000070020000}"/>
    <cellStyle name="Percent161" xfId="618" xr:uid="{00000000-0005-0000-0000-000071020000}"/>
    <cellStyle name="Percent162" xfId="619" xr:uid="{00000000-0005-0000-0000-000072020000}"/>
    <cellStyle name="Percent163" xfId="620" xr:uid="{00000000-0005-0000-0000-000073020000}"/>
    <cellStyle name="Percent164" xfId="621" xr:uid="{00000000-0005-0000-0000-000074020000}"/>
    <cellStyle name="Percent165" xfId="622" xr:uid="{00000000-0005-0000-0000-000075020000}"/>
    <cellStyle name="Percent166" xfId="623" xr:uid="{00000000-0005-0000-0000-000076020000}"/>
    <cellStyle name="Percent167" xfId="624" xr:uid="{00000000-0005-0000-0000-000077020000}"/>
    <cellStyle name="Percent168" xfId="625" xr:uid="{00000000-0005-0000-0000-000078020000}"/>
    <cellStyle name="Percent169" xfId="626" xr:uid="{00000000-0005-0000-0000-000079020000}"/>
    <cellStyle name="Percent17" xfId="627" xr:uid="{00000000-0005-0000-0000-00007A020000}"/>
    <cellStyle name="Percent170" xfId="628" xr:uid="{00000000-0005-0000-0000-00007B020000}"/>
    <cellStyle name="Percent171" xfId="629" xr:uid="{00000000-0005-0000-0000-00007C020000}"/>
    <cellStyle name="Percent172" xfId="630" xr:uid="{00000000-0005-0000-0000-00007D020000}"/>
    <cellStyle name="Percent173" xfId="631" xr:uid="{00000000-0005-0000-0000-00007E020000}"/>
    <cellStyle name="Percent174" xfId="632" xr:uid="{00000000-0005-0000-0000-00007F020000}"/>
    <cellStyle name="Percent175" xfId="633" xr:uid="{00000000-0005-0000-0000-000080020000}"/>
    <cellStyle name="Percent176" xfId="634" xr:uid="{00000000-0005-0000-0000-000081020000}"/>
    <cellStyle name="Percent177" xfId="635" xr:uid="{00000000-0005-0000-0000-000082020000}"/>
    <cellStyle name="Percent178" xfId="636" xr:uid="{00000000-0005-0000-0000-000083020000}"/>
    <cellStyle name="Percent179" xfId="637" xr:uid="{00000000-0005-0000-0000-000084020000}"/>
    <cellStyle name="Percent18" xfId="638" xr:uid="{00000000-0005-0000-0000-000085020000}"/>
    <cellStyle name="Percent180" xfId="639" xr:uid="{00000000-0005-0000-0000-000086020000}"/>
    <cellStyle name="Percent181" xfId="640" xr:uid="{00000000-0005-0000-0000-000087020000}"/>
    <cellStyle name="Percent182" xfId="641" xr:uid="{00000000-0005-0000-0000-000088020000}"/>
    <cellStyle name="Percent183" xfId="642" xr:uid="{00000000-0005-0000-0000-000089020000}"/>
    <cellStyle name="Percent184" xfId="643" xr:uid="{00000000-0005-0000-0000-00008A020000}"/>
    <cellStyle name="Percent185" xfId="644" xr:uid="{00000000-0005-0000-0000-00008B020000}"/>
    <cellStyle name="Percent186" xfId="645" xr:uid="{00000000-0005-0000-0000-00008C020000}"/>
    <cellStyle name="Percent187" xfId="646" xr:uid="{00000000-0005-0000-0000-00008D020000}"/>
    <cellStyle name="Percent188" xfId="647" xr:uid="{00000000-0005-0000-0000-00008E020000}"/>
    <cellStyle name="Percent189" xfId="648" xr:uid="{00000000-0005-0000-0000-00008F020000}"/>
    <cellStyle name="Percent19" xfId="649" xr:uid="{00000000-0005-0000-0000-000090020000}"/>
    <cellStyle name="Percent190" xfId="650" xr:uid="{00000000-0005-0000-0000-000091020000}"/>
    <cellStyle name="Percent191" xfId="651" xr:uid="{00000000-0005-0000-0000-000092020000}"/>
    <cellStyle name="Percent192" xfId="652" xr:uid="{00000000-0005-0000-0000-000093020000}"/>
    <cellStyle name="Percent193" xfId="653" xr:uid="{00000000-0005-0000-0000-000094020000}"/>
    <cellStyle name="Percent194" xfId="654" xr:uid="{00000000-0005-0000-0000-000095020000}"/>
    <cellStyle name="Percent195" xfId="655" xr:uid="{00000000-0005-0000-0000-000096020000}"/>
    <cellStyle name="Percent196" xfId="656" xr:uid="{00000000-0005-0000-0000-000097020000}"/>
    <cellStyle name="Percent197" xfId="657" xr:uid="{00000000-0005-0000-0000-000098020000}"/>
    <cellStyle name="Percent198" xfId="658" xr:uid="{00000000-0005-0000-0000-000099020000}"/>
    <cellStyle name="Percent199" xfId="659" xr:uid="{00000000-0005-0000-0000-00009A020000}"/>
    <cellStyle name="Percent1Bold" xfId="660" xr:uid="{00000000-0005-0000-0000-00009B020000}"/>
    <cellStyle name="Percent2" xfId="661" xr:uid="{00000000-0005-0000-0000-00009C020000}"/>
    <cellStyle name="Percent20" xfId="662" xr:uid="{00000000-0005-0000-0000-00009D020000}"/>
    <cellStyle name="Percent200" xfId="663" xr:uid="{00000000-0005-0000-0000-00009E020000}"/>
    <cellStyle name="Percent201" xfId="664" xr:uid="{00000000-0005-0000-0000-00009F020000}"/>
    <cellStyle name="Percent202" xfId="665" xr:uid="{00000000-0005-0000-0000-0000A0020000}"/>
    <cellStyle name="Percent203" xfId="666" xr:uid="{00000000-0005-0000-0000-0000A1020000}"/>
    <cellStyle name="Percent204" xfId="667" xr:uid="{00000000-0005-0000-0000-0000A2020000}"/>
    <cellStyle name="Percent205" xfId="668" xr:uid="{00000000-0005-0000-0000-0000A3020000}"/>
    <cellStyle name="Percent206" xfId="669" xr:uid="{00000000-0005-0000-0000-0000A4020000}"/>
    <cellStyle name="Percent207" xfId="670" xr:uid="{00000000-0005-0000-0000-0000A5020000}"/>
    <cellStyle name="Percent208" xfId="671" xr:uid="{00000000-0005-0000-0000-0000A6020000}"/>
    <cellStyle name="Percent209" xfId="672" xr:uid="{00000000-0005-0000-0000-0000A7020000}"/>
    <cellStyle name="Percent21" xfId="673" xr:uid="{00000000-0005-0000-0000-0000A8020000}"/>
    <cellStyle name="Percent210" xfId="674" xr:uid="{00000000-0005-0000-0000-0000A9020000}"/>
    <cellStyle name="Percent211" xfId="675" xr:uid="{00000000-0005-0000-0000-0000AA020000}"/>
    <cellStyle name="Percent212" xfId="676" xr:uid="{00000000-0005-0000-0000-0000AB020000}"/>
    <cellStyle name="Percent213" xfId="677" xr:uid="{00000000-0005-0000-0000-0000AC020000}"/>
    <cellStyle name="Percent214" xfId="678" xr:uid="{00000000-0005-0000-0000-0000AD020000}"/>
    <cellStyle name="Percent215" xfId="679" xr:uid="{00000000-0005-0000-0000-0000AE020000}"/>
    <cellStyle name="Percent216" xfId="680" xr:uid="{00000000-0005-0000-0000-0000AF020000}"/>
    <cellStyle name="Percent217" xfId="681" xr:uid="{00000000-0005-0000-0000-0000B0020000}"/>
    <cellStyle name="Percent218" xfId="682" xr:uid="{00000000-0005-0000-0000-0000B1020000}"/>
    <cellStyle name="Percent219" xfId="683" xr:uid="{00000000-0005-0000-0000-0000B2020000}"/>
    <cellStyle name="Percent22" xfId="684" xr:uid="{00000000-0005-0000-0000-0000B3020000}"/>
    <cellStyle name="Percent220" xfId="685" xr:uid="{00000000-0005-0000-0000-0000B4020000}"/>
    <cellStyle name="Percent221" xfId="686" xr:uid="{00000000-0005-0000-0000-0000B5020000}"/>
    <cellStyle name="Percent222" xfId="687" xr:uid="{00000000-0005-0000-0000-0000B6020000}"/>
    <cellStyle name="Percent223" xfId="688" xr:uid="{00000000-0005-0000-0000-0000B7020000}"/>
    <cellStyle name="Percent224" xfId="689" xr:uid="{00000000-0005-0000-0000-0000B8020000}"/>
    <cellStyle name="Percent225" xfId="690" xr:uid="{00000000-0005-0000-0000-0000B9020000}"/>
    <cellStyle name="Percent226" xfId="691" xr:uid="{00000000-0005-0000-0000-0000BA020000}"/>
    <cellStyle name="Percent227" xfId="692" xr:uid="{00000000-0005-0000-0000-0000BB020000}"/>
    <cellStyle name="Percent228" xfId="693" xr:uid="{00000000-0005-0000-0000-0000BC020000}"/>
    <cellStyle name="Percent229" xfId="694" xr:uid="{00000000-0005-0000-0000-0000BD020000}"/>
    <cellStyle name="Percent23" xfId="695" xr:uid="{00000000-0005-0000-0000-0000BE020000}"/>
    <cellStyle name="Percent230" xfId="696" xr:uid="{00000000-0005-0000-0000-0000BF020000}"/>
    <cellStyle name="Percent231" xfId="697" xr:uid="{00000000-0005-0000-0000-0000C0020000}"/>
    <cellStyle name="Percent232" xfId="698" xr:uid="{00000000-0005-0000-0000-0000C1020000}"/>
    <cellStyle name="Percent233" xfId="699" xr:uid="{00000000-0005-0000-0000-0000C2020000}"/>
    <cellStyle name="Percent234" xfId="700" xr:uid="{00000000-0005-0000-0000-0000C3020000}"/>
    <cellStyle name="Percent235" xfId="701" xr:uid="{00000000-0005-0000-0000-0000C4020000}"/>
    <cellStyle name="Percent236" xfId="702" xr:uid="{00000000-0005-0000-0000-0000C5020000}"/>
    <cellStyle name="Percent24" xfId="703" xr:uid="{00000000-0005-0000-0000-0000C6020000}"/>
    <cellStyle name="Percent25" xfId="704" xr:uid="{00000000-0005-0000-0000-0000C7020000}"/>
    <cellStyle name="Percent26" xfId="705" xr:uid="{00000000-0005-0000-0000-0000C8020000}"/>
    <cellStyle name="Percent27" xfId="706" xr:uid="{00000000-0005-0000-0000-0000C9020000}"/>
    <cellStyle name="Percent28" xfId="707" xr:uid="{00000000-0005-0000-0000-0000CA020000}"/>
    <cellStyle name="Percent29" xfId="708" xr:uid="{00000000-0005-0000-0000-0000CB020000}"/>
    <cellStyle name="Percent3" xfId="709" xr:uid="{00000000-0005-0000-0000-0000CC020000}"/>
    <cellStyle name="Percent30" xfId="710" xr:uid="{00000000-0005-0000-0000-0000CD020000}"/>
    <cellStyle name="Percent31" xfId="711" xr:uid="{00000000-0005-0000-0000-0000CE020000}"/>
    <cellStyle name="Percent32" xfId="712" xr:uid="{00000000-0005-0000-0000-0000CF020000}"/>
    <cellStyle name="Percent33" xfId="713" xr:uid="{00000000-0005-0000-0000-0000D0020000}"/>
    <cellStyle name="Percent34" xfId="714" xr:uid="{00000000-0005-0000-0000-0000D1020000}"/>
    <cellStyle name="Percent35" xfId="715" xr:uid="{00000000-0005-0000-0000-0000D2020000}"/>
    <cellStyle name="Percent36" xfId="716" xr:uid="{00000000-0005-0000-0000-0000D3020000}"/>
    <cellStyle name="Percent37" xfId="717" xr:uid="{00000000-0005-0000-0000-0000D4020000}"/>
    <cellStyle name="Percent38" xfId="718" xr:uid="{00000000-0005-0000-0000-0000D5020000}"/>
    <cellStyle name="Percent39" xfId="719" xr:uid="{00000000-0005-0000-0000-0000D6020000}"/>
    <cellStyle name="Percent4" xfId="720" xr:uid="{00000000-0005-0000-0000-0000D7020000}"/>
    <cellStyle name="Percent40" xfId="721" xr:uid="{00000000-0005-0000-0000-0000D8020000}"/>
    <cellStyle name="Percent41" xfId="722" xr:uid="{00000000-0005-0000-0000-0000D9020000}"/>
    <cellStyle name="Percent42" xfId="723" xr:uid="{00000000-0005-0000-0000-0000DA020000}"/>
    <cellStyle name="Percent43" xfId="724" xr:uid="{00000000-0005-0000-0000-0000DB020000}"/>
    <cellStyle name="Percent44" xfId="725" xr:uid="{00000000-0005-0000-0000-0000DC020000}"/>
    <cellStyle name="Percent45" xfId="726" xr:uid="{00000000-0005-0000-0000-0000DD020000}"/>
    <cellStyle name="Percent46" xfId="727" xr:uid="{00000000-0005-0000-0000-0000DE020000}"/>
    <cellStyle name="Percent47" xfId="728" xr:uid="{00000000-0005-0000-0000-0000DF020000}"/>
    <cellStyle name="Percent48" xfId="729" xr:uid="{00000000-0005-0000-0000-0000E0020000}"/>
    <cellStyle name="Percent49" xfId="730" xr:uid="{00000000-0005-0000-0000-0000E1020000}"/>
    <cellStyle name="Percent5" xfId="731" xr:uid="{00000000-0005-0000-0000-0000E2020000}"/>
    <cellStyle name="Percent50" xfId="732" xr:uid="{00000000-0005-0000-0000-0000E3020000}"/>
    <cellStyle name="Percent51" xfId="733" xr:uid="{00000000-0005-0000-0000-0000E4020000}"/>
    <cellStyle name="Percent52" xfId="734" xr:uid="{00000000-0005-0000-0000-0000E5020000}"/>
    <cellStyle name="Percent53" xfId="735" xr:uid="{00000000-0005-0000-0000-0000E6020000}"/>
    <cellStyle name="Percent54" xfId="736" xr:uid="{00000000-0005-0000-0000-0000E7020000}"/>
    <cellStyle name="Percent55" xfId="737" xr:uid="{00000000-0005-0000-0000-0000E8020000}"/>
    <cellStyle name="Percent56" xfId="738" xr:uid="{00000000-0005-0000-0000-0000E9020000}"/>
    <cellStyle name="Percent57" xfId="739" xr:uid="{00000000-0005-0000-0000-0000EA020000}"/>
    <cellStyle name="Percent58" xfId="740" xr:uid="{00000000-0005-0000-0000-0000EB020000}"/>
    <cellStyle name="Percent59" xfId="741" xr:uid="{00000000-0005-0000-0000-0000EC020000}"/>
    <cellStyle name="Percent6" xfId="742" xr:uid="{00000000-0005-0000-0000-0000ED020000}"/>
    <cellStyle name="Percent60" xfId="743" xr:uid="{00000000-0005-0000-0000-0000EE020000}"/>
    <cellStyle name="Percent61" xfId="744" xr:uid="{00000000-0005-0000-0000-0000EF020000}"/>
    <cellStyle name="Percent62" xfId="745" xr:uid="{00000000-0005-0000-0000-0000F0020000}"/>
    <cellStyle name="Percent63" xfId="746" xr:uid="{00000000-0005-0000-0000-0000F1020000}"/>
    <cellStyle name="Percent64" xfId="747" xr:uid="{00000000-0005-0000-0000-0000F2020000}"/>
    <cellStyle name="Percent65" xfId="748" xr:uid="{00000000-0005-0000-0000-0000F3020000}"/>
    <cellStyle name="Percent66" xfId="749" xr:uid="{00000000-0005-0000-0000-0000F4020000}"/>
    <cellStyle name="Percent67" xfId="750" xr:uid="{00000000-0005-0000-0000-0000F5020000}"/>
    <cellStyle name="Percent68" xfId="751" xr:uid="{00000000-0005-0000-0000-0000F6020000}"/>
    <cellStyle name="Percent69" xfId="752" xr:uid="{00000000-0005-0000-0000-0000F7020000}"/>
    <cellStyle name="Percent7" xfId="753" xr:uid="{00000000-0005-0000-0000-0000F8020000}"/>
    <cellStyle name="Percent70" xfId="754" xr:uid="{00000000-0005-0000-0000-0000F9020000}"/>
    <cellStyle name="Percent71" xfId="755" xr:uid="{00000000-0005-0000-0000-0000FA020000}"/>
    <cellStyle name="Percent72" xfId="756" xr:uid="{00000000-0005-0000-0000-0000FB020000}"/>
    <cellStyle name="Percent73" xfId="757" xr:uid="{00000000-0005-0000-0000-0000FC020000}"/>
    <cellStyle name="Percent74" xfId="758" xr:uid="{00000000-0005-0000-0000-0000FD020000}"/>
    <cellStyle name="Percent75" xfId="759" xr:uid="{00000000-0005-0000-0000-0000FE020000}"/>
    <cellStyle name="Percent76" xfId="760" xr:uid="{00000000-0005-0000-0000-0000FF020000}"/>
    <cellStyle name="Percent77" xfId="761" xr:uid="{00000000-0005-0000-0000-000000030000}"/>
    <cellStyle name="Percent78" xfId="762" xr:uid="{00000000-0005-0000-0000-000001030000}"/>
    <cellStyle name="Percent79" xfId="763" xr:uid="{00000000-0005-0000-0000-000002030000}"/>
    <cellStyle name="Percent8" xfId="764" xr:uid="{00000000-0005-0000-0000-000003030000}"/>
    <cellStyle name="Percent80" xfId="765" xr:uid="{00000000-0005-0000-0000-000004030000}"/>
    <cellStyle name="Percent81" xfId="766" xr:uid="{00000000-0005-0000-0000-000005030000}"/>
    <cellStyle name="Percent82" xfId="767" xr:uid="{00000000-0005-0000-0000-000006030000}"/>
    <cellStyle name="Percent83" xfId="768" xr:uid="{00000000-0005-0000-0000-000007030000}"/>
    <cellStyle name="Percent84" xfId="769" xr:uid="{00000000-0005-0000-0000-000008030000}"/>
    <cellStyle name="Percent85" xfId="770" xr:uid="{00000000-0005-0000-0000-000009030000}"/>
    <cellStyle name="Percent86" xfId="771" xr:uid="{00000000-0005-0000-0000-00000A030000}"/>
    <cellStyle name="Percent87" xfId="772" xr:uid="{00000000-0005-0000-0000-00000B030000}"/>
    <cellStyle name="Percent88" xfId="773" xr:uid="{00000000-0005-0000-0000-00000C030000}"/>
    <cellStyle name="Percent89" xfId="774" xr:uid="{00000000-0005-0000-0000-00000D030000}"/>
    <cellStyle name="Percent9" xfId="775" xr:uid="{00000000-0005-0000-0000-00000E030000}"/>
    <cellStyle name="Percent90" xfId="776" xr:uid="{00000000-0005-0000-0000-00000F030000}"/>
    <cellStyle name="Percent91" xfId="777" xr:uid="{00000000-0005-0000-0000-000010030000}"/>
    <cellStyle name="Percent92" xfId="778" xr:uid="{00000000-0005-0000-0000-000011030000}"/>
    <cellStyle name="Percent93" xfId="779" xr:uid="{00000000-0005-0000-0000-000012030000}"/>
    <cellStyle name="Percent94" xfId="780" xr:uid="{00000000-0005-0000-0000-000013030000}"/>
    <cellStyle name="Percent95" xfId="781" xr:uid="{00000000-0005-0000-0000-000014030000}"/>
    <cellStyle name="Percent96" xfId="782" xr:uid="{00000000-0005-0000-0000-000015030000}"/>
    <cellStyle name="Percent97" xfId="783" xr:uid="{00000000-0005-0000-0000-000016030000}"/>
    <cellStyle name="Percent98" xfId="784" xr:uid="{00000000-0005-0000-0000-000017030000}"/>
    <cellStyle name="Percent99" xfId="785" xr:uid="{00000000-0005-0000-0000-000018030000}"/>
    <cellStyle name="Percentage" xfId="786" xr:uid="{00000000-0005-0000-0000-000019030000}"/>
    <cellStyle name="PercentStyle" xfId="787" xr:uid="{00000000-0005-0000-0000-00001A030000}"/>
    <cellStyle name="PrePop Currency (0)" xfId="788" xr:uid="{00000000-0005-0000-0000-00001B030000}"/>
    <cellStyle name="PrePop Currency (2)" xfId="789" xr:uid="{00000000-0005-0000-0000-00001C030000}"/>
    <cellStyle name="PrePop Units (0)" xfId="790" xr:uid="{00000000-0005-0000-0000-00001D030000}"/>
    <cellStyle name="PrePop Units (1)" xfId="791" xr:uid="{00000000-0005-0000-0000-00001E030000}"/>
    <cellStyle name="PrePop Units (2)" xfId="792" xr:uid="{00000000-0005-0000-0000-00001F030000}"/>
    <cellStyle name="Price" xfId="793" xr:uid="{00000000-0005-0000-0000-000020030000}"/>
    <cellStyle name="Product Header" xfId="794" xr:uid="{00000000-0005-0000-0000-000021030000}"/>
    <cellStyle name="PSChar" xfId="795" xr:uid="{00000000-0005-0000-0000-000022030000}"/>
    <cellStyle name="PSDate" xfId="796" xr:uid="{00000000-0005-0000-0000-000023030000}"/>
    <cellStyle name="PSDec" xfId="797" xr:uid="{00000000-0005-0000-0000-000024030000}"/>
    <cellStyle name="PSHeading" xfId="798" xr:uid="{00000000-0005-0000-0000-000025030000}"/>
    <cellStyle name="PSInt" xfId="799" xr:uid="{00000000-0005-0000-0000-000026030000}"/>
    <cellStyle name="PSSpacer" xfId="800" xr:uid="{00000000-0005-0000-0000-000027030000}"/>
    <cellStyle name="r" xfId="801" xr:uid="{00000000-0005-0000-0000-000028030000}"/>
    <cellStyle name="r_F&amp;W Servicing Model" xfId="802" xr:uid="{00000000-0005-0000-0000-000029030000}"/>
    <cellStyle name="r_F&amp;W Servicing Model v2" xfId="803" xr:uid="{00000000-0005-0000-0000-00002A030000}"/>
    <cellStyle name="r_Yell Servicing Model" xfId="804" xr:uid="{00000000-0005-0000-0000-00002B030000}"/>
    <cellStyle name="rate" xfId="805" xr:uid="{00000000-0005-0000-0000-00002C030000}"/>
    <cellStyle name="Ratio" xfId="806" xr:uid="{00000000-0005-0000-0000-00002D030000}"/>
    <cellStyle name="Ratio Comma" xfId="807" xr:uid="{00000000-0005-0000-0000-00002E030000}"/>
    <cellStyle name="Ratio_Private" xfId="808" xr:uid="{00000000-0005-0000-0000-00002F030000}"/>
    <cellStyle name="regstoresfromspecstores" xfId="809" xr:uid="{00000000-0005-0000-0000-000030030000}"/>
    <cellStyle name="RevList" xfId="810" xr:uid="{00000000-0005-0000-0000-000031030000}"/>
    <cellStyle name="Right" xfId="811" xr:uid="{00000000-0005-0000-0000-000032030000}"/>
    <cellStyle name="RightBold" xfId="812" xr:uid="{00000000-0005-0000-0000-000033030000}"/>
    <cellStyle name="RightBoldBottomRule" xfId="813" xr:uid="{00000000-0005-0000-0000-000034030000}"/>
    <cellStyle name="RightBoldCenterRule" xfId="814" xr:uid="{00000000-0005-0000-0000-000035030000}"/>
    <cellStyle name="Section" xfId="815" xr:uid="{00000000-0005-0000-0000-000036030000}"/>
    <cellStyle name="SectionHeaderNormal" xfId="816" xr:uid="{00000000-0005-0000-0000-000037030000}"/>
    <cellStyle name="SHADEDSTORES" xfId="817" xr:uid="{00000000-0005-0000-0000-000038030000}"/>
    <cellStyle name="Short $" xfId="818" xr:uid="{00000000-0005-0000-0000-000039030000}"/>
    <cellStyle name="ShOut" xfId="819" xr:uid="{00000000-0005-0000-0000-00003A030000}"/>
    <cellStyle name="Simple" xfId="820" xr:uid="{00000000-0005-0000-0000-00003B030000}"/>
    <cellStyle name="SimpleBold" xfId="821" xr:uid="{00000000-0005-0000-0000-00003C030000}"/>
    <cellStyle name="Single Accounting" xfId="822" xr:uid="{00000000-0005-0000-0000-00003D030000}"/>
    <cellStyle name="specstores" xfId="823" xr:uid="{00000000-0005-0000-0000-00003E030000}"/>
    <cellStyle name="Stock Comma" xfId="824" xr:uid="{00000000-0005-0000-0000-00003F030000}"/>
    <cellStyle name="Stock Price" xfId="825" xr:uid="{00000000-0005-0000-0000-000040030000}"/>
    <cellStyle name="Style 1" xfId="826" xr:uid="{00000000-0005-0000-0000-000041030000}"/>
    <cellStyle name="Style 21" xfId="827" xr:uid="{00000000-0005-0000-0000-000042030000}"/>
    <cellStyle name="Style 22" xfId="828" xr:uid="{00000000-0005-0000-0000-000043030000}"/>
    <cellStyle name="Style 23" xfId="829" xr:uid="{00000000-0005-0000-0000-000044030000}"/>
    <cellStyle name="Style 24" xfId="830" xr:uid="{00000000-0005-0000-0000-000045030000}"/>
    <cellStyle name="Style 25" xfId="831" xr:uid="{00000000-0005-0000-0000-000046030000}"/>
    <cellStyle name="Style 26" xfId="832" xr:uid="{00000000-0005-0000-0000-000047030000}"/>
    <cellStyle name="Style 27" xfId="833" xr:uid="{00000000-0005-0000-0000-000048030000}"/>
    <cellStyle name="Style 28" xfId="834" xr:uid="{00000000-0005-0000-0000-000049030000}"/>
    <cellStyle name="Style 29" xfId="835" xr:uid="{00000000-0005-0000-0000-00004A030000}"/>
    <cellStyle name="Style 30" xfId="836" xr:uid="{00000000-0005-0000-0000-00004B030000}"/>
    <cellStyle name="Style 31" xfId="837" xr:uid="{00000000-0005-0000-0000-00004C030000}"/>
    <cellStyle name="Style 32" xfId="838" xr:uid="{00000000-0005-0000-0000-00004D030000}"/>
    <cellStyle name="Style 33" xfId="839" xr:uid="{00000000-0005-0000-0000-00004E030000}"/>
    <cellStyle name="Style 34" xfId="840" xr:uid="{00000000-0005-0000-0000-00004F030000}"/>
    <cellStyle name="Style 35" xfId="841" xr:uid="{00000000-0005-0000-0000-000050030000}"/>
    <cellStyle name="Style 36" xfId="842" xr:uid="{00000000-0005-0000-0000-000051030000}"/>
    <cellStyle name="Style 37" xfId="843" xr:uid="{00000000-0005-0000-0000-000052030000}"/>
    <cellStyle name="Style 38" xfId="844" xr:uid="{00000000-0005-0000-0000-000053030000}"/>
    <cellStyle name="Style 39" xfId="845" xr:uid="{00000000-0005-0000-0000-000054030000}"/>
    <cellStyle name="Style 40" xfId="846" xr:uid="{00000000-0005-0000-0000-000055030000}"/>
    <cellStyle name="Style 41" xfId="847" xr:uid="{00000000-0005-0000-0000-000056030000}"/>
    <cellStyle name="Style 42" xfId="848" xr:uid="{00000000-0005-0000-0000-000057030000}"/>
    <cellStyle name="Style 43" xfId="849" xr:uid="{00000000-0005-0000-0000-000058030000}"/>
    <cellStyle name="Style 44" xfId="850" xr:uid="{00000000-0005-0000-0000-000059030000}"/>
    <cellStyle name="Style 45" xfId="851" xr:uid="{00000000-0005-0000-0000-00005A030000}"/>
    <cellStyle name="Style 46" xfId="852" xr:uid="{00000000-0005-0000-0000-00005B030000}"/>
    <cellStyle name="Style 47" xfId="853" xr:uid="{00000000-0005-0000-0000-00005C030000}"/>
    <cellStyle name="Style 48" xfId="854" xr:uid="{00000000-0005-0000-0000-00005D030000}"/>
    <cellStyle name="STYLE1" xfId="855" xr:uid="{00000000-0005-0000-0000-00005E030000}"/>
    <cellStyle name="SubScript" xfId="856" xr:uid="{00000000-0005-0000-0000-00005F030000}"/>
    <cellStyle name="Subtotal" xfId="857" xr:uid="{00000000-0005-0000-0000-000060030000}"/>
    <cellStyle name="Sum" xfId="858" xr:uid="{00000000-0005-0000-0000-000061030000}"/>
    <cellStyle name="SuperScript" xfId="859" xr:uid="{00000000-0005-0000-0000-000062030000}"/>
    <cellStyle name="Table_Title" xfId="860" xr:uid="{00000000-0005-0000-0000-000063030000}"/>
    <cellStyle name="Test" xfId="861" xr:uid="{00000000-0005-0000-0000-000064030000}"/>
    <cellStyle name="Text Indent A" xfId="862" xr:uid="{00000000-0005-0000-0000-000065030000}"/>
    <cellStyle name="Text Indent B" xfId="863" xr:uid="{00000000-0005-0000-0000-000066030000}"/>
    <cellStyle name="Text Indent C" xfId="864" xr:uid="{00000000-0005-0000-0000-000067030000}"/>
    <cellStyle name="TextBold" xfId="865" xr:uid="{00000000-0005-0000-0000-000068030000}"/>
    <cellStyle name="TextItalic" xfId="866" xr:uid="{00000000-0005-0000-0000-000069030000}"/>
    <cellStyle name="TextNormal" xfId="867" xr:uid="{00000000-0005-0000-0000-00006A030000}"/>
    <cellStyle name="Time" xfId="868" xr:uid="{00000000-0005-0000-0000-00006B030000}"/>
    <cellStyle name="Times 10" xfId="869" xr:uid="{00000000-0005-0000-0000-00006C030000}"/>
    <cellStyle name="Times 12" xfId="870" xr:uid="{00000000-0005-0000-0000-00006D030000}"/>
    <cellStyle name="Title - PROJECT" xfId="871" xr:uid="{00000000-0005-0000-0000-00006E030000}"/>
    <cellStyle name="Title - Underline" xfId="872" xr:uid="{00000000-0005-0000-0000-00006F030000}"/>
    <cellStyle name="Title1" xfId="873" xr:uid="{00000000-0005-0000-0000-000070030000}"/>
    <cellStyle name="Title2" xfId="874" xr:uid="{00000000-0005-0000-0000-000071030000}"/>
    <cellStyle name="TitleNormal" xfId="875" xr:uid="{00000000-0005-0000-0000-000072030000}"/>
    <cellStyle name="Titles - Col. Headings" xfId="876" xr:uid="{00000000-0005-0000-0000-000073030000}"/>
    <cellStyle name="Titles - Other" xfId="877" xr:uid="{00000000-0005-0000-0000-000074030000}"/>
    <cellStyle name="Top Edge" xfId="878" xr:uid="{00000000-0005-0000-0000-000075030000}"/>
    <cellStyle name="Total" xfId="879" builtinId="25" customBuiltin="1"/>
    <cellStyle name="ubordinated Debt" xfId="880" xr:uid="{00000000-0005-0000-0000-000077030000}"/>
    <cellStyle name="wheat merger's and acquisitions" xfId="881" xr:uid="{00000000-0005-0000-0000-000078030000}"/>
    <cellStyle name="x" xfId="882" xr:uid="{00000000-0005-0000-0000-000079030000}"/>
    <cellStyle name="x_TSA Model - 1 8 06 - v2" xfId="883" xr:uid="{00000000-0005-0000-0000-00007A030000}"/>
    <cellStyle name="Y2K Compliant Date Fmt" xfId="884" xr:uid="{00000000-0005-0000-0000-00007B030000}"/>
    <cellStyle name="Years" xfId="885" xr:uid="{00000000-0005-0000-0000-00007C030000}"/>
    <cellStyle name="yellow" xfId="886" xr:uid="{00000000-0005-0000-0000-00007D030000}"/>
    <cellStyle name="Yen" xfId="887" xr:uid="{00000000-0005-0000-0000-00007E030000}"/>
    <cellStyle name="YYYY" xfId="888" xr:uid="{00000000-0005-0000-0000-00007F030000}"/>
    <cellStyle name="桁区切り [0.00]_Appendix" xfId="889" xr:uid="{00000000-0005-0000-0000-000080030000}"/>
    <cellStyle name="桁区切り_Appendix" xfId="890" xr:uid="{00000000-0005-0000-0000-000081030000}"/>
    <cellStyle name="標準_Appendix" xfId="891" xr:uid="{00000000-0005-0000-0000-000082030000}"/>
    <cellStyle name="通貨 [0.00]_Appendix" xfId="892" xr:uid="{00000000-0005-0000-0000-000083030000}"/>
    <cellStyle name="通貨_Appendix" xfId="893" xr:uid="{00000000-0005-0000-0000-00008403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6666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ocuments%20and%20Settings/nbk7h1e/Local%20Settings/Temporary%20Internet%20Files/OLK61/Bank%20Austria/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753"/>
  <sheetViews>
    <sheetView showGridLines="0" zoomScaleNormal="100" workbookViewId="0">
      <selection activeCell="P1" sqref="P1"/>
    </sheetView>
  </sheetViews>
  <sheetFormatPr defaultColWidth="9.1796875" defaultRowHeight="14.5"/>
  <cols>
    <col min="1" max="1" width="9.1796875" style="1"/>
    <col min="2" max="2" width="50.7265625" style="1" customWidth="1"/>
    <col min="3" max="7" width="12.7265625" style="1" customWidth="1"/>
    <col min="8" max="8" width="39.453125" style="1" bestFit="1" customWidth="1"/>
    <col min="9" max="9" width="12.453125" style="1" bestFit="1" customWidth="1"/>
    <col min="10" max="16384" width="9.1796875" style="1"/>
  </cols>
  <sheetData>
    <row r="3" spans="1:9">
      <c r="A3" s="299" t="s">
        <v>0</v>
      </c>
      <c r="B3" s="300"/>
      <c r="C3" s="300"/>
      <c r="D3" s="300"/>
      <c r="E3" s="300"/>
      <c r="F3" s="300"/>
      <c r="H3" s="12" t="s">
        <v>1</v>
      </c>
      <c r="I3" s="124">
        <f>Model!$AL$206</f>
        <v>0</v>
      </c>
    </row>
    <row r="4" spans="1:9">
      <c r="A4" s="145"/>
      <c r="H4" s="12" t="s">
        <v>2</v>
      </c>
      <c r="I4" s="124">
        <f>Model!$AL$207</f>
        <v>0</v>
      </c>
    </row>
    <row r="5" spans="1:9">
      <c r="I5" s="147"/>
    </row>
    <row r="6" spans="1:9">
      <c r="B6" s="234" t="s">
        <v>3</v>
      </c>
      <c r="C6" s="235" t="s">
        <v>4</v>
      </c>
      <c r="D6" s="236" t="s">
        <v>5</v>
      </c>
      <c r="E6" s="235" t="s">
        <v>6</v>
      </c>
      <c r="F6" s="236" t="s">
        <v>5</v>
      </c>
      <c r="I6" s="147"/>
    </row>
    <row r="7" spans="1:9">
      <c r="B7" s="231" t="s">
        <v>7</v>
      </c>
      <c r="C7" s="136">
        <f>SUM(C8:C9)</f>
        <v>17089</v>
      </c>
      <c r="E7" s="136">
        <f>SUM(E8:E9)</f>
        <v>0</v>
      </c>
      <c r="I7" s="147"/>
    </row>
    <row r="8" spans="1:9">
      <c r="B8" s="232" t="s">
        <v>8</v>
      </c>
      <c r="C8" s="19">
        <v>3534</v>
      </c>
      <c r="E8" s="134">
        <f>C8*$I3</f>
        <v>0</v>
      </c>
      <c r="I8" s="147"/>
    </row>
    <row r="9" spans="1:9">
      <c r="B9" s="232" t="s">
        <v>9</v>
      </c>
      <c r="C9" s="19">
        <v>13555</v>
      </c>
      <c r="E9" s="134">
        <f>C9*$I3</f>
        <v>0</v>
      </c>
      <c r="I9" s="147"/>
    </row>
    <row r="10" spans="1:9">
      <c r="B10" s="232"/>
      <c r="C10" s="134"/>
      <c r="E10" s="186"/>
      <c r="I10" s="147"/>
    </row>
    <row r="11" spans="1:9">
      <c r="B11" s="231" t="s">
        <v>10</v>
      </c>
      <c r="C11" s="136">
        <f>SUM(C12:C13)</f>
        <v>52803</v>
      </c>
      <c r="E11" s="136">
        <f>SUM(E12:E13)</f>
        <v>0</v>
      </c>
      <c r="I11" s="147"/>
    </row>
    <row r="12" spans="1:9">
      <c r="B12" s="232" t="s">
        <v>11</v>
      </c>
      <c r="C12" s="19">
        <v>36196</v>
      </c>
      <c r="E12" s="134">
        <f>C12*$I3</f>
        <v>0</v>
      </c>
      <c r="I12" s="147"/>
    </row>
    <row r="13" spans="1:9">
      <c r="B13" s="232" t="s">
        <v>9</v>
      </c>
      <c r="C13" s="19">
        <v>16607</v>
      </c>
      <c r="E13" s="134">
        <f>C13*$I3</f>
        <v>0</v>
      </c>
    </row>
    <row r="14" spans="1:9">
      <c r="B14" s="232"/>
      <c r="C14" s="134"/>
      <c r="E14" s="186"/>
    </row>
    <row r="15" spans="1:9">
      <c r="B15" s="231" t="s">
        <v>12</v>
      </c>
      <c r="C15" s="136">
        <f>SUM(C16:C17)</f>
        <v>35416</v>
      </c>
      <c r="E15" s="136">
        <f>SUM(E16:E17)</f>
        <v>0</v>
      </c>
    </row>
    <row r="16" spans="1:9">
      <c r="B16" s="232" t="s">
        <v>7</v>
      </c>
      <c r="C16" s="19">
        <v>10049</v>
      </c>
      <c r="E16" s="134">
        <f>C16*$I3</f>
        <v>0</v>
      </c>
    </row>
    <row r="17" spans="2:6">
      <c r="B17" s="232" t="s">
        <v>10</v>
      </c>
      <c r="C17" s="19">
        <v>25367</v>
      </c>
      <c r="E17" s="134">
        <f>C17*$I3</f>
        <v>0</v>
      </c>
    </row>
    <row r="18" spans="2:6">
      <c r="B18" s="231"/>
      <c r="C18" s="134"/>
    </row>
    <row r="19" spans="2:6">
      <c r="B19" s="237" t="s">
        <v>13</v>
      </c>
      <c r="C19" s="140">
        <f>SUM(C7,C11,C15)</f>
        <v>105308</v>
      </c>
      <c r="D19" s="142" t="e">
        <f>C19/C25</f>
        <v>#DIV/0!</v>
      </c>
      <c r="E19" s="140">
        <f>SUM(E7,E11,E15)</f>
        <v>0</v>
      </c>
      <c r="F19" s="238" t="e">
        <f>E19/E25</f>
        <v>#DIV/0!</v>
      </c>
    </row>
    <row r="20" spans="2:6">
      <c r="B20" s="12" t="s">
        <v>14</v>
      </c>
      <c r="C20" s="233">
        <f>Model!$AL$121</f>
        <v>0</v>
      </c>
      <c r="E20" s="134">
        <f>C20*$I3</f>
        <v>0</v>
      </c>
    </row>
    <row r="21" spans="2:6">
      <c r="B21" s="12" t="s">
        <v>15</v>
      </c>
      <c r="C21" s="233">
        <f>Model!$AL$122</f>
        <v>0</v>
      </c>
      <c r="E21" s="134">
        <f>C21*$I3</f>
        <v>0</v>
      </c>
    </row>
    <row r="22" spans="2:6">
      <c r="B22" s="237" t="s">
        <v>16</v>
      </c>
      <c r="C22" s="140">
        <f>C19-C20-C21</f>
        <v>105308</v>
      </c>
      <c r="D22" s="142" t="e">
        <f>C22/C25</f>
        <v>#DIV/0!</v>
      </c>
      <c r="E22" s="140">
        <f>E19-E20-E21</f>
        <v>0</v>
      </c>
      <c r="F22" s="238" t="e">
        <f>E22/E25</f>
        <v>#DIV/0!</v>
      </c>
    </row>
    <row r="23" spans="2:6" s="239" customFormat="1">
      <c r="B23" s="12" t="s">
        <v>17</v>
      </c>
      <c r="C23" s="233">
        <f>Model!$AL$126</f>
        <v>0</v>
      </c>
      <c r="E23" s="134">
        <f>C23*$I3</f>
        <v>0</v>
      </c>
    </row>
    <row r="24" spans="2:6" s="240" customFormat="1">
      <c r="B24" s="7" t="s">
        <v>18</v>
      </c>
      <c r="C24" s="136">
        <f>C22+C23</f>
        <v>105308</v>
      </c>
      <c r="E24" s="136">
        <f>C24*$I3</f>
        <v>0</v>
      </c>
    </row>
    <row r="25" spans="2:6" s="240" customFormat="1">
      <c r="B25" s="7" t="s">
        <v>19</v>
      </c>
      <c r="C25" s="137">
        <f>Model!$AL$87</f>
        <v>0</v>
      </c>
      <c r="E25" s="136">
        <f>C25*I4</f>
        <v>0</v>
      </c>
    </row>
    <row r="26" spans="2:6">
      <c r="B26" s="11" t="s">
        <v>20</v>
      </c>
      <c r="C26" s="10">
        <f>+C19-Model!$AL$119</f>
        <v>105308</v>
      </c>
    </row>
    <row r="28" spans="2:6" ht="15" thickBot="1"/>
    <row r="29" spans="2:6">
      <c r="B29" s="196" t="s">
        <v>21</v>
      </c>
      <c r="C29" s="197" t="str">
        <f>C6</f>
        <v>RMB mn</v>
      </c>
      <c r="D29" s="198" t="s">
        <v>6</v>
      </c>
    </row>
    <row r="30" spans="2:6">
      <c r="B30" s="79" t="s">
        <v>14</v>
      </c>
      <c r="C30" s="170">
        <f>C20</f>
        <v>0</v>
      </c>
      <c r="D30" s="171">
        <f>C30*I3</f>
        <v>0</v>
      </c>
    </row>
    <row r="31" spans="2:6">
      <c r="B31" s="79" t="s">
        <v>15</v>
      </c>
      <c r="C31" s="169">
        <f>C21</f>
        <v>0</v>
      </c>
      <c r="D31" s="172">
        <f>C31*I3</f>
        <v>0</v>
      </c>
    </row>
    <row r="32" spans="2:6" ht="15" thickBot="1">
      <c r="B32" s="3" t="s">
        <v>22</v>
      </c>
      <c r="C32" s="173">
        <f>SUM(C30:C31)</f>
        <v>0</v>
      </c>
      <c r="D32" s="168">
        <f>SUM(D30:D31)</f>
        <v>0</v>
      </c>
    </row>
    <row r="33" spans="1:9">
      <c r="B33" s="7"/>
      <c r="C33" s="136"/>
      <c r="D33" s="136"/>
    </row>
    <row r="34" spans="1:9" ht="15" thickBot="1">
      <c r="B34" s="7"/>
      <c r="C34" s="136"/>
      <c r="D34" s="136"/>
    </row>
    <row r="35" spans="1:9" ht="15" thickBot="1">
      <c r="B35" s="199" t="s">
        <v>23</v>
      </c>
      <c r="C35" s="200" t="str">
        <f>C6</f>
        <v>RMB mn</v>
      </c>
      <c r="D35" s="201" t="s">
        <v>6</v>
      </c>
    </row>
    <row r="36" spans="1:9">
      <c r="B36" s="148">
        <v>2026</v>
      </c>
      <c r="C36" s="149">
        <v>2000</v>
      </c>
      <c r="D36" s="150">
        <f>C36*I3</f>
        <v>0</v>
      </c>
    </row>
    <row r="37" spans="1:9">
      <c r="B37" s="148">
        <v>2028</v>
      </c>
      <c r="C37" s="149">
        <v>3600</v>
      </c>
      <c r="D37" s="150">
        <f>C37*I3</f>
        <v>0</v>
      </c>
    </row>
    <row r="38" spans="1:9">
      <c r="B38" s="148">
        <v>2029</v>
      </c>
      <c r="C38" s="149">
        <v>13489.82</v>
      </c>
      <c r="D38" s="150">
        <f>C38*I3</f>
        <v>0</v>
      </c>
    </row>
    <row r="39" spans="1:9">
      <c r="B39" s="148">
        <v>2030</v>
      </c>
      <c r="C39" s="149">
        <v>5121.4399999999996</v>
      </c>
      <c r="D39" s="150">
        <f>C39*I3</f>
        <v>0</v>
      </c>
    </row>
    <row r="40" spans="1:9" ht="15" thickBot="1">
      <c r="B40" s="148" t="s">
        <v>24</v>
      </c>
      <c r="C40" s="149">
        <f>C11+C7-SUM(C36:C39)</f>
        <v>45680.740000000005</v>
      </c>
      <c r="D40" s="150">
        <f>C40*I3</f>
        <v>0</v>
      </c>
    </row>
    <row r="41" spans="1:9" ht="15" thickBot="1">
      <c r="B41" s="151" t="s">
        <v>25</v>
      </c>
      <c r="C41" s="152">
        <f>SUM(C36:C40)</f>
        <v>69892</v>
      </c>
      <c r="D41" s="152">
        <f>SUM(D36:D40)</f>
        <v>0</v>
      </c>
    </row>
    <row r="42" spans="1:9">
      <c r="B42" s="209"/>
      <c r="C42" s="210"/>
      <c r="D42" s="210"/>
    </row>
    <row r="43" spans="1:9">
      <c r="B43" s="209"/>
      <c r="C43" s="210"/>
      <c r="D43" s="210"/>
    </row>
    <row r="44" spans="1:9">
      <c r="B44" s="209"/>
      <c r="C44" s="210"/>
      <c r="D44" s="210"/>
    </row>
    <row r="47" spans="1:9">
      <c r="A47" s="299" t="s">
        <v>26</v>
      </c>
      <c r="B47" s="300"/>
      <c r="C47" s="300"/>
      <c r="D47" s="300"/>
      <c r="E47" s="300"/>
      <c r="F47" s="300"/>
      <c r="H47" s="12" t="s">
        <v>1</v>
      </c>
      <c r="I47" s="124">
        <f>Model!$K$206</f>
        <v>0</v>
      </c>
    </row>
    <row r="48" spans="1:9">
      <c r="A48" s="145"/>
      <c r="H48" s="12" t="s">
        <v>2</v>
      </c>
      <c r="I48" s="124">
        <f>Model!$K$207</f>
        <v>0</v>
      </c>
    </row>
    <row r="49" spans="2:9">
      <c r="I49" s="147"/>
    </row>
    <row r="50" spans="2:9">
      <c r="B50" s="234" t="s">
        <v>27</v>
      </c>
      <c r="C50" s="235" t="s">
        <v>4</v>
      </c>
      <c r="D50" s="236" t="s">
        <v>5</v>
      </c>
      <c r="E50" s="235" t="s">
        <v>6</v>
      </c>
      <c r="F50" s="236" t="s">
        <v>5</v>
      </c>
      <c r="I50" s="147"/>
    </row>
    <row r="51" spans="2:9">
      <c r="B51" s="231" t="s">
        <v>7</v>
      </c>
      <c r="C51" s="136">
        <f>SUM(C52:C53)</f>
        <v>11733</v>
      </c>
      <c r="E51" s="136">
        <f>SUM(E52:E53)</f>
        <v>0</v>
      </c>
      <c r="I51" s="147"/>
    </row>
    <row r="52" spans="2:9">
      <c r="B52" s="232" t="s">
        <v>8</v>
      </c>
      <c r="C52" s="19">
        <v>8274</v>
      </c>
      <c r="E52" s="134">
        <f>C52*$I47</f>
        <v>0</v>
      </c>
      <c r="I52" s="147"/>
    </row>
    <row r="53" spans="2:9">
      <c r="B53" s="232" t="s">
        <v>9</v>
      </c>
      <c r="C53" s="19">
        <v>3459</v>
      </c>
      <c r="E53" s="134">
        <f>C53*$I47</f>
        <v>0</v>
      </c>
      <c r="I53" s="147"/>
    </row>
    <row r="54" spans="2:9">
      <c r="B54" s="232"/>
      <c r="C54" s="134"/>
      <c r="E54" s="186"/>
      <c r="I54" s="147"/>
    </row>
    <row r="55" spans="2:9">
      <c r="B55" s="231" t="s">
        <v>10</v>
      </c>
      <c r="C55" s="136">
        <f>SUM(C56:C57)</f>
        <v>62656</v>
      </c>
      <c r="E55" s="136">
        <f>SUM(E56:E57)</f>
        <v>0</v>
      </c>
      <c r="I55" s="147"/>
    </row>
    <row r="56" spans="2:9">
      <c r="B56" s="232" t="s">
        <v>11</v>
      </c>
      <c r="C56" s="19">
        <v>42162</v>
      </c>
      <c r="E56" s="134">
        <f>C56*$I47</f>
        <v>0</v>
      </c>
      <c r="I56" s="147"/>
    </row>
    <row r="57" spans="2:9">
      <c r="B57" s="232" t="s">
        <v>9</v>
      </c>
      <c r="C57" s="19">
        <v>20494</v>
      </c>
      <c r="E57" s="134">
        <f>C57*$I47</f>
        <v>0</v>
      </c>
    </row>
    <row r="58" spans="2:9">
      <c r="B58" s="232"/>
      <c r="C58" s="134"/>
      <c r="E58" s="186"/>
    </row>
    <row r="59" spans="2:9">
      <c r="B59" s="231" t="s">
        <v>28</v>
      </c>
      <c r="C59" s="136">
        <f>SUM(C60:C61)</f>
        <v>33631</v>
      </c>
      <c r="E59" s="136">
        <f>SUM(E60:E61)</f>
        <v>0</v>
      </c>
    </row>
    <row r="60" spans="2:9">
      <c r="B60" s="232" t="s">
        <v>7</v>
      </c>
      <c r="C60" s="19">
        <v>9486</v>
      </c>
      <c r="E60" s="134">
        <f>C60*$I47</f>
        <v>0</v>
      </c>
    </row>
    <row r="61" spans="2:9">
      <c r="B61" s="232" t="s">
        <v>10</v>
      </c>
      <c r="C61" s="19">
        <v>24145</v>
      </c>
      <c r="E61" s="134">
        <f>C61*$I47</f>
        <v>0</v>
      </c>
    </row>
    <row r="62" spans="2:9">
      <c r="B62" s="231"/>
      <c r="C62" s="134"/>
    </row>
    <row r="63" spans="2:9">
      <c r="B63" s="237" t="s">
        <v>13</v>
      </c>
      <c r="C63" s="140">
        <f>SUM(C51,C55,C59)</f>
        <v>108020</v>
      </c>
      <c r="D63" s="142">
        <f>C63/C69</f>
        <v>8.5323854660347553</v>
      </c>
      <c r="E63" s="140">
        <f>SUM(E51,E55,E59)</f>
        <v>0</v>
      </c>
      <c r="F63" s="238" t="e">
        <f>E63/E69</f>
        <v>#DIV/0!</v>
      </c>
    </row>
    <row r="64" spans="2:9">
      <c r="B64" s="12" t="s">
        <v>14</v>
      </c>
      <c r="C64" s="233">
        <f>Model!$AK$121</f>
        <v>101829</v>
      </c>
      <c r="E64" s="134">
        <f>C64*$I47</f>
        <v>0</v>
      </c>
    </row>
    <row r="65" spans="2:6">
      <c r="B65" s="12" t="s">
        <v>15</v>
      </c>
      <c r="C65" s="233">
        <f>Model!$AK$122</f>
        <v>100304</v>
      </c>
      <c r="E65" s="134">
        <f>C65*$I47</f>
        <v>0</v>
      </c>
    </row>
    <row r="66" spans="2:6">
      <c r="B66" s="237" t="s">
        <v>16</v>
      </c>
      <c r="C66" s="140">
        <f>C63-C64-C65</f>
        <v>-94113</v>
      </c>
      <c r="D66" s="142">
        <f>C66/C69</f>
        <v>-7.433886255924171</v>
      </c>
      <c r="E66" s="140">
        <f>E63-E64-E65</f>
        <v>0</v>
      </c>
      <c r="F66" s="238" t="e">
        <f>E66/E69</f>
        <v>#DIV/0!</v>
      </c>
    </row>
    <row r="67" spans="2:6" s="239" customFormat="1">
      <c r="B67" s="12" t="s">
        <v>17</v>
      </c>
      <c r="C67" s="233">
        <f>Model!$AK$126</f>
        <v>280730</v>
      </c>
      <c r="E67" s="134">
        <f>C67*$I47</f>
        <v>0</v>
      </c>
    </row>
    <row r="68" spans="2:6" s="240" customFormat="1">
      <c r="B68" s="7" t="s">
        <v>18</v>
      </c>
      <c r="C68" s="136">
        <f>C66+C67</f>
        <v>186617</v>
      </c>
      <c r="E68" s="136">
        <f>C68*$I47</f>
        <v>0</v>
      </c>
    </row>
    <row r="69" spans="2:6" s="240" customFormat="1">
      <c r="B69" s="7" t="s">
        <v>19</v>
      </c>
      <c r="C69" s="137">
        <f>Model!$AK$87</f>
        <v>12660</v>
      </c>
      <c r="E69" s="136">
        <f>C69*I48</f>
        <v>0</v>
      </c>
    </row>
    <row r="70" spans="2:6">
      <c r="B70" s="11" t="s">
        <v>20</v>
      </c>
      <c r="C70" s="10">
        <f>+C63-Model!$AK$119</f>
        <v>0</v>
      </c>
    </row>
    <row r="72" spans="2:6" ht="15" thickBot="1"/>
    <row r="73" spans="2:6">
      <c r="B73" s="196" t="s">
        <v>29</v>
      </c>
      <c r="C73" s="197" t="str">
        <f>C50</f>
        <v>RMB mn</v>
      </c>
      <c r="D73" s="198" t="s">
        <v>6</v>
      </c>
    </row>
    <row r="74" spans="2:6">
      <c r="B74" s="79" t="s">
        <v>14</v>
      </c>
      <c r="C74" s="170">
        <f>C64</f>
        <v>101829</v>
      </c>
      <c r="D74" s="171">
        <f>C74*I47</f>
        <v>0</v>
      </c>
    </row>
    <row r="75" spans="2:6">
      <c r="B75" s="79" t="s">
        <v>15</v>
      </c>
      <c r="C75" s="169">
        <f>C65</f>
        <v>100304</v>
      </c>
      <c r="D75" s="172">
        <f>C75*I47</f>
        <v>0</v>
      </c>
    </row>
    <row r="76" spans="2:6" ht="15" thickBot="1">
      <c r="B76" s="3" t="s">
        <v>22</v>
      </c>
      <c r="C76" s="173">
        <f>SUM(C74:C75)</f>
        <v>202133</v>
      </c>
      <c r="D76" s="168">
        <f>SUM(D74:D75)</f>
        <v>0</v>
      </c>
    </row>
    <row r="77" spans="2:6">
      <c r="B77" s="7"/>
      <c r="C77" s="136"/>
      <c r="D77" s="136"/>
    </row>
    <row r="78" spans="2:6" ht="15" thickBot="1">
      <c r="B78" s="7"/>
      <c r="C78" s="136"/>
      <c r="D78" s="136"/>
    </row>
    <row r="79" spans="2:6" ht="15" thickBot="1">
      <c r="B79" s="199" t="s">
        <v>30</v>
      </c>
      <c r="C79" s="200" t="str">
        <f>C50</f>
        <v>RMB mn</v>
      </c>
      <c r="D79" s="201" t="s">
        <v>6</v>
      </c>
    </row>
    <row r="80" spans="2:6">
      <c r="B80" s="148">
        <v>2026</v>
      </c>
      <c r="C80" s="149">
        <v>18009.52</v>
      </c>
      <c r="D80" s="150">
        <f>C80*I47</f>
        <v>0</v>
      </c>
    </row>
    <row r="81" spans="1:9">
      <c r="B81" s="148">
        <v>2028</v>
      </c>
      <c r="C81" s="149">
        <v>3600</v>
      </c>
      <c r="D81" s="150">
        <f>C81*I47</f>
        <v>0</v>
      </c>
    </row>
    <row r="82" spans="1:9">
      <c r="B82" s="148">
        <v>2029</v>
      </c>
      <c r="C82" s="149">
        <v>13600.82</v>
      </c>
      <c r="D82" s="150">
        <f>C82*I47</f>
        <v>0</v>
      </c>
    </row>
    <row r="83" spans="1:9">
      <c r="B83" s="148">
        <v>2030</v>
      </c>
      <c r="C83" s="149">
        <v>11960.69</v>
      </c>
      <c r="D83" s="150">
        <f>C83*I47</f>
        <v>0</v>
      </c>
    </row>
    <row r="84" spans="1:9" ht="15" thickBot="1">
      <c r="B84" s="148" t="s">
        <v>24</v>
      </c>
      <c r="C84" s="149">
        <f>C55+C51-SUM(C80:C83)</f>
        <v>27217.97</v>
      </c>
      <c r="D84" s="150">
        <f>C84*I47</f>
        <v>0</v>
      </c>
    </row>
    <row r="85" spans="1:9" ht="15" thickBot="1">
      <c r="B85" s="151" t="s">
        <v>25</v>
      </c>
      <c r="C85" s="152">
        <f>SUM(C80:C84)</f>
        <v>74389</v>
      </c>
      <c r="D85" s="152">
        <f>SUM(D80:D84)</f>
        <v>0</v>
      </c>
    </row>
    <row r="86" spans="1:9">
      <c r="B86" s="209"/>
      <c r="C86" s="210"/>
      <c r="D86" s="210"/>
    </row>
    <row r="87" spans="1:9">
      <c r="B87" s="209"/>
      <c r="C87" s="210"/>
      <c r="D87" s="210"/>
    </row>
    <row r="88" spans="1:9">
      <c r="B88" s="209"/>
      <c r="C88" s="210"/>
      <c r="D88" s="210"/>
    </row>
    <row r="91" spans="1:9">
      <c r="A91" s="145" t="s">
        <v>31</v>
      </c>
      <c r="H91" s="7" t="s">
        <v>1</v>
      </c>
      <c r="I91" s="147">
        <f>Model!$K$206</f>
        <v>0</v>
      </c>
    </row>
    <row r="92" spans="1:9">
      <c r="A92" s="145"/>
      <c r="H92" s="7" t="s">
        <v>2</v>
      </c>
      <c r="I92" s="147">
        <f>Model!$K$207</f>
        <v>0</v>
      </c>
    </row>
    <row r="93" spans="1:9">
      <c r="I93" s="147"/>
    </row>
    <row r="94" spans="1:9">
      <c r="B94" s="234" t="s">
        <v>32</v>
      </c>
      <c r="C94" s="235" t="s">
        <v>4</v>
      </c>
      <c r="D94" s="236" t="s">
        <v>5</v>
      </c>
      <c r="E94" s="235" t="s">
        <v>6</v>
      </c>
      <c r="F94" s="236" t="s">
        <v>5</v>
      </c>
      <c r="I94" s="147"/>
    </row>
    <row r="95" spans="1:9">
      <c r="B95" s="231" t="s">
        <v>7</v>
      </c>
      <c r="C95" s="136">
        <f>SUM(C96:C97)</f>
        <v>11525</v>
      </c>
      <c r="E95" s="136">
        <f>SUM(E96:E97)</f>
        <v>0</v>
      </c>
      <c r="I95" s="147"/>
    </row>
    <row r="96" spans="1:9">
      <c r="B96" s="232" t="s">
        <v>8</v>
      </c>
      <c r="C96" s="19">
        <v>8014</v>
      </c>
      <c r="E96" s="134">
        <f>C96*$I91</f>
        <v>0</v>
      </c>
      <c r="I96" s="147"/>
    </row>
    <row r="97" spans="2:9">
      <c r="B97" s="232" t="s">
        <v>9</v>
      </c>
      <c r="C97" s="19">
        <v>3511</v>
      </c>
      <c r="E97" s="134">
        <f>C97*$I91</f>
        <v>0</v>
      </c>
      <c r="I97" s="147"/>
    </row>
    <row r="98" spans="2:9">
      <c r="B98" s="232"/>
      <c r="C98" s="134"/>
      <c r="E98" s="186"/>
      <c r="I98" s="147"/>
    </row>
    <row r="99" spans="2:9">
      <c r="B99" s="231" t="s">
        <v>10</v>
      </c>
      <c r="C99" s="136">
        <f>SUM(C100:C101)</f>
        <v>62473</v>
      </c>
      <c r="E99" s="136">
        <f>SUM(E100:E101)</f>
        <v>0</v>
      </c>
      <c r="I99" s="147"/>
    </row>
    <row r="100" spans="2:9">
      <c r="B100" s="232" t="s">
        <v>11</v>
      </c>
      <c r="C100" s="19">
        <v>41675</v>
      </c>
      <c r="E100" s="134">
        <f>C100*$I91</f>
        <v>0</v>
      </c>
      <c r="I100" s="147"/>
    </row>
    <row r="101" spans="2:9">
      <c r="B101" s="232" t="s">
        <v>9</v>
      </c>
      <c r="C101" s="19">
        <v>20798</v>
      </c>
      <c r="E101" s="134">
        <f>C101*$I91</f>
        <v>0</v>
      </c>
    </row>
    <row r="102" spans="2:9">
      <c r="B102" s="232"/>
      <c r="C102" s="134"/>
      <c r="E102" s="186"/>
    </row>
    <row r="103" spans="2:9">
      <c r="B103" s="231" t="s">
        <v>28</v>
      </c>
      <c r="C103" s="136">
        <f>SUM(C104:C105)</f>
        <v>33107</v>
      </c>
      <c r="E103" s="136">
        <f>SUM(E104:E105)</f>
        <v>0</v>
      </c>
    </row>
    <row r="104" spans="2:9">
      <c r="B104" s="232" t="s">
        <v>7</v>
      </c>
      <c r="C104" s="19">
        <v>9399</v>
      </c>
      <c r="E104" s="134">
        <f>C104*$I91</f>
        <v>0</v>
      </c>
    </row>
    <row r="105" spans="2:9">
      <c r="B105" s="232" t="s">
        <v>10</v>
      </c>
      <c r="C105" s="19">
        <v>23708</v>
      </c>
      <c r="E105" s="134">
        <f>C105*$I91</f>
        <v>0</v>
      </c>
    </row>
    <row r="106" spans="2:9">
      <c r="B106" s="231"/>
      <c r="C106" s="134"/>
    </row>
    <row r="107" spans="2:9">
      <c r="B107" s="237" t="s">
        <v>13</v>
      </c>
      <c r="C107" s="140">
        <f>SUM(C95,C99,C103)</f>
        <v>107105</v>
      </c>
      <c r="D107" s="142">
        <f>C107/C113</f>
        <v>5.8386938508504143</v>
      </c>
      <c r="E107" s="140">
        <f>SUM(E95,E99,E103)</f>
        <v>0</v>
      </c>
      <c r="F107" s="238" t="e">
        <f>E107/E113</f>
        <v>#DIV/0!</v>
      </c>
    </row>
    <row r="108" spans="2:9">
      <c r="B108" s="12" t="s">
        <v>14</v>
      </c>
      <c r="C108" s="233">
        <f>Model!$AJ$121</f>
        <v>137488</v>
      </c>
      <c r="E108" s="134">
        <f>C108*$I91</f>
        <v>0</v>
      </c>
    </row>
    <row r="109" spans="2:9">
      <c r="B109" s="12" t="s">
        <v>15</v>
      </c>
      <c r="C109" s="233">
        <f>Model!$AJ$122</f>
        <v>75744</v>
      </c>
      <c r="E109" s="134">
        <f>C109*$I91</f>
        <v>0</v>
      </c>
    </row>
    <row r="110" spans="2:9">
      <c r="B110" s="237" t="s">
        <v>16</v>
      </c>
      <c r="C110" s="140">
        <f>C107-C108-C109</f>
        <v>-106127</v>
      </c>
      <c r="D110" s="142">
        <f>C110/C113</f>
        <v>-5.7853794156127343</v>
      </c>
      <c r="E110" s="140">
        <f>E107-E108-E109</f>
        <v>0</v>
      </c>
      <c r="F110" s="238" t="e">
        <f>E110/E113</f>
        <v>#DIV/0!</v>
      </c>
    </row>
    <row r="111" spans="2:9" s="239" customFormat="1">
      <c r="B111" s="12" t="s">
        <v>17</v>
      </c>
      <c r="C111" s="233">
        <f>Model!$AJ$126</f>
        <v>293783</v>
      </c>
      <c r="E111" s="134">
        <f>C111*$I91</f>
        <v>0</v>
      </c>
    </row>
    <row r="112" spans="2:9" s="240" customFormat="1">
      <c r="B112" s="7" t="s">
        <v>18</v>
      </c>
      <c r="C112" s="136">
        <f>C110+C111</f>
        <v>187656</v>
      </c>
      <c r="E112" s="136">
        <f>C112*$I91</f>
        <v>0</v>
      </c>
    </row>
    <row r="113" spans="2:5" s="240" customFormat="1">
      <c r="B113" s="7" t="s">
        <v>19</v>
      </c>
      <c r="C113" s="137">
        <f>Model!$AJ$87</f>
        <v>18344</v>
      </c>
      <c r="E113" s="136">
        <f>C113*I92</f>
        <v>0</v>
      </c>
    </row>
    <row r="114" spans="2:5">
      <c r="B114" s="11" t="s">
        <v>20</v>
      </c>
      <c r="C114" s="10">
        <f>+C107-Model!$AJ$119</f>
        <v>0</v>
      </c>
    </row>
    <row r="116" spans="2:5" ht="15" thickBot="1"/>
    <row r="117" spans="2:5">
      <c r="B117" s="196" t="s">
        <v>33</v>
      </c>
      <c r="C117" s="197" t="str">
        <f>C94</f>
        <v>RMB mn</v>
      </c>
      <c r="D117" s="198" t="s">
        <v>6</v>
      </c>
    </row>
    <row r="118" spans="2:5">
      <c r="B118" s="79" t="s">
        <v>14</v>
      </c>
      <c r="C118" s="170">
        <f>C108</f>
        <v>137488</v>
      </c>
      <c r="D118" s="171">
        <f>C118*I91</f>
        <v>0</v>
      </c>
    </row>
    <row r="119" spans="2:5">
      <c r="B119" s="79" t="s">
        <v>15</v>
      </c>
      <c r="C119" s="169">
        <f>C109</f>
        <v>75744</v>
      </c>
      <c r="D119" s="172">
        <f>C119*I91</f>
        <v>0</v>
      </c>
    </row>
    <row r="120" spans="2:5" ht="15" thickBot="1">
      <c r="B120" s="3" t="s">
        <v>22</v>
      </c>
      <c r="C120" s="173">
        <f>SUM(C118:C119)</f>
        <v>213232</v>
      </c>
      <c r="D120" s="168">
        <f>SUM(D118:D119)</f>
        <v>0</v>
      </c>
    </row>
    <row r="121" spans="2:5">
      <c r="B121" s="7"/>
      <c r="C121" s="136"/>
      <c r="D121" s="136"/>
    </row>
    <row r="122" spans="2:5" ht="15" thickBot="1">
      <c r="B122" s="7"/>
      <c r="C122" s="136"/>
      <c r="D122" s="136"/>
    </row>
    <row r="123" spans="2:5" ht="15" thickBot="1">
      <c r="B123" s="199" t="s">
        <v>34</v>
      </c>
      <c r="C123" s="200" t="str">
        <f>C94</f>
        <v>RMB mn</v>
      </c>
      <c r="D123" s="201" t="s">
        <v>6</v>
      </c>
    </row>
    <row r="124" spans="2:5">
      <c r="B124" s="148">
        <v>2026</v>
      </c>
      <c r="C124" s="149">
        <v>5459.25</v>
      </c>
      <c r="D124" s="150">
        <f>C124*I91</f>
        <v>0</v>
      </c>
    </row>
    <row r="125" spans="2:5">
      <c r="B125" s="148">
        <v>2028</v>
      </c>
      <c r="C125" s="149">
        <v>3600</v>
      </c>
      <c r="D125" s="150">
        <f>C125*I91</f>
        <v>0</v>
      </c>
    </row>
    <row r="126" spans="2:5">
      <c r="B126" s="148">
        <v>2029</v>
      </c>
      <c r="C126" s="149">
        <v>13837</v>
      </c>
      <c r="D126" s="150">
        <f>C126*I91</f>
        <v>0</v>
      </c>
    </row>
    <row r="127" spans="2:5">
      <c r="B127" s="148">
        <v>2030</v>
      </c>
      <c r="C127" s="149">
        <v>12161.45</v>
      </c>
      <c r="D127" s="150">
        <f>C127*I91</f>
        <v>0</v>
      </c>
    </row>
    <row r="128" spans="2:5" ht="15" thickBot="1">
      <c r="B128" s="148" t="s">
        <v>35</v>
      </c>
      <c r="C128" s="149">
        <f>C95+C99-SUM(C124:C127)</f>
        <v>38940.300000000003</v>
      </c>
      <c r="D128" s="150">
        <f>C128*I91</f>
        <v>0</v>
      </c>
    </row>
    <row r="129" spans="1:9" ht="15" thickBot="1">
      <c r="B129" s="151" t="s">
        <v>25</v>
      </c>
      <c r="C129" s="152">
        <f>SUM(C124:C128)</f>
        <v>73998</v>
      </c>
      <c r="D129" s="152">
        <f>SUM(D124:D128)</f>
        <v>0</v>
      </c>
    </row>
    <row r="130" spans="1:9">
      <c r="B130" s="209"/>
      <c r="C130" s="210"/>
      <c r="D130" s="210"/>
    </row>
    <row r="131" spans="1:9">
      <c r="B131" s="209"/>
      <c r="C131" s="210"/>
      <c r="D131" s="210"/>
    </row>
    <row r="132" spans="1:9">
      <c r="B132" s="209"/>
      <c r="C132" s="210"/>
      <c r="D132" s="210"/>
    </row>
    <row r="135" spans="1:9">
      <c r="A135" s="145" t="s">
        <v>36</v>
      </c>
      <c r="H135" s="7" t="s">
        <v>37</v>
      </c>
      <c r="I135" s="147">
        <f>Model!$K$206</f>
        <v>0</v>
      </c>
    </row>
    <row r="136" spans="1:9">
      <c r="A136" s="145"/>
      <c r="H136" s="7" t="s">
        <v>38</v>
      </c>
      <c r="I136" s="147">
        <f>Model!$K$207</f>
        <v>0</v>
      </c>
    </row>
    <row r="137" spans="1:9" ht="15" thickBot="1">
      <c r="I137" s="147"/>
    </row>
    <row r="138" spans="1:9">
      <c r="B138" s="192" t="s">
        <v>39</v>
      </c>
      <c r="C138" s="193" t="s">
        <v>4</v>
      </c>
      <c r="D138" s="194" t="s">
        <v>5</v>
      </c>
      <c r="E138" s="193" t="s">
        <v>6</v>
      </c>
      <c r="F138" s="195" t="s">
        <v>5</v>
      </c>
      <c r="I138" s="147"/>
    </row>
    <row r="139" spans="1:9">
      <c r="B139" s="95" t="s">
        <v>7</v>
      </c>
      <c r="C139" s="136">
        <f>SUM(C140:C141)</f>
        <v>20609</v>
      </c>
      <c r="E139" s="136">
        <f>SUM(E140:E141)</f>
        <v>0</v>
      </c>
      <c r="F139" s="90"/>
      <c r="I139" s="147"/>
    </row>
    <row r="140" spans="1:9">
      <c r="B140" s="4" t="s">
        <v>8</v>
      </c>
      <c r="C140" s="19">
        <v>17062</v>
      </c>
      <c r="E140" s="134">
        <f>C140*$I135</f>
        <v>0</v>
      </c>
      <c r="F140" s="90"/>
      <c r="I140" s="147"/>
    </row>
    <row r="141" spans="1:9">
      <c r="B141" s="4" t="s">
        <v>9</v>
      </c>
      <c r="C141" s="19">
        <v>3547</v>
      </c>
      <c r="E141" s="134">
        <f>C141*$I135</f>
        <v>0</v>
      </c>
      <c r="F141" s="90"/>
      <c r="I141" s="147"/>
    </row>
    <row r="142" spans="1:9">
      <c r="B142" s="4"/>
      <c r="C142" s="134"/>
      <c r="E142" s="186"/>
      <c r="F142" s="90"/>
      <c r="I142" s="147"/>
    </row>
    <row r="143" spans="1:9">
      <c r="B143" s="95" t="s">
        <v>10</v>
      </c>
      <c r="C143" s="136">
        <f>SUM(C144:C145)</f>
        <v>59962</v>
      </c>
      <c r="E143" s="136">
        <f>SUM(E144:E145)</f>
        <v>0</v>
      </c>
      <c r="F143" s="90"/>
      <c r="I143" s="147"/>
    </row>
    <row r="144" spans="1:9">
      <c r="B144" s="4" t="s">
        <v>11</v>
      </c>
      <c r="C144" s="19">
        <v>38957</v>
      </c>
      <c r="E144" s="134">
        <f>C144*$I135</f>
        <v>0</v>
      </c>
      <c r="F144" s="90"/>
      <c r="I144" s="147"/>
    </row>
    <row r="145" spans="2:6">
      <c r="B145" s="4" t="s">
        <v>9</v>
      </c>
      <c r="C145" s="19">
        <v>21005</v>
      </c>
      <c r="E145" s="134">
        <f>C145*$I135</f>
        <v>0</v>
      </c>
      <c r="F145" s="90"/>
    </row>
    <row r="146" spans="2:6">
      <c r="B146" s="4"/>
      <c r="C146" s="134"/>
      <c r="E146" s="186"/>
      <c r="F146" s="90"/>
    </row>
    <row r="147" spans="2:6">
      <c r="B147" s="95" t="s">
        <v>28</v>
      </c>
      <c r="C147" s="136">
        <f>SUM(C148:C149)</f>
        <v>31518</v>
      </c>
      <c r="E147" s="136">
        <f>SUM(E148:E149)</f>
        <v>0</v>
      </c>
      <c r="F147" s="90"/>
    </row>
    <row r="148" spans="2:6">
      <c r="B148" s="4" t="s">
        <v>7</v>
      </c>
      <c r="C148" s="19">
        <v>8897</v>
      </c>
      <c r="E148" s="134">
        <f>C148*$I135</f>
        <v>0</v>
      </c>
      <c r="F148" s="90"/>
    </row>
    <row r="149" spans="2:6">
      <c r="B149" s="4" t="s">
        <v>10</v>
      </c>
      <c r="C149" s="19">
        <v>22621</v>
      </c>
      <c r="E149" s="134">
        <f>C149*$I135</f>
        <v>0</v>
      </c>
      <c r="F149" s="90"/>
    </row>
    <row r="150" spans="2:6">
      <c r="B150" s="95"/>
      <c r="C150" s="134"/>
      <c r="F150" s="90"/>
    </row>
    <row r="151" spans="2:6">
      <c r="B151" s="98" t="s">
        <v>13</v>
      </c>
      <c r="C151" s="140">
        <f>SUM(C139,C143,C147)</f>
        <v>112089</v>
      </c>
      <c r="D151" s="142">
        <f>C151/C157</f>
        <v>3.5363768298838969</v>
      </c>
      <c r="E151" s="140">
        <f>SUM(E139,E143,E147)</f>
        <v>0</v>
      </c>
      <c r="F151" s="143" t="e">
        <f>E151/E157</f>
        <v>#DIV/0!</v>
      </c>
    </row>
    <row r="152" spans="2:6">
      <c r="B152" s="100" t="s">
        <v>14</v>
      </c>
      <c r="C152" s="157">
        <f>Model!$AI$120</f>
        <v>198272</v>
      </c>
      <c r="D152" s="158"/>
      <c r="E152" s="159">
        <f>C152*$I135</f>
        <v>0</v>
      </c>
      <c r="F152" s="160"/>
    </row>
    <row r="153" spans="2:6">
      <c r="B153" s="100" t="s">
        <v>15</v>
      </c>
      <c r="C153" s="161">
        <f>Model!$AI$122</f>
        <v>85203</v>
      </c>
      <c r="D153" s="162"/>
      <c r="E153" s="163">
        <f>C153*$I135</f>
        <v>0</v>
      </c>
      <c r="F153" s="164"/>
    </row>
    <row r="154" spans="2:6">
      <c r="B154" s="98" t="s">
        <v>16</v>
      </c>
      <c r="C154" s="140">
        <f>C151-C152-C153</f>
        <v>-171386</v>
      </c>
      <c r="D154" s="142">
        <f>C154/C157</f>
        <v>-5.4071807168096919</v>
      </c>
      <c r="E154" s="140">
        <f>E151-E152-E153</f>
        <v>0</v>
      </c>
      <c r="F154" s="143" t="e">
        <f>E154/E157</f>
        <v>#DIV/0!</v>
      </c>
    </row>
    <row r="155" spans="2:6">
      <c r="B155" s="102" t="s">
        <v>17</v>
      </c>
      <c r="C155" s="137">
        <f>Model!$AI$126</f>
        <v>304420</v>
      </c>
      <c r="E155" s="134">
        <f>C155*$I135</f>
        <v>0</v>
      </c>
      <c r="F155" s="90"/>
    </row>
    <row r="156" spans="2:6">
      <c r="B156" s="102" t="s">
        <v>18</v>
      </c>
      <c r="C156" s="136">
        <f>C154+C155</f>
        <v>133034</v>
      </c>
      <c r="E156" s="134">
        <f>C156*$I135</f>
        <v>0</v>
      </c>
      <c r="F156" s="90"/>
    </row>
    <row r="157" spans="2:6" ht="15" thickBot="1">
      <c r="B157" s="104" t="s">
        <v>19</v>
      </c>
      <c r="C157" s="135">
        <f>Model!$AI$87</f>
        <v>31696</v>
      </c>
      <c r="D157" s="132"/>
      <c r="E157" s="139">
        <f>C157*I136</f>
        <v>0</v>
      </c>
      <c r="F157" s="133"/>
    </row>
    <row r="158" spans="2:6">
      <c r="B158" s="11" t="s">
        <v>20</v>
      </c>
      <c r="C158" s="10">
        <f>+C151-Model!$AI$119</f>
        <v>0</v>
      </c>
    </row>
    <row r="160" spans="2:6" ht="15" thickBot="1"/>
    <row r="161" spans="1:9">
      <c r="B161" s="196" t="s">
        <v>40</v>
      </c>
      <c r="C161" s="197" t="str">
        <f>C138</f>
        <v>RMB mn</v>
      </c>
      <c r="D161" s="198" t="s">
        <v>6</v>
      </c>
    </row>
    <row r="162" spans="1:9">
      <c r="B162" s="79" t="s">
        <v>14</v>
      </c>
      <c r="C162" s="170">
        <f>C152</f>
        <v>198272</v>
      </c>
      <c r="D162" s="171">
        <f>C162*I135</f>
        <v>0</v>
      </c>
    </row>
    <row r="163" spans="1:9">
      <c r="B163" s="79" t="s">
        <v>15</v>
      </c>
      <c r="C163" s="169">
        <f>C153</f>
        <v>85203</v>
      </c>
      <c r="D163" s="172">
        <f>C163*I135</f>
        <v>0</v>
      </c>
    </row>
    <row r="164" spans="1:9" ht="15" thickBot="1">
      <c r="B164" s="3" t="s">
        <v>22</v>
      </c>
      <c r="C164" s="173">
        <f>SUM(C162:C163)</f>
        <v>283475</v>
      </c>
      <c r="D164" s="168">
        <f>SUM(D162:D163)</f>
        <v>0</v>
      </c>
    </row>
    <row r="165" spans="1:9" ht="15" thickBot="1">
      <c r="B165" s="7"/>
      <c r="C165" s="136"/>
      <c r="D165" s="136"/>
    </row>
    <row r="166" spans="1:9" ht="15" thickBot="1">
      <c r="B166" s="199" t="s">
        <v>41</v>
      </c>
      <c r="C166" s="200" t="str">
        <f>C138</f>
        <v>RMB mn</v>
      </c>
      <c r="D166" s="201" t="s">
        <v>6</v>
      </c>
    </row>
    <row r="167" spans="1:9">
      <c r="B167" s="148">
        <v>2025</v>
      </c>
      <c r="C167" s="149">
        <v>2210.98</v>
      </c>
      <c r="D167" s="150">
        <f>C167*I135</f>
        <v>0</v>
      </c>
    </row>
    <row r="168" spans="1:9">
      <c r="B168" s="148">
        <v>2026</v>
      </c>
      <c r="C168" s="149">
        <v>5554.92</v>
      </c>
      <c r="D168" s="150">
        <f>C168*I135</f>
        <v>0</v>
      </c>
    </row>
    <row r="169" spans="1:9">
      <c r="B169" s="148">
        <v>2028</v>
      </c>
      <c r="C169" s="149">
        <v>3600</v>
      </c>
      <c r="D169" s="150">
        <f>C169*I135</f>
        <v>0</v>
      </c>
    </row>
    <row r="170" spans="1:9">
      <c r="B170" s="148">
        <v>2029</v>
      </c>
      <c r="C170" s="149">
        <v>14219.69</v>
      </c>
      <c r="D170" s="150">
        <f>C170*I135</f>
        <v>0</v>
      </c>
    </row>
    <row r="171" spans="1:9" ht="15" thickBot="1">
      <c r="B171" s="148" t="s">
        <v>35</v>
      </c>
      <c r="C171" s="149">
        <f>C139+C143-SUM(C167:C170)</f>
        <v>54985.41</v>
      </c>
      <c r="D171" s="150">
        <f>C171*I135</f>
        <v>0</v>
      </c>
    </row>
    <row r="172" spans="1:9" ht="15" thickBot="1">
      <c r="B172" s="151" t="s">
        <v>25</v>
      </c>
      <c r="C172" s="152">
        <f>SUM(C167:C171)</f>
        <v>80571</v>
      </c>
      <c r="D172" s="152">
        <f>SUM(D167:D171)</f>
        <v>0</v>
      </c>
    </row>
    <row r="173" spans="1:9">
      <c r="B173" s="209"/>
      <c r="C173" s="210"/>
      <c r="D173" s="210"/>
    </row>
    <row r="174" spans="1:9">
      <c r="B174" s="209"/>
      <c r="C174" s="210"/>
      <c r="D174" s="210"/>
    </row>
    <row r="175" spans="1:9">
      <c r="B175" s="209"/>
      <c r="C175" s="210"/>
      <c r="D175" s="210"/>
    </row>
    <row r="176" spans="1:9">
      <c r="A176" s="145" t="s">
        <v>42</v>
      </c>
      <c r="H176" s="7" t="s">
        <v>43</v>
      </c>
      <c r="I176" s="147">
        <f>Model!$AH$206</f>
        <v>0.1396</v>
      </c>
    </row>
    <row r="177" spans="1:9">
      <c r="A177" s="145"/>
      <c r="H177" s="7" t="s">
        <v>44</v>
      </c>
      <c r="I177" s="147">
        <f>Model!$AH$207</f>
        <v>0.13860968674203866</v>
      </c>
    </row>
    <row r="178" spans="1:9" ht="15" thickBot="1">
      <c r="I178" s="147"/>
    </row>
    <row r="179" spans="1:9">
      <c r="B179" s="192" t="s">
        <v>45</v>
      </c>
      <c r="C179" s="193" t="s">
        <v>4</v>
      </c>
      <c r="D179" s="194" t="s">
        <v>5</v>
      </c>
      <c r="E179" s="193" t="s">
        <v>6</v>
      </c>
      <c r="F179" s="195" t="s">
        <v>5</v>
      </c>
      <c r="I179" s="147"/>
    </row>
    <row r="180" spans="1:9">
      <c r="B180" s="95" t="s">
        <v>7</v>
      </c>
      <c r="C180" s="136">
        <f>SUM(C181:C182)</f>
        <v>15232</v>
      </c>
      <c r="E180" s="136">
        <f>SUM(E181:E182)</f>
        <v>2126.3872000000001</v>
      </c>
      <c r="F180" s="90"/>
      <c r="I180" s="147"/>
    </row>
    <row r="181" spans="1:9">
      <c r="B181" s="4" t="s">
        <v>8</v>
      </c>
      <c r="C181" s="19">
        <v>11661</v>
      </c>
      <c r="E181" s="134">
        <f>C181*$I176</f>
        <v>1627.8756000000001</v>
      </c>
      <c r="F181" s="90"/>
      <c r="I181" s="147"/>
    </row>
    <row r="182" spans="1:9">
      <c r="B182" s="4" t="s">
        <v>9</v>
      </c>
      <c r="C182" s="19">
        <f>3571</f>
        <v>3571</v>
      </c>
      <c r="E182" s="134">
        <f>C182*$I176</f>
        <v>498.51159999999999</v>
      </c>
      <c r="F182" s="90"/>
      <c r="I182" s="147"/>
    </row>
    <row r="183" spans="1:9">
      <c r="B183" s="4"/>
      <c r="C183" s="134"/>
      <c r="E183" s="186"/>
      <c r="F183" s="90"/>
      <c r="I183" s="147"/>
    </row>
    <row r="184" spans="1:9">
      <c r="B184" s="95" t="s">
        <v>10</v>
      </c>
      <c r="C184" s="136">
        <f>SUM(C185:C186)</f>
        <v>56595</v>
      </c>
      <c r="E184" s="136">
        <f>SUM(E185:E186)</f>
        <v>7900.6620000000003</v>
      </c>
      <c r="F184" s="90"/>
      <c r="I184" s="147"/>
    </row>
    <row r="185" spans="1:9">
      <c r="B185" s="4" t="s">
        <v>11</v>
      </c>
      <c r="C185" s="19">
        <f>35454</f>
        <v>35454</v>
      </c>
      <c r="E185" s="134">
        <f>C185*$I176</f>
        <v>4949.3784000000005</v>
      </c>
      <c r="F185" s="90"/>
      <c r="I185" s="147"/>
    </row>
    <row r="186" spans="1:9">
      <c r="B186" s="4" t="s">
        <v>9</v>
      </c>
      <c r="C186" s="19">
        <v>21141</v>
      </c>
      <c r="E186" s="134">
        <f>C186*$I176</f>
        <v>2951.2836000000002</v>
      </c>
      <c r="F186" s="90"/>
    </row>
    <row r="187" spans="1:9">
      <c r="B187" s="4"/>
      <c r="C187" s="134"/>
      <c r="E187" s="186"/>
      <c r="F187" s="90"/>
    </row>
    <row r="188" spans="1:9">
      <c r="B188" s="95" t="s">
        <v>28</v>
      </c>
      <c r="C188" s="136">
        <f>SUM(C189:C190)</f>
        <v>28965</v>
      </c>
      <c r="E188" s="136">
        <f>SUM(E189:E190)</f>
        <v>4043.5140000000001</v>
      </c>
      <c r="F188" s="90"/>
    </row>
    <row r="189" spans="1:9">
      <c r="B189" s="4" t="s">
        <v>7</v>
      </c>
      <c r="C189" s="19">
        <v>8285</v>
      </c>
      <c r="E189" s="134">
        <f>C189*$I176</f>
        <v>1156.586</v>
      </c>
      <c r="F189" s="90"/>
    </row>
    <row r="190" spans="1:9">
      <c r="B190" s="4" t="s">
        <v>10</v>
      </c>
      <c r="C190" s="19">
        <v>20680</v>
      </c>
      <c r="E190" s="134">
        <f>C190*$I176</f>
        <v>2886.9279999999999</v>
      </c>
      <c r="F190" s="90"/>
    </row>
    <row r="191" spans="1:9">
      <c r="B191" s="95"/>
      <c r="C191" s="134"/>
      <c r="F191" s="90"/>
    </row>
    <row r="192" spans="1:9">
      <c r="B192" s="98" t="s">
        <v>13</v>
      </c>
      <c r="C192" s="140">
        <f>SUM(C180,C184,C188)</f>
        <v>100792</v>
      </c>
      <c r="D192" s="142">
        <f>C192/C198</f>
        <v>2.2748549890536482</v>
      </c>
      <c r="E192" s="140">
        <f>SUM(E180,E184,E188)</f>
        <v>14070.563200000001</v>
      </c>
      <c r="F192" s="143">
        <f>E192/E198</f>
        <v>2.2911079588752452</v>
      </c>
    </row>
    <row r="193" spans="2:6">
      <c r="B193" s="100" t="s">
        <v>14</v>
      </c>
      <c r="C193" s="157">
        <f>Model!$AH$120</f>
        <v>213838</v>
      </c>
      <c r="D193" s="158"/>
      <c r="E193" s="159">
        <f>C193*$I176</f>
        <v>29851.784800000001</v>
      </c>
      <c r="F193" s="160"/>
    </row>
    <row r="194" spans="2:6">
      <c r="B194" s="100" t="s">
        <v>15</v>
      </c>
      <c r="C194" s="161">
        <f>Model!$AH$122</f>
        <v>97291</v>
      </c>
      <c r="D194" s="162"/>
      <c r="E194" s="163">
        <f>C194*$I176</f>
        <v>13581.8236</v>
      </c>
      <c r="F194" s="164"/>
    </row>
    <row r="195" spans="2:6">
      <c r="B195" s="98" t="s">
        <v>16</v>
      </c>
      <c r="C195" s="140">
        <f>C192-C193-C194</f>
        <v>-210337</v>
      </c>
      <c r="D195" s="142">
        <f>C195/C198</f>
        <v>-4.7472634121019253</v>
      </c>
      <c r="E195" s="140">
        <f>E192-E193-E194</f>
        <v>-29363.0452</v>
      </c>
      <c r="F195" s="143">
        <f>E195/E198</f>
        <v>-4.7811807955586003</v>
      </c>
    </row>
    <row r="196" spans="2:6">
      <c r="B196" s="102" t="s">
        <v>17</v>
      </c>
      <c r="C196" s="137">
        <f>Model!$AH$126</f>
        <v>297289</v>
      </c>
      <c r="E196" s="134">
        <f>C196*$I176</f>
        <v>41501.544399999999</v>
      </c>
      <c r="F196" s="90"/>
    </row>
    <row r="197" spans="2:6">
      <c r="B197" s="102" t="s">
        <v>18</v>
      </c>
      <c r="C197" s="136">
        <f>C195+C196</f>
        <v>86952</v>
      </c>
      <c r="E197" s="134">
        <f>C197*$I176</f>
        <v>12138.4992</v>
      </c>
      <c r="F197" s="90"/>
    </row>
    <row r="198" spans="2:6" ht="15" thickBot="1">
      <c r="B198" s="104" t="s">
        <v>19</v>
      </c>
      <c r="C198" s="135">
        <f>Model!$AH$87</f>
        <v>44307</v>
      </c>
      <c r="D198" s="132"/>
      <c r="E198" s="139">
        <f>C198*I177</f>
        <v>6141.3793904795066</v>
      </c>
      <c r="F198" s="133"/>
    </row>
    <row r="199" spans="2:6">
      <c r="B199" s="11" t="s">
        <v>20</v>
      </c>
      <c r="C199" s="10">
        <f>+C192-Model!$AH$119</f>
        <v>0</v>
      </c>
    </row>
    <row r="201" spans="2:6" ht="15" thickBot="1"/>
    <row r="202" spans="2:6">
      <c r="B202" s="196" t="s">
        <v>46</v>
      </c>
      <c r="C202" s="197" t="str">
        <f>C179</f>
        <v>RMB mn</v>
      </c>
      <c r="D202" s="198" t="s">
        <v>6</v>
      </c>
    </row>
    <row r="203" spans="2:6">
      <c r="B203" s="79" t="s">
        <v>14</v>
      </c>
      <c r="C203" s="170">
        <f>C193</f>
        <v>213838</v>
      </c>
      <c r="D203" s="171">
        <f>C203*I176</f>
        <v>29851.784800000001</v>
      </c>
    </row>
    <row r="204" spans="2:6">
      <c r="B204" s="79" t="s">
        <v>15</v>
      </c>
      <c r="C204" s="169">
        <f>C194</f>
        <v>97291</v>
      </c>
      <c r="D204" s="172">
        <f>C204*I176</f>
        <v>13581.8236</v>
      </c>
    </row>
    <row r="205" spans="2:6" ht="15" thickBot="1">
      <c r="B205" s="3" t="s">
        <v>22</v>
      </c>
      <c r="C205" s="173">
        <f>SUM(C203:C204)</f>
        <v>311129</v>
      </c>
      <c r="D205" s="168">
        <f>SUM(D203:D204)</f>
        <v>43433.608399999997</v>
      </c>
    </row>
    <row r="206" spans="2:6" ht="15" thickBot="1">
      <c r="B206" s="7"/>
      <c r="C206" s="136"/>
      <c r="D206" s="136"/>
    </row>
    <row r="207" spans="2:6" ht="15" thickBot="1">
      <c r="B207" s="199" t="s">
        <v>47</v>
      </c>
      <c r="C207" s="200" t="str">
        <f>C179</f>
        <v>RMB mn</v>
      </c>
      <c r="D207" s="201" t="s">
        <v>6</v>
      </c>
    </row>
    <row r="208" spans="2:6">
      <c r="B208" s="148">
        <v>2025</v>
      </c>
      <c r="C208" s="149">
        <v>7212.59</v>
      </c>
      <c r="D208" s="150">
        <f>C208*I176</f>
        <v>1006.877564</v>
      </c>
    </row>
    <row r="209" spans="1:9">
      <c r="B209" s="148">
        <v>2026</v>
      </c>
      <c r="C209" s="149">
        <v>5590.92</v>
      </c>
      <c r="D209" s="150">
        <f>C209*I176</f>
        <v>780.49243200000001</v>
      </c>
    </row>
    <row r="210" spans="1:9">
      <c r="B210" s="148">
        <v>2028</v>
      </c>
      <c r="C210" s="149">
        <v>2000</v>
      </c>
      <c r="D210" s="150">
        <f>C210*I176</f>
        <v>279.2</v>
      </c>
    </row>
    <row r="211" spans="1:9">
      <c r="B211" s="148">
        <v>2029</v>
      </c>
      <c r="C211" s="149">
        <v>14363.69</v>
      </c>
      <c r="D211" s="150">
        <f>C211*I176</f>
        <v>2005.1711240000002</v>
      </c>
    </row>
    <row r="212" spans="1:9" ht="15" thickBot="1">
      <c r="B212" s="148" t="s">
        <v>35</v>
      </c>
      <c r="C212" s="149">
        <f>C180+C184-SUM(C208:C211)</f>
        <v>42659.8</v>
      </c>
      <c r="D212" s="150">
        <f>C212*I176</f>
        <v>5955.3080800000007</v>
      </c>
    </row>
    <row r="213" spans="1:9" ht="15" thickBot="1">
      <c r="B213" s="151" t="s">
        <v>25</v>
      </c>
      <c r="C213" s="152">
        <f>SUM(C208:C212)</f>
        <v>71827</v>
      </c>
      <c r="D213" s="152">
        <f>SUM(D208:D212)</f>
        <v>10027.049200000001</v>
      </c>
    </row>
    <row r="214" spans="1:9">
      <c r="B214" s="209"/>
      <c r="C214" s="210"/>
      <c r="D214" s="210"/>
    </row>
    <row r="215" spans="1:9">
      <c r="B215" s="209"/>
      <c r="C215" s="210"/>
      <c r="D215" s="210"/>
    </row>
    <row r="216" spans="1:9">
      <c r="B216" s="209"/>
      <c r="C216" s="210"/>
      <c r="D216" s="210"/>
    </row>
    <row r="217" spans="1:9">
      <c r="B217" s="209"/>
      <c r="C217" s="210"/>
      <c r="D217" s="210"/>
    </row>
    <row r="219" spans="1:9">
      <c r="A219" s="145" t="s">
        <v>48</v>
      </c>
      <c r="H219" s="7" t="s">
        <v>49</v>
      </c>
      <c r="I219" s="147">
        <f>Model!$AG$206</f>
        <v>0.13780368487053343</v>
      </c>
    </row>
    <row r="220" spans="1:9">
      <c r="A220" s="145"/>
      <c r="H220" s="7" t="s">
        <v>50</v>
      </c>
      <c r="I220" s="147">
        <f>Model!$AG$207</f>
        <v>0.13855968674203867</v>
      </c>
    </row>
    <row r="221" spans="1:9" ht="15" thickBot="1">
      <c r="I221" s="147"/>
    </row>
    <row r="222" spans="1:9">
      <c r="B222" s="93" t="s">
        <v>51</v>
      </c>
      <c r="C222" s="94" t="s">
        <v>4</v>
      </c>
      <c r="D222" s="109" t="s">
        <v>5</v>
      </c>
      <c r="E222" s="94" t="s">
        <v>6</v>
      </c>
      <c r="F222" s="8" t="s">
        <v>5</v>
      </c>
    </row>
    <row r="223" spans="1:9" ht="15" thickBot="1">
      <c r="B223" s="95" t="s">
        <v>7</v>
      </c>
      <c r="C223" s="136">
        <f>SUM(C224:C225)</f>
        <v>4230</v>
      </c>
      <c r="E223" s="136">
        <f>SUM(E224:E225)</f>
        <v>582.90958700235637</v>
      </c>
      <c r="F223" s="90"/>
    </row>
    <row r="224" spans="1:9">
      <c r="B224" s="4" t="s">
        <v>8</v>
      </c>
      <c r="C224" s="19">
        <v>4230</v>
      </c>
      <c r="E224" s="134">
        <f>C224*$I219</f>
        <v>582.90958700235637</v>
      </c>
      <c r="F224" s="90"/>
      <c r="H224" s="130" t="s">
        <v>52</v>
      </c>
      <c r="I224" s="131" t="s">
        <v>4</v>
      </c>
    </row>
    <row r="225" spans="2:9">
      <c r="B225" s="4" t="s">
        <v>9</v>
      </c>
      <c r="C225" s="134">
        <v>0</v>
      </c>
      <c r="E225" s="134">
        <f>C225*$I219</f>
        <v>0</v>
      </c>
      <c r="F225" s="90"/>
      <c r="H225" s="4" t="s">
        <v>14</v>
      </c>
      <c r="I225" s="125">
        <v>96778</v>
      </c>
    </row>
    <row r="226" spans="2:9" ht="15" thickBot="1">
      <c r="B226" s="4"/>
      <c r="C226" s="134"/>
      <c r="E226" s="186"/>
      <c r="F226" s="90"/>
      <c r="H226" s="4" t="s">
        <v>53</v>
      </c>
      <c r="I226" s="125">
        <v>97385</v>
      </c>
    </row>
    <row r="227" spans="2:9" ht="15" thickBot="1">
      <c r="B227" s="95" t="s">
        <v>10</v>
      </c>
      <c r="C227" s="136">
        <f>SUM(C228:C229)</f>
        <v>56250</v>
      </c>
      <c r="E227" s="136">
        <f>SUM(E228:E229)</f>
        <v>7751.4572739675059</v>
      </c>
      <c r="F227" s="90"/>
      <c r="H227" s="126" t="s">
        <v>54</v>
      </c>
      <c r="I227" s="141">
        <f>SUM(I225:I226)</f>
        <v>194163</v>
      </c>
    </row>
    <row r="228" spans="2:9">
      <c r="B228" s="4" t="s">
        <v>11</v>
      </c>
      <c r="C228" s="19">
        <v>31492</v>
      </c>
      <c r="E228" s="134">
        <f>C228*$I219</f>
        <v>4339.7136439428386</v>
      </c>
      <c r="F228" s="90"/>
      <c r="H228" s="123" t="s">
        <v>55</v>
      </c>
      <c r="I228" s="189">
        <f>I227-C236-C237</f>
        <v>-97385</v>
      </c>
    </row>
    <row r="229" spans="2:9">
      <c r="B229" s="4" t="s">
        <v>9</v>
      </c>
      <c r="C229" s="19">
        <v>24758</v>
      </c>
      <c r="E229" s="134">
        <f>C229*$I219</f>
        <v>3411.7436300246668</v>
      </c>
      <c r="F229" s="90"/>
    </row>
    <row r="230" spans="2:9">
      <c r="B230" s="4"/>
      <c r="C230" s="134"/>
      <c r="E230" s="186"/>
      <c r="F230" s="90"/>
    </row>
    <row r="231" spans="2:9">
      <c r="B231" s="95" t="s">
        <v>28</v>
      </c>
      <c r="C231" s="136">
        <f>SUM(C232:C233)</f>
        <v>26952</v>
      </c>
      <c r="E231" s="136">
        <f>SUM(E232:E233)</f>
        <v>3714.0849146306168</v>
      </c>
      <c r="F231" s="90"/>
    </row>
    <row r="232" spans="2:9">
      <c r="B232" s="4" t="s">
        <v>7</v>
      </c>
      <c r="C232" s="19">
        <v>7801</v>
      </c>
      <c r="E232" s="134">
        <f>C232*$I219</f>
        <v>1075.0065456750312</v>
      </c>
      <c r="F232" s="90"/>
    </row>
    <row r="233" spans="2:9">
      <c r="B233" s="4" t="s">
        <v>10</v>
      </c>
      <c r="C233" s="19">
        <v>19151</v>
      </c>
      <c r="E233" s="134">
        <f>C233*$I219</f>
        <v>2639.0783689555856</v>
      </c>
      <c r="F233" s="90"/>
    </row>
    <row r="234" spans="2:9">
      <c r="B234" s="95"/>
      <c r="C234" s="134"/>
      <c r="F234" s="90"/>
    </row>
    <row r="235" spans="2:9">
      <c r="B235" s="98" t="s">
        <v>13</v>
      </c>
      <c r="C235" s="140">
        <f>SUM(C223,C227,C231)</f>
        <v>87432</v>
      </c>
      <c r="D235" s="142">
        <f>C235/C241</f>
        <v>1.5943688683030015</v>
      </c>
      <c r="E235" s="140">
        <f>SUM(E223,E227,E231)</f>
        <v>12048.451775600479</v>
      </c>
      <c r="F235" s="143">
        <f>E235/E241</f>
        <v>1.5856697590840929</v>
      </c>
    </row>
    <row r="236" spans="2:9">
      <c r="B236" s="100" t="s">
        <v>14</v>
      </c>
      <c r="C236" s="157">
        <f>Model!$AG$120</f>
        <v>194163</v>
      </c>
      <c r="D236" s="158"/>
      <c r="E236" s="159">
        <f>C236*$I219</f>
        <v>26756.376865517384</v>
      </c>
      <c r="F236" s="160"/>
    </row>
    <row r="237" spans="2:9">
      <c r="B237" s="100" t="s">
        <v>15</v>
      </c>
      <c r="C237" s="161">
        <f>Model!$AG$122</f>
        <v>97385</v>
      </c>
      <c r="D237" s="162"/>
      <c r="E237" s="163">
        <f>C237*$I219</f>
        <v>13420.011851116898</v>
      </c>
      <c r="F237" s="164"/>
    </row>
    <row r="238" spans="2:9">
      <c r="B238" s="98" t="s">
        <v>16</v>
      </c>
      <c r="C238" s="140">
        <f>C235-C236-C237</f>
        <v>-204116</v>
      </c>
      <c r="D238" s="142">
        <f>C238/C241</f>
        <v>-3.7221634632918779</v>
      </c>
      <c r="E238" s="140">
        <f>E235-E236-E237</f>
        <v>-28127.936941033804</v>
      </c>
      <c r="F238" s="143">
        <f>E238/E241</f>
        <v>-3.7018547962440382</v>
      </c>
    </row>
    <row r="239" spans="2:9">
      <c r="B239" s="102" t="s">
        <v>17</v>
      </c>
      <c r="C239" s="137">
        <f>Model!$AG$126</f>
        <v>308408</v>
      </c>
      <c r="E239" s="134">
        <f>C239*$I219</f>
        <v>42499.758843551477</v>
      </c>
      <c r="F239" s="90"/>
    </row>
    <row r="240" spans="2:9">
      <c r="B240" s="102" t="s">
        <v>18</v>
      </c>
      <c r="C240" s="136">
        <f>C238+C239</f>
        <v>104292</v>
      </c>
      <c r="E240" s="134">
        <f>C240*$I219</f>
        <v>14371.821902517673</v>
      </c>
      <c r="F240" s="90"/>
    </row>
    <row r="241" spans="2:6" ht="15" thickBot="1">
      <c r="B241" s="104" t="s">
        <v>19</v>
      </c>
      <c r="C241" s="135">
        <f>Model!$AG$87</f>
        <v>54838</v>
      </c>
      <c r="D241" s="132"/>
      <c r="E241" s="139">
        <f>C241*I220</f>
        <v>7598.3361015599166</v>
      </c>
      <c r="F241" s="133"/>
    </row>
    <row r="242" spans="2:6">
      <c r="B242" s="11" t="s">
        <v>20</v>
      </c>
      <c r="C242" s="10">
        <f>+C235-Model!$AG$119</f>
        <v>0</v>
      </c>
    </row>
    <row r="244" spans="2:6" ht="15" thickBot="1"/>
    <row r="245" spans="2:6">
      <c r="B245" s="5" t="s">
        <v>56</v>
      </c>
      <c r="C245" s="167" t="str">
        <f>C222</f>
        <v>RMB mn</v>
      </c>
      <c r="D245" s="165" t="s">
        <v>6</v>
      </c>
    </row>
    <row r="246" spans="2:6">
      <c r="B246" s="79" t="s">
        <v>14</v>
      </c>
      <c r="C246" s="170">
        <f>C236</f>
        <v>194163</v>
      </c>
      <c r="D246" s="171">
        <f>C246*I219</f>
        <v>26756.376865517384</v>
      </c>
    </row>
    <row r="247" spans="2:6">
      <c r="B247" s="79" t="s">
        <v>15</v>
      </c>
      <c r="C247" s="169">
        <f>C237</f>
        <v>97385</v>
      </c>
      <c r="D247" s="172">
        <f>C247*I219</f>
        <v>13420.011851116898</v>
      </c>
    </row>
    <row r="248" spans="2:6" ht="15" thickBot="1">
      <c r="B248" s="3" t="s">
        <v>22</v>
      </c>
      <c r="C248" s="173">
        <f>SUM(C246:C247)</f>
        <v>291548</v>
      </c>
      <c r="D248" s="168">
        <f>SUM(D246:D247)</f>
        <v>40176.388716634283</v>
      </c>
    </row>
    <row r="249" spans="2:6" ht="15" thickBot="1">
      <c r="B249" s="7"/>
      <c r="C249" s="136"/>
      <c r="D249" s="136"/>
    </row>
    <row r="250" spans="2:6" ht="15" thickBot="1">
      <c r="B250" s="153" t="s">
        <v>57</v>
      </c>
      <c r="C250" s="154" t="str">
        <f>C222</f>
        <v>RMB mn</v>
      </c>
      <c r="D250" s="155" t="s">
        <v>6</v>
      </c>
    </row>
    <row r="251" spans="2:6">
      <c r="B251" s="148">
        <v>2025</v>
      </c>
      <c r="C251" s="149">
        <v>7220.76</v>
      </c>
      <c r="D251" s="150">
        <f>C251*I219</f>
        <v>995.04733556575297</v>
      </c>
    </row>
    <row r="252" spans="2:6">
      <c r="B252" s="148">
        <v>2026</v>
      </c>
      <c r="C252" s="149">
        <v>3603.6</v>
      </c>
      <c r="D252" s="150">
        <f>C252*I219</f>
        <v>496.58935879945426</v>
      </c>
    </row>
    <row r="253" spans="2:6">
      <c r="B253" s="148">
        <v>2029</v>
      </c>
      <c r="C253" s="149">
        <v>14414.41</v>
      </c>
      <c r="D253" s="150">
        <f>C253*I219</f>
        <v>1986.3588132346658</v>
      </c>
    </row>
    <row r="254" spans="2:6" ht="15" thickBot="1">
      <c r="B254" s="148" t="s">
        <v>35</v>
      </c>
      <c r="C254" s="149">
        <f>C223+C227-SUM(C251:C253)</f>
        <v>35241.229999999996</v>
      </c>
      <c r="D254" s="150">
        <f>C254*I219</f>
        <v>4856.3713533699884</v>
      </c>
    </row>
    <row r="255" spans="2:6" ht="15" thickBot="1">
      <c r="B255" s="151" t="s">
        <v>25</v>
      </c>
      <c r="C255" s="152">
        <f>SUM(C251:C254)</f>
        <v>60480</v>
      </c>
      <c r="D255" s="152">
        <f>SUM(D251:D254)</f>
        <v>8334.3668609698616</v>
      </c>
    </row>
    <row r="257" spans="1:9">
      <c r="A257" s="145" t="s">
        <v>58</v>
      </c>
      <c r="H257" s="7" t="s">
        <v>59</v>
      </c>
      <c r="I257" s="147">
        <f>Model!$AF$206</f>
        <v>0.13699943830230296</v>
      </c>
    </row>
    <row r="258" spans="1:9">
      <c r="A258" s="145"/>
      <c r="H258" s="7" t="s">
        <v>60</v>
      </c>
      <c r="I258" s="147">
        <f>Model!$AF$205</f>
        <v>0.13906658508093675</v>
      </c>
    </row>
    <row r="259" spans="1:9" ht="15" thickBot="1">
      <c r="I259" s="147"/>
    </row>
    <row r="260" spans="1:9">
      <c r="B260" s="93" t="s">
        <v>61</v>
      </c>
      <c r="C260" s="94" t="s">
        <v>4</v>
      </c>
      <c r="D260" s="109" t="s">
        <v>5</v>
      </c>
      <c r="E260" s="94" t="s">
        <v>6</v>
      </c>
      <c r="F260" s="8" t="s">
        <v>5</v>
      </c>
    </row>
    <row r="261" spans="1:9" ht="15" thickBot="1">
      <c r="B261" s="95" t="s">
        <v>7</v>
      </c>
      <c r="C261" s="136">
        <f>SUM(C262:C263)</f>
        <v>7581</v>
      </c>
      <c r="E261" s="136">
        <f>C261*$I257</f>
        <v>1038.5927417697587</v>
      </c>
      <c r="F261" s="90"/>
    </row>
    <row r="262" spans="1:9">
      <c r="B262" s="4" t="s">
        <v>8</v>
      </c>
      <c r="C262" s="19">
        <v>7581</v>
      </c>
      <c r="E262" s="134">
        <f>C262*$I257</f>
        <v>1038.5927417697587</v>
      </c>
      <c r="F262" s="90"/>
      <c r="H262" s="130" t="s">
        <v>62</v>
      </c>
      <c r="I262" s="131" t="s">
        <v>4</v>
      </c>
    </row>
    <row r="263" spans="1:9">
      <c r="B263" s="4" t="s">
        <v>9</v>
      </c>
      <c r="C263" s="134">
        <v>0</v>
      </c>
      <c r="E263" s="134">
        <f>C263*$I257</f>
        <v>0</v>
      </c>
      <c r="F263" s="90"/>
      <c r="H263" s="4" t="s">
        <v>14</v>
      </c>
      <c r="I263" s="125">
        <v>108350</v>
      </c>
    </row>
    <row r="264" spans="1:9" ht="15" thickBot="1">
      <c r="B264" s="4"/>
      <c r="C264" s="134"/>
      <c r="E264" s="186"/>
      <c r="F264" s="90"/>
      <c r="H264" s="4" t="s">
        <v>53</v>
      </c>
      <c r="I264" s="125">
        <v>125645</v>
      </c>
    </row>
    <row r="265" spans="1:9" ht="15" thickBot="1">
      <c r="B265" s="95" t="s">
        <v>10</v>
      </c>
      <c r="C265" s="136">
        <f>SUM(C266:C267)</f>
        <v>56475</v>
      </c>
      <c r="E265" s="136">
        <f>C265*$I257</f>
        <v>7737.04327812256</v>
      </c>
      <c r="F265" s="90"/>
      <c r="H265" s="126" t="s">
        <v>54</v>
      </c>
      <c r="I265" s="141">
        <f>SUM(I263:I264)</f>
        <v>233995</v>
      </c>
    </row>
    <row r="266" spans="1:9">
      <c r="B266" s="4" t="s">
        <v>11</v>
      </c>
      <c r="C266" s="19">
        <v>31705</v>
      </c>
      <c r="E266" s="134">
        <f>C266*$I257</f>
        <v>4343.5671913745155</v>
      </c>
      <c r="F266" s="90"/>
      <c r="H266" s="128" t="s">
        <v>55</v>
      </c>
      <c r="I266" s="129">
        <f>I265-C274-C275</f>
        <v>-251290</v>
      </c>
    </row>
    <row r="267" spans="1:9">
      <c r="B267" s="4" t="s">
        <v>9</v>
      </c>
      <c r="C267" s="19">
        <v>24770</v>
      </c>
      <c r="E267" s="134">
        <f>C267*$I257</f>
        <v>3393.4760867480445</v>
      </c>
      <c r="F267" s="90"/>
    </row>
    <row r="268" spans="1:9">
      <c r="B268" s="4"/>
      <c r="C268" s="134"/>
      <c r="E268" s="186"/>
      <c r="F268" s="90"/>
    </row>
    <row r="269" spans="1:9">
      <c r="B269" s="95" t="s">
        <v>28</v>
      </c>
      <c r="C269" s="136">
        <f>SUM(C270:C271)</f>
        <v>25712</v>
      </c>
      <c r="E269" s="136">
        <f>C269*$I257</f>
        <v>3522.5295576288136</v>
      </c>
      <c r="F269" s="90"/>
    </row>
    <row r="270" spans="1:9">
      <c r="B270" s="4" t="s">
        <v>7</v>
      </c>
      <c r="C270" s="19">
        <v>7606</v>
      </c>
      <c r="E270" s="134">
        <f>C270*$I257</f>
        <v>1042.0177277273162</v>
      </c>
      <c r="F270" s="90"/>
    </row>
    <row r="271" spans="1:9">
      <c r="B271" s="4" t="s">
        <v>10</v>
      </c>
      <c r="C271" s="19">
        <v>18106</v>
      </c>
      <c r="E271" s="134">
        <f>C271*$I257</f>
        <v>2480.5118299014975</v>
      </c>
      <c r="F271" s="90"/>
    </row>
    <row r="272" spans="1:9">
      <c r="B272" s="95"/>
      <c r="C272" s="134"/>
      <c r="F272" s="90"/>
    </row>
    <row r="273" spans="2:6">
      <c r="B273" s="98" t="s">
        <v>13</v>
      </c>
      <c r="C273" s="140">
        <f>SUM(C261,C265,C269)</f>
        <v>89768</v>
      </c>
      <c r="D273" s="142">
        <f>C273/C279</f>
        <v>1.7288677464707356</v>
      </c>
      <c r="E273" s="140">
        <f>SUM(E261,E265,E269)</f>
        <v>12298.165577521133</v>
      </c>
      <c r="F273" s="143">
        <f>E273/E279</f>
        <v>1.7031690972177835</v>
      </c>
    </row>
    <row r="274" spans="2:6">
      <c r="B274" s="100" t="s">
        <v>14</v>
      </c>
      <c r="C274" s="157">
        <f>Model!$AF$120</f>
        <v>359640</v>
      </c>
      <c r="D274" s="158"/>
      <c r="E274" s="159">
        <f>C274*$I257</f>
        <v>49270.477991040236</v>
      </c>
      <c r="F274" s="160"/>
    </row>
    <row r="275" spans="2:6">
      <c r="B275" s="100" t="s">
        <v>15</v>
      </c>
      <c r="C275" s="161">
        <f>Model!$AF$122</f>
        <v>125645</v>
      </c>
      <c r="D275" s="162"/>
      <c r="E275" s="163">
        <f>C275*$I257</f>
        <v>17213.294425492855</v>
      </c>
      <c r="F275" s="164"/>
    </row>
    <row r="276" spans="2:6">
      <c r="B276" s="98" t="s">
        <v>16</v>
      </c>
      <c r="C276" s="140">
        <f>C273-C274-C275</f>
        <v>-395517</v>
      </c>
      <c r="D276" s="142">
        <f>C276/C279</f>
        <v>-7.6173757294455253</v>
      </c>
      <c r="E276" s="140">
        <f>E273-E274-E275</f>
        <v>-54185.606839011962</v>
      </c>
      <c r="F276" s="143">
        <f>E276/E279</f>
        <v>-7.5041477121500542</v>
      </c>
    </row>
    <row r="277" spans="2:6">
      <c r="B277" s="102" t="s">
        <v>17</v>
      </c>
      <c r="C277" s="137">
        <f>Model!$AF$126</f>
        <v>312813</v>
      </c>
      <c r="E277" s="134">
        <f>C277*$I257</f>
        <v>42855.205293658299</v>
      </c>
      <c r="F277" s="90"/>
    </row>
    <row r="278" spans="2:6">
      <c r="B278" s="102" t="s">
        <v>18</v>
      </c>
      <c r="C278" s="136">
        <f>C276+C277</f>
        <v>-82704</v>
      </c>
      <c r="E278" s="134">
        <f>C278*$I257</f>
        <v>-11330.401545353665</v>
      </c>
      <c r="F278" s="90"/>
    </row>
    <row r="279" spans="2:6" ht="15" thickBot="1">
      <c r="B279" s="104" t="s">
        <v>19</v>
      </c>
      <c r="C279" s="135">
        <f>Model!$AF$87</f>
        <v>51923</v>
      </c>
      <c r="D279" s="132"/>
      <c r="E279" s="139">
        <f>C279*I258</f>
        <v>7220.7542971574785</v>
      </c>
      <c r="F279" s="133"/>
    </row>
    <row r="280" spans="2:6">
      <c r="B280" s="11" t="s">
        <v>20</v>
      </c>
      <c r="C280" s="10">
        <f>+C273-Model!$AF$119</f>
        <v>0</v>
      </c>
    </row>
    <row r="282" spans="2:6" ht="15" thickBot="1"/>
    <row r="283" spans="2:6">
      <c r="B283" s="5" t="s">
        <v>63</v>
      </c>
      <c r="C283" s="167" t="str">
        <f>C260</f>
        <v>RMB mn</v>
      </c>
      <c r="D283" s="165" t="s">
        <v>6</v>
      </c>
    </row>
    <row r="284" spans="2:6">
      <c r="B284" s="79" t="s">
        <v>14</v>
      </c>
      <c r="C284" s="170">
        <f>C274</f>
        <v>359640</v>
      </c>
      <c r="D284" s="171">
        <f>C284*I257</f>
        <v>49270.477991040236</v>
      </c>
    </row>
    <row r="285" spans="2:6">
      <c r="B285" s="79" t="s">
        <v>15</v>
      </c>
      <c r="C285" s="169">
        <f>C275</f>
        <v>125645</v>
      </c>
      <c r="D285" s="172">
        <f>C285*I257</f>
        <v>17213.294425492855</v>
      </c>
    </row>
    <row r="286" spans="2:6" ht="15" thickBot="1">
      <c r="B286" s="3" t="s">
        <v>22</v>
      </c>
      <c r="C286" s="173">
        <f>SUM(C284:C285)</f>
        <v>485285</v>
      </c>
      <c r="D286" s="168">
        <f>SUM(D284:D285)</f>
        <v>66483.772416533087</v>
      </c>
    </row>
    <row r="287" spans="2:6" ht="15" thickBot="1">
      <c r="B287" s="7"/>
      <c r="C287" s="136"/>
      <c r="D287" s="136"/>
    </row>
    <row r="288" spans="2:6" ht="15" thickBot="1">
      <c r="B288" s="153" t="s">
        <v>64</v>
      </c>
      <c r="C288" s="154" t="str">
        <f>C260</f>
        <v>RMB mn</v>
      </c>
      <c r="D288" s="155" t="s">
        <v>6</v>
      </c>
    </row>
    <row r="289" spans="1:9">
      <c r="B289" s="148">
        <v>2025</v>
      </c>
      <c r="C289" s="149">
        <v>3739.13</v>
      </c>
      <c r="D289" s="150">
        <f>C289*I257</f>
        <v>512.25870973929011</v>
      </c>
    </row>
    <row r="290" spans="1:9">
      <c r="B290" s="148">
        <v>2026</v>
      </c>
      <c r="C290" s="149">
        <v>10892.41</v>
      </c>
      <c r="D290" s="150">
        <f>C290*I257</f>
        <v>1492.2540517583877</v>
      </c>
    </row>
    <row r="291" spans="1:9">
      <c r="B291" s="148">
        <v>2027</v>
      </c>
      <c r="C291" s="149">
        <v>0</v>
      </c>
      <c r="D291" s="150">
        <f>C291*I257</f>
        <v>0</v>
      </c>
    </row>
    <row r="292" spans="1:9" ht="15" thickBot="1">
      <c r="B292" s="148" t="s">
        <v>65</v>
      </c>
      <c r="C292" s="149">
        <f>C261+C265-SUM(C289:C291)</f>
        <v>49424.46</v>
      </c>
      <c r="D292" s="150">
        <f>C292*I257</f>
        <v>6771.1232583946403</v>
      </c>
    </row>
    <row r="293" spans="1:9" ht="15" thickBot="1">
      <c r="B293" s="151" t="s">
        <v>25</v>
      </c>
      <c r="C293" s="152">
        <f>SUM(C289:C292)</f>
        <v>64056</v>
      </c>
      <c r="D293" s="152">
        <f>SUM(D289:D292)</f>
        <v>8775.6360198923176</v>
      </c>
    </row>
    <row r="296" spans="1:9">
      <c r="A296" s="145" t="s">
        <v>66</v>
      </c>
      <c r="H296" s="7" t="s">
        <v>67</v>
      </c>
      <c r="I296" s="147">
        <f>Model!$AE$206</f>
        <v>0.14249999999999999</v>
      </c>
    </row>
    <row r="297" spans="1:9">
      <c r="A297" s="145"/>
      <c r="H297" s="7" t="s">
        <v>68</v>
      </c>
      <c r="I297" s="147">
        <f>Model!$AE$205</f>
        <v>0.1396</v>
      </c>
    </row>
    <row r="298" spans="1:9" ht="15" thickBot="1">
      <c r="I298" s="147"/>
    </row>
    <row r="299" spans="1:9">
      <c r="B299" s="93" t="s">
        <v>69</v>
      </c>
      <c r="C299" s="94" t="s">
        <v>4</v>
      </c>
      <c r="D299" s="109" t="s">
        <v>5</v>
      </c>
      <c r="E299" s="94" t="s">
        <v>6</v>
      </c>
      <c r="F299" s="8" t="s">
        <v>5</v>
      </c>
    </row>
    <row r="300" spans="1:9" ht="15" thickBot="1">
      <c r="B300" s="95" t="s">
        <v>7</v>
      </c>
      <c r="C300" s="136">
        <f>SUM(C301:C302)</f>
        <v>9684</v>
      </c>
      <c r="E300" s="156">
        <f>C300*$I296</f>
        <v>1379.9699999999998</v>
      </c>
      <c r="F300" s="90"/>
    </row>
    <row r="301" spans="1:9">
      <c r="B301" s="4" t="s">
        <v>8</v>
      </c>
      <c r="C301" s="19">
        <v>9684</v>
      </c>
      <c r="E301" s="144">
        <f>C301*$I296</f>
        <v>1379.9699999999998</v>
      </c>
      <c r="F301" s="90"/>
      <c r="H301" s="130" t="s">
        <v>70</v>
      </c>
      <c r="I301" s="131" t="s">
        <v>4</v>
      </c>
    </row>
    <row r="302" spans="1:9">
      <c r="B302" s="4" t="s">
        <v>9</v>
      </c>
      <c r="C302" s="134">
        <v>0</v>
      </c>
      <c r="E302" s="144">
        <f>C302*$I296</f>
        <v>0</v>
      </c>
      <c r="F302" s="90"/>
      <c r="H302" s="4" t="s">
        <v>14</v>
      </c>
      <c r="I302" s="125">
        <v>99092</v>
      </c>
    </row>
    <row r="303" spans="1:9" ht="15" thickBot="1">
      <c r="B303" s="4"/>
      <c r="C303" s="134"/>
      <c r="F303" s="90"/>
      <c r="H303" s="4" t="s">
        <v>53</v>
      </c>
      <c r="I303" s="125">
        <v>91801</v>
      </c>
    </row>
    <row r="304" spans="1:9" ht="15" thickBot="1">
      <c r="B304" s="95" t="s">
        <v>10</v>
      </c>
      <c r="C304" s="136">
        <f>SUM(C305:C306)</f>
        <v>53847</v>
      </c>
      <c r="E304" s="156">
        <f>C304*$I296</f>
        <v>7673.1974999999993</v>
      </c>
      <c r="F304" s="90"/>
      <c r="H304" s="126" t="s">
        <v>54</v>
      </c>
      <c r="I304" s="141">
        <f>SUM(I302:I303)</f>
        <v>190893</v>
      </c>
    </row>
    <row r="305" spans="2:9">
      <c r="B305" s="4" t="s">
        <v>11</v>
      </c>
      <c r="C305" s="19">
        <v>29721</v>
      </c>
      <c r="E305" s="144">
        <f>C305*$I296</f>
        <v>4235.2424999999994</v>
      </c>
      <c r="F305" s="90"/>
      <c r="H305" s="128" t="s">
        <v>55</v>
      </c>
      <c r="I305" s="129">
        <f>I304-C313-C314</f>
        <v>-91801</v>
      </c>
    </row>
    <row r="306" spans="2:9">
      <c r="B306" s="4" t="s">
        <v>9</v>
      </c>
      <c r="C306" s="19">
        <v>24126</v>
      </c>
      <c r="E306" s="144">
        <f>C306*$I296</f>
        <v>3437.9549999999999</v>
      </c>
      <c r="F306" s="90"/>
    </row>
    <row r="307" spans="2:9">
      <c r="B307" s="4"/>
      <c r="C307" s="134"/>
      <c r="F307" s="90"/>
    </row>
    <row r="308" spans="2:9">
      <c r="B308" s="95" t="s">
        <v>28</v>
      </c>
      <c r="C308" s="136">
        <f>SUM(C309:C310)</f>
        <v>24467</v>
      </c>
      <c r="E308" s="156">
        <f>C308*$I296</f>
        <v>3486.5474999999997</v>
      </c>
      <c r="F308" s="90"/>
    </row>
    <row r="309" spans="2:9">
      <c r="B309" s="4" t="s">
        <v>7</v>
      </c>
      <c r="C309" s="19">
        <v>7675</v>
      </c>
      <c r="E309" s="144">
        <f>C309*$I296</f>
        <v>1093.6875</v>
      </c>
      <c r="F309" s="90"/>
    </row>
    <row r="310" spans="2:9">
      <c r="B310" s="4" t="s">
        <v>10</v>
      </c>
      <c r="C310" s="19">
        <v>16792</v>
      </c>
      <c r="E310" s="144">
        <f>C310*$I296</f>
        <v>2392.8599999999997</v>
      </c>
      <c r="F310" s="90"/>
    </row>
    <row r="311" spans="2:9">
      <c r="B311" s="95"/>
      <c r="C311" s="134"/>
      <c r="F311" s="90"/>
    </row>
    <row r="312" spans="2:9">
      <c r="B312" s="98" t="s">
        <v>13</v>
      </c>
      <c r="C312" s="140">
        <f>SUM(C300,C304,C308)</f>
        <v>87998</v>
      </c>
      <c r="D312" s="142">
        <f>C312/C318</f>
        <v>1.7938640301702171</v>
      </c>
      <c r="E312" s="140">
        <f>SUM(E300,E304,E308)</f>
        <v>12539.715</v>
      </c>
      <c r="F312" s="143">
        <f>E312/E318</f>
        <v>1.831129113891518</v>
      </c>
    </row>
    <row r="313" spans="2:9">
      <c r="B313" s="100" t="s">
        <v>14</v>
      </c>
      <c r="C313" s="157">
        <f>Model!$AE$120</f>
        <v>190893</v>
      </c>
      <c r="D313" s="158"/>
      <c r="E313" s="159">
        <f>C313*$I296</f>
        <v>27202.252499999999</v>
      </c>
      <c r="F313" s="160"/>
    </row>
    <row r="314" spans="2:9">
      <c r="B314" s="100" t="s">
        <v>15</v>
      </c>
      <c r="C314" s="161">
        <f>Model!$AE$122</f>
        <v>91801</v>
      </c>
      <c r="D314" s="162"/>
      <c r="E314" s="163">
        <f>C314*$I296</f>
        <v>13081.642499999998</v>
      </c>
      <c r="F314" s="164"/>
    </row>
    <row r="315" spans="2:9">
      <c r="B315" s="98" t="s">
        <v>16</v>
      </c>
      <c r="C315" s="140">
        <f>C312-C313-C314</f>
        <v>-194696</v>
      </c>
      <c r="D315" s="142">
        <f>C315/C318</f>
        <v>-3.9689328304963816</v>
      </c>
      <c r="E315" s="140">
        <f>E312-E313-E314</f>
        <v>-27744.179999999997</v>
      </c>
      <c r="F315" s="143">
        <f>E315/E318</f>
        <v>-4.0513820082072654</v>
      </c>
    </row>
    <row r="316" spans="2:9">
      <c r="B316" s="102" t="s">
        <v>17</v>
      </c>
      <c r="C316" s="137">
        <f>Model!$AE$126</f>
        <v>296274</v>
      </c>
      <c r="E316" s="134">
        <f>C316*$I296</f>
        <v>42219.044999999998</v>
      </c>
      <c r="F316" s="90"/>
    </row>
    <row r="317" spans="2:9">
      <c r="B317" s="102" t="s">
        <v>18</v>
      </c>
      <c r="C317" s="136">
        <f>C315+C316</f>
        <v>101578</v>
      </c>
      <c r="E317" s="134">
        <f>C317*$I296</f>
        <v>14474.864999999998</v>
      </c>
      <c r="F317" s="90"/>
    </row>
    <row r="318" spans="2:9" ht="15" thickBot="1">
      <c r="B318" s="104" t="s">
        <v>19</v>
      </c>
      <c r="C318" s="135">
        <f>Model!$AE$87</f>
        <v>49055</v>
      </c>
      <c r="D318" s="132"/>
      <c r="E318" s="139">
        <f>C318*I297</f>
        <v>6848.0780000000004</v>
      </c>
      <c r="F318" s="133"/>
    </row>
    <row r="319" spans="2:9">
      <c r="B319" s="11" t="s">
        <v>20</v>
      </c>
      <c r="C319" s="10">
        <f>+C312-Model!$AE$119</f>
        <v>0</v>
      </c>
    </row>
    <row r="321" spans="1:9" ht="15" thickBot="1"/>
    <row r="322" spans="1:9">
      <c r="B322" s="5" t="s">
        <v>71</v>
      </c>
      <c r="C322" s="167" t="str">
        <f>C299</f>
        <v>RMB mn</v>
      </c>
      <c r="D322" s="165" t="s">
        <v>6</v>
      </c>
    </row>
    <row r="323" spans="1:9">
      <c r="B323" s="79" t="s">
        <v>14</v>
      </c>
      <c r="C323" s="170">
        <f>C313</f>
        <v>190893</v>
      </c>
      <c r="D323" s="171">
        <f>C323*I296</f>
        <v>27202.252499999999</v>
      </c>
    </row>
    <row r="324" spans="1:9">
      <c r="B324" s="79" t="s">
        <v>15</v>
      </c>
      <c r="C324" s="169">
        <f>C314</f>
        <v>91801</v>
      </c>
      <c r="D324" s="172">
        <f>C324*I296</f>
        <v>13081.642499999998</v>
      </c>
    </row>
    <row r="325" spans="1:9" ht="15" thickBot="1">
      <c r="B325" s="3" t="s">
        <v>22</v>
      </c>
      <c r="C325" s="173">
        <f>SUM(C323:C324)</f>
        <v>282694</v>
      </c>
      <c r="D325" s="168">
        <f>SUM(D323:D324)</f>
        <v>40283.894999999997</v>
      </c>
    </row>
    <row r="326" spans="1:9" ht="15" thickBot="1">
      <c r="B326" s="7"/>
      <c r="C326" s="136"/>
      <c r="D326" s="136"/>
    </row>
    <row r="327" spans="1:9" ht="15" thickBot="1">
      <c r="B327" s="153" t="s">
        <v>72</v>
      </c>
      <c r="C327" s="154" t="str">
        <f>C299</f>
        <v>RMB mn</v>
      </c>
      <c r="D327" s="155" t="s">
        <v>6</v>
      </c>
    </row>
    <row r="328" spans="1:9">
      <c r="B328" s="148">
        <v>2025</v>
      </c>
      <c r="C328" s="149">
        <v>3738.28</v>
      </c>
      <c r="D328" s="150">
        <f>C328*I296</f>
        <v>532.70489999999995</v>
      </c>
    </row>
    <row r="329" spans="1:9">
      <c r="B329" s="148">
        <v>2026</v>
      </c>
      <c r="C329" s="149">
        <v>10892.46</v>
      </c>
      <c r="D329" s="150">
        <f>C329*I296</f>
        <v>1552.1755499999997</v>
      </c>
    </row>
    <row r="330" spans="1:9">
      <c r="B330" s="148">
        <v>2027</v>
      </c>
      <c r="C330" s="149">
        <v>0</v>
      </c>
      <c r="D330" s="150">
        <f>C330*I296</f>
        <v>0</v>
      </c>
    </row>
    <row r="331" spans="1:9" ht="15" thickBot="1">
      <c r="B331" s="148" t="s">
        <v>65</v>
      </c>
      <c r="C331" s="149">
        <f>C312-SUM(C328:C330)</f>
        <v>73367.259999999995</v>
      </c>
      <c r="D331" s="150">
        <f>C331*I296</f>
        <v>10454.834549999998</v>
      </c>
    </row>
    <row r="332" spans="1:9" ht="15" thickBot="1">
      <c r="B332" s="151" t="s">
        <v>25</v>
      </c>
      <c r="C332" s="152">
        <f>SUM(C328:C331)</f>
        <v>87998</v>
      </c>
      <c r="D332" s="152">
        <f>SUM(D328:D331)</f>
        <v>12539.714999999997</v>
      </c>
    </row>
    <row r="335" spans="1:9">
      <c r="A335" s="145" t="s">
        <v>73</v>
      </c>
      <c r="H335" s="7" t="s">
        <v>74</v>
      </c>
      <c r="I335" s="147">
        <f>Model!$AD$206</f>
        <v>0.1376</v>
      </c>
    </row>
    <row r="336" spans="1:9">
      <c r="A336" s="145"/>
      <c r="H336" s="7" t="s">
        <v>75</v>
      </c>
      <c r="I336" s="147">
        <f>Model!$AD$205</f>
        <v>0.1381</v>
      </c>
    </row>
    <row r="337" spans="2:9" ht="15" thickBot="1">
      <c r="I337" s="147"/>
    </row>
    <row r="338" spans="2:9">
      <c r="B338" s="93" t="s">
        <v>76</v>
      </c>
      <c r="C338" s="94" t="s">
        <v>4</v>
      </c>
      <c r="D338" s="109" t="s">
        <v>5</v>
      </c>
      <c r="E338" s="94" t="s">
        <v>6</v>
      </c>
      <c r="F338" s="8" t="s">
        <v>5</v>
      </c>
    </row>
    <row r="339" spans="2:9" ht="15" thickBot="1">
      <c r="B339" s="95" t="s">
        <v>7</v>
      </c>
      <c r="C339" s="136">
        <f>SUM(C340:C341)</f>
        <v>5601</v>
      </c>
      <c r="E339" s="156">
        <f>C339*$I335</f>
        <v>770.69759999999997</v>
      </c>
      <c r="F339" s="90"/>
    </row>
    <row r="340" spans="2:9">
      <c r="B340" s="4" t="s">
        <v>8</v>
      </c>
      <c r="C340" s="19">
        <v>5601</v>
      </c>
      <c r="E340" s="144">
        <f>C340*$I335</f>
        <v>770.69759999999997</v>
      </c>
      <c r="F340" s="90"/>
      <c r="H340" s="130" t="s">
        <v>77</v>
      </c>
      <c r="I340" s="131" t="s">
        <v>4</v>
      </c>
    </row>
    <row r="341" spans="2:9">
      <c r="B341" s="4" t="s">
        <v>9</v>
      </c>
      <c r="C341" s="134">
        <v>0</v>
      </c>
      <c r="E341" s="144">
        <f>C341*$I335</f>
        <v>0</v>
      </c>
      <c r="F341" s="90"/>
      <c r="H341" s="4" t="s">
        <v>14</v>
      </c>
      <c r="I341" s="125">
        <v>84496</v>
      </c>
    </row>
    <row r="342" spans="2:9" ht="15" thickBot="1">
      <c r="B342" s="4"/>
      <c r="C342" s="134"/>
      <c r="F342" s="90"/>
      <c r="H342" s="4" t="s">
        <v>53</v>
      </c>
      <c r="I342" s="125">
        <v>117406</v>
      </c>
    </row>
    <row r="343" spans="2:9" ht="15" thickBot="1">
      <c r="B343" s="95" t="s">
        <v>10</v>
      </c>
      <c r="C343" s="136">
        <f>SUM(C344:C345)</f>
        <v>56781</v>
      </c>
      <c r="E343" s="156">
        <f>C343*$I335</f>
        <v>7813.0655999999999</v>
      </c>
      <c r="F343" s="90"/>
      <c r="H343" s="126" t="s">
        <v>54</v>
      </c>
      <c r="I343" s="141">
        <f>SUM(I341:I342)</f>
        <v>201902</v>
      </c>
    </row>
    <row r="344" spans="2:9">
      <c r="B344" s="4" t="s">
        <v>11</v>
      </c>
      <c r="C344" s="19">
        <v>32267</v>
      </c>
      <c r="E344" s="144">
        <f>C344*$I335</f>
        <v>4439.9391999999998</v>
      </c>
      <c r="F344" s="90"/>
      <c r="H344" s="128" t="s">
        <v>55</v>
      </c>
      <c r="I344" s="129">
        <f>I343-C352-C353</f>
        <v>-117406</v>
      </c>
    </row>
    <row r="345" spans="2:9">
      <c r="B345" s="4" t="s">
        <v>9</v>
      </c>
      <c r="C345" s="19">
        <v>24514</v>
      </c>
      <c r="E345" s="144">
        <f>C345*$I335</f>
        <v>3373.1264000000001</v>
      </c>
      <c r="F345" s="90"/>
    </row>
    <row r="346" spans="2:9">
      <c r="B346" s="4"/>
      <c r="C346" s="134"/>
      <c r="F346" s="90"/>
    </row>
    <row r="347" spans="2:9">
      <c r="B347" s="95" t="s">
        <v>28</v>
      </c>
      <c r="C347" s="136">
        <f>SUM(C348:C349)</f>
        <v>23808</v>
      </c>
      <c r="E347" s="156">
        <f>C347*$I335</f>
        <v>3275.9807999999998</v>
      </c>
      <c r="F347" s="90"/>
    </row>
    <row r="348" spans="2:9">
      <c r="B348" s="4" t="s">
        <v>7</v>
      </c>
      <c r="C348" s="19">
        <v>7843</v>
      </c>
      <c r="E348" s="144">
        <f>C348*$I335</f>
        <v>1079.1967999999999</v>
      </c>
      <c r="F348" s="90"/>
    </row>
    <row r="349" spans="2:9">
      <c r="B349" s="4" t="s">
        <v>10</v>
      </c>
      <c r="C349" s="19">
        <v>15965</v>
      </c>
      <c r="E349" s="144">
        <f>C349*$I335</f>
        <v>2196.7840000000001</v>
      </c>
      <c r="F349" s="90"/>
    </row>
    <row r="350" spans="2:9">
      <c r="B350" s="95"/>
      <c r="C350" s="134"/>
      <c r="F350" s="90"/>
    </row>
    <row r="351" spans="2:9">
      <c r="B351" s="98" t="s">
        <v>13</v>
      </c>
      <c r="C351" s="140">
        <f>SUM(C339,C343,C347)</f>
        <v>86190</v>
      </c>
      <c r="D351" s="142">
        <f>C351/C357</f>
        <v>1.8390338617790769</v>
      </c>
      <c r="E351" s="140">
        <f>SUM(E339,E343,E347)</f>
        <v>11859.743999999999</v>
      </c>
      <c r="F351" s="143">
        <f>E351/E357</f>
        <v>1.8323755204981966</v>
      </c>
    </row>
    <row r="352" spans="2:9">
      <c r="B352" s="100" t="s">
        <v>14</v>
      </c>
      <c r="C352" s="157">
        <f>Model!$AD$120</f>
        <v>201902</v>
      </c>
      <c r="D352" s="158"/>
      <c r="E352" s="159">
        <f>C352*$I335</f>
        <v>27781.715199999999</v>
      </c>
      <c r="F352" s="160"/>
    </row>
    <row r="353" spans="2:6">
      <c r="B353" s="100" t="s">
        <v>15</v>
      </c>
      <c r="C353" s="161">
        <f>Model!$AD$122</f>
        <v>117406</v>
      </c>
      <c r="D353" s="162"/>
      <c r="E353" s="163">
        <f>C353*$I335</f>
        <v>16155.0656</v>
      </c>
      <c r="F353" s="164"/>
    </row>
    <row r="354" spans="2:6">
      <c r="B354" s="98" t="s">
        <v>16</v>
      </c>
      <c r="C354" s="140">
        <f>C351-C352-C353</f>
        <v>-233118</v>
      </c>
      <c r="D354" s="142">
        <f>C354/C357</f>
        <v>-4.9740329016152094</v>
      </c>
      <c r="E354" s="140">
        <f>E351-E352-E353</f>
        <v>-32077.036800000002</v>
      </c>
      <c r="F354" s="143">
        <f>E354/E357</f>
        <v>-4.9560240931372395</v>
      </c>
    </row>
    <row r="355" spans="2:6">
      <c r="B355" s="102" t="s">
        <v>17</v>
      </c>
      <c r="C355" s="137">
        <f>Model!$AD$126</f>
        <v>287328</v>
      </c>
      <c r="E355" s="134">
        <f>C355*$I335</f>
        <v>39536.332799999996</v>
      </c>
      <c r="F355" s="90"/>
    </row>
    <row r="356" spans="2:6">
      <c r="B356" s="102" t="s">
        <v>18</v>
      </c>
      <c r="C356" s="136">
        <f>C354+C355</f>
        <v>54210</v>
      </c>
      <c r="E356" s="134">
        <f>C356*$I335</f>
        <v>7459.2960000000003</v>
      </c>
      <c r="F356" s="90"/>
    </row>
    <row r="357" spans="2:6" ht="15" thickBot="1">
      <c r="B357" s="104" t="s">
        <v>19</v>
      </c>
      <c r="C357" s="135">
        <f>Model!$AD$87</f>
        <v>46867</v>
      </c>
      <c r="D357" s="132"/>
      <c r="E357" s="139">
        <f>C357*I336</f>
        <v>6472.3326999999999</v>
      </c>
      <c r="F357" s="133"/>
    </row>
    <row r="358" spans="2:6">
      <c r="B358" s="11" t="s">
        <v>20</v>
      </c>
      <c r="C358" s="10">
        <f>+C351-Model!$AD$119</f>
        <v>0</v>
      </c>
    </row>
    <row r="360" spans="2:6" ht="15" thickBot="1"/>
    <row r="361" spans="2:6">
      <c r="B361" s="5" t="s">
        <v>78</v>
      </c>
      <c r="C361" s="167" t="str">
        <f>C338</f>
        <v>RMB mn</v>
      </c>
      <c r="D361" s="165" t="s">
        <v>6</v>
      </c>
    </row>
    <row r="362" spans="2:6">
      <c r="B362" s="79" t="s">
        <v>14</v>
      </c>
      <c r="C362" s="170">
        <f>C352</f>
        <v>201902</v>
      </c>
      <c r="D362" s="171">
        <f>C362*I335</f>
        <v>27781.715199999999</v>
      </c>
    </row>
    <row r="363" spans="2:6">
      <c r="B363" s="79" t="s">
        <v>15</v>
      </c>
      <c r="C363" s="169">
        <f>C353</f>
        <v>117406</v>
      </c>
      <c r="D363" s="172">
        <f>C363*I335</f>
        <v>16155.0656</v>
      </c>
    </row>
    <row r="364" spans="2:6" ht="15" thickBot="1">
      <c r="B364" s="3" t="s">
        <v>22</v>
      </c>
      <c r="C364" s="173">
        <f>SUM(C362:C363)</f>
        <v>319308</v>
      </c>
      <c r="D364" s="168">
        <f>SUM(D362:D363)</f>
        <v>43936.7808</v>
      </c>
    </row>
    <row r="365" spans="2:6" ht="15" thickBot="1">
      <c r="B365" s="7"/>
      <c r="C365" s="136"/>
      <c r="D365" s="136"/>
    </row>
    <row r="366" spans="2:6" ht="15" thickBot="1">
      <c r="B366" s="153" t="s">
        <v>79</v>
      </c>
      <c r="C366" s="154" t="str">
        <f>C338</f>
        <v>RMB mn</v>
      </c>
      <c r="D366" s="155" t="s">
        <v>6</v>
      </c>
    </row>
    <row r="367" spans="2:6">
      <c r="B367" s="148">
        <v>2024</v>
      </c>
      <c r="C367" s="149">
        <v>1396</v>
      </c>
      <c r="D367" s="150">
        <f>C367*I335</f>
        <v>192.08959999999999</v>
      </c>
    </row>
    <row r="368" spans="2:6">
      <c r="B368" s="148">
        <v>2025</v>
      </c>
      <c r="C368" s="149">
        <v>3709.97</v>
      </c>
      <c r="D368" s="150">
        <f>C368*I335</f>
        <v>510.491872</v>
      </c>
    </row>
    <row r="369" spans="1:11">
      <c r="B369" s="148">
        <v>2026</v>
      </c>
      <c r="C369" s="149">
        <v>10760.56</v>
      </c>
      <c r="D369" s="150">
        <f>C369*I335</f>
        <v>1480.6530559999999</v>
      </c>
    </row>
    <row r="370" spans="1:11" ht="15" thickBot="1">
      <c r="B370" s="148" t="s">
        <v>80</v>
      </c>
      <c r="C370" s="149">
        <f>C351-SUM(C367:C369)</f>
        <v>70323.47</v>
      </c>
      <c r="D370" s="150">
        <f>C370*I335</f>
        <v>9676.5094719999997</v>
      </c>
    </row>
    <row r="371" spans="1:11" ht="15" thickBot="1">
      <c r="B371" s="151" t="s">
        <v>25</v>
      </c>
      <c r="C371" s="152">
        <f>SUM(C367:C370)</f>
        <v>86190</v>
      </c>
      <c r="D371" s="152">
        <f>SUM(D367:D370)</f>
        <v>11859.743999999999</v>
      </c>
    </row>
    <row r="374" spans="1:11">
      <c r="A374" s="145" t="s">
        <v>81</v>
      </c>
      <c r="H374" s="7" t="s">
        <v>82</v>
      </c>
      <c r="I374" s="147">
        <f>Model!$AC$206</f>
        <v>0.1381</v>
      </c>
    </row>
    <row r="375" spans="1:11">
      <c r="A375" s="145"/>
      <c r="H375" s="7" t="s">
        <v>83</v>
      </c>
      <c r="I375" s="147">
        <f>Model!$AC$205</f>
        <v>0.13976666666666668</v>
      </c>
    </row>
    <row r="376" spans="1:11" ht="15" thickBot="1">
      <c r="I376" s="147"/>
    </row>
    <row r="377" spans="1:11">
      <c r="B377" s="93" t="s">
        <v>84</v>
      </c>
      <c r="C377" s="94" t="s">
        <v>4</v>
      </c>
      <c r="D377" s="109" t="s">
        <v>5</v>
      </c>
      <c r="E377" s="94" t="s">
        <v>6</v>
      </c>
      <c r="F377" s="8" t="s">
        <v>5</v>
      </c>
    </row>
    <row r="378" spans="1:11" ht="15" thickBot="1">
      <c r="B378" s="95" t="s">
        <v>7</v>
      </c>
      <c r="C378" s="136">
        <f>SUM(C379:C380)</f>
        <v>5267</v>
      </c>
      <c r="E378" s="156">
        <f>C378*$I374</f>
        <v>727.37270000000001</v>
      </c>
      <c r="F378" s="90"/>
    </row>
    <row r="379" spans="1:11">
      <c r="B379" s="4" t="s">
        <v>8</v>
      </c>
      <c r="C379" s="19">
        <v>5267</v>
      </c>
      <c r="E379" s="144">
        <f>C379*$I374</f>
        <v>727.37270000000001</v>
      </c>
      <c r="F379" s="90"/>
      <c r="H379" s="130" t="s">
        <v>85</v>
      </c>
      <c r="I379" s="131" t="s">
        <v>4</v>
      </c>
      <c r="K379" s="183"/>
    </row>
    <row r="380" spans="1:11">
      <c r="B380" s="4" t="s">
        <v>9</v>
      </c>
      <c r="C380" s="134">
        <v>0</v>
      </c>
      <c r="E380" s="144">
        <f>C380*$I374</f>
        <v>0</v>
      </c>
      <c r="F380" s="90"/>
      <c r="H380" s="4" t="s">
        <v>14</v>
      </c>
      <c r="I380" s="125">
        <v>81626</v>
      </c>
      <c r="K380" s="183"/>
    </row>
    <row r="381" spans="1:11" ht="15" thickBot="1">
      <c r="B381" s="4"/>
      <c r="C381" s="134"/>
      <c r="F381" s="90"/>
      <c r="H381" s="4" t="s">
        <v>53</v>
      </c>
      <c r="I381" s="125">
        <v>90371</v>
      </c>
    </row>
    <row r="382" spans="1:11" ht="15" thickBot="1">
      <c r="B382" s="95" t="s">
        <v>10</v>
      </c>
      <c r="C382" s="136">
        <f>SUM(C383:C384)</f>
        <v>42589</v>
      </c>
      <c r="E382" s="156">
        <f>C382*$I374</f>
        <v>5881.5409</v>
      </c>
      <c r="F382" s="90"/>
      <c r="H382" s="126" t="s">
        <v>54</v>
      </c>
      <c r="I382" s="141">
        <f>SUM(I380:I381)</f>
        <v>171997</v>
      </c>
    </row>
    <row r="383" spans="1:11">
      <c r="B383" s="4" t="s">
        <v>11</v>
      </c>
      <c r="C383" s="19">
        <v>32157</v>
      </c>
      <c r="E383" s="144">
        <f>C383*$I374</f>
        <v>4440.8816999999999</v>
      </c>
      <c r="F383" s="90"/>
      <c r="H383" s="128" t="s">
        <v>55</v>
      </c>
      <c r="I383" s="129">
        <f>I382-C391-C392</f>
        <v>-90371</v>
      </c>
    </row>
    <row r="384" spans="1:11">
      <c r="B384" s="4" t="s">
        <v>9</v>
      </c>
      <c r="C384" s="19">
        <v>10432</v>
      </c>
      <c r="E384" s="144">
        <f>C384*$I374</f>
        <v>1440.6592000000001</v>
      </c>
      <c r="F384" s="90"/>
    </row>
    <row r="385" spans="2:6">
      <c r="B385" s="4"/>
      <c r="C385" s="134"/>
      <c r="F385" s="90"/>
    </row>
    <row r="386" spans="2:6">
      <c r="B386" s="95" t="s">
        <v>28</v>
      </c>
      <c r="C386" s="136">
        <f>SUM(C387:C388)</f>
        <v>22123</v>
      </c>
      <c r="E386" s="156">
        <f>C386*$I374</f>
        <v>3055.1862999999998</v>
      </c>
      <c r="F386" s="90"/>
    </row>
    <row r="387" spans="2:6">
      <c r="B387" s="4" t="s">
        <v>7</v>
      </c>
      <c r="C387" s="19">
        <v>7859</v>
      </c>
      <c r="E387" s="144">
        <f>C387*$I374</f>
        <v>1085.3279</v>
      </c>
      <c r="F387" s="90"/>
    </row>
    <row r="388" spans="2:6">
      <c r="B388" s="4" t="s">
        <v>10</v>
      </c>
      <c r="C388" s="19">
        <v>14264</v>
      </c>
      <c r="E388" s="144">
        <f>C388*$I374</f>
        <v>1969.8584000000001</v>
      </c>
      <c r="F388" s="90"/>
    </row>
    <row r="389" spans="2:6">
      <c r="B389" s="95"/>
      <c r="C389" s="134"/>
      <c r="F389" s="90"/>
    </row>
    <row r="390" spans="2:6">
      <c r="B390" s="98" t="s">
        <v>13</v>
      </c>
      <c r="C390" s="140">
        <f>SUM(C378,C382,C386)</f>
        <v>69979</v>
      </c>
      <c r="D390" s="142">
        <f>C390/C396</f>
        <v>1.5998856881572932</v>
      </c>
      <c r="E390" s="140">
        <f>SUM(E378,E382,E386)</f>
        <v>9664.0998999999993</v>
      </c>
      <c r="F390" s="143">
        <f>E390/E396</f>
        <v>1.5808076332066932</v>
      </c>
    </row>
    <row r="391" spans="2:6">
      <c r="B391" s="100" t="s">
        <v>14</v>
      </c>
      <c r="C391" s="157">
        <f>Model!$AC$120</f>
        <v>171997</v>
      </c>
      <c r="D391" s="158"/>
      <c r="E391" s="159">
        <f>C391*$I374</f>
        <v>23752.7857</v>
      </c>
      <c r="F391" s="160"/>
    </row>
    <row r="392" spans="2:6">
      <c r="B392" s="100" t="s">
        <v>15</v>
      </c>
      <c r="C392" s="161">
        <f>Model!$AC$122</f>
        <v>90371</v>
      </c>
      <c r="D392" s="162"/>
      <c r="E392" s="163">
        <f>C392*$I374</f>
        <v>12480.2351</v>
      </c>
      <c r="F392" s="164"/>
    </row>
    <row r="393" spans="2:6">
      <c r="B393" s="98" t="s">
        <v>16</v>
      </c>
      <c r="C393" s="140">
        <f>C390-C391-C392</f>
        <v>-192389</v>
      </c>
      <c r="D393" s="142">
        <f>C393/C396</f>
        <v>-4.3984682213077271</v>
      </c>
      <c r="E393" s="140">
        <f>E390-E391-E392</f>
        <v>-26568.920900000001</v>
      </c>
      <c r="F393" s="143">
        <f>E393/E396</f>
        <v>-4.3460180874977139</v>
      </c>
    </row>
    <row r="394" spans="2:6">
      <c r="B394" s="102" t="s">
        <v>17</v>
      </c>
      <c r="C394" s="137">
        <f>Model!$AC$126</f>
        <v>287345</v>
      </c>
      <c r="E394" s="134">
        <f>C394*$I374</f>
        <v>39682.344499999999</v>
      </c>
      <c r="F394" s="90"/>
    </row>
    <row r="395" spans="2:6">
      <c r="B395" s="102" t="s">
        <v>18</v>
      </c>
      <c r="C395" s="136">
        <f>C393+C394</f>
        <v>94956</v>
      </c>
      <c r="E395" s="134">
        <f>C395*$I374</f>
        <v>13113.4236</v>
      </c>
      <c r="F395" s="90"/>
    </row>
    <row r="396" spans="2:6" ht="15" thickBot="1">
      <c r="B396" s="104" t="s">
        <v>19</v>
      </c>
      <c r="C396" s="135">
        <f>Model!$AC$87</f>
        <v>43740</v>
      </c>
      <c r="D396" s="132"/>
      <c r="E396" s="139">
        <f>C396*I375</f>
        <v>6113.3940000000002</v>
      </c>
      <c r="F396" s="133"/>
    </row>
    <row r="397" spans="2:6">
      <c r="B397" s="11" t="s">
        <v>20</v>
      </c>
      <c r="C397" s="10">
        <f>+C390-Model!$AC$119</f>
        <v>0</v>
      </c>
    </row>
    <row r="399" spans="2:6" ht="15" thickBot="1"/>
    <row r="400" spans="2:6">
      <c r="B400" s="5" t="s">
        <v>86</v>
      </c>
      <c r="C400" s="167" t="str">
        <f>C377</f>
        <v>RMB mn</v>
      </c>
      <c r="D400" s="165" t="s">
        <v>6</v>
      </c>
    </row>
    <row r="401" spans="1:9">
      <c r="B401" s="79" t="s">
        <v>14</v>
      </c>
      <c r="C401" s="170">
        <f>C391</f>
        <v>171997</v>
      </c>
      <c r="D401" s="171">
        <f>C401*I374</f>
        <v>23752.7857</v>
      </c>
    </row>
    <row r="402" spans="1:9">
      <c r="B402" s="79" t="s">
        <v>15</v>
      </c>
      <c r="C402" s="169">
        <f>C392</f>
        <v>90371</v>
      </c>
      <c r="D402" s="172">
        <f>C402*I374</f>
        <v>12480.2351</v>
      </c>
    </row>
    <row r="403" spans="1:9" ht="15" thickBot="1">
      <c r="B403" s="3" t="s">
        <v>22</v>
      </c>
      <c r="C403" s="173">
        <f>SUM(C401:C402)</f>
        <v>262368</v>
      </c>
      <c r="D403" s="168">
        <f>SUM(D401:D402)</f>
        <v>36233.020799999998</v>
      </c>
    </row>
    <row r="404" spans="1:9" ht="15" thickBot="1">
      <c r="B404" s="7"/>
      <c r="C404" s="136"/>
      <c r="D404" s="136"/>
    </row>
    <row r="405" spans="1:9" ht="15" thickBot="1">
      <c r="B405" s="153" t="s">
        <v>87</v>
      </c>
      <c r="C405" s="154" t="str">
        <f>C377</f>
        <v>RMB mn</v>
      </c>
      <c r="D405" s="155" t="s">
        <v>6</v>
      </c>
    </row>
    <row r="406" spans="1:9">
      <c r="B406" s="148">
        <v>2024</v>
      </c>
      <c r="C406" s="149">
        <v>2396</v>
      </c>
      <c r="D406" s="150">
        <f>C406*I374</f>
        <v>330.88760000000002</v>
      </c>
    </row>
    <row r="407" spans="1:9">
      <c r="B407" s="148">
        <v>2025</v>
      </c>
      <c r="C407" s="149">
        <v>3729</v>
      </c>
      <c r="D407" s="150">
        <f>C407*I374</f>
        <v>514.97490000000005</v>
      </c>
    </row>
    <row r="408" spans="1:9">
      <c r="B408" s="148">
        <v>2026</v>
      </c>
      <c r="C408" s="149">
        <v>10849.2</v>
      </c>
      <c r="D408" s="150">
        <f>C408*I374</f>
        <v>1498.2745200000002</v>
      </c>
    </row>
    <row r="409" spans="1:9" ht="15" thickBot="1">
      <c r="B409" s="148" t="s">
        <v>80</v>
      </c>
      <c r="C409" s="149">
        <f>C390-SUM(C406:C408)</f>
        <v>53004.800000000003</v>
      </c>
      <c r="D409" s="150">
        <f>C409*I374</f>
        <v>7319.96288</v>
      </c>
    </row>
    <row r="410" spans="1:9" ht="15" thickBot="1">
      <c r="B410" s="151" t="s">
        <v>25</v>
      </c>
      <c r="C410" s="152">
        <f>SUM(C406:C409)</f>
        <v>69979</v>
      </c>
      <c r="D410" s="152">
        <f>SUM(D406:D409)</f>
        <v>9664.0999000000011</v>
      </c>
    </row>
    <row r="413" spans="1:9">
      <c r="A413" s="145" t="s">
        <v>88</v>
      </c>
      <c r="H413" s="7" t="s">
        <v>89</v>
      </c>
      <c r="I413" s="147">
        <f>Model!$AB$206</f>
        <v>0.14130000000000001</v>
      </c>
    </row>
    <row r="414" spans="1:9">
      <c r="A414" s="145"/>
      <c r="H414" s="7" t="s">
        <v>90</v>
      </c>
      <c r="I414" s="147">
        <f>Model!$AB$205</f>
        <v>0.14066280312834073</v>
      </c>
    </row>
    <row r="415" spans="1:9" ht="15" thickBot="1">
      <c r="I415" s="147"/>
    </row>
    <row r="416" spans="1:9">
      <c r="B416" s="93" t="s">
        <v>91</v>
      </c>
      <c r="C416" s="94" t="s">
        <v>4</v>
      </c>
      <c r="D416" s="109" t="s">
        <v>5</v>
      </c>
      <c r="E416" s="94" t="s">
        <v>6</v>
      </c>
      <c r="F416" s="8" t="s">
        <v>5</v>
      </c>
    </row>
    <row r="417" spans="2:9" ht="15" thickBot="1">
      <c r="B417" s="95" t="s">
        <v>7</v>
      </c>
      <c r="C417" s="136">
        <f>SUM(C418:C419)</f>
        <v>5034</v>
      </c>
      <c r="E417" s="156">
        <f>C417*$I413</f>
        <v>711.30420000000004</v>
      </c>
      <c r="F417" s="90"/>
    </row>
    <row r="418" spans="2:9">
      <c r="B418" s="4" t="s">
        <v>8</v>
      </c>
      <c r="C418" s="19">
        <v>5034</v>
      </c>
      <c r="E418" s="144">
        <f>C418*$I413</f>
        <v>711.30420000000004</v>
      </c>
      <c r="F418" s="90"/>
      <c r="H418" s="130" t="s">
        <v>92</v>
      </c>
      <c r="I418" s="131" t="s">
        <v>4</v>
      </c>
    </row>
    <row r="419" spans="2:9">
      <c r="B419" s="4" t="s">
        <v>9</v>
      </c>
      <c r="C419" s="134">
        <v>0</v>
      </c>
      <c r="E419" s="144">
        <f>C419*$I413</f>
        <v>0</v>
      </c>
      <c r="F419" s="90"/>
      <c r="H419" s="4" t="s">
        <v>14</v>
      </c>
      <c r="I419" s="125">
        <v>71892</v>
      </c>
    </row>
    <row r="420" spans="2:9" ht="15" thickBot="1">
      <c r="B420" s="4"/>
      <c r="C420" s="134"/>
      <c r="F420" s="90"/>
      <c r="H420" s="4" t="s">
        <v>53</v>
      </c>
      <c r="I420" s="125">
        <v>118254</v>
      </c>
    </row>
    <row r="421" spans="2:9" ht="15" thickBot="1">
      <c r="B421" s="95" t="s">
        <v>10</v>
      </c>
      <c r="C421" s="136">
        <f>SUM(C422:C423)</f>
        <v>41966</v>
      </c>
      <c r="E421" s="156">
        <f>C421*$I413</f>
        <v>5929.7958000000008</v>
      </c>
      <c r="F421" s="90"/>
      <c r="H421" s="126" t="s">
        <v>54</v>
      </c>
      <c r="I421" s="141">
        <f>SUM(I419:I420)</f>
        <v>190146</v>
      </c>
    </row>
    <row r="422" spans="2:9">
      <c r="B422" s="4" t="s">
        <v>11</v>
      </c>
      <c r="C422" s="19">
        <v>31555</v>
      </c>
      <c r="E422" s="144">
        <f>C422*$I413</f>
        <v>4458.7215000000006</v>
      </c>
      <c r="F422" s="90"/>
      <c r="H422" s="128" t="s">
        <v>55</v>
      </c>
      <c r="I422" s="129">
        <f>I421-C430-C431</f>
        <v>-236508</v>
      </c>
    </row>
    <row r="423" spans="2:9">
      <c r="B423" s="4" t="s">
        <v>9</v>
      </c>
      <c r="C423" s="19">
        <v>10411</v>
      </c>
      <c r="E423" s="144">
        <f>C423*$I413</f>
        <v>1471.0743</v>
      </c>
      <c r="F423" s="90"/>
    </row>
    <row r="424" spans="2:9">
      <c r="B424" s="4"/>
      <c r="C424" s="134"/>
      <c r="F424" s="90"/>
    </row>
    <row r="425" spans="2:9">
      <c r="B425" s="95" t="s">
        <v>28</v>
      </c>
      <c r="C425" s="136">
        <f>SUM(C426:C427)</f>
        <v>21431</v>
      </c>
      <c r="E425" s="156">
        <f>C425*$I413</f>
        <v>3028.2003</v>
      </c>
      <c r="F425" s="90"/>
    </row>
    <row r="426" spans="2:9">
      <c r="B426" s="4" t="s">
        <v>7</v>
      </c>
      <c r="C426" s="19">
        <v>7755</v>
      </c>
      <c r="E426" s="144">
        <f>C426*$I413</f>
        <v>1095.7815000000001</v>
      </c>
      <c r="F426" s="90"/>
    </row>
    <row r="427" spans="2:9">
      <c r="B427" s="4" t="s">
        <v>10</v>
      </c>
      <c r="C427" s="19">
        <v>13676</v>
      </c>
      <c r="E427" s="144">
        <f>C427*$I413</f>
        <v>1932.4188000000001</v>
      </c>
      <c r="F427" s="90"/>
    </row>
    <row r="428" spans="2:9">
      <c r="B428" s="95"/>
      <c r="C428" s="134"/>
      <c r="F428" s="90"/>
    </row>
    <row r="429" spans="2:9">
      <c r="B429" s="98" t="s">
        <v>13</v>
      </c>
      <c r="C429" s="140">
        <f>SUM(C417,C421,C425)</f>
        <v>68431</v>
      </c>
      <c r="D429" s="142">
        <f>C429/C435</f>
        <v>1.6119617450296806</v>
      </c>
      <c r="E429" s="140">
        <f>SUM(E417,E421,E425)</f>
        <v>9669.3003000000008</v>
      </c>
      <c r="F429" s="143">
        <f>E429/E435</f>
        <v>1.6192638672561956</v>
      </c>
    </row>
    <row r="430" spans="2:9">
      <c r="B430" s="100" t="s">
        <v>14</v>
      </c>
      <c r="C430" s="157">
        <f>Model!$AB$120</f>
        <v>308400</v>
      </c>
      <c r="D430" s="158"/>
      <c r="E430" s="159">
        <f>C430*$I413</f>
        <v>43576.920000000006</v>
      </c>
      <c r="F430" s="160"/>
    </row>
    <row r="431" spans="2:9">
      <c r="B431" s="100" t="s">
        <v>15</v>
      </c>
      <c r="C431" s="161">
        <f>Model!$AB$122</f>
        <v>118254</v>
      </c>
      <c r="D431" s="162"/>
      <c r="E431" s="163">
        <f>C431*$I413</f>
        <v>16709.290199999999</v>
      </c>
      <c r="F431" s="164"/>
    </row>
    <row r="432" spans="2:9">
      <c r="B432" s="98" t="s">
        <v>16</v>
      </c>
      <c r="C432" s="140">
        <f>C429-C430-C431</f>
        <v>-358223</v>
      </c>
      <c r="D432" s="142">
        <f>C432/C435</f>
        <v>-8.4383067935550748</v>
      </c>
      <c r="E432" s="140">
        <f>E429-E430-E431</f>
        <v>-50616.909899999999</v>
      </c>
      <c r="F432" s="143">
        <f>E432/E435</f>
        <v>-8.4765319857976085</v>
      </c>
    </row>
    <row r="433" spans="2:6">
      <c r="B433" s="102" t="s">
        <v>17</v>
      </c>
      <c r="C433" s="137">
        <f>Model!$AB$126</f>
        <v>295766</v>
      </c>
      <c r="E433" s="134">
        <f>C433*$I413</f>
        <v>41791.735800000002</v>
      </c>
      <c r="F433" s="90"/>
    </row>
    <row r="434" spans="2:6">
      <c r="B434" s="102" t="s">
        <v>18</v>
      </c>
      <c r="C434" s="136">
        <f>C432+C433</f>
        <v>-62457</v>
      </c>
      <c r="E434" s="134">
        <f>C434*$I413</f>
        <v>-8825.1741000000002</v>
      </c>
      <c r="F434" s="90"/>
    </row>
    <row r="435" spans="2:6" ht="15" thickBot="1">
      <c r="B435" s="104" t="s">
        <v>19</v>
      </c>
      <c r="C435" s="135">
        <f>Model!$AB$87</f>
        <v>42452</v>
      </c>
      <c r="D435" s="132"/>
      <c r="E435" s="139">
        <f>C435*I414</f>
        <v>5971.4173184043202</v>
      </c>
      <c r="F435" s="133"/>
    </row>
    <row r="436" spans="2:6">
      <c r="B436" s="11" t="s">
        <v>20</v>
      </c>
      <c r="C436" s="10">
        <f>+C429-Model!$AB$119</f>
        <v>0</v>
      </c>
    </row>
    <row r="438" spans="2:6" ht="15" thickBot="1"/>
    <row r="439" spans="2:6">
      <c r="B439" s="5" t="s">
        <v>93</v>
      </c>
      <c r="C439" s="167" t="str">
        <f>C416</f>
        <v>RMB mn</v>
      </c>
      <c r="D439" s="165" t="s">
        <v>6</v>
      </c>
    </row>
    <row r="440" spans="2:6">
      <c r="B440" s="79" t="s">
        <v>14</v>
      </c>
      <c r="C440" s="170">
        <f>C430</f>
        <v>308400</v>
      </c>
      <c r="D440" s="171">
        <f>C440*I413</f>
        <v>43576.920000000006</v>
      </c>
    </row>
    <row r="441" spans="2:6">
      <c r="B441" s="79" t="s">
        <v>15</v>
      </c>
      <c r="C441" s="169">
        <f>C431</f>
        <v>118254</v>
      </c>
      <c r="D441" s="172">
        <f>C441*I413</f>
        <v>16709.290199999999</v>
      </c>
    </row>
    <row r="442" spans="2:6" ht="15" thickBot="1">
      <c r="B442" s="3" t="s">
        <v>22</v>
      </c>
      <c r="C442" s="173">
        <f>SUM(C440:C441)</f>
        <v>426654</v>
      </c>
      <c r="D442" s="168">
        <f>SUM(D440:D441)</f>
        <v>60286.210200000001</v>
      </c>
    </row>
    <row r="443" spans="2:6" ht="15" thickBot="1">
      <c r="B443" s="7"/>
      <c r="C443" s="136"/>
      <c r="D443" s="136"/>
    </row>
    <row r="444" spans="2:6" ht="15" thickBot="1">
      <c r="B444" s="153" t="s">
        <v>94</v>
      </c>
      <c r="C444" s="154" t="str">
        <f>C416</f>
        <v>RMB mn</v>
      </c>
      <c r="D444" s="155" t="s">
        <v>6</v>
      </c>
    </row>
    <row r="445" spans="2:6">
      <c r="B445" s="148">
        <v>2024</v>
      </c>
      <c r="C445" s="149">
        <v>396</v>
      </c>
      <c r="D445" s="150">
        <f>C445*I413</f>
        <v>55.954800000000006</v>
      </c>
    </row>
    <row r="446" spans="2:6">
      <c r="B446" s="148">
        <v>2025</v>
      </c>
      <c r="C446" s="149">
        <v>719.4</v>
      </c>
      <c r="D446" s="150">
        <f>C446*I413</f>
        <v>101.65122000000001</v>
      </c>
    </row>
    <row r="447" spans="2:6">
      <c r="B447" s="148">
        <v>2026</v>
      </c>
      <c r="C447" s="149">
        <v>10790.98</v>
      </c>
      <c r="D447" s="150">
        <f>C447*I413</f>
        <v>1524.765474</v>
      </c>
    </row>
    <row r="448" spans="2:6" ht="15" thickBot="1">
      <c r="B448" s="148" t="s">
        <v>80</v>
      </c>
      <c r="C448" s="149">
        <f>C429-SUM(C445:C447)</f>
        <v>56524.62</v>
      </c>
      <c r="D448" s="150">
        <f>C448*I413</f>
        <v>7986.9288060000008</v>
      </c>
    </row>
    <row r="449" spans="1:9" ht="15" thickBot="1">
      <c r="B449" s="151" t="s">
        <v>25</v>
      </c>
      <c r="C449" s="152">
        <f>SUM(C445:C448)</f>
        <v>68431</v>
      </c>
      <c r="D449" s="152">
        <f>SUM(D445:D448)</f>
        <v>9669.3003000000008</v>
      </c>
    </row>
    <row r="450" spans="1:9">
      <c r="B450" s="7"/>
      <c r="C450" s="136"/>
      <c r="D450" s="136"/>
    </row>
    <row r="451" spans="1:9">
      <c r="A451" s="145" t="s">
        <v>95</v>
      </c>
      <c r="H451" s="7" t="s">
        <v>96</v>
      </c>
      <c r="I451" s="147">
        <f>Model!$AA$206</f>
        <v>0.1371</v>
      </c>
    </row>
    <row r="452" spans="1:9">
      <c r="A452" s="145"/>
      <c r="H452" s="7" t="s">
        <v>97</v>
      </c>
      <c r="I452" s="147">
        <f>Model!$AA$205</f>
        <v>0.13750000000000001</v>
      </c>
    </row>
    <row r="453" spans="1:9" ht="15" thickBot="1">
      <c r="I453" s="147"/>
    </row>
    <row r="454" spans="1:9">
      <c r="B454" s="93" t="s">
        <v>98</v>
      </c>
      <c r="C454" s="94" t="s">
        <v>4</v>
      </c>
      <c r="D454" s="109" t="s">
        <v>5</v>
      </c>
      <c r="E454" s="94" t="s">
        <v>6</v>
      </c>
      <c r="F454" s="8" t="s">
        <v>5</v>
      </c>
    </row>
    <row r="455" spans="1:9" ht="15" thickBot="1">
      <c r="B455" s="95" t="s">
        <v>7</v>
      </c>
      <c r="C455" s="136">
        <f>SUM(C456:C457)</f>
        <v>13740</v>
      </c>
      <c r="E455" s="156">
        <f>C455*$I451</f>
        <v>1883.7539999999999</v>
      </c>
      <c r="F455" s="90"/>
    </row>
    <row r="456" spans="1:9">
      <c r="B456" s="4" t="s">
        <v>8</v>
      </c>
      <c r="C456" s="19">
        <v>13740</v>
      </c>
      <c r="E456" s="144">
        <f>C456*$I451</f>
        <v>1883.7539999999999</v>
      </c>
      <c r="F456" s="90"/>
      <c r="H456" s="130" t="s">
        <v>99</v>
      </c>
      <c r="I456" s="131" t="s">
        <v>4</v>
      </c>
    </row>
    <row r="457" spans="1:9">
      <c r="B457" s="4" t="s">
        <v>9</v>
      </c>
      <c r="C457" s="134">
        <v>0</v>
      </c>
      <c r="E457" s="144">
        <f>C457*$I451</f>
        <v>0</v>
      </c>
      <c r="F457" s="90"/>
      <c r="H457" s="4" t="s">
        <v>14</v>
      </c>
      <c r="I457" s="125">
        <v>115971</v>
      </c>
    </row>
    <row r="458" spans="1:9" ht="15" thickBot="1">
      <c r="B458" s="4"/>
      <c r="C458" s="134"/>
      <c r="F458" s="90"/>
      <c r="H458" s="4" t="s">
        <v>53</v>
      </c>
      <c r="I458" s="125">
        <v>126382</v>
      </c>
    </row>
    <row r="459" spans="1:9" ht="15" thickBot="1">
      <c r="B459" s="95" t="s">
        <v>10</v>
      </c>
      <c r="C459" s="136">
        <f>SUM(C460:C461)</f>
        <v>32741</v>
      </c>
      <c r="E459" s="156">
        <f>C459*$I451</f>
        <v>4488.7911000000004</v>
      </c>
      <c r="F459" s="90"/>
      <c r="H459" s="126" t="s">
        <v>54</v>
      </c>
      <c r="I459" s="141">
        <f>SUM(I457:I458)</f>
        <v>242353</v>
      </c>
    </row>
    <row r="460" spans="1:9">
      <c r="B460" s="4" t="s">
        <v>11</v>
      </c>
      <c r="C460" s="19">
        <v>22191</v>
      </c>
      <c r="E460" s="144">
        <f>C460*$I451</f>
        <v>3042.3861000000002</v>
      </c>
      <c r="F460" s="90"/>
      <c r="H460" s="128" t="s">
        <v>55</v>
      </c>
      <c r="I460" s="129">
        <f>I459-C468-C469</f>
        <v>-126382</v>
      </c>
    </row>
    <row r="461" spans="1:9">
      <c r="B461" s="4" t="s">
        <v>9</v>
      </c>
      <c r="C461" s="19">
        <v>10550</v>
      </c>
      <c r="E461" s="144">
        <f>C461*$I451</f>
        <v>1446.405</v>
      </c>
      <c r="F461" s="90"/>
    </row>
    <row r="462" spans="1:9">
      <c r="B462" s="4"/>
      <c r="C462" s="134"/>
      <c r="F462" s="90"/>
    </row>
    <row r="463" spans="1:9">
      <c r="B463" s="95" t="s">
        <v>28</v>
      </c>
      <c r="C463" s="136">
        <f>SUM(C464:C465)</f>
        <v>23377</v>
      </c>
      <c r="E463" s="156">
        <f>C463*$I451</f>
        <v>3204.9866999999999</v>
      </c>
      <c r="F463" s="90"/>
    </row>
    <row r="464" spans="1:9">
      <c r="B464" s="4" t="s">
        <v>7</v>
      </c>
      <c r="C464" s="19">
        <v>8097</v>
      </c>
      <c r="E464" s="144">
        <f>C464*$I451</f>
        <v>1110.0987</v>
      </c>
      <c r="F464" s="90"/>
    </row>
    <row r="465" spans="2:6">
      <c r="B465" s="4" t="s">
        <v>10</v>
      </c>
      <c r="C465" s="19">
        <v>15280</v>
      </c>
      <c r="E465" s="144">
        <f>C465*$I451</f>
        <v>2094.8879999999999</v>
      </c>
      <c r="F465" s="90"/>
    </row>
    <row r="466" spans="2:6">
      <c r="B466" s="95"/>
      <c r="C466" s="134"/>
      <c r="F466" s="90"/>
    </row>
    <row r="467" spans="2:6">
      <c r="B467" s="98" t="s">
        <v>13</v>
      </c>
      <c r="C467" s="140">
        <f>SUM(C455,C459,C463)</f>
        <v>69858</v>
      </c>
      <c r="D467" s="142">
        <f>C467/C473</f>
        <v>1.6756938281081339</v>
      </c>
      <c r="E467" s="140">
        <f>SUM(E455,E459,E463)</f>
        <v>9577.5318000000007</v>
      </c>
      <c r="F467" s="143">
        <f>E467/E473</f>
        <v>1.6708190824263649</v>
      </c>
    </row>
    <row r="468" spans="2:6">
      <c r="B468" s="100" t="s">
        <v>14</v>
      </c>
      <c r="C468" s="157">
        <f>Model!$AA$120</f>
        <v>242353</v>
      </c>
      <c r="D468" s="158"/>
      <c r="E468" s="159">
        <f>C468*$I451</f>
        <v>33226.596299999997</v>
      </c>
      <c r="F468" s="160"/>
    </row>
    <row r="469" spans="2:6">
      <c r="B469" s="100" t="s">
        <v>15</v>
      </c>
      <c r="C469" s="161">
        <f>Model!$AA$122</f>
        <v>126382</v>
      </c>
      <c r="D469" s="162"/>
      <c r="E469" s="163">
        <f>C469*$I451</f>
        <v>17326.9722</v>
      </c>
      <c r="F469" s="164"/>
    </row>
    <row r="470" spans="2:6">
      <c r="B470" s="98" t="s">
        <v>16</v>
      </c>
      <c r="C470" s="140">
        <f>C467-C468-C469</f>
        <v>-298877</v>
      </c>
      <c r="D470" s="142">
        <f>C470/C473</f>
        <v>-7.1692053059560079</v>
      </c>
      <c r="E470" s="140">
        <f>E467-E468-E469</f>
        <v>-40976.036699999997</v>
      </c>
      <c r="F470" s="143">
        <f>E470/E473</f>
        <v>-7.1483494359750441</v>
      </c>
    </row>
    <row r="471" spans="2:6">
      <c r="B471" s="102" t="s">
        <v>17</v>
      </c>
      <c r="C471" s="137">
        <f>Model!$AA$126</f>
        <v>295681</v>
      </c>
      <c r="E471" s="134">
        <f>C471*$I451</f>
        <v>40537.865100000003</v>
      </c>
      <c r="F471" s="90"/>
    </row>
    <row r="472" spans="2:6">
      <c r="B472" s="102" t="s">
        <v>18</v>
      </c>
      <c r="C472" s="136">
        <f>C470+C471</f>
        <v>-3196</v>
      </c>
      <c r="E472" s="134">
        <f>C472*$I451</f>
        <v>-438.17160000000001</v>
      </c>
      <c r="F472" s="90"/>
    </row>
    <row r="473" spans="2:6" ht="15" thickBot="1">
      <c r="B473" s="104" t="s">
        <v>19</v>
      </c>
      <c r="C473" s="135">
        <f>Model!$AA$87</f>
        <v>41689</v>
      </c>
      <c r="D473" s="132"/>
      <c r="E473" s="139">
        <f>C473*I452</f>
        <v>5732.2375000000002</v>
      </c>
      <c r="F473" s="133"/>
    </row>
    <row r="474" spans="2:6">
      <c r="B474" s="11" t="s">
        <v>20</v>
      </c>
      <c r="C474" s="10">
        <f>+C467-Model!$AA$119</f>
        <v>0</v>
      </c>
    </row>
    <row r="476" spans="2:6" ht="15" thickBot="1"/>
    <row r="477" spans="2:6">
      <c r="B477" s="5" t="s">
        <v>100</v>
      </c>
      <c r="C477" s="167" t="str">
        <f>C454</f>
        <v>RMB mn</v>
      </c>
      <c r="D477" s="165" t="s">
        <v>6</v>
      </c>
    </row>
    <row r="478" spans="2:6">
      <c r="B478" s="79" t="s">
        <v>14</v>
      </c>
      <c r="C478" s="170">
        <f>C468</f>
        <v>242353</v>
      </c>
      <c r="D478" s="171">
        <f>C478*I451</f>
        <v>33226.596299999997</v>
      </c>
    </row>
    <row r="479" spans="2:6">
      <c r="B479" s="79" t="s">
        <v>15</v>
      </c>
      <c r="C479" s="169">
        <f>C469</f>
        <v>126382</v>
      </c>
      <c r="D479" s="172">
        <f>C479*I451</f>
        <v>17326.9722</v>
      </c>
    </row>
    <row r="480" spans="2:6" ht="15" thickBot="1">
      <c r="B480" s="3" t="s">
        <v>22</v>
      </c>
      <c r="C480" s="173">
        <f>SUM(C478:C479)</f>
        <v>368735</v>
      </c>
      <c r="D480" s="168">
        <f>SUM(D478:D479)</f>
        <v>50553.568499999994</v>
      </c>
    </row>
    <row r="481" spans="1:9" ht="15" thickBot="1">
      <c r="B481" s="7"/>
      <c r="C481" s="136"/>
      <c r="D481" s="136"/>
    </row>
    <row r="482" spans="1:9" ht="15" thickBot="1">
      <c r="B482" s="153" t="s">
        <v>101</v>
      </c>
      <c r="C482" s="154" t="str">
        <f>C454</f>
        <v>RMB mn</v>
      </c>
      <c r="D482" s="155" t="s">
        <v>6</v>
      </c>
    </row>
    <row r="483" spans="1:9">
      <c r="B483" s="148">
        <v>2023</v>
      </c>
      <c r="C483" s="149">
        <v>8433.4599999999991</v>
      </c>
      <c r="D483" s="150">
        <f>C483*I451</f>
        <v>1156.2273659999998</v>
      </c>
    </row>
    <row r="484" spans="1:9">
      <c r="B484" s="148">
        <v>2024</v>
      </c>
      <c r="C484" s="149">
        <v>696</v>
      </c>
      <c r="D484" s="150">
        <f>C484*I451</f>
        <v>95.421599999999998</v>
      </c>
    </row>
    <row r="485" spans="1:9">
      <c r="B485" s="148">
        <v>2025</v>
      </c>
      <c r="C485" s="149">
        <v>1616.68</v>
      </c>
      <c r="D485" s="150">
        <f>C485*I451</f>
        <v>221.646828</v>
      </c>
    </row>
    <row r="486" spans="1:9" ht="15" thickBot="1">
      <c r="B486" s="148" t="s">
        <v>102</v>
      </c>
      <c r="C486" s="149">
        <f>C467-SUM(C483:C485)</f>
        <v>59111.86</v>
      </c>
      <c r="D486" s="150">
        <f>C486*I451</f>
        <v>8104.2360060000001</v>
      </c>
    </row>
    <row r="487" spans="1:9" ht="15" thickBot="1">
      <c r="B487" s="151" t="s">
        <v>25</v>
      </c>
      <c r="C487" s="152">
        <f>SUM(C483:C486)</f>
        <v>69858</v>
      </c>
      <c r="D487" s="152">
        <f>SUM(D483:D486)</f>
        <v>9577.5318000000007</v>
      </c>
    </row>
    <row r="488" spans="1:9">
      <c r="B488" s="7"/>
      <c r="C488" s="136"/>
      <c r="D488" s="136"/>
    </row>
    <row r="489" spans="1:9">
      <c r="A489" s="145" t="s">
        <v>103</v>
      </c>
      <c r="H489" s="7" t="s">
        <v>104</v>
      </c>
      <c r="I489" s="147">
        <f>Model!Z206</f>
        <v>0.13789999999999999</v>
      </c>
    </row>
    <row r="490" spans="1:9">
      <c r="A490" s="145"/>
      <c r="H490" s="7" t="s">
        <v>105</v>
      </c>
      <c r="I490" s="147">
        <f>Model!Z205</f>
        <v>0.14300000000000002</v>
      </c>
    </row>
    <row r="491" spans="1:9" ht="15" thickBot="1">
      <c r="I491" s="147"/>
    </row>
    <row r="492" spans="1:9">
      <c r="B492" s="93" t="s">
        <v>106</v>
      </c>
      <c r="C492" s="94" t="s">
        <v>4</v>
      </c>
      <c r="D492" s="109" t="s">
        <v>5</v>
      </c>
      <c r="E492" s="94" t="s">
        <v>6</v>
      </c>
      <c r="F492" s="8" t="s">
        <v>5</v>
      </c>
    </row>
    <row r="493" spans="1:9" ht="15" thickBot="1">
      <c r="B493" s="95" t="s">
        <v>7</v>
      </c>
      <c r="C493" s="136">
        <f>SUM(C494:C495)</f>
        <v>17951</v>
      </c>
      <c r="E493" s="156">
        <f>C493*$I489</f>
        <v>2475.4429</v>
      </c>
      <c r="F493" s="90"/>
    </row>
    <row r="494" spans="1:9">
      <c r="B494" s="4" t="s">
        <v>8</v>
      </c>
      <c r="C494" s="19">
        <v>17951</v>
      </c>
      <c r="E494" s="144">
        <f>C494*$I489</f>
        <v>2475.4429</v>
      </c>
      <c r="F494" s="90"/>
      <c r="H494" s="130" t="s">
        <v>107</v>
      </c>
      <c r="I494" s="131" t="s">
        <v>4</v>
      </c>
    </row>
    <row r="495" spans="1:9">
      <c r="B495" s="4" t="s">
        <v>9</v>
      </c>
      <c r="C495" s="134">
        <v>0</v>
      </c>
      <c r="E495" s="144">
        <f>C495*$I489</f>
        <v>0</v>
      </c>
      <c r="F495" s="90"/>
      <c r="H495" s="4" t="s">
        <v>14</v>
      </c>
      <c r="I495" s="125">
        <v>91020</v>
      </c>
    </row>
    <row r="496" spans="1:9" ht="15" thickBot="1">
      <c r="B496" s="4"/>
      <c r="C496" s="134"/>
      <c r="F496" s="90"/>
      <c r="H496" s="4" t="s">
        <v>53</v>
      </c>
      <c r="I496" s="125">
        <v>144101</v>
      </c>
    </row>
    <row r="497" spans="2:9" ht="15" thickBot="1">
      <c r="B497" s="95" t="s">
        <v>10</v>
      </c>
      <c r="C497" s="136">
        <f>SUM(C498:C499)</f>
        <v>32064</v>
      </c>
      <c r="E497" s="156">
        <f>C497*$I489</f>
        <v>4421.6255999999994</v>
      </c>
      <c r="F497" s="90"/>
      <c r="H497" s="126" t="s">
        <v>54</v>
      </c>
      <c r="I497" s="141">
        <f>SUM(I495:I496)</f>
        <v>235121</v>
      </c>
    </row>
    <row r="498" spans="2:9">
      <c r="B498" s="4" t="s">
        <v>11</v>
      </c>
      <c r="C498" s="19">
        <v>21450</v>
      </c>
      <c r="E498" s="144">
        <f>C498*$I489</f>
        <v>2957.9549999999999</v>
      </c>
      <c r="F498" s="90"/>
      <c r="H498" s="128" t="s">
        <v>55</v>
      </c>
      <c r="I498" s="129">
        <f>I497-C506-C507</f>
        <v>-152230</v>
      </c>
    </row>
    <row r="499" spans="2:9">
      <c r="B499" s="4" t="s">
        <v>9</v>
      </c>
      <c r="C499" s="19">
        <v>10614</v>
      </c>
      <c r="E499" s="144">
        <f>C499*$I489</f>
        <v>1463.6705999999999</v>
      </c>
      <c r="F499" s="90"/>
    </row>
    <row r="500" spans="2:9">
      <c r="B500" s="4"/>
      <c r="C500" s="134"/>
      <c r="F500" s="90"/>
    </row>
    <row r="501" spans="2:9">
      <c r="B501" s="95" t="s">
        <v>28</v>
      </c>
      <c r="C501" s="136">
        <f>SUM(C502:C503)</f>
        <v>22926</v>
      </c>
      <c r="E501" s="156">
        <f>C501*$I489</f>
        <v>3161.4953999999998</v>
      </c>
      <c r="F501" s="90"/>
    </row>
    <row r="502" spans="2:9">
      <c r="B502" s="4" t="s">
        <v>7</v>
      </c>
      <c r="C502" s="19">
        <v>7945</v>
      </c>
      <c r="E502" s="144">
        <f>C502*$I489</f>
        <v>1095.6154999999999</v>
      </c>
      <c r="F502" s="90"/>
    </row>
    <row r="503" spans="2:9">
      <c r="B503" s="4" t="s">
        <v>10</v>
      </c>
      <c r="C503" s="19">
        <v>14981</v>
      </c>
      <c r="E503" s="144">
        <f>C503*$I489</f>
        <v>2065.8798999999999</v>
      </c>
      <c r="F503" s="90"/>
    </row>
    <row r="504" spans="2:9">
      <c r="B504" s="95"/>
      <c r="C504" s="134"/>
      <c r="F504" s="90"/>
    </row>
    <row r="505" spans="2:9">
      <c r="B505" s="98" t="s">
        <v>13</v>
      </c>
      <c r="C505" s="140">
        <f>SUM(C493,C497,C501)</f>
        <v>72941</v>
      </c>
      <c r="D505" s="142">
        <f>C505/C511</f>
        <v>1.8116136403149294</v>
      </c>
      <c r="E505" s="140">
        <f>C505*$I489</f>
        <v>10058.563899999999</v>
      </c>
      <c r="F505" s="143">
        <f>E505/E511</f>
        <v>1.7470036433526483</v>
      </c>
    </row>
    <row r="506" spans="2:9">
      <c r="B506" s="100" t="s">
        <v>14</v>
      </c>
      <c r="C506" s="157">
        <f>Model!Z120+8129</f>
        <v>243250</v>
      </c>
      <c r="D506" s="158"/>
      <c r="E506" s="159">
        <f>C506*$I489</f>
        <v>33544.174999999996</v>
      </c>
      <c r="F506" s="160"/>
    </row>
    <row r="507" spans="2:9">
      <c r="B507" s="100" t="s">
        <v>15</v>
      </c>
      <c r="C507" s="161">
        <f>Model!Z122</f>
        <v>144101</v>
      </c>
      <c r="D507" s="162"/>
      <c r="E507" s="163">
        <f>C507*$I489</f>
        <v>19871.527900000001</v>
      </c>
      <c r="F507" s="164"/>
    </row>
    <row r="508" spans="2:9">
      <c r="B508" s="98" t="s">
        <v>16</v>
      </c>
      <c r="C508" s="140">
        <f>C505-C506-C507</f>
        <v>-314410</v>
      </c>
      <c r="D508" s="142">
        <f>C508/C511</f>
        <v>-7.8089064401559742</v>
      </c>
      <c r="E508" s="140">
        <f>C508*$I489</f>
        <v>-43357.138999999996</v>
      </c>
      <c r="F508" s="143">
        <f>E508/E511</f>
        <v>-7.5304069797028577</v>
      </c>
    </row>
    <row r="509" spans="2:9">
      <c r="B509" s="102" t="s">
        <v>17</v>
      </c>
      <c r="C509" s="137">
        <f>Model!Z126</f>
        <v>286695</v>
      </c>
      <c r="E509" s="134">
        <f>C509*$I489</f>
        <v>39535.2405</v>
      </c>
      <c r="F509" s="90"/>
    </row>
    <row r="510" spans="2:9">
      <c r="B510" s="102" t="s">
        <v>18</v>
      </c>
      <c r="C510" s="136">
        <f>C508+C509</f>
        <v>-27715</v>
      </c>
      <c r="E510" s="134">
        <f>C510*$I489</f>
        <v>-3821.8984999999998</v>
      </c>
      <c r="F510" s="90"/>
    </row>
    <row r="511" spans="2:9" ht="15" thickBot="1">
      <c r="B511" s="104" t="s">
        <v>19</v>
      </c>
      <c r="C511" s="135">
        <f>Model!Z87</f>
        <v>40263</v>
      </c>
      <c r="D511" s="132"/>
      <c r="E511" s="139">
        <f>C511*I490</f>
        <v>5757.6090000000004</v>
      </c>
      <c r="F511" s="133"/>
    </row>
    <row r="512" spans="2:9">
      <c r="B512" s="11" t="s">
        <v>20</v>
      </c>
      <c r="C512" s="10">
        <f>+C505-Model!Z119</f>
        <v>0</v>
      </c>
    </row>
    <row r="514" spans="1:9" ht="15" thickBot="1"/>
    <row r="515" spans="1:9">
      <c r="B515" s="5" t="s">
        <v>108</v>
      </c>
      <c r="C515" s="167" t="str">
        <f>C492</f>
        <v>RMB mn</v>
      </c>
      <c r="D515" s="165" t="s">
        <v>6</v>
      </c>
    </row>
    <row r="516" spans="1:9">
      <c r="B516" s="79" t="s">
        <v>14</v>
      </c>
      <c r="C516" s="170">
        <f>C506</f>
        <v>243250</v>
      </c>
      <c r="D516" s="171">
        <f>C516*I489</f>
        <v>33544.174999999996</v>
      </c>
    </row>
    <row r="517" spans="1:9">
      <c r="B517" s="79" t="s">
        <v>15</v>
      </c>
      <c r="C517" s="169">
        <f>C507</f>
        <v>144101</v>
      </c>
      <c r="D517" s="172">
        <f>C517*I489</f>
        <v>19871.527900000001</v>
      </c>
    </row>
    <row r="518" spans="1:9" ht="15" thickBot="1">
      <c r="B518" s="3" t="s">
        <v>22</v>
      </c>
      <c r="C518" s="173">
        <f>SUM(C516:C517)</f>
        <v>387351</v>
      </c>
      <c r="D518" s="168">
        <f>SUM(D516:D517)</f>
        <v>53415.702899999997</v>
      </c>
    </row>
    <row r="519" spans="1:9" ht="15" thickBot="1">
      <c r="B519" s="7"/>
      <c r="C519" s="136"/>
      <c r="D519" s="136"/>
    </row>
    <row r="520" spans="1:9" ht="15" thickBot="1">
      <c r="B520" s="153" t="s">
        <v>109</v>
      </c>
      <c r="C520" s="154" t="str">
        <f>C492</f>
        <v>RMB mn</v>
      </c>
      <c r="D520" s="155" t="s">
        <v>6</v>
      </c>
    </row>
    <row r="521" spans="1:9">
      <c r="B521" s="148">
        <v>2023</v>
      </c>
      <c r="C521" s="149">
        <v>10338.959999999999</v>
      </c>
      <c r="D521" s="150">
        <f>C521*I489</f>
        <v>1425.7425839999999</v>
      </c>
    </row>
    <row r="522" spans="1:9">
      <c r="B522" s="148">
        <v>2024</v>
      </c>
      <c r="C522" s="149">
        <v>696</v>
      </c>
      <c r="D522" s="150">
        <f>C522*I489</f>
        <v>95.978399999999993</v>
      </c>
    </row>
    <row r="523" spans="1:9">
      <c r="B523" s="148">
        <v>2025</v>
      </c>
      <c r="C523" s="149">
        <v>3736.65</v>
      </c>
      <c r="D523" s="150">
        <f>C523*I489</f>
        <v>515.28403500000002</v>
      </c>
    </row>
    <row r="524" spans="1:9" ht="15" thickBot="1">
      <c r="B524" s="148" t="s">
        <v>102</v>
      </c>
      <c r="C524" s="149">
        <f>10884.87+5079.6+2176.97</f>
        <v>18141.440000000002</v>
      </c>
      <c r="D524" s="150">
        <f>C524*I489</f>
        <v>2501.7045760000001</v>
      </c>
    </row>
    <row r="525" spans="1:9" ht="15" thickBot="1">
      <c r="B525" s="151" t="s">
        <v>25</v>
      </c>
      <c r="C525" s="152">
        <f>SUM(C521:C524)</f>
        <v>32913.050000000003</v>
      </c>
      <c r="D525" s="152">
        <f>SUM(D521:D524)</f>
        <v>4538.7095950000003</v>
      </c>
    </row>
    <row r="526" spans="1:9">
      <c r="B526" s="7"/>
      <c r="C526" s="136"/>
      <c r="D526" s="136"/>
    </row>
    <row r="527" spans="1:9">
      <c r="A527" s="145" t="s">
        <v>110</v>
      </c>
      <c r="H527" s="7" t="s">
        <v>111</v>
      </c>
      <c r="I527" s="147">
        <f>Model!Y206</f>
        <v>0.14549999999999999</v>
      </c>
    </row>
    <row r="528" spans="1:9">
      <c r="A528" s="145"/>
      <c r="H528" s="7" t="s">
        <v>112</v>
      </c>
      <c r="I528" s="147">
        <f>Model!Y205</f>
        <v>0.1459</v>
      </c>
    </row>
    <row r="529" spans="2:9" ht="15" thickBot="1">
      <c r="I529" s="147"/>
    </row>
    <row r="530" spans="2:9">
      <c r="B530" s="93" t="s">
        <v>113</v>
      </c>
      <c r="C530" s="94" t="s">
        <v>4</v>
      </c>
      <c r="D530" s="109" t="s">
        <v>5</v>
      </c>
      <c r="E530" s="94" t="s">
        <v>6</v>
      </c>
      <c r="F530" s="8" t="s">
        <v>5</v>
      </c>
    </row>
    <row r="531" spans="2:9" ht="15" thickBot="1">
      <c r="B531" s="95" t="s">
        <v>7</v>
      </c>
      <c r="C531" s="136">
        <f>SUM(C532:C533)</f>
        <v>14280</v>
      </c>
      <c r="E531" s="156">
        <f>C531*$I527</f>
        <v>2077.7399999999998</v>
      </c>
      <c r="F531" s="90"/>
    </row>
    <row r="532" spans="2:9">
      <c r="B532" s="4" t="s">
        <v>8</v>
      </c>
      <c r="C532" s="19">
        <v>14280</v>
      </c>
      <c r="E532" s="144">
        <f>C532*$I527</f>
        <v>2077.7399999999998</v>
      </c>
      <c r="F532" s="90"/>
      <c r="H532" s="130" t="s">
        <v>114</v>
      </c>
      <c r="I532" s="131" t="s">
        <v>4</v>
      </c>
    </row>
    <row r="533" spans="2:9">
      <c r="B533" s="4" t="s">
        <v>9</v>
      </c>
      <c r="C533" s="134">
        <v>0</v>
      </c>
      <c r="E533" s="144">
        <f>C533*$I527</f>
        <v>0</v>
      </c>
      <c r="F533" s="90"/>
      <c r="H533" s="4" t="s">
        <v>14</v>
      </c>
      <c r="I533" s="125">
        <v>74373</v>
      </c>
    </row>
    <row r="534" spans="2:9" ht="15" thickBot="1">
      <c r="B534" s="4"/>
      <c r="C534" s="134"/>
      <c r="F534" s="90"/>
      <c r="H534" s="4" t="s">
        <v>53</v>
      </c>
      <c r="I534" s="125">
        <v>122440</v>
      </c>
    </row>
    <row r="535" spans="2:9" ht="15" thickBot="1">
      <c r="B535" s="95" t="s">
        <v>10</v>
      </c>
      <c r="C535" s="136">
        <f>SUM(C536:C537)</f>
        <v>29336</v>
      </c>
      <c r="E535" s="156">
        <f>C535*$I527</f>
        <v>4268.3879999999999</v>
      </c>
      <c r="F535" s="90"/>
      <c r="H535" s="126" t="s">
        <v>54</v>
      </c>
      <c r="I535" s="141">
        <f>SUM(I533:I534)</f>
        <v>196813</v>
      </c>
    </row>
    <row r="536" spans="2:9">
      <c r="B536" s="4" t="s">
        <v>11</v>
      </c>
      <c r="C536" s="19">
        <v>19245</v>
      </c>
      <c r="E536" s="144">
        <f>C536*$I527</f>
        <v>2800.1475</v>
      </c>
      <c r="F536" s="90"/>
      <c r="H536" s="128" t="s">
        <v>55</v>
      </c>
      <c r="I536" s="129">
        <f>I535-C544-C545</f>
        <v>-128837</v>
      </c>
    </row>
    <row r="537" spans="2:9">
      <c r="B537" s="4" t="s">
        <v>9</v>
      </c>
      <c r="C537" s="19">
        <v>10091</v>
      </c>
      <c r="E537" s="144">
        <f>C537*$I527</f>
        <v>1468.2404999999999</v>
      </c>
      <c r="F537" s="90"/>
    </row>
    <row r="538" spans="2:9">
      <c r="B538" s="4"/>
      <c r="C538" s="134"/>
      <c r="F538" s="90"/>
    </row>
    <row r="539" spans="2:9">
      <c r="B539" s="95" t="s">
        <v>28</v>
      </c>
      <c r="C539" s="136">
        <f>SUM(C540:C541)</f>
        <v>22457</v>
      </c>
      <c r="E539" s="156">
        <f>C539*$I527</f>
        <v>3267.4934999999996</v>
      </c>
      <c r="F539" s="90"/>
    </row>
    <row r="540" spans="2:9">
      <c r="B540" s="4" t="s">
        <v>7</v>
      </c>
      <c r="C540" s="19">
        <v>7964</v>
      </c>
      <c r="E540" s="144">
        <f>C540*$I527</f>
        <v>1158.7619999999999</v>
      </c>
      <c r="F540" s="90"/>
    </row>
    <row r="541" spans="2:9">
      <c r="B541" s="4" t="s">
        <v>10</v>
      </c>
      <c r="C541" s="19">
        <v>14493</v>
      </c>
      <c r="E541" s="144">
        <f>C541*$I527</f>
        <v>2108.7314999999999</v>
      </c>
      <c r="F541" s="90"/>
    </row>
    <row r="542" spans="2:9">
      <c r="B542" s="95"/>
      <c r="C542" s="134"/>
      <c r="F542" s="90"/>
    </row>
    <row r="543" spans="2:9">
      <c r="B543" s="98" t="s">
        <v>13</v>
      </c>
      <c r="C543" s="140">
        <f>SUM(C531,C535,C539)</f>
        <v>66073</v>
      </c>
      <c r="D543" s="142">
        <f>C543/C549</f>
        <v>1.7840691238018092</v>
      </c>
      <c r="E543" s="140">
        <f>C543*$I527</f>
        <v>9613.6214999999993</v>
      </c>
      <c r="F543" s="143">
        <f>E543/E549</f>
        <v>1.7791779130442988</v>
      </c>
    </row>
    <row r="544" spans="2:9">
      <c r="B544" s="100" t="s">
        <v>14</v>
      </c>
      <c r="C544" s="157">
        <f>Model!Y120+6397</f>
        <v>203210</v>
      </c>
      <c r="D544" s="158"/>
      <c r="E544" s="159">
        <f>C544*$I527</f>
        <v>29567.054999999997</v>
      </c>
      <c r="F544" s="160"/>
    </row>
    <row r="545" spans="1:9">
      <c r="B545" s="100" t="s">
        <v>15</v>
      </c>
      <c r="C545" s="161">
        <f>Model!Y122</f>
        <v>122440</v>
      </c>
      <c r="D545" s="162"/>
      <c r="E545" s="163">
        <f>C545*$I527</f>
        <v>17815.02</v>
      </c>
      <c r="F545" s="164"/>
    </row>
    <row r="546" spans="1:9">
      <c r="B546" s="98" t="s">
        <v>16</v>
      </c>
      <c r="C546" s="140">
        <f>C543-C544-C545</f>
        <v>-259577</v>
      </c>
      <c r="D546" s="142">
        <f>C546/C549</f>
        <v>-7.0089644930471175</v>
      </c>
      <c r="E546" s="140">
        <f>C546*$I527</f>
        <v>-37768.453499999996</v>
      </c>
      <c r="F546" s="143">
        <f>E546/E549</f>
        <v>-6.9897486890908533</v>
      </c>
    </row>
    <row r="547" spans="1:9">
      <c r="B547" s="102" t="s">
        <v>17</v>
      </c>
      <c r="C547" s="137">
        <f>Model!Y126</f>
        <v>273413</v>
      </c>
      <c r="E547" s="134">
        <f>C547*$I527</f>
        <v>39781.591499999995</v>
      </c>
      <c r="F547" s="90"/>
    </row>
    <row r="548" spans="1:9">
      <c r="B548" s="102" t="s">
        <v>18</v>
      </c>
      <c r="C548" s="136">
        <f>C546+C547</f>
        <v>13836</v>
      </c>
      <c r="E548" s="134">
        <f>C548*$I527</f>
        <v>2013.1379999999999</v>
      </c>
      <c r="F548" s="90"/>
    </row>
    <row r="549" spans="1:9" ht="15" thickBot="1">
      <c r="B549" s="104" t="s">
        <v>19</v>
      </c>
      <c r="C549" s="135">
        <f>Model!Y87</f>
        <v>37035</v>
      </c>
      <c r="D549" s="132"/>
      <c r="E549" s="139">
        <f>C549*I528</f>
        <v>5403.4065000000001</v>
      </c>
      <c r="F549" s="133"/>
    </row>
    <row r="550" spans="1:9">
      <c r="B550" s="11" t="s">
        <v>20</v>
      </c>
      <c r="C550" s="10">
        <f>+C543-Model!Y119</f>
        <v>0</v>
      </c>
    </row>
    <row r="552" spans="1:9" ht="15" thickBot="1"/>
    <row r="553" spans="1:9">
      <c r="B553" s="5" t="s">
        <v>115</v>
      </c>
      <c r="C553" s="167" t="str">
        <f>C530</f>
        <v>RMB mn</v>
      </c>
      <c r="D553" s="165" t="s">
        <v>6</v>
      </c>
    </row>
    <row r="554" spans="1:9">
      <c r="B554" s="79" t="s">
        <v>14</v>
      </c>
      <c r="C554" s="170">
        <f>C544</f>
        <v>203210</v>
      </c>
      <c r="D554" s="171">
        <f>C554*I527</f>
        <v>29567.054999999997</v>
      </c>
    </row>
    <row r="555" spans="1:9">
      <c r="B555" s="79" t="s">
        <v>15</v>
      </c>
      <c r="C555" s="169">
        <f>C545</f>
        <v>122440</v>
      </c>
      <c r="D555" s="172">
        <f>C555*I527</f>
        <v>17815.02</v>
      </c>
    </row>
    <row r="556" spans="1:9" ht="15" thickBot="1">
      <c r="B556" s="3" t="s">
        <v>22</v>
      </c>
      <c r="C556" s="173">
        <f>SUM(C554:C555)</f>
        <v>325650</v>
      </c>
      <c r="D556" s="168">
        <f>SUM(D554:D555)</f>
        <v>47382.074999999997</v>
      </c>
    </row>
    <row r="557" spans="1:9">
      <c r="B557" s="7"/>
      <c r="C557" s="136"/>
      <c r="D557" s="136"/>
    </row>
    <row r="558" spans="1:9">
      <c r="B558" s="7"/>
      <c r="C558" s="136"/>
      <c r="D558" s="136"/>
    </row>
    <row r="559" spans="1:9">
      <c r="A559" s="145" t="s">
        <v>116</v>
      </c>
      <c r="H559" s="7" t="s">
        <v>117</v>
      </c>
      <c r="I559" s="147">
        <f>Model!X206</f>
        <v>0.14498637128109959</v>
      </c>
    </row>
    <row r="560" spans="1:9">
      <c r="A560" s="145"/>
      <c r="H560" s="7" t="s">
        <v>118</v>
      </c>
      <c r="I560" s="147">
        <f>Model!X205</f>
        <v>0.14066280312834073</v>
      </c>
    </row>
    <row r="561" spans="2:9" ht="15" thickBot="1">
      <c r="I561" s="147"/>
    </row>
    <row r="562" spans="2:9">
      <c r="B562" s="93" t="s">
        <v>119</v>
      </c>
      <c r="C562" s="94" t="s">
        <v>4</v>
      </c>
      <c r="D562" s="109" t="s">
        <v>5</v>
      </c>
      <c r="E562" s="94" t="s">
        <v>6</v>
      </c>
      <c r="F562" s="8" t="s">
        <v>5</v>
      </c>
    </row>
    <row r="563" spans="2:9" ht="15" thickBot="1">
      <c r="B563" s="95" t="s">
        <v>7</v>
      </c>
      <c r="C563" s="136">
        <f>SUM(C564:C565)</f>
        <v>12146</v>
      </c>
      <c r="E563" s="156">
        <f>C563*$I559</f>
        <v>1761.0044655802355</v>
      </c>
      <c r="F563" s="90"/>
    </row>
    <row r="564" spans="2:9">
      <c r="B564" s="4" t="s">
        <v>8</v>
      </c>
      <c r="C564" s="19">
        <v>12146</v>
      </c>
      <c r="E564" s="144">
        <f>C564*$I559</f>
        <v>1761.0044655802355</v>
      </c>
      <c r="F564" s="90"/>
      <c r="H564" s="130" t="s">
        <v>120</v>
      </c>
      <c r="I564" s="131" t="s">
        <v>4</v>
      </c>
    </row>
    <row r="565" spans="2:9">
      <c r="B565" s="4" t="s">
        <v>9</v>
      </c>
      <c r="C565" s="134">
        <v>0</v>
      </c>
      <c r="E565" s="144">
        <f>C565*$I559</f>
        <v>0</v>
      </c>
      <c r="F565" s="90"/>
      <c r="H565" s="4" t="s">
        <v>14</v>
      </c>
      <c r="I565" s="125">
        <v>78861</v>
      </c>
    </row>
    <row r="566" spans="2:9" ht="15" thickBot="1">
      <c r="B566" s="4"/>
      <c r="C566" s="134"/>
      <c r="F566" s="90"/>
      <c r="H566" s="4" t="s">
        <v>53</v>
      </c>
      <c r="I566" s="125">
        <v>141095</v>
      </c>
    </row>
    <row r="567" spans="2:9" ht="15" thickBot="1">
      <c r="B567" s="95" t="s">
        <v>10</v>
      </c>
      <c r="C567" s="136">
        <f>SUM(C568:C569)</f>
        <v>30233</v>
      </c>
      <c r="E567" s="156">
        <f>C567*$I559</f>
        <v>4383.3729629414838</v>
      </c>
      <c r="F567" s="90"/>
      <c r="H567" s="126" t="s">
        <v>54</v>
      </c>
      <c r="I567" s="141">
        <f>SUM(I565:I566)</f>
        <v>219956</v>
      </c>
    </row>
    <row r="568" spans="2:9">
      <c r="B568" s="4" t="s">
        <v>11</v>
      </c>
      <c r="C568" s="19">
        <v>20009</v>
      </c>
      <c r="E568" s="144">
        <f>C568*$I559</f>
        <v>2901.0323029635215</v>
      </c>
      <c r="F568" s="90"/>
      <c r="H568" s="128" t="s">
        <v>55</v>
      </c>
      <c r="I568" s="129">
        <f>I567-C576-C577</f>
        <v>-282190</v>
      </c>
    </row>
    <row r="569" spans="2:9">
      <c r="B569" s="4" t="s">
        <v>9</v>
      </c>
      <c r="C569" s="19">
        <v>10224</v>
      </c>
      <c r="E569" s="144">
        <f>C569*$I559</f>
        <v>1482.3406599779621</v>
      </c>
      <c r="F569" s="90"/>
    </row>
    <row r="570" spans="2:9">
      <c r="B570" s="4"/>
      <c r="C570" s="134"/>
      <c r="F570" s="90"/>
    </row>
    <row r="571" spans="2:9">
      <c r="B571" s="95" t="s">
        <v>28</v>
      </c>
      <c r="C571" s="136">
        <f>SUM(C572:C573)</f>
        <v>22666</v>
      </c>
      <c r="E571" s="156">
        <f>C571*$I559</f>
        <v>3286.2610914574034</v>
      </c>
      <c r="F571" s="90"/>
    </row>
    <row r="572" spans="2:9">
      <c r="B572" s="4" t="s">
        <v>7</v>
      </c>
      <c r="C572" s="19">
        <v>7688</v>
      </c>
      <c r="E572" s="144">
        <f>C572*$I559</f>
        <v>1114.6552224090938</v>
      </c>
      <c r="F572" s="90"/>
    </row>
    <row r="573" spans="2:9">
      <c r="B573" s="4" t="s">
        <v>10</v>
      </c>
      <c r="C573" s="19">
        <v>14978</v>
      </c>
      <c r="E573" s="144">
        <f>C573*$I559</f>
        <v>2171.6058690483096</v>
      </c>
      <c r="F573" s="90"/>
    </row>
    <row r="574" spans="2:9">
      <c r="B574" s="95"/>
      <c r="C574" s="134"/>
      <c r="F574" s="90"/>
    </row>
    <row r="575" spans="2:9">
      <c r="B575" s="98" t="s">
        <v>13</v>
      </c>
      <c r="C575" s="140">
        <f>SUM(C563,C567,C571)</f>
        <v>65045</v>
      </c>
      <c r="D575" s="142">
        <f>C575/C581</f>
        <v>1.9357478721504673</v>
      </c>
      <c r="E575" s="140">
        <f>C575*$I559</f>
        <v>9430.6385199791221</v>
      </c>
      <c r="F575" s="143">
        <f>E575/E581</f>
        <v>1.995247168806487</v>
      </c>
    </row>
    <row r="576" spans="2:9">
      <c r="B576" s="100" t="s">
        <v>14</v>
      </c>
      <c r="C576" s="157">
        <f>Model!X120</f>
        <v>361051</v>
      </c>
      <c r="D576" s="158"/>
      <c r="E576" s="159">
        <f>C576*$I559</f>
        <v>52347.474337412292</v>
      </c>
      <c r="F576" s="160"/>
    </row>
    <row r="577" spans="2:6">
      <c r="B577" s="100" t="s">
        <v>15</v>
      </c>
      <c r="C577" s="161">
        <f>Model!X122</f>
        <v>141095</v>
      </c>
      <c r="D577" s="162"/>
      <c r="E577" s="163">
        <f>C577*$I559</f>
        <v>20456.852055906747</v>
      </c>
      <c r="F577" s="164"/>
    </row>
    <row r="578" spans="2:6">
      <c r="B578" s="98" t="s">
        <v>16</v>
      </c>
      <c r="C578" s="140">
        <f>C575-C576-C577</f>
        <v>-437101</v>
      </c>
      <c r="D578" s="142">
        <f>C578/C581</f>
        <v>-13.008184036664485</v>
      </c>
      <c r="E578" s="140">
        <f>C578*$I559</f>
        <v>-63373.687873339913</v>
      </c>
      <c r="F578" s="143">
        <f>E578/E581</f>
        <v>-13.408018029556221</v>
      </c>
    </row>
    <row r="579" spans="2:6">
      <c r="B579" s="102" t="s">
        <v>17</v>
      </c>
      <c r="C579" s="137">
        <f>Model!X126</f>
        <v>273533</v>
      </c>
      <c r="E579" s="134">
        <f>C579*$I559</f>
        <v>39658.557095633012</v>
      </c>
      <c r="F579" s="90"/>
    </row>
    <row r="580" spans="2:6">
      <c r="B580" s="102" t="s">
        <v>18</v>
      </c>
      <c r="C580" s="136">
        <f>C578+C579</f>
        <v>-163568</v>
      </c>
      <c r="E580" s="134">
        <f>C580*$I559</f>
        <v>-23715.130777706898</v>
      </c>
      <c r="F580" s="90"/>
    </row>
    <row r="581" spans="2:6" ht="15" thickBot="1">
      <c r="B581" s="104" t="s">
        <v>19</v>
      </c>
      <c r="C581" s="135">
        <f>Model!X87</f>
        <v>33602</v>
      </c>
      <c r="D581" s="132"/>
      <c r="E581" s="139">
        <f>C581*I560</f>
        <v>4726.5515107185056</v>
      </c>
      <c r="F581" s="133"/>
    </row>
    <row r="582" spans="2:6">
      <c r="B582" s="11" t="s">
        <v>20</v>
      </c>
      <c r="C582" s="10">
        <f>+C575-Model!X119</f>
        <v>0</v>
      </c>
    </row>
    <row r="584" spans="2:6" ht="15" thickBot="1"/>
    <row r="585" spans="2:6">
      <c r="B585" s="5" t="s">
        <v>121</v>
      </c>
      <c r="C585" s="167" t="str">
        <f>C562</f>
        <v>RMB mn</v>
      </c>
      <c r="D585" s="165" t="s">
        <v>6</v>
      </c>
    </row>
    <row r="586" spans="2:6">
      <c r="B586" s="79" t="s">
        <v>14</v>
      </c>
      <c r="C586" s="170">
        <f>C576</f>
        <v>361051</v>
      </c>
      <c r="D586" s="171">
        <f>C586*I559</f>
        <v>52347.474337412292</v>
      </c>
    </row>
    <row r="587" spans="2:6">
      <c r="B587" s="79" t="s">
        <v>15</v>
      </c>
      <c r="C587" s="169">
        <f>C577</f>
        <v>141095</v>
      </c>
      <c r="D587" s="172">
        <f>C587*I559</f>
        <v>20456.852055906747</v>
      </c>
    </row>
    <row r="588" spans="2:6" ht="15" thickBot="1">
      <c r="B588" s="3" t="s">
        <v>22</v>
      </c>
      <c r="C588" s="173">
        <f>SUM(C586:C587)</f>
        <v>502146</v>
      </c>
      <c r="D588" s="168">
        <f>SUM(D586:D587)</f>
        <v>72804.326393319032</v>
      </c>
    </row>
    <row r="589" spans="2:6" ht="15" thickBot="1">
      <c r="B589" s="7"/>
      <c r="C589" s="136"/>
      <c r="D589" s="136"/>
    </row>
    <row r="590" spans="2:6" ht="15" thickBot="1">
      <c r="B590" s="153" t="s">
        <v>122</v>
      </c>
      <c r="C590" s="154" t="str">
        <f>C562</f>
        <v>RMB mn</v>
      </c>
      <c r="D590" s="155" t="s">
        <v>6</v>
      </c>
    </row>
    <row r="591" spans="2:6">
      <c r="B591" s="148">
        <v>2023</v>
      </c>
      <c r="C591" s="149">
        <v>2008.12</v>
      </c>
      <c r="D591" s="150">
        <f>C591*I559</f>
        <v>291.15003189700167</v>
      </c>
    </row>
    <row r="592" spans="2:6">
      <c r="B592" s="148">
        <v>2024</v>
      </c>
      <c r="C592" s="149">
        <v>696</v>
      </c>
      <c r="D592" s="150">
        <f>C592*I559</f>
        <v>100.91051441164531</v>
      </c>
    </row>
    <row r="593" spans="1:9">
      <c r="B593" s="148">
        <v>2025</v>
      </c>
      <c r="C593" s="149">
        <v>3632.06</v>
      </c>
      <c r="D593" s="150">
        <f>C593*I559</f>
        <v>526.59919967523058</v>
      </c>
    </row>
    <row r="594" spans="1:9" ht="15" thickBot="1">
      <c r="B594" s="148" t="s">
        <v>102</v>
      </c>
      <c r="C594" s="149">
        <f>10397.53+4852.18+2079.51</f>
        <v>17329.22</v>
      </c>
      <c r="D594" s="150">
        <f>C594*I559</f>
        <v>2512.5007249318569</v>
      </c>
    </row>
    <row r="595" spans="1:9" ht="15" thickBot="1">
      <c r="B595" s="151" t="s">
        <v>25</v>
      </c>
      <c r="C595" s="152">
        <f>SUM(C591:C594)</f>
        <v>23665.4</v>
      </c>
      <c r="D595" s="152">
        <f>SUM(D591:D594)</f>
        <v>3431.1604709157345</v>
      </c>
    </row>
    <row r="596" spans="1:9">
      <c r="B596" s="7"/>
      <c r="C596" s="136"/>
      <c r="D596" s="136"/>
    </row>
    <row r="597" spans="1:9">
      <c r="B597" s="7"/>
      <c r="C597" s="136"/>
      <c r="D597" s="136"/>
    </row>
    <row r="598" spans="1:9">
      <c r="A598" s="145" t="s">
        <v>123</v>
      </c>
      <c r="H598" s="7" t="s">
        <v>124</v>
      </c>
      <c r="I598" s="147">
        <f>Model!W206</f>
        <v>0.14045732906343053</v>
      </c>
    </row>
    <row r="599" spans="1:9">
      <c r="A599" s="145"/>
      <c r="H599" s="7" t="s">
        <v>125</v>
      </c>
      <c r="I599" s="147">
        <f>Model!W205</f>
        <v>0.14605789735050975</v>
      </c>
    </row>
    <row r="600" spans="1:9" ht="15" thickBot="1">
      <c r="I600" s="147"/>
    </row>
    <row r="601" spans="1:9">
      <c r="B601" s="93" t="s">
        <v>126</v>
      </c>
      <c r="C601" s="94" t="s">
        <v>4</v>
      </c>
      <c r="D601" s="109" t="s">
        <v>5</v>
      </c>
      <c r="E601" s="94" t="s">
        <v>6</v>
      </c>
      <c r="F601" s="8" t="s">
        <v>5</v>
      </c>
    </row>
    <row r="602" spans="1:9" ht="15" thickBot="1">
      <c r="B602" s="95" t="s">
        <v>7</v>
      </c>
      <c r="C602" s="136">
        <f>SUM(C603:C604)</f>
        <v>17996</v>
      </c>
      <c r="E602" s="144">
        <f>C602*$I$598</f>
        <v>2527.6700938254958</v>
      </c>
      <c r="F602" s="90"/>
    </row>
    <row r="603" spans="1:9">
      <c r="B603" s="4" t="s">
        <v>8</v>
      </c>
      <c r="C603" s="19">
        <v>17996</v>
      </c>
      <c r="E603" s="144">
        <f>C603*$I$598</f>
        <v>2527.6700938254958</v>
      </c>
      <c r="F603" s="90"/>
      <c r="H603" s="130" t="s">
        <v>127</v>
      </c>
      <c r="I603" s="131" t="s">
        <v>4</v>
      </c>
    </row>
    <row r="604" spans="1:9">
      <c r="B604" s="4" t="s">
        <v>9</v>
      </c>
      <c r="C604" s="134">
        <v>0</v>
      </c>
      <c r="E604" s="144">
        <f>C604*$I$598</f>
        <v>0</v>
      </c>
      <c r="F604" s="90"/>
      <c r="H604" s="4" t="s">
        <v>14</v>
      </c>
      <c r="I604" s="125">
        <v>83356</v>
      </c>
    </row>
    <row r="605" spans="1:9" ht="15" thickBot="1">
      <c r="B605" s="4"/>
      <c r="C605" s="134"/>
      <c r="F605" s="90"/>
      <c r="H605" s="4" t="s">
        <v>53</v>
      </c>
      <c r="I605" s="125">
        <v>128449</v>
      </c>
    </row>
    <row r="606" spans="1:9" ht="15" thickBot="1">
      <c r="B606" s="95" t="s">
        <v>10</v>
      </c>
      <c r="C606" s="136">
        <f>SUM(C607:C608)</f>
        <v>28613</v>
      </c>
      <c r="E606" s="144">
        <f>C606*$I$598</f>
        <v>4018.9055564919377</v>
      </c>
      <c r="F606" s="90"/>
      <c r="H606" s="126" t="s">
        <v>54</v>
      </c>
      <c r="I606" s="141">
        <f>SUM(I604:I605)</f>
        <v>211805</v>
      </c>
    </row>
    <row r="607" spans="1:9">
      <c r="B607" s="4" t="s">
        <v>11</v>
      </c>
      <c r="C607" s="19">
        <v>18193</v>
      </c>
      <c r="E607" s="144">
        <f>C607*$I$598</f>
        <v>2555.3401876509915</v>
      </c>
      <c r="F607" s="90"/>
      <c r="H607" s="128" t="s">
        <v>55</v>
      </c>
      <c r="I607" s="129">
        <f>I606-C615-C616</f>
        <v>-128449</v>
      </c>
    </row>
    <row r="608" spans="1:9">
      <c r="B608" s="4" t="s">
        <v>9</v>
      </c>
      <c r="C608" s="19">
        <v>10420</v>
      </c>
      <c r="E608" s="144">
        <f>C608*$I$598</f>
        <v>1463.5653688409461</v>
      </c>
      <c r="F608" s="90"/>
    </row>
    <row r="609" spans="2:6">
      <c r="B609" s="4"/>
      <c r="C609" s="134"/>
      <c r="F609" s="90"/>
    </row>
    <row r="610" spans="2:6">
      <c r="B610" s="95" t="s">
        <v>28</v>
      </c>
      <c r="C610" s="136">
        <f>SUM(C611:C612)</f>
        <v>22421</v>
      </c>
      <c r="E610" s="144">
        <f>C610*$I$598</f>
        <v>3149.193774931176</v>
      </c>
      <c r="F610" s="90"/>
    </row>
    <row r="611" spans="2:6">
      <c r="B611" s="4" t="s">
        <v>7</v>
      </c>
      <c r="C611" s="19">
        <v>7640</v>
      </c>
      <c r="E611" s="144">
        <f>C611*$I$598</f>
        <v>1073.0939940446092</v>
      </c>
      <c r="F611" s="90"/>
    </row>
    <row r="612" spans="2:6">
      <c r="B612" s="4" t="s">
        <v>10</v>
      </c>
      <c r="C612" s="19">
        <v>14781</v>
      </c>
      <c r="E612" s="144">
        <f>C612*$I$598</f>
        <v>2076.0997808865668</v>
      </c>
      <c r="F612" s="90"/>
    </row>
    <row r="613" spans="2:6">
      <c r="B613" s="95"/>
      <c r="C613" s="134"/>
      <c r="F613" s="90"/>
    </row>
    <row r="614" spans="2:6">
      <c r="B614" s="98" t="s">
        <v>13</v>
      </c>
      <c r="C614" s="140">
        <f>SUM(C602,C606,C610)</f>
        <v>69030</v>
      </c>
      <c r="D614" s="142">
        <f>C614/C620</f>
        <v>2.3914023421677917</v>
      </c>
      <c r="E614" s="140">
        <f t="shared" ref="E614:E619" si="0">C614*$I$598</f>
        <v>9695.769425248609</v>
      </c>
      <c r="F614" s="143">
        <f>E614/E620</f>
        <v>2.2997043760725324</v>
      </c>
    </row>
    <row r="615" spans="2:6">
      <c r="B615" s="100" t="s">
        <v>14</v>
      </c>
      <c r="C615" s="157">
        <f>Model!W120</f>
        <v>211805</v>
      </c>
      <c r="D615" s="158"/>
      <c r="E615" s="159">
        <f t="shared" si="0"/>
        <v>29749.564582279905</v>
      </c>
      <c r="F615" s="160"/>
    </row>
    <row r="616" spans="2:6">
      <c r="B616" s="100" t="s">
        <v>15</v>
      </c>
      <c r="C616" s="161">
        <f>Model!W122</f>
        <v>128449</v>
      </c>
      <c r="D616" s="162"/>
      <c r="E616" s="163">
        <f t="shared" si="0"/>
        <v>18041.603460868588</v>
      </c>
      <c r="F616" s="164"/>
    </row>
    <row r="617" spans="2:6">
      <c r="B617" s="98" t="s">
        <v>16</v>
      </c>
      <c r="C617" s="140">
        <f>C614-C615-C616</f>
        <v>-271224</v>
      </c>
      <c r="D617" s="142">
        <f>C617/C620</f>
        <v>-9.3959975206738697</v>
      </c>
      <c r="E617" s="140">
        <f t="shared" si="0"/>
        <v>-38095.398617899882</v>
      </c>
      <c r="F617" s="143">
        <f>E617/E620</f>
        <v>-9.0357093973040197</v>
      </c>
    </row>
    <row r="618" spans="2:6">
      <c r="B618" s="102" t="s">
        <v>17</v>
      </c>
      <c r="C618" s="137">
        <f>Model!W126</f>
        <v>270547</v>
      </c>
      <c r="E618" s="134">
        <f t="shared" si="0"/>
        <v>38000.309006123942</v>
      </c>
      <c r="F618" s="90"/>
    </row>
    <row r="619" spans="2:6">
      <c r="B619" s="102" t="s">
        <v>18</v>
      </c>
      <c r="C619" s="136">
        <f>C617+C618</f>
        <v>-677</v>
      </c>
      <c r="E619" s="134">
        <f t="shared" si="0"/>
        <v>-95.089611775942473</v>
      </c>
      <c r="F619" s="90"/>
    </row>
    <row r="620" spans="2:6" ht="15" thickBot="1">
      <c r="B620" s="104" t="s">
        <v>19</v>
      </c>
      <c r="C620" s="135">
        <f>Model!W87</f>
        <v>28865.907999999999</v>
      </c>
      <c r="D620" s="132"/>
      <c r="E620" s="139">
        <f>C620*I599</f>
        <v>4216.0938275932585</v>
      </c>
      <c r="F620" s="133"/>
    </row>
    <row r="621" spans="2:6">
      <c r="B621" s="11" t="s">
        <v>20</v>
      </c>
      <c r="C621" s="10">
        <f>+C614-Model!W119</f>
        <v>0</v>
      </c>
    </row>
    <row r="623" spans="2:6" ht="15" thickBot="1"/>
    <row r="624" spans="2:6">
      <c r="B624" s="5" t="s">
        <v>128</v>
      </c>
      <c r="C624" s="89" t="str">
        <f>C601</f>
        <v>RMB mn</v>
      </c>
      <c r="D624" s="165" t="s">
        <v>6</v>
      </c>
    </row>
    <row r="625" spans="1:9">
      <c r="B625" s="79" t="s">
        <v>14</v>
      </c>
      <c r="C625" s="171">
        <f>C615</f>
        <v>211805</v>
      </c>
      <c r="D625" s="171">
        <f>C625*I598</f>
        <v>29749.564582279905</v>
      </c>
    </row>
    <row r="626" spans="1:9">
      <c r="B626" s="79" t="s">
        <v>15</v>
      </c>
      <c r="C626" s="172">
        <f>C616</f>
        <v>128449</v>
      </c>
      <c r="D626" s="172">
        <f>C626*I599</f>
        <v>18760.990856775628</v>
      </c>
    </row>
    <row r="627" spans="1:9" ht="15" thickBot="1">
      <c r="B627" s="3" t="s">
        <v>22</v>
      </c>
      <c r="C627" s="166">
        <f>SUM(C625:C626)</f>
        <v>340254</v>
      </c>
      <c r="D627" s="166">
        <f>SUM(D625:D626)</f>
        <v>48510.555439055533</v>
      </c>
    </row>
    <row r="628" spans="1:9">
      <c r="B628" s="7"/>
      <c r="C628" s="136"/>
      <c r="D628" s="136"/>
    </row>
    <row r="629" spans="1:9">
      <c r="A629" s="145" t="s">
        <v>129</v>
      </c>
      <c r="H629" s="7" t="s">
        <v>130</v>
      </c>
      <c r="I629" s="147">
        <f>Model!V206</f>
        <v>0.15488987330008364</v>
      </c>
    </row>
    <row r="630" spans="1:9">
      <c r="A630" s="145"/>
      <c r="H630" s="7" t="s">
        <v>131</v>
      </c>
      <c r="I630" s="147">
        <f>Model!V205</f>
        <v>0.15129999999999999</v>
      </c>
    </row>
    <row r="631" spans="1:9" ht="15" thickBot="1">
      <c r="I631" s="147"/>
    </row>
    <row r="632" spans="1:9">
      <c r="B632" s="93" t="s">
        <v>132</v>
      </c>
      <c r="C632" s="94" t="s">
        <v>4</v>
      </c>
      <c r="D632" s="109" t="s">
        <v>5</v>
      </c>
      <c r="E632" s="94" t="s">
        <v>6</v>
      </c>
      <c r="F632" s="8" t="s">
        <v>5</v>
      </c>
    </row>
    <row r="633" spans="1:9" ht="15" thickBot="1">
      <c r="B633" s="95" t="s">
        <v>7</v>
      </c>
      <c r="C633" s="136">
        <f>SUM(C634:C635)</f>
        <v>13754</v>
      </c>
      <c r="E633" s="144">
        <f>C633*$I$629</f>
        <v>2130.3553173693504</v>
      </c>
      <c r="F633" s="90"/>
    </row>
    <row r="634" spans="1:9">
      <c r="B634" s="4" t="s">
        <v>8</v>
      </c>
      <c r="C634" s="19">
        <v>13754</v>
      </c>
      <c r="E634" s="144">
        <f>C634*$I$629</f>
        <v>2130.3553173693504</v>
      </c>
      <c r="F634" s="90"/>
      <c r="H634" s="130" t="s">
        <v>133</v>
      </c>
      <c r="I634" s="131" t="s">
        <v>4</v>
      </c>
    </row>
    <row r="635" spans="1:9">
      <c r="B635" s="4" t="s">
        <v>9</v>
      </c>
      <c r="C635" s="134">
        <v>0</v>
      </c>
      <c r="E635" s="144">
        <f>C635*$I$629</f>
        <v>0</v>
      </c>
      <c r="F635" s="90"/>
      <c r="H635" s="4" t="s">
        <v>14</v>
      </c>
      <c r="I635" s="125">
        <v>78821</v>
      </c>
    </row>
    <row r="636" spans="1:9" ht="15" thickBot="1">
      <c r="B636" s="4"/>
      <c r="C636" s="134"/>
      <c r="F636" s="90"/>
      <c r="H636" s="4" t="s">
        <v>53</v>
      </c>
      <c r="I636" s="125">
        <v>122223</v>
      </c>
    </row>
    <row r="637" spans="1:9" ht="15" thickBot="1">
      <c r="B637" s="95" t="s">
        <v>10</v>
      </c>
      <c r="C637" s="136">
        <f>SUM(C638:C639)</f>
        <v>24659</v>
      </c>
      <c r="E637" s="144">
        <f>C637*$I$629</f>
        <v>3819.4293857067623</v>
      </c>
      <c r="F637" s="90"/>
      <c r="H637" s="126" t="s">
        <v>54</v>
      </c>
      <c r="I637" s="141">
        <f>SUM(I635:I636)</f>
        <v>201044</v>
      </c>
    </row>
    <row r="638" spans="1:9">
      <c r="B638" s="4" t="s">
        <v>11</v>
      </c>
      <c r="C638" s="19">
        <v>14812</v>
      </c>
      <c r="E638" s="144">
        <f>C638*$I$629</f>
        <v>2294.2288033208388</v>
      </c>
      <c r="F638" s="90"/>
      <c r="H638" s="128" t="s">
        <v>55</v>
      </c>
      <c r="I638" s="129">
        <f>I637-C646-C647</f>
        <v>-122223</v>
      </c>
    </row>
    <row r="639" spans="1:9">
      <c r="B639" s="4" t="s">
        <v>9</v>
      </c>
      <c r="C639" s="19">
        <v>9847</v>
      </c>
      <c r="E639" s="144">
        <f>C639*$I$629</f>
        <v>1525.2005823859236</v>
      </c>
      <c r="F639" s="90"/>
    </row>
    <row r="640" spans="1:9">
      <c r="B640" s="4"/>
      <c r="C640" s="134"/>
      <c r="F640" s="90"/>
    </row>
    <row r="641" spans="2:6">
      <c r="B641" s="95" t="s">
        <v>28</v>
      </c>
      <c r="C641" s="136">
        <f>SUM(C642:C643)</f>
        <v>20667</v>
      </c>
      <c r="E641" s="144">
        <f>C641*$I$629</f>
        <v>3201.1090114928284</v>
      </c>
      <c r="F641" s="90"/>
    </row>
    <row r="642" spans="2:6">
      <c r="B642" s="4" t="s">
        <v>7</v>
      </c>
      <c r="C642" s="19">
        <v>6861</v>
      </c>
      <c r="E642" s="144">
        <f>C642*$I$629</f>
        <v>1062.6994207118739</v>
      </c>
      <c r="F642" s="90"/>
    </row>
    <row r="643" spans="2:6">
      <c r="B643" s="4" t="s">
        <v>10</v>
      </c>
      <c r="C643" s="19">
        <v>13806</v>
      </c>
      <c r="E643" s="144">
        <f>C643*$I$629</f>
        <v>2138.4095907809547</v>
      </c>
      <c r="F643" s="90"/>
    </row>
    <row r="644" spans="2:6">
      <c r="B644" s="95"/>
      <c r="C644" s="134"/>
      <c r="F644" s="90"/>
    </row>
    <row r="645" spans="2:6">
      <c r="B645" s="98" t="s">
        <v>13</v>
      </c>
      <c r="C645" s="140">
        <f>SUM(C633,C637,C641)</f>
        <v>59080</v>
      </c>
      <c r="D645" s="142">
        <f>C645/C651</f>
        <v>2.5393293024417707</v>
      </c>
      <c r="E645" s="140">
        <f t="shared" ref="E645:E650" si="1">C645*$I$629</f>
        <v>9150.8937145689415</v>
      </c>
      <c r="F645" s="143">
        <f>E645/E651</f>
        <v>2.5995796029239635</v>
      </c>
    </row>
    <row r="646" spans="2:6">
      <c r="B646" s="100" t="s">
        <v>14</v>
      </c>
      <c r="C646" s="157">
        <f>Model!V120</f>
        <v>201044</v>
      </c>
      <c r="D646" s="158"/>
      <c r="E646" s="159">
        <f t="shared" si="1"/>
        <v>31139.679687742013</v>
      </c>
      <c r="F646" s="160"/>
    </row>
    <row r="647" spans="2:6">
      <c r="B647" s="100" t="s">
        <v>15</v>
      </c>
      <c r="C647" s="161">
        <f>Model!V122</f>
        <v>122223</v>
      </c>
      <c r="D647" s="162"/>
      <c r="E647" s="163">
        <f t="shared" si="1"/>
        <v>18931.104984356123</v>
      </c>
      <c r="F647" s="164"/>
    </row>
    <row r="648" spans="2:6">
      <c r="B648" s="98" t="s">
        <v>16</v>
      </c>
      <c r="C648" s="140">
        <f>C645-C646-C647</f>
        <v>-264187</v>
      </c>
      <c r="D648" s="142">
        <f>C648/C651</f>
        <v>-11.355074313205552</v>
      </c>
      <c r="E648" s="140">
        <f t="shared" si="1"/>
        <v>-40919.890957529198</v>
      </c>
      <c r="F648" s="143">
        <f>E648/E651</f>
        <v>-11.624494525349917</v>
      </c>
    </row>
    <row r="649" spans="2:6">
      <c r="B649" s="102" t="s">
        <v>17</v>
      </c>
      <c r="C649" s="137">
        <f>Model!V126</f>
        <v>245572.22399999999</v>
      </c>
      <c r="E649" s="134">
        <f t="shared" si="1"/>
        <v>38036.650661379754</v>
      </c>
      <c r="F649" s="90"/>
    </row>
    <row r="650" spans="2:6">
      <c r="B650" s="102" t="s">
        <v>18</v>
      </c>
      <c r="C650" s="136">
        <f>C648+C649</f>
        <v>-18614.776000000013</v>
      </c>
      <c r="E650" s="134">
        <f t="shared" si="1"/>
        <v>-2883.2402961494395</v>
      </c>
      <c r="F650" s="90"/>
    </row>
    <row r="651" spans="2:6" ht="15" thickBot="1">
      <c r="B651" s="104" t="s">
        <v>19</v>
      </c>
      <c r="C651" s="135">
        <f>Model!V87</f>
        <v>23265.986000000001</v>
      </c>
      <c r="D651" s="132"/>
      <c r="E651" s="139">
        <f>C651*I630</f>
        <v>3520.1436817999997</v>
      </c>
      <c r="F651" s="133"/>
    </row>
    <row r="652" spans="2:6">
      <c r="B652" s="11" t="s">
        <v>20</v>
      </c>
      <c r="C652" s="10">
        <f>+C645-Model!V119</f>
        <v>0</v>
      </c>
    </row>
    <row r="654" spans="2:6" ht="15" thickBot="1"/>
    <row r="655" spans="2:6">
      <c r="B655" s="5" t="s">
        <v>134</v>
      </c>
      <c r="C655" s="89" t="str">
        <f>C632</f>
        <v>RMB mn</v>
      </c>
      <c r="D655" s="165" t="s">
        <v>6</v>
      </c>
    </row>
    <row r="656" spans="2:6">
      <c r="B656" s="79" t="s">
        <v>14</v>
      </c>
      <c r="C656" s="171">
        <f>C646</f>
        <v>201044</v>
      </c>
      <c r="D656" s="171">
        <f>C656*I629</f>
        <v>31139.679687742013</v>
      </c>
    </row>
    <row r="657" spans="1:9">
      <c r="B657" s="100" t="s">
        <v>15</v>
      </c>
      <c r="C657" s="172">
        <f>C647</f>
        <v>122223</v>
      </c>
      <c r="D657" s="172">
        <f>C657*I630</f>
        <v>18492.339899999999</v>
      </c>
    </row>
    <row r="658" spans="1:9" ht="15" thickBot="1">
      <c r="B658" s="3" t="s">
        <v>22</v>
      </c>
      <c r="C658" s="166">
        <f>SUM(C656:C657)</f>
        <v>323267</v>
      </c>
      <c r="D658" s="166">
        <f>SUM(D656:D657)</f>
        <v>49632.019587742012</v>
      </c>
    </row>
    <row r="660" spans="1:9">
      <c r="H660" s="7" t="s">
        <v>135</v>
      </c>
      <c r="I660" s="147">
        <f>Model!U206</f>
        <v>0.15774612338901772</v>
      </c>
    </row>
    <row r="661" spans="1:9">
      <c r="A661" s="145" t="s">
        <v>136</v>
      </c>
      <c r="H661" s="7" t="s">
        <v>137</v>
      </c>
      <c r="I661" s="147">
        <f>Model!U205</f>
        <v>0.15754730357789928</v>
      </c>
    </row>
    <row r="662" spans="1:9" ht="15" thickBot="1"/>
    <row r="663" spans="1:9">
      <c r="B663" s="93" t="s">
        <v>138</v>
      </c>
      <c r="C663" s="94" t="s">
        <v>4</v>
      </c>
      <c r="D663" s="109" t="s">
        <v>5</v>
      </c>
      <c r="E663" s="94" t="s">
        <v>6</v>
      </c>
      <c r="F663" s="8" t="s">
        <v>5</v>
      </c>
    </row>
    <row r="664" spans="1:9" ht="15" thickBot="1">
      <c r="B664" s="95" t="s">
        <v>7</v>
      </c>
      <c r="C664" s="136">
        <f>SUM(C665:C666)</f>
        <v>17151</v>
      </c>
      <c r="E664" s="144">
        <f>C664*$I$660</f>
        <v>2705.5037622450432</v>
      </c>
      <c r="F664" s="90"/>
    </row>
    <row r="665" spans="1:9">
      <c r="B665" s="4" t="s">
        <v>8</v>
      </c>
      <c r="C665" s="19">
        <v>17151</v>
      </c>
      <c r="E665" s="144">
        <f t="shared" ref="E665:E666" si="2">C665*$I$660</f>
        <v>2705.5037622450432</v>
      </c>
      <c r="F665" s="90"/>
      <c r="H665" s="130" t="s">
        <v>139</v>
      </c>
      <c r="I665" s="131" t="s">
        <v>4</v>
      </c>
    </row>
    <row r="666" spans="1:9">
      <c r="B666" s="4" t="s">
        <v>9</v>
      </c>
      <c r="C666" s="134">
        <v>0</v>
      </c>
      <c r="E666" s="138">
        <f t="shared" si="2"/>
        <v>0</v>
      </c>
      <c r="F666" s="90"/>
      <c r="H666" s="4" t="s">
        <v>14</v>
      </c>
      <c r="I666" s="125">
        <v>84463</v>
      </c>
    </row>
    <row r="667" spans="1:9" ht="15" thickBot="1">
      <c r="B667" s="4"/>
      <c r="C667" s="134"/>
      <c r="F667" s="90"/>
      <c r="H667" s="4" t="s">
        <v>53</v>
      </c>
      <c r="I667" s="125">
        <v>96096</v>
      </c>
    </row>
    <row r="668" spans="1:9" ht="15" thickBot="1">
      <c r="B668" s="95" t="s">
        <v>10</v>
      </c>
      <c r="C668" s="136">
        <f>SUM(C669:C670)</f>
        <v>15609</v>
      </c>
      <c r="E668" s="134">
        <f>C668*$I$660</f>
        <v>2462.2592399791774</v>
      </c>
      <c r="F668" s="90"/>
      <c r="H668" s="126" t="s">
        <v>54</v>
      </c>
      <c r="I668" s="141">
        <f>SUM(I666:I667)</f>
        <v>180559</v>
      </c>
    </row>
    <row r="669" spans="1:9">
      <c r="B669" s="4" t="s">
        <v>11</v>
      </c>
      <c r="C669" s="19">
        <v>6298</v>
      </c>
      <c r="E669" s="134">
        <f t="shared" ref="E669:E670" si="3">C669*$I$660</f>
        <v>993.4850851040336</v>
      </c>
      <c r="F669" s="90"/>
      <c r="H669" s="128" t="s">
        <v>55</v>
      </c>
      <c r="I669" s="129">
        <f>I668-C677-C678</f>
        <v>-96096</v>
      </c>
    </row>
    <row r="670" spans="1:9">
      <c r="B670" s="4" t="s">
        <v>9</v>
      </c>
      <c r="C670" s="19">
        <v>9311</v>
      </c>
      <c r="E670" s="134">
        <f t="shared" si="3"/>
        <v>1468.7741548751439</v>
      </c>
      <c r="F670" s="90"/>
    </row>
    <row r="671" spans="1:9">
      <c r="B671" s="4"/>
      <c r="C671" s="134"/>
      <c r="F671" s="90"/>
    </row>
    <row r="672" spans="1:9">
      <c r="B672" s="95" t="s">
        <v>28</v>
      </c>
      <c r="C672" s="136">
        <f>SUM(C673:C674)</f>
        <v>20393</v>
      </c>
      <c r="E672" s="134">
        <f>C672*$I$660</f>
        <v>3216.9166942722386</v>
      </c>
      <c r="F672" s="90"/>
    </row>
    <row r="673" spans="2:6">
      <c r="B673" s="4" t="s">
        <v>7</v>
      </c>
      <c r="C673" s="19">
        <v>6686</v>
      </c>
      <c r="E673" s="134">
        <f t="shared" ref="E673:E674" si="4">C673*$I$660</f>
        <v>1054.6905809789725</v>
      </c>
      <c r="F673" s="90"/>
    </row>
    <row r="674" spans="2:6">
      <c r="B674" s="4" t="s">
        <v>10</v>
      </c>
      <c r="C674" s="19">
        <v>13707</v>
      </c>
      <c r="E674" s="134">
        <f t="shared" si="4"/>
        <v>2162.2261132932658</v>
      </c>
      <c r="F674" s="90"/>
    </row>
    <row r="675" spans="2:6">
      <c r="B675" s="95"/>
      <c r="C675" s="134"/>
      <c r="F675" s="90"/>
    </row>
    <row r="676" spans="2:6">
      <c r="B676" s="98" t="s">
        <v>13</v>
      </c>
      <c r="C676" s="140">
        <f>SUM(C664,C668,C672)</f>
        <v>53153</v>
      </c>
      <c r="D676" s="142">
        <f>C676/C682</f>
        <v>2.6793804452561387</v>
      </c>
      <c r="E676" s="140">
        <f>C676*$I$660</f>
        <v>8384.6796964964597</v>
      </c>
      <c r="F676" s="143">
        <f>E676/E682</f>
        <v>2.6827617402827268</v>
      </c>
    </row>
    <row r="677" spans="2:6">
      <c r="B677" s="100" t="s">
        <v>14</v>
      </c>
      <c r="C677" s="157">
        <f>Model!U120</f>
        <v>180559</v>
      </c>
      <c r="D677" s="158"/>
      <c r="E677" s="159">
        <f t="shared" ref="E677:E681" si="5">C677*$I$660</f>
        <v>28482.482292997651</v>
      </c>
      <c r="F677" s="160"/>
    </row>
    <row r="678" spans="2:6">
      <c r="B678" s="100" t="s">
        <v>15</v>
      </c>
      <c r="C678" s="161">
        <f>Model!U122</f>
        <v>96096</v>
      </c>
      <c r="D678" s="162"/>
      <c r="E678" s="163">
        <f t="shared" si="5"/>
        <v>15158.771473191047</v>
      </c>
      <c r="F678" s="164"/>
    </row>
    <row r="679" spans="2:6">
      <c r="B679" s="98" t="s">
        <v>16</v>
      </c>
      <c r="C679" s="140">
        <f>C676-C677-C678</f>
        <v>-223502</v>
      </c>
      <c r="D679" s="142">
        <f>C679/C682</f>
        <v>-11.266473920110577</v>
      </c>
      <c r="E679" s="140">
        <f t="shared" si="5"/>
        <v>-35256.574069692237</v>
      </c>
      <c r="F679" s="143">
        <f>E679/E682</f>
        <v>-11.280691860791864</v>
      </c>
    </row>
    <row r="680" spans="2:6">
      <c r="B680" s="102" t="s">
        <v>17</v>
      </c>
      <c r="C680" s="137">
        <f>Model!U126</f>
        <v>254619</v>
      </c>
      <c r="E680" s="134">
        <f t="shared" si="5"/>
        <v>40165.160191188304</v>
      </c>
      <c r="F680" s="90"/>
    </row>
    <row r="681" spans="2:6">
      <c r="B681" s="102" t="s">
        <v>18</v>
      </c>
      <c r="C681" s="136">
        <f>C679+C680</f>
        <v>31117</v>
      </c>
      <c r="E681" s="134">
        <f t="shared" si="5"/>
        <v>4908.5861214960642</v>
      </c>
      <c r="F681" s="90"/>
    </row>
    <row r="682" spans="2:6" ht="15" thickBot="1">
      <c r="B682" s="104" t="s">
        <v>19</v>
      </c>
      <c r="C682" s="135">
        <f>Model!U87</f>
        <v>19837.794999999998</v>
      </c>
      <c r="D682" s="132"/>
      <c r="E682" s="139">
        <f>C682*I661</f>
        <v>3125.3911111811321</v>
      </c>
      <c r="F682" s="133"/>
    </row>
    <row r="683" spans="2:6">
      <c r="B683" s="11" t="s">
        <v>20</v>
      </c>
      <c r="C683" s="10">
        <f>+C676-Model!U119</f>
        <v>0</v>
      </c>
    </row>
    <row r="685" spans="2:6" ht="15" thickBot="1"/>
    <row r="686" spans="2:6">
      <c r="B686" s="5" t="s">
        <v>140</v>
      </c>
      <c r="C686" s="89" t="str">
        <f>C663</f>
        <v>RMB mn</v>
      </c>
      <c r="D686" s="165" t="s">
        <v>6</v>
      </c>
    </row>
    <row r="687" spans="2:6">
      <c r="B687" s="79" t="s">
        <v>14</v>
      </c>
      <c r="C687" s="171">
        <f>C677</f>
        <v>180559</v>
      </c>
      <c r="D687" s="171">
        <f>C687*I660</f>
        <v>28482.482292997651</v>
      </c>
    </row>
    <row r="688" spans="2:6">
      <c r="B688" s="79" t="s">
        <v>15</v>
      </c>
      <c r="C688" s="172">
        <f>C678</f>
        <v>96096</v>
      </c>
      <c r="D688" s="172">
        <f>C688*I661</f>
        <v>15139.66568462181</v>
      </c>
    </row>
    <row r="689" spans="1:9" ht="15" thickBot="1">
      <c r="B689" s="3" t="s">
        <v>22</v>
      </c>
      <c r="C689" s="166">
        <f>SUM(C687:C688)</f>
        <v>276655</v>
      </c>
      <c r="D689" s="166">
        <f>SUM(D687:D688)</f>
        <v>43622.147977619461</v>
      </c>
    </row>
    <row r="691" spans="1:9">
      <c r="A691" s="20" t="s">
        <v>141</v>
      </c>
      <c r="H691" s="7" t="s">
        <v>142</v>
      </c>
      <c r="I691" s="124">
        <f>Model!T206</f>
        <v>0.1569225602857246</v>
      </c>
    </row>
    <row r="692" spans="1:9">
      <c r="H692" s="7" t="s">
        <v>143</v>
      </c>
      <c r="I692" s="124">
        <f>Model!T205</f>
        <v>0.15093428321308902</v>
      </c>
    </row>
    <row r="693" spans="1:9" ht="15" thickBot="1">
      <c r="H693" s="7"/>
      <c r="I693" s="124"/>
    </row>
    <row r="694" spans="1:9">
      <c r="B694" s="93" t="s">
        <v>144</v>
      </c>
      <c r="C694" s="94" t="s">
        <v>4</v>
      </c>
      <c r="D694" s="109" t="s">
        <v>5</v>
      </c>
      <c r="E694" s="94" t="s">
        <v>6</v>
      </c>
      <c r="F694" s="8" t="s">
        <v>5</v>
      </c>
      <c r="H694" s="130" t="s">
        <v>145</v>
      </c>
      <c r="I694" s="131" t="s">
        <v>4</v>
      </c>
    </row>
    <row r="695" spans="1:9">
      <c r="B695" s="95" t="s">
        <v>7</v>
      </c>
      <c r="C695" s="18">
        <f>SUM(C696:C697)</f>
        <v>4367.6750000000002</v>
      </c>
      <c r="D695" s="18"/>
      <c r="E695" s="96">
        <f>C695*$I$691</f>
        <v>685.38674349595226</v>
      </c>
      <c r="F695" s="97"/>
      <c r="H695" s="4" t="s">
        <v>14</v>
      </c>
      <c r="I695" s="125">
        <f>70766.531</f>
        <v>70766.531000000003</v>
      </c>
    </row>
    <row r="696" spans="1:9" ht="15" thickBot="1">
      <c r="B696" s="4" t="s">
        <v>8</v>
      </c>
      <c r="C696" s="19">
        <v>4367.6750000000002</v>
      </c>
      <c r="D696" s="19"/>
      <c r="E696" s="96">
        <f>C696*$I$691</f>
        <v>685.38674349595226</v>
      </c>
      <c r="F696" s="97"/>
      <c r="H696" s="4" t="s">
        <v>53</v>
      </c>
      <c r="I696" s="125">
        <v>114564.21799999999</v>
      </c>
    </row>
    <row r="697" spans="1:9" ht="15" thickBot="1">
      <c r="B697" s="4" t="s">
        <v>9</v>
      </c>
      <c r="C697" s="19">
        <v>0</v>
      </c>
      <c r="D697" s="19"/>
      <c r="E697" s="96">
        <f>C697*$I$691</f>
        <v>0</v>
      </c>
      <c r="F697" s="97"/>
      <c r="H697" s="126" t="s">
        <v>54</v>
      </c>
      <c r="I697" s="127">
        <f>SUM(I695:I696)</f>
        <v>185330.74900000001</v>
      </c>
    </row>
    <row r="698" spans="1:9">
      <c r="B698" s="4"/>
      <c r="C698" s="19"/>
      <c r="D698" s="19"/>
      <c r="F698" s="97"/>
      <c r="H698" s="128" t="s">
        <v>55</v>
      </c>
      <c r="I698" s="129">
        <f>I697-C708-C709</f>
        <v>-229128.43599999999</v>
      </c>
    </row>
    <row r="699" spans="1:9">
      <c r="B699" s="95" t="s">
        <v>10</v>
      </c>
      <c r="C699" s="91">
        <f>SUM(C700:C701)</f>
        <v>9385.9590000000007</v>
      </c>
      <c r="D699" s="91"/>
      <c r="E699" s="96">
        <f>C699*$I$691</f>
        <v>1472.8687170168396</v>
      </c>
      <c r="F699" s="97"/>
    </row>
    <row r="700" spans="1:9">
      <c r="B700" s="4" t="s">
        <v>11</v>
      </c>
      <c r="C700" s="19">
        <v>0</v>
      </c>
      <c r="D700" s="19"/>
      <c r="E700" s="96">
        <f>C700*$I$691</f>
        <v>0</v>
      </c>
      <c r="F700" s="97"/>
    </row>
    <row r="701" spans="1:9">
      <c r="B701" s="4" t="s">
        <v>9</v>
      </c>
      <c r="C701" s="19">
        <v>9385.9590000000007</v>
      </c>
      <c r="D701" s="19"/>
      <c r="E701" s="96">
        <f>C701*$I$691</f>
        <v>1472.8687170168396</v>
      </c>
      <c r="F701" s="97"/>
    </row>
    <row r="702" spans="1:9">
      <c r="B702" s="4"/>
      <c r="C702" s="19"/>
      <c r="D702" s="19"/>
      <c r="F702" s="97"/>
    </row>
    <row r="703" spans="1:9">
      <c r="B703" s="95" t="s">
        <v>28</v>
      </c>
      <c r="C703" s="91">
        <f>SUM(C704:C705)</f>
        <v>20385.635999999999</v>
      </c>
      <c r="D703" s="91"/>
      <c r="E703" s="96">
        <f>C703*$I$691</f>
        <v>3198.9661941728373</v>
      </c>
      <c r="F703" s="97"/>
    </row>
    <row r="704" spans="1:9">
      <c r="B704" s="4" t="s">
        <v>7</v>
      </c>
      <c r="C704" s="19">
        <v>6664.8389999999999</v>
      </c>
      <c r="D704" s="19"/>
      <c r="E704" s="96">
        <f>C704*$I$691</f>
        <v>1045.8635997721485</v>
      </c>
      <c r="F704" s="97"/>
    </row>
    <row r="705" spans="2:7">
      <c r="B705" s="4" t="s">
        <v>10</v>
      </c>
      <c r="C705" s="19">
        <v>13720.797</v>
      </c>
      <c r="D705" s="19"/>
      <c r="E705" s="96">
        <f>C705*$I$691</f>
        <v>2153.1025944006892</v>
      </c>
      <c r="F705" s="97"/>
    </row>
    <row r="706" spans="2:7">
      <c r="B706" s="95"/>
      <c r="C706" s="18"/>
      <c r="D706" s="18"/>
      <c r="F706" s="90"/>
    </row>
    <row r="707" spans="2:7">
      <c r="B707" s="98" t="s">
        <v>13</v>
      </c>
      <c r="C707" s="15">
        <f>C699+C695+C703</f>
        <v>34139.270000000004</v>
      </c>
      <c r="D707" s="107">
        <f>C707/C713</f>
        <v>1.8244978328414281</v>
      </c>
      <c r="E707" s="15">
        <f>E699+E695+E703</f>
        <v>5357.2216546856289</v>
      </c>
      <c r="F707" s="99">
        <f>E707/E713</f>
        <v>1.8968842934181336</v>
      </c>
      <c r="G707" s="17"/>
    </row>
    <row r="708" spans="2:7">
      <c r="B708" s="100" t="s">
        <v>14</v>
      </c>
      <c r="C708" s="92">
        <f>Model!T120</f>
        <v>299894.967</v>
      </c>
      <c r="D708" s="108"/>
      <c r="E708" s="92">
        <f>C708*$I$691</f>
        <v>47060.286038442893</v>
      </c>
      <c r="F708" s="101"/>
    </row>
    <row r="709" spans="2:7">
      <c r="B709" s="100" t="s">
        <v>15</v>
      </c>
      <c r="C709" s="92">
        <f>Model!T122</f>
        <v>114564.21799999999</v>
      </c>
      <c r="D709" s="108"/>
      <c r="E709" s="92">
        <f>C709*$I$691</f>
        <v>17977.710405691894</v>
      </c>
      <c r="F709" s="101"/>
    </row>
    <row r="710" spans="2:7">
      <c r="B710" s="98" t="s">
        <v>16</v>
      </c>
      <c r="C710" s="15">
        <f>C707-C708-C709</f>
        <v>-380319.91499999998</v>
      </c>
      <c r="D710" s="107">
        <f>C710/C713</f>
        <v>-20.325357299788074</v>
      </c>
      <c r="E710" s="15">
        <f>C710*$I$691</f>
        <v>-59680.774789449155</v>
      </c>
      <c r="F710" s="99">
        <f>E710/E713</f>
        <v>-21.131760381449855</v>
      </c>
    </row>
    <row r="711" spans="2:7">
      <c r="B711" s="102" t="s">
        <v>17</v>
      </c>
      <c r="C711" s="14">
        <f>Model!T126</f>
        <v>245572.22399999999</v>
      </c>
      <c r="D711" s="14"/>
      <c r="E711" s="14">
        <f>C711*$I$691</f>
        <v>38535.822125139464</v>
      </c>
      <c r="F711" s="103"/>
    </row>
    <row r="712" spans="2:7">
      <c r="B712" s="102" t="s">
        <v>18</v>
      </c>
      <c r="C712" s="14">
        <f>C710+C711</f>
        <v>-134747.69099999999</v>
      </c>
      <c r="D712" s="14"/>
      <c r="E712" s="14">
        <f>E710+E711</f>
        <v>-21144.952664309691</v>
      </c>
      <c r="F712" s="103"/>
    </row>
    <row r="713" spans="2:7" ht="15" thickBot="1">
      <c r="B713" s="104" t="s">
        <v>19</v>
      </c>
      <c r="C713" s="105">
        <f>Model!T87</f>
        <v>18711.598000000002</v>
      </c>
      <c r="D713" s="105"/>
      <c r="E713" s="105">
        <f>C713*$I$692</f>
        <v>2824.2216319014706</v>
      </c>
      <c r="F713" s="106"/>
    </row>
    <row r="714" spans="2:7">
      <c r="B714" s="11" t="s">
        <v>20</v>
      </c>
      <c r="C714" s="10">
        <f>+C707-Model!T119</f>
        <v>0</v>
      </c>
      <c r="E714" s="9"/>
    </row>
    <row r="715" spans="2:7">
      <c r="B715" s="11"/>
      <c r="C715" s="10"/>
      <c r="E715" s="9"/>
    </row>
    <row r="716" spans="2:7">
      <c r="B716" s="11"/>
      <c r="C716" s="10"/>
      <c r="E716" s="9"/>
    </row>
    <row r="717" spans="2:7" ht="15" thickBot="1">
      <c r="B717" s="11"/>
      <c r="C717" s="10"/>
      <c r="E717" s="9"/>
    </row>
    <row r="718" spans="2:7">
      <c r="B718" s="5" t="s">
        <v>146</v>
      </c>
      <c r="C718" s="89" t="str">
        <f>C694</f>
        <v>RMB mn</v>
      </c>
      <c r="D718" s="122" t="s">
        <v>6</v>
      </c>
    </row>
    <row r="719" spans="2:7">
      <c r="B719" s="79" t="s">
        <v>14</v>
      </c>
      <c r="C719" s="121">
        <f>C708</f>
        <v>299894.967</v>
      </c>
      <c r="D719" s="121">
        <f>E708</f>
        <v>47060.286038442893</v>
      </c>
    </row>
    <row r="720" spans="2:7">
      <c r="B720" s="79" t="s">
        <v>15</v>
      </c>
      <c r="C720" s="121">
        <f>C709</f>
        <v>114564.21799999999</v>
      </c>
      <c r="D720" s="121">
        <f>E709</f>
        <v>17977.710405691894</v>
      </c>
    </row>
    <row r="721" spans="1:9" ht="15" thickBot="1">
      <c r="B721" s="3" t="s">
        <v>22</v>
      </c>
      <c r="C721" s="2">
        <f>SUM(C719:C720)</f>
        <v>414459.185</v>
      </c>
      <c r="D721" s="2">
        <f>SUM(D719:D720)</f>
        <v>65037.996444134784</v>
      </c>
    </row>
    <row r="723" spans="1:9">
      <c r="B723" s="11"/>
      <c r="C723" s="10"/>
      <c r="D723" s="9"/>
    </row>
    <row r="724" spans="1:9">
      <c r="A724" s="20" t="s">
        <v>147</v>
      </c>
      <c r="H724" s="7" t="s">
        <v>148</v>
      </c>
      <c r="I724" s="124">
        <f>Model!S206</f>
        <v>0.15515422329795817</v>
      </c>
    </row>
    <row r="725" spans="1:9" ht="15" thickBot="1">
      <c r="H725" s="7" t="s">
        <v>149</v>
      </c>
      <c r="I725" s="124">
        <f>Model!S205</f>
        <v>0.15490666873208891</v>
      </c>
    </row>
    <row r="726" spans="1:9">
      <c r="B726" s="93" t="s">
        <v>150</v>
      </c>
      <c r="C726" s="94" t="s">
        <v>4</v>
      </c>
      <c r="D726" s="109" t="s">
        <v>5</v>
      </c>
      <c r="E726" s="94" t="s">
        <v>6</v>
      </c>
      <c r="F726" s="8" t="s">
        <v>5</v>
      </c>
    </row>
    <row r="727" spans="1:9">
      <c r="B727" s="95" t="s">
        <v>7</v>
      </c>
      <c r="C727" s="18">
        <f>SUM(C728:C729)</f>
        <v>7027.8969999999999</v>
      </c>
      <c r="D727" s="18"/>
      <c r="E727" s="96">
        <f>C727*$I$724</f>
        <v>1090.4079004530504</v>
      </c>
      <c r="F727" s="97"/>
    </row>
    <row r="728" spans="1:9">
      <c r="B728" s="4" t="s">
        <v>8</v>
      </c>
      <c r="C728" s="19">
        <v>7027.8969999999999</v>
      </c>
      <c r="D728" s="19"/>
      <c r="E728" s="96">
        <f>C728*$I$724</f>
        <v>1090.4079004530504</v>
      </c>
      <c r="F728" s="97"/>
    </row>
    <row r="729" spans="1:9">
      <c r="B729" s="4" t="s">
        <v>9</v>
      </c>
      <c r="C729" s="19">
        <v>0</v>
      </c>
      <c r="D729" s="19"/>
      <c r="E729" s="96">
        <f>C729*$I$724</f>
        <v>0</v>
      </c>
      <c r="F729" s="97"/>
    </row>
    <row r="730" spans="1:9">
      <c r="B730" s="4"/>
      <c r="C730" s="19"/>
      <c r="D730" s="19"/>
      <c r="F730" s="97"/>
    </row>
    <row r="731" spans="1:9">
      <c r="B731" s="95" t="s">
        <v>10</v>
      </c>
      <c r="C731" s="91">
        <f>SUM(C732:C733)</f>
        <v>12492.575999999999</v>
      </c>
      <c r="D731" s="91"/>
      <c r="E731" s="96">
        <f>C731*$I$724</f>
        <v>1938.2759262707129</v>
      </c>
      <c r="F731" s="97"/>
    </row>
    <row r="732" spans="1:9">
      <c r="B732" s="4" t="s">
        <v>11</v>
      </c>
      <c r="C732" s="19">
        <v>2947.91</v>
      </c>
      <c r="D732" s="19"/>
      <c r="E732" s="96">
        <f>C732*$I$724</f>
        <v>457.38068640228386</v>
      </c>
      <c r="F732" s="97"/>
    </row>
    <row r="733" spans="1:9">
      <c r="B733" s="4" t="s">
        <v>9</v>
      </c>
      <c r="C733" s="19">
        <v>9544.6659999999993</v>
      </c>
      <c r="D733" s="19"/>
      <c r="E733" s="96">
        <f>C733*$I$724</f>
        <v>1480.8952398684291</v>
      </c>
      <c r="F733" s="97"/>
    </row>
    <row r="734" spans="1:9">
      <c r="B734" s="4"/>
      <c r="C734" s="19"/>
      <c r="D734" s="19"/>
      <c r="F734" s="97"/>
    </row>
    <row r="735" spans="1:9">
      <c r="B735" s="95" t="s">
        <v>28</v>
      </c>
      <c r="C735" s="91">
        <f>SUM(C736:C737)</f>
        <v>18087.168000000001</v>
      </c>
      <c r="D735" s="91"/>
      <c r="E735" s="96">
        <f>C735*$I$724</f>
        <v>2806.3005026996834</v>
      </c>
      <c r="F735" s="97"/>
    </row>
    <row r="736" spans="1:9">
      <c r="B736" s="4" t="s">
        <v>7</v>
      </c>
      <c r="C736" s="19">
        <v>6404.1369999999997</v>
      </c>
      <c r="D736" s="19"/>
      <c r="E736" s="96">
        <f>C736*$I$724</f>
        <v>993.62890212871582</v>
      </c>
      <c r="F736" s="97"/>
    </row>
    <row r="737" spans="2:7">
      <c r="B737" s="4" t="s">
        <v>10</v>
      </c>
      <c r="C737" s="19">
        <v>11683.031000000001</v>
      </c>
      <c r="D737" s="19"/>
      <c r="E737" s="96">
        <f>C737*$I$724</f>
        <v>1812.6716005709677</v>
      </c>
      <c r="F737" s="97"/>
    </row>
    <row r="738" spans="2:7">
      <c r="B738" s="95"/>
      <c r="C738" s="18"/>
      <c r="D738" s="18"/>
      <c r="F738" s="90"/>
    </row>
    <row r="739" spans="2:7">
      <c r="B739" s="98" t="s">
        <v>13</v>
      </c>
      <c r="C739" s="15">
        <f>C731+C727+C735</f>
        <v>37607.641000000003</v>
      </c>
      <c r="D739" s="107">
        <f>C739/C745</f>
        <v>2.1846748083874705</v>
      </c>
      <c r="E739" s="15">
        <f>E731+E727+E735</f>
        <v>5834.984329423447</v>
      </c>
      <c r="F739" s="99">
        <f>E739/E745</f>
        <v>2.1881661120749265</v>
      </c>
      <c r="G739" s="17"/>
    </row>
    <row r="740" spans="2:7">
      <c r="B740" s="100" t="s">
        <v>14</v>
      </c>
      <c r="C740" s="92">
        <f>Model!S120</f>
        <v>190344.58199999999</v>
      </c>
      <c r="D740" s="108"/>
      <c r="E740" s="92">
        <f>C740*$I$724</f>
        <v>29532.765779184509</v>
      </c>
      <c r="F740" s="101"/>
    </row>
    <row r="741" spans="2:7">
      <c r="B741" s="100" t="s">
        <v>15</v>
      </c>
      <c r="C741" s="92">
        <f>Model!S122</f>
        <v>102346.912</v>
      </c>
      <c r="D741" s="108"/>
      <c r="E741" s="92">
        <f>C741*$I$724</f>
        <v>15879.555638304473</v>
      </c>
      <c r="F741" s="101"/>
    </row>
    <row r="742" spans="2:7">
      <c r="B742" s="98" t="s">
        <v>16</v>
      </c>
      <c r="C742" s="15">
        <f>C739-C740</f>
        <v>-152736.94099999999</v>
      </c>
      <c r="D742" s="107">
        <f>C742/C745</f>
        <v>-8.8726795523511655</v>
      </c>
      <c r="E742" s="15">
        <f>C742*$I$724</f>
        <v>-23697.78144976106</v>
      </c>
      <c r="F742" s="99">
        <f>E742/E745</f>
        <v>-8.8868588795076882</v>
      </c>
    </row>
    <row r="743" spans="2:7">
      <c r="B743" s="102" t="s">
        <v>17</v>
      </c>
      <c r="C743" s="14">
        <f>Model!S126</f>
        <v>247938.78899999999</v>
      </c>
      <c r="D743" s="14"/>
      <c r="E743" s="14">
        <f>C743*$I$724</f>
        <v>38468.750232731334</v>
      </c>
      <c r="F743" s="103"/>
    </row>
    <row r="744" spans="2:7">
      <c r="B744" s="102" t="s">
        <v>18</v>
      </c>
      <c r="C744" s="14">
        <f>C742+C743</f>
        <v>95201.847999999998</v>
      </c>
      <c r="D744" s="14"/>
      <c r="E744" s="14">
        <f>E742+E743</f>
        <v>14770.968782970274</v>
      </c>
      <c r="F744" s="103"/>
    </row>
    <row r="745" spans="2:7" ht="15" thickBot="1">
      <c r="B745" s="104" t="s">
        <v>19</v>
      </c>
      <c r="C745" s="105">
        <f>Model!S87</f>
        <v>17214.296999999999</v>
      </c>
      <c r="D745" s="105"/>
      <c r="E745" s="105">
        <f>C745*$I$725</f>
        <v>2666.6094028347916</v>
      </c>
      <c r="F745" s="106"/>
    </row>
    <row r="746" spans="2:7">
      <c r="B746" s="11" t="s">
        <v>20</v>
      </c>
      <c r="C746" s="10">
        <f>+C739-Model!S119</f>
        <v>0</v>
      </c>
      <c r="E746" s="9"/>
    </row>
    <row r="747" spans="2:7">
      <c r="B747" s="11"/>
      <c r="C747" s="10"/>
      <c r="D747" s="9"/>
    </row>
    <row r="748" spans="2:7">
      <c r="C748" s="10"/>
    </row>
    <row r="749" spans="2:7" ht="15" thickBot="1">
      <c r="B749" s="7"/>
      <c r="C749" s="6"/>
    </row>
    <row r="750" spans="2:7">
      <c r="B750" s="5" t="s">
        <v>151</v>
      </c>
      <c r="C750" s="89" t="str">
        <f>C726</f>
        <v>RMB mn</v>
      </c>
      <c r="D750" s="122" t="s">
        <v>6</v>
      </c>
    </row>
    <row r="751" spans="2:7">
      <c r="B751" s="79" t="s">
        <v>14</v>
      </c>
      <c r="C751" s="121">
        <f>C740</f>
        <v>190344.58199999999</v>
      </c>
      <c r="D751" s="121">
        <f>E740</f>
        <v>29532.765779184509</v>
      </c>
    </row>
    <row r="752" spans="2:7">
      <c r="B752" s="100" t="s">
        <v>15</v>
      </c>
      <c r="C752" s="121">
        <f>C741</f>
        <v>102346.912</v>
      </c>
      <c r="D752" s="121">
        <f>E741</f>
        <v>15879.555638304473</v>
      </c>
    </row>
    <row r="753" spans="2:4" ht="15" thickBot="1">
      <c r="B753" s="3" t="s">
        <v>22</v>
      </c>
      <c r="C753" s="2">
        <f>SUM(C751:C752)</f>
        <v>292691.49400000001</v>
      </c>
      <c r="D753" s="2">
        <f>SUM(D751:D752)</f>
        <v>45412.32141748898</v>
      </c>
    </row>
  </sheetData>
  <pageMargins left="0.7" right="0.7" top="0.75" bottom="0.75" header="0.3" footer="0.3"/>
  <pageSetup orientation="portrait" horizontalDpi="90" verticalDpi="90" r:id="rId1"/>
  <headerFooter>
    <oddFooter>&amp;C_x000D_&amp;1#&amp;"Calibri"&amp;10&amp;K000000 Barings-Public</oddFooter>
  </headerFooter>
  <ignoredErrors>
    <ignoredError sqref="D429:D43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N278"/>
  <sheetViews>
    <sheetView showGridLines="0" zoomScaleNormal="100" workbookViewId="0">
      <pane xSplit="2" ySplit="6" topLeftCell="C7" activePane="bottomRight" state="frozen"/>
      <selection pane="topRight" activeCell="L19" sqref="L19"/>
      <selection pane="bottomLeft" activeCell="L19" sqref="L19"/>
      <selection pane="bottomRight" activeCell="AL1" sqref="AL1:AL1048576"/>
    </sheetView>
  </sheetViews>
  <sheetFormatPr defaultColWidth="11.453125" defaultRowHeight="13" outlineLevelCol="1"/>
  <cols>
    <col min="1" max="1" width="2.7265625" style="21" customWidth="1"/>
    <col min="2" max="2" width="50.7265625" style="21" customWidth="1"/>
    <col min="3" max="5" width="12.7265625" style="21" hidden="1" customWidth="1" outlineLevel="1"/>
    <col min="6" max="6" width="12.7265625" style="21" hidden="1" customWidth="1" outlineLevel="1" collapsed="1"/>
    <col min="7" max="7" width="12.7265625" style="21" hidden="1" customWidth="1" outlineLevel="1"/>
    <col min="8" max="8" width="12.7265625" style="21" customWidth="1" collapsed="1"/>
    <col min="9" max="12" width="12.7265625" style="21" customWidth="1"/>
    <col min="13" max="16" width="12.7265625" style="21" hidden="1" customWidth="1" outlineLevel="1"/>
    <col min="17" max="17" width="12.7265625" style="21" hidden="1" customWidth="1" outlineLevel="1" collapsed="1"/>
    <col min="18" max="31" width="12.7265625" style="21" hidden="1" customWidth="1" outlineLevel="1"/>
    <col min="32" max="32" width="12.7265625" style="21" customWidth="1" collapsed="1"/>
    <col min="33" max="44" width="12.7265625" style="21" customWidth="1"/>
    <col min="45" max="254" width="11.453125" style="21"/>
    <col min="255" max="255" width="3.54296875" style="21" customWidth="1"/>
    <col min="256" max="256" width="13.1796875" style="21" customWidth="1"/>
    <col min="257" max="264" width="11.453125" style="21" customWidth="1"/>
    <col min="265" max="265" width="9.81640625" style="21" bestFit="1" customWidth="1"/>
    <col min="266" max="269" width="0" style="21" hidden="1" customWidth="1"/>
    <col min="270" max="278" width="11.453125" style="21" customWidth="1"/>
    <col min="279" max="510" width="11.453125" style="21"/>
    <col min="511" max="511" width="3.54296875" style="21" customWidth="1"/>
    <col min="512" max="512" width="13.1796875" style="21" customWidth="1"/>
    <col min="513" max="520" width="11.453125" style="21" customWidth="1"/>
    <col min="521" max="521" width="9.81640625" style="21" bestFit="1" customWidth="1"/>
    <col min="522" max="525" width="0" style="21" hidden="1" customWidth="1"/>
    <col min="526" max="534" width="11.453125" style="21" customWidth="1"/>
    <col min="535" max="766" width="11.453125" style="21"/>
    <col min="767" max="767" width="3.54296875" style="21" customWidth="1"/>
    <col min="768" max="768" width="13.1796875" style="21" customWidth="1"/>
    <col min="769" max="776" width="11.453125" style="21" customWidth="1"/>
    <col min="777" max="777" width="9.81640625" style="21" bestFit="1" customWidth="1"/>
    <col min="778" max="781" width="0" style="21" hidden="1" customWidth="1"/>
    <col min="782" max="790" width="11.453125" style="21" customWidth="1"/>
    <col min="791" max="1022" width="11.453125" style="21"/>
    <col min="1023" max="1023" width="3.54296875" style="21" customWidth="1"/>
    <col min="1024" max="1024" width="13.1796875" style="21" customWidth="1"/>
    <col min="1025" max="1032" width="11.453125" style="21" customWidth="1"/>
    <col min="1033" max="1033" width="9.81640625" style="21" bestFit="1" customWidth="1"/>
    <col min="1034" max="1037" width="0" style="21" hidden="1" customWidth="1"/>
    <col min="1038" max="1046" width="11.453125" style="21" customWidth="1"/>
    <col min="1047" max="1278" width="11.453125" style="21"/>
    <col min="1279" max="1279" width="3.54296875" style="21" customWidth="1"/>
    <col min="1280" max="1280" width="13.1796875" style="21" customWidth="1"/>
    <col min="1281" max="1288" width="11.453125" style="21" customWidth="1"/>
    <col min="1289" max="1289" width="9.81640625" style="21" bestFit="1" customWidth="1"/>
    <col min="1290" max="1293" width="0" style="21" hidden="1" customWidth="1"/>
    <col min="1294" max="1302" width="11.453125" style="21" customWidth="1"/>
    <col min="1303" max="1534" width="11.453125" style="21"/>
    <col min="1535" max="1535" width="3.54296875" style="21" customWidth="1"/>
    <col min="1536" max="1536" width="13.1796875" style="21" customWidth="1"/>
    <col min="1537" max="1544" width="11.453125" style="21" customWidth="1"/>
    <col min="1545" max="1545" width="9.81640625" style="21" bestFit="1" customWidth="1"/>
    <col min="1546" max="1549" width="0" style="21" hidden="1" customWidth="1"/>
    <col min="1550" max="1558" width="11.453125" style="21" customWidth="1"/>
    <col min="1559" max="1790" width="11.453125" style="21"/>
    <col min="1791" max="1791" width="3.54296875" style="21" customWidth="1"/>
    <col min="1792" max="1792" width="13.1796875" style="21" customWidth="1"/>
    <col min="1793" max="1800" width="11.453125" style="21" customWidth="1"/>
    <col min="1801" max="1801" width="9.81640625" style="21" bestFit="1" customWidth="1"/>
    <col min="1802" max="1805" width="0" style="21" hidden="1" customWidth="1"/>
    <col min="1806" max="1814" width="11.453125" style="21" customWidth="1"/>
    <col min="1815" max="2046" width="11.453125" style="21"/>
    <col min="2047" max="2047" width="3.54296875" style="21" customWidth="1"/>
    <col min="2048" max="2048" width="13.1796875" style="21" customWidth="1"/>
    <col min="2049" max="2056" width="11.453125" style="21" customWidth="1"/>
    <col min="2057" max="2057" width="9.81640625" style="21" bestFit="1" customWidth="1"/>
    <col min="2058" max="2061" width="0" style="21" hidden="1" customWidth="1"/>
    <col min="2062" max="2070" width="11.453125" style="21" customWidth="1"/>
    <col min="2071" max="2302" width="11.453125" style="21"/>
    <col min="2303" max="2303" width="3.54296875" style="21" customWidth="1"/>
    <col min="2304" max="2304" width="13.1796875" style="21" customWidth="1"/>
    <col min="2305" max="2312" width="11.453125" style="21" customWidth="1"/>
    <col min="2313" max="2313" width="9.81640625" style="21" bestFit="1" customWidth="1"/>
    <col min="2314" max="2317" width="0" style="21" hidden="1" customWidth="1"/>
    <col min="2318" max="2326" width="11.453125" style="21" customWidth="1"/>
    <col min="2327" max="2558" width="11.453125" style="21"/>
    <col min="2559" max="2559" width="3.54296875" style="21" customWidth="1"/>
    <col min="2560" max="2560" width="13.1796875" style="21" customWidth="1"/>
    <col min="2561" max="2568" width="11.453125" style="21" customWidth="1"/>
    <col min="2569" max="2569" width="9.81640625" style="21" bestFit="1" customWidth="1"/>
    <col min="2570" max="2573" width="0" style="21" hidden="1" customWidth="1"/>
    <col min="2574" max="2582" width="11.453125" style="21" customWidth="1"/>
    <col min="2583" max="2814" width="11.453125" style="21"/>
    <col min="2815" max="2815" width="3.54296875" style="21" customWidth="1"/>
    <col min="2816" max="2816" width="13.1796875" style="21" customWidth="1"/>
    <col min="2817" max="2824" width="11.453125" style="21" customWidth="1"/>
    <col min="2825" max="2825" width="9.81640625" style="21" bestFit="1" customWidth="1"/>
    <col min="2826" max="2829" width="0" style="21" hidden="1" customWidth="1"/>
    <col min="2830" max="2838" width="11.453125" style="21" customWidth="1"/>
    <col min="2839" max="3070" width="11.453125" style="21"/>
    <col min="3071" max="3071" width="3.54296875" style="21" customWidth="1"/>
    <col min="3072" max="3072" width="13.1796875" style="21" customWidth="1"/>
    <col min="3073" max="3080" width="11.453125" style="21" customWidth="1"/>
    <col min="3081" max="3081" width="9.81640625" style="21" bestFit="1" customWidth="1"/>
    <col min="3082" max="3085" width="0" style="21" hidden="1" customWidth="1"/>
    <col min="3086" max="3094" width="11.453125" style="21" customWidth="1"/>
    <col min="3095" max="3326" width="11.453125" style="21"/>
    <col min="3327" max="3327" width="3.54296875" style="21" customWidth="1"/>
    <col min="3328" max="3328" width="13.1796875" style="21" customWidth="1"/>
    <col min="3329" max="3336" width="11.453125" style="21" customWidth="1"/>
    <col min="3337" max="3337" width="9.81640625" style="21" bestFit="1" customWidth="1"/>
    <col min="3338" max="3341" width="0" style="21" hidden="1" customWidth="1"/>
    <col min="3342" max="3350" width="11.453125" style="21" customWidth="1"/>
    <col min="3351" max="3582" width="11.453125" style="21"/>
    <col min="3583" max="3583" width="3.54296875" style="21" customWidth="1"/>
    <col min="3584" max="3584" width="13.1796875" style="21" customWidth="1"/>
    <col min="3585" max="3592" width="11.453125" style="21" customWidth="1"/>
    <col min="3593" max="3593" width="9.81640625" style="21" bestFit="1" customWidth="1"/>
    <col min="3594" max="3597" width="0" style="21" hidden="1" customWidth="1"/>
    <col min="3598" max="3606" width="11.453125" style="21" customWidth="1"/>
    <col min="3607" max="3838" width="11.453125" style="21"/>
    <col min="3839" max="3839" width="3.54296875" style="21" customWidth="1"/>
    <col min="3840" max="3840" width="13.1796875" style="21" customWidth="1"/>
    <col min="3841" max="3848" width="11.453125" style="21" customWidth="1"/>
    <col min="3849" max="3849" width="9.81640625" style="21" bestFit="1" customWidth="1"/>
    <col min="3850" max="3853" width="0" style="21" hidden="1" customWidth="1"/>
    <col min="3854" max="3862" width="11.453125" style="21" customWidth="1"/>
    <col min="3863" max="4094" width="11.453125" style="21"/>
    <col min="4095" max="4095" width="3.54296875" style="21" customWidth="1"/>
    <col min="4096" max="4096" width="13.1796875" style="21" customWidth="1"/>
    <col min="4097" max="4104" width="11.453125" style="21" customWidth="1"/>
    <col min="4105" max="4105" width="9.81640625" style="21" bestFit="1" customWidth="1"/>
    <col min="4106" max="4109" width="0" style="21" hidden="1" customWidth="1"/>
    <col min="4110" max="4118" width="11.453125" style="21" customWidth="1"/>
    <col min="4119" max="4350" width="11.453125" style="21"/>
    <col min="4351" max="4351" width="3.54296875" style="21" customWidth="1"/>
    <col min="4352" max="4352" width="13.1796875" style="21" customWidth="1"/>
    <col min="4353" max="4360" width="11.453125" style="21" customWidth="1"/>
    <col min="4361" max="4361" width="9.81640625" style="21" bestFit="1" customWidth="1"/>
    <col min="4362" max="4365" width="0" style="21" hidden="1" customWidth="1"/>
    <col min="4366" max="4374" width="11.453125" style="21" customWidth="1"/>
    <col min="4375" max="4606" width="11.453125" style="21"/>
    <col min="4607" max="4607" width="3.54296875" style="21" customWidth="1"/>
    <col min="4608" max="4608" width="13.1796875" style="21" customWidth="1"/>
    <col min="4609" max="4616" width="11.453125" style="21" customWidth="1"/>
    <col min="4617" max="4617" width="9.81640625" style="21" bestFit="1" customWidth="1"/>
    <col min="4618" max="4621" width="0" style="21" hidden="1" customWidth="1"/>
    <col min="4622" max="4630" width="11.453125" style="21" customWidth="1"/>
    <col min="4631" max="4862" width="11.453125" style="21"/>
    <col min="4863" max="4863" width="3.54296875" style="21" customWidth="1"/>
    <col min="4864" max="4864" width="13.1796875" style="21" customWidth="1"/>
    <col min="4865" max="4872" width="11.453125" style="21" customWidth="1"/>
    <col min="4873" max="4873" width="9.81640625" style="21" bestFit="1" customWidth="1"/>
    <col min="4874" max="4877" width="0" style="21" hidden="1" customWidth="1"/>
    <col min="4878" max="4886" width="11.453125" style="21" customWidth="1"/>
    <col min="4887" max="5118" width="11.453125" style="21"/>
    <col min="5119" max="5119" width="3.54296875" style="21" customWidth="1"/>
    <col min="5120" max="5120" width="13.1796875" style="21" customWidth="1"/>
    <col min="5121" max="5128" width="11.453125" style="21" customWidth="1"/>
    <col min="5129" max="5129" width="9.81640625" style="21" bestFit="1" customWidth="1"/>
    <col min="5130" max="5133" width="0" style="21" hidden="1" customWidth="1"/>
    <col min="5134" max="5142" width="11.453125" style="21" customWidth="1"/>
    <col min="5143" max="5374" width="11.453125" style="21"/>
    <col min="5375" max="5375" width="3.54296875" style="21" customWidth="1"/>
    <col min="5376" max="5376" width="13.1796875" style="21" customWidth="1"/>
    <col min="5377" max="5384" width="11.453125" style="21" customWidth="1"/>
    <col min="5385" max="5385" width="9.81640625" style="21" bestFit="1" customWidth="1"/>
    <col min="5386" max="5389" width="0" style="21" hidden="1" customWidth="1"/>
    <col min="5390" max="5398" width="11.453125" style="21" customWidth="1"/>
    <col min="5399" max="5630" width="11.453125" style="21"/>
    <col min="5631" max="5631" width="3.54296875" style="21" customWidth="1"/>
    <col min="5632" max="5632" width="13.1796875" style="21" customWidth="1"/>
    <col min="5633" max="5640" width="11.453125" style="21" customWidth="1"/>
    <col min="5641" max="5641" width="9.81640625" style="21" bestFit="1" customWidth="1"/>
    <col min="5642" max="5645" width="0" style="21" hidden="1" customWidth="1"/>
    <col min="5646" max="5654" width="11.453125" style="21" customWidth="1"/>
    <col min="5655" max="5886" width="11.453125" style="21"/>
    <col min="5887" max="5887" width="3.54296875" style="21" customWidth="1"/>
    <col min="5888" max="5888" width="13.1796875" style="21" customWidth="1"/>
    <col min="5889" max="5896" width="11.453125" style="21" customWidth="1"/>
    <col min="5897" max="5897" width="9.81640625" style="21" bestFit="1" customWidth="1"/>
    <col min="5898" max="5901" width="0" style="21" hidden="1" customWidth="1"/>
    <col min="5902" max="5910" width="11.453125" style="21" customWidth="1"/>
    <col min="5911" max="6142" width="11.453125" style="21"/>
    <col min="6143" max="6143" width="3.54296875" style="21" customWidth="1"/>
    <col min="6144" max="6144" width="13.1796875" style="21" customWidth="1"/>
    <col min="6145" max="6152" width="11.453125" style="21" customWidth="1"/>
    <col min="6153" max="6153" width="9.81640625" style="21" bestFit="1" customWidth="1"/>
    <col min="6154" max="6157" width="0" style="21" hidden="1" customWidth="1"/>
    <col min="6158" max="6166" width="11.453125" style="21" customWidth="1"/>
    <col min="6167" max="6398" width="11.453125" style="21"/>
    <col min="6399" max="6399" width="3.54296875" style="21" customWidth="1"/>
    <col min="6400" max="6400" width="13.1796875" style="21" customWidth="1"/>
    <col min="6401" max="6408" width="11.453125" style="21" customWidth="1"/>
    <col min="6409" max="6409" width="9.81640625" style="21" bestFit="1" customWidth="1"/>
    <col min="6410" max="6413" width="0" style="21" hidden="1" customWidth="1"/>
    <col min="6414" max="6422" width="11.453125" style="21" customWidth="1"/>
    <col min="6423" max="6654" width="11.453125" style="21"/>
    <col min="6655" max="6655" width="3.54296875" style="21" customWidth="1"/>
    <col min="6656" max="6656" width="13.1796875" style="21" customWidth="1"/>
    <col min="6657" max="6664" width="11.453125" style="21" customWidth="1"/>
    <col min="6665" max="6665" width="9.81640625" style="21" bestFit="1" customWidth="1"/>
    <col min="6666" max="6669" width="0" style="21" hidden="1" customWidth="1"/>
    <col min="6670" max="6678" width="11.453125" style="21" customWidth="1"/>
    <col min="6679" max="6910" width="11.453125" style="21"/>
    <col min="6911" max="6911" width="3.54296875" style="21" customWidth="1"/>
    <col min="6912" max="6912" width="13.1796875" style="21" customWidth="1"/>
    <col min="6913" max="6920" width="11.453125" style="21" customWidth="1"/>
    <col min="6921" max="6921" width="9.81640625" style="21" bestFit="1" customWidth="1"/>
    <col min="6922" max="6925" width="0" style="21" hidden="1" customWidth="1"/>
    <col min="6926" max="6934" width="11.453125" style="21" customWidth="1"/>
    <col min="6935" max="7166" width="11.453125" style="21"/>
    <col min="7167" max="7167" width="3.54296875" style="21" customWidth="1"/>
    <col min="7168" max="7168" width="13.1796875" style="21" customWidth="1"/>
    <col min="7169" max="7176" width="11.453125" style="21" customWidth="1"/>
    <col min="7177" max="7177" width="9.81640625" style="21" bestFit="1" customWidth="1"/>
    <col min="7178" max="7181" width="0" style="21" hidden="1" customWidth="1"/>
    <col min="7182" max="7190" width="11.453125" style="21" customWidth="1"/>
    <col min="7191" max="7422" width="11.453125" style="21"/>
    <col min="7423" max="7423" width="3.54296875" style="21" customWidth="1"/>
    <col min="7424" max="7424" width="13.1796875" style="21" customWidth="1"/>
    <col min="7425" max="7432" width="11.453125" style="21" customWidth="1"/>
    <col min="7433" max="7433" width="9.81640625" style="21" bestFit="1" customWidth="1"/>
    <col min="7434" max="7437" width="0" style="21" hidden="1" customWidth="1"/>
    <col min="7438" max="7446" width="11.453125" style="21" customWidth="1"/>
    <col min="7447" max="7678" width="11.453125" style="21"/>
    <col min="7679" max="7679" width="3.54296875" style="21" customWidth="1"/>
    <col min="7680" max="7680" width="13.1796875" style="21" customWidth="1"/>
    <col min="7681" max="7688" width="11.453125" style="21" customWidth="1"/>
    <col min="7689" max="7689" width="9.81640625" style="21" bestFit="1" customWidth="1"/>
    <col min="7690" max="7693" width="0" style="21" hidden="1" customWidth="1"/>
    <col min="7694" max="7702" width="11.453125" style="21" customWidth="1"/>
    <col min="7703" max="7934" width="11.453125" style="21"/>
    <col min="7935" max="7935" width="3.54296875" style="21" customWidth="1"/>
    <col min="7936" max="7936" width="13.1796875" style="21" customWidth="1"/>
    <col min="7937" max="7944" width="11.453125" style="21" customWidth="1"/>
    <col min="7945" max="7945" width="9.81640625" style="21" bestFit="1" customWidth="1"/>
    <col min="7946" max="7949" width="0" style="21" hidden="1" customWidth="1"/>
    <col min="7950" max="7958" width="11.453125" style="21" customWidth="1"/>
    <col min="7959" max="8190" width="11.453125" style="21"/>
    <col min="8191" max="8191" width="3.54296875" style="21" customWidth="1"/>
    <col min="8192" max="8192" width="13.1796875" style="21" customWidth="1"/>
    <col min="8193" max="8200" width="11.453125" style="21" customWidth="1"/>
    <col min="8201" max="8201" width="9.81640625" style="21" bestFit="1" customWidth="1"/>
    <col min="8202" max="8205" width="0" style="21" hidden="1" customWidth="1"/>
    <col min="8206" max="8214" width="11.453125" style="21" customWidth="1"/>
    <col min="8215" max="8446" width="11.453125" style="21"/>
    <col min="8447" max="8447" width="3.54296875" style="21" customWidth="1"/>
    <col min="8448" max="8448" width="13.1796875" style="21" customWidth="1"/>
    <col min="8449" max="8456" width="11.453125" style="21" customWidth="1"/>
    <col min="8457" max="8457" width="9.81640625" style="21" bestFit="1" customWidth="1"/>
    <col min="8458" max="8461" width="0" style="21" hidden="1" customWidth="1"/>
    <col min="8462" max="8470" width="11.453125" style="21" customWidth="1"/>
    <col min="8471" max="8702" width="11.453125" style="21"/>
    <col min="8703" max="8703" width="3.54296875" style="21" customWidth="1"/>
    <col min="8704" max="8704" width="13.1796875" style="21" customWidth="1"/>
    <col min="8705" max="8712" width="11.453125" style="21" customWidth="1"/>
    <col min="8713" max="8713" width="9.81640625" style="21" bestFit="1" customWidth="1"/>
    <col min="8714" max="8717" width="0" style="21" hidden="1" customWidth="1"/>
    <col min="8718" max="8726" width="11.453125" style="21" customWidth="1"/>
    <col min="8727" max="8958" width="11.453125" style="21"/>
    <col min="8959" max="8959" width="3.54296875" style="21" customWidth="1"/>
    <col min="8960" max="8960" width="13.1796875" style="21" customWidth="1"/>
    <col min="8961" max="8968" width="11.453125" style="21" customWidth="1"/>
    <col min="8969" max="8969" width="9.81640625" style="21" bestFit="1" customWidth="1"/>
    <col min="8970" max="8973" width="0" style="21" hidden="1" customWidth="1"/>
    <col min="8974" max="8982" width="11.453125" style="21" customWidth="1"/>
    <col min="8983" max="9214" width="11.453125" style="21"/>
    <col min="9215" max="9215" width="3.54296875" style="21" customWidth="1"/>
    <col min="9216" max="9216" width="13.1796875" style="21" customWidth="1"/>
    <col min="9217" max="9224" width="11.453125" style="21" customWidth="1"/>
    <col min="9225" max="9225" width="9.81640625" style="21" bestFit="1" customWidth="1"/>
    <col min="9226" max="9229" width="0" style="21" hidden="1" customWidth="1"/>
    <col min="9230" max="9238" width="11.453125" style="21" customWidth="1"/>
    <col min="9239" max="9470" width="11.453125" style="21"/>
    <col min="9471" max="9471" width="3.54296875" style="21" customWidth="1"/>
    <col min="9472" max="9472" width="13.1796875" style="21" customWidth="1"/>
    <col min="9473" max="9480" width="11.453125" style="21" customWidth="1"/>
    <col min="9481" max="9481" width="9.81640625" style="21" bestFit="1" customWidth="1"/>
    <col min="9482" max="9485" width="0" style="21" hidden="1" customWidth="1"/>
    <col min="9486" max="9494" width="11.453125" style="21" customWidth="1"/>
    <col min="9495" max="9726" width="11.453125" style="21"/>
    <col min="9727" max="9727" width="3.54296875" style="21" customWidth="1"/>
    <col min="9728" max="9728" width="13.1796875" style="21" customWidth="1"/>
    <col min="9729" max="9736" width="11.453125" style="21" customWidth="1"/>
    <col min="9737" max="9737" width="9.81640625" style="21" bestFit="1" customWidth="1"/>
    <col min="9738" max="9741" width="0" style="21" hidden="1" customWidth="1"/>
    <col min="9742" max="9750" width="11.453125" style="21" customWidth="1"/>
    <col min="9751" max="9982" width="11.453125" style="21"/>
    <col min="9983" max="9983" width="3.54296875" style="21" customWidth="1"/>
    <col min="9984" max="9984" width="13.1796875" style="21" customWidth="1"/>
    <col min="9985" max="9992" width="11.453125" style="21" customWidth="1"/>
    <col min="9993" max="9993" width="9.81640625" style="21" bestFit="1" customWidth="1"/>
    <col min="9994" max="9997" width="0" style="21" hidden="1" customWidth="1"/>
    <col min="9998" max="10006" width="11.453125" style="21" customWidth="1"/>
    <col min="10007" max="10238" width="11.453125" style="21"/>
    <col min="10239" max="10239" width="3.54296875" style="21" customWidth="1"/>
    <col min="10240" max="10240" width="13.1796875" style="21" customWidth="1"/>
    <col min="10241" max="10248" width="11.453125" style="21" customWidth="1"/>
    <col min="10249" max="10249" width="9.81640625" style="21" bestFit="1" customWidth="1"/>
    <col min="10250" max="10253" width="0" style="21" hidden="1" customWidth="1"/>
    <col min="10254" max="10262" width="11.453125" style="21" customWidth="1"/>
    <col min="10263" max="10494" width="11.453125" style="21"/>
    <col min="10495" max="10495" width="3.54296875" style="21" customWidth="1"/>
    <col min="10496" max="10496" width="13.1796875" style="21" customWidth="1"/>
    <col min="10497" max="10504" width="11.453125" style="21" customWidth="1"/>
    <col min="10505" max="10505" width="9.81640625" style="21" bestFit="1" customWidth="1"/>
    <col min="10506" max="10509" width="0" style="21" hidden="1" customWidth="1"/>
    <col min="10510" max="10518" width="11.453125" style="21" customWidth="1"/>
    <col min="10519" max="10750" width="11.453125" style="21"/>
    <col min="10751" max="10751" width="3.54296875" style="21" customWidth="1"/>
    <col min="10752" max="10752" width="13.1796875" style="21" customWidth="1"/>
    <col min="10753" max="10760" width="11.453125" style="21" customWidth="1"/>
    <col min="10761" max="10761" width="9.81640625" style="21" bestFit="1" customWidth="1"/>
    <col min="10762" max="10765" width="0" style="21" hidden="1" customWidth="1"/>
    <col min="10766" max="10774" width="11.453125" style="21" customWidth="1"/>
    <col min="10775" max="11006" width="11.453125" style="21"/>
    <col min="11007" max="11007" width="3.54296875" style="21" customWidth="1"/>
    <col min="11008" max="11008" width="13.1796875" style="21" customWidth="1"/>
    <col min="11009" max="11016" width="11.453125" style="21" customWidth="1"/>
    <col min="11017" max="11017" width="9.81640625" style="21" bestFit="1" customWidth="1"/>
    <col min="11018" max="11021" width="0" style="21" hidden="1" customWidth="1"/>
    <col min="11022" max="11030" width="11.453125" style="21" customWidth="1"/>
    <col min="11031" max="11262" width="11.453125" style="21"/>
    <col min="11263" max="11263" width="3.54296875" style="21" customWidth="1"/>
    <col min="11264" max="11264" width="13.1796875" style="21" customWidth="1"/>
    <col min="11265" max="11272" width="11.453125" style="21" customWidth="1"/>
    <col min="11273" max="11273" width="9.81640625" style="21" bestFit="1" customWidth="1"/>
    <col min="11274" max="11277" width="0" style="21" hidden="1" customWidth="1"/>
    <col min="11278" max="11286" width="11.453125" style="21" customWidth="1"/>
    <col min="11287" max="11518" width="11.453125" style="21"/>
    <col min="11519" max="11519" width="3.54296875" style="21" customWidth="1"/>
    <col min="11520" max="11520" width="13.1796875" style="21" customWidth="1"/>
    <col min="11521" max="11528" width="11.453125" style="21" customWidth="1"/>
    <col min="11529" max="11529" width="9.81640625" style="21" bestFit="1" customWidth="1"/>
    <col min="11530" max="11533" width="0" style="21" hidden="1" customWidth="1"/>
    <col min="11534" max="11542" width="11.453125" style="21" customWidth="1"/>
    <col min="11543" max="11774" width="11.453125" style="21"/>
    <col min="11775" max="11775" width="3.54296875" style="21" customWidth="1"/>
    <col min="11776" max="11776" width="13.1796875" style="21" customWidth="1"/>
    <col min="11777" max="11784" width="11.453125" style="21" customWidth="1"/>
    <col min="11785" max="11785" width="9.81640625" style="21" bestFit="1" customWidth="1"/>
    <col min="11786" max="11789" width="0" style="21" hidden="1" customWidth="1"/>
    <col min="11790" max="11798" width="11.453125" style="21" customWidth="1"/>
    <col min="11799" max="12030" width="11.453125" style="21"/>
    <col min="12031" max="12031" width="3.54296875" style="21" customWidth="1"/>
    <col min="12032" max="12032" width="13.1796875" style="21" customWidth="1"/>
    <col min="12033" max="12040" width="11.453125" style="21" customWidth="1"/>
    <col min="12041" max="12041" width="9.81640625" style="21" bestFit="1" customWidth="1"/>
    <col min="12042" max="12045" width="0" style="21" hidden="1" customWidth="1"/>
    <col min="12046" max="12054" width="11.453125" style="21" customWidth="1"/>
    <col min="12055" max="12286" width="11.453125" style="21"/>
    <col min="12287" max="12287" width="3.54296875" style="21" customWidth="1"/>
    <col min="12288" max="12288" width="13.1796875" style="21" customWidth="1"/>
    <col min="12289" max="12296" width="11.453125" style="21" customWidth="1"/>
    <col min="12297" max="12297" width="9.81640625" style="21" bestFit="1" customWidth="1"/>
    <col min="12298" max="12301" width="0" style="21" hidden="1" customWidth="1"/>
    <col min="12302" max="12310" width="11.453125" style="21" customWidth="1"/>
    <col min="12311" max="12542" width="11.453125" style="21"/>
    <col min="12543" max="12543" width="3.54296875" style="21" customWidth="1"/>
    <col min="12544" max="12544" width="13.1796875" style="21" customWidth="1"/>
    <col min="12545" max="12552" width="11.453125" style="21" customWidth="1"/>
    <col min="12553" max="12553" width="9.81640625" style="21" bestFit="1" customWidth="1"/>
    <col min="12554" max="12557" width="0" style="21" hidden="1" customWidth="1"/>
    <col min="12558" max="12566" width="11.453125" style="21" customWidth="1"/>
    <col min="12567" max="12798" width="11.453125" style="21"/>
    <col min="12799" max="12799" width="3.54296875" style="21" customWidth="1"/>
    <col min="12800" max="12800" width="13.1796875" style="21" customWidth="1"/>
    <col min="12801" max="12808" width="11.453125" style="21" customWidth="1"/>
    <col min="12809" max="12809" width="9.81640625" style="21" bestFit="1" customWidth="1"/>
    <col min="12810" max="12813" width="0" style="21" hidden="1" customWidth="1"/>
    <col min="12814" max="12822" width="11.453125" style="21" customWidth="1"/>
    <col min="12823" max="13054" width="11.453125" style="21"/>
    <col min="13055" max="13055" width="3.54296875" style="21" customWidth="1"/>
    <col min="13056" max="13056" width="13.1796875" style="21" customWidth="1"/>
    <col min="13057" max="13064" width="11.453125" style="21" customWidth="1"/>
    <col min="13065" max="13065" width="9.81640625" style="21" bestFit="1" customWidth="1"/>
    <col min="13066" max="13069" width="0" style="21" hidden="1" customWidth="1"/>
    <col min="13070" max="13078" width="11.453125" style="21" customWidth="1"/>
    <col min="13079" max="13310" width="11.453125" style="21"/>
    <col min="13311" max="13311" width="3.54296875" style="21" customWidth="1"/>
    <col min="13312" max="13312" width="13.1796875" style="21" customWidth="1"/>
    <col min="13313" max="13320" width="11.453125" style="21" customWidth="1"/>
    <col min="13321" max="13321" width="9.81640625" style="21" bestFit="1" customWidth="1"/>
    <col min="13322" max="13325" width="0" style="21" hidden="1" customWidth="1"/>
    <col min="13326" max="13334" width="11.453125" style="21" customWidth="1"/>
    <col min="13335" max="13566" width="11.453125" style="21"/>
    <col min="13567" max="13567" width="3.54296875" style="21" customWidth="1"/>
    <col min="13568" max="13568" width="13.1796875" style="21" customWidth="1"/>
    <col min="13569" max="13576" width="11.453125" style="21" customWidth="1"/>
    <col min="13577" max="13577" width="9.81640625" style="21" bestFit="1" customWidth="1"/>
    <col min="13578" max="13581" width="0" style="21" hidden="1" customWidth="1"/>
    <col min="13582" max="13590" width="11.453125" style="21" customWidth="1"/>
    <col min="13591" max="13822" width="11.453125" style="21"/>
    <col min="13823" max="13823" width="3.54296875" style="21" customWidth="1"/>
    <col min="13824" max="13824" width="13.1796875" style="21" customWidth="1"/>
    <col min="13825" max="13832" width="11.453125" style="21" customWidth="1"/>
    <col min="13833" max="13833" width="9.81640625" style="21" bestFit="1" customWidth="1"/>
    <col min="13834" max="13837" width="0" style="21" hidden="1" customWidth="1"/>
    <col min="13838" max="13846" width="11.453125" style="21" customWidth="1"/>
    <col min="13847" max="14078" width="11.453125" style="21"/>
    <col min="14079" max="14079" width="3.54296875" style="21" customWidth="1"/>
    <col min="14080" max="14080" width="13.1796875" style="21" customWidth="1"/>
    <col min="14081" max="14088" width="11.453125" style="21" customWidth="1"/>
    <col min="14089" max="14089" width="9.81640625" style="21" bestFit="1" customWidth="1"/>
    <col min="14090" max="14093" width="0" style="21" hidden="1" customWidth="1"/>
    <col min="14094" max="14102" width="11.453125" style="21" customWidth="1"/>
    <col min="14103" max="14334" width="11.453125" style="21"/>
    <col min="14335" max="14335" width="3.54296875" style="21" customWidth="1"/>
    <col min="14336" max="14336" width="13.1796875" style="21" customWidth="1"/>
    <col min="14337" max="14344" width="11.453125" style="21" customWidth="1"/>
    <col min="14345" max="14345" width="9.81640625" style="21" bestFit="1" customWidth="1"/>
    <col min="14346" max="14349" width="0" style="21" hidden="1" customWidth="1"/>
    <col min="14350" max="14358" width="11.453125" style="21" customWidth="1"/>
    <col min="14359" max="14590" width="11.453125" style="21"/>
    <col min="14591" max="14591" width="3.54296875" style="21" customWidth="1"/>
    <col min="14592" max="14592" width="13.1796875" style="21" customWidth="1"/>
    <col min="14593" max="14600" width="11.453125" style="21" customWidth="1"/>
    <col min="14601" max="14601" width="9.81640625" style="21" bestFit="1" customWidth="1"/>
    <col min="14602" max="14605" width="0" style="21" hidden="1" customWidth="1"/>
    <col min="14606" max="14614" width="11.453125" style="21" customWidth="1"/>
    <col min="14615" max="14846" width="11.453125" style="21"/>
    <col min="14847" max="14847" width="3.54296875" style="21" customWidth="1"/>
    <col min="14848" max="14848" width="13.1796875" style="21" customWidth="1"/>
    <col min="14849" max="14856" width="11.453125" style="21" customWidth="1"/>
    <col min="14857" max="14857" width="9.81640625" style="21" bestFit="1" customWidth="1"/>
    <col min="14858" max="14861" width="0" style="21" hidden="1" customWidth="1"/>
    <col min="14862" max="14870" width="11.453125" style="21" customWidth="1"/>
    <col min="14871" max="15102" width="11.453125" style="21"/>
    <col min="15103" max="15103" width="3.54296875" style="21" customWidth="1"/>
    <col min="15104" max="15104" width="13.1796875" style="21" customWidth="1"/>
    <col min="15105" max="15112" width="11.453125" style="21" customWidth="1"/>
    <col min="15113" max="15113" width="9.81640625" style="21" bestFit="1" customWidth="1"/>
    <col min="15114" max="15117" width="0" style="21" hidden="1" customWidth="1"/>
    <col min="15118" max="15126" width="11.453125" style="21" customWidth="1"/>
    <col min="15127" max="15358" width="11.453125" style="21"/>
    <col min="15359" max="15359" width="3.54296875" style="21" customWidth="1"/>
    <col min="15360" max="15360" width="13.1796875" style="21" customWidth="1"/>
    <col min="15361" max="15368" width="11.453125" style="21" customWidth="1"/>
    <col min="15369" max="15369" width="9.81640625" style="21" bestFit="1" customWidth="1"/>
    <col min="15370" max="15373" width="0" style="21" hidden="1" customWidth="1"/>
    <col min="15374" max="15382" width="11.453125" style="21" customWidth="1"/>
    <col min="15383" max="15614" width="11.453125" style="21"/>
    <col min="15615" max="15615" width="3.54296875" style="21" customWidth="1"/>
    <col min="15616" max="15616" width="13.1796875" style="21" customWidth="1"/>
    <col min="15617" max="15624" width="11.453125" style="21" customWidth="1"/>
    <col min="15625" max="15625" width="9.81640625" style="21" bestFit="1" customWidth="1"/>
    <col min="15626" max="15629" width="0" style="21" hidden="1" customWidth="1"/>
    <col min="15630" max="15638" width="11.453125" style="21" customWidth="1"/>
    <col min="15639" max="15870" width="11.453125" style="21"/>
    <col min="15871" max="15871" width="3.54296875" style="21" customWidth="1"/>
    <col min="15872" max="15872" width="13.1796875" style="21" customWidth="1"/>
    <col min="15873" max="15880" width="11.453125" style="21" customWidth="1"/>
    <col min="15881" max="15881" width="9.81640625" style="21" bestFit="1" customWidth="1"/>
    <col min="15882" max="15885" width="0" style="21" hidden="1" customWidth="1"/>
    <col min="15886" max="15894" width="11.453125" style="21" customWidth="1"/>
    <col min="15895" max="16126" width="11.453125" style="21"/>
    <col min="16127" max="16127" width="3.54296875" style="21" customWidth="1"/>
    <col min="16128" max="16128" width="13.1796875" style="21" customWidth="1"/>
    <col min="16129" max="16136" width="11.453125" style="21" customWidth="1"/>
    <col min="16137" max="16137" width="9.81640625" style="21" bestFit="1" customWidth="1"/>
    <col min="16138" max="16141" width="0" style="21" hidden="1" customWidth="1"/>
    <col min="16142" max="16150" width="11.453125" style="21" customWidth="1"/>
    <col min="16151" max="16384" width="11.453125" style="21"/>
  </cols>
  <sheetData>
    <row r="2" spans="2:38" s="263" customFormat="1" ht="21">
      <c r="B2" s="260" t="s">
        <v>152</v>
      </c>
      <c r="C2" s="261" t="s">
        <v>153</v>
      </c>
      <c r="D2" s="261" t="s">
        <v>153</v>
      </c>
      <c r="E2" s="261" t="s">
        <v>153</v>
      </c>
      <c r="F2" s="261" t="s">
        <v>153</v>
      </c>
      <c r="G2" s="261" t="s">
        <v>153</v>
      </c>
      <c r="H2" s="261" t="s">
        <v>153</v>
      </c>
      <c r="I2" s="261" t="s">
        <v>153</v>
      </c>
      <c r="J2" s="261" t="s">
        <v>153</v>
      </c>
      <c r="K2" s="277"/>
      <c r="L2" s="262"/>
      <c r="M2" s="261" t="s">
        <v>154</v>
      </c>
      <c r="N2" s="261" t="s">
        <v>154</v>
      </c>
      <c r="O2" s="261" t="s">
        <v>154</v>
      </c>
      <c r="P2" s="261" t="s">
        <v>154</v>
      </c>
      <c r="Q2" s="261" t="s">
        <v>154</v>
      </c>
      <c r="R2" s="261" t="s">
        <v>154</v>
      </c>
      <c r="S2" s="261" t="s">
        <v>154</v>
      </c>
      <c r="T2" s="261" t="s">
        <v>154</v>
      </c>
      <c r="U2" s="261" t="s">
        <v>154</v>
      </c>
      <c r="V2" s="261" t="s">
        <v>154</v>
      </c>
      <c r="W2" s="261" t="s">
        <v>154</v>
      </c>
      <c r="X2" s="261" t="s">
        <v>154</v>
      </c>
      <c r="Y2" s="261" t="s">
        <v>154</v>
      </c>
      <c r="Z2" s="261" t="s">
        <v>154</v>
      </c>
      <c r="AA2" s="261" t="s">
        <v>154</v>
      </c>
      <c r="AB2" s="261" t="s">
        <v>154</v>
      </c>
      <c r="AC2" s="261" t="s">
        <v>154</v>
      </c>
      <c r="AD2" s="261" t="s">
        <v>154</v>
      </c>
      <c r="AE2" s="261" t="s">
        <v>154</v>
      </c>
      <c r="AF2" s="261" t="s">
        <v>154</v>
      </c>
      <c r="AG2" s="261" t="s">
        <v>154</v>
      </c>
      <c r="AH2" s="261" t="s">
        <v>154</v>
      </c>
      <c r="AI2" s="261" t="s">
        <v>154</v>
      </c>
      <c r="AJ2" s="261" t="s">
        <v>154</v>
      </c>
      <c r="AK2" s="261" t="s">
        <v>154</v>
      </c>
      <c r="AL2" s="277"/>
    </row>
    <row r="3" spans="2:38" s="263" customFormat="1">
      <c r="B3" s="264" t="s">
        <v>155</v>
      </c>
      <c r="C3" s="265">
        <v>43465</v>
      </c>
      <c r="D3" s="265">
        <v>43830</v>
      </c>
      <c r="E3" s="265">
        <v>44196</v>
      </c>
      <c r="F3" s="265">
        <v>44561</v>
      </c>
      <c r="G3" s="265">
        <v>44926</v>
      </c>
      <c r="H3" s="265">
        <v>45291</v>
      </c>
      <c r="I3" s="265">
        <v>45657</v>
      </c>
      <c r="J3" s="265">
        <v>46022</v>
      </c>
      <c r="K3" s="278"/>
      <c r="L3" s="262"/>
      <c r="M3" s="265">
        <v>43921</v>
      </c>
      <c r="N3" s="265">
        <v>44012</v>
      </c>
      <c r="O3" s="265">
        <v>44104</v>
      </c>
      <c r="P3" s="265">
        <v>44196</v>
      </c>
      <c r="Q3" s="265">
        <v>44286</v>
      </c>
      <c r="R3" s="265">
        <v>44377</v>
      </c>
      <c r="S3" s="265">
        <v>44469</v>
      </c>
      <c r="T3" s="265">
        <v>44561</v>
      </c>
      <c r="U3" s="265">
        <v>44651</v>
      </c>
      <c r="V3" s="265">
        <v>44742</v>
      </c>
      <c r="W3" s="265">
        <v>44834</v>
      </c>
      <c r="X3" s="265">
        <v>44926</v>
      </c>
      <c r="Y3" s="265">
        <v>45016</v>
      </c>
      <c r="Z3" s="265">
        <v>45107</v>
      </c>
      <c r="AA3" s="265">
        <v>45199</v>
      </c>
      <c r="AB3" s="265">
        <v>45291</v>
      </c>
      <c r="AC3" s="265">
        <v>45382</v>
      </c>
      <c r="AD3" s="265">
        <v>45473</v>
      </c>
      <c r="AE3" s="265">
        <v>45565</v>
      </c>
      <c r="AF3" s="265">
        <v>45657</v>
      </c>
      <c r="AG3" s="265">
        <v>45747</v>
      </c>
      <c r="AH3" s="265">
        <v>45838</v>
      </c>
      <c r="AI3" s="265">
        <v>45930</v>
      </c>
      <c r="AJ3" s="265">
        <v>46022</v>
      </c>
      <c r="AK3" s="265">
        <v>46112</v>
      </c>
      <c r="AL3" s="278"/>
    </row>
    <row r="4" spans="2:38" s="266" customFormat="1">
      <c r="B4" s="264"/>
      <c r="C4" s="265" t="s">
        <v>156</v>
      </c>
      <c r="D4" s="265" t="s">
        <v>156</v>
      </c>
      <c r="E4" s="265" t="s">
        <v>156</v>
      </c>
      <c r="F4" s="265" t="s">
        <v>156</v>
      </c>
      <c r="G4" s="265" t="s">
        <v>156</v>
      </c>
      <c r="H4" s="265" t="s">
        <v>156</v>
      </c>
      <c r="I4" s="265" t="s">
        <v>156</v>
      </c>
      <c r="J4" s="265" t="s">
        <v>156</v>
      </c>
      <c r="K4" s="278"/>
      <c r="L4" s="262"/>
      <c r="M4" s="265" t="s">
        <v>156</v>
      </c>
      <c r="N4" s="265" t="s">
        <v>156</v>
      </c>
      <c r="O4" s="265" t="s">
        <v>156</v>
      </c>
      <c r="P4" s="265" t="s">
        <v>156</v>
      </c>
      <c r="Q4" s="265" t="s">
        <v>156</v>
      </c>
      <c r="R4" s="265" t="s">
        <v>156</v>
      </c>
      <c r="S4" s="265" t="s">
        <v>156</v>
      </c>
      <c r="T4" s="265" t="s">
        <v>156</v>
      </c>
      <c r="U4" s="265" t="s">
        <v>156</v>
      </c>
      <c r="V4" s="265" t="s">
        <v>156</v>
      </c>
      <c r="W4" s="265" t="s">
        <v>156</v>
      </c>
      <c r="X4" s="265" t="s">
        <v>156</v>
      </c>
      <c r="Y4" s="265" t="s">
        <v>156</v>
      </c>
      <c r="Z4" s="265" t="s">
        <v>156</v>
      </c>
      <c r="AA4" s="265" t="s">
        <v>156</v>
      </c>
      <c r="AB4" s="265" t="s">
        <v>156</v>
      </c>
      <c r="AC4" s="265" t="s">
        <v>156</v>
      </c>
      <c r="AD4" s="265" t="s">
        <v>156</v>
      </c>
      <c r="AE4" s="265" t="s">
        <v>156</v>
      </c>
      <c r="AF4" s="265" t="s">
        <v>156</v>
      </c>
      <c r="AG4" s="265" t="s">
        <v>156</v>
      </c>
      <c r="AH4" s="265" t="s">
        <v>156</v>
      </c>
      <c r="AI4" s="265" t="s">
        <v>156</v>
      </c>
      <c r="AJ4" s="265" t="s">
        <v>156</v>
      </c>
      <c r="AK4" s="265" t="s">
        <v>156</v>
      </c>
      <c r="AL4" s="278"/>
    </row>
    <row r="5" spans="2:38" s="267" customFormat="1">
      <c r="C5" s="268" t="s">
        <v>157</v>
      </c>
      <c r="D5" s="268" t="s">
        <v>157</v>
      </c>
      <c r="E5" s="268" t="s">
        <v>157</v>
      </c>
      <c r="F5" s="268" t="s">
        <v>157</v>
      </c>
      <c r="G5" s="268" t="s">
        <v>157</v>
      </c>
      <c r="H5" s="268" t="s">
        <v>157</v>
      </c>
      <c r="I5" s="268" t="s">
        <v>157</v>
      </c>
      <c r="J5" s="268" t="s">
        <v>157</v>
      </c>
      <c r="K5" s="269"/>
      <c r="L5" s="262"/>
      <c r="M5" s="268" t="s">
        <v>158</v>
      </c>
      <c r="N5" s="268" t="s">
        <v>159</v>
      </c>
      <c r="O5" s="268" t="s">
        <v>160</v>
      </c>
      <c r="P5" s="269" t="s">
        <v>161</v>
      </c>
      <c r="Q5" s="268" t="s">
        <v>158</v>
      </c>
      <c r="R5" s="268" t="s">
        <v>159</v>
      </c>
      <c r="S5" s="268" t="s">
        <v>160</v>
      </c>
      <c r="T5" s="269" t="s">
        <v>161</v>
      </c>
      <c r="U5" s="268" t="s">
        <v>158</v>
      </c>
      <c r="V5" s="268" t="s">
        <v>159</v>
      </c>
      <c r="W5" s="268" t="s">
        <v>160</v>
      </c>
      <c r="X5" s="269" t="s">
        <v>161</v>
      </c>
      <c r="Y5" s="268" t="s">
        <v>158</v>
      </c>
      <c r="Z5" s="268" t="s">
        <v>159</v>
      </c>
      <c r="AA5" s="268" t="s">
        <v>160</v>
      </c>
      <c r="AB5" s="269" t="s">
        <v>161</v>
      </c>
      <c r="AC5" s="268" t="s">
        <v>158</v>
      </c>
      <c r="AD5" s="268" t="s">
        <v>159</v>
      </c>
      <c r="AE5" s="268" t="s">
        <v>160</v>
      </c>
      <c r="AF5" s="269" t="s">
        <v>161</v>
      </c>
      <c r="AG5" s="268" t="s">
        <v>158</v>
      </c>
      <c r="AH5" s="268" t="s">
        <v>159</v>
      </c>
      <c r="AI5" s="268" t="s">
        <v>160</v>
      </c>
      <c r="AJ5" s="269" t="s">
        <v>161</v>
      </c>
      <c r="AK5" s="268" t="s">
        <v>158</v>
      </c>
      <c r="AL5" s="268"/>
    </row>
    <row r="6" spans="2:38" s="273" customFormat="1">
      <c r="B6" s="270" t="s">
        <v>162</v>
      </c>
      <c r="C6" s="271"/>
      <c r="D6" s="271"/>
      <c r="E6" s="271"/>
      <c r="F6" s="271"/>
      <c r="G6" s="271"/>
      <c r="H6" s="271"/>
      <c r="I6" s="271"/>
      <c r="J6" s="271"/>
      <c r="K6" s="271"/>
      <c r="L6" s="262"/>
      <c r="M6" s="272"/>
      <c r="N6" s="271"/>
      <c r="O6" s="271"/>
      <c r="P6" s="272"/>
      <c r="Q6" s="272"/>
      <c r="R6" s="271"/>
      <c r="S6" s="271"/>
      <c r="T6" s="272"/>
      <c r="U6" s="272"/>
      <c r="V6" s="271"/>
      <c r="W6" s="271"/>
      <c r="X6" s="272"/>
      <c r="Y6" s="272"/>
      <c r="Z6" s="271"/>
      <c r="AA6" s="271"/>
      <c r="AB6" s="272"/>
      <c r="AC6" s="272"/>
      <c r="AD6" s="271"/>
      <c r="AE6" s="271"/>
      <c r="AF6" s="272"/>
      <c r="AG6" s="272"/>
      <c r="AH6" s="271"/>
      <c r="AI6" s="271"/>
      <c r="AJ6" s="272"/>
      <c r="AK6" s="272"/>
      <c r="AL6" s="271"/>
    </row>
    <row r="7" spans="2:38" s="215" customFormat="1">
      <c r="B7" s="66" t="s">
        <v>163</v>
      </c>
      <c r="C7" s="214">
        <v>462019.75900000002</v>
      </c>
      <c r="D7" s="214">
        <v>576888.48400000005</v>
      </c>
      <c r="E7" s="214">
        <v>745801.88600000006</v>
      </c>
      <c r="F7" s="214">
        <v>951592.15399999998</v>
      </c>
      <c r="G7" s="214">
        <v>1046236</v>
      </c>
      <c r="H7" s="214">
        <v>1084662</v>
      </c>
      <c r="I7" s="214">
        <v>1158819</v>
      </c>
      <c r="J7" s="214">
        <v>1309085</v>
      </c>
      <c r="K7" s="50"/>
      <c r="L7" s="50"/>
      <c r="M7" s="214">
        <v>146205.209</v>
      </c>
      <c r="N7" s="214">
        <v>201054.05799999999</v>
      </c>
      <c r="O7" s="214">
        <v>174214.46400000001</v>
      </c>
      <c r="P7" s="50">
        <f>E7-SUM(M7:O7)</f>
        <v>224328.15500000003</v>
      </c>
      <c r="Q7" s="214">
        <v>203176.16899999999</v>
      </c>
      <c r="R7" s="214">
        <v>253800.47</v>
      </c>
      <c r="S7" s="214">
        <v>218708.35800000001</v>
      </c>
      <c r="T7" s="50">
        <f>F7-SUM(Q7:S7)</f>
        <v>275907.15700000001</v>
      </c>
      <c r="U7" s="214">
        <v>239655</v>
      </c>
      <c r="V7" s="214">
        <v>267600</v>
      </c>
      <c r="W7" s="214">
        <v>243535</v>
      </c>
      <c r="X7" s="50">
        <f>G7-SUM(U7:W7)</f>
        <v>295446</v>
      </c>
      <c r="Y7" s="214">
        <v>242956</v>
      </c>
      <c r="Z7" s="214">
        <v>287931</v>
      </c>
      <c r="AA7" s="214">
        <v>247698</v>
      </c>
      <c r="AB7" s="50">
        <f>H7-SUM(Y7:AA7)</f>
        <v>306077</v>
      </c>
      <c r="AC7" s="214">
        <v>260049</v>
      </c>
      <c r="AD7" s="214">
        <v>291397</v>
      </c>
      <c r="AE7" s="214">
        <v>260387</v>
      </c>
      <c r="AF7" s="50">
        <f>I7-SUM(AC7:AE7)</f>
        <v>346986</v>
      </c>
      <c r="AG7" s="214">
        <v>301082</v>
      </c>
      <c r="AH7" s="214">
        <v>356660</v>
      </c>
      <c r="AI7" s="214">
        <v>299059</v>
      </c>
      <c r="AJ7" s="50">
        <f>J7-SUM(AG7:AI7)</f>
        <v>352284</v>
      </c>
      <c r="AK7" s="214">
        <v>315694</v>
      </c>
      <c r="AL7" s="214"/>
    </row>
    <row r="8" spans="2:38" s="26" customFormat="1">
      <c r="B8" s="213" t="s">
        <v>164</v>
      </c>
      <c r="C8" s="73"/>
      <c r="D8" s="73">
        <f t="shared" ref="D8:J8" si="0">(D7/C7)-1</f>
        <v>0.24862297068987482</v>
      </c>
      <c r="E8" s="73">
        <f t="shared" si="0"/>
        <v>0.29280078678082955</v>
      </c>
      <c r="F8" s="73">
        <f t="shared" si="0"/>
        <v>0.27593154678613918</v>
      </c>
      <c r="G8" s="73">
        <f t="shared" si="0"/>
        <v>9.9458413567373727E-2</v>
      </c>
      <c r="H8" s="73">
        <f t="shared" si="0"/>
        <v>3.6727851077577034E-2</v>
      </c>
      <c r="I8" s="73">
        <f t="shared" si="0"/>
        <v>6.8368763725473958E-2</v>
      </c>
      <c r="J8" s="73">
        <f t="shared" si="0"/>
        <v>0.12967167435121452</v>
      </c>
      <c r="K8" s="73"/>
      <c r="L8" s="50"/>
      <c r="M8" s="73"/>
      <c r="N8" s="73"/>
      <c r="O8" s="73"/>
      <c r="P8" s="73"/>
      <c r="Q8" s="73">
        <f t="shared" ref="Q8:AL8" si="1">(Q7/M7)-1</f>
        <v>0.3896643655151848</v>
      </c>
      <c r="R8" s="73">
        <f t="shared" si="1"/>
        <v>0.26234940256714445</v>
      </c>
      <c r="S8" s="73">
        <f t="shared" si="1"/>
        <v>0.25539724416911791</v>
      </c>
      <c r="T8" s="73">
        <f t="shared" si="1"/>
        <v>0.22992656450100957</v>
      </c>
      <c r="U8" s="73">
        <f t="shared" si="1"/>
        <v>0.17954286262775243</v>
      </c>
      <c r="V8" s="73">
        <f t="shared" si="1"/>
        <v>5.4371569918684637E-2</v>
      </c>
      <c r="W8" s="73">
        <f t="shared" si="1"/>
        <v>0.11351482964359327</v>
      </c>
      <c r="X8" s="73">
        <f t="shared" si="1"/>
        <v>7.0816731296317936E-2</v>
      </c>
      <c r="Y8" s="73">
        <f t="shared" si="1"/>
        <v>1.3773966743860999E-2</v>
      </c>
      <c r="Z8" s="73">
        <f t="shared" si="1"/>
        <v>7.5975336322869902E-2</v>
      </c>
      <c r="AA8" s="73">
        <f t="shared" si="1"/>
        <v>1.7094052189623676E-2</v>
      </c>
      <c r="AB8" s="73">
        <f t="shared" si="1"/>
        <v>3.5982886889651677E-2</v>
      </c>
      <c r="AC8" s="73">
        <f t="shared" si="1"/>
        <v>7.0354302836727722E-2</v>
      </c>
      <c r="AD8" s="73">
        <f t="shared" si="1"/>
        <v>1.2037606232048637E-2</v>
      </c>
      <c r="AE8" s="73">
        <f t="shared" si="1"/>
        <v>5.1227704704922994E-2</v>
      </c>
      <c r="AF8" s="73">
        <f t="shared" si="1"/>
        <v>0.1336559101141217</v>
      </c>
      <c r="AG8" s="73">
        <f t="shared" si="1"/>
        <v>0.15778949351852911</v>
      </c>
      <c r="AH8" s="73">
        <f t="shared" si="1"/>
        <v>0.22396592964237794</v>
      </c>
      <c r="AI8" s="73">
        <f t="shared" si="1"/>
        <v>0.14851739910210582</v>
      </c>
      <c r="AJ8" s="73">
        <f t="shared" si="1"/>
        <v>1.5268627552696756E-2</v>
      </c>
      <c r="AK8" s="73">
        <f t="shared" si="1"/>
        <v>4.8531629257145825E-2</v>
      </c>
      <c r="AL8" s="73"/>
    </row>
    <row r="9" spans="2:38">
      <c r="B9" s="60" t="s">
        <v>165</v>
      </c>
      <c r="C9" s="57">
        <v>-396066.12599999999</v>
      </c>
      <c r="D9" s="57">
        <v>-492467.391</v>
      </c>
      <c r="E9" s="57">
        <v>-636693.55099999998</v>
      </c>
      <c r="F9" s="57">
        <v>-822525.46200000006</v>
      </c>
      <c r="G9" s="57">
        <v>-899163</v>
      </c>
      <c r="H9" s="57">
        <v>-924958</v>
      </c>
      <c r="I9" s="57">
        <v>-974951</v>
      </c>
      <c r="J9" s="57">
        <v>-1099057</v>
      </c>
      <c r="K9" s="13"/>
      <c r="L9" s="50"/>
      <c r="M9" s="57">
        <v>-123669.69899999999</v>
      </c>
      <c r="N9" s="57">
        <v>-172418.571</v>
      </c>
      <c r="O9" s="57">
        <v>-147419.446</v>
      </c>
      <c r="P9" s="13">
        <f>E9-SUM(M9:O9)</f>
        <v>-193185.83499999996</v>
      </c>
      <c r="Q9" s="57">
        <v>-174054.15</v>
      </c>
      <c r="R9" s="57">
        <v>-222070.87599999999</v>
      </c>
      <c r="S9" s="57">
        <v>-187615.62100000001</v>
      </c>
      <c r="T9" s="13">
        <f>F9-SUM(Q9:S9)</f>
        <v>-238784.81500000006</v>
      </c>
      <c r="U9" s="57">
        <v>-206209</v>
      </c>
      <c r="V9" s="57">
        <v>-231706</v>
      </c>
      <c r="W9" s="57">
        <v>-207339</v>
      </c>
      <c r="X9" s="13">
        <f>G9-SUM(U9:W9)</f>
        <v>-253909</v>
      </c>
      <c r="Y9" s="57">
        <v>-206938</v>
      </c>
      <c r="Z9" s="57">
        <v>-246498</v>
      </c>
      <c r="AA9" s="57">
        <v>-208947</v>
      </c>
      <c r="AB9" s="13">
        <f>H9-SUM(Y9:AA9)</f>
        <v>-262575</v>
      </c>
      <c r="AC9" s="57">
        <v>-220279</v>
      </c>
      <c r="AD9" s="57">
        <v>-245459</v>
      </c>
      <c r="AE9" s="57">
        <v>-215344</v>
      </c>
      <c r="AF9" s="13">
        <f>I9-SUM(AC9:AE9)</f>
        <v>-293869</v>
      </c>
      <c r="AG9" s="57">
        <v>-253234</v>
      </c>
      <c r="AH9" s="57">
        <v>-300020</v>
      </c>
      <c r="AI9" s="57">
        <v>-248585</v>
      </c>
      <c r="AJ9" s="13">
        <f>J9-SUM(AG9:AI9)</f>
        <v>-297218</v>
      </c>
      <c r="AK9" s="57">
        <v>-262667</v>
      </c>
      <c r="AL9" s="57"/>
    </row>
    <row r="10" spans="2:38" s="26" customFormat="1">
      <c r="B10" s="26" t="s">
        <v>166</v>
      </c>
      <c r="C10" s="50">
        <f t="shared" ref="C10:G10" si="2">C7+C9</f>
        <v>65953.633000000031</v>
      </c>
      <c r="D10" s="50">
        <f t="shared" si="2"/>
        <v>84421.093000000052</v>
      </c>
      <c r="E10" s="50">
        <f t="shared" si="2"/>
        <v>109108.33500000008</v>
      </c>
      <c r="F10" s="50">
        <f t="shared" si="2"/>
        <v>129066.69199999992</v>
      </c>
      <c r="G10" s="50">
        <f t="shared" si="2"/>
        <v>147073</v>
      </c>
      <c r="H10" s="50">
        <f t="shared" ref="H10:I10" si="3">H7+H9</f>
        <v>159704</v>
      </c>
      <c r="I10" s="50">
        <f t="shared" si="3"/>
        <v>183868</v>
      </c>
      <c r="J10" s="50">
        <f t="shared" ref="J10" si="4">J7+J9</f>
        <v>210028</v>
      </c>
      <c r="K10" s="50"/>
      <c r="L10" s="50"/>
      <c r="M10" s="50">
        <f t="shared" ref="M10:P10" si="5">M7+M9</f>
        <v>22535.510000000009</v>
      </c>
      <c r="N10" s="50">
        <f t="shared" si="5"/>
        <v>28635.486999999994</v>
      </c>
      <c r="O10" s="50">
        <f t="shared" si="5"/>
        <v>26795.018000000011</v>
      </c>
      <c r="P10" s="50">
        <f t="shared" si="5"/>
        <v>31142.320000000065</v>
      </c>
      <c r="Q10" s="50">
        <f t="shared" ref="Q10:T10" si="6">Q7+Q9</f>
        <v>29122.019</v>
      </c>
      <c r="R10" s="50">
        <f t="shared" si="6"/>
        <v>31729.594000000012</v>
      </c>
      <c r="S10" s="50">
        <f t="shared" si="6"/>
        <v>31092.736999999994</v>
      </c>
      <c r="T10" s="50">
        <f t="shared" si="6"/>
        <v>37122.341999999946</v>
      </c>
      <c r="U10" s="50">
        <f t="shared" ref="U10:X10" si="7">U7+U9</f>
        <v>33446</v>
      </c>
      <c r="V10" s="50">
        <f t="shared" si="7"/>
        <v>35894</v>
      </c>
      <c r="W10" s="50">
        <f t="shared" si="7"/>
        <v>36196</v>
      </c>
      <c r="X10" s="50">
        <f t="shared" si="7"/>
        <v>41537</v>
      </c>
      <c r="Y10" s="50">
        <f t="shared" ref="Y10:AB10" si="8">Y7+Y9</f>
        <v>36018</v>
      </c>
      <c r="Z10" s="50">
        <f t="shared" si="8"/>
        <v>41433</v>
      </c>
      <c r="AA10" s="50">
        <f t="shared" si="8"/>
        <v>38751</v>
      </c>
      <c r="AB10" s="50">
        <f t="shared" si="8"/>
        <v>43502</v>
      </c>
      <c r="AC10" s="50">
        <f t="shared" ref="AC10" si="9">AC7+AC9</f>
        <v>39770</v>
      </c>
      <c r="AD10" s="50">
        <f>AD7+AD9</f>
        <v>45938</v>
      </c>
      <c r="AE10" s="50">
        <f t="shared" ref="AE10:AG10" si="10">AE7+AE9</f>
        <v>45043</v>
      </c>
      <c r="AF10" s="50">
        <f t="shared" si="10"/>
        <v>53117</v>
      </c>
      <c r="AG10" s="50">
        <f t="shared" si="10"/>
        <v>47848</v>
      </c>
      <c r="AH10" s="50">
        <f>AH7+AH9</f>
        <v>56640</v>
      </c>
      <c r="AI10" s="50">
        <f t="shared" ref="AI10:AK10" si="11">AI7+AI9</f>
        <v>50474</v>
      </c>
      <c r="AJ10" s="50">
        <f t="shared" si="11"/>
        <v>55066</v>
      </c>
      <c r="AK10" s="50">
        <f t="shared" si="11"/>
        <v>53027</v>
      </c>
      <c r="AL10" s="50"/>
    </row>
    <row r="11" spans="2:38" s="37" customFormat="1">
      <c r="B11" s="42" t="s">
        <v>167</v>
      </c>
      <c r="C11" s="73">
        <f t="shared" ref="C11:F11" si="12">C10/C7</f>
        <v>0.14275067616751003</v>
      </c>
      <c r="D11" s="73">
        <f t="shared" si="12"/>
        <v>0.14633866915603058</v>
      </c>
      <c r="E11" s="73">
        <f t="shared" si="12"/>
        <v>0.14629667348414305</v>
      </c>
      <c r="F11" s="73">
        <f t="shared" si="12"/>
        <v>0.13563236251735628</v>
      </c>
      <c r="G11" s="73">
        <f>G10/G7</f>
        <v>0.14057344614408221</v>
      </c>
      <c r="H11" s="73">
        <f>H10/H7</f>
        <v>0.14723849457250276</v>
      </c>
      <c r="I11" s="73">
        <f>I10/I7</f>
        <v>0.15866843743500927</v>
      </c>
      <c r="J11" s="73">
        <f>J10/J7</f>
        <v>0.16043877975838086</v>
      </c>
      <c r="K11" s="73"/>
      <c r="L11" s="50"/>
      <c r="M11" s="73">
        <f t="shared" ref="M11:P11" si="13">M10/M7</f>
        <v>0.15413616350700615</v>
      </c>
      <c r="N11" s="73">
        <f t="shared" si="13"/>
        <v>0.14242680443684452</v>
      </c>
      <c r="O11" s="73">
        <f t="shared" si="13"/>
        <v>0.15380478397017602</v>
      </c>
      <c r="P11" s="73">
        <f t="shared" si="13"/>
        <v>0.13882483899535508</v>
      </c>
      <c r="Q11" s="73">
        <f t="shared" ref="Q11:T11" si="14">Q10/Q7</f>
        <v>0.14333383262089169</v>
      </c>
      <c r="R11" s="73">
        <f t="shared" si="14"/>
        <v>0.12501786935225145</v>
      </c>
      <c r="S11" s="73">
        <f t="shared" si="14"/>
        <v>0.14216528935762021</v>
      </c>
      <c r="T11" s="73">
        <f t="shared" si="14"/>
        <v>0.13454649891521278</v>
      </c>
      <c r="U11" s="73">
        <f t="shared" ref="U11:X11" si="15">U10/U7</f>
        <v>0.13955894932298513</v>
      </c>
      <c r="V11" s="73">
        <f t="shared" si="15"/>
        <v>0.13413303437967114</v>
      </c>
      <c r="W11" s="73">
        <f t="shared" si="15"/>
        <v>0.14862750733980742</v>
      </c>
      <c r="X11" s="73">
        <f t="shared" si="15"/>
        <v>0.14059083555032054</v>
      </c>
      <c r="Y11" s="73">
        <f t="shared" ref="Y11:AB11" si="16">Y10/Y7</f>
        <v>0.1482490656744431</v>
      </c>
      <c r="Z11" s="73">
        <f t="shared" si="16"/>
        <v>0.14389905914958792</v>
      </c>
      <c r="AA11" s="73">
        <f t="shared" si="16"/>
        <v>0.15644454133662766</v>
      </c>
      <c r="AB11" s="73">
        <f t="shared" si="16"/>
        <v>0.14212763454947611</v>
      </c>
      <c r="AC11" s="73">
        <f t="shared" ref="AC11:AF11" si="17">AC10/AC7</f>
        <v>0.15293271652650078</v>
      </c>
      <c r="AD11" s="73">
        <f t="shared" si="17"/>
        <v>0.15764747063284798</v>
      </c>
      <c r="AE11" s="73">
        <f t="shared" si="17"/>
        <v>0.17298482643142707</v>
      </c>
      <c r="AF11" s="73">
        <f t="shared" si="17"/>
        <v>0.15308110413676632</v>
      </c>
      <c r="AG11" s="73">
        <f t="shared" ref="AG11:AJ11" si="18">AG10/AG7</f>
        <v>0.15892016128496556</v>
      </c>
      <c r="AH11" s="73">
        <f t="shared" si="18"/>
        <v>0.15880670666741434</v>
      </c>
      <c r="AI11" s="73">
        <f t="shared" si="18"/>
        <v>0.16877606091105768</v>
      </c>
      <c r="AJ11" s="73">
        <f t="shared" si="18"/>
        <v>0.15631138513244996</v>
      </c>
      <c r="AK11" s="73">
        <f t="shared" ref="AK11:AL11" si="19">AK10/AK7</f>
        <v>0.16796961614728187</v>
      </c>
      <c r="AL11" s="73"/>
    </row>
    <row r="12" spans="2:38" s="37" customFormat="1">
      <c r="B12" s="26" t="s">
        <v>168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</row>
    <row r="13" spans="2:38" s="37" customFormat="1">
      <c r="B13" s="74" t="s">
        <v>169</v>
      </c>
      <c r="C13" s="57">
        <v>-32009.657999999999</v>
      </c>
      <c r="D13" s="57">
        <v>-36968.040999999997</v>
      </c>
      <c r="E13" s="57">
        <v>-48700.211000000003</v>
      </c>
      <c r="F13" s="57">
        <v>-59055.207000000002</v>
      </c>
      <c r="G13" s="57">
        <v>-63011</v>
      </c>
      <c r="H13" s="57">
        <v>-64558</v>
      </c>
      <c r="I13" s="57">
        <v>-70426</v>
      </c>
      <c r="J13" s="57">
        <v>-88176</v>
      </c>
      <c r="K13" s="13"/>
      <c r="L13" s="50"/>
      <c r="M13" s="57">
        <v>-10399.790000000001</v>
      </c>
      <c r="N13" s="57">
        <v>-11956.352000000001</v>
      </c>
      <c r="O13" s="57">
        <v>-11592.062</v>
      </c>
      <c r="P13" s="13">
        <f>E13-SUM(M13:O13)</f>
        <v>-14752.007000000005</v>
      </c>
      <c r="Q13" s="57">
        <v>-13803.401</v>
      </c>
      <c r="R13" s="57">
        <v>-14649.314</v>
      </c>
      <c r="S13" s="57">
        <v>-14275.651</v>
      </c>
      <c r="T13" s="13">
        <f t="shared" ref="T13:T18" si="20">F13-SUM(Q13:S13)</f>
        <v>-16326.841</v>
      </c>
      <c r="U13" s="57">
        <v>-15486</v>
      </c>
      <c r="V13" s="57">
        <v>-16308</v>
      </c>
      <c r="W13" s="57">
        <v>-14354</v>
      </c>
      <c r="X13" s="13">
        <f t="shared" ref="X13:X18" si="21">G13-SUM(U13:W13)</f>
        <v>-16863</v>
      </c>
      <c r="Y13" s="57">
        <v>-15371</v>
      </c>
      <c r="Z13" s="57">
        <v>-16679</v>
      </c>
      <c r="AA13" s="57">
        <v>-15225</v>
      </c>
      <c r="AB13" s="13">
        <f t="shared" ref="AB13:AB18" si="22">H13-SUM(Y13:AA13)</f>
        <v>-17283</v>
      </c>
      <c r="AC13" s="57">
        <v>-16806</v>
      </c>
      <c r="AD13" s="57">
        <v>-17221</v>
      </c>
      <c r="AE13" s="57">
        <v>-16278</v>
      </c>
      <c r="AF13" s="13">
        <f t="shared" ref="AF13:AF18" si="23">I13-SUM(AC13:AE13)</f>
        <v>-20121</v>
      </c>
      <c r="AG13" s="57">
        <v>-19737</v>
      </c>
      <c r="AH13" s="57">
        <v>-22145</v>
      </c>
      <c r="AI13" s="57">
        <v>-22002</v>
      </c>
      <c r="AJ13" s="13">
        <f t="shared" ref="AJ13:AJ18" si="24">J13-SUM(AG13:AI13)</f>
        <v>-24292</v>
      </c>
      <c r="AK13" s="57">
        <v>-23393</v>
      </c>
      <c r="AL13" s="57"/>
    </row>
    <row r="14" spans="2:38" s="37" customFormat="1">
      <c r="B14" s="74" t="s">
        <v>170</v>
      </c>
      <c r="C14" s="57">
        <v>-19236.740000000002</v>
      </c>
      <c r="D14" s="57">
        <v>-22234.044999999998</v>
      </c>
      <c r="E14" s="57">
        <v>-27155.972000000002</v>
      </c>
      <c r="F14" s="57">
        <v>-38743.040000000001</v>
      </c>
      <c r="G14" s="57">
        <v>-37772</v>
      </c>
      <c r="H14" s="57">
        <v>-40133</v>
      </c>
      <c r="I14" s="57">
        <v>-47953</v>
      </c>
      <c r="J14" s="57">
        <v>-83953</v>
      </c>
      <c r="K14" s="13"/>
      <c r="L14" s="50"/>
      <c r="M14" s="57">
        <v>-4468.3159999999998</v>
      </c>
      <c r="N14" s="57">
        <v>-6803.9189999999999</v>
      </c>
      <c r="O14" s="57">
        <v>-5460.5079999999998</v>
      </c>
      <c r="P14" s="13">
        <f>E14-SUM(M14:O14)</f>
        <v>-10423.228999999999</v>
      </c>
      <c r="Q14" s="57">
        <v>-6998.7569999999996</v>
      </c>
      <c r="R14" s="57">
        <v>-10612.42</v>
      </c>
      <c r="S14" s="57">
        <v>-7769.1660000000002</v>
      </c>
      <c r="T14" s="13">
        <f t="shared" si="20"/>
        <v>-13362.697</v>
      </c>
      <c r="U14" s="57">
        <v>-8705</v>
      </c>
      <c r="V14" s="57">
        <v>-9477</v>
      </c>
      <c r="W14" s="57">
        <v>-7605</v>
      </c>
      <c r="X14" s="13">
        <f t="shared" si="21"/>
        <v>-11985</v>
      </c>
      <c r="Y14" s="57">
        <v>-8005</v>
      </c>
      <c r="Z14" s="57">
        <v>-11063</v>
      </c>
      <c r="AA14" s="57">
        <v>-7955</v>
      </c>
      <c r="AB14" s="13">
        <f t="shared" si="22"/>
        <v>-13110</v>
      </c>
      <c r="AC14" s="57">
        <v>-9254</v>
      </c>
      <c r="AD14" s="57">
        <v>-11867</v>
      </c>
      <c r="AE14" s="57">
        <v>-10000</v>
      </c>
      <c r="AF14" s="13">
        <f t="shared" si="23"/>
        <v>-16832</v>
      </c>
      <c r="AG14" s="57">
        <v>-10543</v>
      </c>
      <c r="AH14" s="57">
        <v>-27013</v>
      </c>
      <c r="AI14" s="57">
        <v>-21050</v>
      </c>
      <c r="AJ14" s="13">
        <f t="shared" si="24"/>
        <v>-25347</v>
      </c>
      <c r="AK14" s="57">
        <v>-15372</v>
      </c>
      <c r="AL14" s="57"/>
    </row>
    <row r="15" spans="2:38" s="37" customFormat="1">
      <c r="B15" s="74" t="s">
        <v>171</v>
      </c>
      <c r="C15" s="57">
        <v>-12144.383</v>
      </c>
      <c r="D15" s="57">
        <v>-14618.677</v>
      </c>
      <c r="E15" s="57">
        <v>-16148.948</v>
      </c>
      <c r="F15" s="57">
        <v>-16332.036</v>
      </c>
      <c r="G15" s="57">
        <v>-16893</v>
      </c>
      <c r="H15" s="57">
        <v>-16393</v>
      </c>
      <c r="I15" s="57">
        <v>-17031</v>
      </c>
      <c r="J15" s="57">
        <v>-22229</v>
      </c>
      <c r="K15" s="13"/>
      <c r="L15" s="50"/>
      <c r="M15" s="57">
        <v>-3935.1590000000001</v>
      </c>
      <c r="N15" s="57">
        <v>-3603.6</v>
      </c>
      <c r="O15" s="57">
        <v>-4106.7389999999996</v>
      </c>
      <c r="P15" s="13">
        <f>E15-SUM(M15:O15)</f>
        <v>-4503.4500000000007</v>
      </c>
      <c r="Q15" s="57">
        <v>-4529.5060000000003</v>
      </c>
      <c r="R15" s="57">
        <v>-3693.41</v>
      </c>
      <c r="S15" s="57">
        <v>-4004.0010000000002</v>
      </c>
      <c r="T15" s="13">
        <f t="shared" si="20"/>
        <v>-4105.1189999999988</v>
      </c>
      <c r="U15" s="57">
        <v>-4384</v>
      </c>
      <c r="V15" s="57">
        <v>-4027</v>
      </c>
      <c r="W15" s="57">
        <v>-4116</v>
      </c>
      <c r="X15" s="13">
        <f t="shared" si="21"/>
        <v>-4366</v>
      </c>
      <c r="Y15" s="57">
        <v>-4186</v>
      </c>
      <c r="Z15" s="57">
        <v>-4072</v>
      </c>
      <c r="AA15" s="57">
        <v>-3794</v>
      </c>
      <c r="AB15" s="13">
        <f t="shared" si="22"/>
        <v>-4341</v>
      </c>
      <c r="AC15" s="57">
        <v>-4034</v>
      </c>
      <c r="AD15" s="57">
        <v>-4217</v>
      </c>
      <c r="AE15" s="57">
        <v>-4396</v>
      </c>
      <c r="AF15" s="13">
        <f t="shared" si="23"/>
        <v>-4384</v>
      </c>
      <c r="AG15" s="57">
        <v>-4621</v>
      </c>
      <c r="AH15" s="57">
        <v>-5299</v>
      </c>
      <c r="AI15" s="57">
        <v>-5646</v>
      </c>
      <c r="AJ15" s="13">
        <f t="shared" si="24"/>
        <v>-6663</v>
      </c>
      <c r="AK15" s="57">
        <v>-6866</v>
      </c>
      <c r="AL15" s="57"/>
    </row>
    <row r="16" spans="2:38" s="37" customFormat="1">
      <c r="B16" s="74" t="s">
        <v>172</v>
      </c>
      <c r="C16" s="57">
        <f>-5159.666-22.317</f>
        <v>-5181.9830000000002</v>
      </c>
      <c r="D16" s="57">
        <v>-5490.1589999999997</v>
      </c>
      <c r="E16" s="57">
        <v>-6409.1310000000003</v>
      </c>
      <c r="F16" s="57">
        <v>-11562.450999999999</v>
      </c>
      <c r="G16" s="57">
        <v>-11053</v>
      </c>
      <c r="H16" s="57">
        <v>-9710</v>
      </c>
      <c r="I16" s="57">
        <v>-8888</v>
      </c>
      <c r="J16" s="57">
        <v>-11980</v>
      </c>
      <c r="K16" s="13"/>
      <c r="L16" s="50"/>
      <c r="M16" s="57">
        <v>-1411.796</v>
      </c>
      <c r="N16" s="57">
        <v>-1423.127</v>
      </c>
      <c r="O16" s="57">
        <v>-1596.3420000000001</v>
      </c>
      <c r="P16" s="13">
        <f>E16-SUM(M16:O16)</f>
        <v>-1977.8660000000009</v>
      </c>
      <c r="Q16" s="57">
        <v>-2213.373</v>
      </c>
      <c r="R16" s="57">
        <v>-2561.0309999999999</v>
      </c>
      <c r="S16" s="57">
        <v>-3050.183</v>
      </c>
      <c r="T16" s="13">
        <f t="shared" si="20"/>
        <v>-3737.8639999999987</v>
      </c>
      <c r="U16" s="57">
        <v>-2462</v>
      </c>
      <c r="V16" s="57">
        <v>-2324</v>
      </c>
      <c r="W16" s="57">
        <v>-2622</v>
      </c>
      <c r="X16" s="13">
        <f t="shared" si="21"/>
        <v>-3645</v>
      </c>
      <c r="Y16" s="57">
        <v>-2501</v>
      </c>
      <c r="Z16" s="57">
        <v>-2358</v>
      </c>
      <c r="AA16" s="57">
        <v>-2474</v>
      </c>
      <c r="AB16" s="13">
        <f t="shared" si="22"/>
        <v>-2377</v>
      </c>
      <c r="AC16" s="57">
        <v>-1976</v>
      </c>
      <c r="AD16" s="57">
        <v>-2132</v>
      </c>
      <c r="AE16" s="57">
        <v>-2325</v>
      </c>
      <c r="AF16" s="13">
        <f t="shared" si="23"/>
        <v>-2455</v>
      </c>
      <c r="AG16" s="57">
        <v>-2414</v>
      </c>
      <c r="AH16" s="57">
        <v>-3266</v>
      </c>
      <c r="AI16" s="57">
        <v>-2990</v>
      </c>
      <c r="AJ16" s="13">
        <f t="shared" si="24"/>
        <v>-3310</v>
      </c>
      <c r="AK16" s="57">
        <v>-3589</v>
      </c>
      <c r="AL16" s="57"/>
    </row>
    <row r="17" spans="2:38" s="37" customFormat="1">
      <c r="B17" s="74" t="s">
        <v>173</v>
      </c>
      <c r="C17" s="57">
        <v>0</v>
      </c>
      <c r="D17" s="57">
        <v>3884.7089999999998</v>
      </c>
      <c r="E17" s="57">
        <v>1648.7470000000001</v>
      </c>
      <c r="F17" s="57">
        <v>766.99199999999996</v>
      </c>
      <c r="G17" s="57">
        <v>1379</v>
      </c>
      <c r="H17" s="57">
        <v>2283</v>
      </c>
      <c r="I17" s="57">
        <v>1527</v>
      </c>
      <c r="J17" s="57">
        <v>387</v>
      </c>
      <c r="K17" s="13"/>
      <c r="L17" s="50"/>
      <c r="M17" s="57">
        <v>0</v>
      </c>
      <c r="N17" s="57">
        <v>195.58600000000001</v>
      </c>
      <c r="O17" s="57">
        <v>343.98200000000003</v>
      </c>
      <c r="P17" s="13">
        <f>E17-SUM(M17:O17)</f>
        <v>1109.1790000000001</v>
      </c>
      <c r="Q17" s="57">
        <v>82.762</v>
      </c>
      <c r="R17" s="57">
        <v>87.337000000000003</v>
      </c>
      <c r="S17" s="57">
        <v>578.70100000000002</v>
      </c>
      <c r="T17" s="13">
        <f t="shared" si="20"/>
        <v>18.192000000000007</v>
      </c>
      <c r="U17" s="57">
        <v>0</v>
      </c>
      <c r="V17" s="57">
        <v>0</v>
      </c>
      <c r="W17" s="57">
        <v>1229</v>
      </c>
      <c r="X17" s="13">
        <f t="shared" si="21"/>
        <v>150</v>
      </c>
      <c r="Y17" s="57">
        <v>472</v>
      </c>
      <c r="Z17" s="57">
        <v>1009</v>
      </c>
      <c r="AA17" s="57">
        <v>0</v>
      </c>
      <c r="AB17" s="13">
        <f t="shared" si="22"/>
        <v>802</v>
      </c>
      <c r="AC17" s="57">
        <v>0</v>
      </c>
      <c r="AD17" s="57">
        <v>0</v>
      </c>
      <c r="AE17" s="57">
        <v>0</v>
      </c>
      <c r="AF17" s="13">
        <f t="shared" si="23"/>
        <v>1527</v>
      </c>
      <c r="AG17" s="57">
        <v>0</v>
      </c>
      <c r="AH17" s="57">
        <v>224</v>
      </c>
      <c r="AI17" s="57">
        <v>163</v>
      </c>
      <c r="AJ17" s="13">
        <f t="shared" si="24"/>
        <v>0</v>
      </c>
      <c r="AK17" s="57">
        <v>0</v>
      </c>
      <c r="AL17" s="57"/>
    </row>
    <row r="18" spans="2:38" s="37" customFormat="1">
      <c r="B18" s="74" t="s">
        <v>174</v>
      </c>
      <c r="C18" s="57"/>
      <c r="D18" s="57"/>
      <c r="E18" s="57"/>
      <c r="F18" s="57"/>
      <c r="G18" s="57"/>
      <c r="H18" s="57">
        <f>-3143-2025</f>
        <v>-5168</v>
      </c>
      <c r="I18" s="57">
        <f>-799-1562</f>
        <v>-2361</v>
      </c>
      <c r="J18" s="57">
        <f>-1303</f>
        <v>-1303</v>
      </c>
      <c r="K18" s="13"/>
      <c r="L18" s="50"/>
      <c r="M18" s="57"/>
      <c r="N18" s="57"/>
      <c r="O18" s="57"/>
      <c r="P18" s="13"/>
      <c r="Q18" s="57"/>
      <c r="R18" s="57"/>
      <c r="S18" s="57"/>
      <c r="T18" s="13">
        <f t="shared" si="20"/>
        <v>0</v>
      </c>
      <c r="U18" s="57"/>
      <c r="V18" s="57"/>
      <c r="W18" s="57"/>
      <c r="X18" s="13">
        <f t="shared" si="21"/>
        <v>0</v>
      </c>
      <c r="Y18" s="57"/>
      <c r="Z18" s="57"/>
      <c r="AA18" s="57"/>
      <c r="AB18" s="13">
        <f t="shared" si="22"/>
        <v>-5168</v>
      </c>
      <c r="AC18" s="57">
        <v>0</v>
      </c>
      <c r="AD18" s="57">
        <v>0</v>
      </c>
      <c r="AE18" s="57">
        <v>0</v>
      </c>
      <c r="AF18" s="13">
        <f t="shared" si="23"/>
        <v>-2361</v>
      </c>
      <c r="AG18" s="57">
        <v>0</v>
      </c>
      <c r="AH18" s="57">
        <v>0</v>
      </c>
      <c r="AI18" s="57">
        <v>0</v>
      </c>
      <c r="AJ18" s="13">
        <f t="shared" si="24"/>
        <v>-1303</v>
      </c>
      <c r="AK18" s="57">
        <v>0</v>
      </c>
      <c r="AL18" s="57"/>
    </row>
    <row r="19" spans="2:38" s="26" customFormat="1">
      <c r="B19" s="26" t="s">
        <v>175</v>
      </c>
      <c r="C19" s="50">
        <f t="shared" ref="C19:G19" si="25">C10+SUM(C13:C18)</f>
        <v>-2619.1309999999648</v>
      </c>
      <c r="D19" s="50">
        <f t="shared" si="25"/>
        <v>8994.8800000000629</v>
      </c>
      <c r="E19" s="50">
        <f t="shared" si="25"/>
        <v>12342.82000000008</v>
      </c>
      <c r="F19" s="50">
        <f t="shared" si="25"/>
        <v>4140.9499999999243</v>
      </c>
      <c r="G19" s="50">
        <f t="shared" si="25"/>
        <v>19723</v>
      </c>
      <c r="H19" s="50">
        <f>H10+SUM(H13:H18)</f>
        <v>26025</v>
      </c>
      <c r="I19" s="50">
        <f>I10+SUM(I13:I18)</f>
        <v>38736</v>
      </c>
      <c r="J19" s="50">
        <f>J10+SUM(J13:J18)</f>
        <v>2774</v>
      </c>
      <c r="K19" s="50"/>
      <c r="L19" s="50"/>
      <c r="M19" s="50">
        <f t="shared" ref="M19:P19" si="26">M10+SUM(M13:M17)</f>
        <v>2320.4490000000114</v>
      </c>
      <c r="N19" s="50">
        <f t="shared" si="26"/>
        <v>5044.0749999999935</v>
      </c>
      <c r="O19" s="50">
        <f t="shared" si="26"/>
        <v>4383.3490000000093</v>
      </c>
      <c r="P19" s="50">
        <f t="shared" si="26"/>
        <v>594.94700000005832</v>
      </c>
      <c r="Q19" s="50">
        <f>Q10+SUM(Q13:Q18)</f>
        <v>1659.7439999999988</v>
      </c>
      <c r="R19" s="50">
        <f t="shared" ref="R19:AB19" si="27">R10+SUM(R13:R18)</f>
        <v>300.75600000001214</v>
      </c>
      <c r="S19" s="50">
        <f t="shared" si="27"/>
        <v>2572.4369999999944</v>
      </c>
      <c r="T19" s="50">
        <f t="shared" si="27"/>
        <v>-391.98700000005192</v>
      </c>
      <c r="U19" s="50">
        <f t="shared" si="27"/>
        <v>2409</v>
      </c>
      <c r="V19" s="50">
        <f t="shared" si="27"/>
        <v>3758</v>
      </c>
      <c r="W19" s="50">
        <f t="shared" si="27"/>
        <v>8728</v>
      </c>
      <c r="X19" s="50">
        <f t="shared" si="27"/>
        <v>4828</v>
      </c>
      <c r="Y19" s="50">
        <f t="shared" si="27"/>
        <v>6427</v>
      </c>
      <c r="Z19" s="50">
        <f t="shared" si="27"/>
        <v>8270</v>
      </c>
      <c r="AA19" s="50">
        <f t="shared" si="27"/>
        <v>9303</v>
      </c>
      <c r="AB19" s="50">
        <f t="shared" si="27"/>
        <v>2025</v>
      </c>
      <c r="AC19" s="50">
        <f t="shared" ref="AC19:AF19" si="28">AC10+SUM(AC13:AC18)</f>
        <v>7700</v>
      </c>
      <c r="AD19" s="50">
        <f t="shared" si="28"/>
        <v>10501</v>
      </c>
      <c r="AE19" s="50">
        <f t="shared" si="28"/>
        <v>12044</v>
      </c>
      <c r="AF19" s="50">
        <f t="shared" si="28"/>
        <v>8491</v>
      </c>
      <c r="AG19" s="50">
        <f t="shared" ref="AG19:AJ19" si="29">AG10+SUM(AG13:AG18)</f>
        <v>10533</v>
      </c>
      <c r="AH19" s="50">
        <f t="shared" si="29"/>
        <v>-859</v>
      </c>
      <c r="AI19" s="50">
        <f t="shared" si="29"/>
        <v>-1051</v>
      </c>
      <c r="AJ19" s="50">
        <f t="shared" si="29"/>
        <v>-5849</v>
      </c>
      <c r="AK19" s="50">
        <f t="shared" ref="AK19:AL19" si="30">AK10+SUM(AK13:AK18)</f>
        <v>3807</v>
      </c>
      <c r="AL19" s="50"/>
    </row>
    <row r="20" spans="2:38" s="37" customFormat="1">
      <c r="B20" s="74" t="s">
        <v>176</v>
      </c>
      <c r="C20" s="57">
        <v>-1113.105</v>
      </c>
      <c r="D20" s="57">
        <v>-1738.2190000000001</v>
      </c>
      <c r="E20" s="57">
        <v>4291.4530000000004</v>
      </c>
      <c r="F20" s="57">
        <v>-4918.0230000000001</v>
      </c>
      <c r="G20" s="57">
        <v>-2195</v>
      </c>
      <c r="H20" s="57">
        <v>1010</v>
      </c>
      <c r="I20" s="57">
        <v>2327</v>
      </c>
      <c r="J20" s="57">
        <v>8025</v>
      </c>
      <c r="K20" s="13"/>
      <c r="L20" s="50"/>
      <c r="M20" s="57">
        <v>-1120.22</v>
      </c>
      <c r="N20" s="57">
        <v>4004.1640000000002</v>
      </c>
      <c r="O20" s="57">
        <v>-272.31299999999999</v>
      </c>
      <c r="P20" s="13">
        <f>E20-SUM(M20:O20)</f>
        <v>1679.8220000000001</v>
      </c>
      <c r="Q20" s="57">
        <v>682.32899999999995</v>
      </c>
      <c r="R20" s="57">
        <v>522.78099999999995</v>
      </c>
      <c r="S20" s="57">
        <v>-1850.787</v>
      </c>
      <c r="T20" s="13">
        <f>F20-SUM(Q20:S20)</f>
        <v>-4272.3459999999995</v>
      </c>
      <c r="U20" s="57">
        <v>-1081</v>
      </c>
      <c r="V20" s="57">
        <v>-1604</v>
      </c>
      <c r="W20" s="57">
        <v>377</v>
      </c>
      <c r="X20" s="13">
        <f>G20-SUM(U20:W20)</f>
        <v>113</v>
      </c>
      <c r="Y20" s="57">
        <v>-821</v>
      </c>
      <c r="Z20" s="57">
        <v>907</v>
      </c>
      <c r="AA20" s="57">
        <v>427</v>
      </c>
      <c r="AB20" s="13">
        <f>H20-SUM(Y20:AA20)</f>
        <v>497</v>
      </c>
      <c r="AC20" s="57">
        <v>-730</v>
      </c>
      <c r="AD20" s="57">
        <v>1142</v>
      </c>
      <c r="AE20" s="57">
        <v>1359</v>
      </c>
      <c r="AF20" s="13">
        <f t="shared" ref="AF20:AF23" si="31">I20-SUM(AC20:AE20)</f>
        <v>556</v>
      </c>
      <c r="AG20" s="57">
        <v>1330</v>
      </c>
      <c r="AH20" s="57">
        <v>2072</v>
      </c>
      <c r="AI20" s="57">
        <v>2740</v>
      </c>
      <c r="AJ20" s="13">
        <f t="shared" ref="AJ20:AJ23" si="32">J20-SUM(AG20:AI20)</f>
        <v>1883</v>
      </c>
      <c r="AK20" s="57">
        <v>1636</v>
      </c>
      <c r="AL20" s="57"/>
    </row>
    <row r="21" spans="2:38" s="37" customFormat="1">
      <c r="B21" s="74" t="s">
        <v>177</v>
      </c>
      <c r="C21" s="57">
        <v>-854.53800000000001</v>
      </c>
      <c r="D21" s="57">
        <v>-725.01</v>
      </c>
      <c r="E21" s="57">
        <v>-1125.181</v>
      </c>
      <c r="F21" s="57">
        <v>-1213.4549999999999</v>
      </c>
      <c r="G21" s="57">
        <v>-2106</v>
      </c>
      <c r="H21" s="57">
        <v>-2881</v>
      </c>
      <c r="I21" s="57">
        <v>-2896</v>
      </c>
      <c r="J21" s="57">
        <v>-2803</v>
      </c>
      <c r="K21" s="13"/>
      <c r="L21" s="50"/>
      <c r="M21" s="57">
        <v>-207.1</v>
      </c>
      <c r="N21" s="57">
        <v>-324.21800000000002</v>
      </c>
      <c r="O21" s="57">
        <v>-297.80200000000002</v>
      </c>
      <c r="P21" s="13">
        <f>E21-SUM(M21:O21)</f>
        <v>-296.06100000000004</v>
      </c>
      <c r="Q21" s="57">
        <v>-257.82100000000003</v>
      </c>
      <c r="R21" s="57">
        <v>-232.32499999999999</v>
      </c>
      <c r="S21" s="57">
        <v>-276.13900000000001</v>
      </c>
      <c r="T21" s="13">
        <f>F21-SUM(Q21:S21)</f>
        <v>-447.16999999999985</v>
      </c>
      <c r="U21" s="57">
        <v>-345</v>
      </c>
      <c r="V21" s="57">
        <v>-484</v>
      </c>
      <c r="W21" s="57">
        <v>-579</v>
      </c>
      <c r="X21" s="13">
        <f>G21-SUM(U21:W21)</f>
        <v>-698</v>
      </c>
      <c r="Y21" s="57">
        <v>-590</v>
      </c>
      <c r="Z21" s="57">
        <v>-654</v>
      </c>
      <c r="AA21" s="57">
        <v>-710</v>
      </c>
      <c r="AB21" s="13">
        <f>H21-SUM(Y21:AA21)</f>
        <v>-927</v>
      </c>
      <c r="AC21" s="57">
        <v>-601</v>
      </c>
      <c r="AD21" s="57">
        <v>-688</v>
      </c>
      <c r="AE21" s="57">
        <v>-681</v>
      </c>
      <c r="AF21" s="13">
        <f t="shared" si="31"/>
        <v>-926</v>
      </c>
      <c r="AG21" s="57">
        <v>-600</v>
      </c>
      <c r="AH21" s="57">
        <v>-643</v>
      </c>
      <c r="AI21" s="57">
        <v>-730</v>
      </c>
      <c r="AJ21" s="13">
        <f t="shared" si="32"/>
        <v>-830</v>
      </c>
      <c r="AK21" s="57">
        <v>-686</v>
      </c>
      <c r="AL21" s="57"/>
    </row>
    <row r="22" spans="2:38" s="37" customFormat="1">
      <c r="B22" s="74" t="s">
        <v>178</v>
      </c>
      <c r="C22" s="57">
        <v>2117.9209999999998</v>
      </c>
      <c r="D22" s="57">
        <v>1785.5719999999999</v>
      </c>
      <c r="E22" s="57">
        <v>2753.36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13"/>
      <c r="L22" s="50"/>
      <c r="M22" s="57">
        <v>0</v>
      </c>
      <c r="N22" s="57">
        <v>0</v>
      </c>
      <c r="O22" s="57">
        <v>0</v>
      </c>
      <c r="P22" s="13">
        <f>E22-SUM(M22:O22)</f>
        <v>2753.36</v>
      </c>
      <c r="Q22" s="57">
        <v>0</v>
      </c>
      <c r="R22" s="57">
        <v>0</v>
      </c>
      <c r="S22" s="57">
        <v>0</v>
      </c>
      <c r="T22" s="13">
        <f>F22-SUM(Q22:S22)</f>
        <v>0</v>
      </c>
      <c r="U22" s="57">
        <v>0</v>
      </c>
      <c r="V22" s="57">
        <v>0</v>
      </c>
      <c r="W22" s="57">
        <v>0</v>
      </c>
      <c r="X22" s="13">
        <f>G22-SUM(U22:W22)</f>
        <v>0</v>
      </c>
      <c r="Y22" s="57">
        <v>0</v>
      </c>
      <c r="Z22" s="57">
        <v>0</v>
      </c>
      <c r="AA22" s="57">
        <v>0</v>
      </c>
      <c r="AB22" s="13">
        <f>H22-SUM(Y22:AA22)</f>
        <v>0</v>
      </c>
      <c r="AC22" s="57">
        <v>0</v>
      </c>
      <c r="AD22" s="57">
        <v>0</v>
      </c>
      <c r="AE22" s="57">
        <v>0</v>
      </c>
      <c r="AF22" s="13">
        <f t="shared" si="31"/>
        <v>0</v>
      </c>
      <c r="AG22" s="57">
        <v>0</v>
      </c>
      <c r="AH22" s="57">
        <v>0</v>
      </c>
      <c r="AI22" s="57">
        <v>0</v>
      </c>
      <c r="AJ22" s="13">
        <f t="shared" si="32"/>
        <v>0</v>
      </c>
      <c r="AK22" s="57">
        <v>0</v>
      </c>
      <c r="AL22" s="57"/>
    </row>
    <row r="23" spans="2:38">
      <c r="B23" s="74" t="s">
        <v>179</v>
      </c>
      <c r="C23" s="57">
        <v>95.174999999999997</v>
      </c>
      <c r="D23" s="57">
        <v>5375.3090000000002</v>
      </c>
      <c r="E23" s="57">
        <v>32556.438999999998</v>
      </c>
      <c r="F23" s="57">
        <v>-590.22199999999998</v>
      </c>
      <c r="G23" s="57">
        <v>-1555</v>
      </c>
      <c r="H23" s="57">
        <f>7496</f>
        <v>7496</v>
      </c>
      <c r="I23" s="57">
        <v>13371</v>
      </c>
      <c r="J23" s="57">
        <v>17327</v>
      </c>
      <c r="K23" s="13"/>
      <c r="L23" s="50"/>
      <c r="M23" s="57">
        <v>390.49799999999999</v>
      </c>
      <c r="N23" s="57">
        <v>8485.5519999999997</v>
      </c>
      <c r="O23" s="57">
        <v>4462.6239999999998</v>
      </c>
      <c r="P23" s="13">
        <f>E23-SUM(M23:O23)</f>
        <v>19217.764999999999</v>
      </c>
      <c r="Q23" s="57">
        <v>2037.7349999999999</v>
      </c>
      <c r="R23" s="57">
        <v>455.93599999999998</v>
      </c>
      <c r="S23" s="57">
        <v>-3061.8989999999999</v>
      </c>
      <c r="T23" s="13">
        <f>F23-SUM(Q23:S23)</f>
        <v>-21.993999999999915</v>
      </c>
      <c r="U23" s="57">
        <v>-3898</v>
      </c>
      <c r="V23" s="57">
        <v>3586</v>
      </c>
      <c r="W23" s="57">
        <v>-816</v>
      </c>
      <c r="X23" s="13">
        <f>G23-SUM(U23:W23)</f>
        <v>-427</v>
      </c>
      <c r="Y23" s="57">
        <v>2792</v>
      </c>
      <c r="Z23" s="57">
        <v>1211</v>
      </c>
      <c r="AA23" s="57">
        <v>1782</v>
      </c>
      <c r="AB23" s="13">
        <f>H23-SUM(Y23:AA23)</f>
        <v>1711</v>
      </c>
      <c r="AC23" s="57">
        <v>2696</v>
      </c>
      <c r="AD23" s="57">
        <v>4661</v>
      </c>
      <c r="AE23" s="57">
        <v>2521</v>
      </c>
      <c r="AF23" s="13">
        <f t="shared" si="31"/>
        <v>3493</v>
      </c>
      <c r="AG23" s="57">
        <v>2079</v>
      </c>
      <c r="AH23" s="57">
        <v>6129</v>
      </c>
      <c r="AI23" s="57">
        <v>5674</v>
      </c>
      <c r="AJ23" s="13">
        <f t="shared" si="32"/>
        <v>3445</v>
      </c>
      <c r="AK23" s="57">
        <v>2333</v>
      </c>
      <c r="AL23" s="57"/>
    </row>
    <row r="24" spans="2:38" s="26" customFormat="1">
      <c r="B24" s="26" t="s">
        <v>180</v>
      </c>
      <c r="C24" s="50">
        <f>C19+SUM(C20:C23)</f>
        <v>-2373.6779999999649</v>
      </c>
      <c r="D24" s="50">
        <f t="shared" ref="D24:E24" si="33">D19+SUM(D20:D23)</f>
        <v>13692.532000000063</v>
      </c>
      <c r="E24" s="50">
        <f t="shared" si="33"/>
        <v>50818.891000000076</v>
      </c>
      <c r="F24" s="50">
        <f t="shared" ref="F24:G24" si="34">F19+SUM(F20:F23)</f>
        <v>-2580.7500000000755</v>
      </c>
      <c r="G24" s="50">
        <f t="shared" si="34"/>
        <v>13867</v>
      </c>
      <c r="H24" s="50">
        <f t="shared" ref="H24:I24" si="35">H19+SUM(H20:H23)</f>
        <v>31650</v>
      </c>
      <c r="I24" s="50">
        <f t="shared" si="35"/>
        <v>51538</v>
      </c>
      <c r="J24" s="50">
        <f t="shared" ref="J24" si="36">J19+SUM(J20:J23)</f>
        <v>25323</v>
      </c>
      <c r="K24" s="50"/>
      <c r="L24" s="50"/>
      <c r="M24" s="50">
        <f t="shared" ref="M24" si="37">M19+SUM(M20:M23)</f>
        <v>1383.6270000000115</v>
      </c>
      <c r="N24" s="50">
        <f t="shared" ref="N24" si="38">N19+SUM(N20:N23)</f>
        <v>17209.572999999993</v>
      </c>
      <c r="O24" s="50">
        <f t="shared" ref="O24" si="39">O19+SUM(O20:O23)</f>
        <v>8275.8580000000093</v>
      </c>
      <c r="P24" s="50">
        <f t="shared" ref="P24:S24" si="40">P19+SUM(P20:P23)</f>
        <v>23949.833000000057</v>
      </c>
      <c r="Q24" s="50">
        <f t="shared" si="40"/>
        <v>4121.9869999999992</v>
      </c>
      <c r="R24" s="50">
        <f t="shared" si="40"/>
        <v>1047.148000000012</v>
      </c>
      <c r="S24" s="50">
        <f t="shared" si="40"/>
        <v>-2616.3880000000054</v>
      </c>
      <c r="T24" s="50">
        <f t="shared" ref="T24:V24" si="41">T19+SUM(T20:T23)</f>
        <v>-5133.4970000000512</v>
      </c>
      <c r="U24" s="50">
        <f t="shared" si="41"/>
        <v>-2915</v>
      </c>
      <c r="V24" s="50">
        <f t="shared" si="41"/>
        <v>5256</v>
      </c>
      <c r="W24" s="50">
        <f>W19+SUM(W20:W23)</f>
        <v>7710</v>
      </c>
      <c r="X24" s="50">
        <f t="shared" ref="X24:Z24" si="42">X19+SUM(X20:X23)</f>
        <v>3816</v>
      </c>
      <c r="Y24" s="50">
        <f t="shared" si="42"/>
        <v>7808</v>
      </c>
      <c r="Z24" s="50">
        <f t="shared" si="42"/>
        <v>9734</v>
      </c>
      <c r="AA24" s="50">
        <f>AA19+SUM(AA20:AA23)</f>
        <v>10802</v>
      </c>
      <c r="AB24" s="50">
        <f t="shared" ref="AB24:AD24" si="43">AB19+SUM(AB20:AB23)</f>
        <v>3306</v>
      </c>
      <c r="AC24" s="50">
        <f t="shared" si="43"/>
        <v>9065</v>
      </c>
      <c r="AD24" s="50">
        <f t="shared" si="43"/>
        <v>15616</v>
      </c>
      <c r="AE24" s="50">
        <f>AE19+SUM(AE20:AE23)</f>
        <v>15243</v>
      </c>
      <c r="AF24" s="50">
        <f t="shared" ref="AF24:AH24" si="44">AF19+SUM(AF20:AF23)</f>
        <v>11614</v>
      </c>
      <c r="AG24" s="50">
        <f t="shared" si="44"/>
        <v>13342</v>
      </c>
      <c r="AH24" s="50">
        <f t="shared" si="44"/>
        <v>6699</v>
      </c>
      <c r="AI24" s="50">
        <f>AI19+SUM(AI20:AI23)</f>
        <v>6633</v>
      </c>
      <c r="AJ24" s="50">
        <f t="shared" ref="AJ24:AL24" si="45">AJ19+SUM(AJ20:AJ23)</f>
        <v>-1351</v>
      </c>
      <c r="AK24" s="50">
        <f t="shared" si="45"/>
        <v>7090</v>
      </c>
      <c r="AL24" s="50"/>
    </row>
    <row r="25" spans="2:38">
      <c r="B25" s="21" t="s">
        <v>181</v>
      </c>
      <c r="C25" s="57">
        <v>-426.87200000000001</v>
      </c>
      <c r="D25" s="57">
        <v>-1802.44</v>
      </c>
      <c r="E25" s="57">
        <v>-1481.645</v>
      </c>
      <c r="F25" s="57">
        <v>-1886.5350000000001</v>
      </c>
      <c r="G25" s="57">
        <v>-4176</v>
      </c>
      <c r="H25" s="57">
        <v>-8393</v>
      </c>
      <c r="I25" s="57">
        <v>-6878</v>
      </c>
      <c r="J25" s="57">
        <v>-2181</v>
      </c>
      <c r="K25" s="13"/>
      <c r="L25" s="50"/>
      <c r="M25" s="57">
        <v>-326.44400000000002</v>
      </c>
      <c r="N25" s="57">
        <v>-796.55</v>
      </c>
      <c r="O25" s="57">
        <v>-690.37300000000005</v>
      </c>
      <c r="P25" s="13">
        <f>E25-SUM(M25:O25)</f>
        <v>331.72199999999998</v>
      </c>
      <c r="Q25" s="57">
        <v>-479.48899999999998</v>
      </c>
      <c r="R25" s="57">
        <v>-569.62400000000002</v>
      </c>
      <c r="S25" s="57">
        <v>-652.19899999999996</v>
      </c>
      <c r="T25" s="13">
        <f>F25-SUM(Q25:S25)</f>
        <v>-185.22300000000018</v>
      </c>
      <c r="U25" s="57">
        <v>-603</v>
      </c>
      <c r="V25" s="57">
        <v>-1227</v>
      </c>
      <c r="W25" s="57">
        <v>-1751</v>
      </c>
      <c r="X25" s="13">
        <f>G25-SUM(U25:W25)</f>
        <v>-595</v>
      </c>
      <c r="Y25" s="57">
        <v>-1609</v>
      </c>
      <c r="Z25" s="57">
        <v>-2811</v>
      </c>
      <c r="AA25" s="57">
        <v>-2579</v>
      </c>
      <c r="AB25" s="13">
        <f>H25-SUM(Y25:AA25)</f>
        <v>-1394</v>
      </c>
      <c r="AC25" s="57">
        <v>-1700</v>
      </c>
      <c r="AD25" s="57">
        <v>-2022</v>
      </c>
      <c r="AE25" s="57">
        <v>-2406</v>
      </c>
      <c r="AF25" s="13">
        <f>I25-SUM(AC25:AE25)</f>
        <v>-750</v>
      </c>
      <c r="AG25" s="57">
        <v>-2063</v>
      </c>
      <c r="AH25" s="57">
        <v>10</v>
      </c>
      <c r="AI25" s="57">
        <v>-252</v>
      </c>
      <c r="AJ25" s="13">
        <f>J25-SUM(AG25:AI25)</f>
        <v>124</v>
      </c>
      <c r="AK25" s="57">
        <v>-1260</v>
      </c>
      <c r="AL25" s="57"/>
    </row>
    <row r="26" spans="2:38" s="26" customFormat="1">
      <c r="B26" s="26" t="s">
        <v>182</v>
      </c>
      <c r="C26" s="50">
        <f t="shared" ref="C26:E26" si="46">+C24+C25</f>
        <v>-2800.5499999999647</v>
      </c>
      <c r="D26" s="50">
        <f t="shared" si="46"/>
        <v>11890.092000000062</v>
      </c>
      <c r="E26" s="50">
        <f t="shared" si="46"/>
        <v>49337.246000000079</v>
      </c>
      <c r="F26" s="50">
        <f t="shared" ref="F26:G26" si="47">+F24+F25</f>
        <v>-4467.2850000000753</v>
      </c>
      <c r="G26" s="50">
        <f t="shared" si="47"/>
        <v>9691</v>
      </c>
      <c r="H26" s="50">
        <f t="shared" ref="H26:I26" si="48">+H24+H25</f>
        <v>23257</v>
      </c>
      <c r="I26" s="50">
        <f t="shared" si="48"/>
        <v>44660</v>
      </c>
      <c r="J26" s="50">
        <f t="shared" ref="J26" si="49">+J24+J25</f>
        <v>23142</v>
      </c>
      <c r="K26" s="50"/>
      <c r="L26" s="50"/>
      <c r="M26" s="50">
        <f t="shared" ref="M26:P26" si="50">+M24+M25</f>
        <v>1057.1830000000116</v>
      </c>
      <c r="N26" s="50">
        <f t="shared" si="50"/>
        <v>16413.022999999994</v>
      </c>
      <c r="O26" s="50">
        <f t="shared" si="50"/>
        <v>7585.4850000000097</v>
      </c>
      <c r="P26" s="50">
        <f t="shared" si="50"/>
        <v>24281.555000000058</v>
      </c>
      <c r="Q26" s="50">
        <f t="shared" ref="Q26:T26" si="51">+Q24+Q25</f>
        <v>3642.4979999999991</v>
      </c>
      <c r="R26" s="50">
        <f t="shared" si="51"/>
        <v>477.52400000001194</v>
      </c>
      <c r="S26" s="50">
        <f t="shared" si="51"/>
        <v>-3268.5870000000054</v>
      </c>
      <c r="T26" s="50">
        <f t="shared" si="51"/>
        <v>-5318.7200000000512</v>
      </c>
      <c r="U26" s="50">
        <f t="shared" ref="U26:X26" si="52">+U24+U25</f>
        <v>-3518</v>
      </c>
      <c r="V26" s="50">
        <f t="shared" si="52"/>
        <v>4029</v>
      </c>
      <c r="W26" s="50">
        <f t="shared" si="52"/>
        <v>5959</v>
      </c>
      <c r="X26" s="50">
        <f t="shared" si="52"/>
        <v>3221</v>
      </c>
      <c r="Y26" s="50">
        <f t="shared" ref="Y26:AB26" si="53">+Y24+Y25</f>
        <v>6199</v>
      </c>
      <c r="Z26" s="50">
        <f t="shared" si="53"/>
        <v>6923</v>
      </c>
      <c r="AA26" s="50">
        <f t="shared" si="53"/>
        <v>8223</v>
      </c>
      <c r="AB26" s="50">
        <f t="shared" si="53"/>
        <v>1912</v>
      </c>
      <c r="AC26" s="50">
        <f t="shared" ref="AC26:AF26" si="54">+AC24+AC25</f>
        <v>7365</v>
      </c>
      <c r="AD26" s="50">
        <f t="shared" si="54"/>
        <v>13594</v>
      </c>
      <c r="AE26" s="50">
        <f t="shared" si="54"/>
        <v>12837</v>
      </c>
      <c r="AF26" s="50">
        <f t="shared" si="54"/>
        <v>10864</v>
      </c>
      <c r="AG26" s="50">
        <f t="shared" ref="AG26:AJ26" si="55">+AG24+AG25</f>
        <v>11279</v>
      </c>
      <c r="AH26" s="50">
        <f t="shared" si="55"/>
        <v>6709</v>
      </c>
      <c r="AI26" s="50">
        <f t="shared" si="55"/>
        <v>6381</v>
      </c>
      <c r="AJ26" s="50">
        <f t="shared" si="55"/>
        <v>-1227</v>
      </c>
      <c r="AK26" s="50">
        <f t="shared" ref="AK26:AL26" si="56">+AK24+AK25</f>
        <v>5830</v>
      </c>
      <c r="AL26" s="50"/>
    </row>
    <row r="27" spans="2:38" s="37" customFormat="1">
      <c r="B27" s="42" t="s">
        <v>183</v>
      </c>
      <c r="C27" s="73">
        <f>+C26/C7</f>
        <v>-6.0615372945553277E-3</v>
      </c>
      <c r="D27" s="73">
        <f>+D26/D7</f>
        <v>2.0610728641274213E-2</v>
      </c>
      <c r="E27" s="73">
        <f>+E26/E7</f>
        <v>6.6153286718827198E-2</v>
      </c>
      <c r="F27" s="73">
        <f>+F26/F7</f>
        <v>-4.6945374457134032E-3</v>
      </c>
      <c r="G27" s="73">
        <f>+G26/G7</f>
        <v>9.2627284857336196E-3</v>
      </c>
      <c r="H27" s="73">
        <f t="shared" ref="H27:I27" si="57">+H26/H7</f>
        <v>2.1441702576470826E-2</v>
      </c>
      <c r="I27" s="73">
        <f t="shared" si="57"/>
        <v>3.8539236930012363E-2</v>
      </c>
      <c r="J27" s="73">
        <f t="shared" ref="J27" si="58">+J26/J7</f>
        <v>1.767799646317848E-2</v>
      </c>
      <c r="K27" s="73"/>
      <c r="L27" s="50"/>
      <c r="M27" s="73">
        <f t="shared" ref="M27:P27" si="59">+M26/M7</f>
        <v>7.230816242668971E-3</v>
      </c>
      <c r="N27" s="73">
        <f t="shared" si="59"/>
        <v>8.1634875531833309E-2</v>
      </c>
      <c r="O27" s="73">
        <f t="shared" si="59"/>
        <v>4.3541074752553317E-2</v>
      </c>
      <c r="P27" s="73">
        <f t="shared" si="59"/>
        <v>0.10824122812404023</v>
      </c>
      <c r="Q27" s="73">
        <f t="shared" ref="Q27:T27" si="60">+Q26/Q7</f>
        <v>1.7927781677978184E-2</v>
      </c>
      <c r="R27" s="73">
        <f t="shared" si="60"/>
        <v>1.8814937576751216E-3</v>
      </c>
      <c r="S27" s="73">
        <f t="shared" si="60"/>
        <v>-1.4944956973249305E-2</v>
      </c>
      <c r="T27" s="73">
        <f t="shared" si="60"/>
        <v>-1.9277209253401321E-2</v>
      </c>
      <c r="U27" s="73">
        <f t="shared" ref="U27:X27" si="61">+U26/U7</f>
        <v>-1.4679435021176274E-2</v>
      </c>
      <c r="V27" s="73">
        <f t="shared" si="61"/>
        <v>1.5056053811659193E-2</v>
      </c>
      <c r="W27" s="73">
        <f t="shared" si="61"/>
        <v>2.4468762190239596E-2</v>
      </c>
      <c r="X27" s="73">
        <f t="shared" si="61"/>
        <v>1.0902161477901207E-2</v>
      </c>
      <c r="Y27" s="73">
        <f t="shared" ref="Y27:AB27" si="62">+Y26/Y7</f>
        <v>2.5514908049194093E-2</v>
      </c>
      <c r="Z27" s="73">
        <f t="shared" si="62"/>
        <v>2.4043954975323949E-2</v>
      </c>
      <c r="AA27" s="73">
        <f t="shared" si="62"/>
        <v>3.3197684276820967E-2</v>
      </c>
      <c r="AB27" s="73">
        <f t="shared" si="62"/>
        <v>6.2467941073651402E-3</v>
      </c>
      <c r="AC27" s="73">
        <f t="shared" ref="AC27:AF27" si="63">+AC26/AC7</f>
        <v>2.8321585547339156E-2</v>
      </c>
      <c r="AD27" s="73">
        <f t="shared" si="63"/>
        <v>4.665113230403882E-2</v>
      </c>
      <c r="AE27" s="73">
        <f t="shared" si="63"/>
        <v>4.9299696221393539E-2</v>
      </c>
      <c r="AF27" s="73">
        <f t="shared" si="63"/>
        <v>3.1309620561060097E-2</v>
      </c>
      <c r="AG27" s="73">
        <f t="shared" ref="AG27:AJ27" si="64">+AG26/AG7</f>
        <v>3.7461555323798836E-2</v>
      </c>
      <c r="AH27" s="73">
        <f t="shared" si="64"/>
        <v>1.8810631974429427E-2</v>
      </c>
      <c r="AI27" s="73">
        <f t="shared" si="64"/>
        <v>2.1336926827147822E-2</v>
      </c>
      <c r="AJ27" s="73">
        <f t="shared" si="64"/>
        <v>-3.482985318663351E-3</v>
      </c>
      <c r="AK27" s="73">
        <f t="shared" ref="AK27:AL27" si="65">+AK26/AK7</f>
        <v>1.8467249931896076E-2</v>
      </c>
      <c r="AL27" s="73"/>
    </row>
    <row r="28" spans="2:38">
      <c r="B28" s="21" t="s">
        <v>184</v>
      </c>
      <c r="C28" s="57">
        <f>311.409-2.492</f>
        <v>308.91699999999997</v>
      </c>
      <c r="D28" s="57">
        <f>297.163-3.1</f>
        <v>294.06299999999999</v>
      </c>
      <c r="E28" s="57">
        <f>74.618-6.641</f>
        <v>67.97699999999999</v>
      </c>
      <c r="F28" s="57">
        <f>923.696-15.965</f>
        <v>907.73099999999999</v>
      </c>
      <c r="G28" s="57">
        <f>697-8</f>
        <v>689</v>
      </c>
      <c r="H28" s="57">
        <v>910</v>
      </c>
      <c r="I28" s="57">
        <v>-3301</v>
      </c>
      <c r="J28" s="57">
        <v>3511</v>
      </c>
      <c r="K28" s="13"/>
      <c r="L28" s="50"/>
      <c r="M28" s="57">
        <f>16.42-0.782</f>
        <v>15.638000000000002</v>
      </c>
      <c r="N28" s="57">
        <f>34.384-0.794</f>
        <v>33.590000000000003</v>
      </c>
      <c r="O28" s="57">
        <f>-23.127-2.02</f>
        <v>-25.146999999999998</v>
      </c>
      <c r="P28" s="13">
        <f>E28-SUM(M28:O28)</f>
        <v>43.895999999999979</v>
      </c>
      <c r="Q28" s="57">
        <f>-22.248-2.965</f>
        <v>-25.213000000000001</v>
      </c>
      <c r="R28" s="57">
        <f>320.368-3.625</f>
        <v>316.74299999999999</v>
      </c>
      <c r="S28" s="57">
        <f>466.736-4.687</f>
        <v>462.04899999999998</v>
      </c>
      <c r="T28" s="13">
        <f>F28-SUM(Q28:S28)</f>
        <v>154.15200000000004</v>
      </c>
      <c r="U28" s="57">
        <f>532-5</f>
        <v>527</v>
      </c>
      <c r="V28" s="57">
        <f>350-3</f>
        <v>347</v>
      </c>
      <c r="W28" s="57">
        <v>4</v>
      </c>
      <c r="X28" s="13">
        <f>G28-SUM(U28:W28)</f>
        <v>-189</v>
      </c>
      <c r="Y28" s="57">
        <v>62</v>
      </c>
      <c r="Z28" s="57">
        <v>-342</v>
      </c>
      <c r="AA28" s="57">
        <v>-287</v>
      </c>
      <c r="AB28" s="13">
        <f>H28-SUM(Y28:AA28)</f>
        <v>1477</v>
      </c>
      <c r="AC28" s="57">
        <v>-235</v>
      </c>
      <c r="AD28" s="57">
        <v>-950</v>
      </c>
      <c r="AE28" s="57">
        <v>-1106</v>
      </c>
      <c r="AF28" s="13">
        <f>I28-SUM(AC28:AE28)</f>
        <v>-1010</v>
      </c>
      <c r="AG28" s="57">
        <v>-389</v>
      </c>
      <c r="AH28" s="57">
        <v>-531</v>
      </c>
      <c r="AI28" s="57">
        <v>-1105</v>
      </c>
      <c r="AJ28" s="13">
        <f>J28-SUM(AG28:AI28)</f>
        <v>5536</v>
      </c>
      <c r="AK28" s="57">
        <v>-728</v>
      </c>
      <c r="AL28" s="57"/>
    </row>
    <row r="29" spans="2:38" s="26" customFormat="1">
      <c r="B29" s="26" t="s">
        <v>182</v>
      </c>
      <c r="C29" s="50">
        <f t="shared" ref="C29:P29" si="66">+C26+C28</f>
        <v>-2491.6329999999648</v>
      </c>
      <c r="D29" s="50">
        <f t="shared" si="66"/>
        <v>12184.155000000063</v>
      </c>
      <c r="E29" s="50">
        <f t="shared" si="66"/>
        <v>49405.223000000078</v>
      </c>
      <c r="F29" s="50">
        <f t="shared" ref="F29:G29" si="67">+F26+F28</f>
        <v>-3559.5540000000756</v>
      </c>
      <c r="G29" s="50">
        <f t="shared" si="67"/>
        <v>10380</v>
      </c>
      <c r="H29" s="50">
        <f t="shared" ref="H29:I29" si="68">+H26+H28</f>
        <v>24167</v>
      </c>
      <c r="I29" s="50">
        <f t="shared" si="68"/>
        <v>41359</v>
      </c>
      <c r="J29" s="50">
        <f t="shared" ref="J29" si="69">+J26+J28</f>
        <v>26653</v>
      </c>
      <c r="K29" s="50"/>
      <c r="L29" s="50"/>
      <c r="M29" s="50">
        <f t="shared" si="66"/>
        <v>1072.8210000000115</v>
      </c>
      <c r="N29" s="50">
        <f t="shared" si="66"/>
        <v>16446.612999999994</v>
      </c>
      <c r="O29" s="50">
        <f t="shared" si="66"/>
        <v>7560.3380000000097</v>
      </c>
      <c r="P29" s="50">
        <f t="shared" si="66"/>
        <v>24325.451000000059</v>
      </c>
      <c r="Q29" s="50">
        <f t="shared" ref="Q29:T29" si="70">+Q26+Q28</f>
        <v>3617.2849999999989</v>
      </c>
      <c r="R29" s="50">
        <f t="shared" si="70"/>
        <v>794.26700000001188</v>
      </c>
      <c r="S29" s="50">
        <f t="shared" si="70"/>
        <v>-2806.5380000000055</v>
      </c>
      <c r="T29" s="50">
        <f t="shared" si="70"/>
        <v>-5164.5680000000511</v>
      </c>
      <c r="U29" s="50">
        <f t="shared" ref="U29:X29" si="71">+U26+U28</f>
        <v>-2991</v>
      </c>
      <c r="V29" s="50">
        <f t="shared" si="71"/>
        <v>4376</v>
      </c>
      <c r="W29" s="50">
        <f t="shared" si="71"/>
        <v>5963</v>
      </c>
      <c r="X29" s="50">
        <f t="shared" si="71"/>
        <v>3032</v>
      </c>
      <c r="Y29" s="50">
        <f t="shared" ref="Y29:AB29" si="72">+Y26+Y28</f>
        <v>6261</v>
      </c>
      <c r="Z29" s="50">
        <f t="shared" si="72"/>
        <v>6581</v>
      </c>
      <c r="AA29" s="50">
        <f t="shared" si="72"/>
        <v>7936</v>
      </c>
      <c r="AB29" s="50">
        <f t="shared" si="72"/>
        <v>3389</v>
      </c>
      <c r="AC29" s="50">
        <f t="shared" ref="AC29:AF29" si="73">+AC26+AC28</f>
        <v>7130</v>
      </c>
      <c r="AD29" s="50">
        <f t="shared" si="73"/>
        <v>12644</v>
      </c>
      <c r="AE29" s="50">
        <f t="shared" si="73"/>
        <v>11731</v>
      </c>
      <c r="AF29" s="50">
        <f t="shared" si="73"/>
        <v>9854</v>
      </c>
      <c r="AG29" s="50">
        <f t="shared" ref="AG29:AJ29" si="74">+AG26+AG28</f>
        <v>10890</v>
      </c>
      <c r="AH29" s="50">
        <f t="shared" si="74"/>
        <v>6178</v>
      </c>
      <c r="AI29" s="50">
        <f t="shared" si="74"/>
        <v>5276</v>
      </c>
      <c r="AJ29" s="50">
        <f t="shared" si="74"/>
        <v>4309</v>
      </c>
      <c r="AK29" s="50">
        <f t="shared" ref="AK29:AL29" si="75">+AK26+AK28</f>
        <v>5102</v>
      </c>
      <c r="AL29" s="50"/>
    </row>
    <row r="30" spans="2:38" s="26" customFormat="1">
      <c r="B30" s="60"/>
      <c r="C30" s="72"/>
      <c r="D30" s="72"/>
      <c r="E30" s="72"/>
      <c r="F30" s="72"/>
      <c r="G30" s="72"/>
      <c r="H30" s="72"/>
      <c r="I30" s="72"/>
      <c r="J30" s="72"/>
      <c r="K30" s="72"/>
      <c r="L30" s="50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spans="2:38" s="26" customFormat="1">
      <c r="B31" s="216" t="s">
        <v>185</v>
      </c>
      <c r="C31" s="217"/>
      <c r="D31" s="217"/>
      <c r="E31" s="217"/>
      <c r="F31" s="217"/>
      <c r="G31" s="217"/>
      <c r="H31" s="217"/>
      <c r="I31" s="217"/>
      <c r="J31" s="217"/>
      <c r="K31" s="218"/>
      <c r="L31" s="50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</row>
    <row r="32" spans="2:38" s="37" customFormat="1">
      <c r="B32" s="213" t="str">
        <f>B13</f>
        <v>Fulfillment</v>
      </c>
      <c r="C32" s="71">
        <f>-C13/C7</f>
        <v>6.9282010945337077E-2</v>
      </c>
      <c r="D32" s="71">
        <f>-D13/D7</f>
        <v>6.4081780145224726E-2</v>
      </c>
      <c r="E32" s="71">
        <f>-E13/E7</f>
        <v>6.5299125564292279E-2</v>
      </c>
      <c r="F32" s="71">
        <f>-F13/F7</f>
        <v>6.2059367294867378E-2</v>
      </c>
      <c r="G32" s="71">
        <f>-G13/G7</f>
        <v>6.0226373399500689E-2</v>
      </c>
      <c r="H32" s="71">
        <f t="shared" ref="H32:I32" si="76">-H13/H7</f>
        <v>5.9519002232953679E-2</v>
      </c>
      <c r="I32" s="71">
        <f t="shared" si="76"/>
        <v>6.0773943126579737E-2</v>
      </c>
      <c r="J32" s="71">
        <f t="shared" ref="J32" si="77">-J13/J7</f>
        <v>6.7356970708548333E-2</v>
      </c>
      <c r="K32" s="71"/>
      <c r="L32" s="50"/>
      <c r="M32" s="71">
        <f t="shared" ref="M32:P32" si="78">-M13/M7</f>
        <v>7.1131460165690816E-2</v>
      </c>
      <c r="N32" s="71">
        <f t="shared" si="78"/>
        <v>5.9468344578252688E-2</v>
      </c>
      <c r="O32" s="71">
        <f t="shared" si="78"/>
        <v>6.6539033176946774E-2</v>
      </c>
      <c r="P32" s="71">
        <f t="shared" si="78"/>
        <v>6.5760835950351412E-2</v>
      </c>
      <c r="Q32" s="71">
        <f t="shared" ref="Q32:T32" si="79">-Q13/Q7</f>
        <v>6.7938090711809812E-2</v>
      </c>
      <c r="R32" s="71">
        <f t="shared" si="79"/>
        <v>5.7719806429042467E-2</v>
      </c>
      <c r="S32" s="71">
        <f t="shared" si="79"/>
        <v>6.5272544362479271E-2</v>
      </c>
      <c r="T32" s="71">
        <f t="shared" si="79"/>
        <v>5.9175126798178705E-2</v>
      </c>
      <c r="U32" s="71">
        <f t="shared" ref="U32:X32" si="80">-U13/U7</f>
        <v>6.461788821430807E-2</v>
      </c>
      <c r="V32" s="71">
        <f t="shared" si="80"/>
        <v>6.0941704035874442E-2</v>
      </c>
      <c r="W32" s="71">
        <f t="shared" si="80"/>
        <v>5.8940193401359149E-2</v>
      </c>
      <c r="X32" s="71">
        <f t="shared" si="80"/>
        <v>5.7076420056457015E-2</v>
      </c>
      <c r="Y32" s="71">
        <f t="shared" ref="Y32:AB32" si="81">-Y13/Y7</f>
        <v>6.3266599713528382E-2</v>
      </c>
      <c r="Z32" s="71">
        <f t="shared" si="81"/>
        <v>5.7927072805637463E-2</v>
      </c>
      <c r="AA32" s="71">
        <f t="shared" si="81"/>
        <v>6.1465978732165784E-2</v>
      </c>
      <c r="AB32" s="71">
        <f t="shared" si="81"/>
        <v>5.6466183346020771E-2</v>
      </c>
      <c r="AC32" s="71">
        <f t="shared" ref="AC32:AF32" si="82">-AC13/AC7</f>
        <v>6.462628196993643E-2</v>
      </c>
      <c r="AD32" s="71">
        <f t="shared" si="82"/>
        <v>5.9098068957470391E-2</v>
      </c>
      <c r="AE32" s="71">
        <f t="shared" si="82"/>
        <v>6.2514641667978821E-2</v>
      </c>
      <c r="AF32" s="71">
        <f t="shared" si="82"/>
        <v>5.7987930348774877E-2</v>
      </c>
      <c r="AG32" s="71">
        <f t="shared" ref="AG32:AJ32" si="83">-AG13/AG7</f>
        <v>6.5553570123753666E-2</v>
      </c>
      <c r="AH32" s="71">
        <f t="shared" si="83"/>
        <v>6.2089945606459931E-2</v>
      </c>
      <c r="AI32" s="71">
        <f t="shared" si="83"/>
        <v>7.3570766972403445E-2</v>
      </c>
      <c r="AJ32" s="71">
        <f t="shared" si="83"/>
        <v>6.8955728900546145E-2</v>
      </c>
      <c r="AK32" s="71">
        <f t="shared" ref="AK32:AL32" si="84">-AK13/AK7</f>
        <v>7.4100236304776149E-2</v>
      </c>
      <c r="AL32" s="71"/>
    </row>
    <row r="33" spans="2:38" s="37" customFormat="1">
      <c r="B33" s="213" t="str">
        <f>B14</f>
        <v>Marketing</v>
      </c>
      <c r="C33" s="71">
        <f>-C14/C7</f>
        <v>4.163618465503767E-2</v>
      </c>
      <c r="D33" s="71">
        <f>-D14/D7</f>
        <v>3.8541322312129908E-2</v>
      </c>
      <c r="E33" s="71">
        <f>-E14/E7</f>
        <v>3.6411777054690904E-2</v>
      </c>
      <c r="F33" s="71">
        <f>-F14/F7</f>
        <v>4.0713912821941999E-2</v>
      </c>
      <c r="G33" s="71">
        <f>-G14/G7</f>
        <v>3.6102753107329515E-2</v>
      </c>
      <c r="H33" s="71">
        <f t="shared" ref="H33:I33" si="85">-H14/H7</f>
        <v>3.7000466504772914E-2</v>
      </c>
      <c r="I33" s="71">
        <f t="shared" si="85"/>
        <v>4.1380923164014399E-2</v>
      </c>
      <c r="J33" s="71">
        <f t="shared" ref="J33" si="86">-J14/J7</f>
        <v>6.4131053369338123E-2</v>
      </c>
      <c r="K33" s="71"/>
      <c r="L33" s="50"/>
      <c r="M33" s="71">
        <f t="shared" ref="M33:P33" si="87">-M14/M7</f>
        <v>3.0561948035654461E-2</v>
      </c>
      <c r="N33" s="71">
        <f t="shared" si="87"/>
        <v>3.3841241841534975E-2</v>
      </c>
      <c r="O33" s="71">
        <f t="shared" si="87"/>
        <v>3.1343597280189088E-2</v>
      </c>
      <c r="P33" s="71">
        <f t="shared" si="87"/>
        <v>4.6464203300740373E-2</v>
      </c>
      <c r="Q33" s="71">
        <f t="shared" ref="Q33:T33" si="88">-Q14/Q7</f>
        <v>3.4446741635334212E-2</v>
      </c>
      <c r="R33" s="71">
        <f t="shared" si="88"/>
        <v>4.1814028161571176E-2</v>
      </c>
      <c r="S33" s="71">
        <f t="shared" si="88"/>
        <v>3.5522949699069113E-2</v>
      </c>
      <c r="T33" s="71">
        <f t="shared" si="88"/>
        <v>4.8431860721902184E-2</v>
      </c>
      <c r="U33" s="71">
        <f t="shared" ref="U33:X33" si="89">-U14/U7</f>
        <v>3.6323047714422817E-2</v>
      </c>
      <c r="V33" s="71">
        <f t="shared" si="89"/>
        <v>3.5414798206278027E-2</v>
      </c>
      <c r="W33" s="71">
        <f t="shared" si="89"/>
        <v>3.1227544295481142E-2</v>
      </c>
      <c r="X33" s="71">
        <f t="shared" si="89"/>
        <v>4.0565788672041594E-2</v>
      </c>
      <c r="Y33" s="71">
        <f t="shared" ref="Y33:AB33" si="90">-Y14/Y7</f>
        <v>3.294835278815917E-2</v>
      </c>
      <c r="Z33" s="71">
        <f t="shared" si="90"/>
        <v>3.8422399811065842E-2</v>
      </c>
      <c r="AA33" s="71">
        <f t="shared" si="90"/>
        <v>3.2115721564162814E-2</v>
      </c>
      <c r="AB33" s="71">
        <f t="shared" si="90"/>
        <v>4.2832359177592566E-2</v>
      </c>
      <c r="AC33" s="71">
        <f t="shared" ref="AC33:AF33" si="91">-AC14/AC7</f>
        <v>3.5585601175163142E-2</v>
      </c>
      <c r="AD33" s="71">
        <f t="shared" si="91"/>
        <v>4.0724509861117308E-2</v>
      </c>
      <c r="AE33" s="71">
        <f t="shared" si="91"/>
        <v>3.8404375026403009E-2</v>
      </c>
      <c r="AF33" s="71">
        <f t="shared" si="91"/>
        <v>4.8509161752923746E-2</v>
      </c>
      <c r="AG33" s="71">
        <f t="shared" ref="AG33:AJ33" si="92">-AG14/AG7</f>
        <v>3.5017038547638185E-2</v>
      </c>
      <c r="AH33" s="71">
        <f t="shared" si="92"/>
        <v>7.5738798856053391E-2</v>
      </c>
      <c r="AI33" s="71">
        <f t="shared" si="92"/>
        <v>7.038744863053778E-2</v>
      </c>
      <c r="AJ33" s="71">
        <f t="shared" si="92"/>
        <v>7.1950471778451472E-2</v>
      </c>
      <c r="AK33" s="71">
        <f t="shared" ref="AK33:AL33" si="93">-AK14/AK7</f>
        <v>4.8692721432779841E-2</v>
      </c>
      <c r="AL33" s="71"/>
    </row>
    <row r="34" spans="2:38" s="37" customFormat="1">
      <c r="B34" s="213" t="str">
        <f>B15</f>
        <v>Research and development</v>
      </c>
      <c r="C34" s="71">
        <f>-C15/C7</f>
        <v>2.6285419104770363E-2</v>
      </c>
      <c r="D34" s="71">
        <f>-D15/D7</f>
        <v>2.5340559580315697E-2</v>
      </c>
      <c r="E34" s="71">
        <f>-E15/E7</f>
        <v>2.1653133765338853E-2</v>
      </c>
      <c r="F34" s="71">
        <f>-F15/F7</f>
        <v>1.7162852731969876E-2</v>
      </c>
      <c r="G34" s="71">
        <f>-G15/G7</f>
        <v>1.614645261680921E-2</v>
      </c>
      <c r="H34" s="71">
        <f t="shared" ref="H34:I34" si="94">-H15/H7</f>
        <v>1.5113463917791902E-2</v>
      </c>
      <c r="I34" s="71">
        <f t="shared" si="94"/>
        <v>1.4696859475034496E-2</v>
      </c>
      <c r="J34" s="71">
        <f t="shared" ref="J34" si="95">-J15/J7</f>
        <v>1.6980562759484678E-2</v>
      </c>
      <c r="K34" s="71"/>
      <c r="L34" s="50"/>
      <c r="M34" s="71">
        <f t="shared" ref="M34:P34" si="96">-M15/M7</f>
        <v>2.6915313256725346E-2</v>
      </c>
      <c r="N34" s="71">
        <f t="shared" si="96"/>
        <v>1.7923537758188397E-2</v>
      </c>
      <c r="O34" s="71">
        <f t="shared" si="96"/>
        <v>2.3572893465378393E-2</v>
      </c>
      <c r="P34" s="71">
        <f t="shared" si="96"/>
        <v>2.0075277666327707E-2</v>
      </c>
      <c r="Q34" s="71">
        <f t="shared" ref="Q34:T34" si="97">-Q15/Q7</f>
        <v>2.2293490532346836E-2</v>
      </c>
      <c r="R34" s="71">
        <f t="shared" si="97"/>
        <v>1.4552415919481945E-2</v>
      </c>
      <c r="S34" s="71">
        <f t="shared" si="97"/>
        <v>1.8307489647926486E-2</v>
      </c>
      <c r="T34" s="71">
        <f t="shared" si="97"/>
        <v>1.4878624551229016E-2</v>
      </c>
      <c r="U34" s="71">
        <f t="shared" ref="U34:X34" si="98">-U15/U7</f>
        <v>1.8292962800692661E-2</v>
      </c>
      <c r="V34" s="71">
        <f t="shared" si="98"/>
        <v>1.5048579970104633E-2</v>
      </c>
      <c r="W34" s="71">
        <f t="shared" si="98"/>
        <v>1.6901061449073027E-2</v>
      </c>
      <c r="X34" s="71">
        <f t="shared" si="98"/>
        <v>1.4777658184575184E-2</v>
      </c>
      <c r="Y34" s="71">
        <f t="shared" ref="Y34:AB34" si="99">-Y15/Y7</f>
        <v>1.7229457185663249E-2</v>
      </c>
      <c r="Z34" s="71">
        <f t="shared" si="99"/>
        <v>1.4142277142787681E-2</v>
      </c>
      <c r="AA34" s="71">
        <f t="shared" si="99"/>
        <v>1.5317039297854645E-2</v>
      </c>
      <c r="AB34" s="71">
        <f t="shared" si="99"/>
        <v>1.418270565903351E-2</v>
      </c>
      <c r="AC34" s="71">
        <f t="shared" ref="AC34:AF34" si="100">-AC15/AC7</f>
        <v>1.5512461113097916E-2</v>
      </c>
      <c r="AD34" s="71">
        <f t="shared" si="100"/>
        <v>1.4471665803011012E-2</v>
      </c>
      <c r="AE34" s="71">
        <f t="shared" si="100"/>
        <v>1.6882563261606764E-2</v>
      </c>
      <c r="AF34" s="71">
        <f t="shared" si="100"/>
        <v>1.2634515513594208E-2</v>
      </c>
      <c r="AG34" s="71">
        <f t="shared" ref="AG34:AJ34" si="101">-AG15/AG7</f>
        <v>1.5347978291628194E-2</v>
      </c>
      <c r="AH34" s="71">
        <f t="shared" si="101"/>
        <v>1.4857287052094431E-2</v>
      </c>
      <c r="AI34" s="71">
        <f t="shared" si="101"/>
        <v>1.8879217813207429E-2</v>
      </c>
      <c r="AJ34" s="71">
        <f t="shared" si="101"/>
        <v>1.8913717341690228E-2</v>
      </c>
      <c r="AK34" s="71">
        <f t="shared" ref="AK34:AL34" si="102">-AK15/AK7</f>
        <v>2.1748908753413114E-2</v>
      </c>
      <c r="AL34" s="71"/>
    </row>
    <row r="35" spans="2:38" s="37" customFormat="1">
      <c r="B35" s="213" t="str">
        <f>B16</f>
        <v>General and administrative</v>
      </c>
      <c r="C35" s="71">
        <f>-C16/C7</f>
        <v>1.1215933732392601E-2</v>
      </c>
      <c r="D35" s="71">
        <f t="shared" ref="D35:E35" si="103">-D16/D7</f>
        <v>9.516846240251866E-3</v>
      </c>
      <c r="E35" s="71">
        <f t="shared" si="103"/>
        <v>8.5936106093461931E-3</v>
      </c>
      <c r="F35" s="71">
        <f t="shared" ref="F35:G35" si="104">-F16/F7</f>
        <v>1.2150637173076144E-2</v>
      </c>
      <c r="G35" s="71">
        <f t="shared" si="104"/>
        <v>1.0564538020102539E-2</v>
      </c>
      <c r="H35" s="71">
        <f t="shared" ref="H35:I35" si="105">-H16/H7</f>
        <v>8.952097519780355E-3</v>
      </c>
      <c r="I35" s="71">
        <f t="shared" si="105"/>
        <v>7.669877694445811E-3</v>
      </c>
      <c r="J35" s="71">
        <f t="shared" ref="J35" si="106">-J16/J7</f>
        <v>9.1514301974279753E-3</v>
      </c>
      <c r="K35" s="71"/>
      <c r="L35" s="50"/>
      <c r="M35" s="71">
        <f t="shared" ref="M35:S35" si="107">-M16/M7</f>
        <v>9.6562633414791679E-3</v>
      </c>
      <c r="N35" s="71">
        <f t="shared" si="107"/>
        <v>7.0783301474074203E-3</v>
      </c>
      <c r="O35" s="71">
        <f t="shared" si="107"/>
        <v>9.1630853337183304E-3</v>
      </c>
      <c r="P35" s="71">
        <f t="shared" si="107"/>
        <v>8.8168424511849645E-3</v>
      </c>
      <c r="Q35" s="71">
        <f t="shared" si="107"/>
        <v>1.089386127759895E-2</v>
      </c>
      <c r="R35" s="71">
        <f t="shared" si="107"/>
        <v>1.0090725994321445E-2</v>
      </c>
      <c r="S35" s="71">
        <f t="shared" si="107"/>
        <v>1.3946348589019171E-2</v>
      </c>
      <c r="T35" s="71">
        <f t="shared" ref="T35:W35" si="108">-T16/T7</f>
        <v>1.3547542733731981E-2</v>
      </c>
      <c r="U35" s="71">
        <f t="shared" si="108"/>
        <v>1.027310091589994E-2</v>
      </c>
      <c r="V35" s="71">
        <f t="shared" si="108"/>
        <v>8.6846038863976089E-3</v>
      </c>
      <c r="W35" s="71">
        <f t="shared" si="108"/>
        <v>1.0766419611144188E-2</v>
      </c>
      <c r="X35" s="71">
        <f t="shared" ref="X35:AA35" si="109">-X16/X7</f>
        <v>1.2337279909018907E-2</v>
      </c>
      <c r="Y35" s="71">
        <f t="shared" si="109"/>
        <v>1.0294045012265595E-2</v>
      </c>
      <c r="Z35" s="71">
        <f t="shared" si="109"/>
        <v>8.1894620586182108E-3</v>
      </c>
      <c r="AA35" s="71">
        <f t="shared" si="109"/>
        <v>9.9879692205831292E-3</v>
      </c>
      <c r="AB35" s="71">
        <f t="shared" ref="AB35:AE35" si="110">-AB16/AB7</f>
        <v>7.7660196617191099E-3</v>
      </c>
      <c r="AC35" s="71">
        <f t="shared" si="110"/>
        <v>7.5985679621917409E-3</v>
      </c>
      <c r="AD35" s="71">
        <f t="shared" si="110"/>
        <v>7.3164788930565518E-3</v>
      </c>
      <c r="AE35" s="71">
        <f t="shared" si="110"/>
        <v>8.9290171936386997E-3</v>
      </c>
      <c r="AF35" s="71">
        <f t="shared" ref="AF35:AI35" si="111">-AF16/AF7</f>
        <v>7.0752134091865374E-3</v>
      </c>
      <c r="AG35" s="71">
        <f t="shared" si="111"/>
        <v>8.0177493174616882E-3</v>
      </c>
      <c r="AH35" s="71">
        <f t="shared" si="111"/>
        <v>9.1571805080468797E-3</v>
      </c>
      <c r="AI35" s="71">
        <f t="shared" si="111"/>
        <v>9.9980271451452721E-3</v>
      </c>
      <c r="AJ35" s="71">
        <f t="shared" ref="AJ35:AL35" si="112">-AJ16/AJ7</f>
        <v>9.3958283657503607E-3</v>
      </c>
      <c r="AK35" s="71">
        <f t="shared" si="112"/>
        <v>1.136860377454117E-2</v>
      </c>
      <c r="AL35" s="71"/>
    </row>
    <row r="36" spans="2:38" s="37" customFormat="1">
      <c r="B36" s="213" t="str">
        <f>B17</f>
        <v>Gain on sale of development properties</v>
      </c>
      <c r="C36" s="71">
        <f>-C17/C7</f>
        <v>0</v>
      </c>
      <c r="D36" s="71">
        <f>-D17/D7</f>
        <v>-6.7338993717891574E-3</v>
      </c>
      <c r="E36" s="71">
        <f>-E17/E7</f>
        <v>-2.2107037149541346E-3</v>
      </c>
      <c r="F36" s="71">
        <f>-F17/F7</f>
        <v>-8.0600916766280942E-4</v>
      </c>
      <c r="G36" s="71">
        <f>-G17/G7</f>
        <v>-1.3180582583661813E-3</v>
      </c>
      <c r="H36" s="71">
        <f t="shared" ref="H36:I36" si="113">-H17/H7</f>
        <v>-2.1048031552686457E-3</v>
      </c>
      <c r="I36" s="71">
        <f t="shared" si="113"/>
        <v>-1.317720886523262E-3</v>
      </c>
      <c r="J36" s="71">
        <f t="shared" ref="J36" si="114">-J17/J7</f>
        <v>-2.956263344244262E-4</v>
      </c>
      <c r="K36" s="71"/>
      <c r="L36" s="50"/>
      <c r="M36" s="71">
        <f t="shared" ref="M36:P36" si="115">-M17/M7</f>
        <v>0</v>
      </c>
      <c r="N36" s="71">
        <f t="shared" si="115"/>
        <v>-9.7280304583556338E-4</v>
      </c>
      <c r="O36" s="71">
        <f t="shared" si="115"/>
        <v>-1.9744744041459155E-3</v>
      </c>
      <c r="P36" s="71">
        <f t="shared" si="115"/>
        <v>-4.9444484576623921E-3</v>
      </c>
      <c r="Q36" s="71">
        <f t="shared" ref="Q36:T36" si="116">-Q17/Q7</f>
        <v>-4.073410794550418E-4</v>
      </c>
      <c r="R36" s="71">
        <f t="shared" si="116"/>
        <v>-3.4411677803433541E-4</v>
      </c>
      <c r="S36" s="71">
        <f t="shared" si="116"/>
        <v>-2.6459939862014782E-3</v>
      </c>
      <c r="T36" s="71">
        <f t="shared" si="116"/>
        <v>-6.5935223275125139E-5</v>
      </c>
      <c r="U36" s="71">
        <f t="shared" ref="U36:X36" si="117">-U17/U7</f>
        <v>0</v>
      </c>
      <c r="V36" s="71">
        <f t="shared" si="117"/>
        <v>0</v>
      </c>
      <c r="W36" s="71">
        <f t="shared" si="117"/>
        <v>-5.0465025561007657E-3</v>
      </c>
      <c r="X36" s="71">
        <f t="shared" si="117"/>
        <v>-5.0770699214069579E-4</v>
      </c>
      <c r="Y36" s="71">
        <f t="shared" ref="Y36:AB36" si="118">-Y17/Y7</f>
        <v>-1.9427386028745945E-3</v>
      </c>
      <c r="Z36" s="71">
        <f t="shared" si="118"/>
        <v>-3.5043117969235683E-3</v>
      </c>
      <c r="AA36" s="71">
        <f t="shared" si="118"/>
        <v>0</v>
      </c>
      <c r="AB36" s="71">
        <f t="shared" si="118"/>
        <v>-2.6202556872943735E-3</v>
      </c>
      <c r="AC36" s="71">
        <f t="shared" ref="AC36:AF36" si="119">-AC17/AC7</f>
        <v>0</v>
      </c>
      <c r="AD36" s="71">
        <f t="shared" si="119"/>
        <v>0</v>
      </c>
      <c r="AE36" s="71">
        <f t="shared" si="119"/>
        <v>0</v>
      </c>
      <c r="AF36" s="71">
        <f t="shared" si="119"/>
        <v>-4.4007539209074721E-3</v>
      </c>
      <c r="AG36" s="71">
        <f t="shared" ref="AG36" si="120">-AG17/AG7</f>
        <v>0</v>
      </c>
      <c r="AH36" s="71">
        <f>-AH16/AH7</f>
        <v>9.1571805080468797E-3</v>
      </c>
      <c r="AI36" s="71">
        <f t="shared" ref="AI36:AK36" si="121">-AI17/AI7</f>
        <v>-5.4504295139086271E-4</v>
      </c>
      <c r="AJ36" s="71">
        <f t="shared" si="121"/>
        <v>0</v>
      </c>
      <c r="AK36" s="71">
        <f t="shared" si="121"/>
        <v>0</v>
      </c>
      <c r="AL36" s="71"/>
    </row>
    <row r="37" spans="2:38" s="37" customFormat="1">
      <c r="B37" s="213" t="str">
        <f>B20</f>
        <v>Share of results of equity investees</v>
      </c>
      <c r="C37" s="71">
        <f>-C20/C7</f>
        <v>2.4092151435454083E-3</v>
      </c>
      <c r="D37" s="71">
        <f>-D20/D7</f>
        <v>3.013093601639654E-3</v>
      </c>
      <c r="E37" s="71">
        <f>-E20/E7</f>
        <v>-5.754146081631121E-3</v>
      </c>
      <c r="F37" s="71">
        <f>-F20/F7</f>
        <v>5.1682046550375407E-3</v>
      </c>
      <c r="G37" s="71">
        <f>-G20/G7</f>
        <v>2.0979970102347847E-3</v>
      </c>
      <c r="H37" s="71">
        <f t="shared" ref="H37:I37" si="122">-H20/H7</f>
        <v>-9.3116565344780213E-4</v>
      </c>
      <c r="I37" s="71">
        <f t="shared" si="122"/>
        <v>-2.0080789148262152E-3</v>
      </c>
      <c r="J37" s="71">
        <f t="shared" ref="J37" si="123">-J20/J7</f>
        <v>-6.1302360045375204E-3</v>
      </c>
      <c r="K37" s="71"/>
      <c r="L37" s="50"/>
      <c r="M37" s="71">
        <f t="shared" ref="M37:P37" si="124">-M20/M7</f>
        <v>7.6619705115978463E-3</v>
      </c>
      <c r="N37" s="71">
        <f t="shared" si="124"/>
        <v>-1.991585765456174E-2</v>
      </c>
      <c r="O37" s="71">
        <f t="shared" si="124"/>
        <v>1.563090651302064E-3</v>
      </c>
      <c r="P37" s="71">
        <f t="shared" si="124"/>
        <v>-7.4882352596355988E-3</v>
      </c>
      <c r="Q37" s="71">
        <f t="shared" ref="Q37:T37" si="125">-Q20/Q7</f>
        <v>-3.3583121650453008E-3</v>
      </c>
      <c r="R37" s="71">
        <f t="shared" si="125"/>
        <v>-2.059811000349999E-3</v>
      </c>
      <c r="S37" s="71">
        <f t="shared" si="125"/>
        <v>8.4623514936726842E-3</v>
      </c>
      <c r="T37" s="71">
        <f t="shared" si="125"/>
        <v>1.5484723362939075E-2</v>
      </c>
      <c r="U37" s="71">
        <f t="shared" ref="U37:X37" si="126">-U20/U7</f>
        <v>4.510650727086854E-3</v>
      </c>
      <c r="V37" s="71">
        <f t="shared" si="126"/>
        <v>5.9940209267563532E-3</v>
      </c>
      <c r="W37" s="71">
        <f t="shared" si="126"/>
        <v>-1.5480321103742789E-3</v>
      </c>
      <c r="X37" s="71">
        <f t="shared" si="126"/>
        <v>-3.8247260074599079E-4</v>
      </c>
      <c r="Y37" s="71">
        <f t="shared" ref="Y37:AB37" si="127">-Y20/Y7</f>
        <v>3.3792126969492417E-3</v>
      </c>
      <c r="Z37" s="71">
        <f t="shared" si="127"/>
        <v>-3.1500602574922464E-3</v>
      </c>
      <c r="AA37" s="71">
        <f t="shared" si="127"/>
        <v>-1.7238734265113162E-3</v>
      </c>
      <c r="AB37" s="71">
        <f t="shared" si="127"/>
        <v>-1.6237744097073613E-3</v>
      </c>
      <c r="AC37" s="71">
        <f t="shared" ref="AC37:AF37" si="128">-AC20/AC7</f>
        <v>2.8071632653846007E-3</v>
      </c>
      <c r="AD37" s="71">
        <f t="shared" si="128"/>
        <v>-3.9190520149486778E-3</v>
      </c>
      <c r="AE37" s="71">
        <f t="shared" si="128"/>
        <v>-5.2191545660881687E-3</v>
      </c>
      <c r="AF37" s="71">
        <f t="shared" si="128"/>
        <v>-1.6023701244430612E-3</v>
      </c>
      <c r="AG37" s="71">
        <f t="shared" ref="AG37:AJ37" si="129">-AG20/AG7</f>
        <v>-4.4174012395294306E-3</v>
      </c>
      <c r="AH37" s="71">
        <f t="shared" si="129"/>
        <v>-5.809454382324903E-3</v>
      </c>
      <c r="AI37" s="71">
        <f t="shared" si="129"/>
        <v>-9.1620716982267706E-3</v>
      </c>
      <c r="AJ37" s="71">
        <f t="shared" si="129"/>
        <v>-5.3451192787637245E-3</v>
      </c>
      <c r="AK37" s="71">
        <f t="shared" ref="AK37:AL37" si="130">-AK20/AK7</f>
        <v>-5.182233428573239E-3</v>
      </c>
      <c r="AL37" s="71"/>
    </row>
    <row r="38" spans="2:38" s="37" customFormat="1">
      <c r="B38" s="213" t="s">
        <v>186</v>
      </c>
      <c r="C38" s="71">
        <f t="shared" ref="C38:K38" si="131">-C21/C119</f>
        <v>8.5267516057668816E-2</v>
      </c>
      <c r="D38" s="71">
        <f t="shared" si="131"/>
        <v>3.8629238274962431E-2</v>
      </c>
      <c r="E38" s="71">
        <f t="shared" si="131"/>
        <v>3.565875076780748E-2</v>
      </c>
      <c r="F38" s="71">
        <f t="shared" si="131"/>
        <v>3.5544257390389418E-2</v>
      </c>
      <c r="G38" s="71">
        <f t="shared" si="131"/>
        <v>3.237758474901991E-2</v>
      </c>
      <c r="H38" s="71">
        <f t="shared" si="131"/>
        <v>4.2100802267977966E-2</v>
      </c>
      <c r="I38" s="71">
        <f t="shared" si="131"/>
        <v>3.2260939310221906E-2</v>
      </c>
      <c r="J38" s="71">
        <f t="shared" si="131"/>
        <v>2.6170580271695998E-2</v>
      </c>
      <c r="K38" s="71"/>
      <c r="L38" s="50"/>
      <c r="M38" s="71"/>
      <c r="N38" s="71"/>
      <c r="O38" s="71"/>
      <c r="P38" s="71">
        <f t="shared" ref="P38:Y39" si="132">-SUM(M21:P21)/P119</f>
        <v>3.565875076780748E-2</v>
      </c>
      <c r="Q38" s="71">
        <f t="shared" si="132"/>
        <v>3.5797465656988471E-2</v>
      </c>
      <c r="R38" s="71">
        <f t="shared" si="132"/>
        <v>3.553335649756776E-2</v>
      </c>
      <c r="S38" s="71">
        <f t="shared" si="132"/>
        <v>2.8248142445307853E-2</v>
      </c>
      <c r="T38" s="71">
        <f t="shared" si="132"/>
        <v>3.5544257390389418E-2</v>
      </c>
      <c r="U38" s="71">
        <f t="shared" si="132"/>
        <v>2.4469625420954599E-2</v>
      </c>
      <c r="V38" s="71">
        <f t="shared" si="132"/>
        <v>2.6274695328368309E-2</v>
      </c>
      <c r="W38" s="71">
        <f t="shared" si="132"/>
        <v>2.6874837027379399E-2</v>
      </c>
      <c r="X38" s="71">
        <f t="shared" si="132"/>
        <v>3.237758474901991E-2</v>
      </c>
      <c r="Y38" s="71">
        <f t="shared" si="132"/>
        <v>3.5581856431522708E-2</v>
      </c>
      <c r="Z38" s="71">
        <f t="shared" ref="Z38:AI39" si="133">-SUM(W21:Z21)/Z119</f>
        <v>3.4562180392371918E-2</v>
      </c>
      <c r="AA38" s="71">
        <f t="shared" si="133"/>
        <v>3.7962724383749889E-2</v>
      </c>
      <c r="AB38" s="71">
        <f t="shared" si="133"/>
        <v>4.2100802267977966E-2</v>
      </c>
      <c r="AC38" s="71">
        <f t="shared" si="133"/>
        <v>4.1326683719401534E-2</v>
      </c>
      <c r="AD38" s="71">
        <f t="shared" si="133"/>
        <v>3.3948253857756121E-2</v>
      </c>
      <c r="AE38" s="71">
        <f t="shared" si="133"/>
        <v>3.292120275460806E-2</v>
      </c>
      <c r="AF38" s="71">
        <f t="shared" si="133"/>
        <v>3.2260939310221906E-2</v>
      </c>
      <c r="AG38" s="71">
        <f t="shared" si="133"/>
        <v>3.3111446609936868E-2</v>
      </c>
      <c r="AH38" s="71">
        <f t="shared" si="133"/>
        <v>2.8276053655051987E-2</v>
      </c>
      <c r="AI38" s="71">
        <f t="shared" si="133"/>
        <v>2.5863376424091571E-2</v>
      </c>
      <c r="AJ38" s="71">
        <f t="shared" ref="AJ38:AS39" si="134">-SUM(AG21:AJ21)/AJ119</f>
        <v>2.6170580271695998E-2</v>
      </c>
      <c r="AK38" s="71">
        <f t="shared" si="134"/>
        <v>2.6745047213478985E-2</v>
      </c>
      <c r="AL38" s="71"/>
    </row>
    <row r="39" spans="2:38" s="37" customFormat="1">
      <c r="B39" s="213" t="s">
        <v>187</v>
      </c>
      <c r="C39" s="71">
        <f t="shared" ref="C39:K39" si="135">-C22/C120</f>
        <v>-5.8348113753863159E-2</v>
      </c>
      <c r="D39" s="71">
        <f t="shared" si="135"/>
        <v>-2.8998705415516825E-2</v>
      </c>
      <c r="E39" s="71">
        <f t="shared" si="135"/>
        <v>-1.8773510653924342E-2</v>
      </c>
      <c r="F39" s="71">
        <f t="shared" si="135"/>
        <v>0</v>
      </c>
      <c r="G39" s="71">
        <f t="shared" si="135"/>
        <v>0</v>
      </c>
      <c r="H39" s="71">
        <f t="shared" si="135"/>
        <v>0</v>
      </c>
      <c r="I39" s="71">
        <f t="shared" si="135"/>
        <v>0</v>
      </c>
      <c r="J39" s="71">
        <f t="shared" si="135"/>
        <v>0</v>
      </c>
      <c r="K39" s="71"/>
      <c r="L39" s="50"/>
      <c r="M39" s="71"/>
      <c r="N39" s="71"/>
      <c r="O39" s="71"/>
      <c r="P39" s="71">
        <f t="shared" si="132"/>
        <v>-1.3285911324532681E-2</v>
      </c>
      <c r="Q39" s="71">
        <f t="shared" si="132"/>
        <v>-2.0413607009239162E-2</v>
      </c>
      <c r="R39" s="71">
        <f t="shared" si="132"/>
        <v>-1.5933831981440837E-2</v>
      </c>
      <c r="S39" s="71">
        <f t="shared" si="132"/>
        <v>-1.4465134605197221E-2</v>
      </c>
      <c r="T39" s="71">
        <f t="shared" si="132"/>
        <v>0</v>
      </c>
      <c r="U39" s="71">
        <f t="shared" si="132"/>
        <v>0</v>
      </c>
      <c r="V39" s="71">
        <f t="shared" si="132"/>
        <v>0</v>
      </c>
      <c r="W39" s="71">
        <f t="shared" si="132"/>
        <v>0</v>
      </c>
      <c r="X39" s="71">
        <f t="shared" si="132"/>
        <v>0</v>
      </c>
      <c r="Y39" s="71">
        <f t="shared" si="132"/>
        <v>0</v>
      </c>
      <c r="Z39" s="71">
        <f t="shared" si="133"/>
        <v>0</v>
      </c>
      <c r="AA39" s="71">
        <f t="shared" si="133"/>
        <v>0</v>
      </c>
      <c r="AB39" s="71">
        <f t="shared" si="133"/>
        <v>0</v>
      </c>
      <c r="AC39" s="71">
        <f t="shared" si="133"/>
        <v>0</v>
      </c>
      <c r="AD39" s="71">
        <f t="shared" si="133"/>
        <v>0</v>
      </c>
      <c r="AE39" s="71">
        <f t="shared" si="133"/>
        <v>0</v>
      </c>
      <c r="AF39" s="71">
        <f t="shared" si="133"/>
        <v>0</v>
      </c>
      <c r="AG39" s="71">
        <f t="shared" si="133"/>
        <v>0</v>
      </c>
      <c r="AH39" s="71">
        <f t="shared" si="133"/>
        <v>0</v>
      </c>
      <c r="AI39" s="71">
        <f t="shared" si="133"/>
        <v>0</v>
      </c>
      <c r="AJ39" s="71">
        <f t="shared" si="134"/>
        <v>0</v>
      </c>
      <c r="AK39" s="71">
        <f t="shared" si="134"/>
        <v>0</v>
      </c>
      <c r="AL39" s="71"/>
    </row>
    <row r="40" spans="2:38" s="37" customFormat="1">
      <c r="B40" s="213" t="str">
        <f>B23</f>
        <v>Others, net</v>
      </c>
      <c r="C40" s="71">
        <f>-C23/C7</f>
        <v>-2.0599768331553108E-4</v>
      </c>
      <c r="D40" s="71">
        <f>-D23/D7</f>
        <v>-9.3177609695533452E-3</v>
      </c>
      <c r="E40" s="71">
        <f>-E23/E7</f>
        <v>-4.3652931979847522E-2</v>
      </c>
      <c r="F40" s="71">
        <f>-F23/F7</f>
        <v>6.2024681216528823E-4</v>
      </c>
      <c r="G40" s="71">
        <f>-G23/G7</f>
        <v>1.4862803421025466E-3</v>
      </c>
      <c r="H40" s="71">
        <f t="shared" ref="H40:I40" si="136">-H23/H7</f>
        <v>-6.910908651727451E-3</v>
      </c>
      <c r="I40" s="71">
        <f t="shared" si="136"/>
        <v>-1.1538471495548486E-2</v>
      </c>
      <c r="J40" s="71">
        <f t="shared" ref="J40" si="137">-J23/J7</f>
        <v>-1.3235962523441946E-2</v>
      </c>
      <c r="K40" s="71"/>
      <c r="L40" s="50"/>
      <c r="M40" s="71">
        <f t="shared" ref="M40:P40" si="138">-M23/M7</f>
        <v>-2.6708897902536425E-3</v>
      </c>
      <c r="N40" s="71">
        <f t="shared" si="138"/>
        <v>-4.2205325694047918E-2</v>
      </c>
      <c r="O40" s="71">
        <f t="shared" si="138"/>
        <v>-2.5615691702842766E-2</v>
      </c>
      <c r="P40" s="71">
        <f t="shared" si="138"/>
        <v>-8.5668091907589561E-2</v>
      </c>
      <c r="Q40" s="71">
        <f t="shared" ref="Q40:T40" si="139">-Q23/Q7</f>
        <v>-1.0029399658579054E-2</v>
      </c>
      <c r="R40" s="71">
        <f t="shared" si="139"/>
        <v>-1.7964348135367913E-3</v>
      </c>
      <c r="S40" s="71">
        <f t="shared" si="139"/>
        <v>1.3999917643750952E-2</v>
      </c>
      <c r="T40" s="71">
        <f t="shared" si="139"/>
        <v>7.9715221015451632E-5</v>
      </c>
      <c r="U40" s="71">
        <f t="shared" ref="U40:X40" si="140">-U23/U7</f>
        <v>1.6265047672696167E-2</v>
      </c>
      <c r="V40" s="71">
        <f t="shared" si="140"/>
        <v>-1.3400597907324365E-2</v>
      </c>
      <c r="W40" s="71">
        <f t="shared" si="140"/>
        <v>3.3506477508366355E-3</v>
      </c>
      <c r="X40" s="71">
        <f t="shared" si="140"/>
        <v>1.4452725709605139E-3</v>
      </c>
      <c r="Y40" s="71">
        <f t="shared" ref="Y40:AB40" si="141">-Y23/Y7</f>
        <v>-1.1491792752597178E-2</v>
      </c>
      <c r="Z40" s="71">
        <f t="shared" si="141"/>
        <v>-4.2058687671699124E-3</v>
      </c>
      <c r="AA40" s="71">
        <f t="shared" si="141"/>
        <v>-7.1942446043165471E-3</v>
      </c>
      <c r="AB40" s="71">
        <f t="shared" si="141"/>
        <v>-5.5900966096766496E-3</v>
      </c>
      <c r="AC40" s="71">
        <f t="shared" ref="AC40:AF40" si="142">-AC23/AC7</f>
        <v>-1.0367276936269702E-2</v>
      </c>
      <c r="AD40" s="71">
        <f t="shared" si="142"/>
        <v>-1.5995360281677574E-2</v>
      </c>
      <c r="AE40" s="71">
        <f t="shared" si="142"/>
        <v>-9.6817429441561978E-3</v>
      </c>
      <c r="AF40" s="71">
        <f t="shared" si="142"/>
        <v>-1.0066688569567649E-2</v>
      </c>
      <c r="AG40" s="71">
        <f t="shared" ref="AG40:AJ40" si="143">-AG23/AG7</f>
        <v>-6.9050956217907413E-3</v>
      </c>
      <c r="AH40" s="71">
        <f t="shared" si="143"/>
        <v>-1.7184433353894465E-2</v>
      </c>
      <c r="AI40" s="71">
        <f t="shared" si="143"/>
        <v>-1.8972844823262298E-2</v>
      </c>
      <c r="AJ40" s="71">
        <f t="shared" si="143"/>
        <v>-9.7790419093685774E-3</v>
      </c>
      <c r="AK40" s="71">
        <f t="shared" ref="AK40:AL40" si="144">-AK23/AK7</f>
        <v>-7.3900675971035239E-3</v>
      </c>
      <c r="AL40" s="71"/>
    </row>
    <row r="41" spans="2:38" s="37" customFormat="1">
      <c r="B41" s="241" t="s">
        <v>188</v>
      </c>
      <c r="C41" s="71">
        <f t="shared" ref="C41:G41" si="145">-C25/C24</f>
        <v>-0.1798356811665299</v>
      </c>
      <c r="D41" s="71">
        <f t="shared" si="145"/>
        <v>0.13163671992878978</v>
      </c>
      <c r="E41" s="71">
        <f t="shared" si="145"/>
        <v>2.915539813727926E-2</v>
      </c>
      <c r="F41" s="71">
        <f t="shared" si="145"/>
        <v>-0.73100261551872325</v>
      </c>
      <c r="G41" s="71">
        <f t="shared" si="145"/>
        <v>0.30114660705271507</v>
      </c>
      <c r="H41" s="71">
        <f t="shared" ref="H41:I41" si="146">-H25/H24</f>
        <v>0.2651816745655608</v>
      </c>
      <c r="I41" s="71">
        <f t="shared" si="146"/>
        <v>0.13345492646202803</v>
      </c>
      <c r="J41" s="71">
        <f t="shared" ref="J41" si="147">-J25/J24</f>
        <v>8.6127236109465696E-2</v>
      </c>
      <c r="K41" s="71"/>
      <c r="L41" s="50"/>
      <c r="M41" s="71">
        <f t="shared" ref="M41:P41" si="148">-M25/M24</f>
        <v>0.23593352832808068</v>
      </c>
      <c r="N41" s="71">
        <f t="shared" si="148"/>
        <v>4.6285285521029507E-2</v>
      </c>
      <c r="O41" s="71">
        <f t="shared" si="148"/>
        <v>8.3420111848221568E-2</v>
      </c>
      <c r="P41" s="71">
        <f t="shared" si="148"/>
        <v>-1.3850702006982645E-2</v>
      </c>
      <c r="Q41" s="71">
        <f t="shared" ref="Q41:T41" si="149">-Q25/Q24</f>
        <v>0.11632472397414162</v>
      </c>
      <c r="R41" s="71">
        <f t="shared" si="149"/>
        <v>0.54397659165656953</v>
      </c>
      <c r="S41" s="71">
        <f t="shared" si="149"/>
        <v>-0.24927457242580175</v>
      </c>
      <c r="T41" s="71">
        <f t="shared" si="149"/>
        <v>-3.6081252214620628E-2</v>
      </c>
      <c r="U41" s="71">
        <f t="shared" ref="U41:X41" si="150">-U25/U24</f>
        <v>-0.20686106346483704</v>
      </c>
      <c r="V41" s="71">
        <f t="shared" si="150"/>
        <v>0.23344748858447489</v>
      </c>
      <c r="W41" s="71">
        <f t="shared" si="150"/>
        <v>0.22710765239948119</v>
      </c>
      <c r="X41" s="71">
        <f t="shared" si="150"/>
        <v>0.1559224318658281</v>
      </c>
      <c r="Y41" s="71">
        <f t="shared" ref="Y41:AB41" si="151">-Y25/Y24</f>
        <v>0.20607069672131148</v>
      </c>
      <c r="Z41" s="71">
        <f t="shared" si="151"/>
        <v>0.2887815903020341</v>
      </c>
      <c r="AA41" s="71">
        <f t="shared" si="151"/>
        <v>0.23875208294760231</v>
      </c>
      <c r="AB41" s="71">
        <f t="shared" si="151"/>
        <v>0.42165759225650334</v>
      </c>
      <c r="AC41" s="71">
        <f t="shared" ref="AC41:AF41" si="152">-AC25/AC24</f>
        <v>0.18753447324875896</v>
      </c>
      <c r="AD41" s="71">
        <f t="shared" si="152"/>
        <v>0.12948258196721313</v>
      </c>
      <c r="AE41" s="71">
        <f t="shared" si="152"/>
        <v>0.1578429443023027</v>
      </c>
      <c r="AF41" s="71">
        <f t="shared" si="152"/>
        <v>6.4577234372309278E-2</v>
      </c>
      <c r="AG41" s="71">
        <f t="shared" ref="AG41:AJ41" si="153">-AG25/AG24</f>
        <v>0.15462449407884876</v>
      </c>
      <c r="AH41" s="71">
        <f t="shared" si="153"/>
        <v>-1.4927601134497686E-3</v>
      </c>
      <c r="AI41" s="71">
        <f t="shared" si="153"/>
        <v>3.7991858887381276E-2</v>
      </c>
      <c r="AJ41" s="71">
        <f t="shared" si="153"/>
        <v>9.1783863804589194E-2</v>
      </c>
      <c r="AK41" s="71">
        <f t="shared" ref="AK41:AL41" si="154">-AK25/AK24</f>
        <v>0.17771509167842031</v>
      </c>
      <c r="AL41" s="71"/>
    </row>
    <row r="42" spans="2:38" s="37" customFormat="1">
      <c r="B42" s="60"/>
      <c r="C42" s="220"/>
      <c r="D42" s="220"/>
      <c r="E42" s="220"/>
      <c r="F42" s="220"/>
      <c r="G42" s="220"/>
      <c r="H42" s="220"/>
      <c r="I42" s="220"/>
      <c r="J42" s="220"/>
      <c r="K42" s="220"/>
      <c r="L42" s="5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</row>
    <row r="43" spans="2:38" s="1" customFormat="1" ht="14.5">
      <c r="L43" s="50"/>
    </row>
    <row r="44" spans="2:38">
      <c r="B44" s="47" t="s">
        <v>189</v>
      </c>
      <c r="C44" s="51">
        <f t="shared" ref="C44:J44" si="155">C3</f>
        <v>43465</v>
      </c>
      <c r="D44" s="51">
        <f t="shared" si="155"/>
        <v>43830</v>
      </c>
      <c r="E44" s="51">
        <f t="shared" si="155"/>
        <v>44196</v>
      </c>
      <c r="F44" s="51">
        <f t="shared" si="155"/>
        <v>44561</v>
      </c>
      <c r="G44" s="51">
        <f t="shared" si="155"/>
        <v>44926</v>
      </c>
      <c r="H44" s="51">
        <f t="shared" si="155"/>
        <v>45291</v>
      </c>
      <c r="I44" s="51">
        <f t="shared" si="155"/>
        <v>45657</v>
      </c>
      <c r="J44" s="51">
        <f t="shared" si="155"/>
        <v>46022</v>
      </c>
      <c r="K44" s="51"/>
      <c r="L44" s="50"/>
      <c r="M44" s="51">
        <f t="shared" ref="M44:AL44" si="156">M3</f>
        <v>43921</v>
      </c>
      <c r="N44" s="51">
        <f t="shared" si="156"/>
        <v>44012</v>
      </c>
      <c r="O44" s="51">
        <f t="shared" si="156"/>
        <v>44104</v>
      </c>
      <c r="P44" s="51">
        <f t="shared" si="156"/>
        <v>44196</v>
      </c>
      <c r="Q44" s="51">
        <f t="shared" si="156"/>
        <v>44286</v>
      </c>
      <c r="R44" s="51">
        <f t="shared" si="156"/>
        <v>44377</v>
      </c>
      <c r="S44" s="51">
        <f t="shared" si="156"/>
        <v>44469</v>
      </c>
      <c r="T44" s="51">
        <f t="shared" si="156"/>
        <v>44561</v>
      </c>
      <c r="U44" s="51">
        <f t="shared" si="156"/>
        <v>44651</v>
      </c>
      <c r="V44" s="51">
        <f t="shared" si="156"/>
        <v>44742</v>
      </c>
      <c r="W44" s="51">
        <f t="shared" si="156"/>
        <v>44834</v>
      </c>
      <c r="X44" s="51">
        <f t="shared" si="156"/>
        <v>44926</v>
      </c>
      <c r="Y44" s="51">
        <f t="shared" si="156"/>
        <v>45016</v>
      </c>
      <c r="Z44" s="51">
        <f t="shared" si="156"/>
        <v>45107</v>
      </c>
      <c r="AA44" s="51">
        <f t="shared" si="156"/>
        <v>45199</v>
      </c>
      <c r="AB44" s="51">
        <f t="shared" si="156"/>
        <v>45291</v>
      </c>
      <c r="AC44" s="51">
        <f t="shared" si="156"/>
        <v>45382</v>
      </c>
      <c r="AD44" s="51">
        <f t="shared" si="156"/>
        <v>45473</v>
      </c>
      <c r="AE44" s="51">
        <f t="shared" si="156"/>
        <v>45565</v>
      </c>
      <c r="AF44" s="51">
        <f t="shared" si="156"/>
        <v>45657</v>
      </c>
      <c r="AG44" s="51">
        <f t="shared" si="156"/>
        <v>45747</v>
      </c>
      <c r="AH44" s="51">
        <f t="shared" si="156"/>
        <v>45838</v>
      </c>
      <c r="AI44" s="51">
        <f t="shared" si="156"/>
        <v>45930</v>
      </c>
      <c r="AJ44" s="51">
        <f t="shared" si="156"/>
        <v>46022</v>
      </c>
      <c r="AK44" s="51">
        <f t="shared" si="156"/>
        <v>46112</v>
      </c>
      <c r="AL44" s="51"/>
    </row>
    <row r="45" spans="2:38" s="26" customFormat="1">
      <c r="B45" s="66" t="s">
        <v>175</v>
      </c>
      <c r="C45" s="50">
        <f t="shared" ref="C45:K45" si="157">C19</f>
        <v>-2619.1309999999648</v>
      </c>
      <c r="D45" s="50">
        <f t="shared" si="157"/>
        <v>8994.8800000000629</v>
      </c>
      <c r="E45" s="50">
        <f t="shared" si="157"/>
        <v>12342.82000000008</v>
      </c>
      <c r="F45" s="50">
        <f t="shared" si="157"/>
        <v>4140.9499999999243</v>
      </c>
      <c r="G45" s="50">
        <f t="shared" si="157"/>
        <v>19723</v>
      </c>
      <c r="H45" s="50">
        <f t="shared" si="157"/>
        <v>26025</v>
      </c>
      <c r="I45" s="50">
        <f t="shared" si="157"/>
        <v>38736</v>
      </c>
      <c r="J45" s="50">
        <f t="shared" si="157"/>
        <v>2774</v>
      </c>
      <c r="K45" s="50"/>
      <c r="L45" s="50"/>
      <c r="M45" s="50">
        <f t="shared" ref="M45:AL45" si="158">M19</f>
        <v>2320.4490000000114</v>
      </c>
      <c r="N45" s="50">
        <f t="shared" si="158"/>
        <v>5044.0749999999935</v>
      </c>
      <c r="O45" s="50">
        <f t="shared" si="158"/>
        <v>4383.3490000000093</v>
      </c>
      <c r="P45" s="50">
        <f t="shared" si="158"/>
        <v>594.94700000005832</v>
      </c>
      <c r="Q45" s="50">
        <f t="shared" si="158"/>
        <v>1659.7439999999988</v>
      </c>
      <c r="R45" s="50">
        <f t="shared" si="158"/>
        <v>300.75600000001214</v>
      </c>
      <c r="S45" s="50">
        <f t="shared" si="158"/>
        <v>2572.4369999999944</v>
      </c>
      <c r="T45" s="50">
        <f t="shared" si="158"/>
        <v>-391.98700000005192</v>
      </c>
      <c r="U45" s="50">
        <f t="shared" si="158"/>
        <v>2409</v>
      </c>
      <c r="V45" s="50">
        <f t="shared" si="158"/>
        <v>3758</v>
      </c>
      <c r="W45" s="50">
        <f t="shared" si="158"/>
        <v>8728</v>
      </c>
      <c r="X45" s="50">
        <f t="shared" si="158"/>
        <v>4828</v>
      </c>
      <c r="Y45" s="50">
        <f t="shared" si="158"/>
        <v>6427</v>
      </c>
      <c r="Z45" s="50">
        <f t="shared" si="158"/>
        <v>8270</v>
      </c>
      <c r="AA45" s="50">
        <f t="shared" si="158"/>
        <v>9303</v>
      </c>
      <c r="AB45" s="50">
        <f t="shared" si="158"/>
        <v>2025</v>
      </c>
      <c r="AC45" s="50">
        <f t="shared" si="158"/>
        <v>7700</v>
      </c>
      <c r="AD45" s="50">
        <f t="shared" si="158"/>
        <v>10501</v>
      </c>
      <c r="AE45" s="50">
        <f t="shared" si="158"/>
        <v>12044</v>
      </c>
      <c r="AF45" s="50">
        <f t="shared" si="158"/>
        <v>8491</v>
      </c>
      <c r="AG45" s="50">
        <f t="shared" si="158"/>
        <v>10533</v>
      </c>
      <c r="AH45" s="50">
        <f t="shared" si="158"/>
        <v>-859</v>
      </c>
      <c r="AI45" s="50">
        <f t="shared" si="158"/>
        <v>-1051</v>
      </c>
      <c r="AJ45" s="50">
        <f t="shared" si="158"/>
        <v>-5849</v>
      </c>
      <c r="AK45" s="50">
        <f t="shared" si="158"/>
        <v>3807</v>
      </c>
      <c r="AL45" s="50"/>
    </row>
    <row r="46" spans="2:38">
      <c r="B46" s="60" t="s">
        <v>190</v>
      </c>
      <c r="C46" s="76">
        <v>5560.0339999999997</v>
      </c>
      <c r="D46" s="76">
        <v>5828.0550000000003</v>
      </c>
      <c r="E46" s="76">
        <v>6067.6540000000005</v>
      </c>
      <c r="F46" s="184">
        <v>5292.1270000000004</v>
      </c>
      <c r="G46" s="184">
        <v>6018</v>
      </c>
      <c r="H46" s="184">
        <v>7011</v>
      </c>
      <c r="I46" s="184">
        <v>7894</v>
      </c>
      <c r="J46" s="184">
        <v>8701</v>
      </c>
      <c r="K46" s="185"/>
      <c r="L46" s="50"/>
      <c r="M46" s="76">
        <v>1258.4639999999999</v>
      </c>
      <c r="N46" s="76">
        <v>1306.835</v>
      </c>
      <c r="O46" s="76">
        <v>1327.856</v>
      </c>
      <c r="P46" s="13">
        <f>E46-SUM(M46:O46)</f>
        <v>2174.4990000000007</v>
      </c>
      <c r="Q46" s="146">
        <v>1437.53</v>
      </c>
      <c r="R46" s="76">
        <v>1224.3209999999999</v>
      </c>
      <c r="S46" s="76">
        <v>1299.5989999999999</v>
      </c>
      <c r="T46" s="13">
        <f>F46-SUM(Q46:S46)</f>
        <v>1330.6770000000006</v>
      </c>
      <c r="U46" s="76">
        <v>1414</v>
      </c>
      <c r="V46" s="76">
        <v>1422</v>
      </c>
      <c r="W46" s="76">
        <v>1537</v>
      </c>
      <c r="X46" s="13">
        <f>G46-SUM(U46:W46)</f>
        <v>1645</v>
      </c>
      <c r="Y46" s="184">
        <v>1624</v>
      </c>
      <c r="Z46" s="184">
        <v>1727</v>
      </c>
      <c r="AA46" s="184">
        <v>1792</v>
      </c>
      <c r="AB46" s="185">
        <f>H46-SUM(Y46:AA46)</f>
        <v>1868</v>
      </c>
      <c r="AC46" s="184">
        <v>1908</v>
      </c>
      <c r="AD46" s="184">
        <v>1934</v>
      </c>
      <c r="AE46" s="184">
        <v>1998</v>
      </c>
      <c r="AF46" s="185">
        <f>I46-SUM(AC46:AE46)</f>
        <v>2054</v>
      </c>
      <c r="AG46" s="184">
        <v>2038</v>
      </c>
      <c r="AH46" s="184">
        <v>2103</v>
      </c>
      <c r="AI46" s="184">
        <v>2255</v>
      </c>
      <c r="AJ46" s="185">
        <f>J46-SUM(AG46:AI46)</f>
        <v>2305</v>
      </c>
      <c r="AK46" s="184">
        <v>2390</v>
      </c>
      <c r="AL46" s="184"/>
    </row>
    <row r="47" spans="2:38" s="26" customFormat="1">
      <c r="B47" s="26" t="s">
        <v>189</v>
      </c>
      <c r="C47" s="50">
        <f t="shared" ref="C47:E47" si="159">SUM(C45:C46)</f>
        <v>2940.9030000000348</v>
      </c>
      <c r="D47" s="50">
        <f t="shared" si="159"/>
        <v>14822.935000000063</v>
      </c>
      <c r="E47" s="50">
        <f t="shared" si="159"/>
        <v>18410.474000000082</v>
      </c>
      <c r="F47" s="50">
        <f t="shared" ref="F47:G47" si="160">SUM(F45:F46)</f>
        <v>9433.0769999999247</v>
      </c>
      <c r="G47" s="50">
        <f t="shared" si="160"/>
        <v>25741</v>
      </c>
      <c r="H47" s="50">
        <f t="shared" ref="H47:I47" si="161">SUM(H45:H46)</f>
        <v>33036</v>
      </c>
      <c r="I47" s="50">
        <f t="shared" si="161"/>
        <v>46630</v>
      </c>
      <c r="J47" s="50">
        <f t="shared" ref="J47" si="162">SUM(J45:J46)</f>
        <v>11475</v>
      </c>
      <c r="K47" s="50"/>
      <c r="L47" s="50"/>
      <c r="M47" s="50">
        <f t="shared" ref="M47:P47" si="163">SUM(M45:M46)</f>
        <v>3578.9130000000114</v>
      </c>
      <c r="N47" s="50">
        <f t="shared" si="163"/>
        <v>6350.9099999999935</v>
      </c>
      <c r="O47" s="50">
        <f t="shared" si="163"/>
        <v>5711.205000000009</v>
      </c>
      <c r="P47" s="50">
        <f t="shared" si="163"/>
        <v>2769.446000000059</v>
      </c>
      <c r="Q47" s="50">
        <f t="shared" ref="Q47:T47" si="164">SUM(Q45:Q46)</f>
        <v>3097.2739999999985</v>
      </c>
      <c r="R47" s="50">
        <f t="shared" si="164"/>
        <v>1525.077000000012</v>
      </c>
      <c r="S47" s="50">
        <f t="shared" si="164"/>
        <v>3872.0359999999946</v>
      </c>
      <c r="T47" s="50">
        <f t="shared" si="164"/>
        <v>938.68999999994867</v>
      </c>
      <c r="U47" s="50">
        <f t="shared" ref="U47:X47" si="165">SUM(U45:U46)</f>
        <v>3823</v>
      </c>
      <c r="V47" s="50">
        <f t="shared" si="165"/>
        <v>5180</v>
      </c>
      <c r="W47" s="50">
        <f t="shared" si="165"/>
        <v>10265</v>
      </c>
      <c r="X47" s="50">
        <f t="shared" si="165"/>
        <v>6473</v>
      </c>
      <c r="Y47" s="50">
        <f t="shared" ref="Y47:AB47" si="166">SUM(Y45:Y46)</f>
        <v>8051</v>
      </c>
      <c r="Z47" s="50">
        <f t="shared" si="166"/>
        <v>9997</v>
      </c>
      <c r="AA47" s="50">
        <f t="shared" si="166"/>
        <v>11095</v>
      </c>
      <c r="AB47" s="50">
        <f t="shared" si="166"/>
        <v>3893</v>
      </c>
      <c r="AC47" s="50">
        <f t="shared" ref="AC47:AF47" si="167">SUM(AC45:AC46)</f>
        <v>9608</v>
      </c>
      <c r="AD47" s="50">
        <f t="shared" si="167"/>
        <v>12435</v>
      </c>
      <c r="AE47" s="50">
        <f t="shared" si="167"/>
        <v>14042</v>
      </c>
      <c r="AF47" s="50">
        <f t="shared" si="167"/>
        <v>10545</v>
      </c>
      <c r="AG47" s="50">
        <f t="shared" ref="AG47:AJ47" si="168">SUM(AG45:AG46)</f>
        <v>12571</v>
      </c>
      <c r="AH47" s="50">
        <f t="shared" si="168"/>
        <v>1244</v>
      </c>
      <c r="AI47" s="50">
        <f t="shared" si="168"/>
        <v>1204</v>
      </c>
      <c r="AJ47" s="50">
        <f t="shared" si="168"/>
        <v>-3544</v>
      </c>
      <c r="AK47" s="50">
        <f t="shared" ref="AK47:AL47" si="169">SUM(AK45:AK46)</f>
        <v>6197</v>
      </c>
      <c r="AL47" s="50"/>
    </row>
    <row r="48" spans="2:38" s="37" customFormat="1">
      <c r="B48" s="42" t="s">
        <v>191</v>
      </c>
      <c r="C48" s="68"/>
      <c r="D48" s="68">
        <f t="shared" ref="D48:J48" si="170">+D47/C47-1</f>
        <v>4.040266543983221</v>
      </c>
      <c r="E48" s="68">
        <f t="shared" si="170"/>
        <v>0.24202622490080428</v>
      </c>
      <c r="F48" s="68">
        <f t="shared" si="170"/>
        <v>-0.4876244359596672</v>
      </c>
      <c r="G48" s="68">
        <f t="shared" si="170"/>
        <v>1.7288020653282281</v>
      </c>
      <c r="H48" s="68">
        <f t="shared" si="170"/>
        <v>0.28340002330911784</v>
      </c>
      <c r="I48" s="68">
        <f t="shared" si="170"/>
        <v>0.4114904952173386</v>
      </c>
      <c r="J48" s="68">
        <f t="shared" si="170"/>
        <v>-0.75391378940596177</v>
      </c>
      <c r="K48" s="68"/>
      <c r="L48" s="50"/>
      <c r="M48" s="68"/>
      <c r="N48" s="68"/>
      <c r="O48" s="68"/>
      <c r="P48" s="68"/>
      <c r="Q48" s="68">
        <f t="shared" ref="Q48:AL48" si="171">Q47/M47-1</f>
        <v>-0.13457689527518868</v>
      </c>
      <c r="R48" s="68">
        <f t="shared" si="171"/>
        <v>-0.75986480677571977</v>
      </c>
      <c r="S48" s="68">
        <f t="shared" si="171"/>
        <v>-0.32202818844709857</v>
      </c>
      <c r="T48" s="68">
        <f t="shared" si="171"/>
        <v>-0.66105495467327091</v>
      </c>
      <c r="U48" s="68">
        <f t="shared" si="171"/>
        <v>0.234311203981308</v>
      </c>
      <c r="V48" s="68">
        <f t="shared" si="171"/>
        <v>2.3965498135503709</v>
      </c>
      <c r="W48" s="68">
        <f t="shared" si="171"/>
        <v>1.6510600624581007</v>
      </c>
      <c r="X48" s="68">
        <f t="shared" si="171"/>
        <v>5.8957802895528388</v>
      </c>
      <c r="Y48" s="68">
        <f t="shared" si="171"/>
        <v>1.105937745226262</v>
      </c>
      <c r="Z48" s="68">
        <f t="shared" si="171"/>
        <v>0.92992277992277983</v>
      </c>
      <c r="AA48" s="68">
        <f t="shared" si="171"/>
        <v>8.0857282026302935E-2</v>
      </c>
      <c r="AB48" s="68">
        <f t="shared" si="171"/>
        <v>-0.39857871157114166</v>
      </c>
      <c r="AC48" s="68">
        <f t="shared" si="171"/>
        <v>0.19339212520183824</v>
      </c>
      <c r="AD48" s="68">
        <f t="shared" si="171"/>
        <v>0.24387316194858455</v>
      </c>
      <c r="AE48" s="68">
        <f t="shared" si="171"/>
        <v>0.26561514195583591</v>
      </c>
      <c r="AF48" s="68">
        <f t="shared" si="171"/>
        <v>1.7087079373234011</v>
      </c>
      <c r="AG48" s="68">
        <f t="shared" si="171"/>
        <v>0.30838884263114075</v>
      </c>
      <c r="AH48" s="68">
        <f t="shared" si="171"/>
        <v>-0.89995979091274625</v>
      </c>
      <c r="AI48" s="68">
        <f t="shared" si="171"/>
        <v>-0.91425722831505485</v>
      </c>
      <c r="AJ48" s="68">
        <f t="shared" si="171"/>
        <v>-1.3360834518729257</v>
      </c>
      <c r="AK48" s="68">
        <f t="shared" si="171"/>
        <v>-0.5070400127277066</v>
      </c>
      <c r="AL48" s="68"/>
    </row>
    <row r="49" spans="2:38" s="37" customFormat="1">
      <c r="B49" s="42" t="s">
        <v>183</v>
      </c>
      <c r="C49" s="68">
        <f t="shared" ref="C49:K49" si="172">+C47/C7</f>
        <v>6.3653186746068036E-3</v>
      </c>
      <c r="D49" s="68">
        <f t="shared" si="172"/>
        <v>2.5694628010636562E-2</v>
      </c>
      <c r="E49" s="68">
        <f t="shared" si="172"/>
        <v>2.46854752523381E-2</v>
      </c>
      <c r="F49" s="68">
        <f t="shared" si="172"/>
        <v>9.9129411275073673E-3</v>
      </c>
      <c r="G49" s="68">
        <f t="shared" si="172"/>
        <v>2.4603435553737396E-2</v>
      </c>
      <c r="H49" s="68">
        <f t="shared" si="172"/>
        <v>3.0457414383466924E-2</v>
      </c>
      <c r="I49" s="68">
        <f t="shared" si="172"/>
        <v>4.0239243574708386E-2</v>
      </c>
      <c r="J49" s="68">
        <f t="shared" si="172"/>
        <v>8.7656645672358931E-3</v>
      </c>
      <c r="K49" s="68"/>
      <c r="L49" s="50"/>
      <c r="M49" s="68">
        <f t="shared" ref="M49:AL49" si="173">+M47/M7</f>
        <v>2.4478696925223857E-2</v>
      </c>
      <c r="N49" s="68">
        <f t="shared" si="173"/>
        <v>3.1588071701591787E-2</v>
      </c>
      <c r="O49" s="68">
        <f t="shared" si="173"/>
        <v>3.2782610977697059E-2</v>
      </c>
      <c r="P49" s="68">
        <f t="shared" si="173"/>
        <v>1.2345512314314976E-2</v>
      </c>
      <c r="Q49" s="68">
        <f t="shared" si="173"/>
        <v>1.5244277984196064E-2</v>
      </c>
      <c r="R49" s="68">
        <f t="shared" si="173"/>
        <v>6.0089605035010853E-3</v>
      </c>
      <c r="S49" s="68">
        <f t="shared" si="173"/>
        <v>1.7704106214358733E-2</v>
      </c>
      <c r="T49" s="68">
        <f t="shared" si="173"/>
        <v>3.4021951811853456E-3</v>
      </c>
      <c r="U49" s="68">
        <f t="shared" si="173"/>
        <v>1.5952097807264611E-2</v>
      </c>
      <c r="V49" s="68">
        <f t="shared" si="173"/>
        <v>1.9357249626307922E-2</v>
      </c>
      <c r="W49" s="68">
        <f t="shared" si="173"/>
        <v>4.2149998973453506E-2</v>
      </c>
      <c r="X49" s="68">
        <f t="shared" si="173"/>
        <v>2.1909249067511492E-2</v>
      </c>
      <c r="Y49" s="68">
        <f t="shared" si="173"/>
        <v>3.3137687482507124E-2</v>
      </c>
      <c r="Z49" s="68">
        <f t="shared" si="173"/>
        <v>3.4720123918577712E-2</v>
      </c>
      <c r="AA49" s="68">
        <f t="shared" si="173"/>
        <v>4.4792448869187478E-2</v>
      </c>
      <c r="AB49" s="68">
        <f t="shared" si="173"/>
        <v>1.2719021684086031E-2</v>
      </c>
      <c r="AC49" s="68">
        <f t="shared" si="173"/>
        <v>3.6946883087418142E-2</v>
      </c>
      <c r="AD49" s="68">
        <f t="shared" si="173"/>
        <v>4.2673740635627684E-2</v>
      </c>
      <c r="AE49" s="68">
        <f t="shared" si="173"/>
        <v>5.3927423412075105E-2</v>
      </c>
      <c r="AF49" s="68">
        <f t="shared" si="173"/>
        <v>3.0390275111964172E-2</v>
      </c>
      <c r="AG49" s="68">
        <f t="shared" si="173"/>
        <v>4.1752745099341709E-2</v>
      </c>
      <c r="AH49" s="68">
        <f t="shared" si="173"/>
        <v>3.4879156619749903E-3</v>
      </c>
      <c r="AI49" s="68">
        <f t="shared" si="173"/>
        <v>4.0259614323595013E-3</v>
      </c>
      <c r="AJ49" s="68">
        <f t="shared" si="173"/>
        <v>-1.0060065174688604E-2</v>
      </c>
      <c r="AK49" s="68">
        <f t="shared" si="173"/>
        <v>1.9629768066545452E-2</v>
      </c>
      <c r="AL49" s="68"/>
    </row>
    <row r="50" spans="2:38" s="37" customFormat="1">
      <c r="B50" s="70"/>
      <c r="C50" s="62"/>
      <c r="D50" s="62"/>
      <c r="E50" s="62"/>
      <c r="F50" s="62"/>
      <c r="G50" s="62"/>
      <c r="H50" s="62"/>
      <c r="I50" s="62"/>
      <c r="J50" s="62"/>
      <c r="K50" s="62"/>
      <c r="L50" s="50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2:38">
      <c r="B51" s="218" t="s">
        <v>192</v>
      </c>
      <c r="C51" s="218">
        <f t="shared" ref="C51:E51" si="174">C52-C47</f>
        <v>2726.0579999999654</v>
      </c>
      <c r="D51" s="218">
        <f t="shared" si="174"/>
        <v>-1011.9140000000625</v>
      </c>
      <c r="E51" s="218">
        <f t="shared" si="174"/>
        <v>2270.6469999999172</v>
      </c>
      <c r="F51" s="218">
        <f t="shared" ref="F51:G51" si="175">F52-F47</f>
        <v>9278.521000000077</v>
      </c>
      <c r="G51" s="218">
        <f t="shared" si="175"/>
        <v>7861</v>
      </c>
      <c r="H51" s="218">
        <f t="shared" ref="H51:I51" si="176">H52-H47</f>
        <v>9416</v>
      </c>
      <c r="I51" s="218">
        <f t="shared" si="176"/>
        <v>5293</v>
      </c>
      <c r="J51" s="218">
        <f t="shared" ref="J51" si="177">J52-J47</f>
        <v>6869</v>
      </c>
      <c r="K51" s="218"/>
      <c r="L51" s="50"/>
      <c r="M51" s="218">
        <f t="shared" ref="M51:R51" si="178">M52-M47</f>
        <v>935.43399999998837</v>
      </c>
      <c r="N51" s="218">
        <f t="shared" si="178"/>
        <v>549.51500000000669</v>
      </c>
      <c r="O51" s="218">
        <f t="shared" si="178"/>
        <v>890.53699999999117</v>
      </c>
      <c r="P51" s="218">
        <f t="shared" si="178"/>
        <v>-104.8390000000627</v>
      </c>
      <c r="Q51" s="218">
        <f t="shared" si="178"/>
        <v>1842.5290000000014</v>
      </c>
      <c r="R51" s="218">
        <f t="shared" si="178"/>
        <v>2221.7319999999881</v>
      </c>
      <c r="S51" s="218">
        <f>S52-S47</f>
        <v>1991.0420000000058</v>
      </c>
      <c r="T51" s="218">
        <f t="shared" ref="T51:V51" si="179">T52-T47</f>
        <v>3223.2180000000508</v>
      </c>
      <c r="U51" s="218">
        <f t="shared" si="179"/>
        <v>2243</v>
      </c>
      <c r="V51" s="218">
        <f t="shared" si="179"/>
        <v>1995</v>
      </c>
      <c r="W51" s="218">
        <f>W52-W47</f>
        <v>1198</v>
      </c>
      <c r="X51" s="218">
        <f t="shared" ref="X51:Z51" si="180">X52-X47</f>
        <v>2425</v>
      </c>
      <c r="Y51" s="218">
        <f t="shared" si="180"/>
        <v>1448</v>
      </c>
      <c r="Z51" s="218">
        <f t="shared" si="180"/>
        <v>406</v>
      </c>
      <c r="AA51" s="218">
        <f>AA52-AA47</f>
        <v>1794</v>
      </c>
      <c r="AB51" s="218">
        <f t="shared" ref="AB51:AD51" si="181">AB52-AB47</f>
        <v>5768</v>
      </c>
      <c r="AC51" s="218">
        <f t="shared" si="181"/>
        <v>1179</v>
      </c>
      <c r="AD51" s="218">
        <f t="shared" si="181"/>
        <v>1095</v>
      </c>
      <c r="AE51" s="218">
        <f>AE52-AE47</f>
        <v>1035</v>
      </c>
      <c r="AF51" s="218">
        <f t="shared" ref="AF51:AH51" si="182">AF52-AF47</f>
        <v>1984</v>
      </c>
      <c r="AG51" s="218">
        <f t="shared" si="182"/>
        <v>1131</v>
      </c>
      <c r="AH51" s="218">
        <f t="shared" si="182"/>
        <v>1755</v>
      </c>
      <c r="AI51" s="218">
        <f>AI52-AI47</f>
        <v>1262</v>
      </c>
      <c r="AJ51" s="218">
        <f t="shared" ref="AJ51:AL51" si="183">AJ52-AJ47</f>
        <v>2721</v>
      </c>
      <c r="AK51" s="218">
        <f t="shared" si="183"/>
        <v>1821</v>
      </c>
      <c r="AL51" s="218"/>
    </row>
    <row r="52" spans="2:38" s="26" customFormat="1">
      <c r="B52" s="26" t="s">
        <v>193</v>
      </c>
      <c r="C52" s="75">
        <v>5666.9610000000002</v>
      </c>
      <c r="D52" s="75">
        <v>13811.021000000001</v>
      </c>
      <c r="E52" s="75">
        <v>20681.120999999999</v>
      </c>
      <c r="F52" s="75">
        <v>18711.598000000002</v>
      </c>
      <c r="G52" s="222">
        <v>33602</v>
      </c>
      <c r="H52" s="222">
        <v>42452</v>
      </c>
      <c r="I52" s="222">
        <v>51923</v>
      </c>
      <c r="J52" s="222">
        <v>18344</v>
      </c>
      <c r="K52" s="221"/>
      <c r="L52" s="221"/>
      <c r="M52" s="222">
        <v>4514.3469999999998</v>
      </c>
      <c r="N52" s="222">
        <v>6900.4250000000002</v>
      </c>
      <c r="O52" s="222">
        <v>6601.7420000000002</v>
      </c>
      <c r="P52" s="221">
        <f>E52-SUM(M52:O52)</f>
        <v>2664.6069999999963</v>
      </c>
      <c r="Q52" s="222">
        <v>4939.8029999999999</v>
      </c>
      <c r="R52" s="222">
        <v>3746.8090000000002</v>
      </c>
      <c r="S52" s="222">
        <v>5863.0780000000004</v>
      </c>
      <c r="T52" s="221">
        <f>F52-SUM(Q52:S52)</f>
        <v>4161.9079999999994</v>
      </c>
      <c r="U52" s="222">
        <v>6066</v>
      </c>
      <c r="V52" s="222">
        <v>7175</v>
      </c>
      <c r="W52" s="222">
        <v>11463</v>
      </c>
      <c r="X52" s="221">
        <f>G52-SUM(U52:W52)</f>
        <v>8898</v>
      </c>
      <c r="Y52" s="222">
        <v>9499</v>
      </c>
      <c r="Z52" s="222">
        <v>10403</v>
      </c>
      <c r="AA52" s="222">
        <v>12889</v>
      </c>
      <c r="AB52" s="221">
        <f>H52-SUM(Y52:AA52)</f>
        <v>9661</v>
      </c>
      <c r="AC52" s="222">
        <v>10787</v>
      </c>
      <c r="AD52" s="222">
        <v>13530</v>
      </c>
      <c r="AE52" s="222">
        <v>15077</v>
      </c>
      <c r="AF52" s="221">
        <f>I52-SUM(AC52:AE52)</f>
        <v>12529</v>
      </c>
      <c r="AG52" s="222">
        <v>13702</v>
      </c>
      <c r="AH52" s="222">
        <v>2999</v>
      </c>
      <c r="AI52" s="222">
        <v>2466</v>
      </c>
      <c r="AJ52" s="221">
        <f>J52-SUM(AG52:AI52)</f>
        <v>-823</v>
      </c>
      <c r="AK52" s="222">
        <v>8018</v>
      </c>
      <c r="AL52" s="222"/>
    </row>
    <row r="53" spans="2:38" s="37" customFormat="1">
      <c r="B53" s="42" t="s">
        <v>191</v>
      </c>
      <c r="C53" s="68"/>
      <c r="D53" s="68">
        <f t="shared" ref="D53:J53" si="184">+D52/C52-1</f>
        <v>1.4371124135140509</v>
      </c>
      <c r="E53" s="68">
        <f t="shared" si="184"/>
        <v>0.49743606935359796</v>
      </c>
      <c r="F53" s="68">
        <f t="shared" si="184"/>
        <v>-9.5232893806868502E-2</v>
      </c>
      <c r="G53" s="68">
        <f t="shared" si="184"/>
        <v>0.79578462512929127</v>
      </c>
      <c r="H53" s="68">
        <f t="shared" si="184"/>
        <v>0.26337717992976617</v>
      </c>
      <c r="I53" s="68">
        <f t="shared" si="184"/>
        <v>0.22309902949213223</v>
      </c>
      <c r="J53" s="68">
        <f t="shared" si="184"/>
        <v>-0.64670762475203669</v>
      </c>
      <c r="K53" s="68"/>
      <c r="L53" s="50"/>
      <c r="M53" s="68"/>
      <c r="N53" s="68"/>
      <c r="O53" s="68"/>
      <c r="P53" s="68"/>
      <c r="Q53" s="68">
        <f t="shared" ref="Q53:AL53" si="185">Q52/M52-1</f>
        <v>9.4245302809021991E-2</v>
      </c>
      <c r="R53" s="68">
        <f t="shared" si="185"/>
        <v>-0.45701764746374318</v>
      </c>
      <c r="S53" s="68">
        <f t="shared" si="185"/>
        <v>-0.1118892558963982</v>
      </c>
      <c r="T53" s="68">
        <f t="shared" si="185"/>
        <v>0.56192188941934229</v>
      </c>
      <c r="U53" s="68">
        <f t="shared" si="185"/>
        <v>0.22798419289190286</v>
      </c>
      <c r="V53" s="68">
        <f t="shared" si="185"/>
        <v>0.91496283904517139</v>
      </c>
      <c r="W53" s="68">
        <f t="shared" si="185"/>
        <v>0.95511640813920584</v>
      </c>
      <c r="X53" s="68">
        <f t="shared" si="185"/>
        <v>1.1379617233249752</v>
      </c>
      <c r="Y53" s="68">
        <f t="shared" si="185"/>
        <v>0.56594131223211352</v>
      </c>
      <c r="Z53" s="68">
        <f t="shared" si="185"/>
        <v>0.44989547038327515</v>
      </c>
      <c r="AA53" s="68">
        <f t="shared" si="185"/>
        <v>0.1244002442641543</v>
      </c>
      <c r="AB53" s="68">
        <f t="shared" si="185"/>
        <v>8.5749606653180432E-2</v>
      </c>
      <c r="AC53" s="68">
        <f t="shared" si="185"/>
        <v>0.13559322033898313</v>
      </c>
      <c r="AD53" s="68">
        <f t="shared" si="185"/>
        <v>0.30058636931654337</v>
      </c>
      <c r="AE53" s="68">
        <f t="shared" si="185"/>
        <v>0.16975715726588558</v>
      </c>
      <c r="AF53" s="68">
        <f t="shared" si="185"/>
        <v>0.29686367870820818</v>
      </c>
      <c r="AG53" s="68">
        <f t="shared" si="185"/>
        <v>0.27023268749420604</v>
      </c>
      <c r="AH53" s="68">
        <f t="shared" si="185"/>
        <v>-0.77834441980783442</v>
      </c>
      <c r="AI53" s="68">
        <f t="shared" si="185"/>
        <v>-0.83643961000198974</v>
      </c>
      <c r="AJ53" s="68">
        <f t="shared" si="185"/>
        <v>-1.0656876047569639</v>
      </c>
      <c r="AK53" s="68">
        <f t="shared" si="185"/>
        <v>-0.41482995183184934</v>
      </c>
      <c r="AL53" s="68"/>
    </row>
    <row r="54" spans="2:38" s="37" customFormat="1">
      <c r="B54" s="42" t="s">
        <v>183</v>
      </c>
      <c r="C54" s="68">
        <f t="shared" ref="C54:K54" si="186">+C52/C7</f>
        <v>1.2265624769524197E-2</v>
      </c>
      <c r="D54" s="68">
        <f t="shared" si="186"/>
        <v>2.3940538566895712E-2</v>
      </c>
      <c r="E54" s="68">
        <f t="shared" si="186"/>
        <v>2.7730046528737253E-2</v>
      </c>
      <c r="F54" s="68">
        <f t="shared" si="186"/>
        <v>1.9663463933940761E-2</v>
      </c>
      <c r="G54" s="68">
        <f t="shared" si="186"/>
        <v>3.2117036691530397E-2</v>
      </c>
      <c r="H54" s="68">
        <f t="shared" si="186"/>
        <v>3.9138459722936732E-2</v>
      </c>
      <c r="I54" s="68">
        <f t="shared" si="186"/>
        <v>4.4806824879467806E-2</v>
      </c>
      <c r="J54" s="68">
        <f t="shared" si="186"/>
        <v>1.4012841030185205E-2</v>
      </c>
      <c r="K54" s="68"/>
      <c r="L54" s="50"/>
      <c r="M54" s="68">
        <f t="shared" ref="M54:AL54" si="187">+M52/M7</f>
        <v>3.0876786339397794E-2</v>
      </c>
      <c r="N54" s="68">
        <f t="shared" si="187"/>
        <v>3.4321242100967694E-2</v>
      </c>
      <c r="O54" s="68">
        <f t="shared" si="187"/>
        <v>3.7894339243841432E-2</v>
      </c>
      <c r="P54" s="68">
        <f t="shared" si="187"/>
        <v>1.1878165716648435E-2</v>
      </c>
      <c r="Q54" s="68">
        <f t="shared" si="187"/>
        <v>2.4312905516000748E-2</v>
      </c>
      <c r="R54" s="68">
        <f t="shared" si="187"/>
        <v>1.4762813480999464E-2</v>
      </c>
      <c r="S54" s="68">
        <f t="shared" si="187"/>
        <v>2.6807745500059949E-2</v>
      </c>
      <c r="T54" s="68">
        <f t="shared" si="187"/>
        <v>1.508445103509946E-2</v>
      </c>
      <c r="U54" s="68">
        <f t="shared" si="187"/>
        <v>2.5311385116104399E-2</v>
      </c>
      <c r="V54" s="68">
        <f t="shared" si="187"/>
        <v>2.6812406576980568E-2</v>
      </c>
      <c r="W54" s="68">
        <f t="shared" si="187"/>
        <v>4.7069209764510234E-2</v>
      </c>
      <c r="X54" s="68">
        <f t="shared" si="187"/>
        <v>3.0117178773786071E-2</v>
      </c>
      <c r="Y54" s="68">
        <f t="shared" si="187"/>
        <v>3.9097614382851219E-2</v>
      </c>
      <c r="Z54" s="68">
        <f t="shared" si="187"/>
        <v>3.6130183967686705E-2</v>
      </c>
      <c r="AA54" s="68">
        <f t="shared" si="187"/>
        <v>5.2035139565115587E-2</v>
      </c>
      <c r="AB54" s="68">
        <f t="shared" si="187"/>
        <v>3.1563952861534843E-2</v>
      </c>
      <c r="AC54" s="68">
        <f t="shared" si="187"/>
        <v>4.1480644032470801E-2</v>
      </c>
      <c r="AD54" s="68">
        <f t="shared" si="187"/>
        <v>4.6431500667474271E-2</v>
      </c>
      <c r="AE54" s="68">
        <f t="shared" si="187"/>
        <v>5.7902276227307814E-2</v>
      </c>
      <c r="AF54" s="68">
        <f t="shared" si="187"/>
        <v>3.6108085052422863E-2</v>
      </c>
      <c r="AG54" s="68">
        <f t="shared" si="187"/>
        <v>4.5509196830099442E-2</v>
      </c>
      <c r="AH54" s="68">
        <f t="shared" si="187"/>
        <v>8.4085683844557849E-3</v>
      </c>
      <c r="AI54" s="68">
        <f t="shared" si="187"/>
        <v>8.2458645284040934E-3</v>
      </c>
      <c r="AJ54" s="68">
        <f t="shared" si="187"/>
        <v>-2.3361833066503162E-3</v>
      </c>
      <c r="AK54" s="68">
        <f t="shared" si="187"/>
        <v>2.539801199896102E-2</v>
      </c>
      <c r="AL54" s="68"/>
    </row>
    <row r="55" spans="2:38" s="37" customFormat="1">
      <c r="B55" s="70"/>
      <c r="C55" s="62"/>
      <c r="D55" s="62"/>
      <c r="E55" s="62"/>
      <c r="F55" s="62"/>
      <c r="G55" s="62"/>
      <c r="H55" s="62"/>
      <c r="I55" s="62"/>
      <c r="J55" s="62"/>
      <c r="K55" s="62"/>
      <c r="L55" s="50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</row>
    <row r="56" spans="2:38" s="37" customFormat="1">
      <c r="B56" s="42" t="s">
        <v>194</v>
      </c>
      <c r="C56" s="68">
        <f t="shared" ref="C56:K56" si="188">-C65/C7</f>
        <v>3.0041481407724814E-2</v>
      </c>
      <c r="D56" s="68">
        <f t="shared" si="188"/>
        <v>6.3030812728097378E-3</v>
      </c>
      <c r="E56" s="68">
        <f t="shared" si="188"/>
        <v>6.5545878761695698E-3</v>
      </c>
      <c r="F56" s="68">
        <f t="shared" si="188"/>
        <v>1.4068001657777435E-2</v>
      </c>
      <c r="G56" s="68">
        <f t="shared" si="188"/>
        <v>1.0256768071448506E-2</v>
      </c>
      <c r="H56" s="68">
        <f t="shared" si="188"/>
        <v>8.303047400941491E-3</v>
      </c>
      <c r="I56" s="68">
        <f t="shared" si="188"/>
        <v>5.1526597337461675E-3</v>
      </c>
      <c r="J56" s="68">
        <f t="shared" si="188"/>
        <v>6.2791950102552545E-3</v>
      </c>
      <c r="K56" s="68"/>
      <c r="L56" s="50"/>
      <c r="M56" s="68">
        <f t="shared" ref="M56:AL56" si="189">-M65/M7</f>
        <v>0</v>
      </c>
      <c r="N56" s="68">
        <f t="shared" si="189"/>
        <v>0</v>
      </c>
      <c r="O56" s="68">
        <f t="shared" si="189"/>
        <v>0</v>
      </c>
      <c r="P56" s="68">
        <f t="shared" si="189"/>
        <v>0</v>
      </c>
      <c r="Q56" s="68">
        <f t="shared" si="189"/>
        <v>0</v>
      </c>
      <c r="R56" s="68">
        <f t="shared" si="189"/>
        <v>0</v>
      </c>
      <c r="S56" s="68">
        <f t="shared" si="189"/>
        <v>0</v>
      </c>
      <c r="T56" s="68">
        <f t="shared" si="189"/>
        <v>1.9865378120655273E-2</v>
      </c>
      <c r="U56" s="68">
        <f t="shared" si="189"/>
        <v>1.492979491352152E-2</v>
      </c>
      <c r="V56" s="68">
        <f t="shared" si="189"/>
        <v>2.040358744394619E-2</v>
      </c>
      <c r="W56" s="68">
        <f t="shared" si="189"/>
        <v>2.1787422752376454E-2</v>
      </c>
      <c r="X56" s="68">
        <f t="shared" si="189"/>
        <v>2.5845670613242354E-2</v>
      </c>
      <c r="Y56" s="68">
        <f t="shared" si="189"/>
        <v>1.3224616803042526E-2</v>
      </c>
      <c r="Z56" s="68">
        <f t="shared" si="189"/>
        <v>1.2527306889497831E-2</v>
      </c>
      <c r="AA56" s="68">
        <f t="shared" si="189"/>
        <v>2.0157611284709605E-2</v>
      </c>
      <c r="AB56" s="68">
        <f t="shared" si="189"/>
        <v>2.1448851106094218E-2</v>
      </c>
      <c r="AC56" s="68">
        <f t="shared" si="189"/>
        <v>1.1074835896311849E-2</v>
      </c>
      <c r="AD56" s="68">
        <f t="shared" si="189"/>
        <v>1.2378301767005152E-2</v>
      </c>
      <c r="AE56" s="68">
        <f t="shared" si="189"/>
        <v>2.0577064139146731E-2</v>
      </c>
      <c r="AF56" s="68">
        <f t="shared" si="189"/>
        <v>7.677543186180422E-3</v>
      </c>
      <c r="AG56" s="68">
        <f t="shared" si="189"/>
        <v>7.715506074757043E-3</v>
      </c>
      <c r="AH56" s="68">
        <f t="shared" si="189"/>
        <v>8.5010934783827739E-3</v>
      </c>
      <c r="AI56" s="68">
        <f t="shared" si="189"/>
        <v>8.6805613608017147E-3</v>
      </c>
      <c r="AJ56" s="68">
        <f t="shared" si="189"/>
        <v>1.3579952538292969E-2</v>
      </c>
      <c r="AK56" s="68">
        <f t="shared" si="189"/>
        <v>2.711803201834688E-2</v>
      </c>
      <c r="AL56" s="68"/>
    </row>
    <row r="57" spans="2:38" s="37" customFormat="1">
      <c r="B57" s="42" t="s">
        <v>195</v>
      </c>
      <c r="C57" s="68">
        <f t="shared" ref="C57:K57" si="190">C61/C7</f>
        <v>9.009554069742718E-3</v>
      </c>
      <c r="D57" s="68">
        <f t="shared" si="190"/>
        <v>3.4517763055225207E-4</v>
      </c>
      <c r="E57" s="68">
        <f t="shared" si="190"/>
        <v>1.539551751683288E-2</v>
      </c>
      <c r="F57" s="68">
        <f t="shared" si="190"/>
        <v>4.5870491698064168E-2</v>
      </c>
      <c r="G57" s="68">
        <f t="shared" si="190"/>
        <v>7.8223268937409919E-3</v>
      </c>
      <c r="H57" s="68">
        <f t="shared" si="190"/>
        <v>1.3087026188803516E-2</v>
      </c>
      <c r="I57" s="68">
        <f t="shared" si="190"/>
        <v>2.7131070512306063E-3</v>
      </c>
      <c r="J57" s="68">
        <f t="shared" si="190"/>
        <v>-1.009483723364029E-2</v>
      </c>
      <c r="K57" s="68"/>
      <c r="L57" s="50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</row>
    <row r="58" spans="2:38">
      <c r="C58" s="69"/>
      <c r="D58" s="69"/>
      <c r="E58" s="69"/>
      <c r="F58" s="69"/>
      <c r="G58" s="69"/>
      <c r="H58" s="69"/>
      <c r="I58" s="69"/>
      <c r="J58" s="69"/>
    </row>
    <row r="59" spans="2:38">
      <c r="B59" s="47" t="s">
        <v>196</v>
      </c>
      <c r="C59" s="51">
        <f t="shared" ref="C59:J59" si="191">C3</f>
        <v>43465</v>
      </c>
      <c r="D59" s="51">
        <f t="shared" si="191"/>
        <v>43830</v>
      </c>
      <c r="E59" s="51">
        <f t="shared" si="191"/>
        <v>44196</v>
      </c>
      <c r="F59" s="51">
        <f t="shared" si="191"/>
        <v>44561</v>
      </c>
      <c r="G59" s="51">
        <f t="shared" si="191"/>
        <v>44926</v>
      </c>
      <c r="H59" s="51">
        <f t="shared" si="191"/>
        <v>45291</v>
      </c>
      <c r="I59" s="51">
        <f t="shared" si="191"/>
        <v>45657</v>
      </c>
      <c r="J59" s="51">
        <f t="shared" si="191"/>
        <v>46022</v>
      </c>
      <c r="K59" s="51"/>
      <c r="L59" s="50"/>
      <c r="M59" s="51">
        <f t="shared" ref="M59:AL59" si="192">M3</f>
        <v>43921</v>
      </c>
      <c r="N59" s="51">
        <f t="shared" si="192"/>
        <v>44012</v>
      </c>
      <c r="O59" s="51">
        <f t="shared" si="192"/>
        <v>44104</v>
      </c>
      <c r="P59" s="51">
        <f t="shared" si="192"/>
        <v>44196</v>
      </c>
      <c r="Q59" s="51">
        <f t="shared" si="192"/>
        <v>44286</v>
      </c>
      <c r="R59" s="51">
        <f t="shared" si="192"/>
        <v>44377</v>
      </c>
      <c r="S59" s="51">
        <f t="shared" si="192"/>
        <v>44469</v>
      </c>
      <c r="T59" s="51">
        <f t="shared" si="192"/>
        <v>44561</v>
      </c>
      <c r="U59" s="51">
        <f t="shared" si="192"/>
        <v>44651</v>
      </c>
      <c r="V59" s="51">
        <f t="shared" si="192"/>
        <v>44742</v>
      </c>
      <c r="W59" s="51">
        <f t="shared" si="192"/>
        <v>44834</v>
      </c>
      <c r="X59" s="51">
        <f t="shared" si="192"/>
        <v>44926</v>
      </c>
      <c r="Y59" s="51">
        <f t="shared" si="192"/>
        <v>45016</v>
      </c>
      <c r="Z59" s="51">
        <f t="shared" si="192"/>
        <v>45107</v>
      </c>
      <c r="AA59" s="51">
        <f t="shared" si="192"/>
        <v>45199</v>
      </c>
      <c r="AB59" s="51">
        <f t="shared" si="192"/>
        <v>45291</v>
      </c>
      <c r="AC59" s="51">
        <f t="shared" si="192"/>
        <v>45382</v>
      </c>
      <c r="AD59" s="51">
        <f t="shared" si="192"/>
        <v>45473</v>
      </c>
      <c r="AE59" s="51">
        <f t="shared" si="192"/>
        <v>45565</v>
      </c>
      <c r="AF59" s="51">
        <f t="shared" si="192"/>
        <v>45657</v>
      </c>
      <c r="AG59" s="51">
        <f t="shared" si="192"/>
        <v>45747</v>
      </c>
      <c r="AH59" s="51">
        <f t="shared" si="192"/>
        <v>45838</v>
      </c>
      <c r="AI59" s="51">
        <f t="shared" si="192"/>
        <v>45930</v>
      </c>
      <c r="AJ59" s="51">
        <f t="shared" si="192"/>
        <v>46022</v>
      </c>
      <c r="AK59" s="51">
        <f t="shared" si="192"/>
        <v>46112</v>
      </c>
      <c r="AL59" s="51"/>
    </row>
    <row r="60" spans="2:38" s="26" customFormat="1">
      <c r="B60" s="26" t="s">
        <v>193</v>
      </c>
      <c r="C60" s="50">
        <f t="shared" ref="C60:E60" si="193">C52</f>
        <v>5666.9610000000002</v>
      </c>
      <c r="D60" s="50">
        <f t="shared" si="193"/>
        <v>13811.021000000001</v>
      </c>
      <c r="E60" s="50">
        <f t="shared" si="193"/>
        <v>20681.120999999999</v>
      </c>
      <c r="F60" s="50">
        <f t="shared" ref="F60" si="194">F52</f>
        <v>18711.598000000002</v>
      </c>
      <c r="G60" s="50">
        <f>G52</f>
        <v>33602</v>
      </c>
      <c r="H60" s="50">
        <f>H52</f>
        <v>42452</v>
      </c>
      <c r="I60" s="50">
        <f>I52</f>
        <v>51923</v>
      </c>
      <c r="J60" s="50">
        <f>J52</f>
        <v>18344</v>
      </c>
      <c r="K60" s="50"/>
      <c r="L60" s="50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</row>
    <row r="61" spans="2:38">
      <c r="B61" s="60" t="s">
        <v>197</v>
      </c>
      <c r="C61" s="57">
        <f>4162.592</f>
        <v>4162.5919999999996</v>
      </c>
      <c r="D61" s="57">
        <f>3723.398-13915.61+10391.341</f>
        <v>199.12900000000081</v>
      </c>
      <c r="E61" s="57">
        <f>-412.132+799.356+11094.782</f>
        <v>11482.005999999999</v>
      </c>
      <c r="F61" s="57">
        <f>-5632+16697+32585</f>
        <v>43650</v>
      </c>
      <c r="G61" s="57">
        <f>-7196+17658-2278</f>
        <v>8184</v>
      </c>
      <c r="H61" s="57">
        <f>-310+4614+9891</f>
        <v>14195</v>
      </c>
      <c r="I61" s="57">
        <f>-4546-20154+27844</f>
        <v>3144</v>
      </c>
      <c r="J61" s="57">
        <f>-2526-5780-4909</f>
        <v>-13215</v>
      </c>
      <c r="K61" s="110"/>
      <c r="L61" s="5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</row>
    <row r="62" spans="2:38">
      <c r="B62" s="60" t="s">
        <v>198</v>
      </c>
      <c r="C62" s="57">
        <f>-666.305-2342.058+5466.698</f>
        <v>2458.3350000000005</v>
      </c>
      <c r="D62" s="57">
        <v>-807.62199999999996</v>
      </c>
      <c r="E62" s="57">
        <v>-1190.0619999999999</v>
      </c>
      <c r="F62" s="57">
        <v>-2538</v>
      </c>
      <c r="G62" s="57">
        <v>-2555</v>
      </c>
      <c r="H62" s="57">
        <v>-5462</v>
      </c>
      <c r="I62" s="57">
        <v>-8807</v>
      </c>
      <c r="J62" s="57">
        <v>-8697</v>
      </c>
      <c r="K62" s="110"/>
      <c r="L62" s="5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</row>
    <row r="63" spans="2:38">
      <c r="B63" s="60" t="s">
        <v>199</v>
      </c>
      <c r="C63" s="57">
        <v>-421.03500000000003</v>
      </c>
      <c r="D63" s="57">
        <v>-679.12</v>
      </c>
      <c r="E63" s="57">
        <v>-1019.932</v>
      </c>
      <c r="F63" s="57">
        <v>-1221</v>
      </c>
      <c r="G63" s="57">
        <v>-2393</v>
      </c>
      <c r="H63" s="57">
        <v>-2808</v>
      </c>
      <c r="I63" s="57">
        <v>-2774</v>
      </c>
      <c r="J63" s="57">
        <v>-2684</v>
      </c>
      <c r="K63" s="110"/>
      <c r="L63" s="5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</row>
    <row r="64" spans="2:38" s="26" customFormat="1">
      <c r="B64" s="26" t="s">
        <v>200</v>
      </c>
      <c r="C64" s="67">
        <f t="shared" ref="C64:D64" si="195">SUM(C60:C63)</f>
        <v>11866.853000000001</v>
      </c>
      <c r="D64" s="67">
        <f t="shared" si="195"/>
        <v>12523.408000000001</v>
      </c>
      <c r="E64" s="67">
        <f t="shared" ref="E64:G64" si="196">SUM(E60:E63)</f>
        <v>29953.133000000002</v>
      </c>
      <c r="F64" s="67">
        <f t="shared" si="196"/>
        <v>58602.597999999998</v>
      </c>
      <c r="G64" s="67">
        <f t="shared" si="196"/>
        <v>36838</v>
      </c>
      <c r="H64" s="67">
        <f t="shared" ref="H64:J64" si="197">SUM(H60:H63)</f>
        <v>48377</v>
      </c>
      <c r="I64" s="67">
        <f t="shared" si="197"/>
        <v>43486</v>
      </c>
      <c r="J64" s="67">
        <f t="shared" si="197"/>
        <v>-6252</v>
      </c>
      <c r="K64" s="174"/>
      <c r="L64" s="50"/>
      <c r="M64" s="175"/>
      <c r="N64" s="175"/>
      <c r="O64" s="175"/>
      <c r="P64" s="175"/>
      <c r="Q64" s="175"/>
      <c r="R64" s="175"/>
      <c r="S64" s="175"/>
      <c r="T64" s="175">
        <v>6472</v>
      </c>
      <c r="U64" s="175">
        <v>-3485</v>
      </c>
      <c r="V64" s="175">
        <v>33667</v>
      </c>
      <c r="W64" s="175">
        <v>9151</v>
      </c>
      <c r="X64" s="175">
        <v>18486</v>
      </c>
      <c r="Y64" s="175">
        <v>-21607</v>
      </c>
      <c r="Z64" s="175">
        <v>46511</v>
      </c>
      <c r="AA64" s="175">
        <v>15004</v>
      </c>
      <c r="AB64" s="175">
        <v>19613</v>
      </c>
      <c r="AC64" s="190">
        <v>-11315</v>
      </c>
      <c r="AD64" s="190">
        <v>46511</v>
      </c>
      <c r="AE64" s="190">
        <v>-6219</v>
      </c>
      <c r="AF64" s="190">
        <v>24891</v>
      </c>
      <c r="AG64" s="190">
        <v>-18262</v>
      </c>
      <c r="AH64" s="190">
        <v>24409</v>
      </c>
      <c r="AI64" s="190">
        <v>-8035</v>
      </c>
      <c r="AJ64" s="190">
        <v>20879</v>
      </c>
      <c r="AK64" s="190">
        <v>555</v>
      </c>
      <c r="AL64" s="190"/>
    </row>
    <row r="65" spans="2:38">
      <c r="B65" s="60" t="s">
        <v>201</v>
      </c>
      <c r="C65" s="57">
        <f>-9743.453-4136.305</f>
        <v>-13879.758</v>
      </c>
      <c r="D65" s="57">
        <f>-2597.069-1039.106</f>
        <v>-3636.1750000000002</v>
      </c>
      <c r="E65" s="57">
        <f>-3370.165-1518.259</f>
        <v>-4888.424</v>
      </c>
      <c r="F65" s="57">
        <f>-5562-7825</f>
        <v>-13387</v>
      </c>
      <c r="G65" s="57">
        <f>-5495-5236</f>
        <v>-10731</v>
      </c>
      <c r="H65" s="57">
        <f>-4025-4981</f>
        <v>-9006</v>
      </c>
      <c r="I65" s="57">
        <f>-5353-618</f>
        <v>-5971</v>
      </c>
      <c r="J65" s="57">
        <f>-7823-397</f>
        <v>-8220</v>
      </c>
      <c r="K65" s="188"/>
      <c r="L65" s="50"/>
      <c r="M65" s="110"/>
      <c r="N65" s="110"/>
      <c r="O65" s="110"/>
      <c r="P65" s="110"/>
      <c r="Q65" s="110"/>
      <c r="R65" s="110"/>
      <c r="S65" s="110"/>
      <c r="T65" s="110">
        <f>-3867-1614</f>
        <v>-5481</v>
      </c>
      <c r="U65" s="110">
        <f>-902-2676</f>
        <v>-3578</v>
      </c>
      <c r="V65" s="110">
        <f>-4947-513</f>
        <v>-5460</v>
      </c>
      <c r="W65" s="110">
        <f>-3784-1522</f>
        <v>-5306</v>
      </c>
      <c r="X65" s="110">
        <f>-6097-1539</f>
        <v>-7636</v>
      </c>
      <c r="Y65" s="110">
        <f>-2145-1068</f>
        <v>-3213</v>
      </c>
      <c r="Z65" s="110">
        <f>-2363-1244</f>
        <v>-3607</v>
      </c>
      <c r="AA65" s="110">
        <f>-3013-1980</f>
        <v>-4993</v>
      </c>
      <c r="AB65" s="110">
        <f>-4596-1969</f>
        <v>-6565</v>
      </c>
      <c r="AC65" s="191">
        <f>-1360-1520</f>
        <v>-2880</v>
      </c>
      <c r="AD65" s="191">
        <f>-2363-1244</f>
        <v>-3607</v>
      </c>
      <c r="AE65" s="191">
        <f>-3461-1897</f>
        <v>-5358</v>
      </c>
      <c r="AF65" s="191">
        <f>-875-1789</f>
        <v>-2664</v>
      </c>
      <c r="AG65" s="191">
        <f>-915-1408</f>
        <v>-2323</v>
      </c>
      <c r="AH65" s="191">
        <f>-1076-1956</f>
        <v>-3032</v>
      </c>
      <c r="AI65" s="191">
        <f>-78-2518</f>
        <v>-2596</v>
      </c>
      <c r="AJ65" s="191">
        <f>-2029-2755</f>
        <v>-4784</v>
      </c>
      <c r="AK65" s="191">
        <f>-5063-3498</f>
        <v>-8561</v>
      </c>
      <c r="AL65" s="191"/>
    </row>
    <row r="66" spans="2:38">
      <c r="B66" s="60" t="s">
        <v>202</v>
      </c>
      <c r="C66" s="57">
        <v>-130.797</v>
      </c>
      <c r="D66" s="57">
        <v>-41.448999999999998</v>
      </c>
      <c r="E66" s="57">
        <v>-19.361000000000001</v>
      </c>
      <c r="F66" s="57">
        <v>-23</v>
      </c>
      <c r="G66" s="57">
        <v>-10</v>
      </c>
      <c r="H66" s="57">
        <v>-3</v>
      </c>
      <c r="I66" s="57">
        <v>-132</v>
      </c>
      <c r="J66" s="57">
        <v>0</v>
      </c>
      <c r="K66" s="188"/>
      <c r="L66" s="50"/>
      <c r="M66" s="110"/>
      <c r="N66" s="110"/>
      <c r="O66" s="110"/>
      <c r="P66" s="110"/>
      <c r="Q66" s="110"/>
      <c r="R66" s="110"/>
      <c r="S66" s="110"/>
      <c r="T66" s="110">
        <v>1031</v>
      </c>
      <c r="U66" s="110">
        <v>-1734</v>
      </c>
      <c r="V66" s="110">
        <v>-1802</v>
      </c>
      <c r="W66" s="110">
        <v>-1506</v>
      </c>
      <c r="X66" s="110">
        <v>1194</v>
      </c>
      <c r="Y66" s="110">
        <v>-582</v>
      </c>
      <c r="Z66" s="110">
        <v>-1586</v>
      </c>
      <c r="AA66" s="110">
        <v>-1747</v>
      </c>
      <c r="AB66" s="110">
        <v>251</v>
      </c>
      <c r="AC66" s="191">
        <v>-1281</v>
      </c>
      <c r="AD66" s="191">
        <v>-1586</v>
      </c>
      <c r="AE66" s="191">
        <v>-2232</v>
      </c>
      <c r="AF66" s="191">
        <v>1243</v>
      </c>
      <c r="AG66" s="191">
        <v>-1018</v>
      </c>
      <c r="AH66" s="191">
        <v>641</v>
      </c>
      <c r="AI66" s="191">
        <v>-618</v>
      </c>
      <c r="AJ66" s="191">
        <v>1215</v>
      </c>
      <c r="AK66" s="191">
        <v>-1973</v>
      </c>
      <c r="AL66" s="191"/>
    </row>
    <row r="67" spans="2:38">
      <c r="B67" s="60" t="s">
        <v>203</v>
      </c>
      <c r="C67" s="57">
        <v>-19.577999999999999</v>
      </c>
      <c r="D67" s="57">
        <v>-41.38</v>
      </c>
      <c r="E67" s="57">
        <v>671.35599999999999</v>
      </c>
      <c r="F67" s="57">
        <v>-321</v>
      </c>
      <c r="G67" s="57">
        <v>-15684</v>
      </c>
      <c r="H67" s="57">
        <v>0</v>
      </c>
      <c r="I67" s="57">
        <v>-2776</v>
      </c>
      <c r="J67" s="57">
        <v>-1105</v>
      </c>
      <c r="K67" s="174"/>
      <c r="L67" s="5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</row>
    <row r="68" spans="2:38" s="26" customFormat="1">
      <c r="B68" s="66" t="s">
        <v>204</v>
      </c>
      <c r="C68" s="50">
        <f t="shared" ref="C68:D68" si="198">SUM(C64:C67)</f>
        <v>-2163.2799999999988</v>
      </c>
      <c r="D68" s="50">
        <f t="shared" si="198"/>
        <v>8804.4040000000005</v>
      </c>
      <c r="E68" s="50">
        <f t="shared" ref="E68:G68" si="199">SUM(E64:E67)</f>
        <v>25716.704000000002</v>
      </c>
      <c r="F68" s="50">
        <f t="shared" si="199"/>
        <v>44871.597999999998</v>
      </c>
      <c r="G68" s="50">
        <f t="shared" si="199"/>
        <v>10413</v>
      </c>
      <c r="H68" s="50">
        <f t="shared" ref="H68:J68" si="200">SUM(H64:H67)</f>
        <v>39368</v>
      </c>
      <c r="I68" s="50">
        <f t="shared" si="200"/>
        <v>34607</v>
      </c>
      <c r="J68" s="50">
        <f t="shared" si="200"/>
        <v>-15577</v>
      </c>
      <c r="K68" s="175"/>
      <c r="L68" s="50"/>
      <c r="M68" s="175"/>
      <c r="N68" s="175"/>
      <c r="O68" s="175"/>
      <c r="P68" s="175"/>
      <c r="Q68" s="175"/>
      <c r="R68" s="175"/>
      <c r="S68" s="175"/>
      <c r="T68" s="175">
        <v>2292</v>
      </c>
      <c r="U68" s="175">
        <v>-8797</v>
      </c>
      <c r="V68" s="175">
        <v>33009</v>
      </c>
      <c r="W68" s="175">
        <v>2339</v>
      </c>
      <c r="X68" s="175">
        <v>12044</v>
      </c>
      <c r="Y68" s="175">
        <v>-25402</v>
      </c>
      <c r="Z68" s="175">
        <v>44490</v>
      </c>
      <c r="AA68" s="175">
        <v>8264</v>
      </c>
      <c r="AB68" s="175">
        <v>13299</v>
      </c>
      <c r="AC68" s="175">
        <f t="shared" ref="AC68:AG68" si="201">SUM(AC64:AC66)</f>
        <v>-15476</v>
      </c>
      <c r="AD68" s="175">
        <f t="shared" si="201"/>
        <v>41318</v>
      </c>
      <c r="AE68" s="175">
        <f t="shared" si="201"/>
        <v>-13809</v>
      </c>
      <c r="AF68" s="175">
        <f t="shared" si="201"/>
        <v>23470</v>
      </c>
      <c r="AG68" s="175">
        <f t="shared" si="201"/>
        <v>-21603</v>
      </c>
      <c r="AH68" s="175">
        <f>SUM(AH64:AH66)</f>
        <v>22018</v>
      </c>
      <c r="AI68" s="175">
        <f t="shared" ref="AI68:AK68" si="202">SUM(AI64:AI66)</f>
        <v>-11249</v>
      </c>
      <c r="AJ68" s="175">
        <f t="shared" si="202"/>
        <v>17310</v>
      </c>
      <c r="AK68" s="175">
        <f t="shared" si="202"/>
        <v>-9979</v>
      </c>
      <c r="AL68" s="175"/>
    </row>
    <row r="69" spans="2:38" s="26" customFormat="1">
      <c r="B69" s="60" t="s">
        <v>205</v>
      </c>
      <c r="C69" s="57">
        <f>-26078.992-SUM(C65:C67)</f>
        <v>-12048.858999999999</v>
      </c>
      <c r="D69" s="57">
        <f>-25349.357-SUM(D65:D67)</f>
        <v>-21630.352999999999</v>
      </c>
      <c r="E69" s="57">
        <f>-57810.588-SUM(E65:E67)</f>
        <v>-53574.159</v>
      </c>
      <c r="F69" s="57">
        <f>-74248-SUM(F65:F67)</f>
        <v>-60517</v>
      </c>
      <c r="G69" s="57">
        <f>-54026-SUM(G65:G67)</f>
        <v>-27601</v>
      </c>
      <c r="H69" s="57">
        <f>-59543-SUM(H65:H67)</f>
        <v>-50534</v>
      </c>
      <c r="I69" s="57">
        <f>-871-SUM(I65:I67)</f>
        <v>8008</v>
      </c>
      <c r="J69" s="57">
        <f>-80193+133308-60+3213-935+2881-83617+82915+169-3607-5964+4887-680-1160</f>
        <v>51157</v>
      </c>
      <c r="K69" s="110"/>
      <c r="L69" s="5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</row>
    <row r="70" spans="2:38">
      <c r="B70" s="60" t="s">
        <v>206</v>
      </c>
      <c r="C70" s="57">
        <f>3531.87+48.555+15958.792</f>
        <v>19539.217000000001</v>
      </c>
      <c r="D70" s="57">
        <v>112.15300000000001</v>
      </c>
      <c r="E70" s="57">
        <f>31341.555+235.889+443.039</f>
        <v>32020.483</v>
      </c>
      <c r="F70" s="57">
        <f>0+62+0</f>
        <v>62</v>
      </c>
      <c r="G70" s="57">
        <v>1043</v>
      </c>
      <c r="H70" s="57">
        <v>33</v>
      </c>
      <c r="I70" s="57">
        <v>27</v>
      </c>
      <c r="J70" s="57">
        <v>33</v>
      </c>
      <c r="K70" s="110"/>
      <c r="L70" s="5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</row>
    <row r="71" spans="2:38">
      <c r="B71" s="60" t="s">
        <v>207</v>
      </c>
      <c r="C71" s="57">
        <v>0</v>
      </c>
      <c r="D71" s="57">
        <v>0</v>
      </c>
      <c r="E71" s="57">
        <v>0</v>
      </c>
      <c r="F71" s="57">
        <v>0</v>
      </c>
      <c r="G71" s="57">
        <v>-13087</v>
      </c>
      <c r="H71" s="57">
        <v>-6741</v>
      </c>
      <c r="I71" s="57">
        <v>-8263</v>
      </c>
      <c r="J71" s="57">
        <v>-10379</v>
      </c>
      <c r="K71" s="110"/>
      <c r="L71" s="5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</row>
    <row r="72" spans="2:38">
      <c r="B72" s="60" t="s">
        <v>208</v>
      </c>
      <c r="C72" s="57">
        <f>-1200+2890.575-11960.194</f>
        <v>-10269.618999999999</v>
      </c>
      <c r="D72" s="57">
        <f>-5969.768-3886.227</f>
        <v>-9855.994999999999</v>
      </c>
      <c r="E72" s="57">
        <f>14765.536-16581.632-123.296+6803.716-72.326</f>
        <v>4791.9979999999987</v>
      </c>
      <c r="F72" s="57">
        <f>7133-5982-29+0-3246</f>
        <v>-2124</v>
      </c>
      <c r="G72" s="57">
        <f>33208-31804+14101-3635-31</f>
        <v>11839</v>
      </c>
      <c r="H72" s="57">
        <f>17343-16192+13157-11195-0</f>
        <v>3113</v>
      </c>
      <c r="I72" s="57">
        <f>13628-13253+13999</f>
        <v>14374</v>
      </c>
      <c r="J72" s="57">
        <f>34271-24003</f>
        <v>10268</v>
      </c>
      <c r="K72" s="110"/>
      <c r="L72" s="5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</row>
    <row r="73" spans="2:38">
      <c r="B73" s="60" t="s">
        <v>209</v>
      </c>
      <c r="C73" s="57">
        <f>11219.928-SUM(C70:C72)</f>
        <v>1950.3299999999981</v>
      </c>
      <c r="D73" s="57">
        <f>2572.467-SUM(D70:D72)</f>
        <v>12316.308999999999</v>
      </c>
      <c r="E73" s="57">
        <f>71071.595-SUM(E70:E72)</f>
        <v>34259.114000000001</v>
      </c>
      <c r="F73" s="57">
        <f>19503-SUM(F70:F72)</f>
        <v>21565</v>
      </c>
      <c r="G73" s="57">
        <f>1180-SUM(G70:G72)</f>
        <v>1385</v>
      </c>
      <c r="H73" s="57">
        <f>-5808-SUM(H70:H72)</f>
        <v>-2213</v>
      </c>
      <c r="I73" s="57">
        <f>-25912+31-829-432</f>
        <v>-27142</v>
      </c>
      <c r="J73" s="57">
        <f>-21430+2650-7175-695</f>
        <v>-26650</v>
      </c>
      <c r="K73" s="110"/>
      <c r="L73" s="5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</row>
    <row r="74" spans="2:38">
      <c r="B74" s="66" t="s">
        <v>210</v>
      </c>
      <c r="C74" s="50">
        <f t="shared" ref="C74:D74" si="203">SUM(C68:C73)</f>
        <v>-2992.2109999999975</v>
      </c>
      <c r="D74" s="50">
        <f t="shared" si="203"/>
        <v>-10253.481999999998</v>
      </c>
      <c r="E74" s="50">
        <f t="shared" ref="E74:G74" si="204">SUM(E68:E73)</f>
        <v>43214.14</v>
      </c>
      <c r="F74" s="50">
        <f t="shared" si="204"/>
        <v>3857.5979999999981</v>
      </c>
      <c r="G74" s="50">
        <f t="shared" si="204"/>
        <v>-16008</v>
      </c>
      <c r="H74" s="50">
        <f t="shared" ref="H74:J74" si="205">SUM(H68:H73)</f>
        <v>-16974</v>
      </c>
      <c r="I74" s="50">
        <f t="shared" si="205"/>
        <v>21611</v>
      </c>
      <c r="J74" s="50">
        <f t="shared" si="205"/>
        <v>8852</v>
      </c>
      <c r="K74" s="175"/>
      <c r="L74" s="5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</row>
    <row r="75" spans="2:38" s="244" customFormat="1">
      <c r="B75" s="60" t="s">
        <v>211</v>
      </c>
      <c r="C75" s="242">
        <f>7703.521-C74-C76</f>
        <v>9014.5689999999959</v>
      </c>
      <c r="D75" s="242">
        <f>2410.221-D74-D76</f>
        <v>12257.811999999998</v>
      </c>
      <c r="E75" s="242">
        <f>50722.944-E74-E76</f>
        <v>12591.184000000005</v>
      </c>
      <c r="F75" s="242">
        <f>-13942-F74-F76</f>
        <v>-16301.597999999998</v>
      </c>
      <c r="G75" s="242">
        <f>8463-G74-G76</f>
        <v>20981</v>
      </c>
      <c r="H75" s="242">
        <f>-5705-H74-H76</f>
        <v>11144</v>
      </c>
      <c r="I75" s="242">
        <f>36318-I74-I76</f>
        <v>14609</v>
      </c>
      <c r="J75" s="242">
        <f>33909-J74-J76</f>
        <v>25243</v>
      </c>
      <c r="K75" s="191"/>
      <c r="L75" s="243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</row>
    <row r="76" spans="2:38">
      <c r="B76" s="60" t="s">
        <v>212</v>
      </c>
      <c r="C76" s="57">
        <v>1681.163</v>
      </c>
      <c r="D76" s="57">
        <v>405.89100000000002</v>
      </c>
      <c r="E76" s="57">
        <v>-5082.38</v>
      </c>
      <c r="F76" s="57">
        <v>-1498</v>
      </c>
      <c r="G76" s="57">
        <v>3490</v>
      </c>
      <c r="H76" s="57">
        <v>125</v>
      </c>
      <c r="I76" s="57">
        <v>98</v>
      </c>
      <c r="J76" s="57">
        <v>-186</v>
      </c>
      <c r="K76" s="110"/>
      <c r="L76" s="5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</row>
    <row r="77" spans="2:38">
      <c r="B77" s="60" t="s">
        <v>213</v>
      </c>
      <c r="C77" s="13">
        <f t="shared" ref="C77" si="206">SUM(C74:C76)</f>
        <v>7703.5209999999988</v>
      </c>
      <c r="D77" s="13">
        <f t="shared" ref="D77" si="207">SUM(D74:D76)</f>
        <v>2410.221</v>
      </c>
      <c r="E77" s="13">
        <f>SUM(E74:E76)-115.918</f>
        <v>50607.026000000013</v>
      </c>
      <c r="F77" s="13">
        <f>SUM(F74:F76)</f>
        <v>-13942</v>
      </c>
      <c r="G77" s="13">
        <f>SUM(G74:G76)</f>
        <v>8463</v>
      </c>
      <c r="H77" s="13">
        <f>SUM(H74:H76)+41</f>
        <v>-5664</v>
      </c>
      <c r="I77" s="13">
        <f>SUM(I74:I76)+53</f>
        <v>36371</v>
      </c>
      <c r="J77" s="13">
        <f>SUM(J74:J76)</f>
        <v>33909</v>
      </c>
      <c r="K77" s="110"/>
      <c r="L77" s="5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</row>
    <row r="78" spans="2:38">
      <c r="B78" s="66" t="s">
        <v>214</v>
      </c>
      <c r="C78" s="50">
        <f>29798.537+C77</f>
        <v>37502.057999999997</v>
      </c>
      <c r="D78" s="50">
        <f>C78+D77</f>
        <v>39912.278999999995</v>
      </c>
      <c r="E78" s="50">
        <f>D78+E77</f>
        <v>90519.305000000008</v>
      </c>
      <c r="F78" s="50">
        <f>E78+F77+115.918</f>
        <v>76693.223000000013</v>
      </c>
      <c r="G78" s="50">
        <f>F78+G77-41.2</f>
        <v>85115.023000000016</v>
      </c>
      <c r="H78" s="50">
        <f>G78+H77-53</f>
        <v>79398.023000000016</v>
      </c>
      <c r="I78" s="50">
        <f>H78+I77-53</f>
        <v>115716.02300000002</v>
      </c>
      <c r="J78" s="50">
        <f>I78+J77</f>
        <v>149625.02300000002</v>
      </c>
      <c r="K78" s="110"/>
      <c r="L78" s="5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</row>
    <row r="79" spans="2:38">
      <c r="B79" s="66"/>
      <c r="C79" s="57"/>
      <c r="D79" s="57"/>
      <c r="E79" s="57"/>
      <c r="F79" s="57"/>
      <c r="G79" s="57"/>
      <c r="H79" s="57"/>
      <c r="I79" s="57"/>
      <c r="J79" s="57"/>
      <c r="K79" s="13"/>
      <c r="L79" s="50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</row>
    <row r="80" spans="2:38" s="248" customFormat="1" ht="10.5">
      <c r="B80" s="123" t="s">
        <v>215</v>
      </c>
      <c r="C80" s="250">
        <f>+C78-C120-3239.613+2035.575</f>
        <v>0</v>
      </c>
      <c r="D80" s="245">
        <f>+D78-D120-2940.859+24603</f>
        <v>0.22299999999449938</v>
      </c>
      <c r="E80" s="245">
        <f>+E78-E120-4434.448+60577</f>
        <v>-0.11000000000058208</v>
      </c>
      <c r="F80" s="246">
        <f>+F78-F120-5926.692+114564</f>
        <v>-0.21799999999348074</v>
      </c>
      <c r="G80" s="245">
        <f>+G78-G120-6254+141095</f>
        <v>2.3000000015599653E-2</v>
      </c>
      <c r="H80" s="245">
        <f>+H78-H120-7506+118254</f>
        <v>2.3000000015599653E-2</v>
      </c>
      <c r="I80" s="245">
        <f>+I78-I120-7366+125645</f>
        <v>2.3000000015599653E-2</v>
      </c>
      <c r="J80" s="245">
        <f>+J78-J120-12137+75744</f>
        <v>2.3000000015599653E-2</v>
      </c>
      <c r="K80" s="245"/>
      <c r="L80" s="247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  <c r="AJ80" s="245"/>
      <c r="AK80" s="245"/>
      <c r="AL80" s="245"/>
    </row>
    <row r="81" spans="2:38" s="248" customFormat="1" ht="10.5">
      <c r="B81" s="123" t="s">
        <v>216</v>
      </c>
      <c r="C81" s="249">
        <f>20881.422-(C64+C75)</f>
        <v>0</v>
      </c>
      <c r="D81" s="249">
        <f>24781.22-(D64+D75)</f>
        <v>0</v>
      </c>
      <c r="E81" s="249">
        <f>42544.317-(E64+E75)</f>
        <v>0</v>
      </c>
      <c r="F81" s="249">
        <f>42301-(F64+F75)</f>
        <v>0</v>
      </c>
      <c r="G81" s="249">
        <f>57819-(G64+G75)</f>
        <v>0</v>
      </c>
      <c r="H81" s="249">
        <f>59521-(H64+H75)</f>
        <v>0</v>
      </c>
      <c r="I81" s="249">
        <f>58095-(I64+I75)</f>
        <v>0</v>
      </c>
      <c r="J81" s="249">
        <f>18991-(J64+J75)</f>
        <v>0</v>
      </c>
      <c r="K81" s="249"/>
      <c r="L81" s="247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</row>
    <row r="82" spans="2:38">
      <c r="C82" s="65"/>
      <c r="D82" s="65"/>
      <c r="E82" s="65"/>
      <c r="F82" s="65"/>
      <c r="G82" s="65"/>
      <c r="H82" s="65"/>
      <c r="I82" s="65"/>
      <c r="J82" s="65"/>
      <c r="K82" s="65"/>
      <c r="L82" s="50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</row>
    <row r="83" spans="2:38">
      <c r="B83" s="47" t="s">
        <v>217</v>
      </c>
      <c r="C83" s="51">
        <f t="shared" ref="C83:J83" si="208">C3</f>
        <v>43465</v>
      </c>
      <c r="D83" s="51">
        <f t="shared" si="208"/>
        <v>43830</v>
      </c>
      <c r="E83" s="51">
        <f t="shared" si="208"/>
        <v>44196</v>
      </c>
      <c r="F83" s="51">
        <f t="shared" si="208"/>
        <v>44561</v>
      </c>
      <c r="G83" s="51">
        <f t="shared" si="208"/>
        <v>44926</v>
      </c>
      <c r="H83" s="51">
        <f t="shared" si="208"/>
        <v>45291</v>
      </c>
      <c r="I83" s="51">
        <f t="shared" si="208"/>
        <v>45657</v>
      </c>
      <c r="J83" s="51">
        <f t="shared" si="208"/>
        <v>46022</v>
      </c>
      <c r="K83" s="51"/>
      <c r="L83" s="50"/>
      <c r="M83" s="51">
        <f t="shared" ref="M83:AL83" si="209">M3</f>
        <v>43921</v>
      </c>
      <c r="N83" s="51">
        <f t="shared" si="209"/>
        <v>44012</v>
      </c>
      <c r="O83" s="51">
        <f t="shared" si="209"/>
        <v>44104</v>
      </c>
      <c r="P83" s="51">
        <f t="shared" si="209"/>
        <v>44196</v>
      </c>
      <c r="Q83" s="51">
        <f t="shared" si="209"/>
        <v>44286</v>
      </c>
      <c r="R83" s="51">
        <f t="shared" si="209"/>
        <v>44377</v>
      </c>
      <c r="S83" s="51">
        <f t="shared" si="209"/>
        <v>44469</v>
      </c>
      <c r="T83" s="51">
        <f t="shared" si="209"/>
        <v>44561</v>
      </c>
      <c r="U83" s="51">
        <f t="shared" si="209"/>
        <v>44651</v>
      </c>
      <c r="V83" s="51">
        <f t="shared" si="209"/>
        <v>44742</v>
      </c>
      <c r="W83" s="51">
        <f t="shared" si="209"/>
        <v>44834</v>
      </c>
      <c r="X83" s="51">
        <f t="shared" si="209"/>
        <v>44926</v>
      </c>
      <c r="Y83" s="51">
        <f t="shared" si="209"/>
        <v>45016</v>
      </c>
      <c r="Z83" s="51">
        <f t="shared" si="209"/>
        <v>45107</v>
      </c>
      <c r="AA83" s="51">
        <f t="shared" si="209"/>
        <v>45199</v>
      </c>
      <c r="AB83" s="51">
        <f t="shared" si="209"/>
        <v>45291</v>
      </c>
      <c r="AC83" s="51">
        <f t="shared" si="209"/>
        <v>45382</v>
      </c>
      <c r="AD83" s="51">
        <f t="shared" si="209"/>
        <v>45473</v>
      </c>
      <c r="AE83" s="51">
        <f t="shared" si="209"/>
        <v>45565</v>
      </c>
      <c r="AF83" s="51">
        <f t="shared" si="209"/>
        <v>45657</v>
      </c>
      <c r="AG83" s="51">
        <f t="shared" si="209"/>
        <v>45747</v>
      </c>
      <c r="AH83" s="51">
        <f t="shared" si="209"/>
        <v>45838</v>
      </c>
      <c r="AI83" s="51">
        <f t="shared" si="209"/>
        <v>45930</v>
      </c>
      <c r="AJ83" s="51">
        <f t="shared" si="209"/>
        <v>46022</v>
      </c>
      <c r="AK83" s="51">
        <f t="shared" si="209"/>
        <v>46112</v>
      </c>
      <c r="AL83" s="51"/>
    </row>
    <row r="84" spans="2:38">
      <c r="B84" s="21" t="str">
        <f t="shared" ref="B84:K84" si="210">B7</f>
        <v>Revenue</v>
      </c>
      <c r="C84" s="13">
        <f t="shared" si="210"/>
        <v>462019.75900000002</v>
      </c>
      <c r="D84" s="13">
        <f t="shared" si="210"/>
        <v>576888.48400000005</v>
      </c>
      <c r="E84" s="13">
        <f t="shared" si="210"/>
        <v>745801.88600000006</v>
      </c>
      <c r="F84" s="13">
        <f t="shared" si="210"/>
        <v>951592.15399999998</v>
      </c>
      <c r="G84" s="13">
        <f t="shared" si="210"/>
        <v>1046236</v>
      </c>
      <c r="H84" s="13">
        <f t="shared" si="210"/>
        <v>1084662</v>
      </c>
      <c r="I84" s="13">
        <f t="shared" si="210"/>
        <v>1158819</v>
      </c>
      <c r="J84" s="13">
        <f t="shared" si="210"/>
        <v>1309085</v>
      </c>
      <c r="K84" s="13"/>
      <c r="L84" s="50"/>
      <c r="M84" s="110"/>
      <c r="N84" s="110"/>
      <c r="O84" s="110"/>
      <c r="P84" s="13">
        <f t="shared" ref="P84:AL84" si="211">SUM(M7:P7)</f>
        <v>745801.88600000006</v>
      </c>
      <c r="Q84" s="13">
        <f t="shared" si="211"/>
        <v>802772.84600000002</v>
      </c>
      <c r="R84" s="13">
        <f t="shared" si="211"/>
        <v>855519.25800000003</v>
      </c>
      <c r="S84" s="13">
        <f t="shared" si="211"/>
        <v>900013.152</v>
      </c>
      <c r="T84" s="13">
        <f t="shared" si="211"/>
        <v>951592.15399999998</v>
      </c>
      <c r="U84" s="13">
        <f t="shared" si="211"/>
        <v>988070.98499999999</v>
      </c>
      <c r="V84" s="13">
        <f t="shared" si="211"/>
        <v>1001870.515</v>
      </c>
      <c r="W84" s="13">
        <f t="shared" si="211"/>
        <v>1026697.157</v>
      </c>
      <c r="X84" s="13">
        <f t="shared" si="211"/>
        <v>1046236</v>
      </c>
      <c r="Y84" s="13">
        <f t="shared" si="211"/>
        <v>1049537</v>
      </c>
      <c r="Z84" s="13">
        <f t="shared" si="211"/>
        <v>1069868</v>
      </c>
      <c r="AA84" s="13">
        <f t="shared" si="211"/>
        <v>1074031</v>
      </c>
      <c r="AB84" s="13">
        <f t="shared" si="211"/>
        <v>1084662</v>
      </c>
      <c r="AC84" s="13">
        <f t="shared" si="211"/>
        <v>1101755</v>
      </c>
      <c r="AD84" s="13">
        <f t="shared" si="211"/>
        <v>1105221</v>
      </c>
      <c r="AE84" s="13">
        <f t="shared" si="211"/>
        <v>1117910</v>
      </c>
      <c r="AF84" s="13">
        <f t="shared" si="211"/>
        <v>1158819</v>
      </c>
      <c r="AG84" s="13">
        <f t="shared" si="211"/>
        <v>1199852</v>
      </c>
      <c r="AH84" s="13">
        <f t="shared" si="211"/>
        <v>1265115</v>
      </c>
      <c r="AI84" s="13">
        <f t="shared" si="211"/>
        <v>1303787</v>
      </c>
      <c r="AJ84" s="13">
        <f t="shared" si="211"/>
        <v>1309085</v>
      </c>
      <c r="AK84" s="13">
        <f t="shared" si="211"/>
        <v>1323697</v>
      </c>
      <c r="AL84" s="13"/>
    </row>
    <row r="85" spans="2:38">
      <c r="B85" s="21" t="s">
        <v>175</v>
      </c>
      <c r="C85" s="13">
        <f t="shared" ref="C85:K85" si="212">C19</f>
        <v>-2619.1309999999648</v>
      </c>
      <c r="D85" s="13">
        <f t="shared" si="212"/>
        <v>8994.8800000000629</v>
      </c>
      <c r="E85" s="13">
        <f t="shared" si="212"/>
        <v>12342.82000000008</v>
      </c>
      <c r="F85" s="13">
        <f t="shared" si="212"/>
        <v>4140.9499999999243</v>
      </c>
      <c r="G85" s="13">
        <f t="shared" si="212"/>
        <v>19723</v>
      </c>
      <c r="H85" s="13">
        <f t="shared" si="212"/>
        <v>26025</v>
      </c>
      <c r="I85" s="13">
        <f t="shared" si="212"/>
        <v>38736</v>
      </c>
      <c r="J85" s="13">
        <f t="shared" si="212"/>
        <v>2774</v>
      </c>
      <c r="K85" s="13"/>
      <c r="L85" s="50"/>
      <c r="M85" s="110"/>
      <c r="N85" s="110"/>
      <c r="O85" s="110"/>
      <c r="P85" s="13">
        <f t="shared" ref="P85:AL85" si="213">SUM(M19:P19)</f>
        <v>12342.820000000072</v>
      </c>
      <c r="Q85" s="13">
        <f t="shared" si="213"/>
        <v>11682.11500000006</v>
      </c>
      <c r="R85" s="13">
        <f t="shared" si="213"/>
        <v>6938.7960000000785</v>
      </c>
      <c r="S85" s="13">
        <f t="shared" si="213"/>
        <v>5127.8840000000637</v>
      </c>
      <c r="T85" s="13">
        <f t="shared" si="213"/>
        <v>4140.9499999999534</v>
      </c>
      <c r="U85" s="13">
        <f t="shared" si="213"/>
        <v>4890.2059999999547</v>
      </c>
      <c r="V85" s="13">
        <f t="shared" si="213"/>
        <v>8347.4499999999425</v>
      </c>
      <c r="W85" s="13">
        <f t="shared" si="213"/>
        <v>14503.012999999948</v>
      </c>
      <c r="X85" s="13">
        <f t="shared" si="213"/>
        <v>19723</v>
      </c>
      <c r="Y85" s="13">
        <f t="shared" si="213"/>
        <v>23741</v>
      </c>
      <c r="Z85" s="13">
        <f t="shared" si="213"/>
        <v>28253</v>
      </c>
      <c r="AA85" s="13">
        <f t="shared" si="213"/>
        <v>28828</v>
      </c>
      <c r="AB85" s="13">
        <f t="shared" si="213"/>
        <v>26025</v>
      </c>
      <c r="AC85" s="13">
        <f t="shared" si="213"/>
        <v>27298</v>
      </c>
      <c r="AD85" s="13">
        <f t="shared" si="213"/>
        <v>29529</v>
      </c>
      <c r="AE85" s="13">
        <f t="shared" si="213"/>
        <v>32270</v>
      </c>
      <c r="AF85" s="13">
        <f t="shared" si="213"/>
        <v>38736</v>
      </c>
      <c r="AG85" s="13">
        <f t="shared" si="213"/>
        <v>41569</v>
      </c>
      <c r="AH85" s="13">
        <f t="shared" si="213"/>
        <v>30209</v>
      </c>
      <c r="AI85" s="13">
        <f t="shared" si="213"/>
        <v>17114</v>
      </c>
      <c r="AJ85" s="13">
        <f t="shared" si="213"/>
        <v>2774</v>
      </c>
      <c r="AK85" s="13">
        <f t="shared" si="213"/>
        <v>-3952</v>
      </c>
      <c r="AL85" s="13"/>
    </row>
    <row r="86" spans="2:38">
      <c r="B86" s="21" t="s">
        <v>218</v>
      </c>
      <c r="C86" s="13">
        <f t="shared" ref="C86:E86" si="214">+C47</f>
        <v>2940.9030000000348</v>
      </c>
      <c r="D86" s="13">
        <f t="shared" si="214"/>
        <v>14822.935000000063</v>
      </c>
      <c r="E86" s="13">
        <f t="shared" si="214"/>
        <v>18410.474000000082</v>
      </c>
      <c r="F86" s="13">
        <f t="shared" ref="F86:K86" si="215">+F47</f>
        <v>9433.0769999999247</v>
      </c>
      <c r="G86" s="13">
        <f t="shared" si="215"/>
        <v>25741</v>
      </c>
      <c r="H86" s="13">
        <f t="shared" si="215"/>
        <v>33036</v>
      </c>
      <c r="I86" s="13">
        <f t="shared" si="215"/>
        <v>46630</v>
      </c>
      <c r="J86" s="13">
        <f t="shared" si="215"/>
        <v>11475</v>
      </c>
      <c r="K86" s="13"/>
      <c r="L86" s="50"/>
      <c r="M86" s="110"/>
      <c r="N86" s="110"/>
      <c r="O86" s="110"/>
      <c r="P86" s="13">
        <f t="shared" ref="P86" si="216">SUM(M47:P47)</f>
        <v>18410.474000000071</v>
      </c>
      <c r="Q86" s="13">
        <f t="shared" ref="Q86" si="217">SUM(N47:Q47)</f>
        <v>17928.835000000057</v>
      </c>
      <c r="R86" s="13">
        <f t="shared" ref="R86" si="218">SUM(O47:R47)</f>
        <v>13103.002000000077</v>
      </c>
      <c r="S86" s="13">
        <f t="shared" ref="S86:AL86" si="219">SUM(P47:S47)</f>
        <v>11263.833000000064</v>
      </c>
      <c r="T86" s="13">
        <f t="shared" si="219"/>
        <v>9433.0769999999538</v>
      </c>
      <c r="U86" s="13">
        <f t="shared" si="219"/>
        <v>10158.802999999956</v>
      </c>
      <c r="V86" s="13">
        <f t="shared" si="219"/>
        <v>13813.725999999944</v>
      </c>
      <c r="W86" s="13">
        <f t="shared" si="219"/>
        <v>20206.689999999948</v>
      </c>
      <c r="X86" s="13">
        <f t="shared" si="219"/>
        <v>25741</v>
      </c>
      <c r="Y86" s="13">
        <f t="shared" si="219"/>
        <v>29969</v>
      </c>
      <c r="Z86" s="13">
        <f t="shared" si="219"/>
        <v>34786</v>
      </c>
      <c r="AA86" s="13">
        <f t="shared" si="219"/>
        <v>35616</v>
      </c>
      <c r="AB86" s="13">
        <f t="shared" si="219"/>
        <v>33036</v>
      </c>
      <c r="AC86" s="13">
        <f t="shared" si="219"/>
        <v>34593</v>
      </c>
      <c r="AD86" s="13">
        <f t="shared" si="219"/>
        <v>37031</v>
      </c>
      <c r="AE86" s="13">
        <f t="shared" si="219"/>
        <v>39978</v>
      </c>
      <c r="AF86" s="13">
        <f t="shared" si="219"/>
        <v>46630</v>
      </c>
      <c r="AG86" s="13">
        <f t="shared" si="219"/>
        <v>49593</v>
      </c>
      <c r="AH86" s="13">
        <f t="shared" si="219"/>
        <v>38402</v>
      </c>
      <c r="AI86" s="13">
        <f t="shared" si="219"/>
        <v>25564</v>
      </c>
      <c r="AJ86" s="13">
        <f t="shared" si="219"/>
        <v>11475</v>
      </c>
      <c r="AK86" s="13">
        <f t="shared" si="219"/>
        <v>5101</v>
      </c>
      <c r="AL86" s="13"/>
    </row>
    <row r="87" spans="2:38" s="26" customFormat="1">
      <c r="B87" s="21" t="s">
        <v>219</v>
      </c>
      <c r="C87" s="13">
        <f t="shared" ref="C87:E87" si="220">+C52</f>
        <v>5666.9610000000002</v>
      </c>
      <c r="D87" s="13">
        <f t="shared" si="220"/>
        <v>13811.021000000001</v>
      </c>
      <c r="E87" s="13">
        <f t="shared" si="220"/>
        <v>20681.120999999999</v>
      </c>
      <c r="F87" s="13">
        <f t="shared" ref="F87:K87" si="221">+F52</f>
        <v>18711.598000000002</v>
      </c>
      <c r="G87" s="13">
        <f t="shared" si="221"/>
        <v>33602</v>
      </c>
      <c r="H87" s="13">
        <f t="shared" si="221"/>
        <v>42452</v>
      </c>
      <c r="I87" s="13">
        <f t="shared" si="221"/>
        <v>51923</v>
      </c>
      <c r="J87" s="13">
        <f>+J52</f>
        <v>18344</v>
      </c>
      <c r="K87" s="13"/>
      <c r="L87" s="50"/>
      <c r="M87" s="110"/>
      <c r="N87" s="110"/>
      <c r="O87" s="110"/>
      <c r="P87" s="13">
        <f t="shared" ref="P87" si="222">SUM(M52:P52)</f>
        <v>20681.120999999999</v>
      </c>
      <c r="Q87" s="13">
        <f t="shared" ref="Q87" si="223">SUM(N52:Q52)</f>
        <v>21106.576999999997</v>
      </c>
      <c r="R87" s="13">
        <f t="shared" ref="R87" si="224">SUM(O52:R52)</f>
        <v>17952.960999999996</v>
      </c>
      <c r="S87" s="13">
        <f>SUM(P52:S52)</f>
        <v>17214.296999999999</v>
      </c>
      <c r="T87" s="13">
        <f t="shared" ref="T87:AG87" si="225">SUM(Q52:T52)</f>
        <v>18711.598000000002</v>
      </c>
      <c r="U87" s="13">
        <f t="shared" si="225"/>
        <v>19837.794999999998</v>
      </c>
      <c r="V87" s="13">
        <f t="shared" si="225"/>
        <v>23265.986000000001</v>
      </c>
      <c r="W87" s="13">
        <f>SUM(T52:W52)</f>
        <v>28865.907999999999</v>
      </c>
      <c r="X87" s="13">
        <f t="shared" si="225"/>
        <v>33602</v>
      </c>
      <c r="Y87" s="13">
        <f t="shared" si="225"/>
        <v>37035</v>
      </c>
      <c r="Z87" s="13">
        <f t="shared" si="225"/>
        <v>40263</v>
      </c>
      <c r="AA87" s="13">
        <f>SUM(X52:AA52)</f>
        <v>41689</v>
      </c>
      <c r="AB87" s="13">
        <f t="shared" si="225"/>
        <v>42452</v>
      </c>
      <c r="AC87" s="13">
        <f t="shared" si="225"/>
        <v>43740</v>
      </c>
      <c r="AD87" s="13">
        <f t="shared" si="225"/>
        <v>46867</v>
      </c>
      <c r="AE87" s="13">
        <f>SUM(AB52:AE52)</f>
        <v>49055</v>
      </c>
      <c r="AF87" s="13">
        <f t="shared" si="225"/>
        <v>51923</v>
      </c>
      <c r="AG87" s="13">
        <f t="shared" si="225"/>
        <v>54838</v>
      </c>
      <c r="AH87" s="13">
        <f>SUM(AE52:AH52)</f>
        <v>44307</v>
      </c>
      <c r="AI87" s="13">
        <f>SUM(AF52:AI52)</f>
        <v>31696</v>
      </c>
      <c r="AJ87" s="13">
        <f t="shared" ref="AJ87:AK87" si="226">SUM(AG52:AJ52)</f>
        <v>18344</v>
      </c>
      <c r="AK87" s="13">
        <f t="shared" si="226"/>
        <v>12660</v>
      </c>
      <c r="AL87" s="13"/>
    </row>
    <row r="88" spans="2:38">
      <c r="B88" s="21" t="s">
        <v>199</v>
      </c>
      <c r="C88" s="13">
        <f t="shared" ref="C88:F88" si="227">-C63</f>
        <v>421.03500000000003</v>
      </c>
      <c r="D88" s="13">
        <f t="shared" si="227"/>
        <v>679.12</v>
      </c>
      <c r="E88" s="13">
        <f t="shared" si="227"/>
        <v>1019.932</v>
      </c>
      <c r="F88" s="13">
        <f t="shared" si="227"/>
        <v>1221</v>
      </c>
      <c r="G88" s="13">
        <f t="shared" ref="G88:I88" si="228">-G63</f>
        <v>2393</v>
      </c>
      <c r="H88" s="13">
        <f t="shared" si="228"/>
        <v>2808</v>
      </c>
      <c r="I88" s="13">
        <f t="shared" si="228"/>
        <v>2774</v>
      </c>
      <c r="J88" s="13">
        <f t="shared" ref="J88" si="229">-J63</f>
        <v>2684</v>
      </c>
      <c r="K88" s="110"/>
      <c r="L88" s="5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</row>
    <row r="89" spans="2:38">
      <c r="B89" s="21" t="s">
        <v>220</v>
      </c>
      <c r="C89" s="13">
        <f t="shared" ref="C89:K89" si="230">+C26</f>
        <v>-2800.5499999999647</v>
      </c>
      <c r="D89" s="13">
        <f t="shared" si="230"/>
        <v>11890.092000000062</v>
      </c>
      <c r="E89" s="13">
        <f t="shared" si="230"/>
        <v>49337.246000000079</v>
      </c>
      <c r="F89" s="13">
        <f t="shared" si="230"/>
        <v>-4467.2850000000753</v>
      </c>
      <c r="G89" s="13">
        <f t="shared" si="230"/>
        <v>9691</v>
      </c>
      <c r="H89" s="13">
        <f t="shared" si="230"/>
        <v>23257</v>
      </c>
      <c r="I89" s="13">
        <f t="shared" si="230"/>
        <v>44660</v>
      </c>
      <c r="J89" s="13">
        <f t="shared" si="230"/>
        <v>23142</v>
      </c>
      <c r="K89" s="13"/>
      <c r="L89" s="50"/>
      <c r="M89" s="110"/>
      <c r="N89" s="110"/>
      <c r="O89" s="110"/>
      <c r="P89" s="13">
        <f t="shared" ref="P89:AL89" si="231">SUM(M26:P26)</f>
        <v>49337.246000000072</v>
      </c>
      <c r="Q89" s="13">
        <f t="shared" si="231"/>
        <v>51922.56100000006</v>
      </c>
      <c r="R89" s="13">
        <f t="shared" si="231"/>
        <v>35987.062000000078</v>
      </c>
      <c r="S89" s="13">
        <f t="shared" si="231"/>
        <v>25132.990000000063</v>
      </c>
      <c r="T89" s="13">
        <f t="shared" si="231"/>
        <v>-4467.2850000000453</v>
      </c>
      <c r="U89" s="13">
        <f t="shared" si="231"/>
        <v>-11627.783000000045</v>
      </c>
      <c r="V89" s="13">
        <f t="shared" si="231"/>
        <v>-8076.3070000000571</v>
      </c>
      <c r="W89" s="13">
        <f t="shared" si="231"/>
        <v>1151.2799999999479</v>
      </c>
      <c r="X89" s="13">
        <f t="shared" si="231"/>
        <v>9691</v>
      </c>
      <c r="Y89" s="13">
        <f t="shared" si="231"/>
        <v>19408</v>
      </c>
      <c r="Z89" s="13">
        <f t="shared" si="231"/>
        <v>22302</v>
      </c>
      <c r="AA89" s="13">
        <f t="shared" si="231"/>
        <v>24566</v>
      </c>
      <c r="AB89" s="13">
        <f t="shared" si="231"/>
        <v>23257</v>
      </c>
      <c r="AC89" s="13">
        <f t="shared" si="231"/>
        <v>24423</v>
      </c>
      <c r="AD89" s="13">
        <f t="shared" si="231"/>
        <v>31094</v>
      </c>
      <c r="AE89" s="13">
        <f t="shared" si="231"/>
        <v>35708</v>
      </c>
      <c r="AF89" s="13">
        <f t="shared" si="231"/>
        <v>44660</v>
      </c>
      <c r="AG89" s="13">
        <f t="shared" si="231"/>
        <v>48574</v>
      </c>
      <c r="AH89" s="13">
        <f t="shared" si="231"/>
        <v>41689</v>
      </c>
      <c r="AI89" s="13">
        <f t="shared" si="231"/>
        <v>35233</v>
      </c>
      <c r="AJ89" s="13">
        <f t="shared" si="231"/>
        <v>23142</v>
      </c>
      <c r="AK89" s="13">
        <f t="shared" si="231"/>
        <v>17693</v>
      </c>
      <c r="AL89" s="13"/>
    </row>
    <row r="90" spans="2:38">
      <c r="B90" s="21" t="s">
        <v>221</v>
      </c>
      <c r="C90" s="13">
        <f t="shared" ref="C90:E90" si="232">-C65</f>
        <v>13879.758</v>
      </c>
      <c r="D90" s="13">
        <f t="shared" si="232"/>
        <v>3636.1750000000002</v>
      </c>
      <c r="E90" s="13">
        <f t="shared" si="232"/>
        <v>4888.424</v>
      </c>
      <c r="F90" s="13">
        <f t="shared" ref="F90:G90" si="233">-F65</f>
        <v>13387</v>
      </c>
      <c r="G90" s="13">
        <f t="shared" si="233"/>
        <v>10731</v>
      </c>
      <c r="H90" s="13">
        <f t="shared" ref="H90:I90" si="234">-H65</f>
        <v>9006</v>
      </c>
      <c r="I90" s="13">
        <f t="shared" si="234"/>
        <v>5971</v>
      </c>
      <c r="J90" s="13">
        <f t="shared" ref="J90" si="235">-J65</f>
        <v>8220</v>
      </c>
      <c r="K90" s="13"/>
      <c r="L90" s="50"/>
      <c r="M90" s="110"/>
      <c r="N90" s="110"/>
      <c r="O90" s="110"/>
      <c r="P90" s="110"/>
      <c r="Q90" s="110"/>
      <c r="R90" s="110"/>
      <c r="S90" s="110"/>
      <c r="T90" s="110">
        <f>-13510-5055</f>
        <v>-18565</v>
      </c>
      <c r="U90" s="57">
        <f>-14563-4122</f>
        <v>-18685</v>
      </c>
      <c r="V90" s="57">
        <f>-16637-4849</f>
        <v>-21486</v>
      </c>
      <c r="W90" s="57">
        <f>-15274-4551</f>
        <v>-19825</v>
      </c>
      <c r="X90" s="57">
        <f>-17504-4476</f>
        <v>-21980</v>
      </c>
      <c r="Y90" s="57">
        <f>-16974-4641</f>
        <v>-21615</v>
      </c>
      <c r="Z90" s="57">
        <f>-14390-5372</f>
        <v>-19762</v>
      </c>
      <c r="AA90" s="57">
        <f>-13618-5831</f>
        <v>-19449</v>
      </c>
      <c r="AB90" s="57">
        <f>-12117-6261</f>
        <v>-18378</v>
      </c>
      <c r="AC90" s="57">
        <f>-11332-6713</f>
        <v>-18045</v>
      </c>
      <c r="AD90" s="57">
        <f>-10559-7200</f>
        <v>-17759</v>
      </c>
      <c r="AE90" s="57">
        <f>-11007-7117</f>
        <v>-18124</v>
      </c>
      <c r="AF90" s="57">
        <f>-7286-6937</f>
        <v>-14223</v>
      </c>
      <c r="AG90" s="57">
        <f>-6841-6825</f>
        <v>-13666</v>
      </c>
      <c r="AH90" s="57">
        <f>-6327-7050</f>
        <v>-13377</v>
      </c>
      <c r="AI90" s="57">
        <f>-2944-7671</f>
        <v>-10615</v>
      </c>
      <c r="AJ90" s="57">
        <f>-4098-8637</f>
        <v>-12735</v>
      </c>
      <c r="AK90" s="57">
        <f>-6681-8794</f>
        <v>-15475</v>
      </c>
      <c r="AL90" s="57"/>
    </row>
    <row r="91" spans="2:38">
      <c r="B91" s="21" t="s">
        <v>204</v>
      </c>
      <c r="C91" s="13">
        <f t="shared" ref="C91:E91" si="236">+C68</f>
        <v>-2163.2799999999988</v>
      </c>
      <c r="D91" s="13">
        <f t="shared" si="236"/>
        <v>8804.4040000000005</v>
      </c>
      <c r="E91" s="13">
        <f t="shared" si="236"/>
        <v>25716.704000000002</v>
      </c>
      <c r="F91" s="13">
        <f t="shared" ref="F91:G91" si="237">+F68</f>
        <v>44871.597999999998</v>
      </c>
      <c r="G91" s="13">
        <f t="shared" si="237"/>
        <v>10413</v>
      </c>
      <c r="H91" s="13">
        <f t="shared" ref="H91:I91" si="238">+H68</f>
        <v>39368</v>
      </c>
      <c r="I91" s="13">
        <f t="shared" si="238"/>
        <v>34607</v>
      </c>
      <c r="J91" s="13">
        <f t="shared" ref="J91" si="239">+J68</f>
        <v>-15577</v>
      </c>
      <c r="K91" s="13"/>
      <c r="L91" s="50"/>
      <c r="M91" s="110"/>
      <c r="N91" s="110"/>
      <c r="O91" s="110"/>
      <c r="P91" s="110"/>
      <c r="Q91" s="110"/>
      <c r="R91" s="110"/>
      <c r="S91" s="110"/>
      <c r="T91" s="110">
        <v>26228</v>
      </c>
      <c r="U91" s="57">
        <v>27173</v>
      </c>
      <c r="V91" s="57">
        <v>27660</v>
      </c>
      <c r="W91" s="57">
        <f>25843</f>
        <v>25843</v>
      </c>
      <c r="X91" s="57">
        <v>35595</v>
      </c>
      <c r="Y91" s="57">
        <v>18990</v>
      </c>
      <c r="Z91" s="57">
        <v>33471</v>
      </c>
      <c r="AA91" s="57">
        <v>39396</v>
      </c>
      <c r="AB91" s="57">
        <v>40651</v>
      </c>
      <c r="AC91" s="57">
        <v>50577</v>
      </c>
      <c r="AD91" s="57">
        <v>55642</v>
      </c>
      <c r="AE91" s="57">
        <v>33569</v>
      </c>
      <c r="AF91" s="57">
        <v>43740</v>
      </c>
      <c r="AG91" s="57">
        <v>37613</v>
      </c>
      <c r="AH91" s="57">
        <v>10076</v>
      </c>
      <c r="AI91" s="57">
        <v>33569</v>
      </c>
      <c r="AJ91" s="57">
        <v>6476</v>
      </c>
      <c r="AK91" s="57">
        <v>21598</v>
      </c>
      <c r="AL91" s="57"/>
    </row>
    <row r="92" spans="2:38">
      <c r="C92" s="13"/>
      <c r="D92" s="13"/>
      <c r="E92" s="13"/>
      <c r="F92" s="13"/>
      <c r="G92" s="13"/>
      <c r="H92" s="13"/>
      <c r="I92" s="13"/>
      <c r="J92" s="13"/>
      <c r="K92" s="13"/>
      <c r="L92" s="50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 spans="2:38">
      <c r="B93" s="47" t="s">
        <v>222</v>
      </c>
      <c r="C93" s="51">
        <f t="shared" ref="C93:J93" si="240">C3</f>
        <v>43465</v>
      </c>
      <c r="D93" s="51">
        <f t="shared" si="240"/>
        <v>43830</v>
      </c>
      <c r="E93" s="51">
        <f t="shared" si="240"/>
        <v>44196</v>
      </c>
      <c r="F93" s="51">
        <f t="shared" si="240"/>
        <v>44561</v>
      </c>
      <c r="G93" s="51">
        <f t="shared" si="240"/>
        <v>44926</v>
      </c>
      <c r="H93" s="51">
        <f t="shared" si="240"/>
        <v>45291</v>
      </c>
      <c r="I93" s="51">
        <f t="shared" si="240"/>
        <v>45657</v>
      </c>
      <c r="J93" s="51">
        <f t="shared" si="240"/>
        <v>46022</v>
      </c>
      <c r="K93" s="51"/>
      <c r="L93" s="50"/>
      <c r="M93" s="51">
        <f t="shared" ref="M93:AL93" si="241">M3</f>
        <v>43921</v>
      </c>
      <c r="N93" s="51">
        <f t="shared" si="241"/>
        <v>44012</v>
      </c>
      <c r="O93" s="51">
        <f t="shared" si="241"/>
        <v>44104</v>
      </c>
      <c r="P93" s="51">
        <f t="shared" si="241"/>
        <v>44196</v>
      </c>
      <c r="Q93" s="51">
        <f t="shared" si="241"/>
        <v>44286</v>
      </c>
      <c r="R93" s="51">
        <f t="shared" si="241"/>
        <v>44377</v>
      </c>
      <c r="S93" s="51">
        <f t="shared" si="241"/>
        <v>44469</v>
      </c>
      <c r="T93" s="51">
        <f t="shared" si="241"/>
        <v>44561</v>
      </c>
      <c r="U93" s="51">
        <f t="shared" si="241"/>
        <v>44651</v>
      </c>
      <c r="V93" s="51">
        <f t="shared" si="241"/>
        <v>44742</v>
      </c>
      <c r="W93" s="51">
        <f t="shared" si="241"/>
        <v>44834</v>
      </c>
      <c r="X93" s="51">
        <f t="shared" si="241"/>
        <v>44926</v>
      </c>
      <c r="Y93" s="51">
        <f t="shared" si="241"/>
        <v>45016</v>
      </c>
      <c r="Z93" s="51">
        <f t="shared" si="241"/>
        <v>45107</v>
      </c>
      <c r="AA93" s="51">
        <f t="shared" si="241"/>
        <v>45199</v>
      </c>
      <c r="AB93" s="51">
        <f t="shared" si="241"/>
        <v>45291</v>
      </c>
      <c r="AC93" s="51">
        <f t="shared" si="241"/>
        <v>45382</v>
      </c>
      <c r="AD93" s="51">
        <f t="shared" si="241"/>
        <v>45473</v>
      </c>
      <c r="AE93" s="51">
        <f t="shared" si="241"/>
        <v>45565</v>
      </c>
      <c r="AF93" s="51">
        <f t="shared" si="241"/>
        <v>45657</v>
      </c>
      <c r="AG93" s="51">
        <f t="shared" si="241"/>
        <v>45747</v>
      </c>
      <c r="AH93" s="51">
        <f t="shared" si="241"/>
        <v>45838</v>
      </c>
      <c r="AI93" s="51">
        <f t="shared" si="241"/>
        <v>45930</v>
      </c>
      <c r="AJ93" s="51">
        <f t="shared" si="241"/>
        <v>46022</v>
      </c>
      <c r="AK93" s="51">
        <f t="shared" si="241"/>
        <v>46112</v>
      </c>
      <c r="AL93" s="51"/>
    </row>
    <row r="94" spans="2:38">
      <c r="C94" s="57"/>
      <c r="D94" s="57"/>
      <c r="E94" s="57"/>
      <c r="F94" s="57"/>
      <c r="G94" s="57"/>
      <c r="H94" s="57"/>
      <c r="I94" s="57"/>
    </row>
    <row r="95" spans="2:38" s="26" customFormat="1">
      <c r="B95" s="21" t="s">
        <v>223</v>
      </c>
      <c r="C95" s="57">
        <f>21082.838+10475.658</f>
        <v>31558.495999999999</v>
      </c>
      <c r="D95" s="57">
        <f>20654.071+10891.742</f>
        <v>31545.813000000002</v>
      </c>
      <c r="E95" s="57">
        <f>22596.57+11124.913</f>
        <v>33721.483</v>
      </c>
      <c r="F95" s="57">
        <f>32944.163 +14327.797</f>
        <v>47271.96</v>
      </c>
      <c r="G95" s="57">
        <f>55080+33848</f>
        <v>88928</v>
      </c>
      <c r="H95" s="57">
        <f>70035+39563</f>
        <v>109598</v>
      </c>
      <c r="I95" s="57">
        <f>82737+36833</f>
        <v>119570</v>
      </c>
      <c r="J95" s="57">
        <f>91349+36878</f>
        <v>128227</v>
      </c>
      <c r="K95" s="13"/>
      <c r="L95" s="50"/>
      <c r="M95" s="57">
        <f>17487.942+10432.47</f>
        <v>27920.411999999997</v>
      </c>
      <c r="N95" s="57">
        <f>17909.536+10902.645</f>
        <v>28812.181</v>
      </c>
      <c r="O95" s="57">
        <f>21579.057+11032.402</f>
        <v>32611.459000000003</v>
      </c>
      <c r="P95" s="13">
        <f>E95</f>
        <v>33721.483</v>
      </c>
      <c r="Q95" s="57">
        <f>22463.058+11787.709</f>
        <v>34250.767</v>
      </c>
      <c r="R95" s="57">
        <f>25135.571+12480.251</f>
        <v>37615.822</v>
      </c>
      <c r="S95" s="81">
        <f>27884.937+13321.66</f>
        <v>41206.597000000002</v>
      </c>
      <c r="T95" s="13">
        <f>F95</f>
        <v>47271.96</v>
      </c>
      <c r="U95" s="57">
        <f>42255+27392</f>
        <v>69647</v>
      </c>
      <c r="V95" s="57">
        <f>44569+27884</f>
        <v>72453</v>
      </c>
      <c r="W95" s="57">
        <f>51686+33487</f>
        <v>85173</v>
      </c>
      <c r="X95" s="13">
        <f>G95</f>
        <v>88928</v>
      </c>
      <c r="Y95" s="57">
        <f>57296+33939</f>
        <v>91235</v>
      </c>
      <c r="Z95" s="57">
        <f>59862+37752</f>
        <v>97614</v>
      </c>
      <c r="AA95" s="57">
        <f>66649+37975</f>
        <v>104624</v>
      </c>
      <c r="AB95" s="13">
        <f>H95</f>
        <v>109598</v>
      </c>
      <c r="AC95" s="57">
        <f>71255+38646</f>
        <v>109901</v>
      </c>
      <c r="AD95" s="57">
        <f>78178+38436</f>
        <v>116614</v>
      </c>
      <c r="AE95" s="57">
        <f>84203+38154</f>
        <v>122357</v>
      </c>
      <c r="AF95" s="13">
        <f>I95</f>
        <v>119570</v>
      </c>
      <c r="AG95" s="57">
        <f>83054+36820</f>
        <v>119874</v>
      </c>
      <c r="AH95" s="57">
        <f>87160+37173</f>
        <v>124333</v>
      </c>
      <c r="AI95" s="57">
        <f>88559+36877</f>
        <v>125436</v>
      </c>
      <c r="AJ95" s="13">
        <f>J95</f>
        <v>128227</v>
      </c>
      <c r="AK95" s="57">
        <f>93920+36817</f>
        <v>130737</v>
      </c>
      <c r="AL95" s="57"/>
    </row>
    <row r="96" spans="2:38" s="26" customFormat="1">
      <c r="B96" s="60" t="s">
        <v>224</v>
      </c>
      <c r="C96" s="57">
        <v>44030.084000000003</v>
      </c>
      <c r="D96" s="57">
        <v>57932.156000000003</v>
      </c>
      <c r="E96" s="57">
        <v>58932.519</v>
      </c>
      <c r="F96" s="57">
        <v>75601.327000000005</v>
      </c>
      <c r="G96" s="57">
        <v>77949</v>
      </c>
      <c r="H96" s="57">
        <v>68058</v>
      </c>
      <c r="I96" s="57">
        <v>89326</v>
      </c>
      <c r="J96" s="57">
        <v>95428</v>
      </c>
      <c r="K96" s="13"/>
      <c r="L96" s="50"/>
      <c r="M96" s="57">
        <v>50584.695</v>
      </c>
      <c r="N96" s="57">
        <v>54476.745000000003</v>
      </c>
      <c r="O96" s="57">
        <v>55345.624000000003</v>
      </c>
      <c r="P96" s="13">
        <f>E96</f>
        <v>58932.519</v>
      </c>
      <c r="Q96" s="57">
        <v>59524.389000000003</v>
      </c>
      <c r="R96" s="57">
        <v>65768.288</v>
      </c>
      <c r="S96" s="57">
        <v>60043.995000000003</v>
      </c>
      <c r="T96" s="13">
        <f>F96</f>
        <v>75601.327000000005</v>
      </c>
      <c r="U96" s="57">
        <v>68790</v>
      </c>
      <c r="V96" s="57">
        <v>76029</v>
      </c>
      <c r="W96" s="57">
        <v>71757</v>
      </c>
      <c r="X96" s="13">
        <f>G96</f>
        <v>77949</v>
      </c>
      <c r="Y96" s="57">
        <v>63299</v>
      </c>
      <c r="Z96" s="57">
        <v>63562</v>
      </c>
      <c r="AA96" s="57">
        <v>64638</v>
      </c>
      <c r="AB96" s="13">
        <f>H96</f>
        <v>68058</v>
      </c>
      <c r="AC96" s="57">
        <v>67994</v>
      </c>
      <c r="AD96" s="57">
        <v>70644</v>
      </c>
      <c r="AE96" s="57">
        <v>72883</v>
      </c>
      <c r="AF96" s="13">
        <f t="shared" ref="AF96:AF98" si="242">I96</f>
        <v>89326</v>
      </c>
      <c r="AG96" s="57">
        <v>95434</v>
      </c>
      <c r="AH96" s="57">
        <v>103537</v>
      </c>
      <c r="AI96" s="57">
        <v>100999</v>
      </c>
      <c r="AJ96" s="13">
        <f t="shared" ref="AJ96:AJ98" si="243">J96</f>
        <v>95428</v>
      </c>
      <c r="AK96" s="57">
        <v>96166</v>
      </c>
      <c r="AL96" s="57"/>
    </row>
    <row r="97" spans="2:38" s="26" customFormat="1">
      <c r="B97" s="60" t="s">
        <v>225</v>
      </c>
      <c r="C97" s="57">
        <v>11109.987999999999</v>
      </c>
      <c r="D97" s="57">
        <v>6190.5879999999997</v>
      </c>
      <c r="E97" s="57">
        <v>7111.9470000000001</v>
      </c>
      <c r="F97" s="57">
        <v>11899.851000000001</v>
      </c>
      <c r="G97" s="57">
        <v>20576</v>
      </c>
      <c r="H97" s="57">
        <v>20302</v>
      </c>
      <c r="I97" s="57">
        <v>25596</v>
      </c>
      <c r="J97" s="57">
        <v>27333</v>
      </c>
      <c r="K97" s="13"/>
      <c r="L97" s="50"/>
      <c r="M97" s="57">
        <v>8264.1219999999994</v>
      </c>
      <c r="N97" s="57">
        <v>9674.2510000000002</v>
      </c>
      <c r="O97" s="57">
        <v>6691.8729999999996</v>
      </c>
      <c r="P97" s="13">
        <f>E97</f>
        <v>7111.9470000000001</v>
      </c>
      <c r="Q97" s="57">
        <v>7751.2039999999997</v>
      </c>
      <c r="R97" s="57">
        <v>13948.093000000001</v>
      </c>
      <c r="S97" s="57">
        <v>10951.303</v>
      </c>
      <c r="T97" s="13">
        <f>F97</f>
        <v>11899.851000000001</v>
      </c>
      <c r="U97" s="57">
        <v>12729</v>
      </c>
      <c r="V97" s="57">
        <v>15841</v>
      </c>
      <c r="W97" s="57">
        <v>16419</v>
      </c>
      <c r="X97" s="13">
        <f>G97</f>
        <v>20576</v>
      </c>
      <c r="Y97" s="57">
        <v>15583</v>
      </c>
      <c r="Z97" s="57">
        <v>20003</v>
      </c>
      <c r="AA97" s="57">
        <v>20705</v>
      </c>
      <c r="AB97" s="13">
        <f>H97</f>
        <v>20302</v>
      </c>
      <c r="AC97" s="57">
        <v>17540</v>
      </c>
      <c r="AD97" s="57">
        <v>21643</v>
      </c>
      <c r="AE97" s="57">
        <v>19714</v>
      </c>
      <c r="AF97" s="13">
        <f t="shared" si="242"/>
        <v>25596</v>
      </c>
      <c r="AG97" s="57">
        <v>31380</v>
      </c>
      <c r="AH97" s="57">
        <v>41983</v>
      </c>
      <c r="AI97" s="57">
        <v>39735</v>
      </c>
      <c r="AJ97" s="13">
        <f t="shared" si="243"/>
        <v>27333</v>
      </c>
      <c r="AK97" s="57">
        <v>25430</v>
      </c>
      <c r="AL97" s="57"/>
    </row>
    <row r="98" spans="2:38" s="26" customFormat="1">
      <c r="B98" s="60" t="s">
        <v>226</v>
      </c>
      <c r="C98" s="57">
        <v>79985.017999999996</v>
      </c>
      <c r="D98" s="57">
        <v>90428.381999999998</v>
      </c>
      <c r="E98" s="57">
        <v>106818.425</v>
      </c>
      <c r="F98" s="57">
        <v>140484.10500000001</v>
      </c>
      <c r="G98" s="57">
        <v>160607</v>
      </c>
      <c r="H98" s="57">
        <v>166167</v>
      </c>
      <c r="I98" s="57">
        <v>192860</v>
      </c>
      <c r="J98" s="57">
        <v>188379</v>
      </c>
      <c r="K98" s="13"/>
      <c r="L98" s="50"/>
      <c r="M98" s="57">
        <v>76485.077999999994</v>
      </c>
      <c r="N98" s="57">
        <v>100209.905</v>
      </c>
      <c r="O98" s="57">
        <v>105302.644</v>
      </c>
      <c r="P98" s="13">
        <f>E98</f>
        <v>106818.425</v>
      </c>
      <c r="Q98" s="57">
        <v>97098.678</v>
      </c>
      <c r="R98" s="57">
        <v>127966.501</v>
      </c>
      <c r="S98" s="57">
        <v>126442.308</v>
      </c>
      <c r="T98" s="13">
        <f>F98</f>
        <v>140484.10500000001</v>
      </c>
      <c r="U98" s="57">
        <v>125253</v>
      </c>
      <c r="V98" s="57">
        <v>159932</v>
      </c>
      <c r="W98" s="57">
        <v>150624</v>
      </c>
      <c r="X98" s="13">
        <f>G98</f>
        <v>160607</v>
      </c>
      <c r="Y98" s="57">
        <v>121432</v>
      </c>
      <c r="Z98" s="57">
        <v>152011</v>
      </c>
      <c r="AA98" s="57">
        <v>153563</v>
      </c>
      <c r="AB98" s="13">
        <f>H98</f>
        <v>166167</v>
      </c>
      <c r="AC98" s="57">
        <v>146831</v>
      </c>
      <c r="AD98" s="57">
        <v>182247</v>
      </c>
      <c r="AE98" s="57">
        <v>162500</v>
      </c>
      <c r="AF98" s="13">
        <f t="shared" si="242"/>
        <v>192860</v>
      </c>
      <c r="AG98" s="57">
        <v>176736</v>
      </c>
      <c r="AH98" s="57">
        <v>211711</v>
      </c>
      <c r="AI98" s="57">
        <v>189804</v>
      </c>
      <c r="AJ98" s="13">
        <f t="shared" si="243"/>
        <v>188379</v>
      </c>
      <c r="AK98" s="57">
        <v>187215</v>
      </c>
      <c r="AL98" s="57"/>
    </row>
    <row r="99" spans="2:38" s="26" customFormat="1">
      <c r="B99" s="26" t="s">
        <v>227</v>
      </c>
      <c r="C99" s="50">
        <f t="shared" ref="C99:D99" si="244">+C96+C97-C98</f>
        <v>-24844.945999999996</v>
      </c>
      <c r="D99" s="50">
        <f t="shared" si="244"/>
        <v>-26305.637999999992</v>
      </c>
      <c r="E99" s="50">
        <f t="shared" ref="E99:J99" si="245">+E96+E97-E98</f>
        <v>-40773.959000000003</v>
      </c>
      <c r="F99" s="50">
        <f t="shared" si="245"/>
        <v>-52982.927000000011</v>
      </c>
      <c r="G99" s="50">
        <f t="shared" si="245"/>
        <v>-62082</v>
      </c>
      <c r="H99" s="50">
        <f t="shared" si="245"/>
        <v>-77807</v>
      </c>
      <c r="I99" s="50">
        <f t="shared" si="245"/>
        <v>-77938</v>
      </c>
      <c r="J99" s="50">
        <f t="shared" si="245"/>
        <v>-65618</v>
      </c>
      <c r="K99" s="50"/>
      <c r="L99" s="50"/>
      <c r="M99" s="50">
        <f t="shared" ref="M99:P99" si="246">+M96+M97-M98</f>
        <v>-17636.260999999999</v>
      </c>
      <c r="N99" s="50">
        <f t="shared" si="246"/>
        <v>-36058.909</v>
      </c>
      <c r="O99" s="50">
        <f t="shared" si="246"/>
        <v>-43265.146999999997</v>
      </c>
      <c r="P99" s="50">
        <f t="shared" si="246"/>
        <v>-40773.959000000003</v>
      </c>
      <c r="Q99" s="50">
        <f t="shared" ref="Q99:T99" si="247">+Q96+Q97-Q98</f>
        <v>-29823.084999999992</v>
      </c>
      <c r="R99" s="50">
        <f t="shared" si="247"/>
        <v>-48250.12000000001</v>
      </c>
      <c r="S99" s="50">
        <f t="shared" si="247"/>
        <v>-55447.009999999995</v>
      </c>
      <c r="T99" s="50">
        <f t="shared" si="247"/>
        <v>-52982.927000000011</v>
      </c>
      <c r="U99" s="50">
        <f t="shared" ref="U99" si="248">+U96+U97-U98</f>
        <v>-43734</v>
      </c>
      <c r="V99" s="50">
        <f>+V96+V97-V98</f>
        <v>-68062</v>
      </c>
      <c r="W99" s="50">
        <f>+W96+W97-W98</f>
        <v>-62448</v>
      </c>
      <c r="X99" s="50">
        <f t="shared" ref="X99:Y99" si="249">+X96+X97-X98</f>
        <v>-62082</v>
      </c>
      <c r="Y99" s="50">
        <f t="shared" si="249"/>
        <v>-42550</v>
      </c>
      <c r="Z99" s="50">
        <f>+Z96+Z97-Z98</f>
        <v>-68446</v>
      </c>
      <c r="AA99" s="50">
        <f>+AA96+AA97-AA98</f>
        <v>-68220</v>
      </c>
      <c r="AB99" s="50">
        <f t="shared" ref="AB99" si="250">+AB96+AB97-AB98</f>
        <v>-77807</v>
      </c>
      <c r="AC99" s="50">
        <f>+AC96+AC97-AC98</f>
        <v>-61297</v>
      </c>
      <c r="AD99" s="50">
        <f>+AD96+AD97-AD98</f>
        <v>-89960</v>
      </c>
      <c r="AE99" s="50">
        <f>+AE96+AE97-AE98</f>
        <v>-69903</v>
      </c>
      <c r="AF99" s="50">
        <f t="shared" ref="AF99" si="251">+AF96+AF97-AF98</f>
        <v>-77938</v>
      </c>
      <c r="AG99" s="50">
        <f>+AG96+AG97-AG98</f>
        <v>-49922</v>
      </c>
      <c r="AH99" s="50">
        <f>+AH96+AH97-AH98</f>
        <v>-66191</v>
      </c>
      <c r="AI99" s="50">
        <f>+AI96+AI97-AI98</f>
        <v>-49070</v>
      </c>
      <c r="AJ99" s="50">
        <f t="shared" ref="AJ99" si="252">+AJ96+AJ97-AJ98</f>
        <v>-65618</v>
      </c>
      <c r="AK99" s="50">
        <f>+AK96+AK97-AK98</f>
        <v>-65619</v>
      </c>
      <c r="AL99" s="50"/>
    </row>
    <row r="100" spans="2:38" s="37" customFormat="1">
      <c r="B100" s="63" t="s">
        <v>228</v>
      </c>
      <c r="C100" s="68">
        <f t="shared" ref="C100:E100" si="253">+C99/C84</f>
        <v>-5.3774639538738851E-2</v>
      </c>
      <c r="D100" s="68">
        <f t="shared" si="253"/>
        <v>-4.5599173375074672E-2</v>
      </c>
      <c r="E100" s="68">
        <f t="shared" si="253"/>
        <v>-5.4671300469197256E-2</v>
      </c>
      <c r="F100" s="68">
        <f t="shared" ref="F100:G100" si="254">+F99/F84</f>
        <v>-5.5678188157906996E-2</v>
      </c>
      <c r="G100" s="68">
        <f t="shared" si="254"/>
        <v>-5.9338428423414982E-2</v>
      </c>
      <c r="H100" s="68">
        <f t="shared" ref="H100:I100" si="255">+H99/H84</f>
        <v>-7.1733867324567463E-2</v>
      </c>
      <c r="I100" s="68">
        <f t="shared" si="255"/>
        <v>-6.7256405012344464E-2</v>
      </c>
      <c r="J100" s="68">
        <f t="shared" ref="J100" si="256">+J99/J84</f>
        <v>-5.0125087370186047E-2</v>
      </c>
      <c r="K100" s="68"/>
      <c r="L100" s="50"/>
      <c r="M100" s="110"/>
      <c r="N100" s="110"/>
      <c r="O100" s="110"/>
      <c r="P100" s="68">
        <f t="shared" ref="P100" si="257">+P99/P84</f>
        <v>-5.4671300469197256E-2</v>
      </c>
      <c r="Q100" s="73">
        <f t="shared" ref="Q100:R100" si="258">+Q99/Q84</f>
        <v>-3.7150091895360386E-2</v>
      </c>
      <c r="R100" s="73">
        <f t="shared" si="258"/>
        <v>-5.6398636908299743E-2</v>
      </c>
      <c r="S100" s="68">
        <f>+S99/S84</f>
        <v>-6.1606888606890044E-2</v>
      </c>
      <c r="T100" s="68">
        <f t="shared" ref="T100:W100" si="259">+T99/T84</f>
        <v>-5.5678188157906996E-2</v>
      </c>
      <c r="U100" s="73">
        <f t="shared" si="259"/>
        <v>-4.4262002086823751E-2</v>
      </c>
      <c r="V100" s="68">
        <f t="shared" si="259"/>
        <v>-6.7934926700582654E-2</v>
      </c>
      <c r="W100" s="68">
        <f t="shared" si="259"/>
        <v>-6.0824167646935441E-2</v>
      </c>
      <c r="X100" s="68">
        <f t="shared" ref="X100:AA100" si="260">+X99/X84</f>
        <v>-5.9338428423414982E-2</v>
      </c>
      <c r="Y100" s="73">
        <f t="shared" si="260"/>
        <v>-4.0541686476989379E-2</v>
      </c>
      <c r="Z100" s="68">
        <f t="shared" si="260"/>
        <v>-6.3976116679814704E-2</v>
      </c>
      <c r="AA100" s="68">
        <f t="shared" si="260"/>
        <v>-6.3517719693379424E-2</v>
      </c>
      <c r="AB100" s="68">
        <f t="shared" ref="AB100:AE100" si="261">+AB99/AB84</f>
        <v>-7.1733867324567463E-2</v>
      </c>
      <c r="AC100" s="68">
        <f t="shared" si="261"/>
        <v>-5.5635781094707987E-2</v>
      </c>
      <c r="AD100" s="68">
        <f t="shared" si="261"/>
        <v>-8.1395485608760601E-2</v>
      </c>
      <c r="AE100" s="68">
        <f t="shared" si="261"/>
        <v>-6.2530078449964666E-2</v>
      </c>
      <c r="AF100" s="68">
        <f t="shared" ref="AF100:AI100" si="262">+AF99/AF84</f>
        <v>-6.7256405012344464E-2</v>
      </c>
      <c r="AG100" s="68">
        <f t="shared" si="262"/>
        <v>-4.1606798171774519E-2</v>
      </c>
      <c r="AH100" s="68">
        <f t="shared" si="262"/>
        <v>-5.2320144808969939E-2</v>
      </c>
      <c r="AI100" s="68">
        <f t="shared" si="262"/>
        <v>-3.7636515780568452E-2</v>
      </c>
      <c r="AJ100" s="68">
        <f t="shared" ref="AJ100:AL100" si="263">+AJ99/AJ84</f>
        <v>-5.0125087370186047E-2</v>
      </c>
      <c r="AK100" s="68">
        <f t="shared" si="263"/>
        <v>-4.9572523016974429E-2</v>
      </c>
      <c r="AL100" s="68"/>
    </row>
    <row r="101" spans="2:38">
      <c r="C101" s="61"/>
      <c r="D101" s="61"/>
      <c r="E101" s="61"/>
      <c r="F101" s="61"/>
      <c r="G101" s="61"/>
      <c r="H101" s="61"/>
      <c r="I101" s="61"/>
      <c r="J101" s="61"/>
      <c r="K101" s="13"/>
      <c r="L101" s="50"/>
      <c r="M101" s="57"/>
      <c r="N101" s="57"/>
      <c r="O101" s="57"/>
      <c r="P101" s="61"/>
      <c r="Q101" s="57"/>
      <c r="R101" s="57"/>
      <c r="S101" s="57"/>
      <c r="T101" s="61"/>
      <c r="U101" s="57"/>
      <c r="V101" s="61"/>
      <c r="W101" s="61"/>
      <c r="X101" s="61"/>
      <c r="Y101" s="57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</row>
    <row r="102" spans="2:38">
      <c r="B102" s="223" t="s">
        <v>229</v>
      </c>
      <c r="C102" s="224">
        <f t="shared" ref="C102:K102" si="264">IFERROR((C96/-C9)*365,"-")</f>
        <v>40.57650883277001</v>
      </c>
      <c r="D102" s="224">
        <f t="shared" si="264"/>
        <v>42.937334179756895</v>
      </c>
      <c r="E102" s="224">
        <f t="shared" si="264"/>
        <v>33.784493970789413</v>
      </c>
      <c r="F102" s="224">
        <f t="shared" si="264"/>
        <v>33.548486496579727</v>
      </c>
      <c r="G102" s="224">
        <f t="shared" si="264"/>
        <v>31.64207713173251</v>
      </c>
      <c r="H102" s="224">
        <f t="shared" si="264"/>
        <v>26.856538350930528</v>
      </c>
      <c r="I102" s="224">
        <f t="shared" si="264"/>
        <v>33.44167040189712</v>
      </c>
      <c r="J102" s="224">
        <f t="shared" si="264"/>
        <v>31.691914068151153</v>
      </c>
      <c r="K102" s="224"/>
      <c r="L102" s="225"/>
      <c r="M102" s="224">
        <f t="shared" ref="M102:AL102" si="265">IFERROR((M96/-M9)*(365/4),"-")</f>
        <v>37.32404506580064</v>
      </c>
      <c r="N102" s="224">
        <f t="shared" si="265"/>
        <v>28.831018331836194</v>
      </c>
      <c r="O102" s="224">
        <f t="shared" si="265"/>
        <v>34.257951220356645</v>
      </c>
      <c r="P102" s="224">
        <f t="shared" si="265"/>
        <v>27.836369880586744</v>
      </c>
      <c r="Q102" s="224">
        <f t="shared" si="265"/>
        <v>31.206383164377296</v>
      </c>
      <c r="R102" s="224">
        <f t="shared" si="265"/>
        <v>27.024508517722065</v>
      </c>
      <c r="S102" s="224">
        <f t="shared" si="265"/>
        <v>29.203402757971844</v>
      </c>
      <c r="T102" s="224">
        <f t="shared" si="265"/>
        <v>28.890535140394075</v>
      </c>
      <c r="U102" s="224">
        <f t="shared" si="265"/>
        <v>30.440414821855498</v>
      </c>
      <c r="V102" s="224">
        <f t="shared" si="265"/>
        <v>29.941590852200633</v>
      </c>
      <c r="W102" s="224">
        <f t="shared" si="265"/>
        <v>31.580292419660555</v>
      </c>
      <c r="X102" s="224">
        <f t="shared" si="265"/>
        <v>28.013367978291438</v>
      </c>
      <c r="Y102" s="224">
        <f t="shared" si="265"/>
        <v>27.911904773410395</v>
      </c>
      <c r="Z102" s="224">
        <f t="shared" si="265"/>
        <v>23.529734521172585</v>
      </c>
      <c r="AA102" s="224">
        <f t="shared" si="265"/>
        <v>28.228294735028499</v>
      </c>
      <c r="AB102" s="224">
        <f t="shared" si="265"/>
        <v>23.651499571550985</v>
      </c>
      <c r="AC102" s="224">
        <f t="shared" si="265"/>
        <v>28.166336781990111</v>
      </c>
      <c r="AD102" s="224">
        <f t="shared" si="265"/>
        <v>26.262084502910874</v>
      </c>
      <c r="AE102" s="224">
        <f t="shared" si="265"/>
        <v>30.883487582658443</v>
      </c>
      <c r="AF102" s="224">
        <f t="shared" si="265"/>
        <v>27.736840224725984</v>
      </c>
      <c r="AG102" s="224">
        <f t="shared" si="265"/>
        <v>34.388559593103608</v>
      </c>
      <c r="AH102" s="224">
        <f t="shared" si="265"/>
        <v>31.490404806346241</v>
      </c>
      <c r="AI102" s="224">
        <f t="shared" si="265"/>
        <v>37.07447653720056</v>
      </c>
      <c r="AJ102" s="224">
        <f t="shared" si="265"/>
        <v>29.29770404215088</v>
      </c>
      <c r="AK102" s="224">
        <f t="shared" si="265"/>
        <v>33.407879558528478</v>
      </c>
      <c r="AL102" s="224"/>
    </row>
    <row r="103" spans="2:38">
      <c r="B103" s="223" t="s">
        <v>230</v>
      </c>
      <c r="C103" s="224">
        <f t="shared" ref="C103:K103" si="266">IFERROR((C97/C7)*365,"-")</f>
        <v>8.7769960937969316</v>
      </c>
      <c r="D103" s="224">
        <f t="shared" si="266"/>
        <v>3.9168135309839185</v>
      </c>
      <c r="E103" s="224">
        <f t="shared" si="266"/>
        <v>3.4806303171510078</v>
      </c>
      <c r="F103" s="224">
        <f t="shared" si="266"/>
        <v>4.5643983052428574</v>
      </c>
      <c r="G103" s="224">
        <f t="shared" si="266"/>
        <v>7.178342171364779</v>
      </c>
      <c r="H103" s="224">
        <f t="shared" si="266"/>
        <v>6.8318333268797096</v>
      </c>
      <c r="I103" s="224">
        <f t="shared" si="266"/>
        <v>8.06212186717684</v>
      </c>
      <c r="J103" s="224">
        <f t="shared" si="266"/>
        <v>7.6210062753755494</v>
      </c>
      <c r="K103" s="224"/>
      <c r="L103" s="225"/>
      <c r="M103" s="224">
        <f t="shared" ref="M103:AL103" si="267">IFERROR((M97/M7)*(365/4),"-")</f>
        <v>5.1578267125899728</v>
      </c>
      <c r="N103" s="224">
        <f t="shared" si="267"/>
        <v>4.3907365637454587</v>
      </c>
      <c r="O103" s="224">
        <f t="shared" si="267"/>
        <v>3.5050672443018276</v>
      </c>
      <c r="P103" s="224">
        <f t="shared" si="267"/>
        <v>2.8929278348943757</v>
      </c>
      <c r="Q103" s="224">
        <f t="shared" si="267"/>
        <v>3.4812023894396789</v>
      </c>
      <c r="R103" s="224">
        <f t="shared" si="267"/>
        <v>5.0148192643220879</v>
      </c>
      <c r="S103" s="224">
        <f t="shared" si="267"/>
        <v>4.5691276176560205</v>
      </c>
      <c r="T103" s="224">
        <f t="shared" si="267"/>
        <v>3.9356043371865121</v>
      </c>
      <c r="U103" s="224">
        <f t="shared" si="267"/>
        <v>4.8466389184452652</v>
      </c>
      <c r="V103" s="224">
        <f t="shared" si="267"/>
        <v>5.4016862855007473</v>
      </c>
      <c r="W103" s="224">
        <f t="shared" si="267"/>
        <v>6.1520264027757818</v>
      </c>
      <c r="X103" s="224">
        <f t="shared" si="267"/>
        <v>6.3550022677578983</v>
      </c>
      <c r="Y103" s="224">
        <f t="shared" si="267"/>
        <v>5.8527006947760087</v>
      </c>
      <c r="Z103" s="224">
        <f t="shared" si="267"/>
        <v>6.3392748609910017</v>
      </c>
      <c r="AA103" s="224">
        <f t="shared" si="267"/>
        <v>7.6275595685068103</v>
      </c>
      <c r="AB103" s="224">
        <f t="shared" si="267"/>
        <v>6.0525864406668903</v>
      </c>
      <c r="AC103" s="224">
        <f t="shared" si="267"/>
        <v>6.1547054593557364</v>
      </c>
      <c r="AD103" s="224">
        <f t="shared" si="267"/>
        <v>6.7774333641046409</v>
      </c>
      <c r="AE103" s="224">
        <f t="shared" si="267"/>
        <v>6.9085726245933934</v>
      </c>
      <c r="AF103" s="224">
        <f t="shared" si="267"/>
        <v>6.731208175545988</v>
      </c>
      <c r="AG103" s="224">
        <f t="shared" si="267"/>
        <v>9.5104489806763599</v>
      </c>
      <c r="AH103" s="224">
        <f t="shared" si="267"/>
        <v>10.741178573431279</v>
      </c>
      <c r="AI103" s="224">
        <f t="shared" si="267"/>
        <v>12.124091734406925</v>
      </c>
      <c r="AJ103" s="224">
        <f t="shared" si="267"/>
        <v>7.07990215280853</v>
      </c>
      <c r="AK103" s="224">
        <f t="shared" si="267"/>
        <v>7.3504326974855401</v>
      </c>
      <c r="AL103" s="224"/>
    </row>
    <row r="104" spans="2:38">
      <c r="B104" s="223" t="s">
        <v>231</v>
      </c>
      <c r="C104" s="224">
        <f t="shared" ref="C104:K104" si="268">IFERROR((C98/-C9)*365,"-")</f>
        <v>73.711255907807669</v>
      </c>
      <c r="D104" s="224">
        <f t="shared" si="268"/>
        <v>67.022426323451739</v>
      </c>
      <c r="E104" s="224">
        <f t="shared" si="268"/>
        <v>61.236249470037428</v>
      </c>
      <c r="F104" s="224">
        <f t="shared" si="268"/>
        <v>62.340560498053009</v>
      </c>
      <c r="G104" s="224">
        <f t="shared" si="268"/>
        <v>65.195693105699405</v>
      </c>
      <c r="H104" s="224">
        <f t="shared" si="268"/>
        <v>65.571577304050564</v>
      </c>
      <c r="I104" s="224">
        <f t="shared" si="268"/>
        <v>72.202500433355112</v>
      </c>
      <c r="J104" s="224">
        <f t="shared" si="268"/>
        <v>62.561209291237851</v>
      </c>
      <c r="K104" s="224"/>
      <c r="L104" s="225"/>
      <c r="M104" s="224">
        <f t="shared" ref="M104:AL104" si="269">IFERROR((M98/-M9)*(365/4),"-")</f>
        <v>56.434708129272636</v>
      </c>
      <c r="N104" s="224">
        <f t="shared" si="269"/>
        <v>53.034622536397194</v>
      </c>
      <c r="O104" s="224">
        <f t="shared" si="269"/>
        <v>65.180452957339156</v>
      </c>
      <c r="P104" s="224">
        <f t="shared" si="269"/>
        <v>50.454948113820059</v>
      </c>
      <c r="Q104" s="224">
        <f t="shared" si="269"/>
        <v>50.905160075183495</v>
      </c>
      <c r="R104" s="224">
        <f t="shared" si="269"/>
        <v>52.58205590295416</v>
      </c>
      <c r="S104" s="224">
        <f t="shared" si="269"/>
        <v>61.49733451565848</v>
      </c>
      <c r="T104" s="224">
        <f t="shared" si="269"/>
        <v>53.685049366518548</v>
      </c>
      <c r="U104" s="224">
        <f t="shared" si="269"/>
        <v>55.425981649685511</v>
      </c>
      <c r="V104" s="224">
        <f t="shared" si="269"/>
        <v>62.984104857017087</v>
      </c>
      <c r="W104" s="224">
        <f t="shared" si="269"/>
        <v>66.289699477667014</v>
      </c>
      <c r="X104" s="224">
        <f t="shared" si="269"/>
        <v>57.719059781260221</v>
      </c>
      <c r="Y104" s="224">
        <f t="shared" si="269"/>
        <v>53.545844649121953</v>
      </c>
      <c r="Z104" s="224">
        <f t="shared" si="269"/>
        <v>56.272277057014662</v>
      </c>
      <c r="AA104" s="224">
        <f t="shared" si="269"/>
        <v>67.063053070874432</v>
      </c>
      <c r="AB104" s="224">
        <f t="shared" si="269"/>
        <v>57.746315338474723</v>
      </c>
      <c r="AC104" s="224">
        <f t="shared" si="269"/>
        <v>60.824357973297502</v>
      </c>
      <c r="AD104" s="224">
        <f t="shared" si="269"/>
        <v>67.750780171026534</v>
      </c>
      <c r="AE104" s="224">
        <f t="shared" si="269"/>
        <v>68.857850694702435</v>
      </c>
      <c r="AF104" s="224">
        <f t="shared" si="269"/>
        <v>59.885442152795974</v>
      </c>
      <c r="AG104" s="224">
        <f t="shared" si="269"/>
        <v>63.684813255723952</v>
      </c>
      <c r="AH104" s="224">
        <f t="shared" si="269"/>
        <v>64.391136424238383</v>
      </c>
      <c r="AI104" s="224">
        <f t="shared" si="269"/>
        <v>69.672808093810971</v>
      </c>
      <c r="AJ104" s="224">
        <f t="shared" si="269"/>
        <v>57.834935131788789</v>
      </c>
      <c r="AK104" s="224">
        <f t="shared" si="269"/>
        <v>65.038123365325674</v>
      </c>
      <c r="AL104" s="224"/>
    </row>
    <row r="105" spans="2:38">
      <c r="C105" s="61"/>
      <c r="D105" s="61"/>
      <c r="E105" s="61"/>
      <c r="F105" s="61"/>
      <c r="G105" s="61"/>
      <c r="H105" s="61"/>
      <c r="I105" s="61"/>
      <c r="J105" s="61"/>
      <c r="K105" s="13"/>
      <c r="L105" s="50"/>
      <c r="M105" s="57"/>
      <c r="N105" s="57"/>
      <c r="O105" s="57"/>
      <c r="P105" s="61"/>
      <c r="Q105" s="57"/>
      <c r="R105" s="57"/>
      <c r="S105" s="57"/>
      <c r="T105" s="61"/>
      <c r="U105" s="57"/>
      <c r="V105" s="61"/>
      <c r="W105" s="61"/>
      <c r="X105" s="61"/>
      <c r="Y105" s="57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</row>
    <row r="106" spans="2:38">
      <c r="B106" s="7" t="s">
        <v>232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</row>
    <row r="107" spans="2:38">
      <c r="B107" s="12" t="s">
        <v>233</v>
      </c>
      <c r="C107" s="57">
        <v>147.26400000000001</v>
      </c>
      <c r="D107" s="57">
        <v>0</v>
      </c>
      <c r="E107" s="57">
        <v>3259.8820000000001</v>
      </c>
      <c r="F107" s="57">
        <v>4367.6750000000002</v>
      </c>
      <c r="G107" s="57">
        <v>12146</v>
      </c>
      <c r="H107" s="57">
        <v>5034</v>
      </c>
      <c r="I107" s="57">
        <v>7581</v>
      </c>
      <c r="J107" s="57">
        <f>8014+3511</f>
        <v>11525</v>
      </c>
      <c r="K107" s="13"/>
      <c r="L107" s="50"/>
      <c r="M107" s="57">
        <v>8601.8109999999997</v>
      </c>
      <c r="N107" s="57">
        <f>3532.83+8788.184</f>
        <v>12321.013999999999</v>
      </c>
      <c r="O107" s="57">
        <f>3400.371+2941.671</f>
        <v>6342.0419999999995</v>
      </c>
      <c r="P107" s="13">
        <f>E107</f>
        <v>3259.8820000000001</v>
      </c>
      <c r="Q107" s="57">
        <f>3285.003+1017.699</f>
        <v>4302.7020000000002</v>
      </c>
      <c r="R107" s="57">
        <v>562.39800000000002</v>
      </c>
      <c r="S107" s="57">
        <v>7027.8969999999999</v>
      </c>
      <c r="T107" s="13">
        <f>F107</f>
        <v>4367.6750000000002</v>
      </c>
      <c r="U107" s="57">
        <v>17151</v>
      </c>
      <c r="V107" s="57">
        <v>13754</v>
      </c>
      <c r="W107" s="57">
        <v>17996</v>
      </c>
      <c r="X107" s="13">
        <f>G107</f>
        <v>12146</v>
      </c>
      <c r="Y107" s="57">
        <v>14280</v>
      </c>
      <c r="Z107" s="57">
        <v>17951</v>
      </c>
      <c r="AA107" s="57">
        <v>13740</v>
      </c>
      <c r="AB107" s="13">
        <f>H107</f>
        <v>5034</v>
      </c>
      <c r="AC107" s="57">
        <v>5267</v>
      </c>
      <c r="AD107" s="57">
        <v>5601</v>
      </c>
      <c r="AE107" s="57">
        <v>9684</v>
      </c>
      <c r="AF107" s="13">
        <f>I107</f>
        <v>7581</v>
      </c>
      <c r="AG107" s="57">
        <v>4230</v>
      </c>
      <c r="AH107" s="57">
        <f>11661+3571</f>
        <v>15232</v>
      </c>
      <c r="AI107" s="57">
        <f>17062+3547</f>
        <v>20609</v>
      </c>
      <c r="AJ107" s="13">
        <f>J107</f>
        <v>11525</v>
      </c>
      <c r="AK107" s="57">
        <f>8274+3459</f>
        <v>11733</v>
      </c>
      <c r="AL107" s="57"/>
    </row>
    <row r="108" spans="2:38">
      <c r="B108" s="12" t="s">
        <v>234</v>
      </c>
      <c r="C108" s="57">
        <f>6786.143+3088.44</f>
        <v>9874.5830000000005</v>
      </c>
      <c r="D108" s="57">
        <f>6912.492+3139.29</f>
        <v>10051.781999999999</v>
      </c>
      <c r="E108" s="57">
        <f>9594.556+2936.205</f>
        <v>12530.761</v>
      </c>
      <c r="F108" s="57">
        <f>9385.959</f>
        <v>9385.9590000000007</v>
      </c>
      <c r="G108" s="57">
        <f>10224+20009</f>
        <v>30233</v>
      </c>
      <c r="H108" s="57">
        <f>10411+31555</f>
        <v>41966</v>
      </c>
      <c r="I108" s="57">
        <f>24770+31705</f>
        <v>56475</v>
      </c>
      <c r="J108" s="57">
        <f>20798+41675</f>
        <v>62473</v>
      </c>
      <c r="K108" s="13"/>
      <c r="L108" s="50"/>
      <c r="M108" s="57">
        <f>13943.189+3188.295</f>
        <v>17131.484</v>
      </c>
      <c r="N108" s="57">
        <f>10404.25+3185.775</f>
        <v>13590.025</v>
      </c>
      <c r="O108" s="57">
        <f>10011.115+3176.15</f>
        <v>13187.264999999999</v>
      </c>
      <c r="P108" s="13">
        <f>E108</f>
        <v>12530.761</v>
      </c>
      <c r="Q108" s="57">
        <f>9665.524+2957.085</f>
        <v>12622.609</v>
      </c>
      <c r="R108" s="57">
        <f>9504.686+2907.045</f>
        <v>12411.731</v>
      </c>
      <c r="S108" s="57">
        <f>2947.91+9544.666</f>
        <v>12492.575999999999</v>
      </c>
      <c r="T108" s="13">
        <f>F108</f>
        <v>9385.9590000000007</v>
      </c>
      <c r="U108" s="57">
        <f>9311+6298</f>
        <v>15609</v>
      </c>
      <c r="V108" s="57">
        <f>9847+14812</f>
        <v>24659</v>
      </c>
      <c r="W108" s="57">
        <f>10420+18193</f>
        <v>28613</v>
      </c>
      <c r="X108" s="13">
        <f>G108</f>
        <v>30233</v>
      </c>
      <c r="Y108" s="57">
        <f>19245+10091</f>
        <v>29336</v>
      </c>
      <c r="Z108" s="57">
        <f>10614+21450</f>
        <v>32064</v>
      </c>
      <c r="AA108" s="57">
        <f>10550+22191</f>
        <v>32741</v>
      </c>
      <c r="AB108" s="13">
        <f>H108</f>
        <v>41966</v>
      </c>
      <c r="AC108" s="57">
        <f>10432+32157</f>
        <v>42589</v>
      </c>
      <c r="AD108" s="57">
        <f>24514+32267</f>
        <v>56781</v>
      </c>
      <c r="AE108" s="57">
        <f>24126+29721</f>
        <v>53847</v>
      </c>
      <c r="AF108" s="13">
        <f t="shared" ref="AF108" si="270">I108</f>
        <v>56475</v>
      </c>
      <c r="AG108" s="57">
        <f>24758+31492</f>
        <v>56250</v>
      </c>
      <c r="AH108" s="57">
        <f>35454+21141</f>
        <v>56595</v>
      </c>
      <c r="AI108" s="57">
        <f>38957+21005</f>
        <v>59962</v>
      </c>
      <c r="AJ108" s="13">
        <f>J108</f>
        <v>62473</v>
      </c>
      <c r="AK108" s="57">
        <f>20494+42162</f>
        <v>62656</v>
      </c>
      <c r="AL108" s="57"/>
    </row>
    <row r="109" spans="2:38">
      <c r="B109" s="7" t="s">
        <v>25</v>
      </c>
      <c r="C109" s="50">
        <f t="shared" ref="C109" si="271">SUM(C107:C108)</f>
        <v>10021.847</v>
      </c>
      <c r="D109" s="50">
        <f t="shared" ref="D109" si="272">SUM(D107:D108)</f>
        <v>10051.781999999999</v>
      </c>
      <c r="E109" s="50">
        <f t="shared" ref="E109:F109" si="273">SUM(E107:E108)</f>
        <v>15790.643</v>
      </c>
      <c r="F109" s="50">
        <f t="shared" si="273"/>
        <v>13753.634000000002</v>
      </c>
      <c r="G109" s="50">
        <f t="shared" ref="G109:H109" si="274">SUM(G107:G108)</f>
        <v>42379</v>
      </c>
      <c r="H109" s="50">
        <f t="shared" si="274"/>
        <v>47000</v>
      </c>
      <c r="I109" s="50">
        <f t="shared" ref="I109:J109" si="275">SUM(I107:I108)</f>
        <v>64056</v>
      </c>
      <c r="J109" s="50">
        <f t="shared" si="275"/>
        <v>73998</v>
      </c>
      <c r="K109" s="50"/>
      <c r="L109" s="50"/>
      <c r="M109" s="50">
        <f t="shared" ref="M109:P109" si="276">SUM(M107:M108)</f>
        <v>25733.294999999998</v>
      </c>
      <c r="N109" s="50">
        <f t="shared" si="276"/>
        <v>25911.038999999997</v>
      </c>
      <c r="O109" s="50">
        <f t="shared" ref="O109" si="277">SUM(O107:O108)</f>
        <v>19529.307000000001</v>
      </c>
      <c r="P109" s="50">
        <f t="shared" si="276"/>
        <v>15790.643</v>
      </c>
      <c r="Q109" s="50">
        <f t="shared" ref="Q109:T109" si="278">SUM(Q107:Q108)</f>
        <v>16925.311000000002</v>
      </c>
      <c r="R109" s="50">
        <f t="shared" si="278"/>
        <v>12974.128999999999</v>
      </c>
      <c r="S109" s="50">
        <f t="shared" si="278"/>
        <v>19520.472999999998</v>
      </c>
      <c r="T109" s="50">
        <f t="shared" si="278"/>
        <v>13753.634000000002</v>
      </c>
      <c r="U109" s="50">
        <f t="shared" ref="U109:X109" si="279">SUM(U107:U108)</f>
        <v>32760</v>
      </c>
      <c r="V109" s="50">
        <f t="shared" si="279"/>
        <v>38413</v>
      </c>
      <c r="W109" s="50">
        <f t="shared" si="279"/>
        <v>46609</v>
      </c>
      <c r="X109" s="50">
        <f t="shared" si="279"/>
        <v>42379</v>
      </c>
      <c r="Y109" s="50">
        <f t="shared" ref="Y109:AC109" si="280">SUM(Y107:Y108)</f>
        <v>43616</v>
      </c>
      <c r="Z109" s="50">
        <f t="shared" si="280"/>
        <v>50015</v>
      </c>
      <c r="AA109" s="50">
        <f t="shared" si="280"/>
        <v>46481</v>
      </c>
      <c r="AB109" s="50">
        <f t="shared" si="280"/>
        <v>47000</v>
      </c>
      <c r="AC109" s="50">
        <f t="shared" si="280"/>
        <v>47856</v>
      </c>
      <c r="AD109" s="50">
        <f t="shared" ref="AD109:AG109" si="281">SUM(AD107:AD108)</f>
        <v>62382</v>
      </c>
      <c r="AE109" s="50">
        <f t="shared" si="281"/>
        <v>63531</v>
      </c>
      <c r="AF109" s="50">
        <f t="shared" si="281"/>
        <v>64056</v>
      </c>
      <c r="AG109" s="50">
        <f t="shared" si="281"/>
        <v>60480</v>
      </c>
      <c r="AH109" s="50">
        <f t="shared" ref="AH109:AK109" si="282">SUM(AH107:AH108)</f>
        <v>71827</v>
      </c>
      <c r="AI109" s="50">
        <f t="shared" si="282"/>
        <v>80571</v>
      </c>
      <c r="AJ109" s="50">
        <f t="shared" si="282"/>
        <v>73998</v>
      </c>
      <c r="AK109" s="50">
        <f t="shared" si="282"/>
        <v>74389</v>
      </c>
      <c r="AL109" s="50"/>
    </row>
    <row r="110" spans="2:38">
      <c r="C110" s="57"/>
      <c r="D110" s="57"/>
      <c r="E110" s="57"/>
      <c r="F110" s="57"/>
      <c r="G110" s="57"/>
      <c r="H110" s="57"/>
      <c r="I110" s="57"/>
      <c r="J110" s="57"/>
      <c r="K110" s="13"/>
      <c r="L110" s="50"/>
      <c r="M110" s="57"/>
      <c r="N110" s="57"/>
      <c r="O110" s="57"/>
      <c r="P110" s="61"/>
      <c r="Q110" s="57"/>
      <c r="R110" s="57"/>
      <c r="S110" s="57"/>
      <c r="T110" s="61"/>
      <c r="U110" s="57"/>
      <c r="V110" s="57"/>
      <c r="W110" s="57"/>
      <c r="X110" s="61"/>
      <c r="Y110" s="57"/>
      <c r="Z110" s="57"/>
      <c r="AA110" s="57"/>
      <c r="AB110" s="61"/>
      <c r="AC110" s="57"/>
      <c r="AD110" s="57"/>
      <c r="AE110" s="57"/>
      <c r="AF110" s="61"/>
      <c r="AG110" s="57"/>
      <c r="AH110" s="57"/>
      <c r="AI110" s="57"/>
      <c r="AJ110" s="61"/>
      <c r="AK110" s="57"/>
      <c r="AL110" s="57"/>
    </row>
    <row r="111" spans="2:38">
      <c r="B111" s="7" t="s">
        <v>235</v>
      </c>
      <c r="C111" s="57"/>
      <c r="D111" s="57"/>
      <c r="E111" s="57"/>
      <c r="F111" s="57"/>
      <c r="G111" s="57"/>
      <c r="H111" s="57"/>
      <c r="I111" s="57"/>
      <c r="J111" s="57"/>
      <c r="K111" s="13"/>
      <c r="L111" s="50"/>
      <c r="M111" s="57"/>
      <c r="N111" s="57"/>
      <c r="O111" s="57"/>
      <c r="P111" s="61"/>
      <c r="Q111" s="57"/>
      <c r="R111" s="57"/>
      <c r="S111" s="57"/>
      <c r="T111" s="61"/>
      <c r="U111" s="57"/>
      <c r="V111" s="57"/>
      <c r="W111" s="57"/>
      <c r="X111" s="61"/>
      <c r="Y111" s="57"/>
      <c r="Z111" s="57"/>
      <c r="AA111" s="57"/>
      <c r="AB111" s="61"/>
      <c r="AC111" s="57"/>
      <c r="AD111" s="57"/>
      <c r="AE111" s="57"/>
      <c r="AF111" s="61"/>
      <c r="AG111" s="57"/>
      <c r="AH111" s="57"/>
      <c r="AI111" s="57"/>
      <c r="AJ111" s="61"/>
      <c r="AK111" s="57"/>
      <c r="AL111" s="57"/>
    </row>
    <row r="112" spans="2:38">
      <c r="B112" s="12" t="s">
        <v>236</v>
      </c>
      <c r="C112" s="57">
        <v>0</v>
      </c>
      <c r="D112" s="57">
        <v>3193.48</v>
      </c>
      <c r="E112" s="57">
        <v>5513.5339999999997</v>
      </c>
      <c r="F112" s="57">
        <v>6664.8389999999999</v>
      </c>
      <c r="G112" s="57">
        <v>7688</v>
      </c>
      <c r="H112" s="57">
        <v>7755</v>
      </c>
      <c r="I112" s="57">
        <v>7606</v>
      </c>
      <c r="J112" s="57">
        <v>9399</v>
      </c>
      <c r="K112" s="13"/>
      <c r="L112" s="50"/>
      <c r="M112" s="57">
        <v>3406.9839999999999</v>
      </c>
      <c r="N112" s="57">
        <v>4109.88</v>
      </c>
      <c r="O112" s="57">
        <v>4962.2139999999999</v>
      </c>
      <c r="P112" s="13">
        <f>E112</f>
        <v>5513.5339999999997</v>
      </c>
      <c r="Q112" s="57">
        <v>5667.1289999999999</v>
      </c>
      <c r="R112" s="57">
        <v>6061.6679999999997</v>
      </c>
      <c r="S112" s="57">
        <v>6404.1369999999997</v>
      </c>
      <c r="T112" s="13">
        <f>F112</f>
        <v>6664.8389999999999</v>
      </c>
      <c r="U112" s="57">
        <v>6686</v>
      </c>
      <c r="V112" s="57">
        <v>6861</v>
      </c>
      <c r="W112" s="57">
        <v>7640</v>
      </c>
      <c r="X112" s="13">
        <f>G112</f>
        <v>7688</v>
      </c>
      <c r="Y112" s="57">
        <v>7964</v>
      </c>
      <c r="Z112" s="57">
        <v>7945</v>
      </c>
      <c r="AA112" s="57">
        <v>8097</v>
      </c>
      <c r="AB112" s="13">
        <f>H112</f>
        <v>7755</v>
      </c>
      <c r="AC112" s="57">
        <v>7859</v>
      </c>
      <c r="AD112" s="57">
        <v>7843</v>
      </c>
      <c r="AE112" s="57">
        <v>7675</v>
      </c>
      <c r="AF112" s="13">
        <f t="shared" ref="AF112:AF113" si="283">I112</f>
        <v>7606</v>
      </c>
      <c r="AG112" s="57">
        <v>7801</v>
      </c>
      <c r="AH112" s="57">
        <v>8285</v>
      </c>
      <c r="AI112" s="57">
        <v>8897</v>
      </c>
      <c r="AJ112" s="13">
        <f>J112</f>
        <v>9399</v>
      </c>
      <c r="AK112" s="57">
        <v>9486</v>
      </c>
      <c r="AL112" s="57"/>
    </row>
    <row r="113" spans="2:38">
      <c r="B113" s="12" t="s">
        <v>237</v>
      </c>
      <c r="C113" s="57">
        <v>0</v>
      </c>
      <c r="D113" s="57">
        <v>5523.1639999999998</v>
      </c>
      <c r="E113" s="57">
        <v>10249.957</v>
      </c>
      <c r="F113" s="57">
        <v>13720.797</v>
      </c>
      <c r="G113" s="57">
        <v>14978</v>
      </c>
      <c r="H113" s="57">
        <v>13676</v>
      </c>
      <c r="I113" s="57">
        <v>18106</v>
      </c>
      <c r="J113" s="57">
        <v>23708</v>
      </c>
      <c r="K113" s="13"/>
      <c r="L113" s="50"/>
      <c r="M113" s="57">
        <v>5325.5420000000004</v>
      </c>
      <c r="N113" s="57">
        <v>7492.9610000000002</v>
      </c>
      <c r="O113" s="57">
        <v>9476.7009999999991</v>
      </c>
      <c r="P113" s="13">
        <f>E113</f>
        <v>10249.957</v>
      </c>
      <c r="Q113" s="57">
        <v>10256.31</v>
      </c>
      <c r="R113" s="57">
        <v>11471.003000000001</v>
      </c>
      <c r="S113" s="57">
        <v>11683.031000000001</v>
      </c>
      <c r="T113" s="13">
        <f>F113</f>
        <v>13720.797</v>
      </c>
      <c r="U113" s="57">
        <v>13707</v>
      </c>
      <c r="V113" s="57">
        <v>13806</v>
      </c>
      <c r="W113" s="57">
        <v>14781</v>
      </c>
      <c r="X113" s="13">
        <f>G113</f>
        <v>14978</v>
      </c>
      <c r="Y113" s="57">
        <v>14493</v>
      </c>
      <c r="Z113" s="57">
        <v>14981</v>
      </c>
      <c r="AA113" s="57">
        <v>15280</v>
      </c>
      <c r="AB113" s="13">
        <f>H113</f>
        <v>13676</v>
      </c>
      <c r="AC113" s="57">
        <v>14264</v>
      </c>
      <c r="AD113" s="57">
        <v>15965</v>
      </c>
      <c r="AE113" s="57">
        <v>16792</v>
      </c>
      <c r="AF113" s="13">
        <f t="shared" si="283"/>
        <v>18106</v>
      </c>
      <c r="AG113" s="57">
        <v>19151</v>
      </c>
      <c r="AH113" s="57">
        <v>20680</v>
      </c>
      <c r="AI113" s="57">
        <v>22621</v>
      </c>
      <c r="AJ113" s="13">
        <f>J113</f>
        <v>23708</v>
      </c>
      <c r="AK113" s="57">
        <v>24145</v>
      </c>
      <c r="AL113" s="57"/>
    </row>
    <row r="114" spans="2:38">
      <c r="B114" s="7" t="s">
        <v>238</v>
      </c>
      <c r="C114" s="50">
        <f t="shared" ref="C114" si="284">SUM(C112:C113)</f>
        <v>0</v>
      </c>
      <c r="D114" s="50">
        <f t="shared" ref="D114" si="285">SUM(D112:D113)</f>
        <v>8716.6440000000002</v>
      </c>
      <c r="E114" s="50">
        <f t="shared" ref="E114:F114" si="286">SUM(E112:E113)</f>
        <v>15763.491</v>
      </c>
      <c r="F114" s="50">
        <f t="shared" si="286"/>
        <v>20385.635999999999</v>
      </c>
      <c r="G114" s="50">
        <f t="shared" ref="G114:H114" si="287">SUM(G112:G113)</f>
        <v>22666</v>
      </c>
      <c r="H114" s="50">
        <f t="shared" si="287"/>
        <v>21431</v>
      </c>
      <c r="I114" s="50">
        <f t="shared" ref="I114:J114" si="288">SUM(I112:I113)</f>
        <v>25712</v>
      </c>
      <c r="J114" s="50">
        <f t="shared" si="288"/>
        <v>33107</v>
      </c>
      <c r="K114" s="50"/>
      <c r="L114" s="50"/>
      <c r="M114" s="50">
        <f t="shared" ref="M114:P114" si="289">SUM(M112:M113)</f>
        <v>8732.5259999999998</v>
      </c>
      <c r="N114" s="50">
        <f t="shared" si="289"/>
        <v>11602.841</v>
      </c>
      <c r="O114" s="50">
        <f t="shared" ref="O114" si="290">SUM(O112:O113)</f>
        <v>14438.914999999999</v>
      </c>
      <c r="P114" s="50">
        <f t="shared" si="289"/>
        <v>15763.491</v>
      </c>
      <c r="Q114" s="50">
        <f t="shared" ref="Q114:T114" si="291">SUM(Q112:Q113)</f>
        <v>15923.438999999998</v>
      </c>
      <c r="R114" s="50">
        <f t="shared" si="291"/>
        <v>17532.671000000002</v>
      </c>
      <c r="S114" s="50">
        <f t="shared" si="291"/>
        <v>18087.168000000001</v>
      </c>
      <c r="T114" s="50">
        <f t="shared" si="291"/>
        <v>20385.635999999999</v>
      </c>
      <c r="U114" s="50">
        <f t="shared" ref="U114:X114" si="292">SUM(U112:U113)</f>
        <v>20393</v>
      </c>
      <c r="V114" s="50">
        <f t="shared" si="292"/>
        <v>20667</v>
      </c>
      <c r="W114" s="50">
        <f t="shared" si="292"/>
        <v>22421</v>
      </c>
      <c r="X114" s="50">
        <f t="shared" si="292"/>
        <v>22666</v>
      </c>
      <c r="Y114" s="50">
        <f t="shared" ref="Y114:AC114" si="293">SUM(Y112:Y113)</f>
        <v>22457</v>
      </c>
      <c r="Z114" s="50">
        <f t="shared" si="293"/>
        <v>22926</v>
      </c>
      <c r="AA114" s="50">
        <f t="shared" si="293"/>
        <v>23377</v>
      </c>
      <c r="AB114" s="50">
        <f t="shared" si="293"/>
        <v>21431</v>
      </c>
      <c r="AC114" s="50">
        <f t="shared" si="293"/>
        <v>22123</v>
      </c>
      <c r="AD114" s="50">
        <f t="shared" ref="AD114:AG114" si="294">SUM(AD112:AD113)</f>
        <v>23808</v>
      </c>
      <c r="AE114" s="50">
        <f t="shared" si="294"/>
        <v>24467</v>
      </c>
      <c r="AF114" s="50">
        <f t="shared" si="294"/>
        <v>25712</v>
      </c>
      <c r="AG114" s="50">
        <f t="shared" si="294"/>
        <v>26952</v>
      </c>
      <c r="AH114" s="50">
        <f t="shared" ref="AH114:AK114" si="295">SUM(AH112:AH113)</f>
        <v>28965</v>
      </c>
      <c r="AI114" s="50">
        <f t="shared" si="295"/>
        <v>31518</v>
      </c>
      <c r="AJ114" s="50">
        <f t="shared" si="295"/>
        <v>33107</v>
      </c>
      <c r="AK114" s="50">
        <f t="shared" si="295"/>
        <v>33631</v>
      </c>
      <c r="AL114" s="50"/>
    </row>
    <row r="115" spans="2:38">
      <c r="B115" s="26"/>
      <c r="C115" s="57"/>
      <c r="D115" s="57"/>
      <c r="E115" s="57"/>
      <c r="F115" s="57"/>
      <c r="G115" s="57"/>
      <c r="H115" s="57"/>
      <c r="I115" s="57"/>
      <c r="J115" s="57"/>
      <c r="K115" s="13"/>
      <c r="L115" s="50"/>
      <c r="M115" s="57"/>
      <c r="N115" s="57"/>
      <c r="O115" s="57"/>
      <c r="P115" s="61"/>
      <c r="Q115" s="57"/>
      <c r="R115" s="57"/>
      <c r="S115" s="57"/>
      <c r="T115" s="61"/>
      <c r="U115" s="57"/>
      <c r="V115" s="57"/>
      <c r="W115" s="57"/>
      <c r="X115" s="61"/>
      <c r="Y115" s="57"/>
      <c r="Z115" s="57"/>
      <c r="AA115" s="57"/>
      <c r="AB115" s="61"/>
      <c r="AC115" s="57"/>
      <c r="AD115" s="57"/>
      <c r="AE115" s="57"/>
      <c r="AF115" s="61"/>
      <c r="AG115" s="57"/>
      <c r="AH115" s="57"/>
      <c r="AI115" s="57"/>
      <c r="AJ115" s="61"/>
      <c r="AK115" s="57"/>
      <c r="AL115" s="57"/>
    </row>
    <row r="116" spans="2:38">
      <c r="B116" s="7" t="s">
        <v>239</v>
      </c>
      <c r="C116" s="57"/>
      <c r="D116" s="57"/>
      <c r="E116" s="57"/>
      <c r="F116" s="57"/>
      <c r="G116" s="57"/>
      <c r="H116" s="57"/>
      <c r="I116" s="57"/>
      <c r="J116" s="57"/>
      <c r="K116" s="13"/>
      <c r="L116" s="50"/>
      <c r="M116" s="57"/>
      <c r="N116" s="57"/>
      <c r="O116" s="57"/>
      <c r="P116" s="61"/>
      <c r="Q116" s="57"/>
      <c r="R116" s="57"/>
      <c r="S116" s="57"/>
      <c r="T116" s="61"/>
      <c r="U116" s="57"/>
      <c r="V116" s="57"/>
      <c r="W116" s="57"/>
      <c r="X116" s="61"/>
      <c r="Y116" s="57"/>
      <c r="Z116" s="57"/>
      <c r="AA116" s="57"/>
      <c r="AB116" s="61"/>
      <c r="AC116" s="57"/>
      <c r="AD116" s="57"/>
      <c r="AE116" s="57"/>
      <c r="AF116" s="61"/>
      <c r="AG116" s="57"/>
      <c r="AH116" s="57"/>
      <c r="AI116" s="57"/>
      <c r="AJ116" s="61"/>
      <c r="AK116" s="57"/>
      <c r="AL116" s="57"/>
    </row>
    <row r="117" spans="2:38">
      <c r="B117" s="12" t="s">
        <v>233</v>
      </c>
      <c r="C117" s="13">
        <f t="shared" ref="C117:E118" si="296">C107+C112</f>
        <v>147.26400000000001</v>
      </c>
      <c r="D117" s="13">
        <f t="shared" si="296"/>
        <v>3193.48</v>
      </c>
      <c r="E117" s="13">
        <f t="shared" si="296"/>
        <v>8773.4159999999993</v>
      </c>
      <c r="F117" s="13">
        <f t="shared" ref="F117:G117" si="297">F107+F112</f>
        <v>11032.513999999999</v>
      </c>
      <c r="G117" s="13">
        <f t="shared" si="297"/>
        <v>19834</v>
      </c>
      <c r="H117" s="13">
        <f t="shared" ref="H117:I117" si="298">H107+H112</f>
        <v>12789</v>
      </c>
      <c r="I117" s="13">
        <f t="shared" si="298"/>
        <v>15187</v>
      </c>
      <c r="J117" s="13">
        <f t="shared" ref="J117" si="299">J107+J112</f>
        <v>20924</v>
      </c>
      <c r="K117" s="13"/>
      <c r="L117" s="50"/>
      <c r="M117" s="13">
        <f t="shared" ref="M117:P118" si="300">M107+M112</f>
        <v>12008.795</v>
      </c>
      <c r="N117" s="13">
        <f t="shared" si="300"/>
        <v>16430.894</v>
      </c>
      <c r="O117" s="13">
        <f t="shared" si="300"/>
        <v>11304.255999999999</v>
      </c>
      <c r="P117" s="13">
        <f t="shared" si="300"/>
        <v>8773.4159999999993</v>
      </c>
      <c r="Q117" s="13">
        <f t="shared" ref="Q117:T117" si="301">Q107+Q112</f>
        <v>9969.8310000000001</v>
      </c>
      <c r="R117" s="13">
        <f t="shared" si="301"/>
        <v>6624.0659999999998</v>
      </c>
      <c r="S117" s="13">
        <f t="shared" si="301"/>
        <v>13432.034</v>
      </c>
      <c r="T117" s="13">
        <f t="shared" si="301"/>
        <v>11032.513999999999</v>
      </c>
      <c r="U117" s="13">
        <f t="shared" ref="U117:X118" si="302">U107+U112</f>
        <v>23837</v>
      </c>
      <c r="V117" s="13">
        <f t="shared" si="302"/>
        <v>20615</v>
      </c>
      <c r="W117" s="13">
        <f t="shared" si="302"/>
        <v>25636</v>
      </c>
      <c r="X117" s="13">
        <f t="shared" si="302"/>
        <v>19834</v>
      </c>
      <c r="Y117" s="13">
        <f t="shared" ref="Y117:AC118" si="303">Y107+Y112</f>
        <v>22244</v>
      </c>
      <c r="Z117" s="13">
        <f t="shared" si="303"/>
        <v>25896</v>
      </c>
      <c r="AA117" s="13">
        <f t="shared" si="303"/>
        <v>21837</v>
      </c>
      <c r="AB117" s="13">
        <f t="shared" si="303"/>
        <v>12789</v>
      </c>
      <c r="AC117" s="13">
        <f t="shared" si="303"/>
        <v>13126</v>
      </c>
      <c r="AD117" s="13">
        <f t="shared" ref="AD117:AG117" si="304">AD107+AD112</f>
        <v>13444</v>
      </c>
      <c r="AE117" s="13">
        <f t="shared" si="304"/>
        <v>17359</v>
      </c>
      <c r="AF117" s="13">
        <f t="shared" si="304"/>
        <v>15187</v>
      </c>
      <c r="AG117" s="13">
        <f t="shared" si="304"/>
        <v>12031</v>
      </c>
      <c r="AH117" s="13">
        <f t="shared" ref="AH117:AK117" si="305">AH107+AH112</f>
        <v>23517</v>
      </c>
      <c r="AI117" s="13">
        <f t="shared" si="305"/>
        <v>29506</v>
      </c>
      <c r="AJ117" s="13">
        <f t="shared" si="305"/>
        <v>20924</v>
      </c>
      <c r="AK117" s="13">
        <f t="shared" si="305"/>
        <v>21219</v>
      </c>
      <c r="AL117" s="13"/>
    </row>
    <row r="118" spans="2:38">
      <c r="B118" s="12" t="s">
        <v>234</v>
      </c>
      <c r="C118" s="13">
        <f t="shared" si="296"/>
        <v>9874.5830000000005</v>
      </c>
      <c r="D118" s="13">
        <f t="shared" si="296"/>
        <v>15574.946</v>
      </c>
      <c r="E118" s="13">
        <f t="shared" si="296"/>
        <v>22780.718000000001</v>
      </c>
      <c r="F118" s="13">
        <f t="shared" ref="F118:G118" si="306">F108+F113</f>
        <v>23106.756000000001</v>
      </c>
      <c r="G118" s="13">
        <f t="shared" si="306"/>
        <v>45211</v>
      </c>
      <c r="H118" s="13">
        <f t="shared" ref="H118:I118" si="307">H108+H113</f>
        <v>55642</v>
      </c>
      <c r="I118" s="13">
        <f t="shared" si="307"/>
        <v>74581</v>
      </c>
      <c r="J118" s="13">
        <f t="shared" ref="J118" si="308">J108+J113</f>
        <v>86181</v>
      </c>
      <c r="K118" s="13"/>
      <c r="L118" s="50"/>
      <c r="M118" s="13">
        <f t="shared" si="300"/>
        <v>22457.026000000002</v>
      </c>
      <c r="N118" s="13">
        <f t="shared" si="300"/>
        <v>21082.986000000001</v>
      </c>
      <c r="O118" s="13">
        <f t="shared" si="300"/>
        <v>22663.966</v>
      </c>
      <c r="P118" s="13">
        <f t="shared" si="300"/>
        <v>22780.718000000001</v>
      </c>
      <c r="Q118" s="13">
        <f t="shared" ref="Q118:T118" si="309">Q108+Q113</f>
        <v>22878.919000000002</v>
      </c>
      <c r="R118" s="13">
        <f t="shared" si="309"/>
        <v>23882.734</v>
      </c>
      <c r="S118" s="13">
        <f t="shared" si="309"/>
        <v>24175.607</v>
      </c>
      <c r="T118" s="13">
        <f t="shared" si="309"/>
        <v>23106.756000000001</v>
      </c>
      <c r="U118" s="13">
        <f t="shared" ref="U118" si="310">U108+U113</f>
        <v>29316</v>
      </c>
      <c r="V118" s="13">
        <f t="shared" si="302"/>
        <v>38465</v>
      </c>
      <c r="W118" s="13">
        <f t="shared" si="302"/>
        <v>43394</v>
      </c>
      <c r="X118" s="13">
        <f t="shared" si="302"/>
        <v>45211</v>
      </c>
      <c r="Y118" s="13">
        <f t="shared" si="303"/>
        <v>43829</v>
      </c>
      <c r="Z118" s="13">
        <f t="shared" si="303"/>
        <v>47045</v>
      </c>
      <c r="AA118" s="13">
        <f t="shared" si="303"/>
        <v>48021</v>
      </c>
      <c r="AB118" s="13">
        <f t="shared" si="303"/>
        <v>55642</v>
      </c>
      <c r="AC118" s="13">
        <f t="shared" si="303"/>
        <v>56853</v>
      </c>
      <c r="AD118" s="13">
        <f t="shared" ref="AD118:AG118" si="311">AD108+AD113</f>
        <v>72746</v>
      </c>
      <c r="AE118" s="13">
        <f t="shared" si="311"/>
        <v>70639</v>
      </c>
      <c r="AF118" s="13">
        <f t="shared" si="311"/>
        <v>74581</v>
      </c>
      <c r="AG118" s="13">
        <f t="shared" si="311"/>
        <v>75401</v>
      </c>
      <c r="AH118" s="13">
        <f t="shared" ref="AH118:AK118" si="312">AH108+AH113</f>
        <v>77275</v>
      </c>
      <c r="AI118" s="13">
        <f t="shared" si="312"/>
        <v>82583</v>
      </c>
      <c r="AJ118" s="13">
        <f t="shared" si="312"/>
        <v>86181</v>
      </c>
      <c r="AK118" s="13">
        <f t="shared" si="312"/>
        <v>86801</v>
      </c>
      <c r="AL118" s="13"/>
    </row>
    <row r="119" spans="2:38" s="26" customFormat="1">
      <c r="B119" s="26" t="s">
        <v>240</v>
      </c>
      <c r="C119" s="50">
        <f t="shared" ref="C119" si="313">SUM(C117:C118)</f>
        <v>10021.847</v>
      </c>
      <c r="D119" s="50">
        <f t="shared" ref="D119:E119" si="314">SUM(D117:D118)</f>
        <v>18768.425999999999</v>
      </c>
      <c r="E119" s="50">
        <f t="shared" si="314"/>
        <v>31554.133999999998</v>
      </c>
      <c r="F119" s="50">
        <f t="shared" ref="F119:G119" si="315">SUM(F117:F118)</f>
        <v>34139.270000000004</v>
      </c>
      <c r="G119" s="50">
        <f t="shared" si="315"/>
        <v>65045</v>
      </c>
      <c r="H119" s="50">
        <f t="shared" ref="H119:I119" si="316">SUM(H117:H118)</f>
        <v>68431</v>
      </c>
      <c r="I119" s="50">
        <f t="shared" si="316"/>
        <v>89768</v>
      </c>
      <c r="J119" s="50">
        <f t="shared" ref="J119" si="317">SUM(J117:J118)</f>
        <v>107105</v>
      </c>
      <c r="K119" s="50"/>
      <c r="L119" s="50"/>
      <c r="M119" s="50">
        <f t="shared" ref="M119:P119" si="318">SUM(M117:M118)</f>
        <v>34465.821000000004</v>
      </c>
      <c r="N119" s="50">
        <f t="shared" si="318"/>
        <v>37513.880000000005</v>
      </c>
      <c r="O119" s="50">
        <f t="shared" ref="O119" si="319">SUM(O117:O118)</f>
        <v>33968.222000000002</v>
      </c>
      <c r="P119" s="50">
        <f t="shared" si="318"/>
        <v>31554.133999999998</v>
      </c>
      <c r="Q119" s="50">
        <f t="shared" ref="Q119:T119" si="320">SUM(Q117:Q118)</f>
        <v>32848.75</v>
      </c>
      <c r="R119" s="50">
        <f t="shared" si="320"/>
        <v>30506.799999999999</v>
      </c>
      <c r="S119" s="50">
        <f t="shared" si="320"/>
        <v>37607.641000000003</v>
      </c>
      <c r="T119" s="50">
        <f t="shared" si="320"/>
        <v>34139.270000000004</v>
      </c>
      <c r="U119" s="50">
        <f t="shared" ref="U119:X119" si="321">SUM(U117:U118)</f>
        <v>53153</v>
      </c>
      <c r="V119" s="50">
        <f t="shared" si="321"/>
        <v>59080</v>
      </c>
      <c r="W119" s="50">
        <f t="shared" si="321"/>
        <v>69030</v>
      </c>
      <c r="X119" s="50">
        <f t="shared" si="321"/>
        <v>65045</v>
      </c>
      <c r="Y119" s="50">
        <f t="shared" ref="Y119:AC119" si="322">SUM(Y117:Y118)</f>
        <v>66073</v>
      </c>
      <c r="Z119" s="50">
        <f t="shared" si="322"/>
        <v>72941</v>
      </c>
      <c r="AA119" s="50">
        <f t="shared" si="322"/>
        <v>69858</v>
      </c>
      <c r="AB119" s="50">
        <f t="shared" si="322"/>
        <v>68431</v>
      </c>
      <c r="AC119" s="50">
        <f t="shared" si="322"/>
        <v>69979</v>
      </c>
      <c r="AD119" s="50">
        <f t="shared" ref="AD119:AG119" si="323">SUM(AD117:AD118)</f>
        <v>86190</v>
      </c>
      <c r="AE119" s="50">
        <f t="shared" si="323"/>
        <v>87998</v>
      </c>
      <c r="AF119" s="50">
        <f t="shared" si="323"/>
        <v>89768</v>
      </c>
      <c r="AG119" s="50">
        <f t="shared" si="323"/>
        <v>87432</v>
      </c>
      <c r="AH119" s="50">
        <f t="shared" ref="AH119:AK119" si="324">SUM(AH117:AH118)</f>
        <v>100792</v>
      </c>
      <c r="AI119" s="50">
        <f t="shared" si="324"/>
        <v>112089</v>
      </c>
      <c r="AJ119" s="50">
        <f t="shared" si="324"/>
        <v>107105</v>
      </c>
      <c r="AK119" s="50">
        <f t="shared" si="324"/>
        <v>108020</v>
      </c>
      <c r="AL119" s="50"/>
    </row>
    <row r="120" spans="2:38" s="26" customFormat="1">
      <c r="B120" s="66" t="s">
        <v>241</v>
      </c>
      <c r="C120" s="50">
        <f>SUM(C121:C122)</f>
        <v>36298.019999999997</v>
      </c>
      <c r="D120" s="50">
        <f t="shared" ref="D120:K120" si="325">SUM(D121:D122)</f>
        <v>61574.197</v>
      </c>
      <c r="E120" s="50">
        <f t="shared" si="325"/>
        <v>146661.967</v>
      </c>
      <c r="F120" s="50">
        <f t="shared" si="325"/>
        <v>185330.74900000001</v>
      </c>
      <c r="G120" s="50">
        <f t="shared" si="325"/>
        <v>219956</v>
      </c>
      <c r="H120" s="50">
        <f t="shared" si="325"/>
        <v>190146</v>
      </c>
      <c r="I120" s="50">
        <f t="shared" si="325"/>
        <v>233995</v>
      </c>
      <c r="J120" s="50">
        <f t="shared" ref="J120" si="326">SUM(J121:J122)</f>
        <v>213232</v>
      </c>
      <c r="K120" s="50"/>
      <c r="L120" s="50"/>
      <c r="M120" s="50">
        <f t="shared" ref="M120" si="327">SUM(M121:M122)</f>
        <v>72893.899000000005</v>
      </c>
      <c r="N120" s="50">
        <f t="shared" ref="N120" si="328">SUM(N121:N122)</f>
        <v>120302.28399999999</v>
      </c>
      <c r="O120" s="50">
        <f t="shared" ref="O120" si="329">SUM(O121:O122)</f>
        <v>121515.19900000001</v>
      </c>
      <c r="P120" s="50">
        <f t="shared" ref="P120" si="330">SUM(P121:P122)</f>
        <v>207239.07699999999</v>
      </c>
      <c r="Q120" s="50">
        <f t="shared" ref="Q120" si="331">SUM(Q121:Q122)</f>
        <v>134878.66200000001</v>
      </c>
      <c r="R120" s="50">
        <f t="shared" ref="R120" si="332">SUM(R121:R122)</f>
        <v>172799.61300000001</v>
      </c>
      <c r="S120" s="50">
        <f t="shared" ref="S120" si="333">SUM(S121:S122)</f>
        <v>190344.58199999999</v>
      </c>
      <c r="T120" s="50">
        <f t="shared" ref="T120" si="334">SUM(T121:T122)</f>
        <v>299894.967</v>
      </c>
      <c r="U120" s="50">
        <f t="shared" ref="U120" si="335">SUM(U121:U122)</f>
        <v>180559</v>
      </c>
      <c r="V120" s="50">
        <f t="shared" ref="V120" si="336">SUM(V121:V122)</f>
        <v>201044</v>
      </c>
      <c r="W120" s="50">
        <f t="shared" ref="W120" si="337">SUM(W121:W122)</f>
        <v>211805</v>
      </c>
      <c r="X120" s="50">
        <f t="shared" ref="X120" si="338">SUM(X121:X122)</f>
        <v>361051</v>
      </c>
      <c r="Y120" s="50">
        <f t="shared" ref="Y120" si="339">SUM(Y121:Y122)</f>
        <v>196813</v>
      </c>
      <c r="Z120" s="50">
        <f t="shared" ref="Z120" si="340">SUM(Z121:Z122)</f>
        <v>235121</v>
      </c>
      <c r="AA120" s="50">
        <f t="shared" ref="AA120" si="341">SUM(AA121:AA122)</f>
        <v>242353</v>
      </c>
      <c r="AB120" s="50">
        <f t="shared" ref="AB120" si="342">SUM(AB121:AB122)</f>
        <v>308400</v>
      </c>
      <c r="AC120" s="50">
        <f t="shared" ref="AC120" si="343">SUM(AC121:AC122)</f>
        <v>171997</v>
      </c>
      <c r="AD120" s="50">
        <f t="shared" ref="AD120" si="344">SUM(AD121:AD122)</f>
        <v>201902</v>
      </c>
      <c r="AE120" s="50">
        <f t="shared" ref="AE120" si="345">SUM(AE121:AE122)</f>
        <v>190893</v>
      </c>
      <c r="AF120" s="50">
        <f t="shared" ref="AF120" si="346">SUM(AF121:AF122)</f>
        <v>359640</v>
      </c>
      <c r="AG120" s="50">
        <f t="shared" ref="AG120" si="347">SUM(AG121:AG122)</f>
        <v>194163</v>
      </c>
      <c r="AH120" s="50">
        <f t="shared" ref="AH120" si="348">SUM(AH121:AH122)</f>
        <v>213838</v>
      </c>
      <c r="AI120" s="50">
        <f t="shared" ref="AI120:AL120" si="349">SUM(AI121:AI122)</f>
        <v>198272</v>
      </c>
      <c r="AJ120" s="50">
        <f t="shared" si="349"/>
        <v>213232</v>
      </c>
      <c r="AK120" s="50">
        <f t="shared" si="349"/>
        <v>202133</v>
      </c>
      <c r="AL120" s="50"/>
    </row>
    <row r="121" spans="2:38">
      <c r="B121" s="74" t="s">
        <v>214</v>
      </c>
      <c r="C121" s="57">
        <f>34262.445</f>
        <v>34262.445</v>
      </c>
      <c r="D121" s="57">
        <f>36971.42</f>
        <v>36971.42</v>
      </c>
      <c r="E121" s="57">
        <f>86084.857</f>
        <v>86084.857000000004</v>
      </c>
      <c r="F121" s="57">
        <f>70766.531</f>
        <v>70766.531000000003</v>
      </c>
      <c r="G121" s="57">
        <f>78861</f>
        <v>78861</v>
      </c>
      <c r="H121" s="57">
        <v>71892</v>
      </c>
      <c r="I121" s="57">
        <v>108350</v>
      </c>
      <c r="J121" s="57">
        <v>137488</v>
      </c>
      <c r="K121" s="13"/>
      <c r="L121" s="50"/>
      <c r="M121" s="57">
        <v>43529.406999999999</v>
      </c>
      <c r="N121" s="57">
        <v>71571.975999999995</v>
      </c>
      <c r="O121" s="57">
        <v>73112.971000000005</v>
      </c>
      <c r="P121" s="13">
        <v>146661.967</v>
      </c>
      <c r="Q121" s="57">
        <v>71408.394</v>
      </c>
      <c r="R121" s="57">
        <v>97347.08</v>
      </c>
      <c r="S121" s="57">
        <v>87997.67</v>
      </c>
      <c r="T121" s="13">
        <v>185330.74900000001</v>
      </c>
      <c r="U121" s="57">
        <v>84463</v>
      </c>
      <c r="V121" s="57">
        <v>78821</v>
      </c>
      <c r="W121" s="57">
        <v>83356</v>
      </c>
      <c r="X121" s="13">
        <v>219956</v>
      </c>
      <c r="Y121" s="57">
        <v>74373</v>
      </c>
      <c r="Z121" s="57">
        <v>91020</v>
      </c>
      <c r="AA121" s="57">
        <v>115971</v>
      </c>
      <c r="AB121" s="13">
        <v>190146</v>
      </c>
      <c r="AC121" s="57">
        <v>81626</v>
      </c>
      <c r="AD121" s="57">
        <v>84496</v>
      </c>
      <c r="AE121" s="57">
        <v>99092</v>
      </c>
      <c r="AF121" s="13">
        <v>233995</v>
      </c>
      <c r="AG121" s="57">
        <v>96778</v>
      </c>
      <c r="AH121" s="57">
        <v>116547</v>
      </c>
      <c r="AI121" s="57">
        <v>113069</v>
      </c>
      <c r="AJ121" s="13">
        <f>J121</f>
        <v>137488</v>
      </c>
      <c r="AK121" s="57">
        <v>101829</v>
      </c>
      <c r="AL121" s="57"/>
    </row>
    <row r="122" spans="2:38">
      <c r="B122" s="74" t="s">
        <v>15</v>
      </c>
      <c r="C122" s="57">
        <v>2035.575</v>
      </c>
      <c r="D122" s="57">
        <v>24602.776999999998</v>
      </c>
      <c r="E122" s="57">
        <v>60577.11</v>
      </c>
      <c r="F122" s="57">
        <v>114564.21799999999</v>
      </c>
      <c r="G122" s="57">
        <v>141095</v>
      </c>
      <c r="H122" s="57">
        <v>118254</v>
      </c>
      <c r="I122" s="57">
        <v>125645</v>
      </c>
      <c r="J122" s="57">
        <v>75744</v>
      </c>
      <c r="K122" s="13"/>
      <c r="L122" s="50"/>
      <c r="M122" s="57">
        <v>29364.491999999998</v>
      </c>
      <c r="N122" s="57">
        <v>48730.307999999997</v>
      </c>
      <c r="O122" s="57">
        <v>48402.228000000003</v>
      </c>
      <c r="P122" s="13">
        <f>E122</f>
        <v>60577.11</v>
      </c>
      <c r="Q122" s="57">
        <v>63470.267999999996</v>
      </c>
      <c r="R122" s="57">
        <v>75452.532999999996</v>
      </c>
      <c r="S122" s="57">
        <v>102346.912</v>
      </c>
      <c r="T122" s="13">
        <f>F122</f>
        <v>114564.21799999999</v>
      </c>
      <c r="U122" s="57">
        <v>96096</v>
      </c>
      <c r="V122" s="57">
        <v>122223</v>
      </c>
      <c r="W122" s="57">
        <v>128449</v>
      </c>
      <c r="X122" s="13">
        <f>G122</f>
        <v>141095</v>
      </c>
      <c r="Y122" s="57">
        <v>122440</v>
      </c>
      <c r="Z122" s="57">
        <v>144101</v>
      </c>
      <c r="AA122" s="57">
        <v>126382</v>
      </c>
      <c r="AB122" s="13">
        <f>H122</f>
        <v>118254</v>
      </c>
      <c r="AC122" s="57">
        <v>90371</v>
      </c>
      <c r="AD122" s="57">
        <v>117406</v>
      </c>
      <c r="AE122" s="57">
        <v>91801</v>
      </c>
      <c r="AF122" s="13">
        <f t="shared" ref="AF122" si="350">I122</f>
        <v>125645</v>
      </c>
      <c r="AG122" s="57">
        <v>97385</v>
      </c>
      <c r="AH122" s="57">
        <v>97291</v>
      </c>
      <c r="AI122" s="57">
        <v>85203</v>
      </c>
      <c r="AJ122" s="13">
        <f>J122</f>
        <v>75744</v>
      </c>
      <c r="AK122" s="57">
        <v>100304</v>
      </c>
      <c r="AL122" s="57"/>
    </row>
    <row r="123" spans="2:38">
      <c r="B123" s="26" t="s">
        <v>242</v>
      </c>
      <c r="C123" s="50">
        <f>C119-C120</f>
        <v>-26276.172999999995</v>
      </c>
      <c r="D123" s="50">
        <f t="shared" ref="D123:AI123" si="351">D119-D120</f>
        <v>-42805.771000000001</v>
      </c>
      <c r="E123" s="50">
        <f t="shared" si="351"/>
        <v>-115107.83300000001</v>
      </c>
      <c r="F123" s="50">
        <f t="shared" si="351"/>
        <v>-151191.47899999999</v>
      </c>
      <c r="G123" s="50">
        <f t="shared" si="351"/>
        <v>-154911</v>
      </c>
      <c r="H123" s="50">
        <f t="shared" si="351"/>
        <v>-121715</v>
      </c>
      <c r="I123" s="50">
        <f t="shared" si="351"/>
        <v>-144227</v>
      </c>
      <c r="J123" s="50">
        <f t="shared" ref="J123" si="352">J119-J120</f>
        <v>-106127</v>
      </c>
      <c r="K123" s="50"/>
      <c r="L123" s="50"/>
      <c r="M123" s="50">
        <f t="shared" si="351"/>
        <v>-38428.078000000001</v>
      </c>
      <c r="N123" s="50">
        <f t="shared" si="351"/>
        <v>-82788.40399999998</v>
      </c>
      <c r="O123" s="50">
        <f t="shared" si="351"/>
        <v>-87546.977000000014</v>
      </c>
      <c r="P123" s="50">
        <f t="shared" si="351"/>
        <v>-175684.943</v>
      </c>
      <c r="Q123" s="50">
        <f t="shared" si="351"/>
        <v>-102029.91200000001</v>
      </c>
      <c r="R123" s="50">
        <f t="shared" si="351"/>
        <v>-142292.81300000002</v>
      </c>
      <c r="S123" s="50">
        <f t="shared" si="351"/>
        <v>-152736.94099999999</v>
      </c>
      <c r="T123" s="50">
        <f t="shared" si="351"/>
        <v>-265755.69699999999</v>
      </c>
      <c r="U123" s="50">
        <f t="shared" si="351"/>
        <v>-127406</v>
      </c>
      <c r="V123" s="50">
        <f t="shared" si="351"/>
        <v>-141964</v>
      </c>
      <c r="W123" s="50">
        <f t="shared" si="351"/>
        <v>-142775</v>
      </c>
      <c r="X123" s="50">
        <f t="shared" si="351"/>
        <v>-296006</v>
      </c>
      <c r="Y123" s="50">
        <f t="shared" si="351"/>
        <v>-130740</v>
      </c>
      <c r="Z123" s="50">
        <f t="shared" si="351"/>
        <v>-162180</v>
      </c>
      <c r="AA123" s="50">
        <f t="shared" si="351"/>
        <v>-172495</v>
      </c>
      <c r="AB123" s="50">
        <f t="shared" si="351"/>
        <v>-239969</v>
      </c>
      <c r="AC123" s="50">
        <f t="shared" si="351"/>
        <v>-102018</v>
      </c>
      <c r="AD123" s="50">
        <f t="shared" si="351"/>
        <v>-115712</v>
      </c>
      <c r="AE123" s="50">
        <f t="shared" si="351"/>
        <v>-102895</v>
      </c>
      <c r="AF123" s="50">
        <f t="shared" si="351"/>
        <v>-269872</v>
      </c>
      <c r="AG123" s="50">
        <f t="shared" si="351"/>
        <v>-106731</v>
      </c>
      <c r="AH123" s="50">
        <f t="shared" si="351"/>
        <v>-113046</v>
      </c>
      <c r="AI123" s="50">
        <f t="shared" si="351"/>
        <v>-86183</v>
      </c>
      <c r="AJ123" s="50">
        <f t="shared" ref="AJ123:AL123" si="353">AJ119-AJ120</f>
        <v>-106127</v>
      </c>
      <c r="AK123" s="50">
        <f t="shared" si="353"/>
        <v>-94113</v>
      </c>
      <c r="AL123" s="50"/>
    </row>
    <row r="124" spans="2:38">
      <c r="C124" s="59"/>
      <c r="D124" s="59"/>
      <c r="E124" s="59"/>
      <c r="F124" s="59"/>
      <c r="G124" s="59"/>
      <c r="H124" s="59"/>
      <c r="I124" s="59"/>
      <c r="J124" s="59"/>
      <c r="K124" s="50"/>
      <c r="L124" s="204"/>
      <c r="M124" s="59"/>
      <c r="N124" s="59"/>
      <c r="O124" s="59"/>
      <c r="P124" s="58"/>
      <c r="Q124" s="59"/>
      <c r="R124" s="59"/>
      <c r="S124" s="59"/>
      <c r="T124" s="58"/>
      <c r="U124" s="59"/>
      <c r="V124" s="59"/>
      <c r="W124" s="59"/>
      <c r="X124" s="58"/>
      <c r="Y124" s="59"/>
      <c r="Z124" s="59"/>
      <c r="AA124" s="59"/>
      <c r="AB124" s="58"/>
      <c r="AC124" s="59"/>
      <c r="AD124" s="59"/>
      <c r="AE124" s="59"/>
      <c r="AF124" s="58"/>
      <c r="AG124" s="59"/>
      <c r="AH124" s="59"/>
      <c r="AI124" s="59"/>
      <c r="AJ124" s="58"/>
      <c r="AK124" s="59"/>
      <c r="AL124" s="59"/>
    </row>
    <row r="125" spans="2:38">
      <c r="B125" s="26" t="s">
        <v>243</v>
      </c>
      <c r="C125" s="50">
        <f t="shared" ref="C125:D125" si="354">C123</f>
        <v>-26276.172999999995</v>
      </c>
      <c r="D125" s="50">
        <f t="shared" si="354"/>
        <v>-42805.771000000001</v>
      </c>
      <c r="E125" s="50">
        <f t="shared" ref="E125:J125" si="355">E123</f>
        <v>-115107.83300000001</v>
      </c>
      <c r="F125" s="50">
        <f t="shared" si="355"/>
        <v>-151191.47899999999</v>
      </c>
      <c r="G125" s="50">
        <f t="shared" si="355"/>
        <v>-154911</v>
      </c>
      <c r="H125" s="50">
        <f t="shared" si="355"/>
        <v>-121715</v>
      </c>
      <c r="I125" s="50">
        <f t="shared" si="355"/>
        <v>-144227</v>
      </c>
      <c r="J125" s="50">
        <f t="shared" si="355"/>
        <v>-106127</v>
      </c>
      <c r="K125" s="50"/>
      <c r="L125" s="50"/>
      <c r="M125" s="50">
        <f t="shared" ref="M125:O125" si="356">M123</f>
        <v>-38428.078000000001</v>
      </c>
      <c r="N125" s="50">
        <f t="shared" si="356"/>
        <v>-82788.40399999998</v>
      </c>
      <c r="O125" s="50">
        <f t="shared" si="356"/>
        <v>-87546.977000000014</v>
      </c>
      <c r="P125" s="50">
        <f>E125</f>
        <v>-115107.83300000001</v>
      </c>
      <c r="Q125" s="50">
        <f t="shared" ref="Q125:S125" si="357">Q123</f>
        <v>-102029.91200000001</v>
      </c>
      <c r="R125" s="50">
        <f t="shared" si="357"/>
        <v>-142292.81300000002</v>
      </c>
      <c r="S125" s="50">
        <f t="shared" si="357"/>
        <v>-152736.94099999999</v>
      </c>
      <c r="T125" s="50">
        <f>F125</f>
        <v>-151191.47899999999</v>
      </c>
      <c r="U125" s="50">
        <f t="shared" ref="U125" si="358">U123</f>
        <v>-127406</v>
      </c>
      <c r="V125" s="50">
        <f>V123</f>
        <v>-141964</v>
      </c>
      <c r="W125" s="50">
        <f>W123</f>
        <v>-142775</v>
      </c>
      <c r="X125" s="50">
        <f>G125</f>
        <v>-154911</v>
      </c>
      <c r="Y125" s="50">
        <f t="shared" ref="Y125" si="359">Y123</f>
        <v>-130740</v>
      </c>
      <c r="Z125" s="50">
        <f>Z123</f>
        <v>-162180</v>
      </c>
      <c r="AA125" s="50">
        <f>AA123</f>
        <v>-172495</v>
      </c>
      <c r="AB125" s="50">
        <f>H125</f>
        <v>-121715</v>
      </c>
      <c r="AC125" s="50">
        <f>AC123</f>
        <v>-102018</v>
      </c>
      <c r="AD125" s="50">
        <f>AD123</f>
        <v>-115712</v>
      </c>
      <c r="AE125" s="50">
        <f>AE123</f>
        <v>-102895</v>
      </c>
      <c r="AF125" s="50">
        <f>I125</f>
        <v>-144227</v>
      </c>
      <c r="AG125" s="50">
        <f t="shared" ref="AG125:AL125" si="360">AG123</f>
        <v>-106731</v>
      </c>
      <c r="AH125" s="50">
        <f t="shared" si="360"/>
        <v>-113046</v>
      </c>
      <c r="AI125" s="50">
        <f t="shared" si="360"/>
        <v>-86183</v>
      </c>
      <c r="AJ125" s="50">
        <f t="shared" si="360"/>
        <v>-106127</v>
      </c>
      <c r="AK125" s="50">
        <f t="shared" si="360"/>
        <v>-94113</v>
      </c>
      <c r="AL125" s="50"/>
    </row>
    <row r="126" spans="2:38">
      <c r="B126" s="21" t="s">
        <v>244</v>
      </c>
      <c r="C126" s="57">
        <v>60866.86</v>
      </c>
      <c r="D126" s="57">
        <v>84659.846999999994</v>
      </c>
      <c r="E126" s="57">
        <v>204485.908</v>
      </c>
      <c r="F126" s="57">
        <v>245572.22399999999</v>
      </c>
      <c r="G126" s="57">
        <v>273533</v>
      </c>
      <c r="H126" s="57">
        <v>295766</v>
      </c>
      <c r="I126" s="57">
        <v>312813</v>
      </c>
      <c r="J126" s="57">
        <v>293783</v>
      </c>
      <c r="K126" s="13"/>
      <c r="L126" s="50"/>
      <c r="M126" s="57">
        <v>87279.092999999993</v>
      </c>
      <c r="N126" s="57">
        <v>140037.60999999999</v>
      </c>
      <c r="O126" s="57">
        <v>157946.71599999999</v>
      </c>
      <c r="P126" s="13">
        <f>E126</f>
        <v>204485.908</v>
      </c>
      <c r="Q126" s="57">
        <v>208509.29699999999</v>
      </c>
      <c r="R126" s="57">
        <v>248203.22500000001</v>
      </c>
      <c r="S126" s="57">
        <v>247938.78899999999</v>
      </c>
      <c r="T126" s="13">
        <f>F126</f>
        <v>245572.22399999999</v>
      </c>
      <c r="U126" s="57">
        <v>254619</v>
      </c>
      <c r="V126" s="57">
        <v>245572.22399999999</v>
      </c>
      <c r="W126" s="57">
        <v>270547</v>
      </c>
      <c r="X126" s="13">
        <f>G126</f>
        <v>273533</v>
      </c>
      <c r="Y126" s="57">
        <v>273413</v>
      </c>
      <c r="Z126" s="57">
        <v>286695</v>
      </c>
      <c r="AA126" s="57">
        <v>295681</v>
      </c>
      <c r="AB126" s="13">
        <f>H126</f>
        <v>295766</v>
      </c>
      <c r="AC126" s="57">
        <v>287345</v>
      </c>
      <c r="AD126" s="57">
        <v>287328</v>
      </c>
      <c r="AE126" s="57">
        <v>296274</v>
      </c>
      <c r="AF126" s="13">
        <f>I126</f>
        <v>312813</v>
      </c>
      <c r="AG126" s="57">
        <v>308408</v>
      </c>
      <c r="AH126" s="57">
        <v>297289</v>
      </c>
      <c r="AI126" s="57">
        <v>304420</v>
      </c>
      <c r="AJ126" s="13">
        <f>J126</f>
        <v>293783</v>
      </c>
      <c r="AK126" s="57">
        <v>280730</v>
      </c>
      <c r="AL126" s="57"/>
    </row>
    <row r="127" spans="2:38" s="26" customFormat="1">
      <c r="B127" s="26" t="s">
        <v>245</v>
      </c>
      <c r="C127" s="50">
        <f t="shared" ref="C127:G127" si="361">+C119+C126</f>
        <v>70888.706999999995</v>
      </c>
      <c r="D127" s="50">
        <f t="shared" si="361"/>
        <v>103428.27299999999</v>
      </c>
      <c r="E127" s="50">
        <f t="shared" si="361"/>
        <v>236040.04199999999</v>
      </c>
      <c r="F127" s="50">
        <f t="shared" si="361"/>
        <v>279711.49400000001</v>
      </c>
      <c r="G127" s="50">
        <f t="shared" si="361"/>
        <v>338578</v>
      </c>
      <c r="H127" s="50">
        <f t="shared" ref="H127:I127" si="362">+H119+H126</f>
        <v>364197</v>
      </c>
      <c r="I127" s="50">
        <f t="shared" si="362"/>
        <v>402581</v>
      </c>
      <c r="J127" s="50">
        <f t="shared" ref="J127" si="363">+J119+J126</f>
        <v>400888</v>
      </c>
      <c r="K127" s="50"/>
      <c r="L127" s="50"/>
      <c r="M127" s="50">
        <f t="shared" ref="M127:S127" si="364">+M119+M126</f>
        <v>121744.91399999999</v>
      </c>
      <c r="N127" s="50">
        <f t="shared" si="364"/>
        <v>177551.49</v>
      </c>
      <c r="O127" s="50">
        <f t="shared" si="364"/>
        <v>191914.93799999999</v>
      </c>
      <c r="P127" s="50">
        <f t="shared" si="364"/>
        <v>236040.04199999999</v>
      </c>
      <c r="Q127" s="50">
        <f t="shared" si="364"/>
        <v>241358.04699999999</v>
      </c>
      <c r="R127" s="50">
        <f t="shared" si="364"/>
        <v>278710.02500000002</v>
      </c>
      <c r="S127" s="50">
        <f t="shared" si="364"/>
        <v>285546.43</v>
      </c>
      <c r="T127" s="50">
        <f t="shared" ref="T127:U127" si="365">+T119+T126</f>
        <v>279711.49400000001</v>
      </c>
      <c r="U127" s="50">
        <f t="shared" si="365"/>
        <v>307772</v>
      </c>
      <c r="V127" s="50">
        <f>+V119+V126</f>
        <v>304652.22399999999</v>
      </c>
      <c r="W127" s="50">
        <f>+W119+W126</f>
        <v>339577</v>
      </c>
      <c r="X127" s="50">
        <f t="shared" ref="X127:Y127" si="366">+X119+X126</f>
        <v>338578</v>
      </c>
      <c r="Y127" s="50">
        <f t="shared" si="366"/>
        <v>339486</v>
      </c>
      <c r="Z127" s="50">
        <f>+Z119+Z126</f>
        <v>359636</v>
      </c>
      <c r="AA127" s="50">
        <f>+AA119+AA126</f>
        <v>365539</v>
      </c>
      <c r="AB127" s="50">
        <f t="shared" ref="AB127:AC127" si="367">+AB119+AB126</f>
        <v>364197</v>
      </c>
      <c r="AC127" s="50">
        <f t="shared" si="367"/>
        <v>357324</v>
      </c>
      <c r="AD127" s="50">
        <f>+AD119+AD126</f>
        <v>373518</v>
      </c>
      <c r="AE127" s="50">
        <f>+AE119+AE126</f>
        <v>384272</v>
      </c>
      <c r="AF127" s="50">
        <f t="shared" ref="AF127:AG127" si="368">+AF119+AF126</f>
        <v>402581</v>
      </c>
      <c r="AG127" s="50">
        <f t="shared" si="368"/>
        <v>395840</v>
      </c>
      <c r="AH127" s="50">
        <f>+AH119+AH126</f>
        <v>398081</v>
      </c>
      <c r="AI127" s="50">
        <f>+AI119+AI126</f>
        <v>416509</v>
      </c>
      <c r="AJ127" s="50">
        <f t="shared" ref="AJ127:AK127" si="369">+AJ119+AJ126</f>
        <v>400888</v>
      </c>
      <c r="AK127" s="50">
        <f t="shared" si="369"/>
        <v>388750</v>
      </c>
      <c r="AL127" s="50"/>
    </row>
    <row r="128" spans="2:38">
      <c r="L128" s="50"/>
    </row>
    <row r="129" spans="2:40">
      <c r="B129" s="47" t="s">
        <v>246</v>
      </c>
      <c r="C129" s="51">
        <f t="shared" ref="C129:J129" si="370">C3</f>
        <v>43465</v>
      </c>
      <c r="D129" s="51">
        <f t="shared" si="370"/>
        <v>43830</v>
      </c>
      <c r="E129" s="51">
        <f t="shared" si="370"/>
        <v>44196</v>
      </c>
      <c r="F129" s="51">
        <f t="shared" si="370"/>
        <v>44561</v>
      </c>
      <c r="G129" s="51">
        <f t="shared" si="370"/>
        <v>44926</v>
      </c>
      <c r="H129" s="51">
        <f t="shared" si="370"/>
        <v>45291</v>
      </c>
      <c r="I129" s="51">
        <f t="shared" si="370"/>
        <v>45657</v>
      </c>
      <c r="J129" s="51">
        <f t="shared" si="370"/>
        <v>46022</v>
      </c>
      <c r="K129" s="51"/>
      <c r="L129" s="50"/>
      <c r="M129" s="51">
        <f t="shared" ref="M129:AL129" si="371">M3</f>
        <v>43921</v>
      </c>
      <c r="N129" s="51">
        <f t="shared" si="371"/>
        <v>44012</v>
      </c>
      <c r="O129" s="51">
        <f t="shared" si="371"/>
        <v>44104</v>
      </c>
      <c r="P129" s="51">
        <f t="shared" si="371"/>
        <v>44196</v>
      </c>
      <c r="Q129" s="51">
        <f t="shared" si="371"/>
        <v>44286</v>
      </c>
      <c r="R129" s="51">
        <f t="shared" si="371"/>
        <v>44377</v>
      </c>
      <c r="S129" s="51">
        <f t="shared" si="371"/>
        <v>44469</v>
      </c>
      <c r="T129" s="51">
        <f t="shared" si="371"/>
        <v>44561</v>
      </c>
      <c r="U129" s="51">
        <f t="shared" si="371"/>
        <v>44651</v>
      </c>
      <c r="V129" s="51">
        <f t="shared" si="371"/>
        <v>44742</v>
      </c>
      <c r="W129" s="51">
        <f t="shared" si="371"/>
        <v>44834</v>
      </c>
      <c r="X129" s="51">
        <f t="shared" si="371"/>
        <v>44926</v>
      </c>
      <c r="Y129" s="51">
        <f t="shared" si="371"/>
        <v>45016</v>
      </c>
      <c r="Z129" s="51">
        <f t="shared" si="371"/>
        <v>45107</v>
      </c>
      <c r="AA129" s="51">
        <f t="shared" si="371"/>
        <v>45199</v>
      </c>
      <c r="AB129" s="51">
        <f t="shared" si="371"/>
        <v>45291</v>
      </c>
      <c r="AC129" s="51">
        <f t="shared" si="371"/>
        <v>45382</v>
      </c>
      <c r="AD129" s="51">
        <f t="shared" si="371"/>
        <v>45473</v>
      </c>
      <c r="AE129" s="51">
        <f t="shared" si="371"/>
        <v>45565</v>
      </c>
      <c r="AF129" s="51">
        <f t="shared" si="371"/>
        <v>45657</v>
      </c>
      <c r="AG129" s="51">
        <f t="shared" si="371"/>
        <v>45747</v>
      </c>
      <c r="AH129" s="51">
        <f t="shared" si="371"/>
        <v>45838</v>
      </c>
      <c r="AI129" s="51">
        <f t="shared" si="371"/>
        <v>45930</v>
      </c>
      <c r="AJ129" s="51">
        <f t="shared" si="371"/>
        <v>46022</v>
      </c>
      <c r="AK129" s="51">
        <f t="shared" si="371"/>
        <v>46112</v>
      </c>
      <c r="AL129" s="51"/>
    </row>
    <row r="130" spans="2:40">
      <c r="B130" s="26"/>
      <c r="L130" s="50"/>
    </row>
    <row r="131" spans="2:40">
      <c r="B131" s="7" t="s">
        <v>247</v>
      </c>
      <c r="C131" s="80" t="str">
        <f t="shared" ref="C131:G131" si="372">IF((C123-C114)&lt;0,"net cash",(C123-C114)/C87)</f>
        <v>net cash</v>
      </c>
      <c r="D131" s="80" t="str">
        <f t="shared" si="372"/>
        <v>net cash</v>
      </c>
      <c r="E131" s="80" t="str">
        <f t="shared" si="372"/>
        <v>net cash</v>
      </c>
      <c r="F131" s="80" t="str">
        <f t="shared" si="372"/>
        <v>net cash</v>
      </c>
      <c r="G131" s="80" t="str">
        <f t="shared" si="372"/>
        <v>net cash</v>
      </c>
      <c r="H131" s="80" t="str">
        <f t="shared" ref="H131:I131" si="373">IF((H123-H114)&lt;0,"net cash",(H123-H114)/H87)</f>
        <v>net cash</v>
      </c>
      <c r="I131" s="80" t="str">
        <f t="shared" si="373"/>
        <v>net cash</v>
      </c>
      <c r="J131" s="80" t="str">
        <f t="shared" ref="J131" si="374">IF((J123-J114)&lt;0,"net cash",(J123-J114)/J87)</f>
        <v>net cash</v>
      </c>
      <c r="K131" s="80"/>
      <c r="L131" s="50"/>
      <c r="M131" s="111"/>
      <c r="N131" s="111"/>
      <c r="O131" s="111"/>
      <c r="P131" s="80" t="str">
        <f t="shared" ref="P131:T131" si="375">IF((P123-P114)&lt;0,"net cash",(P123-P114)/P87)</f>
        <v>net cash</v>
      </c>
      <c r="Q131" s="80" t="str">
        <f t="shared" si="375"/>
        <v>net cash</v>
      </c>
      <c r="R131" s="80" t="str">
        <f t="shared" si="375"/>
        <v>net cash</v>
      </c>
      <c r="S131" s="80" t="str">
        <f t="shared" si="375"/>
        <v>net cash</v>
      </c>
      <c r="T131" s="80" t="str">
        <f t="shared" si="375"/>
        <v>net cash</v>
      </c>
      <c r="U131" s="80" t="str">
        <f>IF((U123-U114)&lt;0,"net cash",(U123-U114)/U87)</f>
        <v>net cash</v>
      </c>
      <c r="V131" s="80" t="str">
        <f t="shared" ref="V131:X131" si="376">IF((V123-V114)&lt;0,"net cash",(V123-V114)/V87)</f>
        <v>net cash</v>
      </c>
      <c r="W131" s="80" t="str">
        <f t="shared" si="376"/>
        <v>net cash</v>
      </c>
      <c r="X131" s="80" t="str">
        <f t="shared" si="376"/>
        <v>net cash</v>
      </c>
      <c r="Y131" s="80" t="str">
        <f>IF((Y123-Y114)&lt;0,"net cash",(Y123-Y114)/Y87)</f>
        <v>net cash</v>
      </c>
      <c r="Z131" s="80" t="str">
        <f t="shared" ref="Z131:AB131" si="377">IF((Z123-Z114)&lt;0,"net cash",(Z123-Z114)/Z87)</f>
        <v>net cash</v>
      </c>
      <c r="AA131" s="80" t="str">
        <f t="shared" si="377"/>
        <v>net cash</v>
      </c>
      <c r="AB131" s="80" t="str">
        <f t="shared" si="377"/>
        <v>net cash</v>
      </c>
      <c r="AC131" s="80" t="str">
        <f>IF((AC123-AC114)&lt;0,"net cash",(AC123-AC114)/AC87)</f>
        <v>net cash</v>
      </c>
      <c r="AD131" s="80" t="str">
        <f t="shared" ref="AD131:AF131" si="378">IF((AD123-AD114)&lt;0,"net cash",(AD123-AD114)/AD87)</f>
        <v>net cash</v>
      </c>
      <c r="AE131" s="80" t="str">
        <f t="shared" si="378"/>
        <v>net cash</v>
      </c>
      <c r="AF131" s="80" t="str">
        <f t="shared" si="378"/>
        <v>net cash</v>
      </c>
      <c r="AG131" s="80" t="str">
        <f>IF((AG123-AG114)&lt;0,"net cash",(AG123-AG114)/AG87)</f>
        <v>net cash</v>
      </c>
      <c r="AH131" s="80" t="str">
        <f t="shared" ref="AH131:AJ131" si="379">IF((AH123-AH114)&lt;0,"net cash",(AH123-AH114)/AH87)</f>
        <v>net cash</v>
      </c>
      <c r="AI131" s="80" t="str">
        <f t="shared" si="379"/>
        <v>net cash</v>
      </c>
      <c r="AJ131" s="80" t="str">
        <f t="shared" si="379"/>
        <v>net cash</v>
      </c>
      <c r="AK131" s="80" t="str">
        <f>IF((AK123-AK114)&lt;0,"net cash",(AK123-AK114)/AK87)</f>
        <v>net cash</v>
      </c>
      <c r="AL131" s="80"/>
    </row>
    <row r="132" spans="2:40">
      <c r="B132" s="12" t="s">
        <v>248</v>
      </c>
      <c r="C132" s="55">
        <f t="shared" ref="C132:G132" si="380">(C119-C114)/C87</f>
        <v>1.7684693789140244</v>
      </c>
      <c r="D132" s="55">
        <f t="shared" si="380"/>
        <v>0.72780875505149101</v>
      </c>
      <c r="E132" s="55">
        <f t="shared" si="380"/>
        <v>0.76352935607310646</v>
      </c>
      <c r="F132" s="55">
        <f t="shared" si="380"/>
        <v>0.73503257177714076</v>
      </c>
      <c r="G132" s="55">
        <f t="shared" si="380"/>
        <v>1.261204690197012</v>
      </c>
      <c r="H132" s="55">
        <f t="shared" ref="H132:I132" si="381">(H119-H114)/H87</f>
        <v>1.1071327617073401</v>
      </c>
      <c r="I132" s="55">
        <f t="shared" si="381"/>
        <v>1.2336729387747241</v>
      </c>
      <c r="J132" s="55">
        <f t="shared" ref="J132" si="382">(J119-J114)/J87</f>
        <v>4.0339075447012647</v>
      </c>
      <c r="K132" s="55"/>
      <c r="L132" s="50"/>
      <c r="M132" s="111"/>
      <c r="N132" s="111"/>
      <c r="O132" s="111"/>
      <c r="P132" s="55">
        <f t="shared" ref="P132:U132" si="383">(P119-P114)/P87</f>
        <v>0.76352935607310646</v>
      </c>
      <c r="Q132" s="55">
        <f t="shared" si="383"/>
        <v>0.80189748437181474</v>
      </c>
      <c r="R132" s="55">
        <f t="shared" si="383"/>
        <v>0.72267349101911382</v>
      </c>
      <c r="S132" s="55">
        <f t="shared" si="383"/>
        <v>1.1339686424603923</v>
      </c>
      <c r="T132" s="55">
        <f t="shared" si="383"/>
        <v>0.73503257177714076</v>
      </c>
      <c r="U132" s="55">
        <f t="shared" si="383"/>
        <v>1.6513932117959684</v>
      </c>
      <c r="V132" s="55">
        <f t="shared" ref="V132:Y132" si="384">(V119-V114)/V87</f>
        <v>1.6510368397883501</v>
      </c>
      <c r="W132" s="55">
        <f t="shared" si="384"/>
        <v>1.6146729214268958</v>
      </c>
      <c r="X132" s="55">
        <f t="shared" si="384"/>
        <v>1.261204690197012</v>
      </c>
      <c r="Y132" s="55">
        <f t="shared" si="384"/>
        <v>1.1776967733225328</v>
      </c>
      <c r="Z132" s="55">
        <f t="shared" ref="Z132:AC132" si="385">(Z119-Z114)/Z87</f>
        <v>1.2422074857809899</v>
      </c>
      <c r="AA132" s="55">
        <f t="shared" si="385"/>
        <v>1.1149463887356377</v>
      </c>
      <c r="AB132" s="55">
        <f t="shared" si="385"/>
        <v>1.1071327617073401</v>
      </c>
      <c r="AC132" s="55">
        <f t="shared" si="385"/>
        <v>1.0941015089163237</v>
      </c>
      <c r="AD132" s="55">
        <f t="shared" ref="AD132:AG132" si="386">(AD119-AD114)/AD87</f>
        <v>1.3310431647001089</v>
      </c>
      <c r="AE132" s="55">
        <f t="shared" si="386"/>
        <v>1.2950973397207217</v>
      </c>
      <c r="AF132" s="55">
        <f t="shared" si="386"/>
        <v>1.2336729387747241</v>
      </c>
      <c r="AG132" s="55">
        <f t="shared" si="386"/>
        <v>1.1028848608629054</v>
      </c>
      <c r="AH132" s="55">
        <f>(AH119-AH114)/AH87</f>
        <v>1.6211208161238631</v>
      </c>
      <c r="AI132" s="55">
        <f t="shared" ref="AI132:AK132" si="387">(AI119-AI114)/AI87</f>
        <v>2.541992680464412</v>
      </c>
      <c r="AJ132" s="55">
        <f t="shared" si="387"/>
        <v>4.0339075447012647</v>
      </c>
      <c r="AK132" s="55">
        <f t="shared" si="387"/>
        <v>5.8759083728278041</v>
      </c>
      <c r="AL132" s="55"/>
    </row>
    <row r="133" spans="2:40">
      <c r="B133" s="7"/>
      <c r="L133" s="50"/>
      <c r="M133" s="50"/>
      <c r="N133" s="50"/>
      <c r="O133" s="50"/>
      <c r="P133" s="50"/>
    </row>
    <row r="134" spans="2:40" s="26" customFormat="1">
      <c r="B134" s="7" t="s">
        <v>249</v>
      </c>
      <c r="C134" s="80" t="str">
        <f t="shared" ref="C134:G134" si="388">IF(C123&lt;0,"net cash", C123/C87)</f>
        <v>net cash</v>
      </c>
      <c r="D134" s="80" t="str">
        <f t="shared" si="388"/>
        <v>net cash</v>
      </c>
      <c r="E134" s="80" t="str">
        <f t="shared" si="388"/>
        <v>net cash</v>
      </c>
      <c r="F134" s="80" t="str">
        <f t="shared" si="388"/>
        <v>net cash</v>
      </c>
      <c r="G134" s="80" t="str">
        <f t="shared" si="388"/>
        <v>net cash</v>
      </c>
      <c r="H134" s="80" t="str">
        <f t="shared" ref="H134:I134" si="389">IF(H123&lt;0,"net cash", H123/H87)</f>
        <v>net cash</v>
      </c>
      <c r="I134" s="80" t="str">
        <f t="shared" si="389"/>
        <v>net cash</v>
      </c>
      <c r="J134" s="80" t="str">
        <f t="shared" ref="J134" si="390">IF(J123&lt;0,"net cash", J123/J87)</f>
        <v>net cash</v>
      </c>
      <c r="K134" s="80"/>
      <c r="L134" s="50"/>
      <c r="M134" s="111"/>
      <c r="N134" s="111"/>
      <c r="O134" s="111"/>
      <c r="P134" s="80" t="str">
        <f t="shared" ref="P134:U134" si="391">IF(P123&lt;0,"net cash", P123/P87)</f>
        <v>net cash</v>
      </c>
      <c r="Q134" s="80" t="str">
        <f t="shared" si="391"/>
        <v>net cash</v>
      </c>
      <c r="R134" s="80" t="str">
        <f t="shared" si="391"/>
        <v>net cash</v>
      </c>
      <c r="S134" s="80" t="str">
        <f t="shared" si="391"/>
        <v>net cash</v>
      </c>
      <c r="T134" s="80" t="str">
        <f t="shared" si="391"/>
        <v>net cash</v>
      </c>
      <c r="U134" s="80" t="str">
        <f t="shared" si="391"/>
        <v>net cash</v>
      </c>
      <c r="V134" s="80" t="str">
        <f t="shared" ref="V134:Y134" si="392">IF(V123&lt;0,"net cash", V123/V87)</f>
        <v>net cash</v>
      </c>
      <c r="W134" s="80" t="str">
        <f t="shared" si="392"/>
        <v>net cash</v>
      </c>
      <c r="X134" s="80" t="str">
        <f t="shared" si="392"/>
        <v>net cash</v>
      </c>
      <c r="Y134" s="80" t="str">
        <f t="shared" si="392"/>
        <v>net cash</v>
      </c>
      <c r="Z134" s="80" t="str">
        <f t="shared" ref="Z134:AC134" si="393">IF(Z123&lt;0,"net cash", Z123/Z87)</f>
        <v>net cash</v>
      </c>
      <c r="AA134" s="80" t="str">
        <f t="shared" si="393"/>
        <v>net cash</v>
      </c>
      <c r="AB134" s="80" t="str">
        <f t="shared" si="393"/>
        <v>net cash</v>
      </c>
      <c r="AC134" s="80" t="str">
        <f t="shared" si="393"/>
        <v>net cash</v>
      </c>
      <c r="AD134" s="80" t="str">
        <f t="shared" ref="AD134:AG134" si="394">IF(AD123&lt;0,"net cash", AD123/AD87)</f>
        <v>net cash</v>
      </c>
      <c r="AE134" s="80" t="str">
        <f t="shared" si="394"/>
        <v>net cash</v>
      </c>
      <c r="AF134" s="80" t="str">
        <f t="shared" si="394"/>
        <v>net cash</v>
      </c>
      <c r="AG134" s="80" t="str">
        <f t="shared" si="394"/>
        <v>net cash</v>
      </c>
      <c r="AH134" s="80" t="str">
        <f t="shared" ref="AH134:AK134" si="395">IF(AH123&lt;0,"net cash", AH123/AH87)</f>
        <v>net cash</v>
      </c>
      <c r="AI134" s="80" t="str">
        <f t="shared" si="395"/>
        <v>net cash</v>
      </c>
      <c r="AJ134" s="80" t="str">
        <f t="shared" si="395"/>
        <v>net cash</v>
      </c>
      <c r="AK134" s="80" t="str">
        <f t="shared" si="395"/>
        <v>net cash</v>
      </c>
      <c r="AL134" s="80"/>
    </row>
    <row r="135" spans="2:40">
      <c r="B135" s="12" t="s">
        <v>250</v>
      </c>
      <c r="C135" s="55">
        <f t="shared" ref="C135:G135" si="396">+C119/C87</f>
        <v>1.7684693789140244</v>
      </c>
      <c r="D135" s="55">
        <f t="shared" si="396"/>
        <v>1.3589455841099654</v>
      </c>
      <c r="E135" s="55">
        <f t="shared" si="396"/>
        <v>1.5257458239328516</v>
      </c>
      <c r="F135" s="55">
        <f t="shared" si="396"/>
        <v>1.8244978328414281</v>
      </c>
      <c r="G135" s="55">
        <f t="shared" si="396"/>
        <v>1.9357478721504673</v>
      </c>
      <c r="H135" s="55">
        <f t="shared" ref="H135:I135" si="397">+H119/H87</f>
        <v>1.6119617450296806</v>
      </c>
      <c r="I135" s="55">
        <f t="shared" si="397"/>
        <v>1.7288677464707356</v>
      </c>
      <c r="J135" s="55">
        <f t="shared" ref="J135" si="398">+J119/J87</f>
        <v>5.8386938508504143</v>
      </c>
      <c r="K135" s="55"/>
      <c r="L135" s="50"/>
      <c r="M135" s="111"/>
      <c r="N135" s="111"/>
      <c r="O135" s="111"/>
      <c r="P135" s="55">
        <f t="shared" ref="P135:U135" si="399">+P119/P87</f>
        <v>1.5257458239328516</v>
      </c>
      <c r="Q135" s="55">
        <f t="shared" si="399"/>
        <v>1.5563276792821501</v>
      </c>
      <c r="R135" s="55">
        <f t="shared" si="399"/>
        <v>1.699262868114068</v>
      </c>
      <c r="S135" s="55">
        <f t="shared" si="399"/>
        <v>2.1846748083874705</v>
      </c>
      <c r="T135" s="55">
        <f t="shared" si="399"/>
        <v>1.8244978328414281</v>
      </c>
      <c r="U135" s="55">
        <f t="shared" si="399"/>
        <v>2.6793804452561387</v>
      </c>
      <c r="V135" s="55">
        <f t="shared" ref="V135:Y135" si="400">+V119/V87</f>
        <v>2.5393293024417707</v>
      </c>
      <c r="W135" s="55">
        <f t="shared" si="400"/>
        <v>2.3914023421677917</v>
      </c>
      <c r="X135" s="55">
        <f t="shared" si="400"/>
        <v>1.9357478721504673</v>
      </c>
      <c r="Y135" s="55">
        <f t="shared" si="400"/>
        <v>1.7840691238018092</v>
      </c>
      <c r="Z135" s="55">
        <f t="shared" ref="Z135:AC135" si="401">+Z119/Z87</f>
        <v>1.8116136403149294</v>
      </c>
      <c r="AA135" s="55">
        <f t="shared" si="401"/>
        <v>1.6756938281081339</v>
      </c>
      <c r="AB135" s="55">
        <f t="shared" si="401"/>
        <v>1.6119617450296806</v>
      </c>
      <c r="AC135" s="55">
        <f t="shared" si="401"/>
        <v>1.5998856881572932</v>
      </c>
      <c r="AD135" s="55">
        <f t="shared" ref="AD135:AG135" si="402">+AD119/AD87</f>
        <v>1.8390338617790769</v>
      </c>
      <c r="AE135" s="55">
        <f t="shared" si="402"/>
        <v>1.7938640301702171</v>
      </c>
      <c r="AF135" s="55">
        <f t="shared" si="402"/>
        <v>1.7288677464707356</v>
      </c>
      <c r="AG135" s="55">
        <f t="shared" si="402"/>
        <v>1.5943688683030015</v>
      </c>
      <c r="AH135" s="55">
        <f t="shared" ref="AH135:AK135" si="403">+AH119/AH87</f>
        <v>2.2748549890536482</v>
      </c>
      <c r="AI135" s="55">
        <f t="shared" si="403"/>
        <v>3.5363768298838969</v>
      </c>
      <c r="AJ135" s="55">
        <f t="shared" si="403"/>
        <v>5.8386938508504143</v>
      </c>
      <c r="AK135" s="55">
        <f t="shared" si="403"/>
        <v>8.5323854660347553</v>
      </c>
      <c r="AL135" s="55"/>
    </row>
    <row r="136" spans="2:40">
      <c r="C136" s="55"/>
      <c r="D136" s="55"/>
      <c r="E136" s="55"/>
      <c r="F136" s="55"/>
      <c r="G136" s="55"/>
      <c r="H136" s="55"/>
      <c r="I136" s="55"/>
      <c r="J136" s="55"/>
      <c r="K136" s="55"/>
      <c r="L136" s="50"/>
      <c r="M136" s="111"/>
      <c r="N136" s="111"/>
      <c r="O136" s="111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</row>
    <row r="137" spans="2:40" s="26" customFormat="1">
      <c r="B137" s="26" t="s">
        <v>251</v>
      </c>
      <c r="C137" s="56">
        <f t="shared" ref="C137:G137" si="404">C125/C87</f>
        <v>-4.6367308686260582</v>
      </c>
      <c r="D137" s="56">
        <f t="shared" si="404"/>
        <v>-3.0993922172734369</v>
      </c>
      <c r="E137" s="80">
        <f t="shared" si="404"/>
        <v>-5.5658410876276978</v>
      </c>
      <c r="F137" s="80">
        <f t="shared" si="404"/>
        <v>-8.0800944419605418</v>
      </c>
      <c r="G137" s="80">
        <f t="shared" si="404"/>
        <v>-4.6101720135706206</v>
      </c>
      <c r="H137" s="80">
        <f t="shared" ref="H137:I137" si="405">H125/H87</f>
        <v>-2.8671205125789125</v>
      </c>
      <c r="I137" s="80">
        <f t="shared" si="405"/>
        <v>-2.7777093003100743</v>
      </c>
      <c r="J137" s="80">
        <f t="shared" ref="J137" si="406">J125/J87</f>
        <v>-5.7853794156127343</v>
      </c>
      <c r="K137" s="80"/>
      <c r="L137" s="80"/>
      <c r="M137" s="80"/>
      <c r="N137" s="80"/>
      <c r="O137" s="80"/>
      <c r="P137" s="80"/>
      <c r="Q137" s="226">
        <f t="shared" ref="Q137:U137" si="407">Q125/Q87</f>
        <v>-4.8340340548825145</v>
      </c>
      <c r="R137" s="80">
        <f t="shared" si="407"/>
        <v>-7.9258687745158056</v>
      </c>
      <c r="S137" s="80">
        <f t="shared" si="407"/>
        <v>-8.8726795523511655</v>
      </c>
      <c r="T137" s="80">
        <f t="shared" si="407"/>
        <v>-8.0800944419605418</v>
      </c>
      <c r="U137" s="80">
        <f t="shared" si="407"/>
        <v>-6.4223871655090701</v>
      </c>
      <c r="V137" s="80">
        <f t="shared" ref="V137:Y137" si="408">V125/V87</f>
        <v>-6.1017830922790033</v>
      </c>
      <c r="W137" s="80">
        <f t="shared" si="408"/>
        <v>-4.9461461596842895</v>
      </c>
      <c r="X137" s="80">
        <f t="shared" si="408"/>
        <v>-4.6101720135706206</v>
      </c>
      <c r="Y137" s="80">
        <f t="shared" si="408"/>
        <v>-3.530174159578777</v>
      </c>
      <c r="Z137" s="80">
        <f t="shared" ref="Z137:AC137" si="409">Z125/Z87</f>
        <v>-4.0280157961403766</v>
      </c>
      <c r="AA137" s="80">
        <f t="shared" si="409"/>
        <v>-4.1376622130538028</v>
      </c>
      <c r="AB137" s="80">
        <f t="shared" si="409"/>
        <v>-2.8671205125789125</v>
      </c>
      <c r="AC137" s="80">
        <f t="shared" si="409"/>
        <v>-2.3323731138545951</v>
      </c>
      <c r="AD137" s="80">
        <f t="shared" ref="AD137:AG137" si="410">AD125/AD87</f>
        <v>-2.468944033114985</v>
      </c>
      <c r="AE137" s="80">
        <f t="shared" si="410"/>
        <v>-2.0975435735399044</v>
      </c>
      <c r="AF137" s="80">
        <f t="shared" si="410"/>
        <v>-2.7777093003100743</v>
      </c>
      <c r="AG137" s="80">
        <f t="shared" si="410"/>
        <v>-1.9462963638352966</v>
      </c>
      <c r="AH137" s="80">
        <f t="shared" ref="AH137:AK137" si="411">AH125/AH87</f>
        <v>-2.5514252826867088</v>
      </c>
      <c r="AI137" s="80">
        <f t="shared" si="411"/>
        <v>-2.7190497223624432</v>
      </c>
      <c r="AJ137" s="80">
        <f t="shared" si="411"/>
        <v>-5.7853794156127343</v>
      </c>
      <c r="AK137" s="80">
        <f t="shared" si="411"/>
        <v>-7.433886255924171</v>
      </c>
      <c r="AL137" s="80"/>
      <c r="AM137" s="80"/>
      <c r="AN137" s="80"/>
    </row>
    <row r="138" spans="2:40">
      <c r="C138" s="55"/>
      <c r="D138" s="55"/>
      <c r="E138" s="55"/>
      <c r="F138" s="55"/>
      <c r="G138" s="55"/>
      <c r="H138" s="55"/>
      <c r="I138" s="55"/>
      <c r="J138" s="55"/>
      <c r="K138" s="55"/>
      <c r="L138" s="50"/>
      <c r="M138" s="50"/>
      <c r="N138" s="50"/>
      <c r="O138" s="50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</row>
    <row r="139" spans="2:40" s="26" customFormat="1">
      <c r="B139" s="26" t="s">
        <v>252</v>
      </c>
      <c r="C139" s="56">
        <f>+(C87-C90)/C88</f>
        <v>-19.50620969753108</v>
      </c>
      <c r="D139" s="56">
        <f>+(D87-D90)/D88</f>
        <v>14.982397808929205</v>
      </c>
      <c r="E139" s="80">
        <f>+(E87-E90)/E88</f>
        <v>15.484068545746187</v>
      </c>
      <c r="F139" s="80">
        <f>+(F87-F90)/F88</f>
        <v>4.360850122850124</v>
      </c>
      <c r="G139" s="80">
        <f t="shared" ref="G139:H139" si="412">+(G87-G90)/G88</f>
        <v>9.5574592561638116</v>
      </c>
      <c r="H139" s="80">
        <f t="shared" si="412"/>
        <v>11.910968660968662</v>
      </c>
      <c r="I139" s="80">
        <f t="shared" ref="I139" si="413">+(I87-I90)/I88</f>
        <v>16.565248738284065</v>
      </c>
      <c r="J139" s="80">
        <f>+(J87-J90)/J88</f>
        <v>3.7719821162444114</v>
      </c>
      <c r="K139" s="202"/>
      <c r="L139" s="203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</row>
    <row r="140" spans="2:40">
      <c r="B140" s="21" t="s">
        <v>253</v>
      </c>
      <c r="C140" s="55">
        <f>+(C87)/C88</f>
        <v>13.459595995582315</v>
      </c>
      <c r="D140" s="55">
        <f>+(D87)/D88</f>
        <v>20.336643008599363</v>
      </c>
      <c r="E140" s="55">
        <f>+(E87)/E88</f>
        <v>20.276960620904138</v>
      </c>
      <c r="F140" s="55">
        <f>+(F87)/F88</f>
        <v>15.324814086814088</v>
      </c>
      <c r="G140" s="55">
        <f t="shared" ref="G140:H140" si="414">+(G87)/G88</f>
        <v>14.041788549937317</v>
      </c>
      <c r="H140" s="55">
        <f t="shared" si="414"/>
        <v>15.118233618233619</v>
      </c>
      <c r="I140" s="55">
        <f t="shared" ref="I140:J140" si="415">+(I87)/I88</f>
        <v>18.71773612112473</v>
      </c>
      <c r="J140" s="55">
        <f t="shared" si="415"/>
        <v>6.834575260804769</v>
      </c>
      <c r="K140" s="111"/>
      <c r="L140" s="50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</row>
    <row r="141" spans="2:40">
      <c r="C141" s="54"/>
      <c r="D141" s="54"/>
      <c r="E141" s="54"/>
      <c r="F141" s="54"/>
      <c r="G141" s="54"/>
      <c r="H141" s="54"/>
      <c r="I141" s="54"/>
      <c r="J141" s="54"/>
      <c r="K141" s="54"/>
      <c r="L141" s="50"/>
      <c r="M141" s="50"/>
      <c r="N141" s="50"/>
      <c r="O141" s="50"/>
      <c r="P141" s="50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</row>
    <row r="142" spans="2:40" s="26" customFormat="1">
      <c r="B142" s="53" t="s">
        <v>254</v>
      </c>
      <c r="C142" s="205">
        <f t="shared" ref="C142:H142" si="416">C123/C126</f>
        <v>-0.43169917094458288</v>
      </c>
      <c r="D142" s="205">
        <f t="shared" si="416"/>
        <v>-0.50562069879478999</v>
      </c>
      <c r="E142" s="205">
        <f t="shared" si="416"/>
        <v>-0.56291327909011712</v>
      </c>
      <c r="F142" s="205">
        <f t="shared" si="416"/>
        <v>-0.61567011340826561</v>
      </c>
      <c r="G142" s="205">
        <f t="shared" si="416"/>
        <v>-0.56633386099666216</v>
      </c>
      <c r="H142" s="205">
        <f t="shared" si="416"/>
        <v>-0.41152465124456494</v>
      </c>
      <c r="I142" s="205">
        <f>I123/I126</f>
        <v>-0.46106459769894476</v>
      </c>
      <c r="J142" s="205">
        <f>J123/J126</f>
        <v>-0.36124282208296599</v>
      </c>
      <c r="K142" s="205"/>
      <c r="L142" s="50"/>
      <c r="M142" s="112"/>
      <c r="N142" s="112"/>
      <c r="O142" s="112"/>
      <c r="P142" s="205">
        <f>P123/P126</f>
        <v>-0.85915427971691816</v>
      </c>
      <c r="Q142" s="205">
        <f t="shared" ref="Q142:AI142" si="417">Q123/Q126</f>
        <v>-0.48933027672142609</v>
      </c>
      <c r="R142" s="205">
        <f t="shared" si="417"/>
        <v>-0.57329155574026092</v>
      </c>
      <c r="S142" s="205">
        <f t="shared" si="417"/>
        <v>-0.61602680893952422</v>
      </c>
      <c r="T142" s="205">
        <f t="shared" si="417"/>
        <v>-1.0821895598420772</v>
      </c>
      <c r="U142" s="205">
        <f t="shared" si="417"/>
        <v>-0.50037899763961058</v>
      </c>
      <c r="V142" s="205">
        <f t="shared" si="417"/>
        <v>-0.57809469526977131</v>
      </c>
      <c r="W142" s="205">
        <f t="shared" si="417"/>
        <v>-0.52772716016071142</v>
      </c>
      <c r="X142" s="205">
        <f t="shared" si="417"/>
        <v>-1.0821582770634621</v>
      </c>
      <c r="Y142" s="205">
        <f t="shared" si="417"/>
        <v>-0.47817770186494424</v>
      </c>
      <c r="Z142" s="205">
        <f t="shared" si="417"/>
        <v>-0.56568827499607599</v>
      </c>
      <c r="AA142" s="205">
        <f t="shared" si="417"/>
        <v>-0.58338209083437897</v>
      </c>
      <c r="AB142" s="205">
        <f t="shared" si="417"/>
        <v>-0.81134748415977498</v>
      </c>
      <c r="AC142" s="205">
        <f t="shared" si="417"/>
        <v>-0.35503662844316064</v>
      </c>
      <c r="AD142" s="205">
        <f t="shared" si="417"/>
        <v>-0.40271745183205254</v>
      </c>
      <c r="AE142" s="205">
        <f t="shared" si="417"/>
        <v>-0.34729675908112084</v>
      </c>
      <c r="AF142" s="205">
        <f t="shared" si="417"/>
        <v>-0.86272629334458606</v>
      </c>
      <c r="AG142" s="205">
        <f t="shared" si="417"/>
        <v>-0.34607078934398589</v>
      </c>
      <c r="AH142" s="205">
        <f t="shared" si="417"/>
        <v>-0.3802562489698576</v>
      </c>
      <c r="AI142" s="205">
        <f t="shared" si="417"/>
        <v>-0.28310557782011692</v>
      </c>
      <c r="AJ142" s="205">
        <f t="shared" ref="AJ142:AL142" si="418">AJ123/AJ126</f>
        <v>-0.36124282208296599</v>
      </c>
      <c r="AK142" s="205">
        <f t="shared" si="418"/>
        <v>-0.33524382858974816</v>
      </c>
      <c r="AL142" s="205"/>
    </row>
    <row r="143" spans="2:40" s="26" customFormat="1">
      <c r="C143" s="52"/>
      <c r="D143" s="52"/>
      <c r="E143" s="52"/>
      <c r="F143" s="52"/>
      <c r="G143" s="52"/>
      <c r="H143" s="52"/>
      <c r="I143" s="52"/>
      <c r="J143" s="52"/>
      <c r="K143" s="52"/>
      <c r="L143" s="50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</row>
    <row r="144" spans="2:40" s="26" customFormat="1">
      <c r="C144" s="52"/>
      <c r="D144" s="52"/>
      <c r="E144" s="52"/>
      <c r="F144" s="52"/>
      <c r="G144" s="52"/>
      <c r="H144" s="52"/>
      <c r="I144" s="52"/>
      <c r="J144" s="52"/>
      <c r="K144" s="52"/>
      <c r="L144" s="50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</row>
    <row r="145" spans="2:38">
      <c r="B145" s="44" t="s">
        <v>255</v>
      </c>
      <c r="C145" s="51">
        <f t="shared" ref="C145:J145" si="419">C3</f>
        <v>43465</v>
      </c>
      <c r="D145" s="51">
        <f t="shared" si="419"/>
        <v>43830</v>
      </c>
      <c r="E145" s="51">
        <f t="shared" si="419"/>
        <v>44196</v>
      </c>
      <c r="F145" s="51">
        <f t="shared" si="419"/>
        <v>44561</v>
      </c>
      <c r="G145" s="51">
        <f t="shared" si="419"/>
        <v>44926</v>
      </c>
      <c r="H145" s="51">
        <f t="shared" si="419"/>
        <v>45291</v>
      </c>
      <c r="I145" s="51">
        <f t="shared" si="419"/>
        <v>45657</v>
      </c>
      <c r="J145" s="51">
        <f t="shared" si="419"/>
        <v>46022</v>
      </c>
      <c r="K145" s="51"/>
      <c r="L145" s="50"/>
      <c r="M145" s="51">
        <f t="shared" ref="M145:AL145" si="420">M3</f>
        <v>43921</v>
      </c>
      <c r="N145" s="51">
        <f t="shared" si="420"/>
        <v>44012</v>
      </c>
      <c r="O145" s="51">
        <f t="shared" si="420"/>
        <v>44104</v>
      </c>
      <c r="P145" s="51">
        <f t="shared" si="420"/>
        <v>44196</v>
      </c>
      <c r="Q145" s="51">
        <f t="shared" si="420"/>
        <v>44286</v>
      </c>
      <c r="R145" s="51">
        <f t="shared" si="420"/>
        <v>44377</v>
      </c>
      <c r="S145" s="51">
        <f t="shared" si="420"/>
        <v>44469</v>
      </c>
      <c r="T145" s="51">
        <f t="shared" si="420"/>
        <v>44561</v>
      </c>
      <c r="U145" s="51">
        <f t="shared" si="420"/>
        <v>44651</v>
      </c>
      <c r="V145" s="51">
        <f t="shared" si="420"/>
        <v>44742</v>
      </c>
      <c r="W145" s="51">
        <f t="shared" si="420"/>
        <v>44834</v>
      </c>
      <c r="X145" s="51">
        <f t="shared" si="420"/>
        <v>44926</v>
      </c>
      <c r="Y145" s="51">
        <f t="shared" si="420"/>
        <v>45016</v>
      </c>
      <c r="Z145" s="51">
        <f t="shared" si="420"/>
        <v>45107</v>
      </c>
      <c r="AA145" s="51">
        <f t="shared" si="420"/>
        <v>45199</v>
      </c>
      <c r="AB145" s="51">
        <f t="shared" si="420"/>
        <v>45291</v>
      </c>
      <c r="AC145" s="51">
        <f t="shared" si="420"/>
        <v>45382</v>
      </c>
      <c r="AD145" s="51">
        <f t="shared" si="420"/>
        <v>45473</v>
      </c>
      <c r="AE145" s="51">
        <f t="shared" si="420"/>
        <v>45565</v>
      </c>
      <c r="AF145" s="51">
        <f t="shared" si="420"/>
        <v>45657</v>
      </c>
      <c r="AG145" s="51">
        <f t="shared" si="420"/>
        <v>45747</v>
      </c>
      <c r="AH145" s="51">
        <f t="shared" si="420"/>
        <v>45838</v>
      </c>
      <c r="AI145" s="51">
        <f t="shared" si="420"/>
        <v>45930</v>
      </c>
      <c r="AJ145" s="51">
        <f t="shared" si="420"/>
        <v>46022</v>
      </c>
      <c r="AK145" s="51">
        <f t="shared" si="420"/>
        <v>46112</v>
      </c>
      <c r="AL145" s="51"/>
    </row>
    <row r="146" spans="2:38">
      <c r="B146" s="21" t="s">
        <v>256</v>
      </c>
      <c r="C146" s="13">
        <f t="shared" ref="C146:G146" si="421">C84</f>
        <v>462019.75900000002</v>
      </c>
      <c r="D146" s="13">
        <f t="shared" si="421"/>
        <v>576888.48400000005</v>
      </c>
      <c r="E146" s="13">
        <f t="shared" si="421"/>
        <v>745801.88600000006</v>
      </c>
      <c r="F146" s="13">
        <f t="shared" si="421"/>
        <v>951592.15399999998</v>
      </c>
      <c r="G146" s="13">
        <f t="shared" si="421"/>
        <v>1046236</v>
      </c>
      <c r="H146" s="13">
        <f t="shared" ref="H146:I146" si="422">H84</f>
        <v>1084662</v>
      </c>
      <c r="I146" s="13">
        <f t="shared" si="422"/>
        <v>1158819</v>
      </c>
      <c r="J146" s="13">
        <f t="shared" ref="J146" si="423">J84</f>
        <v>1309085</v>
      </c>
      <c r="K146" s="13"/>
      <c r="L146" s="50"/>
      <c r="M146" s="110"/>
      <c r="N146" s="110"/>
      <c r="O146" s="110"/>
      <c r="P146" s="13">
        <f t="shared" ref="P146:U146" si="424">P84</f>
        <v>745801.88600000006</v>
      </c>
      <c r="Q146" s="13">
        <f t="shared" si="424"/>
        <v>802772.84600000002</v>
      </c>
      <c r="R146" s="13">
        <f t="shared" si="424"/>
        <v>855519.25800000003</v>
      </c>
      <c r="S146" s="13">
        <f t="shared" si="424"/>
        <v>900013.152</v>
      </c>
      <c r="T146" s="13">
        <f t="shared" si="424"/>
        <v>951592.15399999998</v>
      </c>
      <c r="U146" s="13">
        <f t="shared" si="424"/>
        <v>988070.98499999999</v>
      </c>
      <c r="V146" s="13">
        <f t="shared" ref="V146:Y146" si="425">V84</f>
        <v>1001870.515</v>
      </c>
      <c r="W146" s="13">
        <f t="shared" si="425"/>
        <v>1026697.157</v>
      </c>
      <c r="X146" s="13">
        <f t="shared" si="425"/>
        <v>1046236</v>
      </c>
      <c r="Y146" s="13">
        <f t="shared" si="425"/>
        <v>1049537</v>
      </c>
      <c r="Z146" s="13">
        <f t="shared" ref="Z146:AC146" si="426">Z84</f>
        <v>1069868</v>
      </c>
      <c r="AA146" s="13">
        <f t="shared" si="426"/>
        <v>1074031</v>
      </c>
      <c r="AB146" s="13">
        <f t="shared" si="426"/>
        <v>1084662</v>
      </c>
      <c r="AC146" s="13">
        <f t="shared" si="426"/>
        <v>1101755</v>
      </c>
      <c r="AD146" s="13">
        <f t="shared" ref="AD146:AG146" si="427">AD84</f>
        <v>1105221</v>
      </c>
      <c r="AE146" s="13">
        <f t="shared" si="427"/>
        <v>1117910</v>
      </c>
      <c r="AF146" s="13">
        <f t="shared" si="427"/>
        <v>1158819</v>
      </c>
      <c r="AG146" s="13">
        <f t="shared" si="427"/>
        <v>1199852</v>
      </c>
      <c r="AH146" s="13">
        <f t="shared" ref="AH146:AK146" si="428">AH84</f>
        <v>1265115</v>
      </c>
      <c r="AI146" s="13">
        <f t="shared" si="428"/>
        <v>1303787</v>
      </c>
      <c r="AJ146" s="13">
        <f t="shared" si="428"/>
        <v>1309085</v>
      </c>
      <c r="AK146" s="13">
        <f t="shared" si="428"/>
        <v>1323697</v>
      </c>
      <c r="AL146" s="13"/>
    </row>
    <row r="147" spans="2:38">
      <c r="B147" s="21" t="s">
        <v>257</v>
      </c>
      <c r="C147" s="13">
        <f t="shared" ref="C147:G147" si="429">C87</f>
        <v>5666.9610000000002</v>
      </c>
      <c r="D147" s="13">
        <f t="shared" si="429"/>
        <v>13811.021000000001</v>
      </c>
      <c r="E147" s="13">
        <f t="shared" si="429"/>
        <v>20681.120999999999</v>
      </c>
      <c r="F147" s="13">
        <f t="shared" si="429"/>
        <v>18711.598000000002</v>
      </c>
      <c r="G147" s="13">
        <f t="shared" si="429"/>
        <v>33602</v>
      </c>
      <c r="H147" s="13">
        <f t="shared" ref="H147:I147" si="430">H87</f>
        <v>42452</v>
      </c>
      <c r="I147" s="13">
        <f t="shared" si="430"/>
        <v>51923</v>
      </c>
      <c r="J147" s="13">
        <f t="shared" ref="J147" si="431">J87</f>
        <v>18344</v>
      </c>
      <c r="K147" s="13"/>
      <c r="L147" s="50"/>
      <c r="M147" s="110"/>
      <c r="N147" s="110"/>
      <c r="O147" s="110"/>
      <c r="P147" s="13">
        <f t="shared" ref="P147:U147" si="432">P87</f>
        <v>20681.120999999999</v>
      </c>
      <c r="Q147" s="13">
        <f t="shared" si="432"/>
        <v>21106.576999999997</v>
      </c>
      <c r="R147" s="13">
        <f t="shared" si="432"/>
        <v>17952.960999999996</v>
      </c>
      <c r="S147" s="13">
        <f t="shared" si="432"/>
        <v>17214.296999999999</v>
      </c>
      <c r="T147" s="13">
        <f t="shared" si="432"/>
        <v>18711.598000000002</v>
      </c>
      <c r="U147" s="13">
        <f t="shared" si="432"/>
        <v>19837.794999999998</v>
      </c>
      <c r="V147" s="13">
        <f t="shared" ref="V147:Y147" si="433">V87</f>
        <v>23265.986000000001</v>
      </c>
      <c r="W147" s="13">
        <f t="shared" si="433"/>
        <v>28865.907999999999</v>
      </c>
      <c r="X147" s="13">
        <f t="shared" si="433"/>
        <v>33602</v>
      </c>
      <c r="Y147" s="13">
        <f t="shared" si="433"/>
        <v>37035</v>
      </c>
      <c r="Z147" s="13">
        <f t="shared" ref="Z147:AC147" si="434">Z87</f>
        <v>40263</v>
      </c>
      <c r="AA147" s="13">
        <f t="shared" si="434"/>
        <v>41689</v>
      </c>
      <c r="AB147" s="13">
        <f t="shared" si="434"/>
        <v>42452</v>
      </c>
      <c r="AC147" s="13">
        <f t="shared" si="434"/>
        <v>43740</v>
      </c>
      <c r="AD147" s="13">
        <f t="shared" ref="AD147:AG147" si="435">AD87</f>
        <v>46867</v>
      </c>
      <c r="AE147" s="13">
        <f t="shared" si="435"/>
        <v>49055</v>
      </c>
      <c r="AF147" s="13">
        <f t="shared" si="435"/>
        <v>51923</v>
      </c>
      <c r="AG147" s="13">
        <f t="shared" si="435"/>
        <v>54838</v>
      </c>
      <c r="AH147" s="13">
        <f t="shared" ref="AH147:AK147" si="436">AH87</f>
        <v>44307</v>
      </c>
      <c r="AI147" s="13">
        <f t="shared" si="436"/>
        <v>31696</v>
      </c>
      <c r="AJ147" s="13">
        <f t="shared" si="436"/>
        <v>18344</v>
      </c>
      <c r="AK147" s="13">
        <f t="shared" si="436"/>
        <v>12660</v>
      </c>
      <c r="AL147" s="13"/>
    </row>
    <row r="148" spans="2:38">
      <c r="B148" s="21" t="s">
        <v>258</v>
      </c>
      <c r="C148" s="22">
        <f t="shared" ref="C148:E148" si="437">C147/C146</f>
        <v>1.2265624769524197E-2</v>
      </c>
      <c r="D148" s="22">
        <f t="shared" si="437"/>
        <v>2.3940538566895712E-2</v>
      </c>
      <c r="E148" s="22">
        <f t="shared" si="437"/>
        <v>2.7730046528737253E-2</v>
      </c>
      <c r="F148" s="22">
        <f t="shared" ref="F148:G148" si="438">F147/F146</f>
        <v>1.9663463933940761E-2</v>
      </c>
      <c r="G148" s="22">
        <f t="shared" si="438"/>
        <v>3.2117036691530397E-2</v>
      </c>
      <c r="H148" s="22">
        <f t="shared" ref="H148:I148" si="439">H147/H146</f>
        <v>3.9138459722936732E-2</v>
      </c>
      <c r="I148" s="22">
        <f t="shared" si="439"/>
        <v>4.4806824879467806E-2</v>
      </c>
      <c r="J148" s="22">
        <f t="shared" ref="J148" si="440">J147/J146</f>
        <v>1.4012841030185205E-2</v>
      </c>
      <c r="K148" s="22"/>
      <c r="L148" s="50"/>
      <c r="M148" s="113"/>
      <c r="N148" s="113"/>
      <c r="O148" s="113"/>
      <c r="P148" s="22">
        <f t="shared" ref="P148" si="441">P147/P146</f>
        <v>2.7730046528737253E-2</v>
      </c>
      <c r="Q148" s="22">
        <f t="shared" ref="Q148:T148" si="442">Q147/Q146</f>
        <v>2.6292091349587075E-2</v>
      </c>
      <c r="R148" s="22">
        <f t="shared" si="442"/>
        <v>2.0984870687738504E-2</v>
      </c>
      <c r="S148" s="22">
        <f t="shared" si="442"/>
        <v>1.9126717161573211E-2</v>
      </c>
      <c r="T148" s="22">
        <f t="shared" si="442"/>
        <v>1.9663463933940761E-2</v>
      </c>
      <c r="U148" s="22">
        <f t="shared" ref="U148:X148" si="443">U147/U146</f>
        <v>2.0077297381624861E-2</v>
      </c>
      <c r="V148" s="22">
        <f t="shared" si="443"/>
        <v>2.3222547875859985E-2</v>
      </c>
      <c r="W148" s="22">
        <f t="shared" si="443"/>
        <v>2.8115309176803341E-2</v>
      </c>
      <c r="X148" s="22">
        <f t="shared" si="443"/>
        <v>3.2117036691530397E-2</v>
      </c>
      <c r="Y148" s="22">
        <f t="shared" ref="Y148:AB148" si="444">Y147/Y146</f>
        <v>3.5286988453003564E-2</v>
      </c>
      <c r="Z148" s="22">
        <f t="shared" si="444"/>
        <v>3.7633614614139312E-2</v>
      </c>
      <c r="AA148" s="22">
        <f t="shared" si="444"/>
        <v>3.8815453185243258E-2</v>
      </c>
      <c r="AB148" s="22">
        <f t="shared" si="444"/>
        <v>3.9138459722936732E-2</v>
      </c>
      <c r="AC148" s="22">
        <f t="shared" ref="AC148:AF148" si="445">AC147/AC146</f>
        <v>3.9700296345376238E-2</v>
      </c>
      <c r="AD148" s="22">
        <f t="shared" si="445"/>
        <v>4.2405093641905103E-2</v>
      </c>
      <c r="AE148" s="22">
        <f t="shared" si="445"/>
        <v>4.3880992208675119E-2</v>
      </c>
      <c r="AF148" s="22">
        <f t="shared" si="445"/>
        <v>4.4806824879467806E-2</v>
      </c>
      <c r="AG148" s="22">
        <f t="shared" ref="AG148:AJ148" si="446">AG147/AG146</f>
        <v>4.570397015631928E-2</v>
      </c>
      <c r="AH148" s="22">
        <f t="shared" si="446"/>
        <v>3.5022112614268269E-2</v>
      </c>
      <c r="AI148" s="22">
        <f t="shared" si="446"/>
        <v>2.4310719465679594E-2</v>
      </c>
      <c r="AJ148" s="22">
        <f t="shared" si="446"/>
        <v>1.4012841030185205E-2</v>
      </c>
      <c r="AK148" s="22">
        <f t="shared" ref="AK148:AL148" si="447">AK147/AK146</f>
        <v>9.5641223029137336E-3</v>
      </c>
      <c r="AL148" s="22"/>
    </row>
    <row r="149" spans="2:38">
      <c r="B149" s="21" t="s">
        <v>25</v>
      </c>
      <c r="C149" s="13">
        <f t="shared" ref="C149:G149" si="448">C119</f>
        <v>10021.847</v>
      </c>
      <c r="D149" s="13">
        <f t="shared" si="448"/>
        <v>18768.425999999999</v>
      </c>
      <c r="E149" s="13">
        <f t="shared" si="448"/>
        <v>31554.133999999998</v>
      </c>
      <c r="F149" s="13">
        <f t="shared" si="448"/>
        <v>34139.270000000004</v>
      </c>
      <c r="G149" s="13">
        <f t="shared" si="448"/>
        <v>65045</v>
      </c>
      <c r="H149" s="13">
        <f t="shared" ref="H149:I149" si="449">H119</f>
        <v>68431</v>
      </c>
      <c r="I149" s="13">
        <f t="shared" si="449"/>
        <v>89768</v>
      </c>
      <c r="J149" s="13">
        <f t="shared" ref="J149" si="450">J119</f>
        <v>107105</v>
      </c>
      <c r="K149" s="13"/>
      <c r="L149" s="50"/>
      <c r="M149" s="13">
        <f t="shared" ref="M149:S149" si="451">M119</f>
        <v>34465.821000000004</v>
      </c>
      <c r="N149" s="13">
        <f t="shared" si="451"/>
        <v>37513.880000000005</v>
      </c>
      <c r="O149" s="13">
        <f t="shared" si="451"/>
        <v>33968.222000000002</v>
      </c>
      <c r="P149" s="13">
        <f t="shared" si="451"/>
        <v>31554.133999999998</v>
      </c>
      <c r="Q149" s="13">
        <f t="shared" si="451"/>
        <v>32848.75</v>
      </c>
      <c r="R149" s="13">
        <f t="shared" si="451"/>
        <v>30506.799999999999</v>
      </c>
      <c r="S149" s="13">
        <f t="shared" si="451"/>
        <v>37607.641000000003</v>
      </c>
      <c r="T149" s="13">
        <f t="shared" ref="T149:W149" si="452">T119</f>
        <v>34139.270000000004</v>
      </c>
      <c r="U149" s="13">
        <f t="shared" si="452"/>
        <v>53153</v>
      </c>
      <c r="V149" s="13">
        <f t="shared" si="452"/>
        <v>59080</v>
      </c>
      <c r="W149" s="13">
        <f t="shared" si="452"/>
        <v>69030</v>
      </c>
      <c r="X149" s="13">
        <f t="shared" ref="X149:AA149" si="453">X119</f>
        <v>65045</v>
      </c>
      <c r="Y149" s="13">
        <f t="shared" si="453"/>
        <v>66073</v>
      </c>
      <c r="Z149" s="13">
        <f t="shared" si="453"/>
        <v>72941</v>
      </c>
      <c r="AA149" s="13">
        <f t="shared" si="453"/>
        <v>69858</v>
      </c>
      <c r="AB149" s="13">
        <f t="shared" ref="AB149:AE149" si="454">AB119</f>
        <v>68431</v>
      </c>
      <c r="AC149" s="13">
        <f t="shared" si="454"/>
        <v>69979</v>
      </c>
      <c r="AD149" s="13">
        <f t="shared" si="454"/>
        <v>86190</v>
      </c>
      <c r="AE149" s="13">
        <f t="shared" si="454"/>
        <v>87998</v>
      </c>
      <c r="AF149" s="13">
        <f t="shared" ref="AF149:AI149" si="455">AF119</f>
        <v>89768</v>
      </c>
      <c r="AG149" s="13">
        <f t="shared" si="455"/>
        <v>87432</v>
      </c>
      <c r="AH149" s="13">
        <f t="shared" si="455"/>
        <v>100792</v>
      </c>
      <c r="AI149" s="13">
        <f t="shared" si="455"/>
        <v>112089</v>
      </c>
      <c r="AJ149" s="13">
        <f t="shared" ref="AJ149:AL149" si="456">AJ119</f>
        <v>107105</v>
      </c>
      <c r="AK149" s="13">
        <f t="shared" si="456"/>
        <v>108020</v>
      </c>
      <c r="AL149" s="13"/>
    </row>
    <row r="150" spans="2:38">
      <c r="B150" s="21" t="s">
        <v>259</v>
      </c>
      <c r="C150" s="13">
        <f>C120</f>
        <v>36298.019999999997</v>
      </c>
      <c r="D150" s="13">
        <f t="shared" ref="D150:E150" si="457">D120</f>
        <v>61574.197</v>
      </c>
      <c r="E150" s="13">
        <f t="shared" si="457"/>
        <v>146661.967</v>
      </c>
      <c r="F150" s="13">
        <f t="shared" ref="F150:G150" si="458">F120</f>
        <v>185330.74900000001</v>
      </c>
      <c r="G150" s="13">
        <f t="shared" si="458"/>
        <v>219956</v>
      </c>
      <c r="H150" s="13">
        <f t="shared" ref="H150:I150" si="459">H120</f>
        <v>190146</v>
      </c>
      <c r="I150" s="13">
        <f t="shared" si="459"/>
        <v>233995</v>
      </c>
      <c r="J150" s="13">
        <f t="shared" ref="J150" si="460">J120</f>
        <v>213232</v>
      </c>
      <c r="K150" s="13"/>
      <c r="L150" s="50"/>
      <c r="M150" s="13">
        <f t="shared" ref="M150:S150" si="461">M120</f>
        <v>72893.899000000005</v>
      </c>
      <c r="N150" s="13">
        <f t="shared" si="461"/>
        <v>120302.28399999999</v>
      </c>
      <c r="O150" s="13">
        <f t="shared" si="461"/>
        <v>121515.19900000001</v>
      </c>
      <c r="P150" s="13">
        <f t="shared" si="461"/>
        <v>207239.07699999999</v>
      </c>
      <c r="Q150" s="13">
        <f t="shared" si="461"/>
        <v>134878.66200000001</v>
      </c>
      <c r="R150" s="13">
        <f t="shared" si="461"/>
        <v>172799.61300000001</v>
      </c>
      <c r="S150" s="13">
        <f t="shared" si="461"/>
        <v>190344.58199999999</v>
      </c>
      <c r="T150" s="13">
        <f t="shared" ref="T150:W150" si="462">T120</f>
        <v>299894.967</v>
      </c>
      <c r="U150" s="13">
        <f t="shared" si="462"/>
        <v>180559</v>
      </c>
      <c r="V150" s="13">
        <f t="shared" si="462"/>
        <v>201044</v>
      </c>
      <c r="W150" s="13">
        <f t="shared" si="462"/>
        <v>211805</v>
      </c>
      <c r="X150" s="13">
        <f t="shared" ref="X150:AA150" si="463">X120</f>
        <v>361051</v>
      </c>
      <c r="Y150" s="13">
        <f t="shared" si="463"/>
        <v>196813</v>
      </c>
      <c r="Z150" s="13">
        <f t="shared" si="463"/>
        <v>235121</v>
      </c>
      <c r="AA150" s="13">
        <f t="shared" si="463"/>
        <v>242353</v>
      </c>
      <c r="AB150" s="13">
        <f t="shared" ref="AB150:AE150" si="464">AB120</f>
        <v>308400</v>
      </c>
      <c r="AC150" s="13">
        <f t="shared" si="464"/>
        <v>171997</v>
      </c>
      <c r="AD150" s="13">
        <f t="shared" si="464"/>
        <v>201902</v>
      </c>
      <c r="AE150" s="13">
        <f t="shared" si="464"/>
        <v>190893</v>
      </c>
      <c r="AF150" s="13">
        <f t="shared" ref="AF150:AI150" si="465">AF120</f>
        <v>359640</v>
      </c>
      <c r="AG150" s="13">
        <f t="shared" si="465"/>
        <v>194163</v>
      </c>
      <c r="AH150" s="13">
        <f t="shared" si="465"/>
        <v>213838</v>
      </c>
      <c r="AI150" s="13">
        <f t="shared" si="465"/>
        <v>198272</v>
      </c>
      <c r="AJ150" s="13">
        <f t="shared" ref="AJ150:AL150" si="466">AJ120</f>
        <v>213232</v>
      </c>
      <c r="AK150" s="13">
        <f t="shared" si="466"/>
        <v>202133</v>
      </c>
      <c r="AL150" s="13"/>
    </row>
    <row r="151" spans="2:38" s="26" customFormat="1">
      <c r="B151" s="26" t="s">
        <v>260</v>
      </c>
      <c r="C151" s="50">
        <f t="shared" ref="C151:E151" si="467">C149-C150</f>
        <v>-26276.172999999995</v>
      </c>
      <c r="D151" s="50">
        <f t="shared" si="467"/>
        <v>-42805.771000000001</v>
      </c>
      <c r="E151" s="50">
        <f t="shared" si="467"/>
        <v>-115107.83300000001</v>
      </c>
      <c r="F151" s="50">
        <f t="shared" ref="F151:G151" si="468">F149-F150</f>
        <v>-151191.47899999999</v>
      </c>
      <c r="G151" s="50">
        <f t="shared" si="468"/>
        <v>-154911</v>
      </c>
      <c r="H151" s="50">
        <f t="shared" ref="H151:I151" si="469">H149-H150</f>
        <v>-121715</v>
      </c>
      <c r="I151" s="50">
        <f t="shared" si="469"/>
        <v>-144227</v>
      </c>
      <c r="J151" s="50">
        <f t="shared" ref="J151" si="470">J149-J150</f>
        <v>-106127</v>
      </c>
      <c r="K151" s="50"/>
      <c r="L151" s="50"/>
      <c r="M151" s="50">
        <f t="shared" ref="M151:P151" si="471">M149-M150</f>
        <v>-38428.078000000001</v>
      </c>
      <c r="N151" s="50">
        <f t="shared" si="471"/>
        <v>-82788.40399999998</v>
      </c>
      <c r="O151" s="50">
        <f t="shared" si="471"/>
        <v>-87546.977000000014</v>
      </c>
      <c r="P151" s="50">
        <f t="shared" si="471"/>
        <v>-175684.943</v>
      </c>
      <c r="Q151" s="50">
        <f t="shared" ref="Q151:T151" si="472">Q149-Q150</f>
        <v>-102029.91200000001</v>
      </c>
      <c r="R151" s="50">
        <f t="shared" si="472"/>
        <v>-142292.81300000002</v>
      </c>
      <c r="S151" s="50">
        <f t="shared" si="472"/>
        <v>-152736.94099999999</v>
      </c>
      <c r="T151" s="50">
        <f t="shared" si="472"/>
        <v>-265755.69699999999</v>
      </c>
      <c r="U151" s="50">
        <f t="shared" ref="U151:X151" si="473">U149-U150</f>
        <v>-127406</v>
      </c>
      <c r="V151" s="50">
        <f t="shared" si="473"/>
        <v>-141964</v>
      </c>
      <c r="W151" s="50">
        <f t="shared" si="473"/>
        <v>-142775</v>
      </c>
      <c r="X151" s="50">
        <f t="shared" si="473"/>
        <v>-296006</v>
      </c>
      <c r="Y151" s="50">
        <f t="shared" ref="Y151:AB151" si="474">Y149-Y150</f>
        <v>-130740</v>
      </c>
      <c r="Z151" s="50">
        <f t="shared" si="474"/>
        <v>-162180</v>
      </c>
      <c r="AA151" s="50">
        <f t="shared" si="474"/>
        <v>-172495</v>
      </c>
      <c r="AB151" s="50">
        <f t="shared" si="474"/>
        <v>-239969</v>
      </c>
      <c r="AC151" s="50">
        <f t="shared" ref="AC151:AF151" si="475">AC149-AC150</f>
        <v>-102018</v>
      </c>
      <c r="AD151" s="50">
        <f t="shared" si="475"/>
        <v>-115712</v>
      </c>
      <c r="AE151" s="50">
        <f t="shared" si="475"/>
        <v>-102895</v>
      </c>
      <c r="AF151" s="50">
        <f t="shared" si="475"/>
        <v>-269872</v>
      </c>
      <c r="AG151" s="50">
        <f t="shared" ref="AG151:AJ151" si="476">AG149-AG150</f>
        <v>-106731</v>
      </c>
      <c r="AH151" s="50">
        <f t="shared" si="476"/>
        <v>-113046</v>
      </c>
      <c r="AI151" s="50">
        <f t="shared" si="476"/>
        <v>-86183</v>
      </c>
      <c r="AJ151" s="50">
        <f t="shared" si="476"/>
        <v>-106127</v>
      </c>
      <c r="AK151" s="50">
        <f t="shared" ref="AK151:AL151" si="477">AK149-AK150</f>
        <v>-94113</v>
      </c>
      <c r="AL151" s="50"/>
    </row>
    <row r="152" spans="2:38">
      <c r="B152" s="21" t="s">
        <v>261</v>
      </c>
      <c r="C152" s="29">
        <f t="shared" ref="C152:G152" si="478">C135</f>
        <v>1.7684693789140244</v>
      </c>
      <c r="D152" s="29">
        <f t="shared" si="478"/>
        <v>1.3589455841099654</v>
      </c>
      <c r="E152" s="29">
        <f t="shared" si="478"/>
        <v>1.5257458239328516</v>
      </c>
      <c r="F152" s="29">
        <f t="shared" si="478"/>
        <v>1.8244978328414281</v>
      </c>
      <c r="G152" s="29">
        <f t="shared" si="478"/>
        <v>1.9357478721504673</v>
      </c>
      <c r="H152" s="29">
        <f t="shared" ref="H152:I152" si="479">H135</f>
        <v>1.6119617450296806</v>
      </c>
      <c r="I152" s="29">
        <f t="shared" si="479"/>
        <v>1.7288677464707356</v>
      </c>
      <c r="J152" s="29">
        <f t="shared" ref="J152" si="480">J135</f>
        <v>5.8386938508504143</v>
      </c>
      <c r="K152" s="29"/>
      <c r="L152" s="50"/>
      <c r="M152" s="114"/>
      <c r="N152" s="114"/>
      <c r="O152" s="114"/>
      <c r="P152" s="29">
        <f t="shared" ref="P152:S152" si="481">P135</f>
        <v>1.5257458239328516</v>
      </c>
      <c r="Q152" s="29">
        <f t="shared" si="481"/>
        <v>1.5563276792821501</v>
      </c>
      <c r="R152" s="29">
        <f t="shared" si="481"/>
        <v>1.699262868114068</v>
      </c>
      <c r="S152" s="29">
        <f t="shared" si="481"/>
        <v>2.1846748083874705</v>
      </c>
      <c r="T152" s="29">
        <f t="shared" ref="T152:W152" si="482">T135</f>
        <v>1.8244978328414281</v>
      </c>
      <c r="U152" s="29">
        <f t="shared" si="482"/>
        <v>2.6793804452561387</v>
      </c>
      <c r="V152" s="29">
        <f t="shared" si="482"/>
        <v>2.5393293024417707</v>
      </c>
      <c r="W152" s="29">
        <f t="shared" si="482"/>
        <v>2.3914023421677917</v>
      </c>
      <c r="X152" s="29">
        <f t="shared" ref="X152:AA152" si="483">X135</f>
        <v>1.9357478721504673</v>
      </c>
      <c r="Y152" s="29">
        <f t="shared" si="483"/>
        <v>1.7840691238018092</v>
      </c>
      <c r="Z152" s="29">
        <f t="shared" si="483"/>
        <v>1.8116136403149294</v>
      </c>
      <c r="AA152" s="29">
        <f t="shared" si="483"/>
        <v>1.6756938281081339</v>
      </c>
      <c r="AB152" s="29">
        <f t="shared" ref="AB152:AE152" si="484">AB135</f>
        <v>1.6119617450296806</v>
      </c>
      <c r="AC152" s="29">
        <f t="shared" si="484"/>
        <v>1.5998856881572932</v>
      </c>
      <c r="AD152" s="29">
        <f t="shared" si="484"/>
        <v>1.8390338617790769</v>
      </c>
      <c r="AE152" s="29">
        <f t="shared" si="484"/>
        <v>1.7938640301702171</v>
      </c>
      <c r="AF152" s="29">
        <f t="shared" ref="AF152:AI152" si="485">AF135</f>
        <v>1.7288677464707356</v>
      </c>
      <c r="AG152" s="29">
        <f t="shared" si="485"/>
        <v>1.5943688683030015</v>
      </c>
      <c r="AH152" s="29">
        <f t="shared" si="485"/>
        <v>2.2748549890536482</v>
      </c>
      <c r="AI152" s="29">
        <f t="shared" si="485"/>
        <v>3.5363768298838969</v>
      </c>
      <c r="AJ152" s="29">
        <f t="shared" ref="AJ152:AL152" si="486">AJ135</f>
        <v>5.8386938508504143</v>
      </c>
      <c r="AK152" s="29">
        <f t="shared" si="486"/>
        <v>8.5323854660347553</v>
      </c>
      <c r="AL152" s="29"/>
    </row>
    <row r="153" spans="2:38" s="26" customFormat="1">
      <c r="B153" s="26" t="s">
        <v>262</v>
      </c>
      <c r="C153" s="28" t="str">
        <f t="shared" ref="C153:G153" si="487">C134</f>
        <v>net cash</v>
      </c>
      <c r="D153" s="28" t="str">
        <f t="shared" si="487"/>
        <v>net cash</v>
      </c>
      <c r="E153" s="28" t="str">
        <f t="shared" si="487"/>
        <v>net cash</v>
      </c>
      <c r="F153" s="28" t="str">
        <f t="shared" si="487"/>
        <v>net cash</v>
      </c>
      <c r="G153" s="28" t="str">
        <f t="shared" si="487"/>
        <v>net cash</v>
      </c>
      <c r="H153" s="28" t="str">
        <f t="shared" ref="H153:I153" si="488">H134</f>
        <v>net cash</v>
      </c>
      <c r="I153" s="28" t="str">
        <f t="shared" si="488"/>
        <v>net cash</v>
      </c>
      <c r="J153" s="28" t="str">
        <f t="shared" ref="J153" si="489">J134</f>
        <v>net cash</v>
      </c>
      <c r="K153" s="28"/>
      <c r="L153" s="50"/>
      <c r="M153" s="119"/>
      <c r="N153" s="119"/>
      <c r="O153" s="119"/>
      <c r="P153" s="28" t="str">
        <f t="shared" ref="P153:S153" si="490">P134</f>
        <v>net cash</v>
      </c>
      <c r="Q153" s="28" t="str">
        <f t="shared" si="490"/>
        <v>net cash</v>
      </c>
      <c r="R153" s="28" t="str">
        <f t="shared" si="490"/>
        <v>net cash</v>
      </c>
      <c r="S153" s="28" t="str">
        <f t="shared" si="490"/>
        <v>net cash</v>
      </c>
      <c r="T153" s="28" t="str">
        <f t="shared" ref="T153:W153" si="491">T134</f>
        <v>net cash</v>
      </c>
      <c r="U153" s="28" t="str">
        <f t="shared" si="491"/>
        <v>net cash</v>
      </c>
      <c r="V153" s="28" t="str">
        <f t="shared" si="491"/>
        <v>net cash</v>
      </c>
      <c r="W153" s="28" t="str">
        <f t="shared" si="491"/>
        <v>net cash</v>
      </c>
      <c r="X153" s="28" t="str">
        <f t="shared" ref="X153:AA153" si="492">X134</f>
        <v>net cash</v>
      </c>
      <c r="Y153" s="28" t="str">
        <f t="shared" si="492"/>
        <v>net cash</v>
      </c>
      <c r="Z153" s="28" t="str">
        <f t="shared" si="492"/>
        <v>net cash</v>
      </c>
      <c r="AA153" s="28" t="str">
        <f t="shared" si="492"/>
        <v>net cash</v>
      </c>
      <c r="AB153" s="28" t="str">
        <f t="shared" ref="AB153:AE153" si="493">AB134</f>
        <v>net cash</v>
      </c>
      <c r="AC153" s="28" t="str">
        <f t="shared" si="493"/>
        <v>net cash</v>
      </c>
      <c r="AD153" s="28" t="str">
        <f t="shared" si="493"/>
        <v>net cash</v>
      </c>
      <c r="AE153" s="28" t="str">
        <f t="shared" si="493"/>
        <v>net cash</v>
      </c>
      <c r="AF153" s="28" t="str">
        <f t="shared" ref="AF153:AI153" si="494">AF134</f>
        <v>net cash</v>
      </c>
      <c r="AG153" s="28" t="str">
        <f t="shared" si="494"/>
        <v>net cash</v>
      </c>
      <c r="AH153" s="28" t="str">
        <f t="shared" si="494"/>
        <v>net cash</v>
      </c>
      <c r="AI153" s="28" t="str">
        <f t="shared" si="494"/>
        <v>net cash</v>
      </c>
      <c r="AJ153" s="28" t="str">
        <f t="shared" ref="AJ153:AL153" si="495">AJ134</f>
        <v>net cash</v>
      </c>
      <c r="AK153" s="28" t="str">
        <f t="shared" si="495"/>
        <v>net cash</v>
      </c>
      <c r="AL153" s="28"/>
    </row>
    <row r="154" spans="2:38">
      <c r="C154" s="13"/>
      <c r="D154" s="13"/>
      <c r="E154" s="13"/>
      <c r="F154" s="13"/>
      <c r="G154" s="13"/>
      <c r="H154" s="13"/>
      <c r="I154" s="13"/>
      <c r="J154" s="13"/>
      <c r="K154" s="13"/>
      <c r="L154" s="50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spans="2:38">
      <c r="B155" s="47" t="s">
        <v>263</v>
      </c>
      <c r="C155" s="46"/>
      <c r="D155" s="46"/>
      <c r="E155" s="46"/>
      <c r="F155" s="46"/>
      <c r="G155" s="46"/>
      <c r="H155" s="46"/>
      <c r="I155" s="46"/>
      <c r="J155" s="46"/>
      <c r="K155" s="46"/>
      <c r="L155" s="50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</row>
    <row r="156" spans="2:38" s="45" customFormat="1">
      <c r="B156" s="44" t="s">
        <v>264</v>
      </c>
      <c r="C156" s="43">
        <f t="shared" ref="C156:K156" si="496">C3</f>
        <v>43465</v>
      </c>
      <c r="D156" s="43">
        <f t="shared" si="496"/>
        <v>43830</v>
      </c>
      <c r="E156" s="43">
        <f t="shared" si="496"/>
        <v>44196</v>
      </c>
      <c r="F156" s="43">
        <f t="shared" si="496"/>
        <v>44561</v>
      </c>
      <c r="G156" s="43">
        <f t="shared" si="496"/>
        <v>44926</v>
      </c>
      <c r="H156" s="43">
        <f t="shared" si="496"/>
        <v>45291</v>
      </c>
      <c r="I156" s="43">
        <f t="shared" si="496"/>
        <v>45657</v>
      </c>
      <c r="J156" s="43">
        <f t="shared" si="496"/>
        <v>46022</v>
      </c>
      <c r="K156" s="43"/>
      <c r="L156" s="50"/>
      <c r="M156" s="43">
        <f t="shared" ref="M156:AL156" si="497">M3</f>
        <v>43921</v>
      </c>
      <c r="N156" s="43">
        <f t="shared" si="497"/>
        <v>44012</v>
      </c>
      <c r="O156" s="43">
        <f t="shared" si="497"/>
        <v>44104</v>
      </c>
      <c r="P156" s="43">
        <f t="shared" si="497"/>
        <v>44196</v>
      </c>
      <c r="Q156" s="43">
        <f t="shared" si="497"/>
        <v>44286</v>
      </c>
      <c r="R156" s="43">
        <f t="shared" si="497"/>
        <v>44377</v>
      </c>
      <c r="S156" s="43">
        <f t="shared" si="497"/>
        <v>44469</v>
      </c>
      <c r="T156" s="43">
        <f t="shared" si="497"/>
        <v>44561</v>
      </c>
      <c r="U156" s="43">
        <f t="shared" si="497"/>
        <v>44651</v>
      </c>
      <c r="V156" s="43">
        <f t="shared" si="497"/>
        <v>44742</v>
      </c>
      <c r="W156" s="43">
        <f t="shared" si="497"/>
        <v>44834</v>
      </c>
      <c r="X156" s="43">
        <f t="shared" si="497"/>
        <v>44926</v>
      </c>
      <c r="Y156" s="43">
        <f t="shared" si="497"/>
        <v>45016</v>
      </c>
      <c r="Z156" s="43">
        <f t="shared" si="497"/>
        <v>45107</v>
      </c>
      <c r="AA156" s="43">
        <f t="shared" si="497"/>
        <v>45199</v>
      </c>
      <c r="AB156" s="43">
        <f t="shared" si="497"/>
        <v>45291</v>
      </c>
      <c r="AC156" s="43">
        <f t="shared" si="497"/>
        <v>45382</v>
      </c>
      <c r="AD156" s="43">
        <f t="shared" si="497"/>
        <v>45473</v>
      </c>
      <c r="AE156" s="43">
        <f t="shared" si="497"/>
        <v>45565</v>
      </c>
      <c r="AF156" s="43">
        <f t="shared" si="497"/>
        <v>45657</v>
      </c>
      <c r="AG156" s="43">
        <f t="shared" si="497"/>
        <v>45747</v>
      </c>
      <c r="AH156" s="43">
        <f t="shared" si="497"/>
        <v>45838</v>
      </c>
      <c r="AI156" s="43">
        <f t="shared" si="497"/>
        <v>45930</v>
      </c>
      <c r="AJ156" s="43">
        <f t="shared" si="497"/>
        <v>46022</v>
      </c>
      <c r="AK156" s="43">
        <f t="shared" si="497"/>
        <v>46112</v>
      </c>
      <c r="AL156" s="43"/>
    </row>
    <row r="157" spans="2:38" s="26" customFormat="1">
      <c r="B157" s="44"/>
      <c r="C157" s="43" t="s">
        <v>156</v>
      </c>
      <c r="D157" s="43" t="s">
        <v>156</v>
      </c>
      <c r="E157" s="43" t="s">
        <v>156</v>
      </c>
      <c r="F157" s="43" t="s">
        <v>156</v>
      </c>
      <c r="G157" s="43" t="s">
        <v>156</v>
      </c>
      <c r="H157" s="43" t="s">
        <v>156</v>
      </c>
      <c r="I157" s="43" t="s">
        <v>156</v>
      </c>
      <c r="J157" s="43" t="s">
        <v>156</v>
      </c>
      <c r="K157" s="43"/>
      <c r="L157" s="50"/>
      <c r="M157" s="43" t="s">
        <v>156</v>
      </c>
      <c r="N157" s="43" t="s">
        <v>156</v>
      </c>
      <c r="O157" s="43" t="s">
        <v>156</v>
      </c>
      <c r="P157" s="43" t="s">
        <v>156</v>
      </c>
      <c r="Q157" s="43" t="s">
        <v>156</v>
      </c>
      <c r="R157" s="43" t="s">
        <v>156</v>
      </c>
      <c r="S157" s="43" t="s">
        <v>156</v>
      </c>
      <c r="T157" s="43" t="s">
        <v>156</v>
      </c>
      <c r="U157" s="43" t="s">
        <v>156</v>
      </c>
      <c r="V157" s="43" t="s">
        <v>156</v>
      </c>
      <c r="W157" s="43" t="s">
        <v>156</v>
      </c>
      <c r="X157" s="43" t="s">
        <v>156</v>
      </c>
      <c r="Y157" s="43" t="s">
        <v>156</v>
      </c>
      <c r="Z157" s="43" t="s">
        <v>156</v>
      </c>
      <c r="AA157" s="43" t="s">
        <v>156</v>
      </c>
      <c r="AB157" s="43" t="s">
        <v>156</v>
      </c>
      <c r="AC157" s="43" t="s">
        <v>156</v>
      </c>
      <c r="AD157" s="43" t="s">
        <v>156</v>
      </c>
      <c r="AE157" s="43" t="s">
        <v>156</v>
      </c>
      <c r="AF157" s="43" t="s">
        <v>156</v>
      </c>
      <c r="AG157" s="43" t="s">
        <v>156</v>
      </c>
      <c r="AH157" s="43" t="s">
        <v>156</v>
      </c>
      <c r="AI157" s="43" t="s">
        <v>156</v>
      </c>
      <c r="AJ157" s="43" t="s">
        <v>156</v>
      </c>
      <c r="AK157" s="43" t="s">
        <v>156</v>
      </c>
      <c r="AL157" s="43"/>
    </row>
    <row r="158" spans="2:38">
      <c r="L158" s="50"/>
    </row>
    <row r="159" spans="2:38" s="26" customFormat="1">
      <c r="B159" s="26" t="str">
        <f t="shared" ref="B159:K159" si="498">B7</f>
        <v>Revenue</v>
      </c>
      <c r="C159" s="50">
        <f t="shared" si="498"/>
        <v>462019.75900000002</v>
      </c>
      <c r="D159" s="50">
        <f t="shared" si="498"/>
        <v>576888.48400000005</v>
      </c>
      <c r="E159" s="50">
        <f t="shared" si="498"/>
        <v>745801.88600000006</v>
      </c>
      <c r="F159" s="50">
        <f t="shared" si="498"/>
        <v>951592.15399999998</v>
      </c>
      <c r="G159" s="50">
        <f t="shared" si="498"/>
        <v>1046236</v>
      </c>
      <c r="H159" s="50">
        <f t="shared" si="498"/>
        <v>1084662</v>
      </c>
      <c r="I159" s="50">
        <f t="shared" si="498"/>
        <v>1158819</v>
      </c>
      <c r="J159" s="50">
        <f t="shared" si="498"/>
        <v>1309085</v>
      </c>
      <c r="K159" s="50"/>
      <c r="L159" s="50"/>
      <c r="M159" s="41">
        <f t="shared" ref="M159:AL159" si="499">M7</f>
        <v>146205.209</v>
      </c>
      <c r="N159" s="41">
        <f t="shared" si="499"/>
        <v>201054.05799999999</v>
      </c>
      <c r="O159" s="41">
        <f t="shared" si="499"/>
        <v>174214.46400000001</v>
      </c>
      <c r="P159" s="41">
        <f t="shared" si="499"/>
        <v>224328.15500000003</v>
      </c>
      <c r="Q159" s="41">
        <f t="shared" si="499"/>
        <v>203176.16899999999</v>
      </c>
      <c r="R159" s="41">
        <f t="shared" si="499"/>
        <v>253800.47</v>
      </c>
      <c r="S159" s="41">
        <f t="shared" si="499"/>
        <v>218708.35800000001</v>
      </c>
      <c r="T159" s="41">
        <f t="shared" si="499"/>
        <v>275907.15700000001</v>
      </c>
      <c r="U159" s="41">
        <f t="shared" si="499"/>
        <v>239655</v>
      </c>
      <c r="V159" s="41">
        <f t="shared" si="499"/>
        <v>267600</v>
      </c>
      <c r="W159" s="41">
        <f t="shared" si="499"/>
        <v>243535</v>
      </c>
      <c r="X159" s="41">
        <f t="shared" si="499"/>
        <v>295446</v>
      </c>
      <c r="Y159" s="41">
        <f t="shared" si="499"/>
        <v>242956</v>
      </c>
      <c r="Z159" s="41">
        <f t="shared" si="499"/>
        <v>287931</v>
      </c>
      <c r="AA159" s="41">
        <f t="shared" si="499"/>
        <v>247698</v>
      </c>
      <c r="AB159" s="41">
        <f t="shared" si="499"/>
        <v>306077</v>
      </c>
      <c r="AC159" s="41">
        <f t="shared" si="499"/>
        <v>260049</v>
      </c>
      <c r="AD159" s="41">
        <f t="shared" si="499"/>
        <v>291397</v>
      </c>
      <c r="AE159" s="41">
        <f t="shared" si="499"/>
        <v>260387</v>
      </c>
      <c r="AF159" s="41">
        <f t="shared" si="499"/>
        <v>346986</v>
      </c>
      <c r="AG159" s="41">
        <f t="shared" si="499"/>
        <v>301082</v>
      </c>
      <c r="AH159" s="41">
        <f t="shared" si="499"/>
        <v>356660</v>
      </c>
      <c r="AI159" s="41">
        <f t="shared" si="499"/>
        <v>299059</v>
      </c>
      <c r="AJ159" s="41">
        <f t="shared" si="499"/>
        <v>352284</v>
      </c>
      <c r="AK159" s="41">
        <f t="shared" si="499"/>
        <v>315694</v>
      </c>
      <c r="AL159" s="41"/>
    </row>
    <row r="160" spans="2:38" s="37" customFormat="1">
      <c r="B160" s="42" t="s">
        <v>265</v>
      </c>
      <c r="C160" s="49"/>
      <c r="D160" s="49">
        <f t="shared" ref="D160:J160" si="500">D159/C159-1</f>
        <v>0.24862297068987482</v>
      </c>
      <c r="E160" s="49">
        <f t="shared" si="500"/>
        <v>0.29280078678082955</v>
      </c>
      <c r="F160" s="49">
        <f t="shared" si="500"/>
        <v>0.27593154678613918</v>
      </c>
      <c r="G160" s="49">
        <f t="shared" si="500"/>
        <v>9.9458413567373727E-2</v>
      </c>
      <c r="H160" s="49">
        <f t="shared" si="500"/>
        <v>3.6727851077577034E-2</v>
      </c>
      <c r="I160" s="49">
        <f t="shared" si="500"/>
        <v>6.8368763725473958E-2</v>
      </c>
      <c r="J160" s="49">
        <f t="shared" si="500"/>
        <v>0.12967167435121452</v>
      </c>
      <c r="K160" s="49"/>
      <c r="L160" s="50"/>
      <c r="M160" s="49"/>
      <c r="N160" s="49"/>
      <c r="O160" s="49"/>
      <c r="P160" s="49"/>
      <c r="Q160" s="49">
        <f t="shared" ref="Q160:AL160" si="501">Q159/M159-1</f>
        <v>0.3896643655151848</v>
      </c>
      <c r="R160" s="49">
        <f t="shared" si="501"/>
        <v>0.26234940256714445</v>
      </c>
      <c r="S160" s="49">
        <f t="shared" si="501"/>
        <v>0.25539724416911791</v>
      </c>
      <c r="T160" s="49">
        <f t="shared" si="501"/>
        <v>0.22992656450100957</v>
      </c>
      <c r="U160" s="49">
        <f t="shared" si="501"/>
        <v>0.17954286262775243</v>
      </c>
      <c r="V160" s="49">
        <f t="shared" si="501"/>
        <v>5.4371569918684637E-2</v>
      </c>
      <c r="W160" s="49">
        <f t="shared" si="501"/>
        <v>0.11351482964359327</v>
      </c>
      <c r="X160" s="49">
        <f t="shared" si="501"/>
        <v>7.0816731296317936E-2</v>
      </c>
      <c r="Y160" s="49">
        <f t="shared" si="501"/>
        <v>1.3773966743860999E-2</v>
      </c>
      <c r="Z160" s="49">
        <f t="shared" si="501"/>
        <v>7.5975336322869902E-2</v>
      </c>
      <c r="AA160" s="49">
        <f t="shared" si="501"/>
        <v>1.7094052189623676E-2</v>
      </c>
      <c r="AB160" s="49">
        <f t="shared" si="501"/>
        <v>3.5982886889651677E-2</v>
      </c>
      <c r="AC160" s="49">
        <f t="shared" si="501"/>
        <v>7.0354302836727722E-2</v>
      </c>
      <c r="AD160" s="49">
        <f t="shared" si="501"/>
        <v>1.2037606232048637E-2</v>
      </c>
      <c r="AE160" s="49">
        <f t="shared" si="501"/>
        <v>5.1227704704922994E-2</v>
      </c>
      <c r="AF160" s="49">
        <f t="shared" si="501"/>
        <v>0.1336559101141217</v>
      </c>
      <c r="AG160" s="49">
        <f t="shared" si="501"/>
        <v>0.15778949351852911</v>
      </c>
      <c r="AH160" s="49">
        <f t="shared" si="501"/>
        <v>0.22396592964237794</v>
      </c>
      <c r="AI160" s="49">
        <f t="shared" si="501"/>
        <v>0.14851739910210582</v>
      </c>
      <c r="AJ160" s="49">
        <f t="shared" si="501"/>
        <v>1.5268627552696756E-2</v>
      </c>
      <c r="AK160" s="49">
        <f t="shared" si="501"/>
        <v>4.8531629257145825E-2</v>
      </c>
      <c r="AL160" s="49"/>
    </row>
    <row r="161" spans="2:38">
      <c r="L161" s="50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</row>
    <row r="162" spans="2:38" s="26" customFormat="1" ht="13.5" thickBot="1">
      <c r="B162" s="32" t="str">
        <f t="shared" ref="B162:F162" si="502">B52</f>
        <v xml:space="preserve">Adj. EBITDA </v>
      </c>
      <c r="C162" s="40">
        <f t="shared" si="502"/>
        <v>5666.9610000000002</v>
      </c>
      <c r="D162" s="40">
        <f t="shared" si="502"/>
        <v>13811.021000000001</v>
      </c>
      <c r="E162" s="40">
        <f t="shared" si="502"/>
        <v>20681.120999999999</v>
      </c>
      <c r="F162" s="40">
        <f t="shared" si="502"/>
        <v>18711.598000000002</v>
      </c>
      <c r="G162" s="40">
        <f t="shared" ref="G162:H162" si="503">G52</f>
        <v>33602</v>
      </c>
      <c r="H162" s="40">
        <f t="shared" si="503"/>
        <v>42452</v>
      </c>
      <c r="I162" s="40">
        <f t="shared" ref="I162:J162" si="504">I52</f>
        <v>51923</v>
      </c>
      <c r="J162" s="40">
        <f t="shared" si="504"/>
        <v>18344</v>
      </c>
      <c r="K162" s="40"/>
      <c r="L162" s="50"/>
      <c r="M162" s="40">
        <f t="shared" ref="M162:R162" si="505">M52</f>
        <v>4514.3469999999998</v>
      </c>
      <c r="N162" s="40">
        <f t="shared" si="505"/>
        <v>6900.4250000000002</v>
      </c>
      <c r="O162" s="40">
        <f t="shared" si="505"/>
        <v>6601.7420000000002</v>
      </c>
      <c r="P162" s="40">
        <f t="shared" si="505"/>
        <v>2664.6069999999963</v>
      </c>
      <c r="Q162" s="40">
        <f t="shared" si="505"/>
        <v>4939.8029999999999</v>
      </c>
      <c r="R162" s="40">
        <f t="shared" si="505"/>
        <v>3746.8090000000002</v>
      </c>
      <c r="S162" s="40">
        <f>S52</f>
        <v>5863.0780000000004</v>
      </c>
      <c r="T162" s="40">
        <f t="shared" ref="T162:V162" si="506">T52</f>
        <v>4161.9079999999994</v>
      </c>
      <c r="U162" s="40">
        <f t="shared" si="506"/>
        <v>6066</v>
      </c>
      <c r="V162" s="40">
        <f t="shared" si="506"/>
        <v>7175</v>
      </c>
      <c r="W162" s="40">
        <f>W52</f>
        <v>11463</v>
      </c>
      <c r="X162" s="40">
        <f t="shared" ref="X162:Z162" si="507">X52</f>
        <v>8898</v>
      </c>
      <c r="Y162" s="40">
        <f t="shared" si="507"/>
        <v>9499</v>
      </c>
      <c r="Z162" s="40">
        <f t="shared" si="507"/>
        <v>10403</v>
      </c>
      <c r="AA162" s="40">
        <f>AA52</f>
        <v>12889</v>
      </c>
      <c r="AB162" s="40">
        <f t="shared" ref="AB162:AD162" si="508">AB52</f>
        <v>9661</v>
      </c>
      <c r="AC162" s="40">
        <f t="shared" si="508"/>
        <v>10787</v>
      </c>
      <c r="AD162" s="40">
        <f t="shared" si="508"/>
        <v>13530</v>
      </c>
      <c r="AE162" s="40">
        <f>AE52</f>
        <v>15077</v>
      </c>
      <c r="AF162" s="40">
        <f t="shared" ref="AF162:AH162" si="509">AF52</f>
        <v>12529</v>
      </c>
      <c r="AG162" s="40">
        <f t="shared" si="509"/>
        <v>13702</v>
      </c>
      <c r="AH162" s="40">
        <f t="shared" si="509"/>
        <v>2999</v>
      </c>
      <c r="AI162" s="40">
        <f>AI52</f>
        <v>2466</v>
      </c>
      <c r="AJ162" s="40">
        <f t="shared" ref="AJ162:AL162" si="510">AJ52</f>
        <v>-823</v>
      </c>
      <c r="AK162" s="40">
        <f t="shared" si="510"/>
        <v>8018</v>
      </c>
      <c r="AL162" s="40"/>
    </row>
    <row r="163" spans="2:38" s="37" customFormat="1" ht="13.5" thickTop="1">
      <c r="B163" s="39" t="str">
        <f t="shared" ref="B163:E164" si="511">B53</f>
        <v xml:space="preserve">% growth </v>
      </c>
      <c r="C163" s="49">
        <f t="shared" si="511"/>
        <v>0</v>
      </c>
      <c r="D163" s="49">
        <f t="shared" si="511"/>
        <v>1.4371124135140509</v>
      </c>
      <c r="E163" s="49">
        <f t="shared" si="511"/>
        <v>0.49743606935359796</v>
      </c>
      <c r="F163" s="49">
        <f t="shared" ref="F163:G163" si="512">F53</f>
        <v>-9.5232893806868502E-2</v>
      </c>
      <c r="G163" s="49">
        <f t="shared" si="512"/>
        <v>0.79578462512929127</v>
      </c>
      <c r="H163" s="49">
        <f t="shared" ref="H163:I163" si="513">H53</f>
        <v>0.26337717992976617</v>
      </c>
      <c r="I163" s="49">
        <f t="shared" si="513"/>
        <v>0.22309902949213223</v>
      </c>
      <c r="J163" s="49">
        <f t="shared" ref="J163" si="514">J53</f>
        <v>-0.64670762475203669</v>
      </c>
      <c r="K163" s="49"/>
      <c r="L163" s="50"/>
      <c r="M163" s="49"/>
      <c r="N163" s="49"/>
      <c r="O163" s="49"/>
      <c r="P163" s="49"/>
      <c r="Q163" s="49">
        <f>Q53</f>
        <v>9.4245302809021991E-2</v>
      </c>
      <c r="R163" s="49">
        <f>R53</f>
        <v>-0.45701764746374318</v>
      </c>
      <c r="S163" s="49">
        <f t="shared" ref="S163:V163" si="515">S53</f>
        <v>-0.1118892558963982</v>
      </c>
      <c r="T163" s="49">
        <f t="shared" si="515"/>
        <v>0.56192188941934229</v>
      </c>
      <c r="U163" s="49">
        <f t="shared" si="515"/>
        <v>0.22798419289190286</v>
      </c>
      <c r="V163" s="49">
        <f t="shared" si="515"/>
        <v>0.91496283904517139</v>
      </c>
      <c r="W163" s="49">
        <f>W53</f>
        <v>0.95511640813920584</v>
      </c>
      <c r="X163" s="49">
        <f>X53</f>
        <v>1.1379617233249752</v>
      </c>
      <c r="Y163" s="49">
        <f t="shared" ref="Y163:Z163" si="516">Y53</f>
        <v>0.56594131223211352</v>
      </c>
      <c r="Z163" s="49">
        <f t="shared" si="516"/>
        <v>0.44989547038327515</v>
      </c>
      <c r="AA163" s="49">
        <f>AA53</f>
        <v>0.1244002442641543</v>
      </c>
      <c r="AB163" s="49">
        <f>AB53</f>
        <v>8.5749606653180432E-2</v>
      </c>
      <c r="AC163" s="49">
        <f t="shared" ref="AC163:AD163" si="517">AC53</f>
        <v>0.13559322033898313</v>
      </c>
      <c r="AD163" s="49">
        <f t="shared" si="517"/>
        <v>0.30058636931654337</v>
      </c>
      <c r="AE163" s="49">
        <f>AE53</f>
        <v>0.16975715726588558</v>
      </c>
      <c r="AF163" s="49">
        <f>AF53</f>
        <v>0.29686367870820818</v>
      </c>
      <c r="AG163" s="49">
        <f t="shared" ref="AG163:AH163" si="518">AG53</f>
        <v>0.27023268749420604</v>
      </c>
      <c r="AH163" s="49">
        <f t="shared" si="518"/>
        <v>-0.77834441980783442</v>
      </c>
      <c r="AI163" s="49">
        <f>AI53</f>
        <v>-0.83643961000198974</v>
      </c>
      <c r="AJ163" s="49">
        <f>AJ53</f>
        <v>-1.0656876047569639</v>
      </c>
      <c r="AK163" s="49">
        <f t="shared" ref="AK163:AL163" si="519">AK53</f>
        <v>-0.41482995183184934</v>
      </c>
      <c r="AL163" s="49"/>
    </row>
    <row r="164" spans="2:38" s="37" customFormat="1">
      <c r="B164" s="39" t="str">
        <f t="shared" si="511"/>
        <v>% margin</v>
      </c>
      <c r="C164" s="49">
        <f t="shared" si="511"/>
        <v>1.2265624769524197E-2</v>
      </c>
      <c r="D164" s="49">
        <f t="shared" si="511"/>
        <v>2.3940538566895712E-2</v>
      </c>
      <c r="E164" s="49">
        <f t="shared" si="511"/>
        <v>2.7730046528737253E-2</v>
      </c>
      <c r="F164" s="49">
        <f t="shared" ref="F164:G164" si="520">F54</f>
        <v>1.9663463933940761E-2</v>
      </c>
      <c r="G164" s="49">
        <f t="shared" si="520"/>
        <v>3.2117036691530397E-2</v>
      </c>
      <c r="H164" s="49">
        <f t="shared" ref="H164:I164" si="521">H54</f>
        <v>3.9138459722936732E-2</v>
      </c>
      <c r="I164" s="49">
        <f t="shared" si="521"/>
        <v>4.4806824879467806E-2</v>
      </c>
      <c r="J164" s="49">
        <f t="shared" ref="J164" si="522">J54</f>
        <v>1.4012841030185205E-2</v>
      </c>
      <c r="K164" s="49"/>
      <c r="L164" s="50"/>
      <c r="M164" s="49">
        <f>M54</f>
        <v>3.0876786339397794E-2</v>
      </c>
      <c r="N164" s="49">
        <f>N54</f>
        <v>3.4321242100967694E-2</v>
      </c>
      <c r="O164" s="49">
        <f>O54</f>
        <v>3.7894339243841432E-2</v>
      </c>
      <c r="P164" s="49">
        <f>P54</f>
        <v>1.1878165716648435E-2</v>
      </c>
      <c r="Q164" s="49">
        <f>Q54</f>
        <v>2.4312905516000748E-2</v>
      </c>
      <c r="R164" s="49">
        <f>R54</f>
        <v>1.4762813480999464E-2</v>
      </c>
      <c r="S164" s="49">
        <f>S54</f>
        <v>2.6807745500059949E-2</v>
      </c>
      <c r="T164" s="49">
        <f>T54</f>
        <v>1.508445103509946E-2</v>
      </c>
      <c r="U164" s="49">
        <f t="shared" ref="U164:V164" si="523">U54</f>
        <v>2.5311385116104399E-2</v>
      </c>
      <c r="V164" s="49">
        <f t="shared" si="523"/>
        <v>2.6812406576980568E-2</v>
      </c>
      <c r="W164" s="49">
        <f>W54</f>
        <v>4.7069209764510234E-2</v>
      </c>
      <c r="X164" s="49">
        <f>X54</f>
        <v>3.0117178773786071E-2</v>
      </c>
      <c r="Y164" s="49">
        <f t="shared" ref="Y164:Z164" si="524">Y54</f>
        <v>3.9097614382851219E-2</v>
      </c>
      <c r="Z164" s="49">
        <f t="shared" si="524"/>
        <v>3.6130183967686705E-2</v>
      </c>
      <c r="AA164" s="49">
        <f>AA54</f>
        <v>5.2035139565115587E-2</v>
      </c>
      <c r="AB164" s="49">
        <f>AB54</f>
        <v>3.1563952861534843E-2</v>
      </c>
      <c r="AC164" s="49">
        <f t="shared" ref="AC164:AD164" si="525">AC54</f>
        <v>4.1480644032470801E-2</v>
      </c>
      <c r="AD164" s="49">
        <f t="shared" si="525"/>
        <v>4.6431500667474271E-2</v>
      </c>
      <c r="AE164" s="49">
        <f>AE54</f>
        <v>5.7902276227307814E-2</v>
      </c>
      <c r="AF164" s="49">
        <f>AF54</f>
        <v>3.6108085052422863E-2</v>
      </c>
      <c r="AG164" s="49">
        <f t="shared" ref="AG164:AH164" si="526">AG54</f>
        <v>4.5509196830099442E-2</v>
      </c>
      <c r="AH164" s="49">
        <f t="shared" si="526"/>
        <v>8.4085683844557849E-3</v>
      </c>
      <c r="AI164" s="49">
        <f>AI54</f>
        <v>8.2458645284040934E-3</v>
      </c>
      <c r="AJ164" s="49">
        <f>AJ54</f>
        <v>-2.3361833066503162E-3</v>
      </c>
      <c r="AK164" s="49">
        <f t="shared" ref="AK164:AL164" si="527">AK54</f>
        <v>2.539801199896102E-2</v>
      </c>
      <c r="AL164" s="49"/>
    </row>
    <row r="165" spans="2:38">
      <c r="L165" s="50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</row>
    <row r="166" spans="2:38" s="26" customFormat="1">
      <c r="B166" s="26" t="str">
        <f t="shared" ref="B166:E183" si="528">B60</f>
        <v xml:space="preserve">Adj. EBITDA </v>
      </c>
      <c r="C166" s="35">
        <f t="shared" si="528"/>
        <v>5666.9610000000002</v>
      </c>
      <c r="D166" s="35">
        <f t="shared" si="528"/>
        <v>13811.021000000001</v>
      </c>
      <c r="E166" s="35">
        <f t="shared" si="528"/>
        <v>20681.120999999999</v>
      </c>
      <c r="F166" s="35">
        <f t="shared" ref="F166" si="529">F60</f>
        <v>18711.598000000002</v>
      </c>
      <c r="G166" s="35">
        <f t="shared" ref="G166:H166" si="530">G60</f>
        <v>33602</v>
      </c>
      <c r="H166" s="35">
        <f t="shared" si="530"/>
        <v>42452</v>
      </c>
      <c r="I166" s="35">
        <f t="shared" ref="I166:K166" si="531">I60</f>
        <v>51923</v>
      </c>
      <c r="J166" s="35">
        <f t="shared" si="531"/>
        <v>18344</v>
      </c>
      <c r="K166" s="35"/>
      <c r="L166" s="50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</row>
    <row r="167" spans="2:38">
      <c r="B167" s="21" t="str">
        <f t="shared" si="528"/>
        <v>Working Capital</v>
      </c>
      <c r="C167" s="16">
        <f t="shared" si="528"/>
        <v>4162.5919999999996</v>
      </c>
      <c r="D167" s="16">
        <f t="shared" si="528"/>
        <v>199.12900000000081</v>
      </c>
      <c r="E167" s="16">
        <f t="shared" si="528"/>
        <v>11482.005999999999</v>
      </c>
      <c r="F167" s="16">
        <f t="shared" ref="F167:G167" si="532">F61</f>
        <v>43650</v>
      </c>
      <c r="G167" s="16">
        <f t="shared" si="532"/>
        <v>8184</v>
      </c>
      <c r="H167" s="16">
        <f t="shared" ref="H167:I167" si="533">H61</f>
        <v>14195</v>
      </c>
      <c r="I167" s="16">
        <f t="shared" si="533"/>
        <v>3144</v>
      </c>
      <c r="J167" s="16">
        <f t="shared" ref="J167" si="534">J61</f>
        <v>-13215</v>
      </c>
      <c r="K167" s="117"/>
      <c r="L167" s="50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</row>
    <row r="168" spans="2:38">
      <c r="B168" s="21" t="str">
        <f t="shared" si="528"/>
        <v>Taxes</v>
      </c>
      <c r="C168" s="16">
        <f t="shared" si="528"/>
        <v>2458.3350000000005</v>
      </c>
      <c r="D168" s="16">
        <f t="shared" si="528"/>
        <v>-807.62199999999996</v>
      </c>
      <c r="E168" s="16">
        <f t="shared" si="528"/>
        <v>-1190.0619999999999</v>
      </c>
      <c r="F168" s="16">
        <f t="shared" ref="F168:G168" si="535">F62</f>
        <v>-2538</v>
      </c>
      <c r="G168" s="16">
        <f t="shared" si="535"/>
        <v>-2555</v>
      </c>
      <c r="H168" s="16">
        <f t="shared" ref="H168:I168" si="536">H62</f>
        <v>-5462</v>
      </c>
      <c r="I168" s="16">
        <f t="shared" si="536"/>
        <v>-8807</v>
      </c>
      <c r="J168" s="16">
        <f t="shared" ref="J168" si="537">J62</f>
        <v>-8697</v>
      </c>
      <c r="K168" s="117"/>
      <c r="L168" s="50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</row>
    <row r="169" spans="2:38">
      <c r="B169" s="21" t="str">
        <f t="shared" si="528"/>
        <v>Cash interest paid</v>
      </c>
      <c r="C169" s="16">
        <f t="shared" si="528"/>
        <v>-421.03500000000003</v>
      </c>
      <c r="D169" s="16">
        <f t="shared" si="528"/>
        <v>-679.12</v>
      </c>
      <c r="E169" s="16">
        <f t="shared" si="528"/>
        <v>-1019.932</v>
      </c>
      <c r="F169" s="16">
        <f t="shared" ref="F169:G169" si="538">F63</f>
        <v>-1221</v>
      </c>
      <c r="G169" s="16">
        <f t="shared" si="538"/>
        <v>-2393</v>
      </c>
      <c r="H169" s="16">
        <f t="shared" ref="H169:I169" si="539">H63</f>
        <v>-2808</v>
      </c>
      <c r="I169" s="16">
        <f t="shared" si="539"/>
        <v>-2774</v>
      </c>
      <c r="J169" s="16">
        <f t="shared" ref="J169" si="540">J63</f>
        <v>-2684</v>
      </c>
      <c r="K169" s="117"/>
      <c r="L169" s="50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</row>
    <row r="170" spans="2:38" s="26" customFormat="1" ht="13.5" thickBot="1">
      <c r="B170" s="32" t="str">
        <f t="shared" si="528"/>
        <v xml:space="preserve">Net cash from operations </v>
      </c>
      <c r="C170" s="31">
        <f t="shared" si="528"/>
        <v>11866.853000000001</v>
      </c>
      <c r="D170" s="31">
        <f t="shared" si="528"/>
        <v>12523.408000000001</v>
      </c>
      <c r="E170" s="31">
        <f t="shared" si="528"/>
        <v>29953.133000000002</v>
      </c>
      <c r="F170" s="31">
        <f t="shared" ref="F170" si="541">F64</f>
        <v>58602.597999999998</v>
      </c>
      <c r="G170" s="31">
        <f t="shared" ref="G170:H170" si="542">G64</f>
        <v>36838</v>
      </c>
      <c r="H170" s="31">
        <f t="shared" si="542"/>
        <v>48377</v>
      </c>
      <c r="I170" s="31">
        <f t="shared" ref="I170" si="543">I64</f>
        <v>43486</v>
      </c>
      <c r="J170" s="31">
        <f>J64</f>
        <v>-6252</v>
      </c>
      <c r="K170" s="31"/>
      <c r="L170" s="50"/>
      <c r="M170" s="31">
        <f t="shared" ref="M170:AF170" si="544">M64</f>
        <v>0</v>
      </c>
      <c r="N170" s="31">
        <f t="shared" si="544"/>
        <v>0</v>
      </c>
      <c r="O170" s="31">
        <f t="shared" si="544"/>
        <v>0</v>
      </c>
      <c r="P170" s="31">
        <f t="shared" si="544"/>
        <v>0</v>
      </c>
      <c r="Q170" s="31">
        <f t="shared" si="544"/>
        <v>0</v>
      </c>
      <c r="R170" s="31">
        <f t="shared" si="544"/>
        <v>0</v>
      </c>
      <c r="S170" s="31">
        <f t="shared" si="544"/>
        <v>0</v>
      </c>
      <c r="T170" s="31">
        <f t="shared" si="544"/>
        <v>6472</v>
      </c>
      <c r="U170" s="31">
        <f t="shared" si="544"/>
        <v>-3485</v>
      </c>
      <c r="V170" s="31">
        <f t="shared" si="544"/>
        <v>33667</v>
      </c>
      <c r="W170" s="31">
        <f t="shared" si="544"/>
        <v>9151</v>
      </c>
      <c r="X170" s="31">
        <f t="shared" si="544"/>
        <v>18486</v>
      </c>
      <c r="Y170" s="31">
        <f t="shared" si="544"/>
        <v>-21607</v>
      </c>
      <c r="Z170" s="31">
        <f t="shared" si="544"/>
        <v>46511</v>
      </c>
      <c r="AA170" s="31">
        <f t="shared" si="544"/>
        <v>15004</v>
      </c>
      <c r="AB170" s="31">
        <f t="shared" si="544"/>
        <v>19613</v>
      </c>
      <c r="AC170" s="31">
        <f t="shared" si="544"/>
        <v>-11315</v>
      </c>
      <c r="AD170" s="31">
        <f t="shared" si="544"/>
        <v>46511</v>
      </c>
      <c r="AE170" s="31">
        <f t="shared" si="544"/>
        <v>-6219</v>
      </c>
      <c r="AF170" s="31">
        <f t="shared" si="544"/>
        <v>24891</v>
      </c>
      <c r="AG170" s="31">
        <f t="shared" ref="AG170:AJ170" si="545">AG64</f>
        <v>-18262</v>
      </c>
      <c r="AH170" s="31">
        <f t="shared" si="545"/>
        <v>24409</v>
      </c>
      <c r="AI170" s="31">
        <f t="shared" si="545"/>
        <v>-8035</v>
      </c>
      <c r="AJ170" s="31">
        <f t="shared" si="545"/>
        <v>20879</v>
      </c>
      <c r="AK170" s="31">
        <f t="shared" ref="AK170:AL170" si="546">AK64</f>
        <v>555</v>
      </c>
      <c r="AL170" s="31"/>
    </row>
    <row r="171" spans="2:38" ht="13.5" thickTop="1">
      <c r="B171" s="21" t="str">
        <f t="shared" si="528"/>
        <v>Net Capex</v>
      </c>
      <c r="C171" s="34">
        <f t="shared" si="528"/>
        <v>-13879.758</v>
      </c>
      <c r="D171" s="34">
        <f t="shared" si="528"/>
        <v>-3636.1750000000002</v>
      </c>
      <c r="E171" s="34">
        <f t="shared" si="528"/>
        <v>-4888.424</v>
      </c>
      <c r="F171" s="34">
        <f t="shared" ref="F171:G171" si="547">F65</f>
        <v>-13387</v>
      </c>
      <c r="G171" s="34">
        <f t="shared" si="547"/>
        <v>-10731</v>
      </c>
      <c r="H171" s="34">
        <f t="shared" ref="H171:I171" si="548">H65</f>
        <v>-9006</v>
      </c>
      <c r="I171" s="34">
        <f t="shared" si="548"/>
        <v>-5971</v>
      </c>
      <c r="J171" s="34">
        <f t="shared" ref="J171:K171" si="549">J65</f>
        <v>-8220</v>
      </c>
      <c r="K171" s="34"/>
      <c r="L171" s="50"/>
      <c r="M171" s="34">
        <f t="shared" ref="M171:AF171" si="550">M65</f>
        <v>0</v>
      </c>
      <c r="N171" s="34">
        <f t="shared" si="550"/>
        <v>0</v>
      </c>
      <c r="O171" s="34">
        <f t="shared" si="550"/>
        <v>0</v>
      </c>
      <c r="P171" s="34">
        <f t="shared" si="550"/>
        <v>0</v>
      </c>
      <c r="Q171" s="34">
        <f t="shared" si="550"/>
        <v>0</v>
      </c>
      <c r="R171" s="34">
        <f t="shared" si="550"/>
        <v>0</v>
      </c>
      <c r="S171" s="34">
        <f t="shared" si="550"/>
        <v>0</v>
      </c>
      <c r="T171" s="34">
        <f t="shared" si="550"/>
        <v>-5481</v>
      </c>
      <c r="U171" s="34">
        <f t="shared" si="550"/>
        <v>-3578</v>
      </c>
      <c r="V171" s="34">
        <f t="shared" si="550"/>
        <v>-5460</v>
      </c>
      <c r="W171" s="34">
        <f t="shared" si="550"/>
        <v>-5306</v>
      </c>
      <c r="X171" s="34">
        <f t="shared" si="550"/>
        <v>-7636</v>
      </c>
      <c r="Y171" s="34">
        <f t="shared" si="550"/>
        <v>-3213</v>
      </c>
      <c r="Z171" s="34">
        <f t="shared" si="550"/>
        <v>-3607</v>
      </c>
      <c r="AA171" s="34">
        <f t="shared" si="550"/>
        <v>-4993</v>
      </c>
      <c r="AB171" s="34">
        <f t="shared" si="550"/>
        <v>-6565</v>
      </c>
      <c r="AC171" s="34">
        <f t="shared" si="550"/>
        <v>-2880</v>
      </c>
      <c r="AD171" s="34">
        <f t="shared" si="550"/>
        <v>-3607</v>
      </c>
      <c r="AE171" s="34">
        <f t="shared" si="550"/>
        <v>-5358</v>
      </c>
      <c r="AF171" s="34">
        <f t="shared" si="550"/>
        <v>-2664</v>
      </c>
      <c r="AG171" s="34">
        <f t="shared" ref="AG171:AJ171" si="551">AG65</f>
        <v>-2323</v>
      </c>
      <c r="AH171" s="34">
        <f t="shared" si="551"/>
        <v>-3032</v>
      </c>
      <c r="AI171" s="34">
        <f t="shared" si="551"/>
        <v>-2596</v>
      </c>
      <c r="AJ171" s="34">
        <f t="shared" si="551"/>
        <v>-4784</v>
      </c>
      <c r="AK171" s="34">
        <f t="shared" ref="AK171:AL171" si="552">AK65</f>
        <v>-8561</v>
      </c>
      <c r="AL171" s="34"/>
    </row>
    <row r="172" spans="2:38">
      <c r="B172" s="21" t="str">
        <f t="shared" si="528"/>
        <v>Purchase of intangible assets</v>
      </c>
      <c r="C172" s="34">
        <f t="shared" si="528"/>
        <v>-130.797</v>
      </c>
      <c r="D172" s="34">
        <f t="shared" si="528"/>
        <v>-41.448999999999998</v>
      </c>
      <c r="E172" s="34">
        <f t="shared" si="528"/>
        <v>-19.361000000000001</v>
      </c>
      <c r="F172" s="34">
        <f t="shared" ref="F172:G172" si="553">F66</f>
        <v>-23</v>
      </c>
      <c r="G172" s="34">
        <f t="shared" si="553"/>
        <v>-10</v>
      </c>
      <c r="H172" s="34">
        <f t="shared" ref="H172:I172" si="554">H66</f>
        <v>-3</v>
      </c>
      <c r="I172" s="34">
        <f t="shared" si="554"/>
        <v>-132</v>
      </c>
      <c r="J172" s="34">
        <f t="shared" ref="J172:K172" si="555">J66</f>
        <v>0</v>
      </c>
      <c r="K172" s="34"/>
      <c r="L172" s="50"/>
      <c r="M172" s="34">
        <f t="shared" ref="M172:AF172" si="556">M66</f>
        <v>0</v>
      </c>
      <c r="N172" s="34">
        <f t="shared" si="556"/>
        <v>0</v>
      </c>
      <c r="O172" s="34">
        <f t="shared" si="556"/>
        <v>0</v>
      </c>
      <c r="P172" s="34">
        <f t="shared" si="556"/>
        <v>0</v>
      </c>
      <c r="Q172" s="34">
        <f t="shared" si="556"/>
        <v>0</v>
      </c>
      <c r="R172" s="34">
        <f t="shared" si="556"/>
        <v>0</v>
      </c>
      <c r="S172" s="34">
        <f t="shared" si="556"/>
        <v>0</v>
      </c>
      <c r="T172" s="34">
        <f t="shared" si="556"/>
        <v>1031</v>
      </c>
      <c r="U172" s="34">
        <f t="shared" si="556"/>
        <v>-1734</v>
      </c>
      <c r="V172" s="34">
        <f t="shared" si="556"/>
        <v>-1802</v>
      </c>
      <c r="W172" s="34">
        <f t="shared" si="556"/>
        <v>-1506</v>
      </c>
      <c r="X172" s="34">
        <f t="shared" si="556"/>
        <v>1194</v>
      </c>
      <c r="Y172" s="34">
        <f t="shared" si="556"/>
        <v>-582</v>
      </c>
      <c r="Z172" s="34">
        <f t="shared" si="556"/>
        <v>-1586</v>
      </c>
      <c r="AA172" s="34">
        <f t="shared" si="556"/>
        <v>-1747</v>
      </c>
      <c r="AB172" s="34">
        <f t="shared" si="556"/>
        <v>251</v>
      </c>
      <c r="AC172" s="34">
        <f t="shared" si="556"/>
        <v>-1281</v>
      </c>
      <c r="AD172" s="34">
        <f t="shared" si="556"/>
        <v>-1586</v>
      </c>
      <c r="AE172" s="34">
        <f t="shared" si="556"/>
        <v>-2232</v>
      </c>
      <c r="AF172" s="34">
        <f t="shared" si="556"/>
        <v>1243</v>
      </c>
      <c r="AG172" s="34">
        <f t="shared" ref="AG172:AJ172" si="557">AG66</f>
        <v>-1018</v>
      </c>
      <c r="AH172" s="34">
        <f t="shared" si="557"/>
        <v>641</v>
      </c>
      <c r="AI172" s="34">
        <f t="shared" si="557"/>
        <v>-618</v>
      </c>
      <c r="AJ172" s="34">
        <f t="shared" si="557"/>
        <v>1215</v>
      </c>
      <c r="AK172" s="34">
        <f t="shared" ref="AK172:AL172" si="558">AK66</f>
        <v>-1973</v>
      </c>
      <c r="AL172" s="34"/>
    </row>
    <row r="173" spans="2:38">
      <c r="B173" s="21" t="str">
        <f t="shared" si="528"/>
        <v>Disposals/ Acquistion, of subsidiaries, businesses</v>
      </c>
      <c r="C173" s="34">
        <f t="shared" si="528"/>
        <v>-19.577999999999999</v>
      </c>
      <c r="D173" s="34">
        <f t="shared" si="528"/>
        <v>-41.38</v>
      </c>
      <c r="E173" s="34">
        <f t="shared" si="528"/>
        <v>671.35599999999999</v>
      </c>
      <c r="F173" s="34">
        <f t="shared" ref="F173:G173" si="559">F67</f>
        <v>-321</v>
      </c>
      <c r="G173" s="34">
        <f t="shared" si="559"/>
        <v>-15684</v>
      </c>
      <c r="H173" s="34">
        <f t="shared" ref="H173:I173" si="560">H67</f>
        <v>0</v>
      </c>
      <c r="I173" s="34">
        <f t="shared" si="560"/>
        <v>-2776</v>
      </c>
      <c r="J173" s="34">
        <f t="shared" ref="J173:K173" si="561">J67</f>
        <v>-1105</v>
      </c>
      <c r="K173" s="34"/>
      <c r="L173" s="50"/>
      <c r="M173" s="34">
        <f t="shared" ref="M173:AF173" si="562">M67</f>
        <v>0</v>
      </c>
      <c r="N173" s="34">
        <f t="shared" si="562"/>
        <v>0</v>
      </c>
      <c r="O173" s="34">
        <f t="shared" si="562"/>
        <v>0</v>
      </c>
      <c r="P173" s="34">
        <f t="shared" si="562"/>
        <v>0</v>
      </c>
      <c r="Q173" s="34">
        <f t="shared" si="562"/>
        <v>0</v>
      </c>
      <c r="R173" s="34">
        <f t="shared" si="562"/>
        <v>0</v>
      </c>
      <c r="S173" s="34">
        <f t="shared" si="562"/>
        <v>0</v>
      </c>
      <c r="T173" s="34">
        <f t="shared" si="562"/>
        <v>0</v>
      </c>
      <c r="U173" s="34">
        <f t="shared" si="562"/>
        <v>0</v>
      </c>
      <c r="V173" s="34">
        <f t="shared" si="562"/>
        <v>0</v>
      </c>
      <c r="W173" s="34">
        <f t="shared" si="562"/>
        <v>0</v>
      </c>
      <c r="X173" s="34">
        <f t="shared" si="562"/>
        <v>0</v>
      </c>
      <c r="Y173" s="34">
        <f t="shared" si="562"/>
        <v>0</v>
      </c>
      <c r="Z173" s="34">
        <f t="shared" si="562"/>
        <v>0</v>
      </c>
      <c r="AA173" s="34">
        <f t="shared" si="562"/>
        <v>0</v>
      </c>
      <c r="AB173" s="34">
        <f t="shared" si="562"/>
        <v>0</v>
      </c>
      <c r="AC173" s="34">
        <f t="shared" si="562"/>
        <v>0</v>
      </c>
      <c r="AD173" s="34">
        <f t="shared" si="562"/>
        <v>0</v>
      </c>
      <c r="AE173" s="34">
        <f t="shared" si="562"/>
        <v>0</v>
      </c>
      <c r="AF173" s="34">
        <f t="shared" si="562"/>
        <v>0</v>
      </c>
      <c r="AG173" s="34">
        <f t="shared" ref="AG173:AJ174" si="563">AG67</f>
        <v>0</v>
      </c>
      <c r="AH173" s="34">
        <f t="shared" si="563"/>
        <v>0</v>
      </c>
      <c r="AI173" s="34">
        <f t="shared" si="563"/>
        <v>0</v>
      </c>
      <c r="AJ173" s="34">
        <f t="shared" si="563"/>
        <v>0</v>
      </c>
      <c r="AK173" s="34">
        <f t="shared" ref="AK173:AL173" si="564">AK67</f>
        <v>0</v>
      </c>
      <c r="AL173" s="34"/>
    </row>
    <row r="174" spans="2:38" s="26" customFormat="1" ht="13.5" thickBot="1">
      <c r="B174" s="32" t="str">
        <f t="shared" si="528"/>
        <v xml:space="preserve">Free cash flow </v>
      </c>
      <c r="C174" s="31">
        <f t="shared" si="528"/>
        <v>-2163.2799999999988</v>
      </c>
      <c r="D174" s="31">
        <f t="shared" si="528"/>
        <v>8804.4040000000005</v>
      </c>
      <c r="E174" s="31">
        <f t="shared" si="528"/>
        <v>25716.704000000002</v>
      </c>
      <c r="F174" s="31">
        <f t="shared" ref="F174" si="565">F68</f>
        <v>44871.597999999998</v>
      </c>
      <c r="G174" s="31">
        <f t="shared" ref="G174:H174" si="566">G68</f>
        <v>10413</v>
      </c>
      <c r="H174" s="31">
        <f t="shared" si="566"/>
        <v>39368</v>
      </c>
      <c r="I174" s="31">
        <f t="shared" ref="I174:J174" si="567">I68</f>
        <v>34607</v>
      </c>
      <c r="J174" s="31">
        <f t="shared" si="567"/>
        <v>-15577</v>
      </c>
      <c r="K174" s="31"/>
      <c r="L174" s="50"/>
      <c r="M174" s="31">
        <f t="shared" ref="M174:AF174" si="568">M68</f>
        <v>0</v>
      </c>
      <c r="N174" s="31">
        <f t="shared" si="568"/>
        <v>0</v>
      </c>
      <c r="O174" s="31">
        <f t="shared" si="568"/>
        <v>0</v>
      </c>
      <c r="P174" s="31">
        <f t="shared" si="568"/>
        <v>0</v>
      </c>
      <c r="Q174" s="31">
        <f t="shared" si="568"/>
        <v>0</v>
      </c>
      <c r="R174" s="31">
        <f t="shared" si="568"/>
        <v>0</v>
      </c>
      <c r="S174" s="31">
        <f t="shared" si="568"/>
        <v>0</v>
      </c>
      <c r="T174" s="31">
        <f t="shared" si="568"/>
        <v>2292</v>
      </c>
      <c r="U174" s="31">
        <f t="shared" si="568"/>
        <v>-8797</v>
      </c>
      <c r="V174" s="31">
        <f t="shared" si="568"/>
        <v>33009</v>
      </c>
      <c r="W174" s="31">
        <f t="shared" si="568"/>
        <v>2339</v>
      </c>
      <c r="X174" s="31">
        <f t="shared" si="568"/>
        <v>12044</v>
      </c>
      <c r="Y174" s="31">
        <f t="shared" si="568"/>
        <v>-25402</v>
      </c>
      <c r="Z174" s="31">
        <f t="shared" si="568"/>
        <v>44490</v>
      </c>
      <c r="AA174" s="31">
        <f t="shared" si="568"/>
        <v>8264</v>
      </c>
      <c r="AB174" s="31">
        <f t="shared" si="568"/>
        <v>13299</v>
      </c>
      <c r="AC174" s="31">
        <f t="shared" si="568"/>
        <v>-15476</v>
      </c>
      <c r="AD174" s="31">
        <f t="shared" si="568"/>
        <v>41318</v>
      </c>
      <c r="AE174" s="31">
        <f t="shared" si="568"/>
        <v>-13809</v>
      </c>
      <c r="AF174" s="31">
        <f t="shared" si="568"/>
        <v>23470</v>
      </c>
      <c r="AG174" s="31">
        <f t="shared" si="563"/>
        <v>-21603</v>
      </c>
      <c r="AH174" s="31">
        <f t="shared" si="563"/>
        <v>22018</v>
      </c>
      <c r="AI174" s="31">
        <f t="shared" si="563"/>
        <v>-11249</v>
      </c>
      <c r="AJ174" s="31">
        <f t="shared" si="563"/>
        <v>17310</v>
      </c>
      <c r="AK174" s="31">
        <f t="shared" ref="AK174:AL174" si="569">AK68</f>
        <v>-9979</v>
      </c>
      <c r="AL174" s="31"/>
    </row>
    <row r="175" spans="2:38" s="26" customFormat="1" ht="13.5" thickTop="1">
      <c r="B175" s="21" t="str">
        <f t="shared" si="528"/>
        <v xml:space="preserve">Other Investing </v>
      </c>
      <c r="C175" s="34">
        <f t="shared" si="528"/>
        <v>-12048.858999999999</v>
      </c>
      <c r="D175" s="34">
        <f t="shared" si="528"/>
        <v>-21630.352999999999</v>
      </c>
      <c r="E175" s="34">
        <f t="shared" si="528"/>
        <v>-53574.159</v>
      </c>
      <c r="F175" s="34">
        <f t="shared" ref="F175:G175" si="570">F69</f>
        <v>-60517</v>
      </c>
      <c r="G175" s="34">
        <f t="shared" si="570"/>
        <v>-27601</v>
      </c>
      <c r="H175" s="34">
        <f t="shared" ref="H175:I175" si="571">H69</f>
        <v>-50534</v>
      </c>
      <c r="I175" s="34">
        <f t="shared" si="571"/>
        <v>8008</v>
      </c>
      <c r="J175" s="34">
        <f t="shared" ref="J175" si="572">J69</f>
        <v>51157</v>
      </c>
      <c r="K175" s="117"/>
      <c r="L175" s="50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</row>
    <row r="176" spans="2:38">
      <c r="B176" s="21" t="str">
        <f t="shared" si="528"/>
        <v>Equity Issuance</v>
      </c>
      <c r="C176" s="34">
        <f t="shared" si="528"/>
        <v>19539.217000000001</v>
      </c>
      <c r="D176" s="34">
        <f t="shared" si="528"/>
        <v>112.15300000000001</v>
      </c>
      <c r="E176" s="34">
        <f t="shared" si="528"/>
        <v>32020.483</v>
      </c>
      <c r="F176" s="34">
        <f t="shared" ref="F176:G176" si="573">F70</f>
        <v>62</v>
      </c>
      <c r="G176" s="34">
        <f t="shared" si="573"/>
        <v>1043</v>
      </c>
      <c r="H176" s="34">
        <f t="shared" ref="H176:I176" si="574">H70</f>
        <v>33</v>
      </c>
      <c r="I176" s="34">
        <f t="shared" si="574"/>
        <v>27</v>
      </c>
      <c r="J176" s="34">
        <f t="shared" ref="J176" si="575">J70</f>
        <v>33</v>
      </c>
      <c r="K176" s="117"/>
      <c r="L176" s="50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</row>
    <row r="177" spans="2:38">
      <c r="B177" s="21" t="str">
        <f t="shared" si="528"/>
        <v>Dividends</v>
      </c>
      <c r="C177" s="34">
        <f t="shared" si="528"/>
        <v>0</v>
      </c>
      <c r="D177" s="34">
        <f t="shared" si="528"/>
        <v>0</v>
      </c>
      <c r="E177" s="34">
        <f t="shared" si="528"/>
        <v>0</v>
      </c>
      <c r="F177" s="34">
        <f t="shared" ref="F177:G177" si="576">F71</f>
        <v>0</v>
      </c>
      <c r="G177" s="34">
        <f t="shared" si="576"/>
        <v>-13087</v>
      </c>
      <c r="H177" s="34">
        <f t="shared" ref="H177:I177" si="577">H71</f>
        <v>-6741</v>
      </c>
      <c r="I177" s="34">
        <f t="shared" si="577"/>
        <v>-8263</v>
      </c>
      <c r="J177" s="34">
        <f t="shared" ref="J177" si="578">J71</f>
        <v>-10379</v>
      </c>
      <c r="K177" s="117"/>
      <c r="L177" s="50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</row>
    <row r="178" spans="2:38">
      <c r="B178" s="21" t="str">
        <f t="shared" si="528"/>
        <v>Net Change in debt</v>
      </c>
      <c r="C178" s="34">
        <f t="shared" si="528"/>
        <v>-10269.618999999999</v>
      </c>
      <c r="D178" s="34">
        <f t="shared" si="528"/>
        <v>-9855.994999999999</v>
      </c>
      <c r="E178" s="34">
        <f t="shared" si="528"/>
        <v>4791.9979999999987</v>
      </c>
      <c r="F178" s="34">
        <f t="shared" ref="F178:G178" si="579">F72</f>
        <v>-2124</v>
      </c>
      <c r="G178" s="34">
        <f t="shared" si="579"/>
        <v>11839</v>
      </c>
      <c r="H178" s="34">
        <f t="shared" ref="H178:I178" si="580">H72</f>
        <v>3113</v>
      </c>
      <c r="I178" s="34">
        <f t="shared" si="580"/>
        <v>14374</v>
      </c>
      <c r="J178" s="34">
        <f t="shared" ref="J178" si="581">J72</f>
        <v>10268</v>
      </c>
      <c r="K178" s="117"/>
      <c r="L178" s="50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</row>
    <row r="179" spans="2:38">
      <c r="B179" s="21" t="str">
        <f t="shared" si="528"/>
        <v>Other financing activities</v>
      </c>
      <c r="C179" s="34">
        <f t="shared" si="528"/>
        <v>1950.3299999999981</v>
      </c>
      <c r="D179" s="34">
        <f t="shared" si="528"/>
        <v>12316.308999999999</v>
      </c>
      <c r="E179" s="34">
        <f t="shared" si="528"/>
        <v>34259.114000000001</v>
      </c>
      <c r="F179" s="34">
        <f t="shared" ref="F179:G179" si="582">F73</f>
        <v>21565</v>
      </c>
      <c r="G179" s="34">
        <f t="shared" si="582"/>
        <v>1385</v>
      </c>
      <c r="H179" s="34">
        <f t="shared" ref="H179:I179" si="583">H73</f>
        <v>-2213</v>
      </c>
      <c r="I179" s="34">
        <f t="shared" si="583"/>
        <v>-27142</v>
      </c>
      <c r="J179" s="34">
        <f t="shared" ref="J179" si="584">J73</f>
        <v>-26650</v>
      </c>
      <c r="K179" s="117"/>
      <c r="L179" s="50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</row>
    <row r="180" spans="2:38" s="26" customFormat="1" ht="13.5" thickBot="1">
      <c r="B180" s="32" t="str">
        <f t="shared" si="528"/>
        <v>Cash flow after financing activities</v>
      </c>
      <c r="C180" s="31">
        <f t="shared" si="528"/>
        <v>-2992.2109999999975</v>
      </c>
      <c r="D180" s="31">
        <f t="shared" si="528"/>
        <v>-10253.481999999998</v>
      </c>
      <c r="E180" s="31">
        <f t="shared" si="528"/>
        <v>43214.14</v>
      </c>
      <c r="F180" s="31">
        <f t="shared" ref="F180" si="585">F74</f>
        <v>3857.5979999999981</v>
      </c>
      <c r="G180" s="31">
        <f t="shared" ref="G180:H180" si="586">G74</f>
        <v>-16008</v>
      </c>
      <c r="H180" s="31">
        <f t="shared" si="586"/>
        <v>-16974</v>
      </c>
      <c r="I180" s="31">
        <f t="shared" ref="I180:J180" si="587">I74</f>
        <v>21611</v>
      </c>
      <c r="J180" s="31">
        <f t="shared" si="587"/>
        <v>8852</v>
      </c>
      <c r="K180" s="118"/>
      <c r="L180" s="50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</row>
    <row r="181" spans="2:38" s="26" customFormat="1" ht="13.5" thickTop="1">
      <c r="B181" s="21" t="str">
        <f t="shared" si="528"/>
        <v>Balancing figure</v>
      </c>
      <c r="C181" s="34">
        <f t="shared" si="528"/>
        <v>9014.5689999999959</v>
      </c>
      <c r="D181" s="34">
        <f t="shared" si="528"/>
        <v>12257.811999999998</v>
      </c>
      <c r="E181" s="34">
        <f t="shared" si="528"/>
        <v>12591.184000000005</v>
      </c>
      <c r="F181" s="34">
        <f t="shared" ref="F181:G181" si="588">F75</f>
        <v>-16301.597999999998</v>
      </c>
      <c r="G181" s="34">
        <f t="shared" si="588"/>
        <v>20981</v>
      </c>
      <c r="H181" s="34">
        <f t="shared" ref="H181:I181" si="589">H75</f>
        <v>11144</v>
      </c>
      <c r="I181" s="34">
        <f t="shared" si="589"/>
        <v>14609</v>
      </c>
      <c r="J181" s="34">
        <f t="shared" ref="J181" si="590">J75</f>
        <v>25243</v>
      </c>
      <c r="K181" s="117"/>
      <c r="L181" s="50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</row>
    <row r="182" spans="2:38">
      <c r="B182" s="21" t="str">
        <f t="shared" si="528"/>
        <v xml:space="preserve">FX </v>
      </c>
      <c r="C182" s="34">
        <f t="shared" si="528"/>
        <v>1681.163</v>
      </c>
      <c r="D182" s="34">
        <f t="shared" si="528"/>
        <v>405.89100000000002</v>
      </c>
      <c r="E182" s="34">
        <f t="shared" si="528"/>
        <v>-5082.38</v>
      </c>
      <c r="F182" s="34">
        <f t="shared" ref="F182" si="591">F76</f>
        <v>-1498</v>
      </c>
      <c r="G182" s="34">
        <f t="shared" ref="G182:H182" si="592">G76</f>
        <v>3490</v>
      </c>
      <c r="H182" s="34">
        <f t="shared" si="592"/>
        <v>125</v>
      </c>
      <c r="I182" s="34">
        <f t="shared" ref="I182:J182" si="593">I76</f>
        <v>98</v>
      </c>
      <c r="J182" s="34">
        <f t="shared" si="593"/>
        <v>-186</v>
      </c>
      <c r="K182" s="117"/>
      <c r="L182" s="50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</row>
    <row r="183" spans="2:38" s="26" customFormat="1" ht="13.5" thickBot="1">
      <c r="B183" s="32" t="str">
        <f t="shared" si="528"/>
        <v xml:space="preserve">Net change in cash </v>
      </c>
      <c r="C183" s="31">
        <f t="shared" si="528"/>
        <v>7703.5209999999988</v>
      </c>
      <c r="D183" s="31">
        <f t="shared" si="528"/>
        <v>2410.221</v>
      </c>
      <c r="E183" s="31">
        <f t="shared" si="528"/>
        <v>50607.026000000013</v>
      </c>
      <c r="F183" s="31">
        <f t="shared" ref="F183" si="594">F77</f>
        <v>-13942</v>
      </c>
      <c r="G183" s="31">
        <f t="shared" ref="G183:H183" si="595">G77</f>
        <v>8463</v>
      </c>
      <c r="H183" s="31">
        <f t="shared" si="595"/>
        <v>-5664</v>
      </c>
      <c r="I183" s="31">
        <f t="shared" ref="I183:J183" si="596">I77</f>
        <v>36371</v>
      </c>
      <c r="J183" s="31">
        <f t="shared" si="596"/>
        <v>33909</v>
      </c>
      <c r="K183" s="118"/>
      <c r="L183" s="50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</row>
    <row r="184" spans="2:38" ht="13.5" thickTop="1">
      <c r="C184" s="30"/>
      <c r="D184" s="30"/>
      <c r="E184" s="30"/>
      <c r="F184" s="30"/>
      <c r="G184" s="30"/>
      <c r="H184" s="30"/>
      <c r="I184" s="30"/>
      <c r="J184" s="30"/>
      <c r="K184" s="30"/>
      <c r="L184" s="5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2:38" s="26" customFormat="1">
      <c r="B185" s="26" t="str">
        <f>+B119</f>
        <v>Total debt</v>
      </c>
      <c r="C185" s="33">
        <f t="shared" ref="C185:E186" si="597">C119</f>
        <v>10021.847</v>
      </c>
      <c r="D185" s="33">
        <f t="shared" si="597"/>
        <v>18768.425999999999</v>
      </c>
      <c r="E185" s="33">
        <f t="shared" si="597"/>
        <v>31554.133999999998</v>
      </c>
      <c r="F185" s="33">
        <f t="shared" ref="F185:G185" si="598">F119</f>
        <v>34139.270000000004</v>
      </c>
      <c r="G185" s="33">
        <f t="shared" si="598"/>
        <v>65045</v>
      </c>
      <c r="H185" s="33">
        <f t="shared" ref="H185:I185" si="599">H119</f>
        <v>68431</v>
      </c>
      <c r="I185" s="33">
        <f t="shared" si="599"/>
        <v>89768</v>
      </c>
      <c r="J185" s="33">
        <f t="shared" ref="J185" si="600">J119</f>
        <v>107105</v>
      </c>
      <c r="K185" s="33"/>
      <c r="L185" s="50"/>
      <c r="M185" s="33">
        <f t="shared" ref="M185:S186" si="601">M119</f>
        <v>34465.821000000004</v>
      </c>
      <c r="N185" s="33">
        <f t="shared" si="601"/>
        <v>37513.880000000005</v>
      </c>
      <c r="O185" s="33">
        <f t="shared" si="601"/>
        <v>33968.222000000002</v>
      </c>
      <c r="P185" s="33">
        <f t="shared" si="601"/>
        <v>31554.133999999998</v>
      </c>
      <c r="Q185" s="33">
        <f t="shared" si="601"/>
        <v>32848.75</v>
      </c>
      <c r="R185" s="33">
        <f t="shared" si="601"/>
        <v>30506.799999999999</v>
      </c>
      <c r="S185" s="33">
        <f t="shared" si="601"/>
        <v>37607.641000000003</v>
      </c>
      <c r="T185" s="33">
        <f t="shared" ref="T185:W185" si="602">T119</f>
        <v>34139.270000000004</v>
      </c>
      <c r="U185" s="33">
        <f t="shared" si="602"/>
        <v>53153</v>
      </c>
      <c r="V185" s="33">
        <f t="shared" si="602"/>
        <v>59080</v>
      </c>
      <c r="W185" s="33">
        <f t="shared" si="602"/>
        <v>69030</v>
      </c>
      <c r="X185" s="33">
        <f t="shared" ref="X185:AA185" si="603">X119</f>
        <v>65045</v>
      </c>
      <c r="Y185" s="33">
        <f t="shared" si="603"/>
        <v>66073</v>
      </c>
      <c r="Z185" s="33">
        <f t="shared" si="603"/>
        <v>72941</v>
      </c>
      <c r="AA185" s="33">
        <f t="shared" si="603"/>
        <v>69858</v>
      </c>
      <c r="AB185" s="33">
        <f t="shared" ref="AB185:AE185" si="604">AB119</f>
        <v>68431</v>
      </c>
      <c r="AC185" s="33">
        <f t="shared" si="604"/>
        <v>69979</v>
      </c>
      <c r="AD185" s="33">
        <f t="shared" si="604"/>
        <v>86190</v>
      </c>
      <c r="AE185" s="33">
        <f t="shared" si="604"/>
        <v>87998</v>
      </c>
      <c r="AF185" s="33">
        <f t="shared" ref="AF185:AI185" si="605">AF119</f>
        <v>89768</v>
      </c>
      <c r="AG185" s="33">
        <f t="shared" si="605"/>
        <v>87432</v>
      </c>
      <c r="AH185" s="33">
        <f t="shared" si="605"/>
        <v>100792</v>
      </c>
      <c r="AI185" s="33">
        <f t="shared" si="605"/>
        <v>112089</v>
      </c>
      <c r="AJ185" s="33">
        <f t="shared" ref="AJ185:AL185" si="606">AJ119</f>
        <v>107105</v>
      </c>
      <c r="AK185" s="33">
        <f t="shared" si="606"/>
        <v>108020</v>
      </c>
      <c r="AL185" s="33"/>
    </row>
    <row r="186" spans="2:38">
      <c r="B186" s="21" t="str">
        <f>+B120</f>
        <v>Total Cash and cash equivalents</v>
      </c>
      <c r="C186" s="30">
        <f t="shared" si="597"/>
        <v>36298.019999999997</v>
      </c>
      <c r="D186" s="30">
        <f t="shared" si="597"/>
        <v>61574.197</v>
      </c>
      <c r="E186" s="30">
        <f t="shared" si="597"/>
        <v>146661.967</v>
      </c>
      <c r="F186" s="30">
        <f t="shared" ref="F186:G186" si="607">F120</f>
        <v>185330.74900000001</v>
      </c>
      <c r="G186" s="30">
        <f t="shared" si="607"/>
        <v>219956</v>
      </c>
      <c r="H186" s="30">
        <f t="shared" ref="H186:I186" si="608">H120</f>
        <v>190146</v>
      </c>
      <c r="I186" s="30">
        <f t="shared" si="608"/>
        <v>233995</v>
      </c>
      <c r="J186" s="30">
        <f t="shared" ref="J186" si="609">J120</f>
        <v>213232</v>
      </c>
      <c r="K186" s="30"/>
      <c r="L186" s="50"/>
      <c r="M186" s="30">
        <f t="shared" si="601"/>
        <v>72893.899000000005</v>
      </c>
      <c r="N186" s="30">
        <f t="shared" si="601"/>
        <v>120302.28399999999</v>
      </c>
      <c r="O186" s="30">
        <f t="shared" si="601"/>
        <v>121515.19900000001</v>
      </c>
      <c r="P186" s="30">
        <f t="shared" si="601"/>
        <v>207239.07699999999</v>
      </c>
      <c r="Q186" s="30">
        <f t="shared" si="601"/>
        <v>134878.66200000001</v>
      </c>
      <c r="R186" s="30">
        <f t="shared" si="601"/>
        <v>172799.61300000001</v>
      </c>
      <c r="S186" s="30">
        <f t="shared" si="601"/>
        <v>190344.58199999999</v>
      </c>
      <c r="T186" s="30">
        <f t="shared" ref="T186:W186" si="610">T120</f>
        <v>299894.967</v>
      </c>
      <c r="U186" s="30">
        <f t="shared" si="610"/>
        <v>180559</v>
      </c>
      <c r="V186" s="30">
        <f t="shared" si="610"/>
        <v>201044</v>
      </c>
      <c r="W186" s="30">
        <f t="shared" si="610"/>
        <v>211805</v>
      </c>
      <c r="X186" s="30">
        <f t="shared" ref="X186:AA186" si="611">X120</f>
        <v>361051</v>
      </c>
      <c r="Y186" s="30">
        <f t="shared" si="611"/>
        <v>196813</v>
      </c>
      <c r="Z186" s="30">
        <f t="shared" si="611"/>
        <v>235121</v>
      </c>
      <c r="AA186" s="30">
        <f t="shared" si="611"/>
        <v>242353</v>
      </c>
      <c r="AB186" s="30">
        <f t="shared" ref="AB186:AE186" si="612">AB120</f>
        <v>308400</v>
      </c>
      <c r="AC186" s="30">
        <f t="shared" si="612"/>
        <v>171997</v>
      </c>
      <c r="AD186" s="30">
        <f t="shared" si="612"/>
        <v>201902</v>
      </c>
      <c r="AE186" s="30">
        <f t="shared" si="612"/>
        <v>190893</v>
      </c>
      <c r="AF186" s="30">
        <f t="shared" ref="AF186:AI186" si="613">AF120</f>
        <v>359640</v>
      </c>
      <c r="AG186" s="30">
        <f t="shared" si="613"/>
        <v>194163</v>
      </c>
      <c r="AH186" s="30">
        <f t="shared" si="613"/>
        <v>213838</v>
      </c>
      <c r="AI186" s="30">
        <f t="shared" si="613"/>
        <v>198272</v>
      </c>
      <c r="AJ186" s="30">
        <f t="shared" ref="AJ186:AL186" si="614">AJ120</f>
        <v>213232</v>
      </c>
      <c r="AK186" s="30">
        <f t="shared" si="614"/>
        <v>202133</v>
      </c>
      <c r="AL186" s="30"/>
    </row>
    <row r="187" spans="2:38" s="26" customFormat="1" ht="13.5" thickBot="1">
      <c r="B187" s="32" t="str">
        <f>+B123</f>
        <v xml:space="preserve">Net debt </v>
      </c>
      <c r="C187" s="31">
        <f t="shared" ref="C187:E187" si="615">C123</f>
        <v>-26276.172999999995</v>
      </c>
      <c r="D187" s="31">
        <f t="shared" si="615"/>
        <v>-42805.771000000001</v>
      </c>
      <c r="E187" s="31">
        <f t="shared" si="615"/>
        <v>-115107.83300000001</v>
      </c>
      <c r="F187" s="31">
        <f t="shared" ref="F187:G187" si="616">F123</f>
        <v>-151191.47899999999</v>
      </c>
      <c r="G187" s="31">
        <f t="shared" si="616"/>
        <v>-154911</v>
      </c>
      <c r="H187" s="31">
        <f t="shared" ref="H187:I187" si="617">H123</f>
        <v>-121715</v>
      </c>
      <c r="I187" s="31">
        <f t="shared" si="617"/>
        <v>-144227</v>
      </c>
      <c r="J187" s="31">
        <f t="shared" ref="J187" si="618">J123</f>
        <v>-106127</v>
      </c>
      <c r="K187" s="31"/>
      <c r="L187" s="50"/>
      <c r="M187" s="31">
        <f t="shared" ref="M187:P187" si="619">M123</f>
        <v>-38428.078000000001</v>
      </c>
      <c r="N187" s="31">
        <f t="shared" si="619"/>
        <v>-82788.40399999998</v>
      </c>
      <c r="O187" s="31">
        <f t="shared" si="619"/>
        <v>-87546.977000000014</v>
      </c>
      <c r="P187" s="31">
        <f t="shared" si="619"/>
        <v>-175684.943</v>
      </c>
      <c r="Q187" s="31">
        <f t="shared" ref="Q187:T187" si="620">Q123</f>
        <v>-102029.91200000001</v>
      </c>
      <c r="R187" s="31">
        <f t="shared" si="620"/>
        <v>-142292.81300000002</v>
      </c>
      <c r="S187" s="31">
        <f t="shared" si="620"/>
        <v>-152736.94099999999</v>
      </c>
      <c r="T187" s="31">
        <f t="shared" si="620"/>
        <v>-265755.69699999999</v>
      </c>
      <c r="U187" s="31">
        <f t="shared" ref="U187:X187" si="621">U123</f>
        <v>-127406</v>
      </c>
      <c r="V187" s="31">
        <f t="shared" si="621"/>
        <v>-141964</v>
      </c>
      <c r="W187" s="31">
        <f t="shared" si="621"/>
        <v>-142775</v>
      </c>
      <c r="X187" s="31">
        <f t="shared" si="621"/>
        <v>-296006</v>
      </c>
      <c r="Y187" s="31">
        <f t="shared" ref="Y187:AB187" si="622">Y123</f>
        <v>-130740</v>
      </c>
      <c r="Z187" s="31">
        <f t="shared" si="622"/>
        <v>-162180</v>
      </c>
      <c r="AA187" s="31">
        <f t="shared" si="622"/>
        <v>-172495</v>
      </c>
      <c r="AB187" s="31">
        <f t="shared" si="622"/>
        <v>-239969</v>
      </c>
      <c r="AC187" s="31">
        <f t="shared" ref="AC187:AF187" si="623">AC123</f>
        <v>-102018</v>
      </c>
      <c r="AD187" s="31">
        <f t="shared" si="623"/>
        <v>-115712</v>
      </c>
      <c r="AE187" s="31">
        <f t="shared" si="623"/>
        <v>-102895</v>
      </c>
      <c r="AF187" s="31">
        <f t="shared" si="623"/>
        <v>-269872</v>
      </c>
      <c r="AG187" s="31">
        <f t="shared" ref="AG187:AJ187" si="624">AG123</f>
        <v>-106731</v>
      </c>
      <c r="AH187" s="31">
        <f t="shared" si="624"/>
        <v>-113046</v>
      </c>
      <c r="AI187" s="31">
        <f t="shared" si="624"/>
        <v>-86183</v>
      </c>
      <c r="AJ187" s="31">
        <f t="shared" si="624"/>
        <v>-106127</v>
      </c>
      <c r="AK187" s="31">
        <f t="shared" ref="AK187:AL187" si="625">AK123</f>
        <v>-94113</v>
      </c>
      <c r="AL187" s="31"/>
    </row>
    <row r="188" spans="2:38" ht="13.5" thickTop="1">
      <c r="C188" s="25"/>
      <c r="D188" s="25"/>
      <c r="E188" s="25"/>
      <c r="F188" s="25"/>
      <c r="G188" s="25"/>
      <c r="H188" s="25"/>
      <c r="I188" s="25"/>
      <c r="J188" s="25"/>
      <c r="K188" s="25"/>
      <c r="L188" s="50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pans="2:38">
      <c r="B189" s="26" t="str">
        <f t="shared" ref="B189:F189" si="626">B125</f>
        <v>Company reported net debt</v>
      </c>
      <c r="C189" s="48">
        <f t="shared" si="626"/>
        <v>-26276.172999999995</v>
      </c>
      <c r="D189" s="48">
        <f t="shared" si="626"/>
        <v>-42805.771000000001</v>
      </c>
      <c r="E189" s="48">
        <f t="shared" si="626"/>
        <v>-115107.83300000001</v>
      </c>
      <c r="F189" s="48">
        <f t="shared" si="626"/>
        <v>-151191.47899999999</v>
      </c>
      <c r="G189" s="48">
        <f t="shared" ref="G189:H189" si="627">G125</f>
        <v>-154911</v>
      </c>
      <c r="H189" s="48">
        <f t="shared" si="627"/>
        <v>-121715</v>
      </c>
      <c r="I189" s="48">
        <f t="shared" ref="I189:J189" si="628">I125</f>
        <v>-144227</v>
      </c>
      <c r="J189" s="48">
        <f t="shared" si="628"/>
        <v>-106127</v>
      </c>
      <c r="K189" s="48"/>
      <c r="L189" s="50"/>
      <c r="M189" s="48">
        <f t="shared" ref="M189:P189" si="629">M125</f>
        <v>-38428.078000000001</v>
      </c>
      <c r="N189" s="48">
        <f t="shared" si="629"/>
        <v>-82788.40399999998</v>
      </c>
      <c r="O189" s="48">
        <f t="shared" si="629"/>
        <v>-87546.977000000014</v>
      </c>
      <c r="P189" s="48">
        <f t="shared" si="629"/>
        <v>-115107.83300000001</v>
      </c>
      <c r="Q189" s="48">
        <f t="shared" ref="Q189:T189" si="630">Q125</f>
        <v>-102029.91200000001</v>
      </c>
      <c r="R189" s="48">
        <f t="shared" si="630"/>
        <v>-142292.81300000002</v>
      </c>
      <c r="S189" s="48">
        <f t="shared" si="630"/>
        <v>-152736.94099999999</v>
      </c>
      <c r="T189" s="48">
        <f t="shared" si="630"/>
        <v>-151191.47899999999</v>
      </c>
      <c r="U189" s="48">
        <f t="shared" ref="U189:X189" si="631">U125</f>
        <v>-127406</v>
      </c>
      <c r="V189" s="48">
        <f t="shared" si="631"/>
        <v>-141964</v>
      </c>
      <c r="W189" s="48">
        <f t="shared" si="631"/>
        <v>-142775</v>
      </c>
      <c r="X189" s="48">
        <f t="shared" si="631"/>
        <v>-154911</v>
      </c>
      <c r="Y189" s="48">
        <f t="shared" ref="Y189:AB189" si="632">Y125</f>
        <v>-130740</v>
      </c>
      <c r="Z189" s="48">
        <f t="shared" si="632"/>
        <v>-162180</v>
      </c>
      <c r="AA189" s="48">
        <f t="shared" si="632"/>
        <v>-172495</v>
      </c>
      <c r="AB189" s="48">
        <f t="shared" si="632"/>
        <v>-121715</v>
      </c>
      <c r="AC189" s="48">
        <f t="shared" ref="AC189:AF189" si="633">AC125</f>
        <v>-102018</v>
      </c>
      <c r="AD189" s="48">
        <f t="shared" si="633"/>
        <v>-115712</v>
      </c>
      <c r="AE189" s="48">
        <f t="shared" si="633"/>
        <v>-102895</v>
      </c>
      <c r="AF189" s="48">
        <f t="shared" si="633"/>
        <v>-144227</v>
      </c>
      <c r="AG189" s="48">
        <f t="shared" ref="AG189:AJ189" si="634">AG125</f>
        <v>-106731</v>
      </c>
      <c r="AH189" s="48">
        <f t="shared" si="634"/>
        <v>-113046</v>
      </c>
      <c r="AI189" s="48">
        <f t="shared" si="634"/>
        <v>-86183</v>
      </c>
      <c r="AJ189" s="48">
        <f t="shared" si="634"/>
        <v>-106127</v>
      </c>
      <c r="AK189" s="48">
        <f t="shared" ref="AK189:AL189" si="635">AK125</f>
        <v>-94113</v>
      </c>
      <c r="AL189" s="48"/>
    </row>
    <row r="190" spans="2:38">
      <c r="C190" s="25"/>
      <c r="D190" s="25"/>
      <c r="E190" s="25"/>
      <c r="F190" s="25"/>
      <c r="G190" s="25"/>
      <c r="H190" s="25"/>
      <c r="I190" s="25"/>
      <c r="J190" s="25"/>
      <c r="K190" s="25"/>
      <c r="L190" s="50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pans="2:38">
      <c r="B191" s="26" t="str">
        <f>+B131</f>
        <v>Net Leverage excluding lease obligations</v>
      </c>
      <c r="C191" s="28" t="str">
        <f t="shared" ref="C191:E192" si="636">C131</f>
        <v>net cash</v>
      </c>
      <c r="D191" s="28" t="str">
        <f t="shared" si="636"/>
        <v>net cash</v>
      </c>
      <c r="E191" s="28" t="str">
        <f t="shared" si="636"/>
        <v>net cash</v>
      </c>
      <c r="F191" s="28" t="str">
        <f t="shared" ref="F191:G191" si="637">F131</f>
        <v>net cash</v>
      </c>
      <c r="G191" s="28" t="str">
        <f t="shared" si="637"/>
        <v>net cash</v>
      </c>
      <c r="H191" s="28" t="str">
        <f t="shared" ref="H191:I191" si="638">H131</f>
        <v>net cash</v>
      </c>
      <c r="I191" s="28" t="str">
        <f t="shared" si="638"/>
        <v>net cash</v>
      </c>
      <c r="J191" s="28" t="str">
        <f t="shared" ref="J191" si="639">J131</f>
        <v>net cash</v>
      </c>
      <c r="K191" s="28"/>
      <c r="L191" s="50"/>
      <c r="M191" s="119"/>
      <c r="N191" s="119"/>
      <c r="O191" s="119"/>
      <c r="P191" s="28" t="str">
        <f t="shared" ref="P191:P192" si="640">P131</f>
        <v>net cash</v>
      </c>
      <c r="Q191" s="28" t="str">
        <f t="shared" ref="Q191:W192" si="641">Q131</f>
        <v>net cash</v>
      </c>
      <c r="R191" s="28" t="str">
        <f t="shared" si="641"/>
        <v>net cash</v>
      </c>
      <c r="S191" s="28" t="str">
        <f t="shared" si="641"/>
        <v>net cash</v>
      </c>
      <c r="T191" s="28" t="str">
        <f t="shared" si="641"/>
        <v>net cash</v>
      </c>
      <c r="U191" s="28" t="str">
        <f t="shared" ref="U191:X191" si="642">U131</f>
        <v>net cash</v>
      </c>
      <c r="V191" s="28" t="str">
        <f t="shared" si="642"/>
        <v>net cash</v>
      </c>
      <c r="W191" s="28" t="str">
        <f t="shared" si="642"/>
        <v>net cash</v>
      </c>
      <c r="X191" s="28" t="str">
        <f t="shared" si="642"/>
        <v>net cash</v>
      </c>
      <c r="Y191" s="28" t="str">
        <f t="shared" ref="Y191:AB191" si="643">Y131</f>
        <v>net cash</v>
      </c>
      <c r="Z191" s="28" t="str">
        <f t="shared" si="643"/>
        <v>net cash</v>
      </c>
      <c r="AA191" s="28" t="str">
        <f t="shared" si="643"/>
        <v>net cash</v>
      </c>
      <c r="AB191" s="28" t="str">
        <f t="shared" si="643"/>
        <v>net cash</v>
      </c>
      <c r="AC191" s="28" t="str">
        <f t="shared" ref="AC191:AF191" si="644">AC131</f>
        <v>net cash</v>
      </c>
      <c r="AD191" s="28" t="str">
        <f t="shared" si="644"/>
        <v>net cash</v>
      </c>
      <c r="AE191" s="28" t="str">
        <f t="shared" si="644"/>
        <v>net cash</v>
      </c>
      <c r="AF191" s="28" t="str">
        <f t="shared" si="644"/>
        <v>net cash</v>
      </c>
      <c r="AG191" s="28" t="str">
        <f t="shared" ref="AG191:AJ191" si="645">AG131</f>
        <v>net cash</v>
      </c>
      <c r="AH191" s="28" t="str">
        <f t="shared" si="645"/>
        <v>net cash</v>
      </c>
      <c r="AI191" s="28" t="str">
        <f t="shared" si="645"/>
        <v>net cash</v>
      </c>
      <c r="AJ191" s="28" t="str">
        <f t="shared" si="645"/>
        <v>net cash</v>
      </c>
      <c r="AK191" s="28" t="str">
        <f t="shared" ref="AK191:AL191" si="646">AK131</f>
        <v>net cash</v>
      </c>
      <c r="AL191" s="28"/>
    </row>
    <row r="192" spans="2:38">
      <c r="B192" s="21" t="str">
        <f>+B132</f>
        <v>Gross Leverage  excluding lease obligations</v>
      </c>
      <c r="C192" s="29">
        <f t="shared" si="636"/>
        <v>1.7684693789140244</v>
      </c>
      <c r="D192" s="29">
        <f t="shared" si="636"/>
        <v>0.72780875505149101</v>
      </c>
      <c r="E192" s="29">
        <f t="shared" si="636"/>
        <v>0.76352935607310646</v>
      </c>
      <c r="F192" s="29">
        <f t="shared" ref="F192:G192" si="647">F132</f>
        <v>0.73503257177714076</v>
      </c>
      <c r="G192" s="29">
        <f t="shared" si="647"/>
        <v>1.261204690197012</v>
      </c>
      <c r="H192" s="29">
        <f t="shared" ref="H192:I192" si="648">H132</f>
        <v>1.1071327617073401</v>
      </c>
      <c r="I192" s="29">
        <f t="shared" si="648"/>
        <v>1.2336729387747241</v>
      </c>
      <c r="J192" s="29">
        <f t="shared" ref="J192" si="649">J132</f>
        <v>4.0339075447012647</v>
      </c>
      <c r="K192" s="29"/>
      <c r="L192" s="50"/>
      <c r="M192" s="119"/>
      <c r="N192" s="119"/>
      <c r="O192" s="119"/>
      <c r="P192" s="29">
        <f t="shared" si="640"/>
        <v>0.76352935607310646</v>
      </c>
      <c r="Q192" s="29">
        <f t="shared" ref="Q192:S192" si="650">Q132</f>
        <v>0.80189748437181474</v>
      </c>
      <c r="R192" s="29">
        <f t="shared" si="650"/>
        <v>0.72267349101911382</v>
      </c>
      <c r="S192" s="29">
        <f t="shared" si="650"/>
        <v>1.1339686424603923</v>
      </c>
      <c r="T192" s="29">
        <f t="shared" si="641"/>
        <v>0.73503257177714076</v>
      </c>
      <c r="U192" s="29">
        <f t="shared" si="641"/>
        <v>1.6513932117959684</v>
      </c>
      <c r="V192" s="29">
        <f t="shared" si="641"/>
        <v>1.6510368397883501</v>
      </c>
      <c r="W192" s="29">
        <f t="shared" si="641"/>
        <v>1.6146729214268958</v>
      </c>
      <c r="X192" s="29">
        <f t="shared" ref="X192:AA192" si="651">X132</f>
        <v>1.261204690197012</v>
      </c>
      <c r="Y192" s="29">
        <f t="shared" si="651"/>
        <v>1.1776967733225328</v>
      </c>
      <c r="Z192" s="29">
        <f t="shared" si="651"/>
        <v>1.2422074857809899</v>
      </c>
      <c r="AA192" s="29">
        <f t="shared" si="651"/>
        <v>1.1149463887356377</v>
      </c>
      <c r="AB192" s="29">
        <f t="shared" ref="AB192:AE192" si="652">AB132</f>
        <v>1.1071327617073401</v>
      </c>
      <c r="AC192" s="29">
        <f t="shared" si="652"/>
        <v>1.0941015089163237</v>
      </c>
      <c r="AD192" s="29">
        <f t="shared" si="652"/>
        <v>1.3310431647001089</v>
      </c>
      <c r="AE192" s="29">
        <f t="shared" si="652"/>
        <v>1.2950973397207217</v>
      </c>
      <c r="AF192" s="29">
        <f t="shared" ref="AF192:AI192" si="653">AF132</f>
        <v>1.2336729387747241</v>
      </c>
      <c r="AG192" s="29">
        <f t="shared" si="653"/>
        <v>1.1028848608629054</v>
      </c>
      <c r="AH192" s="29">
        <f t="shared" si="653"/>
        <v>1.6211208161238631</v>
      </c>
      <c r="AI192" s="29">
        <f t="shared" si="653"/>
        <v>2.541992680464412</v>
      </c>
      <c r="AJ192" s="29">
        <f t="shared" ref="AJ192:AL192" si="654">AJ132</f>
        <v>4.0339075447012647</v>
      </c>
      <c r="AK192" s="29">
        <f t="shared" si="654"/>
        <v>5.8759083728278041</v>
      </c>
      <c r="AL192" s="29"/>
    </row>
    <row r="193" spans="2:38">
      <c r="C193" s="25"/>
      <c r="D193" s="25"/>
      <c r="E193" s="25"/>
      <c r="F193" s="25"/>
      <c r="G193" s="25"/>
      <c r="H193" s="25"/>
      <c r="I193" s="25"/>
      <c r="J193" s="25"/>
      <c r="K193" s="25"/>
      <c r="L193" s="50"/>
      <c r="M193" s="119"/>
      <c r="N193" s="119"/>
      <c r="O193" s="119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pans="2:38" s="26" customFormat="1">
      <c r="B194" s="26" t="str">
        <f>+B134</f>
        <v>Net Leverage including lease obligations</v>
      </c>
      <c r="C194" s="28" t="str">
        <f t="shared" ref="C194:E195" si="655">C134</f>
        <v>net cash</v>
      </c>
      <c r="D194" s="28" t="str">
        <f t="shared" si="655"/>
        <v>net cash</v>
      </c>
      <c r="E194" s="28" t="str">
        <f t="shared" si="655"/>
        <v>net cash</v>
      </c>
      <c r="F194" s="28" t="str">
        <f t="shared" ref="F194:G194" si="656">F134</f>
        <v>net cash</v>
      </c>
      <c r="G194" s="28" t="str">
        <f t="shared" si="656"/>
        <v>net cash</v>
      </c>
      <c r="H194" s="28" t="str">
        <f t="shared" ref="H194:I194" si="657">H134</f>
        <v>net cash</v>
      </c>
      <c r="I194" s="28" t="str">
        <f t="shared" si="657"/>
        <v>net cash</v>
      </c>
      <c r="J194" s="28" t="str">
        <f t="shared" ref="J194" si="658">J134</f>
        <v>net cash</v>
      </c>
      <c r="K194" s="28"/>
      <c r="L194" s="50"/>
      <c r="M194" s="119"/>
      <c r="N194" s="119"/>
      <c r="O194" s="119"/>
      <c r="P194" s="28" t="str">
        <f t="shared" ref="P194:P195" si="659">P134</f>
        <v>net cash</v>
      </c>
      <c r="Q194" s="28" t="str">
        <f t="shared" ref="Q194:W195" si="660">Q134</f>
        <v>net cash</v>
      </c>
      <c r="R194" s="28" t="str">
        <f t="shared" si="660"/>
        <v>net cash</v>
      </c>
      <c r="S194" s="28" t="str">
        <f t="shared" si="660"/>
        <v>net cash</v>
      </c>
      <c r="T194" s="28" t="str">
        <f t="shared" si="660"/>
        <v>net cash</v>
      </c>
      <c r="U194" s="28" t="str">
        <f t="shared" ref="U194:X194" si="661">U134</f>
        <v>net cash</v>
      </c>
      <c r="V194" s="28" t="str">
        <f t="shared" si="661"/>
        <v>net cash</v>
      </c>
      <c r="W194" s="28" t="str">
        <f t="shared" si="661"/>
        <v>net cash</v>
      </c>
      <c r="X194" s="28" t="str">
        <f t="shared" si="661"/>
        <v>net cash</v>
      </c>
      <c r="Y194" s="28" t="str">
        <f t="shared" ref="Y194:AB194" si="662">Y134</f>
        <v>net cash</v>
      </c>
      <c r="Z194" s="28" t="str">
        <f t="shared" si="662"/>
        <v>net cash</v>
      </c>
      <c r="AA194" s="28" t="str">
        <f t="shared" si="662"/>
        <v>net cash</v>
      </c>
      <c r="AB194" s="28" t="str">
        <f t="shared" si="662"/>
        <v>net cash</v>
      </c>
      <c r="AC194" s="28" t="str">
        <f t="shared" ref="AC194:AF194" si="663">AC134</f>
        <v>net cash</v>
      </c>
      <c r="AD194" s="28" t="str">
        <f t="shared" si="663"/>
        <v>net cash</v>
      </c>
      <c r="AE194" s="28" t="str">
        <f t="shared" si="663"/>
        <v>net cash</v>
      </c>
      <c r="AF194" s="28" t="str">
        <f t="shared" si="663"/>
        <v>net cash</v>
      </c>
      <c r="AG194" s="28" t="str">
        <f t="shared" ref="AG194:AJ194" si="664">AG134</f>
        <v>net cash</v>
      </c>
      <c r="AH194" s="28" t="str">
        <f t="shared" si="664"/>
        <v>net cash</v>
      </c>
      <c r="AI194" s="28" t="str">
        <f t="shared" si="664"/>
        <v>net cash</v>
      </c>
      <c r="AJ194" s="28" t="str">
        <f t="shared" si="664"/>
        <v>net cash</v>
      </c>
      <c r="AK194" s="28" t="str">
        <f t="shared" ref="AK194:AL194" si="665">AK134</f>
        <v>net cash</v>
      </c>
      <c r="AL194" s="28"/>
    </row>
    <row r="195" spans="2:38">
      <c r="B195" s="21" t="str">
        <f>+B135</f>
        <v>Gross Leverage  including lease obligations</v>
      </c>
      <c r="C195" s="29">
        <f t="shared" si="655"/>
        <v>1.7684693789140244</v>
      </c>
      <c r="D195" s="29">
        <f t="shared" si="655"/>
        <v>1.3589455841099654</v>
      </c>
      <c r="E195" s="29">
        <f t="shared" si="655"/>
        <v>1.5257458239328516</v>
      </c>
      <c r="F195" s="29">
        <f t="shared" ref="F195:G195" si="666">F135</f>
        <v>1.8244978328414281</v>
      </c>
      <c r="G195" s="29">
        <f t="shared" si="666"/>
        <v>1.9357478721504673</v>
      </c>
      <c r="H195" s="29">
        <f t="shared" ref="H195:I195" si="667">H135</f>
        <v>1.6119617450296806</v>
      </c>
      <c r="I195" s="29">
        <f t="shared" si="667"/>
        <v>1.7288677464707356</v>
      </c>
      <c r="J195" s="29">
        <f t="shared" ref="J195" si="668">J135</f>
        <v>5.8386938508504143</v>
      </c>
      <c r="K195" s="29"/>
      <c r="L195" s="50"/>
      <c r="M195" s="119"/>
      <c r="N195" s="119"/>
      <c r="O195" s="119"/>
      <c r="P195" s="29">
        <f t="shared" si="659"/>
        <v>1.5257458239328516</v>
      </c>
      <c r="Q195" s="29">
        <f t="shared" ref="Q195:S195" si="669">Q135</f>
        <v>1.5563276792821501</v>
      </c>
      <c r="R195" s="29">
        <f t="shared" si="669"/>
        <v>1.699262868114068</v>
      </c>
      <c r="S195" s="29">
        <f t="shared" si="669"/>
        <v>2.1846748083874705</v>
      </c>
      <c r="T195" s="29">
        <f t="shared" si="660"/>
        <v>1.8244978328414281</v>
      </c>
      <c r="U195" s="29">
        <f t="shared" si="660"/>
        <v>2.6793804452561387</v>
      </c>
      <c r="V195" s="29">
        <f t="shared" si="660"/>
        <v>2.5393293024417707</v>
      </c>
      <c r="W195" s="29">
        <f t="shared" si="660"/>
        <v>2.3914023421677917</v>
      </c>
      <c r="X195" s="29">
        <f t="shared" ref="X195:AA195" si="670">X135</f>
        <v>1.9357478721504673</v>
      </c>
      <c r="Y195" s="29">
        <f t="shared" si="670"/>
        <v>1.7840691238018092</v>
      </c>
      <c r="Z195" s="29">
        <f t="shared" si="670"/>
        <v>1.8116136403149294</v>
      </c>
      <c r="AA195" s="29">
        <f t="shared" si="670"/>
        <v>1.6756938281081339</v>
      </c>
      <c r="AB195" s="29">
        <f t="shared" ref="AB195:AE195" si="671">AB135</f>
        <v>1.6119617450296806</v>
      </c>
      <c r="AC195" s="29">
        <f t="shared" si="671"/>
        <v>1.5998856881572932</v>
      </c>
      <c r="AD195" s="29">
        <f t="shared" si="671"/>
        <v>1.8390338617790769</v>
      </c>
      <c r="AE195" s="29">
        <f t="shared" si="671"/>
        <v>1.7938640301702171</v>
      </c>
      <c r="AF195" s="29">
        <f t="shared" ref="AF195:AI195" si="672">AF135</f>
        <v>1.7288677464707356</v>
      </c>
      <c r="AG195" s="29">
        <f t="shared" si="672"/>
        <v>1.5943688683030015</v>
      </c>
      <c r="AH195" s="29">
        <f t="shared" si="672"/>
        <v>2.2748549890536482</v>
      </c>
      <c r="AI195" s="29">
        <f t="shared" si="672"/>
        <v>3.5363768298838969</v>
      </c>
      <c r="AJ195" s="29">
        <f t="shared" ref="AJ195:AL195" si="673">AJ135</f>
        <v>5.8386938508504143</v>
      </c>
      <c r="AK195" s="29">
        <f t="shared" si="673"/>
        <v>8.5323854660347553</v>
      </c>
      <c r="AL195" s="29"/>
    </row>
    <row r="196" spans="2:38">
      <c r="C196" s="29"/>
      <c r="D196" s="29"/>
      <c r="E196" s="29"/>
      <c r="F196" s="29"/>
      <c r="G196" s="29"/>
      <c r="H196" s="29"/>
      <c r="I196" s="29"/>
      <c r="J196" s="29"/>
      <c r="K196" s="29"/>
      <c r="L196" s="50"/>
      <c r="M196" s="119"/>
      <c r="N196" s="119"/>
      <c r="O196" s="11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 spans="2:38">
      <c r="B197" s="26" t="str">
        <f>+B137</f>
        <v>Company reported net leverage</v>
      </c>
      <c r="C197" s="28">
        <f t="shared" ref="C197:G197" si="674">C137</f>
        <v>-4.6367308686260582</v>
      </c>
      <c r="D197" s="28">
        <f t="shared" si="674"/>
        <v>-3.0993922172734369</v>
      </c>
      <c r="E197" s="28">
        <f t="shared" si="674"/>
        <v>-5.5658410876276978</v>
      </c>
      <c r="F197" s="28">
        <f t="shared" si="674"/>
        <v>-8.0800944419605418</v>
      </c>
      <c r="G197" s="28">
        <f t="shared" si="674"/>
        <v>-4.6101720135706206</v>
      </c>
      <c r="H197" s="28">
        <f t="shared" ref="H197:I197" si="675">H137</f>
        <v>-2.8671205125789125</v>
      </c>
      <c r="I197" s="28">
        <f t="shared" si="675"/>
        <v>-2.7777093003100743</v>
      </c>
      <c r="J197" s="28">
        <f t="shared" ref="J197" si="676">J137</f>
        <v>-5.7853794156127343</v>
      </c>
      <c r="K197" s="28"/>
      <c r="L197" s="50"/>
      <c r="M197" s="119"/>
      <c r="N197" s="119"/>
      <c r="O197" s="119"/>
      <c r="P197" s="28">
        <f t="shared" ref="P197:S197" si="677">P137</f>
        <v>0</v>
      </c>
      <c r="Q197" s="28">
        <f t="shared" si="677"/>
        <v>-4.8340340548825145</v>
      </c>
      <c r="R197" s="28">
        <f t="shared" si="677"/>
        <v>-7.9258687745158056</v>
      </c>
      <c r="S197" s="28">
        <f t="shared" si="677"/>
        <v>-8.8726795523511655</v>
      </c>
      <c r="T197" s="28">
        <f t="shared" ref="T197:W197" si="678">T137</f>
        <v>-8.0800944419605418</v>
      </c>
      <c r="U197" s="28">
        <f t="shared" si="678"/>
        <v>-6.4223871655090701</v>
      </c>
      <c r="V197" s="28">
        <f t="shared" si="678"/>
        <v>-6.1017830922790033</v>
      </c>
      <c r="W197" s="28">
        <f t="shared" si="678"/>
        <v>-4.9461461596842895</v>
      </c>
      <c r="X197" s="28">
        <f t="shared" ref="X197:AA197" si="679">X137</f>
        <v>-4.6101720135706206</v>
      </c>
      <c r="Y197" s="28">
        <f t="shared" si="679"/>
        <v>-3.530174159578777</v>
      </c>
      <c r="Z197" s="28">
        <f t="shared" si="679"/>
        <v>-4.0280157961403766</v>
      </c>
      <c r="AA197" s="28">
        <f t="shared" si="679"/>
        <v>-4.1376622130538028</v>
      </c>
      <c r="AB197" s="28">
        <f t="shared" ref="AB197:AE197" si="680">AB137</f>
        <v>-2.8671205125789125</v>
      </c>
      <c r="AC197" s="28">
        <f t="shared" si="680"/>
        <v>-2.3323731138545951</v>
      </c>
      <c r="AD197" s="28">
        <f t="shared" si="680"/>
        <v>-2.468944033114985</v>
      </c>
      <c r="AE197" s="28">
        <f t="shared" si="680"/>
        <v>-2.0975435735399044</v>
      </c>
      <c r="AF197" s="28">
        <f t="shared" ref="AF197:AI197" si="681">AF137</f>
        <v>-2.7777093003100743</v>
      </c>
      <c r="AG197" s="28">
        <f t="shared" si="681"/>
        <v>-1.9462963638352966</v>
      </c>
      <c r="AH197" s="28">
        <f t="shared" si="681"/>
        <v>-2.5514252826867088</v>
      </c>
      <c r="AI197" s="28">
        <f t="shared" si="681"/>
        <v>-2.7190497223624432</v>
      </c>
      <c r="AJ197" s="28">
        <f t="shared" ref="AJ197:AL197" si="682">AJ137</f>
        <v>-5.7853794156127343</v>
      </c>
      <c r="AK197" s="28">
        <f t="shared" si="682"/>
        <v>-7.433886255924171</v>
      </c>
      <c r="AL197" s="28"/>
    </row>
    <row r="198" spans="2:38">
      <c r="C198" s="29"/>
      <c r="D198" s="29"/>
      <c r="E198" s="29"/>
      <c r="F198" s="29"/>
      <c r="G198" s="29"/>
      <c r="H198" s="29"/>
      <c r="I198" s="29"/>
      <c r="J198" s="29"/>
      <c r="K198" s="29"/>
      <c r="L198" s="50"/>
      <c r="M198" s="119"/>
      <c r="N198" s="119"/>
      <c r="O198" s="11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 spans="2:38">
      <c r="B199" s="21" t="str">
        <f>+B139</f>
        <v>EBITDA - Capex / Interest</v>
      </c>
      <c r="C199" s="29">
        <f t="shared" ref="C199:E200" si="683">C139</f>
        <v>-19.50620969753108</v>
      </c>
      <c r="D199" s="29">
        <f t="shared" si="683"/>
        <v>14.982397808929205</v>
      </c>
      <c r="E199" s="29">
        <f t="shared" si="683"/>
        <v>15.484068545746187</v>
      </c>
      <c r="F199" s="29">
        <f t="shared" ref="F199:G199" si="684">F139</f>
        <v>4.360850122850124</v>
      </c>
      <c r="G199" s="29">
        <f t="shared" si="684"/>
        <v>9.5574592561638116</v>
      </c>
      <c r="H199" s="29">
        <f t="shared" ref="H199:I199" si="685">H139</f>
        <v>11.910968660968662</v>
      </c>
      <c r="I199" s="29">
        <f t="shared" si="685"/>
        <v>16.565248738284065</v>
      </c>
      <c r="J199" s="29">
        <f t="shared" ref="J199" si="686">J139</f>
        <v>3.7719821162444114</v>
      </c>
      <c r="K199" s="119"/>
      <c r="L199" s="50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</row>
    <row r="200" spans="2:38" s="26" customFormat="1">
      <c r="B200" s="26" t="str">
        <f>+B140</f>
        <v>EBITDA/Interest</v>
      </c>
      <c r="C200" s="28">
        <f t="shared" si="683"/>
        <v>13.459595995582315</v>
      </c>
      <c r="D200" s="28">
        <f t="shared" si="683"/>
        <v>20.336643008599363</v>
      </c>
      <c r="E200" s="28">
        <f t="shared" si="683"/>
        <v>20.276960620904138</v>
      </c>
      <c r="F200" s="28">
        <f t="shared" ref="F200:G200" si="687">F140</f>
        <v>15.324814086814088</v>
      </c>
      <c r="G200" s="28">
        <f t="shared" si="687"/>
        <v>14.041788549937317</v>
      </c>
      <c r="H200" s="28">
        <f t="shared" ref="H200:I200" si="688">H140</f>
        <v>15.118233618233619</v>
      </c>
      <c r="I200" s="28">
        <f t="shared" si="688"/>
        <v>18.71773612112473</v>
      </c>
      <c r="J200" s="28">
        <f t="shared" ref="J200" si="689">J140</f>
        <v>6.834575260804769</v>
      </c>
      <c r="K200" s="119"/>
      <c r="L200" s="50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</row>
    <row r="201" spans="2:38">
      <c r="C201" s="25"/>
      <c r="D201" s="25"/>
      <c r="E201" s="25"/>
      <c r="F201" s="25"/>
      <c r="G201" s="25"/>
      <c r="H201" s="25"/>
      <c r="I201" s="25"/>
      <c r="J201" s="25"/>
      <c r="K201" s="25"/>
      <c r="L201" s="50"/>
      <c r="M201" s="119"/>
      <c r="N201" s="119"/>
      <c r="O201" s="119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pans="2:38">
      <c r="B202" s="24" t="str">
        <f t="shared" ref="B202:E202" si="690">+B142</f>
        <v xml:space="preserve">Gearing (Net debt / Equity) </v>
      </c>
      <c r="C202" s="23">
        <f t="shared" si="690"/>
        <v>-0.43169917094458288</v>
      </c>
      <c r="D202" s="23">
        <f t="shared" si="690"/>
        <v>-0.50562069879478999</v>
      </c>
      <c r="E202" s="23">
        <f t="shared" si="690"/>
        <v>-0.56291327909011712</v>
      </c>
      <c r="F202" s="23">
        <f t="shared" ref="F202:G202" si="691">+F142</f>
        <v>-0.61567011340826561</v>
      </c>
      <c r="G202" s="23">
        <f t="shared" si="691"/>
        <v>-0.56633386099666216</v>
      </c>
      <c r="H202" s="23">
        <f t="shared" ref="H202:I202" si="692">+H142</f>
        <v>-0.41152465124456494</v>
      </c>
      <c r="I202" s="23">
        <f t="shared" si="692"/>
        <v>-0.46106459769894476</v>
      </c>
      <c r="J202" s="23">
        <f t="shared" ref="J202" si="693">+J142</f>
        <v>-0.36124282208296599</v>
      </c>
      <c r="K202" s="23"/>
      <c r="L202" s="50"/>
      <c r="M202" s="120"/>
      <c r="N202" s="120"/>
      <c r="O202" s="120"/>
      <c r="P202" s="23">
        <f t="shared" ref="P202" si="694">+P142</f>
        <v>-0.85915427971691816</v>
      </c>
      <c r="Q202" s="23">
        <f t="shared" ref="Q202:T202" si="695">+Q142</f>
        <v>-0.48933027672142609</v>
      </c>
      <c r="R202" s="23">
        <f t="shared" si="695"/>
        <v>-0.57329155574026092</v>
      </c>
      <c r="S202" s="23">
        <f t="shared" si="695"/>
        <v>-0.61602680893952422</v>
      </c>
      <c r="T202" s="23">
        <f t="shared" si="695"/>
        <v>-1.0821895598420772</v>
      </c>
      <c r="U202" s="23">
        <f t="shared" ref="U202:X202" si="696">+U142</f>
        <v>-0.50037899763961058</v>
      </c>
      <c r="V202" s="23">
        <f t="shared" si="696"/>
        <v>-0.57809469526977131</v>
      </c>
      <c r="W202" s="23">
        <f t="shared" si="696"/>
        <v>-0.52772716016071142</v>
      </c>
      <c r="X202" s="23">
        <f t="shared" si="696"/>
        <v>-1.0821582770634621</v>
      </c>
      <c r="Y202" s="23">
        <f t="shared" ref="Y202:AB202" si="697">+Y142</f>
        <v>-0.47817770186494424</v>
      </c>
      <c r="Z202" s="23">
        <f t="shared" si="697"/>
        <v>-0.56568827499607599</v>
      </c>
      <c r="AA202" s="23">
        <f t="shared" si="697"/>
        <v>-0.58338209083437897</v>
      </c>
      <c r="AB202" s="23">
        <f t="shared" si="697"/>
        <v>-0.81134748415977498</v>
      </c>
      <c r="AC202" s="23">
        <f t="shared" ref="AC202:AF202" si="698">+AC142</f>
        <v>-0.35503662844316064</v>
      </c>
      <c r="AD202" s="23">
        <f t="shared" si="698"/>
        <v>-0.40271745183205254</v>
      </c>
      <c r="AE202" s="23">
        <f t="shared" si="698"/>
        <v>-0.34729675908112084</v>
      </c>
      <c r="AF202" s="23">
        <f t="shared" si="698"/>
        <v>-0.86272629334458606</v>
      </c>
      <c r="AG202" s="23">
        <f t="shared" ref="AG202:AJ202" si="699">+AG142</f>
        <v>-0.34607078934398589</v>
      </c>
      <c r="AH202" s="23">
        <f t="shared" si="699"/>
        <v>-0.3802562489698576</v>
      </c>
      <c r="AI202" s="23">
        <f t="shared" si="699"/>
        <v>-0.28310557782011692</v>
      </c>
      <c r="AJ202" s="23">
        <f t="shared" si="699"/>
        <v>-0.36124282208296599</v>
      </c>
      <c r="AK202" s="23">
        <f t="shared" ref="AK202:AL202" si="700">+AK142</f>
        <v>-0.33524382858974816</v>
      </c>
      <c r="AL202" s="23"/>
    </row>
    <row r="203" spans="2:38">
      <c r="C203" s="13"/>
      <c r="D203" s="13"/>
      <c r="E203" s="13"/>
      <c r="F203" s="13"/>
      <c r="G203" s="13"/>
      <c r="H203" s="13"/>
      <c r="I203" s="13"/>
      <c r="J203" s="13"/>
      <c r="K203" s="13"/>
      <c r="L203" s="50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2:38"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spans="2:38">
      <c r="B205" s="227" t="s">
        <v>266</v>
      </c>
      <c r="C205" s="211">
        <f>1/6.6292</f>
        <v>0.15084776443613104</v>
      </c>
      <c r="D205" s="211">
        <f>1/6.9014</f>
        <v>0.1448981366099632</v>
      </c>
      <c r="E205" s="211">
        <f>1/6.8893</f>
        <v>0.14515262798832973</v>
      </c>
      <c r="F205" s="211">
        <f>1/6.4529</f>
        <v>0.15496908366780829</v>
      </c>
      <c r="G205" s="211">
        <f>X205</f>
        <v>0.14066280312834073</v>
      </c>
      <c r="H205" s="211">
        <f>AB205</f>
        <v>0.14066280312834073</v>
      </c>
      <c r="I205" s="211">
        <f>AF205</f>
        <v>0.13906658508093675</v>
      </c>
      <c r="J205" s="211">
        <f>AVERAGE(AG205:AJ205)</f>
        <v>0.13913782073650408</v>
      </c>
      <c r="K205" s="212"/>
      <c r="L205" s="13"/>
      <c r="M205" s="211">
        <f>1/6.9769</f>
        <v>0.14333013229371211</v>
      </c>
      <c r="N205" s="211">
        <f>1/7.0849</f>
        <v>0.14114525257942948</v>
      </c>
      <c r="O205" s="211">
        <f>1/6.8705</f>
        <v>0.14554981442398662</v>
      </c>
      <c r="P205" s="211">
        <f>1/6.6226</f>
        <v>0.15099809742397244</v>
      </c>
      <c r="Q205" s="211">
        <f>1/6.4821</f>
        <v>0.15427099242529427</v>
      </c>
      <c r="R205" s="211">
        <f>1/6.4562</f>
        <v>0.15488987330008364</v>
      </c>
      <c r="S205" s="211">
        <f>1/6.4555</f>
        <v>0.15490666873208891</v>
      </c>
      <c r="T205" s="211">
        <f>1/6.6254</f>
        <v>0.15093428321308902</v>
      </c>
      <c r="U205" s="211">
        <f>1/6.3473</f>
        <v>0.15754730357789928</v>
      </c>
      <c r="V205" s="211">
        <v>0.15129999999999999</v>
      </c>
      <c r="W205" s="211">
        <f>1/6.8466</f>
        <v>0.14605789735050975</v>
      </c>
      <c r="X205" s="211">
        <f>1/7.1092</f>
        <v>0.14066280312834073</v>
      </c>
      <c r="Y205" s="211">
        <v>0.1459</v>
      </c>
      <c r="Z205" s="211">
        <v>0.14300000000000002</v>
      </c>
      <c r="AA205" s="211">
        <v>0.13750000000000001</v>
      </c>
      <c r="AB205" s="211">
        <f>1/7.1092</f>
        <v>0.14066280312834073</v>
      </c>
      <c r="AC205" s="211">
        <f>AVERAGE(0.1406,0.1397,0.139)</f>
        <v>0.13976666666666668</v>
      </c>
      <c r="AD205" s="211">
        <v>0.1381</v>
      </c>
      <c r="AE205" s="211">
        <v>0.1396</v>
      </c>
      <c r="AF205" s="211">
        <f>1/7.1908</f>
        <v>0.13906658508093675</v>
      </c>
      <c r="AG205" s="211">
        <f>1/7.2742</f>
        <v>0.13747216188721784</v>
      </c>
      <c r="AH205" s="211">
        <v>0.13830000000000001</v>
      </c>
      <c r="AI205" s="211">
        <f>1/7.1573</f>
        <v>0.13971749123272742</v>
      </c>
      <c r="AJ205" s="211">
        <f>1/7.0891</f>
        <v>0.14106162982607101</v>
      </c>
      <c r="AK205" s="211">
        <f>1/6.9244</f>
        <v>0.14441684478077521</v>
      </c>
      <c r="AL205" s="211"/>
    </row>
    <row r="206" spans="2:38">
      <c r="B206" s="227" t="s">
        <v>267</v>
      </c>
      <c r="C206" s="211">
        <f>1/6.8755</f>
        <v>0.14544396771143916</v>
      </c>
      <c r="D206" s="211">
        <f>1/6.9864</f>
        <v>0.14313523416924312</v>
      </c>
      <c r="E206" s="211">
        <f>1/6.525</f>
        <v>0.1532567049808429</v>
      </c>
      <c r="F206" s="211">
        <f>1/6.37257</f>
        <v>0.1569225602857246</v>
      </c>
      <c r="G206" s="211">
        <f>X206</f>
        <v>0.14498637128109959</v>
      </c>
      <c r="H206" s="211">
        <f>AB206</f>
        <v>0.14130000000000001</v>
      </c>
      <c r="I206" s="211">
        <f>AF206</f>
        <v>0.13699943830230296</v>
      </c>
      <c r="J206" s="211">
        <f>AJ206</f>
        <v>0.14298583010423668</v>
      </c>
      <c r="K206" s="212"/>
      <c r="L206" s="13"/>
      <c r="M206" s="211">
        <f>1/7.0986</f>
        <v>0.14087284816724424</v>
      </c>
      <c r="N206" s="211">
        <f>1/7.0794</f>
        <v>0.14125490860807413</v>
      </c>
      <c r="O206" s="211">
        <f>1/6.7896</f>
        <v>0.14728408153646755</v>
      </c>
      <c r="P206" s="211">
        <f>1/6.5208</f>
        <v>0.15335541651331125</v>
      </c>
      <c r="Q206" s="211">
        <f>1/6.5716</f>
        <v>0.15216994339278106</v>
      </c>
      <c r="R206" s="211">
        <f>1/6.4635</f>
        <v>0.15471493772723757</v>
      </c>
      <c r="S206" s="211">
        <f>1/6.4452</f>
        <v>0.15515422329795817</v>
      </c>
      <c r="T206" s="211">
        <f>1/6.37257</f>
        <v>0.1569225602857246</v>
      </c>
      <c r="U206" s="211">
        <f>1/6.3393</f>
        <v>0.15774612338901772</v>
      </c>
      <c r="V206" s="211">
        <f>1/6.4562</f>
        <v>0.15488987330008364</v>
      </c>
      <c r="W206" s="211">
        <f>1/7.1196</f>
        <v>0.14045732906343053</v>
      </c>
      <c r="X206" s="211">
        <f>1/6.8972</f>
        <v>0.14498637128109959</v>
      </c>
      <c r="Y206" s="211">
        <v>0.14549999999999999</v>
      </c>
      <c r="Z206" s="211">
        <v>0.13789999999999999</v>
      </c>
      <c r="AA206" s="211">
        <v>0.1371</v>
      </c>
      <c r="AB206" s="211">
        <v>0.14130000000000001</v>
      </c>
      <c r="AC206" s="211">
        <v>0.1381</v>
      </c>
      <c r="AD206" s="211">
        <v>0.1376</v>
      </c>
      <c r="AE206" s="211">
        <v>0.14249999999999999</v>
      </c>
      <c r="AF206" s="211">
        <f>1/7.2993</f>
        <v>0.13699943830230296</v>
      </c>
      <c r="AG206" s="211">
        <f>1/7.2567</f>
        <v>0.13780368487053343</v>
      </c>
      <c r="AH206" s="211">
        <v>0.1396</v>
      </c>
      <c r="AI206" s="211">
        <f>1/7.1196</f>
        <v>0.14045732906343053</v>
      </c>
      <c r="AJ206" s="211">
        <f>1/6.9937</f>
        <v>0.14298583010423668</v>
      </c>
      <c r="AK206" s="211">
        <f>1/6.899</f>
        <v>0.14494854326714016</v>
      </c>
      <c r="AL206" s="211"/>
    </row>
    <row r="207" spans="2:38">
      <c r="B207" s="227" t="s">
        <v>268</v>
      </c>
      <c r="C207" s="212">
        <f>C205</f>
        <v>0.15084776443613104</v>
      </c>
      <c r="D207" s="212">
        <f>D205</f>
        <v>0.1448981366099632</v>
      </c>
      <c r="E207" s="212">
        <f>E205</f>
        <v>0.14515262798832973</v>
      </c>
      <c r="F207" s="212">
        <f>F205</f>
        <v>0.15496908366780829</v>
      </c>
      <c r="G207" s="212">
        <f>X207</f>
        <v>0.14889200101418743</v>
      </c>
      <c r="H207" s="212">
        <f>AB207</f>
        <v>0.1417657007820852</v>
      </c>
      <c r="I207" s="212">
        <f>I205</f>
        <v>0.13906658508093675</v>
      </c>
      <c r="J207" s="212">
        <f>J205</f>
        <v>0.13913782073650408</v>
      </c>
      <c r="K207" s="212"/>
      <c r="L207" s="13"/>
      <c r="M207" s="212">
        <f>AVERAGE(M205:M205)</f>
        <v>0.14333013229371211</v>
      </c>
      <c r="N207" s="212">
        <f>AVERAGE(M205:N205)</f>
        <v>0.14223769243657081</v>
      </c>
      <c r="O207" s="212">
        <f>AVERAGE(M205:O205)</f>
        <v>0.14334173309904275</v>
      </c>
      <c r="P207" s="212">
        <f t="shared" ref="P207" si="701">AVERAGE(M205:P205)</f>
        <v>0.14525582418027516</v>
      </c>
      <c r="Q207" s="212">
        <f t="shared" ref="Q207" si="702">AVERAGE(N205:Q205)</f>
        <v>0.14799103921317069</v>
      </c>
      <c r="R207" s="212">
        <f t="shared" ref="R207" si="703">AVERAGE(O205:R205)</f>
        <v>0.15142719439333424</v>
      </c>
      <c r="S207" s="212">
        <f>AVERAGE(P205:S205)</f>
        <v>0.15376640797035981</v>
      </c>
      <c r="T207" s="212">
        <f t="shared" ref="T207:AL207" si="704">AVERAGE(Q205:T205)</f>
        <v>0.15375045441763896</v>
      </c>
      <c r="U207" s="212">
        <f t="shared" si="704"/>
        <v>0.1545695322057902</v>
      </c>
      <c r="V207" s="212">
        <f t="shared" si="704"/>
        <v>0.15367206388076929</v>
      </c>
      <c r="W207" s="212">
        <f>AVERAGE(T205:W205)</f>
        <v>0.1514598710353745</v>
      </c>
      <c r="X207" s="212">
        <f t="shared" si="704"/>
        <v>0.14889200101418743</v>
      </c>
      <c r="Y207" s="212">
        <f t="shared" si="704"/>
        <v>0.14598017511971262</v>
      </c>
      <c r="Z207" s="212">
        <f t="shared" si="704"/>
        <v>0.14390517511971262</v>
      </c>
      <c r="AA207" s="212">
        <f>AVERAGE(X205:AA205)</f>
        <v>0.14176570078208517</v>
      </c>
      <c r="AB207" s="212">
        <f t="shared" si="704"/>
        <v>0.1417657007820852</v>
      </c>
      <c r="AC207" s="212">
        <f t="shared" si="704"/>
        <v>0.14023236744875187</v>
      </c>
      <c r="AD207" s="212">
        <f t="shared" si="704"/>
        <v>0.13900736744875186</v>
      </c>
      <c r="AE207" s="212">
        <f>AVERAGE(AB205:AE205)</f>
        <v>0.13953236744875186</v>
      </c>
      <c r="AF207" s="212">
        <f t="shared" si="704"/>
        <v>0.13913331293690087</v>
      </c>
      <c r="AG207" s="212">
        <f t="shared" si="704"/>
        <v>0.13855968674203867</v>
      </c>
      <c r="AH207" s="212">
        <f t="shared" si="704"/>
        <v>0.13860968674203866</v>
      </c>
      <c r="AI207" s="212">
        <f>AVERAGE(AF205:AI205)</f>
        <v>0.13863905955022049</v>
      </c>
      <c r="AJ207" s="212">
        <f t="shared" si="704"/>
        <v>0.13913782073650408</v>
      </c>
      <c r="AK207" s="212">
        <f t="shared" si="704"/>
        <v>0.14087399145989343</v>
      </c>
      <c r="AL207" s="212"/>
    </row>
    <row r="208" spans="2:38">
      <c r="B208" s="213" t="s">
        <v>269</v>
      </c>
      <c r="C208" s="274">
        <f>1/C206</f>
        <v>6.8754999999999997</v>
      </c>
      <c r="D208" s="274">
        <f t="shared" ref="D208:AL208" si="705">1/D206</f>
        <v>6.9863999999999988</v>
      </c>
      <c r="E208" s="274">
        <f t="shared" si="705"/>
        <v>6.5250000000000004</v>
      </c>
      <c r="F208" s="274">
        <f t="shared" si="705"/>
        <v>6.3725699999999996</v>
      </c>
      <c r="G208" s="274">
        <f t="shared" si="705"/>
        <v>6.8971999999999989</v>
      </c>
      <c r="H208" s="274">
        <f t="shared" si="705"/>
        <v>7.0771408351026182</v>
      </c>
      <c r="I208" s="274">
        <f t="shared" si="705"/>
        <v>7.2992999999999997</v>
      </c>
      <c r="J208" s="274">
        <f t="shared" si="705"/>
        <v>6.9936999999999996</v>
      </c>
      <c r="K208" s="274"/>
      <c r="L208" s="13"/>
      <c r="M208" s="274">
        <f t="shared" si="705"/>
        <v>7.0986000000000002</v>
      </c>
      <c r="N208" s="274">
        <f t="shared" si="705"/>
        <v>7.0793999999999997</v>
      </c>
      <c r="O208" s="274">
        <f t="shared" si="705"/>
        <v>6.7895999999999992</v>
      </c>
      <c r="P208" s="274">
        <f t="shared" si="705"/>
        <v>6.5208000000000004</v>
      </c>
      <c r="Q208" s="274">
        <f t="shared" si="705"/>
        <v>6.5716000000000001</v>
      </c>
      <c r="R208" s="274">
        <f t="shared" si="705"/>
        <v>6.4634999999999998</v>
      </c>
      <c r="S208" s="274">
        <f t="shared" si="705"/>
        <v>6.4451999999999998</v>
      </c>
      <c r="T208" s="274">
        <f t="shared" si="705"/>
        <v>6.3725699999999996</v>
      </c>
      <c r="U208" s="274">
        <f t="shared" si="705"/>
        <v>6.3392999999999997</v>
      </c>
      <c r="V208" s="274">
        <f t="shared" si="705"/>
        <v>6.4561999999999999</v>
      </c>
      <c r="W208" s="274">
        <f t="shared" si="705"/>
        <v>7.1196000000000002</v>
      </c>
      <c r="X208" s="274">
        <f t="shared" si="705"/>
        <v>6.8971999999999989</v>
      </c>
      <c r="Y208" s="274">
        <f t="shared" si="705"/>
        <v>6.8728522336769764</v>
      </c>
      <c r="Z208" s="274">
        <f t="shared" si="705"/>
        <v>7.2516316171138513</v>
      </c>
      <c r="AA208" s="274">
        <f t="shared" si="705"/>
        <v>7.2939460247994168</v>
      </c>
      <c r="AB208" s="274">
        <f t="shared" si="705"/>
        <v>7.0771408351026182</v>
      </c>
      <c r="AC208" s="274">
        <f t="shared" si="705"/>
        <v>7.24112961622013</v>
      </c>
      <c r="AD208" s="274">
        <f t="shared" si="705"/>
        <v>7.2674418604651159</v>
      </c>
      <c r="AE208" s="274">
        <f t="shared" si="705"/>
        <v>7.0175438596491233</v>
      </c>
      <c r="AF208" s="274">
        <f t="shared" si="705"/>
        <v>7.2992999999999997</v>
      </c>
      <c r="AG208" s="274">
        <f t="shared" si="705"/>
        <v>7.2567000000000004</v>
      </c>
      <c r="AH208" s="274">
        <f t="shared" si="705"/>
        <v>7.1633237822349569</v>
      </c>
      <c r="AI208" s="274">
        <f t="shared" si="705"/>
        <v>7.1196000000000002</v>
      </c>
      <c r="AJ208" s="274">
        <f t="shared" si="705"/>
        <v>6.9936999999999996</v>
      </c>
      <c r="AK208" s="274">
        <f t="shared" si="705"/>
        <v>6.899</v>
      </c>
      <c r="AL208" s="274"/>
    </row>
    <row r="209" spans="2:38">
      <c r="C209" s="13"/>
      <c r="D209" s="13"/>
      <c r="E209" s="13"/>
      <c r="F209" s="13"/>
      <c r="G209" s="13"/>
      <c r="H209" s="13"/>
      <c r="I209" s="13"/>
      <c r="J209" s="13"/>
      <c r="K209" s="13"/>
      <c r="L209" s="50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spans="2:38">
      <c r="B210" s="44" t="s">
        <v>270</v>
      </c>
      <c r="C210" s="43">
        <f t="shared" ref="C210:J210" si="706">C3</f>
        <v>43465</v>
      </c>
      <c r="D210" s="43">
        <f t="shared" si="706"/>
        <v>43830</v>
      </c>
      <c r="E210" s="43">
        <f t="shared" si="706"/>
        <v>44196</v>
      </c>
      <c r="F210" s="43">
        <f t="shared" si="706"/>
        <v>44561</v>
      </c>
      <c r="G210" s="43">
        <f t="shared" si="706"/>
        <v>44926</v>
      </c>
      <c r="H210" s="43">
        <f t="shared" si="706"/>
        <v>45291</v>
      </c>
      <c r="I210" s="43">
        <f t="shared" si="706"/>
        <v>45657</v>
      </c>
      <c r="J210" s="43">
        <f t="shared" si="706"/>
        <v>46022</v>
      </c>
      <c r="K210" s="43"/>
      <c r="L210" s="50"/>
      <c r="M210" s="43">
        <f t="shared" ref="M210:AL210" si="707">M3</f>
        <v>43921</v>
      </c>
      <c r="N210" s="43">
        <f t="shared" si="707"/>
        <v>44012</v>
      </c>
      <c r="O210" s="43">
        <f t="shared" si="707"/>
        <v>44104</v>
      </c>
      <c r="P210" s="43">
        <f t="shared" si="707"/>
        <v>44196</v>
      </c>
      <c r="Q210" s="43">
        <f t="shared" si="707"/>
        <v>44286</v>
      </c>
      <c r="R210" s="43">
        <f t="shared" si="707"/>
        <v>44377</v>
      </c>
      <c r="S210" s="43">
        <f t="shared" si="707"/>
        <v>44469</v>
      </c>
      <c r="T210" s="43">
        <f t="shared" si="707"/>
        <v>44561</v>
      </c>
      <c r="U210" s="43">
        <f t="shared" si="707"/>
        <v>44651</v>
      </c>
      <c r="V210" s="43">
        <f t="shared" si="707"/>
        <v>44742</v>
      </c>
      <c r="W210" s="43">
        <f t="shared" si="707"/>
        <v>44834</v>
      </c>
      <c r="X210" s="43">
        <f t="shared" si="707"/>
        <v>44926</v>
      </c>
      <c r="Y210" s="43">
        <f t="shared" si="707"/>
        <v>45016</v>
      </c>
      <c r="Z210" s="43">
        <f t="shared" si="707"/>
        <v>45107</v>
      </c>
      <c r="AA210" s="43">
        <f t="shared" si="707"/>
        <v>45199</v>
      </c>
      <c r="AB210" s="43">
        <f t="shared" si="707"/>
        <v>45291</v>
      </c>
      <c r="AC210" s="43">
        <f t="shared" si="707"/>
        <v>45382</v>
      </c>
      <c r="AD210" s="43">
        <f t="shared" si="707"/>
        <v>45473</v>
      </c>
      <c r="AE210" s="43">
        <f t="shared" si="707"/>
        <v>45565</v>
      </c>
      <c r="AF210" s="43">
        <f t="shared" si="707"/>
        <v>45657</v>
      </c>
      <c r="AG210" s="43">
        <f t="shared" si="707"/>
        <v>45747</v>
      </c>
      <c r="AH210" s="43">
        <f t="shared" si="707"/>
        <v>45838</v>
      </c>
      <c r="AI210" s="43">
        <f t="shared" si="707"/>
        <v>45930</v>
      </c>
      <c r="AJ210" s="43">
        <f t="shared" si="707"/>
        <v>46022</v>
      </c>
      <c r="AK210" s="43">
        <f t="shared" si="707"/>
        <v>46112</v>
      </c>
      <c r="AL210" s="43"/>
    </row>
    <row r="211" spans="2:38">
      <c r="B211" s="21" t="s">
        <v>256</v>
      </c>
      <c r="C211" s="13">
        <f t="shared" ref="C211:G212" si="708">C146*C$207</f>
        <v>69694.647770470037</v>
      </c>
      <c r="D211" s="13">
        <f t="shared" si="708"/>
        <v>83590.066363346574</v>
      </c>
      <c r="E211" s="13">
        <f t="shared" si="708"/>
        <v>108255.1037115527</v>
      </c>
      <c r="F211" s="13">
        <f t="shared" si="708"/>
        <v>147467.36413085592</v>
      </c>
      <c r="G211" s="13">
        <f t="shared" si="708"/>
        <v>155776.17157307939</v>
      </c>
      <c r="H211" s="13">
        <f t="shared" ref="H211:I211" si="709">H146*H$207</f>
        <v>153767.86854169809</v>
      </c>
      <c r="I211" s="13">
        <f t="shared" si="709"/>
        <v>161153.00105690604</v>
      </c>
      <c r="J211" s="13">
        <f t="shared" ref="J211" si="710">J146*J$207</f>
        <v>182143.23405884643</v>
      </c>
      <c r="K211" s="13"/>
      <c r="L211" s="50"/>
      <c r="M211" s="110"/>
      <c r="N211" s="110"/>
      <c r="O211" s="110"/>
      <c r="P211" s="13">
        <f>P146*P$207</f>
        <v>108332.06762613363</v>
      </c>
      <c r="Q211" s="13">
        <f t="shared" ref="Q211:R211" si="711">Q146*Q$207</f>
        <v>118803.18773165465</v>
      </c>
      <c r="R211" s="13">
        <f t="shared" si="711"/>
        <v>129548.88098840708</v>
      </c>
      <c r="S211" s="13">
        <f>S146*S$207</f>
        <v>138391.78950912145</v>
      </c>
      <c r="T211" s="13">
        <f>T146*T$207</f>
        <v>146307.72609775988</v>
      </c>
      <c r="U211" s="13">
        <f t="shared" ref="U211:V211" si="712">U146*U$207</f>
        <v>152725.66993756435</v>
      </c>
      <c r="V211" s="13">
        <f t="shared" si="712"/>
        <v>153959.50978133923</v>
      </c>
      <c r="W211" s="13">
        <f>W146*W$207</f>
        <v>155503.41899160566</v>
      </c>
      <c r="X211" s="13">
        <f>X146*X$207</f>
        <v>155776.17157307939</v>
      </c>
      <c r="Y211" s="13">
        <f t="shared" ref="Y211:Z211" si="713">Y146*Y$207</f>
        <v>153211.59505461782</v>
      </c>
      <c r="Z211" s="13">
        <f t="shared" si="713"/>
        <v>153959.54189497672</v>
      </c>
      <c r="AA211" s="13">
        <f>AA146*AA$207</f>
        <v>152260.75737668373</v>
      </c>
      <c r="AB211" s="13">
        <f>AB146*AB$207</f>
        <v>153767.86854169809</v>
      </c>
      <c r="AC211" s="13">
        <f t="shared" ref="AC211:AD211" si="714">AC146*AC$207</f>
        <v>154501.71199849961</v>
      </c>
      <c r="AD211" s="13">
        <f t="shared" si="714"/>
        <v>153633.86165907697</v>
      </c>
      <c r="AE211" s="13">
        <f>AE146*AE$207</f>
        <v>155984.6288946342</v>
      </c>
      <c r="AF211" s="13">
        <f>AF146*AF$207</f>
        <v>161230.32656422653</v>
      </c>
      <c r="AG211" s="13">
        <f t="shared" ref="AG211:AH211" si="715">AG146*AG$207</f>
        <v>166251.11725680859</v>
      </c>
      <c r="AH211" s="13">
        <f t="shared" si="715"/>
        <v>175357.19384265423</v>
      </c>
      <c r="AI211" s="13">
        <f>AI146*AI$207</f>
        <v>180755.80353380332</v>
      </c>
      <c r="AJ211" s="13">
        <f>AJ146*AJ$207</f>
        <v>182143.23405884643</v>
      </c>
      <c r="AK211" s="13">
        <f t="shared" ref="AK211:AL211" si="716">AK146*AK$207</f>
        <v>186474.47987348656</v>
      </c>
      <c r="AL211" s="13"/>
    </row>
    <row r="212" spans="2:38">
      <c r="B212" s="21" t="s">
        <v>257</v>
      </c>
      <c r="C212" s="13">
        <f t="shared" si="708"/>
        <v>854.8483979967416</v>
      </c>
      <c r="D212" s="13">
        <f t="shared" si="708"/>
        <v>2001.1912075810708</v>
      </c>
      <c r="E212" s="13">
        <f t="shared" si="708"/>
        <v>3001.9190628946335</v>
      </c>
      <c r="F212" s="13">
        <f t="shared" si="708"/>
        <v>2899.7191960203945</v>
      </c>
      <c r="G212" s="13">
        <f t="shared" si="708"/>
        <v>5003.069018078726</v>
      </c>
      <c r="H212" s="13">
        <f t="shared" ref="H212:I212" si="717">H147*H$207</f>
        <v>6018.2375296010805</v>
      </c>
      <c r="I212" s="13">
        <f t="shared" si="717"/>
        <v>7220.7542971574785</v>
      </c>
      <c r="J212" s="13">
        <f t="shared" ref="J212" si="718">J147*J$207</f>
        <v>2552.3441835904309</v>
      </c>
      <c r="K212" s="13"/>
      <c r="L212" s="50"/>
      <c r="M212" s="110"/>
      <c r="N212" s="110"/>
      <c r="O212" s="110"/>
      <c r="P212" s="13">
        <f>P147*P$207</f>
        <v>3004.0532758269965</v>
      </c>
      <c r="Q212" s="13">
        <f t="shared" ref="Q212:R212" si="719">Q147*Q$207</f>
        <v>3123.5842644628065</v>
      </c>
      <c r="R212" s="13">
        <f t="shared" si="719"/>
        <v>2718.5665152829474</v>
      </c>
      <c r="S212" s="13">
        <f>S147*S$207</f>
        <v>2646.9806154249409</v>
      </c>
      <c r="T212" s="13">
        <f>T147*T$207</f>
        <v>2876.9166953801846</v>
      </c>
      <c r="U212" s="13">
        <f t="shared" ref="U212:V212" si="720">U147*U$207</f>
        <v>3066.3186931443634</v>
      </c>
      <c r="V212" s="13">
        <f t="shared" si="720"/>
        <v>3575.3320868410842</v>
      </c>
      <c r="W212" s="13">
        <f>W147*W$207</f>
        <v>4372.0267029989855</v>
      </c>
      <c r="X212" s="13">
        <f>X147*X$207</f>
        <v>5003.069018078726</v>
      </c>
      <c r="Y212" s="13">
        <f t="shared" ref="Y212:Z212" si="721">Y147*Y$207</f>
        <v>5406.3757855585573</v>
      </c>
      <c r="Z212" s="13">
        <f t="shared" si="721"/>
        <v>5794.0540658449891</v>
      </c>
      <c r="AA212" s="13">
        <f>AA147*AA$207</f>
        <v>5910.0702999043488</v>
      </c>
      <c r="AB212" s="13">
        <f>AB147*AB$207</f>
        <v>6018.2375296010805</v>
      </c>
      <c r="AC212" s="13">
        <f t="shared" ref="AC212:AD212" si="722">AC147*AC$207</f>
        <v>6133.7637522084069</v>
      </c>
      <c r="AD212" s="13">
        <f t="shared" si="722"/>
        <v>6514.8582902206535</v>
      </c>
      <c r="AE212" s="13">
        <f>AE147*AE$207</f>
        <v>6844.7602851985221</v>
      </c>
      <c r="AF212" s="13">
        <f>AF147*AF$207</f>
        <v>7224.2190076227043</v>
      </c>
      <c r="AG212" s="13">
        <f t="shared" ref="AG212:AH212" si="723">AG147*AG$207</f>
        <v>7598.3361015599166</v>
      </c>
      <c r="AH212" s="13">
        <f t="shared" si="723"/>
        <v>6141.3793904795066</v>
      </c>
      <c r="AI212" s="13">
        <f>AI147*AI$207</f>
        <v>4394.3036315037889</v>
      </c>
      <c r="AJ212" s="13">
        <f>AJ147*AJ$207</f>
        <v>2552.3441835904309</v>
      </c>
      <c r="AK212" s="13">
        <f t="shared" ref="AK212:AL212" si="724">AK147*AK$207</f>
        <v>1783.4647318822508</v>
      </c>
      <c r="AL212" s="13"/>
    </row>
    <row r="213" spans="2:38">
      <c r="B213" s="21" t="s">
        <v>258</v>
      </c>
      <c r="C213" s="22">
        <f t="shared" ref="C213:E213" si="725">C212/C211</f>
        <v>1.2265624769524197E-2</v>
      </c>
      <c r="D213" s="22">
        <f t="shared" si="725"/>
        <v>2.3940538566895715E-2</v>
      </c>
      <c r="E213" s="22">
        <f t="shared" si="725"/>
        <v>2.7730046528737257E-2</v>
      </c>
      <c r="F213" s="22">
        <f t="shared" ref="F213:G213" si="726">F212/F211</f>
        <v>1.9663463933940761E-2</v>
      </c>
      <c r="G213" s="22">
        <f t="shared" si="726"/>
        <v>3.2117036691530404E-2</v>
      </c>
      <c r="H213" s="22">
        <f t="shared" ref="H213:I213" si="727">H212/H211</f>
        <v>3.9138459722936732E-2</v>
      </c>
      <c r="I213" s="22">
        <f t="shared" si="727"/>
        <v>4.4806824879467799E-2</v>
      </c>
      <c r="J213" s="22">
        <f t="shared" ref="J213" si="728">J212/J211</f>
        <v>1.4012841030185207E-2</v>
      </c>
      <c r="K213" s="22"/>
      <c r="L213" s="50"/>
      <c r="M213" s="113"/>
      <c r="N213" s="113"/>
      <c r="O213" s="113"/>
      <c r="P213" s="22">
        <f t="shared" ref="P213" si="729">P212/P211</f>
        <v>2.7730046528737253E-2</v>
      </c>
      <c r="Q213" s="22">
        <f t="shared" ref="Q213:T213" si="730">Q212/Q211</f>
        <v>2.6292091349587075E-2</v>
      </c>
      <c r="R213" s="22">
        <f t="shared" si="730"/>
        <v>2.0984870687738501E-2</v>
      </c>
      <c r="S213" s="22">
        <f t="shared" si="730"/>
        <v>1.9126717161573215E-2</v>
      </c>
      <c r="T213" s="22">
        <f t="shared" si="730"/>
        <v>1.9663463933940761E-2</v>
      </c>
      <c r="U213" s="22">
        <f t="shared" ref="U213:X213" si="731">U212/U211</f>
        <v>2.0077297381624861E-2</v>
      </c>
      <c r="V213" s="22">
        <f t="shared" si="731"/>
        <v>2.3222547875859985E-2</v>
      </c>
      <c r="W213" s="22">
        <f t="shared" si="731"/>
        <v>2.8115309176803341E-2</v>
      </c>
      <c r="X213" s="22">
        <f t="shared" si="731"/>
        <v>3.2117036691530404E-2</v>
      </c>
      <c r="Y213" s="22">
        <f t="shared" ref="Y213:AB213" si="732">Y212/Y211</f>
        <v>3.5286988453003564E-2</v>
      </c>
      <c r="Z213" s="22">
        <f t="shared" si="732"/>
        <v>3.7633614614139312E-2</v>
      </c>
      <c r="AA213" s="22">
        <f t="shared" si="732"/>
        <v>3.8815453185243251E-2</v>
      </c>
      <c r="AB213" s="22">
        <f t="shared" si="732"/>
        <v>3.9138459722936732E-2</v>
      </c>
      <c r="AC213" s="22">
        <f t="shared" ref="AC213:AF213" si="733">AC212/AC211</f>
        <v>3.9700296345376244E-2</v>
      </c>
      <c r="AD213" s="22">
        <f t="shared" si="733"/>
        <v>4.240509364190511E-2</v>
      </c>
      <c r="AE213" s="22">
        <f t="shared" si="733"/>
        <v>4.3880992208675113E-2</v>
      </c>
      <c r="AF213" s="22">
        <f t="shared" si="733"/>
        <v>4.4806824879467806E-2</v>
      </c>
      <c r="AG213" s="22">
        <f t="shared" ref="AG213:AJ213" si="734">AG212/AG211</f>
        <v>4.570397015631928E-2</v>
      </c>
      <c r="AH213" s="22">
        <f t="shared" si="734"/>
        <v>3.5022112614268269E-2</v>
      </c>
      <c r="AI213" s="22">
        <f t="shared" si="734"/>
        <v>2.4310719465679594E-2</v>
      </c>
      <c r="AJ213" s="22">
        <f t="shared" si="734"/>
        <v>1.4012841030185207E-2</v>
      </c>
      <c r="AK213" s="22">
        <f t="shared" ref="AK213:AL213" si="735">AK212/AK211</f>
        <v>9.5641223029137336E-3</v>
      </c>
      <c r="AL213" s="22"/>
    </row>
    <row r="214" spans="2:38">
      <c r="B214" s="21" t="s">
        <v>25</v>
      </c>
      <c r="C214" s="13">
        <f t="shared" ref="C214:E216" si="736">C149*C$206</f>
        <v>1457.6171914769834</v>
      </c>
      <c r="D214" s="13">
        <f t="shared" si="736"/>
        <v>2686.423050498111</v>
      </c>
      <c r="E214" s="13">
        <f t="shared" si="736"/>
        <v>4835.8826053639841</v>
      </c>
      <c r="F214" s="13">
        <f t="shared" ref="F214:G214" si="737">F149*F$206</f>
        <v>5357.2216546856298</v>
      </c>
      <c r="G214" s="13">
        <f t="shared" si="737"/>
        <v>9430.6385199791221</v>
      </c>
      <c r="H214" s="13">
        <f t="shared" ref="H214:I214" si="738">H149*H$206</f>
        <v>9669.3003000000008</v>
      </c>
      <c r="I214" s="13">
        <f t="shared" si="738"/>
        <v>12298.165577521133</v>
      </c>
      <c r="J214" s="13">
        <f t="shared" ref="J214" si="739">J149*J$206</f>
        <v>15314.49733331427</v>
      </c>
      <c r="K214" s="13"/>
      <c r="L214" s="50"/>
      <c r="M214" s="13">
        <f t="shared" ref="M214:P216" si="740">M149*M$206</f>
        <v>4855.298368692419</v>
      </c>
      <c r="N214" s="13">
        <f t="shared" si="740"/>
        <v>5299.0196909342603</v>
      </c>
      <c r="O214" s="13">
        <f t="shared" si="740"/>
        <v>5002.978378696831</v>
      </c>
      <c r="P214" s="13">
        <f t="shared" si="740"/>
        <v>4838.9973622868356</v>
      </c>
      <c r="Q214" s="13">
        <f t="shared" ref="Q214:R214" si="741">Q149*Q$206</f>
        <v>4998.5924280236168</v>
      </c>
      <c r="R214" s="13">
        <f t="shared" si="741"/>
        <v>4719.8576622572909</v>
      </c>
      <c r="S214" s="13">
        <f>S149*S$206</f>
        <v>5834.984329423447</v>
      </c>
      <c r="T214" s="13">
        <f t="shared" ref="T214:V214" si="742">T149*T$206</f>
        <v>5357.2216546856298</v>
      </c>
      <c r="U214" s="13">
        <f t="shared" si="742"/>
        <v>8384.6796964964597</v>
      </c>
      <c r="V214" s="13">
        <f t="shared" si="742"/>
        <v>9150.8937145689415</v>
      </c>
      <c r="W214" s="13">
        <f>W149*W$206</f>
        <v>9695.769425248609</v>
      </c>
      <c r="X214" s="13">
        <f t="shared" ref="X214:Z214" si="743">X149*X$206</f>
        <v>9430.6385199791221</v>
      </c>
      <c r="Y214" s="13">
        <f t="shared" si="743"/>
        <v>9613.6214999999993</v>
      </c>
      <c r="Z214" s="13">
        <f t="shared" si="743"/>
        <v>10058.563899999999</v>
      </c>
      <c r="AA214" s="13">
        <f>AA149*AA$206</f>
        <v>9577.5318000000007</v>
      </c>
      <c r="AB214" s="13">
        <f t="shared" ref="AB214:AD214" si="744">AB149*AB$206</f>
        <v>9669.3003000000008</v>
      </c>
      <c r="AC214" s="13">
        <f t="shared" si="744"/>
        <v>9664.0998999999993</v>
      </c>
      <c r="AD214" s="13">
        <f t="shared" si="744"/>
        <v>11859.744000000001</v>
      </c>
      <c r="AE214" s="13">
        <f>AE149*AE$206</f>
        <v>12539.714999999998</v>
      </c>
      <c r="AF214" s="13">
        <f t="shared" ref="AF214:AH214" si="745">AF149*AF$206</f>
        <v>12298.165577521133</v>
      </c>
      <c r="AG214" s="13">
        <f t="shared" si="745"/>
        <v>12048.451775600479</v>
      </c>
      <c r="AH214" s="13">
        <f t="shared" si="745"/>
        <v>14070.563200000001</v>
      </c>
      <c r="AI214" s="13">
        <f>AI149*AI$206</f>
        <v>15743.721557390865</v>
      </c>
      <c r="AJ214" s="13">
        <f t="shared" ref="AJ214:AL214" si="746">AJ149*AJ$206</f>
        <v>15314.49733331427</v>
      </c>
      <c r="AK214" s="13">
        <f t="shared" si="746"/>
        <v>15657.34164371648</v>
      </c>
      <c r="AL214" s="13"/>
    </row>
    <row r="215" spans="2:38">
      <c r="B215" s="21" t="s">
        <v>259</v>
      </c>
      <c r="C215" s="13">
        <f t="shared" si="736"/>
        <v>5279.3280488691726</v>
      </c>
      <c r="D215" s="13">
        <f t="shared" si="736"/>
        <v>8813.4371063781073</v>
      </c>
      <c r="E215" s="13">
        <f t="shared" si="736"/>
        <v>22476.929808429119</v>
      </c>
      <c r="F215" s="13">
        <f t="shared" ref="F215:G215" si="747">F150*F$206</f>
        <v>29082.575632750995</v>
      </c>
      <c r="G215" s="13">
        <f t="shared" si="747"/>
        <v>31890.622281505541</v>
      </c>
      <c r="H215" s="13">
        <f t="shared" ref="H215:I215" si="748">H150*H$206</f>
        <v>26867.629800000002</v>
      </c>
      <c r="I215" s="13">
        <f t="shared" si="748"/>
        <v>32057.183565547381</v>
      </c>
      <c r="J215" s="13">
        <f t="shared" ref="J215" si="749">J150*J$206</f>
        <v>30489.154524786598</v>
      </c>
      <c r="K215" s="13"/>
      <c r="L215" s="50"/>
      <c r="M215" s="13">
        <f t="shared" si="740"/>
        <v>10268.771166145438</v>
      </c>
      <c r="N215" s="13">
        <f t="shared" si="740"/>
        <v>16993.288131762576</v>
      </c>
      <c r="O215" s="13">
        <f t="shared" si="740"/>
        <v>17897.254477436079</v>
      </c>
      <c r="P215" s="13">
        <f t="shared" si="740"/>
        <v>31781.234971169179</v>
      </c>
      <c r="Q215" s="13">
        <f t="shared" ref="Q215:R215" si="750">Q150*Q$206</f>
        <v>20524.478361434052</v>
      </c>
      <c r="R215" s="13">
        <f t="shared" si="750"/>
        <v>26734.681364585755</v>
      </c>
      <c r="S215" s="13">
        <f>S150*S$206</f>
        <v>29532.765779184509</v>
      </c>
      <c r="T215" s="13">
        <f t="shared" ref="T215:V215" si="751">T150*T$206</f>
        <v>47060.286038442893</v>
      </c>
      <c r="U215" s="13">
        <f t="shared" si="751"/>
        <v>28482.482292997651</v>
      </c>
      <c r="V215" s="13">
        <f t="shared" si="751"/>
        <v>31139.679687742013</v>
      </c>
      <c r="W215" s="13">
        <f>W150*W$206</f>
        <v>29749.564582279905</v>
      </c>
      <c r="X215" s="13">
        <f t="shared" ref="X215:Z215" si="752">X150*X$206</f>
        <v>52347.474337412292</v>
      </c>
      <c r="Y215" s="13">
        <f t="shared" si="752"/>
        <v>28636.291499999999</v>
      </c>
      <c r="Z215" s="13">
        <f t="shared" si="752"/>
        <v>32423.1859</v>
      </c>
      <c r="AA215" s="13">
        <f>AA150*AA$206</f>
        <v>33226.596299999997</v>
      </c>
      <c r="AB215" s="13">
        <f t="shared" ref="AB215:AD215" si="753">AB150*AB$206</f>
        <v>43576.920000000006</v>
      </c>
      <c r="AC215" s="13">
        <f t="shared" si="753"/>
        <v>23752.7857</v>
      </c>
      <c r="AD215" s="13">
        <f t="shared" si="753"/>
        <v>27781.715199999999</v>
      </c>
      <c r="AE215" s="13">
        <f>AE150*AE$206</f>
        <v>27202.252499999999</v>
      </c>
      <c r="AF215" s="13">
        <f t="shared" ref="AF215:AH215" si="754">AF150*AF$206</f>
        <v>49270.477991040236</v>
      </c>
      <c r="AG215" s="13">
        <f t="shared" si="754"/>
        <v>26756.376865517384</v>
      </c>
      <c r="AH215" s="13">
        <f t="shared" si="754"/>
        <v>29851.784800000001</v>
      </c>
      <c r="AI215" s="13">
        <f>AI150*AI$206</f>
        <v>27848.755548064499</v>
      </c>
      <c r="AJ215" s="13">
        <f t="shared" ref="AJ215:AL215" si="755">AJ150*AJ$206</f>
        <v>30489.154524786598</v>
      </c>
      <c r="AK215" s="13">
        <f t="shared" si="755"/>
        <v>29298.883896216841</v>
      </c>
      <c r="AL215" s="13"/>
    </row>
    <row r="216" spans="2:38" s="26" customFormat="1">
      <c r="B216" s="26" t="s">
        <v>260</v>
      </c>
      <c r="C216" s="50">
        <f t="shared" si="736"/>
        <v>-3821.7108573921887</v>
      </c>
      <c r="D216" s="50">
        <f t="shared" si="736"/>
        <v>-6127.0140558799967</v>
      </c>
      <c r="E216" s="50">
        <f t="shared" si="736"/>
        <v>-17641.047203065136</v>
      </c>
      <c r="F216" s="50">
        <f t="shared" ref="F216:G216" si="756">F151*F$206</f>
        <v>-23725.353978065363</v>
      </c>
      <c r="G216" s="50">
        <f t="shared" si="756"/>
        <v>-22459.983761526419</v>
      </c>
      <c r="H216" s="50">
        <f t="shared" ref="H216:I216" si="757">H151*H$206</f>
        <v>-17198.3295</v>
      </c>
      <c r="I216" s="50">
        <f t="shared" si="757"/>
        <v>-19759.017988026248</v>
      </c>
      <c r="J216" s="50">
        <f t="shared" ref="J216" si="758">J151*J$206</f>
        <v>-15174.657191472326</v>
      </c>
      <c r="K216" s="50"/>
      <c r="L216" s="50"/>
      <c r="M216" s="50">
        <f t="shared" si="740"/>
        <v>-5413.4727974530188</v>
      </c>
      <c r="N216" s="50">
        <f t="shared" si="740"/>
        <v>-11694.268440828317</v>
      </c>
      <c r="O216" s="50">
        <f t="shared" si="740"/>
        <v>-12894.27609873925</v>
      </c>
      <c r="P216" s="50">
        <f t="shared" si="740"/>
        <v>-26942.237608882344</v>
      </c>
      <c r="Q216" s="50">
        <f t="shared" ref="Q216:R216" si="759">Q151*Q$206</f>
        <v>-15525.885933410435</v>
      </c>
      <c r="R216" s="50">
        <f t="shared" si="759"/>
        <v>-22014.823702328464</v>
      </c>
      <c r="S216" s="50">
        <f>S151*S$206</f>
        <v>-23697.78144976106</v>
      </c>
      <c r="T216" s="50">
        <f t="shared" ref="T216:V216" si="760">T151*T$206</f>
        <v>-41703.064383757257</v>
      </c>
      <c r="U216" s="50">
        <f t="shared" si="760"/>
        <v>-20097.802596501191</v>
      </c>
      <c r="V216" s="50">
        <f t="shared" si="760"/>
        <v>-21988.785973173075</v>
      </c>
      <c r="W216" s="50">
        <f>W151*W$206</f>
        <v>-20053.795157031294</v>
      </c>
      <c r="X216" s="50">
        <f t="shared" ref="X216:Z216" si="761">X151*X$206</f>
        <v>-42916.835817433166</v>
      </c>
      <c r="Y216" s="50">
        <f t="shared" si="761"/>
        <v>-19022.669999999998</v>
      </c>
      <c r="Z216" s="50">
        <f t="shared" si="761"/>
        <v>-22364.621999999999</v>
      </c>
      <c r="AA216" s="50">
        <f>AA151*AA$206</f>
        <v>-23649.0645</v>
      </c>
      <c r="AB216" s="50">
        <f t="shared" ref="AB216:AD216" si="762">AB151*AB$206</f>
        <v>-33907.619700000003</v>
      </c>
      <c r="AC216" s="50">
        <f t="shared" si="762"/>
        <v>-14088.685799999999</v>
      </c>
      <c r="AD216" s="50">
        <f t="shared" si="762"/>
        <v>-15921.9712</v>
      </c>
      <c r="AE216" s="50">
        <f>AE151*AE$206</f>
        <v>-14662.537499999999</v>
      </c>
      <c r="AF216" s="50">
        <f t="shared" ref="AF216:AH216" si="763">AF151*AF$206</f>
        <v>-36972.312413519103</v>
      </c>
      <c r="AG216" s="50">
        <f t="shared" si="763"/>
        <v>-14707.925089916904</v>
      </c>
      <c r="AH216" s="50">
        <f t="shared" si="763"/>
        <v>-15781.221600000001</v>
      </c>
      <c r="AI216" s="50">
        <f>AI151*AI$206</f>
        <v>-12105.033990673634</v>
      </c>
      <c r="AJ216" s="50">
        <f t="shared" ref="AJ216:AL216" si="764">AJ151*AJ$206</f>
        <v>-15174.657191472326</v>
      </c>
      <c r="AK216" s="50">
        <f t="shared" si="764"/>
        <v>-13641.542252500361</v>
      </c>
      <c r="AL216" s="50"/>
    </row>
    <row r="217" spans="2:38">
      <c r="B217" s="21" t="s">
        <v>261</v>
      </c>
      <c r="C217" s="29">
        <f t="shared" ref="C217:E217" si="765">C214/C212</f>
        <v>1.7051177669546729</v>
      </c>
      <c r="D217" s="29">
        <f t="shared" si="765"/>
        <v>1.3424119795855542</v>
      </c>
      <c r="E217" s="29">
        <f t="shared" si="765"/>
        <v>1.6109303762177156</v>
      </c>
      <c r="F217" s="29">
        <f t="shared" ref="F217:G217" si="766">F214/F212</f>
        <v>1.847496703142131</v>
      </c>
      <c r="G217" s="29">
        <f t="shared" si="766"/>
        <v>1.8849707021632629</v>
      </c>
      <c r="H217" s="29">
        <f t="shared" ref="H217:I217" si="767">H214/H212</f>
        <v>1.6066664455234507</v>
      </c>
      <c r="I217" s="29">
        <f t="shared" si="767"/>
        <v>1.7031690972177835</v>
      </c>
      <c r="J217" s="29">
        <f t="shared" ref="J217" si="768">J214/J212</f>
        <v>6.0001693469769721</v>
      </c>
      <c r="K217" s="29"/>
      <c r="L217" s="50"/>
      <c r="M217" s="114"/>
      <c r="N217" s="114"/>
      <c r="O217" s="114"/>
      <c r="P217" s="29">
        <f t="shared" ref="P217" si="769">P214/P212</f>
        <v>1.6108227511227113</v>
      </c>
      <c r="Q217" s="29">
        <f t="shared" ref="Q217:T217" si="770">Q214/Q212</f>
        <v>1.6002745579470621</v>
      </c>
      <c r="R217" s="29">
        <f t="shared" si="770"/>
        <v>1.7361567707553589</v>
      </c>
      <c r="S217" s="29">
        <f t="shared" si="770"/>
        <v>2.2043925427412736</v>
      </c>
      <c r="T217" s="29">
        <f t="shared" si="770"/>
        <v>1.8621399998437123</v>
      </c>
      <c r="U217" s="29">
        <f t="shared" ref="U217:X217" si="771">U214/U212</f>
        <v>2.7344449600893803</v>
      </c>
      <c r="V217" s="29">
        <f t="shared" si="771"/>
        <v>2.5594527983144744</v>
      </c>
      <c r="W217" s="29">
        <f t="shared" si="771"/>
        <v>2.2176830298400989</v>
      </c>
      <c r="X217" s="29">
        <f t="shared" si="771"/>
        <v>1.8849707021632629</v>
      </c>
      <c r="Y217" s="29">
        <f t="shared" ref="Y217:AB217" si="772">Y214/Y212</f>
        <v>1.7782007543167428</v>
      </c>
      <c r="Z217" s="29">
        <f t="shared" si="772"/>
        <v>1.7360148499983121</v>
      </c>
      <c r="AA217" s="29">
        <f t="shared" si="772"/>
        <v>1.6205444798440058</v>
      </c>
      <c r="AB217" s="29">
        <f t="shared" si="772"/>
        <v>1.6066664455234507</v>
      </c>
      <c r="AC217" s="29">
        <f t="shared" ref="AC217:AF217" si="773">AC214/AC212</f>
        <v>1.5755578940451573</v>
      </c>
      <c r="AD217" s="29">
        <f t="shared" si="773"/>
        <v>1.8204147307091034</v>
      </c>
      <c r="AE217" s="29">
        <f t="shared" si="773"/>
        <v>1.8320166780882821</v>
      </c>
      <c r="AF217" s="29">
        <f t="shared" si="773"/>
        <v>1.7023522632058365</v>
      </c>
      <c r="AG217" s="29">
        <f t="shared" ref="AG217:AJ217" si="774">AG214/AG212</f>
        <v>1.5856697590840929</v>
      </c>
      <c r="AH217" s="29">
        <f t="shared" si="774"/>
        <v>2.2911079588752452</v>
      </c>
      <c r="AI217" s="29">
        <f t="shared" si="774"/>
        <v>3.582756877453904</v>
      </c>
      <c r="AJ217" s="29">
        <f t="shared" si="774"/>
        <v>6.0001693469769721</v>
      </c>
      <c r="AK217" s="29">
        <f t="shared" ref="AK217:AL217" si="775">AK214/AK212</f>
        <v>8.7791708822814112</v>
      </c>
      <c r="AL217" s="29"/>
    </row>
    <row r="218" spans="2:38" s="26" customFormat="1">
      <c r="B218" s="26" t="s">
        <v>262</v>
      </c>
      <c r="C218" s="28">
        <f t="shared" ref="C218:E218" si="776">C216/C212</f>
        <v>-4.4706299577188373</v>
      </c>
      <c r="D218" s="28">
        <f t="shared" si="776"/>
        <v>-3.0616834776552873</v>
      </c>
      <c r="E218" s="28">
        <f t="shared" si="776"/>
        <v>-5.8765898858227583</v>
      </c>
      <c r="F218" s="28">
        <f t="shared" ref="F218:G218" si="777">F216/F212</f>
        <v>-8.181948793740542</v>
      </c>
      <c r="G218" s="28">
        <f t="shared" si="777"/>
        <v>-4.4892412398003421</v>
      </c>
      <c r="H218" s="28">
        <f t="shared" ref="H218:I218" si="778">H216/H212</f>
        <v>-2.8577020124926831</v>
      </c>
      <c r="I218" s="28">
        <f t="shared" si="778"/>
        <v>-2.7364202097008867</v>
      </c>
      <c r="J218" s="28">
        <f t="shared" ref="J218" si="779">J216/J212</f>
        <v>-5.9453804424314942</v>
      </c>
      <c r="K218" s="28"/>
      <c r="L218" s="50"/>
      <c r="M218" s="275"/>
      <c r="N218" s="275"/>
      <c r="O218" s="275"/>
      <c r="P218" s="28">
        <f t="shared" ref="P218" si="780">P216/P212</f>
        <v>-8.9686284280245729</v>
      </c>
      <c r="Q218" s="28">
        <f t="shared" ref="Q218:T218" si="781">Q216/Q212</f>
        <v>-4.9705353270117634</v>
      </c>
      <c r="R218" s="28">
        <f t="shared" si="781"/>
        <v>-8.0979529390095379</v>
      </c>
      <c r="S218" s="28">
        <f t="shared" si="781"/>
        <v>-8.9527597261820766</v>
      </c>
      <c r="T218" s="28">
        <f t="shared" si="781"/>
        <v>-14.495749720777436</v>
      </c>
      <c r="U218" s="28">
        <f t="shared" ref="U218:X218" si="782">U216/U212</f>
        <v>-6.554375003953635</v>
      </c>
      <c r="V218" s="28">
        <f t="shared" si="782"/>
        <v>-6.15013806804191</v>
      </c>
      <c r="W218" s="28">
        <f t="shared" si="782"/>
        <v>-4.5868418743360886</v>
      </c>
      <c r="X218" s="28">
        <f t="shared" si="782"/>
        <v>-8.5781018935281548</v>
      </c>
      <c r="Y218" s="28">
        <f t="shared" ref="Y218:AB218" si="783">Y216/Y212</f>
        <v>-3.5185622965412642</v>
      </c>
      <c r="Z218" s="28">
        <f t="shared" si="783"/>
        <v>-3.8599263565446904</v>
      </c>
      <c r="AA218" s="28">
        <f t="shared" si="783"/>
        <v>-4.0014861583596977</v>
      </c>
      <c r="AB218" s="28">
        <f t="shared" si="783"/>
        <v>-5.634144470573526</v>
      </c>
      <c r="AC218" s="28">
        <f t="shared" ref="AC218:AF218" si="784">AC216/AC212</f>
        <v>-2.29690714692549</v>
      </c>
      <c r="AD218" s="28">
        <f t="shared" si="784"/>
        <v>-2.4439474338068425</v>
      </c>
      <c r="AE218" s="28">
        <f t="shared" si="784"/>
        <v>-2.1421550045670785</v>
      </c>
      <c r="AF218" s="28">
        <f t="shared" si="784"/>
        <v>-5.1178282904362966</v>
      </c>
      <c r="AG218" s="28">
        <f t="shared" ref="AG218:AJ218" si="785">AG216/AG212</f>
        <v>-1.9356770868423956</v>
      </c>
      <c r="AH218" s="28">
        <f t="shared" si="785"/>
        <v>-2.5696542415966643</v>
      </c>
      <c r="AI218" s="28">
        <f t="shared" si="785"/>
        <v>-2.7547104173434485</v>
      </c>
      <c r="AJ218" s="28">
        <f t="shared" si="785"/>
        <v>-5.9453804424314942</v>
      </c>
      <c r="AK218" s="28">
        <f t="shared" ref="AK218:AL218" si="786">AK216/AK212</f>
        <v>-7.648899363489635</v>
      </c>
      <c r="AL218" s="28"/>
    </row>
    <row r="219" spans="2:38">
      <c r="C219" s="13"/>
      <c r="D219" s="13"/>
      <c r="E219" s="13"/>
      <c r="F219" s="13"/>
      <c r="G219" s="13"/>
      <c r="H219" s="13"/>
      <c r="I219" s="13"/>
      <c r="J219" s="13"/>
      <c r="K219" s="13"/>
      <c r="L219" s="50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spans="2:38">
      <c r="B220" s="47" t="s">
        <v>263</v>
      </c>
      <c r="C220" s="46"/>
      <c r="D220" s="46"/>
      <c r="E220" s="46"/>
      <c r="F220" s="46"/>
      <c r="G220" s="46"/>
      <c r="H220" s="46"/>
      <c r="I220" s="46"/>
      <c r="J220" s="46"/>
      <c r="K220" s="46"/>
      <c r="L220" s="50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</row>
    <row r="221" spans="2:38" s="45" customFormat="1">
      <c r="B221" s="44" t="s">
        <v>271</v>
      </c>
      <c r="C221" s="43">
        <f t="shared" ref="C221:J221" si="787">C3</f>
        <v>43465</v>
      </c>
      <c r="D221" s="43">
        <f t="shared" si="787"/>
        <v>43830</v>
      </c>
      <c r="E221" s="43">
        <f t="shared" si="787"/>
        <v>44196</v>
      </c>
      <c r="F221" s="43">
        <f t="shared" si="787"/>
        <v>44561</v>
      </c>
      <c r="G221" s="43">
        <f t="shared" si="787"/>
        <v>44926</v>
      </c>
      <c r="H221" s="43">
        <f t="shared" si="787"/>
        <v>45291</v>
      </c>
      <c r="I221" s="43">
        <f t="shared" si="787"/>
        <v>45657</v>
      </c>
      <c r="J221" s="43">
        <f t="shared" si="787"/>
        <v>46022</v>
      </c>
      <c r="K221" s="43"/>
      <c r="L221" s="50"/>
      <c r="M221" s="43">
        <f t="shared" ref="M221:AL221" si="788">M3</f>
        <v>43921</v>
      </c>
      <c r="N221" s="43">
        <f t="shared" si="788"/>
        <v>44012</v>
      </c>
      <c r="O221" s="43">
        <f t="shared" si="788"/>
        <v>44104</v>
      </c>
      <c r="P221" s="43">
        <f t="shared" si="788"/>
        <v>44196</v>
      </c>
      <c r="Q221" s="43">
        <f t="shared" si="788"/>
        <v>44286</v>
      </c>
      <c r="R221" s="43">
        <f t="shared" si="788"/>
        <v>44377</v>
      </c>
      <c r="S221" s="43">
        <f t="shared" si="788"/>
        <v>44469</v>
      </c>
      <c r="T221" s="43">
        <f t="shared" si="788"/>
        <v>44561</v>
      </c>
      <c r="U221" s="43">
        <f t="shared" si="788"/>
        <v>44651</v>
      </c>
      <c r="V221" s="43">
        <f t="shared" si="788"/>
        <v>44742</v>
      </c>
      <c r="W221" s="43">
        <f t="shared" si="788"/>
        <v>44834</v>
      </c>
      <c r="X221" s="43">
        <f t="shared" si="788"/>
        <v>44926</v>
      </c>
      <c r="Y221" s="43">
        <f t="shared" si="788"/>
        <v>45016</v>
      </c>
      <c r="Z221" s="43">
        <f t="shared" si="788"/>
        <v>45107</v>
      </c>
      <c r="AA221" s="43">
        <f t="shared" si="788"/>
        <v>45199</v>
      </c>
      <c r="AB221" s="43">
        <f t="shared" si="788"/>
        <v>45291</v>
      </c>
      <c r="AC221" s="43">
        <f t="shared" si="788"/>
        <v>45382</v>
      </c>
      <c r="AD221" s="43">
        <f t="shared" si="788"/>
        <v>45473</v>
      </c>
      <c r="AE221" s="43">
        <f t="shared" si="788"/>
        <v>45565</v>
      </c>
      <c r="AF221" s="43">
        <f t="shared" si="788"/>
        <v>45657</v>
      </c>
      <c r="AG221" s="43">
        <f t="shared" si="788"/>
        <v>45747</v>
      </c>
      <c r="AH221" s="43">
        <f t="shared" si="788"/>
        <v>45838</v>
      </c>
      <c r="AI221" s="43">
        <f t="shared" si="788"/>
        <v>45930</v>
      </c>
      <c r="AJ221" s="43">
        <f t="shared" si="788"/>
        <v>46022</v>
      </c>
      <c r="AK221" s="43">
        <f t="shared" si="788"/>
        <v>46112</v>
      </c>
      <c r="AL221" s="43"/>
    </row>
    <row r="222" spans="2:38" s="26" customFormat="1">
      <c r="B222" s="44"/>
      <c r="C222" s="43" t="s">
        <v>156</v>
      </c>
      <c r="D222" s="43" t="s">
        <v>156</v>
      </c>
      <c r="E222" s="43" t="s">
        <v>156</v>
      </c>
      <c r="F222" s="43" t="s">
        <v>156</v>
      </c>
      <c r="G222" s="43" t="s">
        <v>156</v>
      </c>
      <c r="H222" s="43" t="s">
        <v>156</v>
      </c>
      <c r="I222" s="43" t="s">
        <v>156</v>
      </c>
      <c r="J222" s="43" t="s">
        <v>156</v>
      </c>
      <c r="K222" s="43"/>
      <c r="L222" s="50"/>
      <c r="M222" s="43" t="s">
        <v>156</v>
      </c>
      <c r="N222" s="43" t="s">
        <v>156</v>
      </c>
      <c r="O222" s="43" t="s">
        <v>156</v>
      </c>
      <c r="P222" s="43" t="s">
        <v>156</v>
      </c>
      <c r="Q222" s="43" t="s">
        <v>156</v>
      </c>
      <c r="R222" s="43" t="s">
        <v>156</v>
      </c>
      <c r="S222" s="43" t="s">
        <v>156</v>
      </c>
      <c r="T222" s="43" t="s">
        <v>156</v>
      </c>
      <c r="U222" s="43" t="s">
        <v>156</v>
      </c>
      <c r="V222" s="43" t="s">
        <v>156</v>
      </c>
      <c r="W222" s="43" t="s">
        <v>156</v>
      </c>
      <c r="X222" s="43" t="s">
        <v>156</v>
      </c>
      <c r="Y222" s="43"/>
      <c r="Z222" s="43"/>
      <c r="AA222" s="43" t="s">
        <v>156</v>
      </c>
      <c r="AB222" s="43" t="s">
        <v>156</v>
      </c>
      <c r="AC222" s="43"/>
      <c r="AD222" s="43"/>
      <c r="AE222" s="43" t="s">
        <v>156</v>
      </c>
      <c r="AF222" s="43" t="s">
        <v>156</v>
      </c>
      <c r="AG222" s="43"/>
      <c r="AH222" s="43"/>
      <c r="AI222" s="43" t="s">
        <v>156</v>
      </c>
      <c r="AJ222" s="43" t="s">
        <v>156</v>
      </c>
      <c r="AK222" s="43"/>
      <c r="AL222" s="43"/>
    </row>
    <row r="223" spans="2:38">
      <c r="L223" s="50"/>
    </row>
    <row r="224" spans="2:38" s="26" customFormat="1">
      <c r="B224" s="26" t="str">
        <f>B7</f>
        <v>Revenue</v>
      </c>
      <c r="C224" s="41">
        <f t="shared" ref="C224:K224" si="789">C7*C$205</f>
        <v>69694.647770470037</v>
      </c>
      <c r="D224" s="41">
        <f t="shared" si="789"/>
        <v>83590.066363346574</v>
      </c>
      <c r="E224" s="41">
        <f t="shared" si="789"/>
        <v>108255.1037115527</v>
      </c>
      <c r="F224" s="41">
        <f t="shared" si="789"/>
        <v>147467.36413085592</v>
      </c>
      <c r="G224" s="41">
        <f t="shared" si="789"/>
        <v>147166.4884937827</v>
      </c>
      <c r="H224" s="41">
        <f t="shared" si="789"/>
        <v>152571.59736679232</v>
      </c>
      <c r="I224" s="41">
        <f t="shared" si="789"/>
        <v>161153.00105690604</v>
      </c>
      <c r="J224" s="41">
        <f t="shared" si="789"/>
        <v>182143.23405884643</v>
      </c>
      <c r="K224" s="41"/>
      <c r="L224" s="50"/>
      <c r="M224" s="41">
        <f t="shared" ref="M224:AL224" si="790">M7*M$205</f>
        <v>20955.611947999827</v>
      </c>
      <c r="N224" s="41">
        <f t="shared" si="790"/>
        <v>28377.825798529262</v>
      </c>
      <c r="O224" s="41">
        <f t="shared" si="790"/>
        <v>25356.882905174298</v>
      </c>
      <c r="P224" s="41">
        <f t="shared" si="790"/>
        <v>33873.124603629993</v>
      </c>
      <c r="Q224" s="41">
        <f t="shared" si="790"/>
        <v>31344.189228799307</v>
      </c>
      <c r="R224" s="41">
        <f t="shared" si="790"/>
        <v>39311.122641801681</v>
      </c>
      <c r="S224" s="41">
        <f t="shared" si="790"/>
        <v>33879.383161645106</v>
      </c>
      <c r="T224" s="41">
        <f t="shared" si="790"/>
        <v>41643.848975156216</v>
      </c>
      <c r="U224" s="41">
        <f t="shared" si="790"/>
        <v>37756.999038961454</v>
      </c>
      <c r="V224" s="41">
        <f t="shared" si="790"/>
        <v>40487.879999999997</v>
      </c>
      <c r="W224" s="41">
        <f t="shared" si="790"/>
        <v>35570.210031256393</v>
      </c>
      <c r="X224" s="41">
        <f t="shared" si="790"/>
        <v>41558.262533055757</v>
      </c>
      <c r="Y224" s="41">
        <f t="shared" si="790"/>
        <v>35447.280400000003</v>
      </c>
      <c r="Z224" s="41">
        <f t="shared" si="790"/>
        <v>41174.133000000002</v>
      </c>
      <c r="AA224" s="41">
        <f t="shared" si="790"/>
        <v>34058.475000000006</v>
      </c>
      <c r="AB224" s="41">
        <f t="shared" si="790"/>
        <v>43053.648793113149</v>
      </c>
      <c r="AC224" s="41">
        <f t="shared" si="790"/>
        <v>36346.181900000003</v>
      </c>
      <c r="AD224" s="41">
        <f t="shared" si="790"/>
        <v>40241.9257</v>
      </c>
      <c r="AE224" s="41">
        <f t="shared" si="790"/>
        <v>36350.025200000004</v>
      </c>
      <c r="AF224" s="41">
        <f t="shared" si="790"/>
        <v>48254.158090893921</v>
      </c>
      <c r="AG224" s="41">
        <f t="shared" si="790"/>
        <v>41390.393445327318</v>
      </c>
      <c r="AH224" s="41">
        <f t="shared" si="790"/>
        <v>49326.078000000001</v>
      </c>
      <c r="AI224" s="41">
        <f t="shared" si="790"/>
        <v>41783.77321056823</v>
      </c>
      <c r="AJ224" s="41">
        <f t="shared" si="790"/>
        <v>49693.755201647597</v>
      </c>
      <c r="AK224" s="41">
        <f t="shared" si="790"/>
        <v>45591.531396222046</v>
      </c>
      <c r="AL224" s="41"/>
    </row>
    <row r="225" spans="2:38" s="37" customFormat="1">
      <c r="B225" s="42" t="s">
        <v>265</v>
      </c>
      <c r="C225" s="38"/>
      <c r="D225" s="38">
        <f t="shared" ref="D225:J225" si="791">D224/C224-1</f>
        <v>0.19937569149698886</v>
      </c>
      <c r="E225" s="38">
        <f t="shared" si="791"/>
        <v>0.29507139330399546</v>
      </c>
      <c r="F225" s="38">
        <f t="shared" si="791"/>
        <v>0.36222089374912847</v>
      </c>
      <c r="G225" s="38">
        <f t="shared" si="791"/>
        <v>-2.0402862616181183E-3</v>
      </c>
      <c r="H225" s="49">
        <f t="shared" si="791"/>
        <v>3.6727851077577256E-2</v>
      </c>
      <c r="I225" s="49">
        <f t="shared" si="791"/>
        <v>5.6245093046272787E-2</v>
      </c>
      <c r="J225" s="49">
        <f t="shared" si="791"/>
        <v>0.13025033889706061</v>
      </c>
      <c r="K225" s="49"/>
      <c r="L225" s="276"/>
      <c r="M225" s="49"/>
      <c r="N225" s="49"/>
      <c r="O225" s="49"/>
      <c r="P225" s="49"/>
      <c r="Q225" s="49">
        <f t="shared" ref="Q225:R225" si="792">Q224/M224-1</f>
        <v>0.49574201443404031</v>
      </c>
      <c r="R225" s="49">
        <f t="shared" si="792"/>
        <v>0.38527605747157212</v>
      </c>
      <c r="S225" s="49">
        <f>S224/O224-1</f>
        <v>0.336102047256436</v>
      </c>
      <c r="T225" s="49">
        <f>T224/P224-1</f>
        <v>0.22940677786464025</v>
      </c>
      <c r="U225" s="49">
        <f t="shared" ref="U225:V225" si="793">U224/Q224-1</f>
        <v>0.20459325852557075</v>
      </c>
      <c r="V225" s="49">
        <f t="shared" si="793"/>
        <v>2.993446330497318E-2</v>
      </c>
      <c r="W225" s="49">
        <f>W224/S224-1</f>
        <v>4.9907250717760254E-2</v>
      </c>
      <c r="X225" s="49">
        <f>X224/T224-1</f>
        <v>-2.0552000885296628E-3</v>
      </c>
      <c r="Y225" s="49">
        <f t="shared" ref="Y225:Z225" si="794">Y224/U224-1</f>
        <v>-6.1173257879368337E-2</v>
      </c>
      <c r="Z225" s="49">
        <f t="shared" si="794"/>
        <v>1.6949590840518391E-2</v>
      </c>
      <c r="AA225" s="49">
        <f>AA224/W224-1</f>
        <v>-4.2500031063296806E-2</v>
      </c>
      <c r="AB225" s="49">
        <f>AB224/X224-1</f>
        <v>3.5982886889651677E-2</v>
      </c>
      <c r="AC225" s="49">
        <f t="shared" ref="AC225:AD225" si="795">AC224/Y224-1</f>
        <v>2.5358828374320019E-2</v>
      </c>
      <c r="AD225" s="49">
        <f t="shared" si="795"/>
        <v>-2.264060545002855E-2</v>
      </c>
      <c r="AE225" s="49">
        <f>AE224/AA224-1</f>
        <v>6.7282818740416195E-2</v>
      </c>
      <c r="AF225" s="49">
        <f>AF224/AB224-1</f>
        <v>0.12079137177828803</v>
      </c>
      <c r="AG225" s="49">
        <f t="shared" ref="AG225:AH225" si="796">AG224/AC224-1</f>
        <v>0.13878243275196156</v>
      </c>
      <c r="AH225" s="49">
        <f t="shared" si="796"/>
        <v>0.22573850883085345</v>
      </c>
      <c r="AI225" s="49">
        <f>AI224/AE224-1</f>
        <v>0.1494840232069008</v>
      </c>
      <c r="AJ225" s="49">
        <f>AJ224/AF224-1</f>
        <v>2.9833638544516372E-2</v>
      </c>
      <c r="AK225" s="49">
        <f t="shared" ref="AK225:AL225" si="797">AK224/AG224-1</f>
        <v>0.10150031447379271</v>
      </c>
      <c r="AL225" s="49"/>
    </row>
    <row r="226" spans="2:38">
      <c r="L226" s="50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</row>
    <row r="227" spans="2:38" s="26" customFormat="1" ht="13.5" thickBot="1">
      <c r="B227" s="32" t="str">
        <f>B52</f>
        <v xml:space="preserve">Adj. EBITDA </v>
      </c>
      <c r="C227" s="40">
        <f>C52*C$205</f>
        <v>854.8483979967416</v>
      </c>
      <c r="D227" s="40">
        <f>D52*D$205</f>
        <v>2001.1912075810708</v>
      </c>
      <c r="E227" s="40">
        <f>E52*E$205</f>
        <v>3001.9190628946335</v>
      </c>
      <c r="F227" s="40">
        <f>F52*F$205</f>
        <v>2899.7191960203945</v>
      </c>
      <c r="G227" s="40">
        <f>G52*G$205</f>
        <v>4726.5515107185056</v>
      </c>
      <c r="H227" s="40">
        <f t="shared" ref="H227:I227" si="798">H52*H$205</f>
        <v>5971.4173184043202</v>
      </c>
      <c r="I227" s="40">
        <f t="shared" si="798"/>
        <v>7220.7542971574785</v>
      </c>
      <c r="J227" s="40">
        <f t="shared" ref="J227" si="799">J52*J$205</f>
        <v>2552.3441835904309</v>
      </c>
      <c r="K227" s="40"/>
      <c r="L227" s="50"/>
      <c r="M227" s="40">
        <f t="shared" ref="M227:R227" si="800">M52*M$205</f>
        <v>647.04195272972231</v>
      </c>
      <c r="N227" s="40">
        <f t="shared" si="800"/>
        <v>973.96222953040967</v>
      </c>
      <c r="O227" s="40">
        <f t="shared" si="800"/>
        <v>960.88232297503828</v>
      </c>
      <c r="P227" s="40">
        <f t="shared" si="800"/>
        <v>402.35058738259835</v>
      </c>
      <c r="Q227" s="40">
        <f t="shared" si="800"/>
        <v>762.06831119544586</v>
      </c>
      <c r="R227" s="40">
        <f t="shared" si="800"/>
        <v>580.3427712896131</v>
      </c>
      <c r="S227" s="40">
        <f>S52*S$205</f>
        <v>908.22988149639843</v>
      </c>
      <c r="T227" s="40">
        <f t="shared" ref="T227:V227" si="801">T52*T$205</f>
        <v>628.17460077882083</v>
      </c>
      <c r="U227" s="40">
        <f t="shared" si="801"/>
        <v>955.68194350353701</v>
      </c>
      <c r="V227" s="40">
        <f t="shared" si="801"/>
        <v>1085.5774999999999</v>
      </c>
      <c r="W227" s="40">
        <f>W52*W$205</f>
        <v>1674.2616773288933</v>
      </c>
      <c r="X227" s="40">
        <f t="shared" ref="X227:Z227" si="802">X52*X$205</f>
        <v>1251.6176222359759</v>
      </c>
      <c r="Y227" s="40">
        <f t="shared" si="802"/>
        <v>1385.9041</v>
      </c>
      <c r="Z227" s="40">
        <f t="shared" si="802"/>
        <v>1487.6290000000001</v>
      </c>
      <c r="AA227" s="40">
        <f>AA52*AA$205</f>
        <v>1772.2375000000002</v>
      </c>
      <c r="AB227" s="40">
        <f t="shared" ref="AB227:AD227" si="803">AB52*AB$205</f>
        <v>1358.9433410228999</v>
      </c>
      <c r="AC227" s="40">
        <f t="shared" si="803"/>
        <v>1507.6630333333335</v>
      </c>
      <c r="AD227" s="40">
        <f t="shared" si="803"/>
        <v>1868.4929999999999</v>
      </c>
      <c r="AE227" s="40">
        <f>AE52*AE$205</f>
        <v>2104.7492000000002</v>
      </c>
      <c r="AF227" s="40">
        <f t="shared" ref="AF227:AH227" si="804">AF52*AF$205</f>
        <v>1742.3652444790566</v>
      </c>
      <c r="AG227" s="40">
        <f t="shared" si="804"/>
        <v>1883.6435621786588</v>
      </c>
      <c r="AH227" s="40">
        <f t="shared" si="804"/>
        <v>414.76170000000002</v>
      </c>
      <c r="AI227" s="40">
        <f>AI52*AI$205</f>
        <v>344.54333337990579</v>
      </c>
      <c r="AJ227" s="40">
        <f t="shared" ref="AJ227:AL227" si="805">AJ52*AJ$205</f>
        <v>-116.09372134685644</v>
      </c>
      <c r="AK227" s="40">
        <f t="shared" si="805"/>
        <v>1157.9342614522557</v>
      </c>
      <c r="AL227" s="40"/>
    </row>
    <row r="228" spans="2:38" s="37" customFormat="1" ht="13.5" thickTop="1">
      <c r="B228" s="39" t="str">
        <f>B53</f>
        <v xml:space="preserve">% growth </v>
      </c>
      <c r="C228" s="38"/>
      <c r="D228" s="38">
        <f t="shared" ref="D228:J228" si="806">D227/C227-1</f>
        <v>1.3409895980043687</v>
      </c>
      <c r="E228" s="38">
        <f t="shared" si="806"/>
        <v>0.50006608640020311</v>
      </c>
      <c r="F228" s="38">
        <f t="shared" si="806"/>
        <v>-3.4044844225644022E-2</v>
      </c>
      <c r="G228" s="38">
        <f t="shared" si="806"/>
        <v>0.6300031800338719</v>
      </c>
      <c r="H228" s="49">
        <f t="shared" si="806"/>
        <v>0.26337717992976595</v>
      </c>
      <c r="I228" s="49">
        <f t="shared" si="806"/>
        <v>0.20921950554395452</v>
      </c>
      <c r="J228" s="49">
        <f t="shared" si="806"/>
        <v>-0.64652665378806939</v>
      </c>
      <c r="K228" s="49"/>
      <c r="L228" s="276"/>
      <c r="M228" s="49"/>
      <c r="N228" s="49"/>
      <c r="O228" s="49"/>
      <c r="P228" s="49"/>
      <c r="Q228" s="49">
        <f t="shared" ref="Q228:R228" si="807">Q227/M227-1</f>
        <v>0.17777264361368461</v>
      </c>
      <c r="R228" s="49">
        <f t="shared" si="807"/>
        <v>-0.40414242596509919</v>
      </c>
      <c r="S228" s="49">
        <f>S227/O227-1</f>
        <v>-5.4795931010178101E-2</v>
      </c>
      <c r="T228" s="49"/>
      <c r="U228" s="49">
        <f t="shared" ref="U228:V228" si="808">U227/Q227-1</f>
        <v>0.25406335555978199</v>
      </c>
      <c r="V228" s="49">
        <f t="shared" si="808"/>
        <v>0.87057986022239175</v>
      </c>
      <c r="W228" s="49">
        <f>W227/S227-1</f>
        <v>0.84343381718555865</v>
      </c>
      <c r="X228" s="49">
        <f>X227/T227-1</f>
        <v>0.99246773219452122</v>
      </c>
      <c r="Y228" s="49">
        <f t="shared" ref="Y228:Z228" si="809">Y227/U227-1</f>
        <v>0.45017294657599716</v>
      </c>
      <c r="Z228" s="49">
        <f t="shared" si="809"/>
        <v>0.37035725224592464</v>
      </c>
      <c r="AA228" s="49">
        <f>AA227/W227-1</f>
        <v>5.8518822952106753E-2</v>
      </c>
      <c r="AB228" s="49">
        <f>AB227/X227-1</f>
        <v>8.5749606653180432E-2</v>
      </c>
      <c r="AC228" s="49">
        <f t="shared" ref="AC228:AD228" si="810">AC227/Y227-1</f>
        <v>8.7855237121625906E-2</v>
      </c>
      <c r="AD228" s="49">
        <f t="shared" si="810"/>
        <v>0.2560208223959064</v>
      </c>
      <c r="AE228" s="49">
        <f>AE227/AA227-1</f>
        <v>0.1876225393041282</v>
      </c>
      <c r="AF228" s="49">
        <f>AF227/AB227-1</f>
        <v>0.2821470858141506</v>
      </c>
      <c r="AG228" s="49">
        <f t="shared" ref="AG228:AH228" si="811">AG227/AC227-1</f>
        <v>0.24937968268284694</v>
      </c>
      <c r="AH228" s="49">
        <f t="shared" si="811"/>
        <v>-0.7780234124505685</v>
      </c>
      <c r="AI228" s="49">
        <f>AI227/AE227-1</f>
        <v>-0.8363019530403405</v>
      </c>
      <c r="AJ228" s="49">
        <f>AJ227/AF227-1</f>
        <v>-1.0666299570165996</v>
      </c>
      <c r="AK228" s="49">
        <f t="shared" ref="AK228:AL228" si="812">AK227/AG227-1</f>
        <v>-0.38526890930842228</v>
      </c>
      <c r="AL228" s="49"/>
    </row>
    <row r="229" spans="2:38" s="181" customFormat="1">
      <c r="B229" s="179" t="str">
        <f>B54</f>
        <v>% margin</v>
      </c>
      <c r="C229" s="180">
        <f t="shared" ref="C229:E229" si="813">C227/C224</f>
        <v>1.2265624769524197E-2</v>
      </c>
      <c r="D229" s="180">
        <f t="shared" si="813"/>
        <v>2.3940538566895715E-2</v>
      </c>
      <c r="E229" s="180">
        <f t="shared" si="813"/>
        <v>2.7730046528737257E-2</v>
      </c>
      <c r="F229" s="180">
        <f t="shared" ref="F229:G229" si="814">F227/F224</f>
        <v>1.9663463933940761E-2</v>
      </c>
      <c r="G229" s="180">
        <f t="shared" si="814"/>
        <v>3.2117036691530404E-2</v>
      </c>
      <c r="H229" s="49">
        <f t="shared" ref="H229:I229" si="815">H227/H224</f>
        <v>3.9138459722936725E-2</v>
      </c>
      <c r="I229" s="49">
        <f t="shared" si="815"/>
        <v>4.4806824879467799E-2</v>
      </c>
      <c r="J229" s="49">
        <f t="shared" ref="J229" si="816">J227/J224</f>
        <v>1.4012841030185207E-2</v>
      </c>
      <c r="K229" s="49"/>
      <c r="L229" s="276"/>
      <c r="M229" s="49">
        <f t="shared" ref="M229:P229" si="817">M227/M224</f>
        <v>3.0876786339397798E-2</v>
      </c>
      <c r="N229" s="49">
        <f t="shared" si="817"/>
        <v>3.4321242100967694E-2</v>
      </c>
      <c r="O229" s="49">
        <f t="shared" si="817"/>
        <v>3.7894339243841432E-2</v>
      </c>
      <c r="P229" s="49">
        <f t="shared" si="817"/>
        <v>1.1878165716648435E-2</v>
      </c>
      <c r="Q229" s="49">
        <f t="shared" ref="Q229:T229" si="818">Q227/Q224</f>
        <v>2.4312905516000748E-2</v>
      </c>
      <c r="R229" s="49">
        <f t="shared" si="818"/>
        <v>1.4762813480999464E-2</v>
      </c>
      <c r="S229" s="49">
        <f t="shared" si="818"/>
        <v>2.6807745500059949E-2</v>
      </c>
      <c r="T229" s="49">
        <f t="shared" si="818"/>
        <v>1.5084451035099462E-2</v>
      </c>
      <c r="U229" s="49">
        <f t="shared" ref="U229:X229" si="819">U227/U224</f>
        <v>2.5311385116104399E-2</v>
      </c>
      <c r="V229" s="49">
        <f t="shared" si="819"/>
        <v>2.6812406576980568E-2</v>
      </c>
      <c r="W229" s="49">
        <f t="shared" si="819"/>
        <v>4.7069209764510234E-2</v>
      </c>
      <c r="X229" s="49">
        <f t="shared" si="819"/>
        <v>3.0117178773786075E-2</v>
      </c>
      <c r="Y229" s="49">
        <f t="shared" ref="Y229:AB229" si="820">Y227/Y224</f>
        <v>3.9097614382851212E-2</v>
      </c>
      <c r="Z229" s="49">
        <f t="shared" si="820"/>
        <v>3.6130183967686705E-2</v>
      </c>
      <c r="AA229" s="49">
        <f t="shared" si="820"/>
        <v>5.203513956511558E-2</v>
      </c>
      <c r="AB229" s="49">
        <f t="shared" si="820"/>
        <v>3.1563952861534843E-2</v>
      </c>
      <c r="AC229" s="49">
        <f t="shared" ref="AC229:AF229" si="821">AC227/AC224</f>
        <v>4.1480644032470801E-2</v>
      </c>
      <c r="AD229" s="49">
        <f t="shared" si="821"/>
        <v>4.6431500667474271E-2</v>
      </c>
      <c r="AE229" s="49">
        <f t="shared" si="821"/>
        <v>5.7902276227307814E-2</v>
      </c>
      <c r="AF229" s="49">
        <f t="shared" si="821"/>
        <v>3.6108085052422863E-2</v>
      </c>
      <c r="AG229" s="49">
        <f t="shared" ref="AG229:AJ229" si="822">AG227/AG224</f>
        <v>4.5509196830099442E-2</v>
      </c>
      <c r="AH229" s="49">
        <f t="shared" si="822"/>
        <v>8.4085683844557849E-3</v>
      </c>
      <c r="AI229" s="49">
        <f t="shared" si="822"/>
        <v>8.2458645284040934E-3</v>
      </c>
      <c r="AJ229" s="49">
        <f t="shared" si="822"/>
        <v>-2.3361833066503162E-3</v>
      </c>
      <c r="AK229" s="49">
        <f t="shared" ref="AK229:AL229" si="823">AK227/AK224</f>
        <v>2.5398011998961023E-2</v>
      </c>
      <c r="AL229" s="49"/>
    </row>
    <row r="230" spans="2:38">
      <c r="L230" s="50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</row>
    <row r="231" spans="2:38" s="26" customFormat="1">
      <c r="B231" s="26" t="str">
        <f t="shared" ref="B231:B248" si="824">B60</f>
        <v xml:space="preserve">Adj. EBITDA </v>
      </c>
      <c r="C231" s="35">
        <f t="shared" ref="C231:E248" si="825">C60*C$205</f>
        <v>854.8483979967416</v>
      </c>
      <c r="D231" s="35">
        <f t="shared" si="825"/>
        <v>2001.1912075810708</v>
      </c>
      <c r="E231" s="35">
        <f t="shared" si="825"/>
        <v>3001.9190628946335</v>
      </c>
      <c r="F231" s="35">
        <f t="shared" ref="F231" si="826">F60*F$205</f>
        <v>2899.7191960203945</v>
      </c>
      <c r="G231" s="35">
        <f t="shared" ref="G231:H231" si="827">G60*G$205</f>
        <v>4726.5515107185056</v>
      </c>
      <c r="H231" s="35">
        <f t="shared" si="827"/>
        <v>5971.4173184043202</v>
      </c>
      <c r="I231" s="35">
        <f t="shared" ref="I231" si="828">I60*I$205</f>
        <v>7220.7542971574785</v>
      </c>
      <c r="J231" s="35">
        <f>J60*J$205</f>
        <v>2552.3441835904309</v>
      </c>
      <c r="K231" s="35"/>
      <c r="L231" s="50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</row>
    <row r="232" spans="2:38">
      <c r="B232" s="21" t="str">
        <f t="shared" si="824"/>
        <v>Working Capital</v>
      </c>
      <c r="C232" s="16">
        <f t="shared" si="825"/>
        <v>627.91769745972351</v>
      </c>
      <c r="D232" s="16">
        <f t="shared" si="825"/>
        <v>28.853421045005479</v>
      </c>
      <c r="E232" s="16">
        <f t="shared" si="825"/>
        <v>1666.6433454777698</v>
      </c>
      <c r="F232" s="16">
        <f t="shared" ref="F232:G232" si="829">F61*F$205</f>
        <v>6764.400502099832</v>
      </c>
      <c r="G232" s="16">
        <f t="shared" si="829"/>
        <v>1151.1843808023405</v>
      </c>
      <c r="H232" s="16">
        <f t="shared" ref="H232:I232" si="830">H61*H$205</f>
        <v>1996.7084904067967</v>
      </c>
      <c r="I232" s="16">
        <f t="shared" si="830"/>
        <v>437.22534349446516</v>
      </c>
      <c r="J232" s="16">
        <f t="shared" ref="J232" si="831">J61*J$205</f>
        <v>-1838.7063010329014</v>
      </c>
      <c r="K232" s="117"/>
      <c r="L232" s="50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</row>
    <row r="233" spans="2:38">
      <c r="B233" s="21" t="str">
        <f t="shared" si="824"/>
        <v>Taxes</v>
      </c>
      <c r="C233" s="16">
        <f t="shared" si="825"/>
        <v>370.83433898509628</v>
      </c>
      <c r="D233" s="16">
        <f t="shared" si="825"/>
        <v>-117.0229228852117</v>
      </c>
      <c r="E233" s="16">
        <f t="shared" si="825"/>
        <v>-172.74062676904765</v>
      </c>
      <c r="F233" s="16">
        <f t="shared" ref="F233:G233" si="832">F62*F$205</f>
        <v>-393.31153434889745</v>
      </c>
      <c r="G233" s="16">
        <f t="shared" si="832"/>
        <v>-359.39346199291055</v>
      </c>
      <c r="H233" s="16">
        <f t="shared" ref="H233:I233" si="833">H62*H$205</f>
        <v>-768.30023068699711</v>
      </c>
      <c r="I233" s="16">
        <f t="shared" si="833"/>
        <v>-1224.7594148078099</v>
      </c>
      <c r="J233" s="16">
        <f>J62*J$205</f>
        <v>-1210.081626945376</v>
      </c>
      <c r="K233" s="117"/>
      <c r="L233" s="50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7"/>
    </row>
    <row r="234" spans="2:38">
      <c r="B234" s="21" t="str">
        <f t="shared" si="824"/>
        <v>Cash interest paid</v>
      </c>
      <c r="C234" s="16">
        <f t="shared" si="825"/>
        <v>-63.512188499366438</v>
      </c>
      <c r="D234" s="16">
        <f t="shared" si="825"/>
        <v>-98.403222534558211</v>
      </c>
      <c r="E234" s="16">
        <f t="shared" si="825"/>
        <v>-148.04581016939312</v>
      </c>
      <c r="F234" s="16">
        <f t="shared" ref="F234:G234" si="834">F63*F$205</f>
        <v>-189.21725115839391</v>
      </c>
      <c r="G234" s="16">
        <f t="shared" si="834"/>
        <v>-336.60608788611938</v>
      </c>
      <c r="H234" s="16">
        <f t="shared" ref="H234:I234" si="835">H63*H$205</f>
        <v>-394.98115118438079</v>
      </c>
      <c r="I234" s="16">
        <f t="shared" si="835"/>
        <v>-385.77070701451856</v>
      </c>
      <c r="J234" s="16">
        <f t="shared" ref="J234" si="836">J63*J$205</f>
        <v>-373.44591085677695</v>
      </c>
      <c r="K234" s="117"/>
      <c r="L234" s="50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7"/>
    </row>
    <row r="235" spans="2:38" s="26" customFormat="1" ht="13.5" thickBot="1">
      <c r="B235" s="32" t="str">
        <f t="shared" si="824"/>
        <v xml:space="preserve">Net cash from operations </v>
      </c>
      <c r="C235" s="31">
        <f t="shared" si="825"/>
        <v>1790.088245942195</v>
      </c>
      <c r="D235" s="31">
        <f t="shared" si="825"/>
        <v>1814.6184832063063</v>
      </c>
      <c r="E235" s="31">
        <f t="shared" si="825"/>
        <v>4347.7759714339627</v>
      </c>
      <c r="F235" s="31">
        <f t="shared" ref="F235" si="837">F64*F$205</f>
        <v>9081.5909126129336</v>
      </c>
      <c r="G235" s="31">
        <f t="shared" ref="G235:H235" si="838">G64*G$205</f>
        <v>5181.7363416418157</v>
      </c>
      <c r="H235" s="31">
        <f t="shared" si="838"/>
        <v>6804.8444269397396</v>
      </c>
      <c r="I235" s="31">
        <f t="shared" ref="I235:J235" si="839">I64*I$205</f>
        <v>6047.449518829616</v>
      </c>
      <c r="J235" s="31">
        <f t="shared" si="839"/>
        <v>-869.88965524462344</v>
      </c>
      <c r="K235" s="31"/>
      <c r="L235" s="50"/>
      <c r="M235" s="31">
        <f t="shared" ref="M235:X235" si="840">M64*M$205</f>
        <v>0</v>
      </c>
      <c r="N235" s="31">
        <f t="shared" si="840"/>
        <v>0</v>
      </c>
      <c r="O235" s="31">
        <f t="shared" si="840"/>
        <v>0</v>
      </c>
      <c r="P235" s="31">
        <f t="shared" si="840"/>
        <v>0</v>
      </c>
      <c r="Q235" s="31">
        <f t="shared" si="840"/>
        <v>0</v>
      </c>
      <c r="R235" s="31">
        <f t="shared" si="840"/>
        <v>0</v>
      </c>
      <c r="S235" s="31">
        <f t="shared" si="840"/>
        <v>0</v>
      </c>
      <c r="T235" s="31">
        <f t="shared" si="840"/>
        <v>976.84668095511211</v>
      </c>
      <c r="U235" s="31">
        <f t="shared" si="840"/>
        <v>-549.05235296897899</v>
      </c>
      <c r="V235" s="31">
        <f t="shared" si="840"/>
        <v>5093.8170999999993</v>
      </c>
      <c r="W235" s="31">
        <f t="shared" si="840"/>
        <v>1336.5758186545147</v>
      </c>
      <c r="X235" s="31">
        <f t="shared" si="840"/>
        <v>2600.2925786305068</v>
      </c>
      <c r="Y235" s="31">
        <f t="shared" ref="Y235:AF239" si="841">Y64*Y$205</f>
        <v>-3152.4612999999999</v>
      </c>
      <c r="Z235" s="31">
        <f t="shared" si="841"/>
        <v>6651.0730000000003</v>
      </c>
      <c r="AA235" s="31">
        <f t="shared" si="841"/>
        <v>2063.0500000000002</v>
      </c>
      <c r="AB235" s="31">
        <f t="shared" si="841"/>
        <v>2758.8195577561469</v>
      </c>
      <c r="AC235" s="31">
        <f t="shared" si="841"/>
        <v>-1581.4598333333336</v>
      </c>
      <c r="AD235" s="31">
        <f t="shared" si="841"/>
        <v>6423.1691000000001</v>
      </c>
      <c r="AE235" s="31">
        <f t="shared" si="841"/>
        <v>-868.17240000000004</v>
      </c>
      <c r="AF235" s="31">
        <f t="shared" si="841"/>
        <v>3461.5063692495964</v>
      </c>
      <c r="AG235" s="31">
        <f t="shared" ref="AG235:AJ235" si="842">AG64*AG$205</f>
        <v>-2510.5166203843723</v>
      </c>
      <c r="AH235" s="31">
        <f t="shared" si="842"/>
        <v>3375.7647000000002</v>
      </c>
      <c r="AI235" s="31">
        <f t="shared" si="842"/>
        <v>-1122.6300420549649</v>
      </c>
      <c r="AJ235" s="31">
        <f t="shared" si="842"/>
        <v>2945.2257691385366</v>
      </c>
      <c r="AK235" s="31">
        <f t="shared" ref="AK235" si="843">AK64*AK$205</f>
        <v>80.151348853330248</v>
      </c>
      <c r="AL235" s="31"/>
    </row>
    <row r="236" spans="2:38" ht="13.5" thickTop="1">
      <c r="B236" s="21" t="str">
        <f t="shared" si="824"/>
        <v>Net Capex</v>
      </c>
      <c r="C236" s="34">
        <f t="shared" si="825"/>
        <v>-2093.7304652145053</v>
      </c>
      <c r="D236" s="34">
        <f t="shared" si="825"/>
        <v>-526.87498188773293</v>
      </c>
      <c r="E236" s="34">
        <f t="shared" si="825"/>
        <v>-709.56759032122272</v>
      </c>
      <c r="F236" s="34">
        <f t="shared" ref="F236:G236" si="844">F65*F$205</f>
        <v>-2074.5711230609495</v>
      </c>
      <c r="G236" s="34">
        <f t="shared" si="844"/>
        <v>-1509.4525403702244</v>
      </c>
      <c r="H236" s="34">
        <f t="shared" ref="H236:I236" si="845">H65*H$205</f>
        <v>-1266.8092049738366</v>
      </c>
      <c r="I236" s="34">
        <f t="shared" si="845"/>
        <v>-830.36657951827328</v>
      </c>
      <c r="J236" s="34">
        <f t="shared" ref="J236:K236" si="846">J65*J$205</f>
        <v>-1143.7128864540634</v>
      </c>
      <c r="K236" s="34"/>
      <c r="L236" s="50"/>
      <c r="M236" s="34">
        <f t="shared" ref="M236:X236" si="847">M65*M$205</f>
        <v>0</v>
      </c>
      <c r="N236" s="34">
        <f t="shared" si="847"/>
        <v>0</v>
      </c>
      <c r="O236" s="34">
        <f t="shared" si="847"/>
        <v>0</v>
      </c>
      <c r="P236" s="34">
        <f t="shared" si="847"/>
        <v>0</v>
      </c>
      <c r="Q236" s="34">
        <f t="shared" si="847"/>
        <v>0</v>
      </c>
      <c r="R236" s="34">
        <f t="shared" si="847"/>
        <v>0</v>
      </c>
      <c r="S236" s="34">
        <f t="shared" si="847"/>
        <v>0</v>
      </c>
      <c r="T236" s="34">
        <f t="shared" si="847"/>
        <v>-827.27080629094087</v>
      </c>
      <c r="U236" s="34">
        <f t="shared" si="847"/>
        <v>-563.70425220172365</v>
      </c>
      <c r="V236" s="34">
        <f t="shared" si="847"/>
        <v>-826.09799999999996</v>
      </c>
      <c r="W236" s="34">
        <f t="shared" si="847"/>
        <v>-774.98320334180471</v>
      </c>
      <c r="X236" s="34">
        <f t="shared" si="847"/>
        <v>-1074.1011646880097</v>
      </c>
      <c r="Y236" s="34">
        <f t="shared" si="841"/>
        <v>-468.77670000000001</v>
      </c>
      <c r="Z236" s="34">
        <f t="shared" si="841"/>
        <v>-515.80100000000004</v>
      </c>
      <c r="AA236" s="34">
        <f t="shared" si="841"/>
        <v>-686.53750000000002</v>
      </c>
      <c r="AB236" s="34">
        <f t="shared" si="841"/>
        <v>-923.4513025375569</v>
      </c>
      <c r="AC236" s="34">
        <f t="shared" si="841"/>
        <v>-402.52800000000002</v>
      </c>
      <c r="AD236" s="34">
        <f t="shared" si="841"/>
        <v>-498.12670000000003</v>
      </c>
      <c r="AE236" s="34">
        <f t="shared" si="841"/>
        <v>-747.97680000000003</v>
      </c>
      <c r="AF236" s="34">
        <f t="shared" si="841"/>
        <v>-370.47338265561552</v>
      </c>
      <c r="AG236" s="34">
        <f t="shared" ref="AG236:AJ236" si="848">AG65*AG$205</f>
        <v>-319.34783206400704</v>
      </c>
      <c r="AH236" s="34">
        <f t="shared" si="848"/>
        <v>-419.32560000000001</v>
      </c>
      <c r="AI236" s="34">
        <f t="shared" si="848"/>
        <v>-362.70660724016039</v>
      </c>
      <c r="AJ236" s="34">
        <f t="shared" si="848"/>
        <v>-674.83883708792371</v>
      </c>
      <c r="AK236" s="34">
        <f t="shared" ref="AK236:AL236" si="849">AK65*AK$205</f>
        <v>-1236.3526081682166</v>
      </c>
      <c r="AL236" s="34"/>
    </row>
    <row r="237" spans="2:38">
      <c r="B237" s="21" t="str">
        <f t="shared" si="824"/>
        <v>Purchase of intangible assets</v>
      </c>
      <c r="C237" s="34">
        <f t="shared" si="825"/>
        <v>-19.730435044952632</v>
      </c>
      <c r="D237" s="34">
        <f t="shared" si="825"/>
        <v>-6.0058828643463649</v>
      </c>
      <c r="E237" s="34">
        <f t="shared" si="825"/>
        <v>-2.8103000304820518</v>
      </c>
      <c r="F237" s="34">
        <f t="shared" ref="F237:G237" si="850">F66*F$205</f>
        <v>-3.5642889243595905</v>
      </c>
      <c r="G237" s="34">
        <f t="shared" si="850"/>
        <v>-1.4066280312834074</v>
      </c>
      <c r="H237" s="34">
        <f t="shared" ref="H237:I237" si="851">H66*H$205</f>
        <v>-0.42198840938502219</v>
      </c>
      <c r="I237" s="34">
        <f t="shared" si="851"/>
        <v>-18.356789230683653</v>
      </c>
      <c r="J237" s="34">
        <f t="shared" ref="J237:K237" si="852">J66*J$205</f>
        <v>0</v>
      </c>
      <c r="K237" s="34"/>
      <c r="L237" s="50"/>
      <c r="M237" s="34">
        <f t="shared" ref="M237:X237" si="853">M66*M$205</f>
        <v>0</v>
      </c>
      <c r="N237" s="34">
        <f t="shared" si="853"/>
        <v>0</v>
      </c>
      <c r="O237" s="34">
        <f t="shared" si="853"/>
        <v>0</v>
      </c>
      <c r="P237" s="34">
        <f t="shared" si="853"/>
        <v>0</v>
      </c>
      <c r="Q237" s="34">
        <f t="shared" si="853"/>
        <v>0</v>
      </c>
      <c r="R237" s="34">
        <f t="shared" si="853"/>
        <v>0</v>
      </c>
      <c r="S237" s="34">
        <f t="shared" si="853"/>
        <v>0</v>
      </c>
      <c r="T237" s="34">
        <f t="shared" si="853"/>
        <v>155.61324599269477</v>
      </c>
      <c r="U237" s="34">
        <f t="shared" si="853"/>
        <v>-273.18702440407736</v>
      </c>
      <c r="V237" s="34">
        <f t="shared" si="853"/>
        <v>-272.64259999999996</v>
      </c>
      <c r="W237" s="34">
        <f t="shared" si="853"/>
        <v>-219.9631934098677</v>
      </c>
      <c r="X237" s="34">
        <f t="shared" si="853"/>
        <v>167.95138693523884</v>
      </c>
      <c r="Y237" s="34">
        <f t="shared" si="841"/>
        <v>-84.913799999999995</v>
      </c>
      <c r="Z237" s="34">
        <f t="shared" si="841"/>
        <v>-226.79800000000003</v>
      </c>
      <c r="AA237" s="34">
        <f t="shared" si="841"/>
        <v>-240.21250000000001</v>
      </c>
      <c r="AB237" s="34">
        <f t="shared" si="841"/>
        <v>35.306363585213525</v>
      </c>
      <c r="AC237" s="34">
        <f t="shared" si="841"/>
        <v>-179.04110000000003</v>
      </c>
      <c r="AD237" s="34">
        <f t="shared" si="841"/>
        <v>-219.0266</v>
      </c>
      <c r="AE237" s="34">
        <f t="shared" si="841"/>
        <v>-311.5872</v>
      </c>
      <c r="AF237" s="34">
        <f t="shared" si="841"/>
        <v>172.85976525560437</v>
      </c>
      <c r="AG237" s="34">
        <f t="shared" ref="AG237:AJ237" si="854">AG66*AG$205</f>
        <v>-139.94666080118776</v>
      </c>
      <c r="AH237" s="34">
        <f t="shared" si="854"/>
        <v>88.650300000000001</v>
      </c>
      <c r="AI237" s="34">
        <f t="shared" si="854"/>
        <v>-86.34540958182555</v>
      </c>
      <c r="AJ237" s="34">
        <f t="shared" si="854"/>
        <v>171.38988023867628</v>
      </c>
      <c r="AK237" s="34">
        <f>AK66*AK$205</f>
        <v>-284.93443475246949</v>
      </c>
      <c r="AL237" s="34"/>
    </row>
    <row r="238" spans="2:38">
      <c r="B238" s="21" t="str">
        <f t="shared" si="824"/>
        <v>Disposals/ Acquistion, of subsidiaries, businesses</v>
      </c>
      <c r="C238" s="34">
        <f t="shared" si="825"/>
        <v>-2.9532975321305734</v>
      </c>
      <c r="D238" s="34">
        <f t="shared" si="825"/>
        <v>-5.9958848929202775</v>
      </c>
      <c r="E238" s="34">
        <f t="shared" si="825"/>
        <v>97.4490877157331</v>
      </c>
      <c r="F238" s="34">
        <f t="shared" ref="F238:G238" si="855">F67*F$205</f>
        <v>-49.745075857366459</v>
      </c>
      <c r="G238" s="34">
        <f t="shared" si="855"/>
        <v>-2206.1554042648959</v>
      </c>
      <c r="H238" s="34">
        <f t="shared" ref="H238:I238" si="856">H67*H$205</f>
        <v>0</v>
      </c>
      <c r="I238" s="34">
        <f t="shared" si="856"/>
        <v>-386.04884018468044</v>
      </c>
      <c r="J238" s="34">
        <f t="shared" ref="J238:K238" si="857">J67*J$205</f>
        <v>-153.74729191383702</v>
      </c>
      <c r="K238" s="34"/>
      <c r="L238" s="50"/>
      <c r="M238" s="34">
        <f t="shared" ref="M238:X238" si="858">M67*M$205</f>
        <v>0</v>
      </c>
      <c r="N238" s="34">
        <f t="shared" si="858"/>
        <v>0</v>
      </c>
      <c r="O238" s="34">
        <f t="shared" si="858"/>
        <v>0</v>
      </c>
      <c r="P238" s="34">
        <f t="shared" si="858"/>
        <v>0</v>
      </c>
      <c r="Q238" s="34">
        <f t="shared" si="858"/>
        <v>0</v>
      </c>
      <c r="R238" s="34">
        <f t="shared" si="858"/>
        <v>0</v>
      </c>
      <c r="S238" s="34">
        <f t="shared" si="858"/>
        <v>0</v>
      </c>
      <c r="T238" s="34">
        <f t="shared" si="858"/>
        <v>0</v>
      </c>
      <c r="U238" s="34">
        <f t="shared" si="858"/>
        <v>0</v>
      </c>
      <c r="V238" s="34">
        <f t="shared" si="858"/>
        <v>0</v>
      </c>
      <c r="W238" s="34">
        <f t="shared" si="858"/>
        <v>0</v>
      </c>
      <c r="X238" s="34">
        <f t="shared" si="858"/>
        <v>0</v>
      </c>
      <c r="Y238" s="34">
        <f t="shared" si="841"/>
        <v>0</v>
      </c>
      <c r="Z238" s="34">
        <f t="shared" si="841"/>
        <v>0</v>
      </c>
      <c r="AA238" s="34">
        <f t="shared" si="841"/>
        <v>0</v>
      </c>
      <c r="AB238" s="34">
        <f t="shared" si="841"/>
        <v>0</v>
      </c>
      <c r="AC238" s="34">
        <f t="shared" si="841"/>
        <v>0</v>
      </c>
      <c r="AD238" s="34">
        <f t="shared" si="841"/>
        <v>0</v>
      </c>
      <c r="AE238" s="34">
        <f t="shared" si="841"/>
        <v>0</v>
      </c>
      <c r="AF238" s="34">
        <f t="shared" si="841"/>
        <v>0</v>
      </c>
      <c r="AG238" s="34">
        <f t="shared" ref="AG238:AJ239" si="859">AG67*AG$205</f>
        <v>0</v>
      </c>
      <c r="AH238" s="34">
        <f t="shared" si="859"/>
        <v>0</v>
      </c>
      <c r="AI238" s="34">
        <f t="shared" si="859"/>
        <v>0</v>
      </c>
      <c r="AJ238" s="34">
        <f t="shared" si="859"/>
        <v>0</v>
      </c>
      <c r="AK238" s="34">
        <f t="shared" ref="AK238:AL238" si="860">AK67*AK$205</f>
        <v>0</v>
      </c>
      <c r="AL238" s="34"/>
    </row>
    <row r="239" spans="2:38" s="26" customFormat="1" ht="13.5" thickBot="1">
      <c r="B239" s="32" t="str">
        <f t="shared" si="824"/>
        <v xml:space="preserve">Free cash flow </v>
      </c>
      <c r="C239" s="31">
        <f t="shared" si="825"/>
        <v>-326.32595184939339</v>
      </c>
      <c r="D239" s="31">
        <f t="shared" si="825"/>
        <v>1275.7417335613065</v>
      </c>
      <c r="E239" s="31">
        <f t="shared" si="825"/>
        <v>3732.8471687979913</v>
      </c>
      <c r="F239" s="31">
        <f t="shared" ref="F239" si="861">F68*F$205</f>
        <v>6953.7104247702591</v>
      </c>
      <c r="G239" s="31">
        <f t="shared" ref="G239:H239" si="862">G68*G$205</f>
        <v>1464.721768975412</v>
      </c>
      <c r="H239" s="31">
        <f t="shared" si="862"/>
        <v>5537.613233556518</v>
      </c>
      <c r="I239" s="31">
        <f t="shared" ref="I239:J239" si="863">I68*I$205</f>
        <v>4812.6773098959784</v>
      </c>
      <c r="J239" s="31">
        <f t="shared" si="863"/>
        <v>-2167.349833612524</v>
      </c>
      <c r="K239" s="31"/>
      <c r="L239" s="50"/>
      <c r="M239" s="31">
        <f t="shared" ref="M239:X239" si="864">M68*M$205</f>
        <v>0</v>
      </c>
      <c r="N239" s="31">
        <f t="shared" si="864"/>
        <v>0</v>
      </c>
      <c r="O239" s="31">
        <f t="shared" si="864"/>
        <v>0</v>
      </c>
      <c r="P239" s="31">
        <f t="shared" si="864"/>
        <v>0</v>
      </c>
      <c r="Q239" s="31">
        <f t="shared" si="864"/>
        <v>0</v>
      </c>
      <c r="R239" s="31">
        <f t="shared" si="864"/>
        <v>0</v>
      </c>
      <c r="S239" s="31">
        <f t="shared" si="864"/>
        <v>0</v>
      </c>
      <c r="T239" s="31">
        <f t="shared" si="864"/>
        <v>345.94137712440005</v>
      </c>
      <c r="U239" s="31">
        <f t="shared" si="864"/>
        <v>-1385.9436295747801</v>
      </c>
      <c r="V239" s="31">
        <f t="shared" si="864"/>
        <v>4994.2617</v>
      </c>
      <c r="W239" s="31">
        <f t="shared" si="864"/>
        <v>341.6294219028423</v>
      </c>
      <c r="X239" s="31">
        <f t="shared" si="864"/>
        <v>1694.1428008777357</v>
      </c>
      <c r="Y239" s="31">
        <f t="shared" si="841"/>
        <v>-3706.1518000000001</v>
      </c>
      <c r="Z239" s="31">
        <f t="shared" si="841"/>
        <v>6362.0700000000006</v>
      </c>
      <c r="AA239" s="31">
        <f t="shared" si="841"/>
        <v>1136.3000000000002</v>
      </c>
      <c r="AB239" s="31">
        <f t="shared" si="841"/>
        <v>1870.6746188038035</v>
      </c>
      <c r="AC239" s="31">
        <f t="shared" si="841"/>
        <v>-2163.0289333333335</v>
      </c>
      <c r="AD239" s="31">
        <f t="shared" si="841"/>
        <v>5706.0158000000001</v>
      </c>
      <c r="AE239" s="31">
        <f t="shared" si="841"/>
        <v>-1927.7364</v>
      </c>
      <c r="AF239" s="31">
        <f t="shared" si="841"/>
        <v>3263.8927518495857</v>
      </c>
      <c r="AG239" s="31">
        <f t="shared" si="859"/>
        <v>-2969.8111132495669</v>
      </c>
      <c r="AH239" s="31">
        <f t="shared" si="859"/>
        <v>3045.0894000000003</v>
      </c>
      <c r="AI239" s="31">
        <f t="shared" si="859"/>
        <v>-1571.6820588769508</v>
      </c>
      <c r="AJ239" s="31">
        <f t="shared" si="859"/>
        <v>2441.7768122892894</v>
      </c>
      <c r="AK239" s="31">
        <f t="shared" ref="AK239:AL239" si="865">AK68*AK$205</f>
        <v>-1441.1356940673559</v>
      </c>
      <c r="AL239" s="31"/>
    </row>
    <row r="240" spans="2:38" s="26" customFormat="1" ht="13.5" thickTop="1">
      <c r="B240" s="21" t="str">
        <f t="shared" si="824"/>
        <v xml:space="preserve">Other Investing </v>
      </c>
      <c r="C240" s="34">
        <f t="shared" si="825"/>
        <v>-1817.5434441561572</v>
      </c>
      <c r="D240" s="34">
        <f t="shared" si="825"/>
        <v>-3134.1978439157274</v>
      </c>
      <c r="E240" s="34">
        <f t="shared" si="825"/>
        <v>-7776.4299711146268</v>
      </c>
      <c r="F240" s="34">
        <f t="shared" ref="F240:G240" si="866">F69*F$205</f>
        <v>-9378.2640363247538</v>
      </c>
      <c r="G240" s="34">
        <f t="shared" si="866"/>
        <v>-3882.4340291453323</v>
      </c>
      <c r="H240" s="34">
        <f t="shared" ref="H240:I240" si="867">H69*H$205</f>
        <v>-7108.2540932875709</v>
      </c>
      <c r="I240" s="34">
        <f t="shared" si="867"/>
        <v>1113.6452133281414</v>
      </c>
      <c r="J240" s="34">
        <f t="shared" ref="J240" si="868">J69*J$205</f>
        <v>7117.8734954173387</v>
      </c>
      <c r="K240" s="117"/>
      <c r="L240" s="50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</row>
    <row r="241" spans="2:38">
      <c r="B241" s="21" t="str">
        <f t="shared" si="824"/>
        <v>Equity Issuance</v>
      </c>
      <c r="C241" s="34">
        <f t="shared" si="825"/>
        <v>2947.4472032824474</v>
      </c>
      <c r="D241" s="34">
        <f t="shared" si="825"/>
        <v>16.250760715217204</v>
      </c>
      <c r="E241" s="34">
        <f t="shared" si="825"/>
        <v>4647.8572569056359</v>
      </c>
      <c r="F241" s="34">
        <f t="shared" ref="F241:G241" si="869">F70*F$205</f>
        <v>9.6080831874041142</v>
      </c>
      <c r="G241" s="34">
        <f t="shared" si="869"/>
        <v>146.71130366285939</v>
      </c>
      <c r="H241" s="34">
        <f t="shared" ref="H241:I241" si="870">H70*H$205</f>
        <v>4.6418725032352439</v>
      </c>
      <c r="I241" s="34">
        <f t="shared" si="870"/>
        <v>3.7547977971852924</v>
      </c>
      <c r="J241" s="34">
        <f t="shared" ref="J241" si="871">J70*J$205</f>
        <v>4.5915480843046348</v>
      </c>
      <c r="K241" s="117"/>
      <c r="L241" s="50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</row>
    <row r="242" spans="2:38">
      <c r="B242" s="21" t="str">
        <f t="shared" si="824"/>
        <v>Dividends</v>
      </c>
      <c r="C242" s="34">
        <f t="shared" si="825"/>
        <v>0</v>
      </c>
      <c r="D242" s="34">
        <f t="shared" si="825"/>
        <v>0</v>
      </c>
      <c r="E242" s="34">
        <f t="shared" si="825"/>
        <v>0</v>
      </c>
      <c r="F242" s="34">
        <f t="shared" ref="F242:G242" si="872">F71*F$205</f>
        <v>0</v>
      </c>
      <c r="G242" s="34">
        <f t="shared" si="872"/>
        <v>-1840.8541045405952</v>
      </c>
      <c r="H242" s="34">
        <f t="shared" ref="H242:I242" si="873">H71*H$205</f>
        <v>-948.20795588814485</v>
      </c>
      <c r="I242" s="34">
        <f t="shared" si="873"/>
        <v>-1149.1071925237804</v>
      </c>
      <c r="J242" s="34">
        <f t="shared" ref="J242" si="874">J71*J$205</f>
        <v>-1444.1114414241758</v>
      </c>
      <c r="K242" s="117"/>
      <c r="L242" s="50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7"/>
    </row>
    <row r="243" spans="2:38">
      <c r="B243" s="21" t="str">
        <f t="shared" si="824"/>
        <v>Net Change in debt</v>
      </c>
      <c r="C243" s="34">
        <f t="shared" si="825"/>
        <v>-1549.1490677608156</v>
      </c>
      <c r="D243" s="34">
        <f t="shared" si="825"/>
        <v>-1428.115309937114</v>
      </c>
      <c r="E243" s="34">
        <f t="shared" si="825"/>
        <v>695.57110301481987</v>
      </c>
      <c r="F243" s="34">
        <f t="shared" ref="F243:G243" si="875">F72*F$205</f>
        <v>-329.15433371042479</v>
      </c>
      <c r="G243" s="34">
        <f t="shared" si="875"/>
        <v>1665.3069262364259</v>
      </c>
      <c r="H243" s="34">
        <f t="shared" ref="H243:I243" si="876">H72*H$205</f>
        <v>437.88330613852469</v>
      </c>
      <c r="I243" s="34">
        <f t="shared" si="876"/>
        <v>1998.9430939533847</v>
      </c>
      <c r="J243" s="34">
        <f t="shared" ref="J243" si="877">J72*J$205</f>
        <v>1428.667143322424</v>
      </c>
      <c r="K243" s="117"/>
      <c r="L243" s="50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7"/>
    </row>
    <row r="244" spans="2:38">
      <c r="B244" s="21" t="str">
        <f t="shared" si="824"/>
        <v>Other financing activities</v>
      </c>
      <c r="C244" s="34">
        <f t="shared" si="825"/>
        <v>294.20292041271915</v>
      </c>
      <c r="D244" s="34">
        <f t="shared" si="825"/>
        <v>1784.6102240125192</v>
      </c>
      <c r="E244" s="34">
        <f t="shared" si="825"/>
        <v>4972.8004296517793</v>
      </c>
      <c r="F244" s="34">
        <f t="shared" ref="F244:G244" si="878">F73*F$205</f>
        <v>3341.9082892962856</v>
      </c>
      <c r="G244" s="34">
        <f t="shared" si="878"/>
        <v>194.81798233275191</v>
      </c>
      <c r="H244" s="34">
        <f t="shared" ref="H244:I244" si="879">H73*H$205</f>
        <v>-311.28678332301803</v>
      </c>
      <c r="I244" s="34">
        <f t="shared" si="879"/>
        <v>-3774.5452522667852</v>
      </c>
      <c r="J244" s="34">
        <f t="shared" ref="J244" si="880">J73*J$205</f>
        <v>-3708.0229226278334</v>
      </c>
      <c r="K244" s="117"/>
      <c r="L244" s="50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  <c r="AL244" s="117"/>
    </row>
    <row r="245" spans="2:38" s="26" customFormat="1" ht="13.5" thickBot="1">
      <c r="B245" s="32" t="str">
        <f t="shared" si="824"/>
        <v>Cash flow after financing activities</v>
      </c>
      <c r="C245" s="31">
        <f t="shared" si="825"/>
        <v>-451.36834007119973</v>
      </c>
      <c r="D245" s="31">
        <f t="shared" si="825"/>
        <v>-1485.7104355637985</v>
      </c>
      <c r="E245" s="31">
        <f t="shared" si="825"/>
        <v>6272.6459872555988</v>
      </c>
      <c r="F245" s="31">
        <f t="shared" ref="F245" si="881">F74*F$205</f>
        <v>597.80842721876968</v>
      </c>
      <c r="G245" s="31">
        <f t="shared" ref="G245:H245" si="882">G74*G$205</f>
        <v>-2251.7301524784784</v>
      </c>
      <c r="H245" s="31">
        <f t="shared" si="882"/>
        <v>-2387.6104203004556</v>
      </c>
      <c r="I245" s="31">
        <f t="shared" ref="I245:J245" si="883">I74*I$205</f>
        <v>3005.3679701841243</v>
      </c>
      <c r="J245" s="31">
        <f t="shared" si="883"/>
        <v>1231.6479891595341</v>
      </c>
      <c r="K245" s="118"/>
      <c r="L245" s="50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</row>
    <row r="246" spans="2:38" s="26" customFormat="1" ht="13.5" thickTop="1">
      <c r="B246" s="21" t="str">
        <f t="shared" si="824"/>
        <v>Balancing figure</v>
      </c>
      <c r="C246" s="34">
        <f t="shared" si="825"/>
        <v>1359.8275810052487</v>
      </c>
      <c r="D246" s="34">
        <f t="shared" si="825"/>
        <v>1776.134117715246</v>
      </c>
      <c r="E246" s="34">
        <f t="shared" si="825"/>
        <v>1827.6434470846102</v>
      </c>
      <c r="F246" s="34">
        <f t="shared" ref="F246:G246" si="884">F75*F$205</f>
        <v>-2526.2437043809759</v>
      </c>
      <c r="G246" s="34">
        <f t="shared" si="884"/>
        <v>2951.2462724357169</v>
      </c>
      <c r="H246" s="34">
        <f t="shared" ref="H246:I246" si="885">H75*H$205</f>
        <v>1567.546278062229</v>
      </c>
      <c r="I246" s="34">
        <f t="shared" si="885"/>
        <v>2031.6237414474049</v>
      </c>
      <c r="J246" s="34">
        <f t="shared" ref="J246" si="886">J75*J$205</f>
        <v>3512.2560088515725</v>
      </c>
      <c r="K246" s="117"/>
      <c r="L246" s="50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</row>
    <row r="247" spans="2:38">
      <c r="B247" s="21" t="str">
        <f t="shared" si="824"/>
        <v xml:space="preserve">FX </v>
      </c>
      <c r="C247" s="34">
        <f t="shared" si="825"/>
        <v>253.59968020273936</v>
      </c>
      <c r="D247" s="34">
        <f t="shared" si="825"/>
        <v>58.812849566754579</v>
      </c>
      <c r="E247" s="34">
        <f t="shared" si="825"/>
        <v>-737.72081343532727</v>
      </c>
      <c r="F247" s="34">
        <f t="shared" ref="F247" si="887">F76*F$205</f>
        <v>-232.14368733437681</v>
      </c>
      <c r="G247" s="34">
        <f t="shared" ref="G247:H247" si="888">G76*G$205</f>
        <v>490.91318291790913</v>
      </c>
      <c r="H247" s="34">
        <f t="shared" si="888"/>
        <v>17.582850391042591</v>
      </c>
      <c r="I247" s="34">
        <f t="shared" ref="I247:J247" si="889">I76*I$205</f>
        <v>13.628525337931801</v>
      </c>
      <c r="J247" s="34">
        <f t="shared" si="889"/>
        <v>-25.879634656989758</v>
      </c>
      <c r="K247" s="117"/>
      <c r="L247" s="50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7"/>
    </row>
    <row r="248" spans="2:38" s="26" customFormat="1" ht="13.5" thickBot="1">
      <c r="B248" s="32" t="str">
        <f t="shared" si="824"/>
        <v xml:space="preserve">Net change in cash </v>
      </c>
      <c r="C248" s="31">
        <f t="shared" si="825"/>
        <v>1162.0589211367885</v>
      </c>
      <c r="D248" s="31">
        <f t="shared" si="825"/>
        <v>349.23653171820212</v>
      </c>
      <c r="E248" s="31">
        <f t="shared" si="825"/>
        <v>7345.7428185737317</v>
      </c>
      <c r="F248" s="31">
        <f t="shared" ref="F248" si="890">F77*F$205</f>
        <v>-2160.578964496583</v>
      </c>
      <c r="G248" s="31">
        <f t="shared" ref="G248:H248" si="891">G77*G$205</f>
        <v>1190.4293028751476</v>
      </c>
      <c r="H248" s="31">
        <f t="shared" si="891"/>
        <v>-796.71411691892195</v>
      </c>
      <c r="I248" s="31">
        <f t="shared" ref="I248:J248" si="892">I77*I$205</f>
        <v>5057.9907659787505</v>
      </c>
      <c r="J248" s="31">
        <f t="shared" si="892"/>
        <v>4718.0243633541168</v>
      </c>
      <c r="K248" s="118"/>
      <c r="L248" s="50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</row>
    <row r="249" spans="2:38" ht="13.5" thickTop="1">
      <c r="C249" s="30"/>
      <c r="D249" s="30"/>
      <c r="E249" s="30"/>
      <c r="F249" s="30"/>
      <c r="G249" s="30"/>
      <c r="H249" s="30"/>
      <c r="I249" s="30"/>
      <c r="J249" s="30"/>
      <c r="K249" s="30"/>
      <c r="L249" s="5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</row>
    <row r="250" spans="2:38" s="26" customFormat="1">
      <c r="B250" s="26" t="str">
        <f>+B119</f>
        <v>Total debt</v>
      </c>
      <c r="C250" s="33">
        <f t="shared" ref="C250:F250" si="893">C119*C$206</f>
        <v>1457.6171914769834</v>
      </c>
      <c r="D250" s="33">
        <f t="shared" si="893"/>
        <v>2686.423050498111</v>
      </c>
      <c r="E250" s="33">
        <f t="shared" si="893"/>
        <v>4835.8826053639841</v>
      </c>
      <c r="F250" s="33">
        <f t="shared" si="893"/>
        <v>5357.2216546856298</v>
      </c>
      <c r="G250" s="33">
        <f>G119*G$206</f>
        <v>9430.6385199791221</v>
      </c>
      <c r="H250" s="33">
        <f>H119*H$206</f>
        <v>9669.3003000000008</v>
      </c>
      <c r="I250" s="33">
        <f>I119*I$206</f>
        <v>12298.165577521133</v>
      </c>
      <c r="J250" s="33">
        <f>J119*J$206</f>
        <v>15314.49733331427</v>
      </c>
      <c r="K250" s="33"/>
      <c r="L250" s="50"/>
      <c r="M250" s="33">
        <f t="shared" ref="M250:R250" si="894">M119*M$206</f>
        <v>4855.298368692419</v>
      </c>
      <c r="N250" s="33">
        <f t="shared" si="894"/>
        <v>5299.0196909342603</v>
      </c>
      <c r="O250" s="33">
        <f t="shared" si="894"/>
        <v>5002.978378696831</v>
      </c>
      <c r="P250" s="33">
        <f t="shared" si="894"/>
        <v>4838.9973622868356</v>
      </c>
      <c r="Q250" s="33">
        <f t="shared" si="894"/>
        <v>4998.5924280236168</v>
      </c>
      <c r="R250" s="33">
        <f t="shared" si="894"/>
        <v>4719.8576622572909</v>
      </c>
      <c r="S250" s="33">
        <f>S119*S$206</f>
        <v>5834.984329423447</v>
      </c>
      <c r="T250" s="33">
        <f t="shared" ref="T250:V250" si="895">T119*T$206</f>
        <v>5357.2216546856298</v>
      </c>
      <c r="U250" s="33">
        <f t="shared" si="895"/>
        <v>8384.6796964964597</v>
      </c>
      <c r="V250" s="33">
        <f t="shared" si="895"/>
        <v>9150.8937145689415</v>
      </c>
      <c r="W250" s="33">
        <f>W119*W$206</f>
        <v>9695.769425248609</v>
      </c>
      <c r="X250" s="33">
        <f t="shared" ref="X250:Z250" si="896">X119*X$206</f>
        <v>9430.6385199791221</v>
      </c>
      <c r="Y250" s="33">
        <f t="shared" si="896"/>
        <v>9613.6214999999993</v>
      </c>
      <c r="Z250" s="33">
        <f t="shared" si="896"/>
        <v>10058.563899999999</v>
      </c>
      <c r="AA250" s="33">
        <f>AA119*AA$206</f>
        <v>9577.5318000000007</v>
      </c>
      <c r="AB250" s="33">
        <f t="shared" ref="AB250:AD250" si="897">AB119*AB$206</f>
        <v>9669.3003000000008</v>
      </c>
      <c r="AC250" s="33">
        <f t="shared" si="897"/>
        <v>9664.0998999999993</v>
      </c>
      <c r="AD250" s="33">
        <f t="shared" si="897"/>
        <v>11859.744000000001</v>
      </c>
      <c r="AE250" s="33">
        <f>AE119*AE$206</f>
        <v>12539.714999999998</v>
      </c>
      <c r="AF250" s="33">
        <f t="shared" ref="AF250:AH250" si="898">AF119*AF$206</f>
        <v>12298.165577521133</v>
      </c>
      <c r="AG250" s="33">
        <f t="shared" si="898"/>
        <v>12048.451775600479</v>
      </c>
      <c r="AH250" s="33">
        <f t="shared" si="898"/>
        <v>14070.563200000001</v>
      </c>
      <c r="AI250" s="33">
        <f>AI119*AI$206</f>
        <v>15743.721557390865</v>
      </c>
      <c r="AJ250" s="33">
        <f t="shared" ref="AJ250:AL250" si="899">AJ119*AJ$206</f>
        <v>15314.49733331427</v>
      </c>
      <c r="AK250" s="33">
        <f t="shared" si="899"/>
        <v>15657.34164371648</v>
      </c>
      <c r="AL250" s="33"/>
    </row>
    <row r="251" spans="2:38">
      <c r="B251" s="21" t="str">
        <f>+B120</f>
        <v>Total Cash and cash equivalents</v>
      </c>
      <c r="C251" s="30">
        <f>(C120)*C$206</f>
        <v>5279.3280488691726</v>
      </c>
      <c r="D251" s="30">
        <f t="shared" ref="D251:E251" si="900">(D120)*D$206</f>
        <v>8813.4371063781073</v>
      </c>
      <c r="E251" s="30">
        <f t="shared" si="900"/>
        <v>22476.929808429119</v>
      </c>
      <c r="F251" s="30">
        <f t="shared" ref="F251" si="901">(F120)*F$206</f>
        <v>29082.575632750995</v>
      </c>
      <c r="G251" s="30">
        <f>(G120)*G$206</f>
        <v>31890.622281505541</v>
      </c>
      <c r="H251" s="30">
        <f>(H120)*H$206</f>
        <v>26867.629800000002</v>
      </c>
      <c r="I251" s="30">
        <f>I120*I$206</f>
        <v>32057.183565547381</v>
      </c>
      <c r="J251" s="30">
        <f>J120*J$206</f>
        <v>30489.154524786598</v>
      </c>
      <c r="K251" s="30"/>
      <c r="L251" s="50"/>
      <c r="M251" s="30">
        <f t="shared" ref="M251:R251" si="902">(M120)*M$206</f>
        <v>10268.771166145438</v>
      </c>
      <c r="N251" s="30">
        <f t="shared" si="902"/>
        <v>16993.288131762576</v>
      </c>
      <c r="O251" s="30">
        <f t="shared" si="902"/>
        <v>17897.254477436079</v>
      </c>
      <c r="P251" s="30">
        <f t="shared" si="902"/>
        <v>31781.234971169179</v>
      </c>
      <c r="Q251" s="30">
        <f t="shared" si="902"/>
        <v>20524.478361434052</v>
      </c>
      <c r="R251" s="30">
        <f t="shared" si="902"/>
        <v>26734.681364585755</v>
      </c>
      <c r="S251" s="30">
        <f>(S120)*S$206</f>
        <v>29532.765779184509</v>
      </c>
      <c r="T251" s="30">
        <f t="shared" ref="T251:V251" si="903">(T120)*T$206</f>
        <v>47060.286038442893</v>
      </c>
      <c r="U251" s="30">
        <f t="shared" si="903"/>
        <v>28482.482292997651</v>
      </c>
      <c r="V251" s="30">
        <f t="shared" si="903"/>
        <v>31139.679687742013</v>
      </c>
      <c r="W251" s="30">
        <f>(W120)*W$206</f>
        <v>29749.564582279905</v>
      </c>
      <c r="X251" s="30">
        <f t="shared" ref="X251:Z251" si="904">(X120)*X$206</f>
        <v>52347.474337412292</v>
      </c>
      <c r="Y251" s="30">
        <f t="shared" si="904"/>
        <v>28636.291499999999</v>
      </c>
      <c r="Z251" s="30">
        <f t="shared" si="904"/>
        <v>32423.1859</v>
      </c>
      <c r="AA251" s="30">
        <f>(AA120)*AA$206</f>
        <v>33226.596299999997</v>
      </c>
      <c r="AB251" s="30">
        <f t="shared" ref="AB251:AD251" si="905">(AB120)*AB$206</f>
        <v>43576.920000000006</v>
      </c>
      <c r="AC251" s="30">
        <f t="shared" si="905"/>
        <v>23752.7857</v>
      </c>
      <c r="AD251" s="30">
        <f t="shared" si="905"/>
        <v>27781.715199999999</v>
      </c>
      <c r="AE251" s="30">
        <f>(AE120)*AE$206</f>
        <v>27202.252499999999</v>
      </c>
      <c r="AF251" s="30">
        <f t="shared" ref="AF251:AH251" si="906">(AF120)*AF$206</f>
        <v>49270.477991040236</v>
      </c>
      <c r="AG251" s="30">
        <f t="shared" si="906"/>
        <v>26756.376865517384</v>
      </c>
      <c r="AH251" s="30">
        <f t="shared" si="906"/>
        <v>29851.784800000001</v>
      </c>
      <c r="AI251" s="30">
        <f>(AI120)*AI$206</f>
        <v>27848.755548064499</v>
      </c>
      <c r="AJ251" s="30">
        <f t="shared" ref="AJ251:AL251" si="907">(AJ120)*AJ$206</f>
        <v>30489.154524786598</v>
      </c>
      <c r="AK251" s="30">
        <f t="shared" si="907"/>
        <v>29298.883896216841</v>
      </c>
      <c r="AL251" s="30"/>
    </row>
    <row r="252" spans="2:38" s="26" customFormat="1" ht="13.5" thickBot="1">
      <c r="B252" s="32" t="str">
        <f>+B123</f>
        <v xml:space="preserve">Net debt </v>
      </c>
      <c r="C252" s="31">
        <f t="shared" ref="C252:E252" si="908">C250-C251</f>
        <v>-3821.7108573921892</v>
      </c>
      <c r="D252" s="31">
        <f t="shared" si="908"/>
        <v>-6127.0140558799958</v>
      </c>
      <c r="E252" s="31">
        <f t="shared" si="908"/>
        <v>-17641.047203065136</v>
      </c>
      <c r="F252" s="31">
        <f t="shared" ref="F252" si="909">F250-F251</f>
        <v>-23725.353978065366</v>
      </c>
      <c r="G252" s="31">
        <f t="shared" ref="G252" si="910">G250-G251</f>
        <v>-22459.983761526419</v>
      </c>
      <c r="H252" s="31">
        <f t="shared" ref="H252:I252" si="911">H250-H251</f>
        <v>-17198.3295</v>
      </c>
      <c r="I252" s="31">
        <f t="shared" si="911"/>
        <v>-19759.017988026248</v>
      </c>
      <c r="J252" s="31">
        <f t="shared" ref="J252" si="912">J250-J251</f>
        <v>-15174.657191472328</v>
      </c>
      <c r="K252" s="31"/>
      <c r="L252" s="206"/>
      <c r="M252" s="31">
        <f t="shared" ref="M252:P252" si="913">M250-M251</f>
        <v>-5413.4727974530188</v>
      </c>
      <c r="N252" s="31">
        <f t="shared" si="913"/>
        <v>-11694.268440828317</v>
      </c>
      <c r="O252" s="31">
        <f t="shared" si="913"/>
        <v>-12894.276098739248</v>
      </c>
      <c r="P252" s="31">
        <f t="shared" si="913"/>
        <v>-26942.237608882344</v>
      </c>
      <c r="Q252" s="31">
        <f t="shared" ref="Q252:T252" si="914">Q250-Q251</f>
        <v>-15525.885933410435</v>
      </c>
      <c r="R252" s="31">
        <f t="shared" si="914"/>
        <v>-22014.823702328464</v>
      </c>
      <c r="S252" s="31">
        <f t="shared" si="914"/>
        <v>-23697.78144976106</v>
      </c>
      <c r="T252" s="31">
        <f t="shared" si="914"/>
        <v>-41703.064383757264</v>
      </c>
      <c r="U252" s="31">
        <f t="shared" ref="U252:X252" si="915">U250-U251</f>
        <v>-20097.802596501191</v>
      </c>
      <c r="V252" s="31">
        <f t="shared" si="915"/>
        <v>-21988.785973173071</v>
      </c>
      <c r="W252" s="31">
        <f t="shared" si="915"/>
        <v>-20053.795157031294</v>
      </c>
      <c r="X252" s="31">
        <f t="shared" si="915"/>
        <v>-42916.835817433166</v>
      </c>
      <c r="Y252" s="31">
        <f t="shared" ref="Y252:AB252" si="916">Y250-Y251</f>
        <v>-19022.669999999998</v>
      </c>
      <c r="Z252" s="31">
        <f t="shared" si="916"/>
        <v>-22364.622000000003</v>
      </c>
      <c r="AA252" s="31">
        <f t="shared" si="916"/>
        <v>-23649.064499999997</v>
      </c>
      <c r="AB252" s="31">
        <f t="shared" si="916"/>
        <v>-33907.619700000003</v>
      </c>
      <c r="AC252" s="31">
        <f t="shared" ref="AC252:AF252" si="917">AC250-AC251</f>
        <v>-14088.685800000001</v>
      </c>
      <c r="AD252" s="31">
        <f t="shared" si="917"/>
        <v>-15921.971199999998</v>
      </c>
      <c r="AE252" s="31">
        <f t="shared" si="917"/>
        <v>-14662.5375</v>
      </c>
      <c r="AF252" s="31">
        <f t="shared" si="917"/>
        <v>-36972.312413519103</v>
      </c>
      <c r="AG252" s="31">
        <f t="shared" ref="AG252:AJ252" si="918">AG250-AG251</f>
        <v>-14707.925089916906</v>
      </c>
      <c r="AH252" s="31">
        <f t="shared" si="918"/>
        <v>-15781.221600000001</v>
      </c>
      <c r="AI252" s="31">
        <f t="shared" si="918"/>
        <v>-12105.033990673634</v>
      </c>
      <c r="AJ252" s="31">
        <f t="shared" si="918"/>
        <v>-15174.657191472328</v>
      </c>
      <c r="AK252" s="31">
        <f t="shared" ref="AK252:AL252" si="919">AK250-AK251</f>
        <v>-13641.542252500361</v>
      </c>
      <c r="AL252" s="31"/>
    </row>
    <row r="253" spans="2:38" ht="13.5" thickTop="1">
      <c r="C253" s="25"/>
      <c r="D253" s="25"/>
      <c r="E253" s="25"/>
      <c r="F253" s="25"/>
      <c r="G253" s="25"/>
      <c r="H253" s="25"/>
      <c r="I253" s="25"/>
      <c r="J253" s="25"/>
      <c r="K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 spans="2:38">
      <c r="B254" s="26" t="str">
        <f>B125</f>
        <v>Company reported net debt</v>
      </c>
      <c r="C254" s="27">
        <f t="shared" ref="C254:G254" si="920">C125*C206</f>
        <v>-3821.7108573921887</v>
      </c>
      <c r="D254" s="27">
        <f t="shared" si="920"/>
        <v>-6127.0140558799967</v>
      </c>
      <c r="E254" s="27">
        <f t="shared" si="920"/>
        <v>-17641.047203065136</v>
      </c>
      <c r="F254" s="27">
        <f t="shared" si="920"/>
        <v>-23725.353978065363</v>
      </c>
      <c r="G254" s="27">
        <f t="shared" si="920"/>
        <v>-22459.983761526419</v>
      </c>
      <c r="H254" s="27">
        <f t="shared" ref="H254:I254" si="921">H125*H206</f>
        <v>-17198.3295</v>
      </c>
      <c r="I254" s="27">
        <f t="shared" si="921"/>
        <v>-19759.017988026248</v>
      </c>
      <c r="J254" s="27">
        <f t="shared" ref="J254" si="922">J125*J206</f>
        <v>-15174.657191472326</v>
      </c>
      <c r="K254" s="27"/>
      <c r="M254" s="27">
        <f t="shared" ref="M254:P254" si="923">M125*M206</f>
        <v>-5413.4727974530188</v>
      </c>
      <c r="N254" s="27">
        <f t="shared" si="923"/>
        <v>-11694.268440828317</v>
      </c>
      <c r="O254" s="27">
        <f t="shared" si="923"/>
        <v>-12894.27609873925</v>
      </c>
      <c r="P254" s="27">
        <f t="shared" si="923"/>
        <v>-17652.409673659677</v>
      </c>
      <c r="Q254" s="27">
        <f t="shared" ref="Q254:T254" si="924">Q125*Q206</f>
        <v>-15525.885933410435</v>
      </c>
      <c r="R254" s="27">
        <f t="shared" si="924"/>
        <v>-22014.823702328464</v>
      </c>
      <c r="S254" s="27">
        <f t="shared" si="924"/>
        <v>-23697.78144976106</v>
      </c>
      <c r="T254" s="27">
        <f t="shared" si="924"/>
        <v>-23725.353978065363</v>
      </c>
      <c r="U254" s="27">
        <f t="shared" ref="U254:X254" si="925">U125*U206</f>
        <v>-20097.802596501191</v>
      </c>
      <c r="V254" s="27">
        <f t="shared" si="925"/>
        <v>-21988.785973173075</v>
      </c>
      <c r="W254" s="27">
        <f t="shared" si="925"/>
        <v>-20053.795157031294</v>
      </c>
      <c r="X254" s="27">
        <f t="shared" si="925"/>
        <v>-22459.983761526419</v>
      </c>
      <c r="Y254" s="27">
        <f t="shared" ref="Y254:AB254" si="926">Y125*Y206</f>
        <v>-19022.669999999998</v>
      </c>
      <c r="Z254" s="27">
        <f t="shared" si="926"/>
        <v>-22364.621999999999</v>
      </c>
      <c r="AA254" s="27">
        <f t="shared" si="926"/>
        <v>-23649.0645</v>
      </c>
      <c r="AB254" s="27">
        <f t="shared" si="926"/>
        <v>-17198.3295</v>
      </c>
      <c r="AC254" s="27">
        <f t="shared" ref="AC254:AF254" si="927">AC125*AC206</f>
        <v>-14088.685799999999</v>
      </c>
      <c r="AD254" s="27">
        <f t="shared" si="927"/>
        <v>-15921.9712</v>
      </c>
      <c r="AE254" s="27">
        <f t="shared" si="927"/>
        <v>-14662.537499999999</v>
      </c>
      <c r="AF254" s="27">
        <f t="shared" si="927"/>
        <v>-19759.017988026248</v>
      </c>
      <c r="AG254" s="27">
        <f t="shared" ref="AG254:AJ254" si="928">AG125*AG206</f>
        <v>-14707.925089916904</v>
      </c>
      <c r="AH254" s="27">
        <f t="shared" si="928"/>
        <v>-15781.221600000001</v>
      </c>
      <c r="AI254" s="27">
        <f t="shared" si="928"/>
        <v>-12105.033990673634</v>
      </c>
      <c r="AJ254" s="27">
        <f t="shared" si="928"/>
        <v>-15174.657191472326</v>
      </c>
      <c r="AK254" s="27">
        <f t="shared" ref="AK254:AL254" si="929">AK125*AK206</f>
        <v>-13641.542252500361</v>
      </c>
      <c r="AL254" s="27"/>
    </row>
    <row r="255" spans="2:38">
      <c r="B255" s="26"/>
      <c r="C255" s="27"/>
      <c r="D255" s="27"/>
      <c r="E255" s="27"/>
      <c r="F255" s="27"/>
      <c r="G255" s="27"/>
      <c r="H255" s="27"/>
      <c r="I255" s="27"/>
      <c r="J255" s="27"/>
      <c r="K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spans="2:38">
      <c r="B256" s="7" t="s">
        <v>235</v>
      </c>
      <c r="C256" s="27"/>
      <c r="D256" s="27"/>
      <c r="E256" s="27"/>
      <c r="F256" s="27"/>
      <c r="G256" s="27"/>
      <c r="H256" s="27"/>
      <c r="I256" s="27"/>
      <c r="J256" s="27"/>
      <c r="K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2:38">
      <c r="B257" s="12" t="s">
        <v>236</v>
      </c>
      <c r="C257" s="34">
        <f t="shared" ref="C257:F257" si="930">C112*C$206</f>
        <v>0</v>
      </c>
      <c r="D257" s="34">
        <f t="shared" si="930"/>
        <v>457.0995076147945</v>
      </c>
      <c r="E257" s="34">
        <f t="shared" si="930"/>
        <v>844.98605363984666</v>
      </c>
      <c r="F257" s="34">
        <f t="shared" si="930"/>
        <v>1045.8635997721485</v>
      </c>
      <c r="G257" s="34">
        <f t="shared" ref="G257" si="931">G112*G$206</f>
        <v>1114.6552224090938</v>
      </c>
      <c r="H257" s="34">
        <f t="shared" ref="H257:AJ257" si="932">H112*H$206</f>
        <v>1095.7815000000001</v>
      </c>
      <c r="I257" s="34">
        <f t="shared" si="932"/>
        <v>1042.0177277273162</v>
      </c>
      <c r="J257" s="34">
        <f t="shared" si="932"/>
        <v>1343.9238171497207</v>
      </c>
      <c r="K257" s="34"/>
      <c r="M257" s="34">
        <f t="shared" si="932"/>
        <v>479.95153974023043</v>
      </c>
      <c r="N257" s="34">
        <f t="shared" si="932"/>
        <v>580.54072379015167</v>
      </c>
      <c r="O257" s="34">
        <f t="shared" si="932"/>
        <v>730.85513137740077</v>
      </c>
      <c r="P257" s="34">
        <f t="shared" si="932"/>
        <v>845.530303030303</v>
      </c>
      <c r="Q257" s="34">
        <f t="shared" si="932"/>
        <v>862.36669912958791</v>
      </c>
      <c r="R257" s="34">
        <f t="shared" si="932"/>
        <v>937.83058714318872</v>
      </c>
      <c r="S257" s="34">
        <f t="shared" si="932"/>
        <v>993.62890212871582</v>
      </c>
      <c r="T257" s="34">
        <f t="shared" si="932"/>
        <v>1045.8635997721485</v>
      </c>
      <c r="U257" s="34">
        <f t="shared" si="932"/>
        <v>1054.6905809789725</v>
      </c>
      <c r="V257" s="34">
        <f t="shared" si="932"/>
        <v>1062.6994207118739</v>
      </c>
      <c r="W257" s="34">
        <f t="shared" si="932"/>
        <v>1073.0939940446092</v>
      </c>
      <c r="X257" s="34">
        <f t="shared" si="932"/>
        <v>1114.6552224090938</v>
      </c>
      <c r="Y257" s="34">
        <f t="shared" si="932"/>
        <v>1158.7619999999999</v>
      </c>
      <c r="Z257" s="34">
        <f t="shared" si="932"/>
        <v>1095.6154999999999</v>
      </c>
      <c r="AA257" s="34">
        <f t="shared" si="932"/>
        <v>1110.0987</v>
      </c>
      <c r="AB257" s="34">
        <f t="shared" si="932"/>
        <v>1095.7815000000001</v>
      </c>
      <c r="AC257" s="34">
        <f t="shared" si="932"/>
        <v>1085.3279</v>
      </c>
      <c r="AD257" s="34">
        <f t="shared" si="932"/>
        <v>1079.1967999999999</v>
      </c>
      <c r="AE257" s="34">
        <f t="shared" si="932"/>
        <v>1093.6875</v>
      </c>
      <c r="AF257" s="34">
        <f t="shared" si="932"/>
        <v>1042.0177277273162</v>
      </c>
      <c r="AG257" s="34">
        <f t="shared" si="932"/>
        <v>1075.0065456750312</v>
      </c>
      <c r="AH257" s="34">
        <f t="shared" si="932"/>
        <v>1156.586</v>
      </c>
      <c r="AI257" s="34">
        <f t="shared" si="932"/>
        <v>1249.6488566773414</v>
      </c>
      <c r="AJ257" s="34">
        <f t="shared" si="932"/>
        <v>1343.9238171497207</v>
      </c>
      <c r="AK257" s="34">
        <f t="shared" ref="AK257:AL257" si="933">AK112*AK$206</f>
        <v>1374.9818814320915</v>
      </c>
      <c r="AL257" s="34"/>
    </row>
    <row r="258" spans="2:38">
      <c r="B258" s="12" t="s">
        <v>237</v>
      </c>
      <c r="C258" s="34">
        <f t="shared" ref="C258:F258" si="934">C113*C$206</f>
        <v>0</v>
      </c>
      <c r="D258" s="34">
        <f t="shared" si="934"/>
        <v>790.55937249513352</v>
      </c>
      <c r="E258" s="34">
        <f t="shared" si="934"/>
        <v>1570.8746360153257</v>
      </c>
      <c r="F258" s="34">
        <f t="shared" si="934"/>
        <v>2153.1025944006892</v>
      </c>
      <c r="G258" s="34">
        <f t="shared" ref="G258" si="935">G113*G$206</f>
        <v>2171.6058690483096</v>
      </c>
      <c r="H258" s="34">
        <f t="shared" ref="H258:AJ258" si="936">H113*H$206</f>
        <v>1932.4188000000001</v>
      </c>
      <c r="I258" s="34">
        <f t="shared" si="936"/>
        <v>2480.5118299014975</v>
      </c>
      <c r="J258" s="34">
        <f t="shared" si="936"/>
        <v>3389.9080601112432</v>
      </c>
      <c r="K258" s="34"/>
      <c r="M258" s="34">
        <f t="shared" si="936"/>
        <v>750.22426957428229</v>
      </c>
      <c r="N258" s="34">
        <f t="shared" si="936"/>
        <v>1058.4175212588639</v>
      </c>
      <c r="O258" s="34">
        <f t="shared" si="936"/>
        <v>1395.7672027807234</v>
      </c>
      <c r="P258" s="34">
        <f t="shared" si="936"/>
        <v>1571.8864249785304</v>
      </c>
      <c r="Q258" s="34">
        <f t="shared" si="936"/>
        <v>1560.7021121188143</v>
      </c>
      <c r="R258" s="34">
        <f t="shared" si="936"/>
        <v>1774.7355148139554</v>
      </c>
      <c r="S258" s="34">
        <f t="shared" si="936"/>
        <v>1812.6716005709677</v>
      </c>
      <c r="T258" s="34">
        <f t="shared" si="936"/>
        <v>2153.1025944006892</v>
      </c>
      <c r="U258" s="34">
        <f t="shared" si="936"/>
        <v>2162.2261132932658</v>
      </c>
      <c r="V258" s="34">
        <f t="shared" si="936"/>
        <v>2138.4095907809547</v>
      </c>
      <c r="W258" s="34">
        <f t="shared" si="936"/>
        <v>2076.0997808865668</v>
      </c>
      <c r="X258" s="34">
        <f t="shared" si="936"/>
        <v>2171.6058690483096</v>
      </c>
      <c r="Y258" s="34">
        <f t="shared" si="936"/>
        <v>2108.7314999999999</v>
      </c>
      <c r="Z258" s="34">
        <f t="shared" si="936"/>
        <v>2065.8798999999999</v>
      </c>
      <c r="AA258" s="34">
        <f t="shared" si="936"/>
        <v>2094.8879999999999</v>
      </c>
      <c r="AB258" s="34">
        <f t="shared" si="936"/>
        <v>1932.4188000000001</v>
      </c>
      <c r="AC258" s="34">
        <f t="shared" si="936"/>
        <v>1969.8584000000001</v>
      </c>
      <c r="AD258" s="34">
        <f t="shared" si="936"/>
        <v>2196.7840000000001</v>
      </c>
      <c r="AE258" s="34">
        <f t="shared" si="936"/>
        <v>2392.8599999999997</v>
      </c>
      <c r="AF258" s="34">
        <f t="shared" si="936"/>
        <v>2480.5118299014975</v>
      </c>
      <c r="AG258" s="34">
        <f t="shared" si="936"/>
        <v>2639.0783689555856</v>
      </c>
      <c r="AH258" s="34">
        <f t="shared" si="936"/>
        <v>2886.9279999999999</v>
      </c>
      <c r="AI258" s="34">
        <f t="shared" si="936"/>
        <v>3177.2852407438622</v>
      </c>
      <c r="AJ258" s="34">
        <f t="shared" si="936"/>
        <v>3389.9080601112432</v>
      </c>
      <c r="AK258" s="34">
        <f t="shared" ref="AK258:AL258" si="937">AK113*AK$206</f>
        <v>3499.7825771850989</v>
      </c>
      <c r="AL258" s="34"/>
    </row>
    <row r="259" spans="2:38">
      <c r="B259" s="7" t="s">
        <v>238</v>
      </c>
      <c r="C259" s="228">
        <f t="shared" ref="C259:F259" si="938">SUM(C257:C258)</f>
        <v>0</v>
      </c>
      <c r="D259" s="228">
        <f t="shared" si="938"/>
        <v>1247.6588801099281</v>
      </c>
      <c r="E259" s="228">
        <f t="shared" si="938"/>
        <v>2415.8606896551723</v>
      </c>
      <c r="F259" s="228">
        <f t="shared" si="938"/>
        <v>3198.9661941728377</v>
      </c>
      <c r="G259" s="228">
        <f t="shared" ref="G259" si="939">SUM(G257:G258)</f>
        <v>3286.2610914574034</v>
      </c>
      <c r="H259" s="228">
        <f t="shared" ref="H259:AJ259" si="940">SUM(H257:H258)</f>
        <v>3028.2003000000004</v>
      </c>
      <c r="I259" s="228">
        <f t="shared" si="940"/>
        <v>3522.5295576288136</v>
      </c>
      <c r="J259" s="228">
        <f t="shared" si="940"/>
        <v>4733.8318772609637</v>
      </c>
      <c r="K259" s="228"/>
      <c r="M259" s="228">
        <f t="shared" si="940"/>
        <v>1230.1758093145127</v>
      </c>
      <c r="N259" s="228">
        <f t="shared" si="940"/>
        <v>1638.9582450490157</v>
      </c>
      <c r="O259" s="228">
        <f t="shared" si="940"/>
        <v>2126.6223341581244</v>
      </c>
      <c r="P259" s="228">
        <f t="shared" si="940"/>
        <v>2417.4167280088332</v>
      </c>
      <c r="Q259" s="228">
        <f t="shared" si="940"/>
        <v>2423.0688112484022</v>
      </c>
      <c r="R259" s="228">
        <f t="shared" si="940"/>
        <v>2712.5661019571444</v>
      </c>
      <c r="S259" s="228">
        <f t="shared" si="940"/>
        <v>2806.3005026996834</v>
      </c>
      <c r="T259" s="228">
        <f t="shared" si="940"/>
        <v>3198.9661941728377</v>
      </c>
      <c r="U259" s="228">
        <f t="shared" si="940"/>
        <v>3216.9166942722386</v>
      </c>
      <c r="V259" s="228">
        <f t="shared" si="940"/>
        <v>3201.1090114928284</v>
      </c>
      <c r="W259" s="228">
        <f t="shared" si="940"/>
        <v>3149.193774931176</v>
      </c>
      <c r="X259" s="228">
        <f t="shared" si="940"/>
        <v>3286.2610914574034</v>
      </c>
      <c r="Y259" s="228">
        <f t="shared" si="940"/>
        <v>3267.4934999999996</v>
      </c>
      <c r="Z259" s="228">
        <f t="shared" si="940"/>
        <v>3161.4953999999998</v>
      </c>
      <c r="AA259" s="228">
        <f t="shared" si="940"/>
        <v>3204.9866999999999</v>
      </c>
      <c r="AB259" s="228">
        <f t="shared" si="940"/>
        <v>3028.2003000000004</v>
      </c>
      <c r="AC259" s="228">
        <f t="shared" si="940"/>
        <v>3055.1863000000003</v>
      </c>
      <c r="AD259" s="228">
        <f t="shared" si="940"/>
        <v>3275.9808000000003</v>
      </c>
      <c r="AE259" s="228">
        <f t="shared" si="940"/>
        <v>3486.5474999999997</v>
      </c>
      <c r="AF259" s="228">
        <f t="shared" si="940"/>
        <v>3522.5295576288136</v>
      </c>
      <c r="AG259" s="228">
        <f t="shared" si="940"/>
        <v>3714.0849146306168</v>
      </c>
      <c r="AH259" s="228">
        <f t="shared" si="940"/>
        <v>4043.5140000000001</v>
      </c>
      <c r="AI259" s="228">
        <f t="shared" si="940"/>
        <v>4426.9340974212037</v>
      </c>
      <c r="AJ259" s="228">
        <f t="shared" si="940"/>
        <v>4733.8318772609637</v>
      </c>
      <c r="AK259" s="228">
        <f t="shared" ref="AK259:AL259" si="941">SUM(AK257:AK258)</f>
        <v>4874.76445861719</v>
      </c>
      <c r="AL259" s="228"/>
    </row>
    <row r="260" spans="2:38">
      <c r="B260" s="26"/>
      <c r="C260" s="27"/>
      <c r="D260" s="27"/>
      <c r="E260" s="27"/>
      <c r="F260" s="27"/>
      <c r="G260" s="27"/>
      <c r="H260" s="27"/>
      <c r="I260" s="27"/>
      <c r="J260" s="27"/>
      <c r="K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spans="2:38">
      <c r="B261" s="21" t="s">
        <v>244</v>
      </c>
      <c r="C261" s="34">
        <f>C126*C$206</f>
        <v>8852.7176205366886</v>
      </c>
      <c r="D261" s="34">
        <f t="shared" ref="D261:AJ261" si="942">D126*D$206</f>
        <v>12117.807025077294</v>
      </c>
      <c r="E261" s="34">
        <f t="shared" si="942"/>
        <v>31338.836475095781</v>
      </c>
      <c r="F261" s="34">
        <f t="shared" si="942"/>
        <v>38535.822125139464</v>
      </c>
      <c r="G261" s="34">
        <f t="shared" si="942"/>
        <v>39658.557095633012</v>
      </c>
      <c r="H261" s="34">
        <f t="shared" si="942"/>
        <v>41791.735800000002</v>
      </c>
      <c r="I261" s="34">
        <f t="shared" si="942"/>
        <v>42855.205293658299</v>
      </c>
      <c r="J261" s="34">
        <f t="shared" ref="J261" si="943">J126*J$206</f>
        <v>42006.806125512965</v>
      </c>
      <c r="K261" s="34"/>
      <c r="M261" s="34">
        <f t="shared" si="942"/>
        <v>12295.254416363789</v>
      </c>
      <c r="N261" s="34">
        <f t="shared" si="942"/>
        <v>19780.999802243125</v>
      </c>
      <c r="O261" s="34">
        <f t="shared" si="942"/>
        <v>23263.036997761283</v>
      </c>
      <c r="P261" s="34">
        <f t="shared" si="942"/>
        <v>31359.021592442645</v>
      </c>
      <c r="Q261" s="34">
        <f t="shared" si="942"/>
        <v>31728.847921358571</v>
      </c>
      <c r="R261" s="34">
        <f t="shared" si="942"/>
        <v>38400.746499574539</v>
      </c>
      <c r="S261" s="34">
        <f t="shared" si="942"/>
        <v>38468.750232731334</v>
      </c>
      <c r="T261" s="34">
        <f t="shared" si="942"/>
        <v>38535.822125139464</v>
      </c>
      <c r="U261" s="34">
        <f t="shared" si="942"/>
        <v>40165.160191188304</v>
      </c>
      <c r="V261" s="34">
        <f t="shared" si="942"/>
        <v>38036.650661379754</v>
      </c>
      <c r="W261" s="34">
        <f t="shared" si="942"/>
        <v>38000.309006123942</v>
      </c>
      <c r="X261" s="34">
        <f t="shared" si="942"/>
        <v>39658.557095633012</v>
      </c>
      <c r="Y261" s="34">
        <f t="shared" si="942"/>
        <v>39781.591499999995</v>
      </c>
      <c r="Z261" s="34">
        <f t="shared" si="942"/>
        <v>39535.2405</v>
      </c>
      <c r="AA261" s="34">
        <f t="shared" si="942"/>
        <v>40537.865100000003</v>
      </c>
      <c r="AB261" s="34">
        <f t="shared" si="942"/>
        <v>41791.735800000002</v>
      </c>
      <c r="AC261" s="34">
        <f t="shared" si="942"/>
        <v>39682.344499999999</v>
      </c>
      <c r="AD261" s="34">
        <f t="shared" si="942"/>
        <v>39536.332799999996</v>
      </c>
      <c r="AE261" s="34">
        <f t="shared" si="942"/>
        <v>42219.044999999998</v>
      </c>
      <c r="AF261" s="34">
        <f t="shared" si="942"/>
        <v>42855.205293658299</v>
      </c>
      <c r="AG261" s="34">
        <f t="shared" si="942"/>
        <v>42499.758843551477</v>
      </c>
      <c r="AH261" s="34">
        <f t="shared" si="942"/>
        <v>41501.544399999999</v>
      </c>
      <c r="AI261" s="34">
        <f t="shared" si="942"/>
        <v>42758.020113489525</v>
      </c>
      <c r="AJ261" s="34">
        <f t="shared" si="942"/>
        <v>42006.806125512965</v>
      </c>
      <c r="AK261" s="34">
        <f t="shared" ref="AK261:AL261" si="944">AK126*AK$206</f>
        <v>40691.404551384258</v>
      </c>
      <c r="AL261" s="34"/>
    </row>
    <row r="262" spans="2:38">
      <c r="C262" s="27"/>
      <c r="D262" s="27"/>
      <c r="E262" s="27"/>
      <c r="F262" s="27"/>
      <c r="G262" s="27"/>
      <c r="H262" s="27"/>
      <c r="I262" s="27"/>
      <c r="J262" s="27"/>
      <c r="K262" s="27"/>
      <c r="L262" s="50"/>
      <c r="M262" s="50"/>
      <c r="N262" s="50"/>
      <c r="O262" s="50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2:38">
      <c r="B263" s="21" t="s">
        <v>272</v>
      </c>
      <c r="C263" s="34">
        <f>C227</f>
        <v>854.8483979967416</v>
      </c>
      <c r="D263" s="34">
        <f t="shared" ref="D263:K263" si="945">D227</f>
        <v>2001.1912075810708</v>
      </c>
      <c r="E263" s="34">
        <f t="shared" si="945"/>
        <v>3001.9190628946335</v>
      </c>
      <c r="F263" s="34">
        <f t="shared" si="945"/>
        <v>2899.7191960203945</v>
      </c>
      <c r="G263" s="34">
        <f t="shared" si="945"/>
        <v>4726.5515107185056</v>
      </c>
      <c r="H263" s="34">
        <f t="shared" si="945"/>
        <v>5971.4173184043202</v>
      </c>
      <c r="I263" s="34">
        <f t="shared" si="945"/>
        <v>7220.7542971574785</v>
      </c>
      <c r="J263" s="34">
        <f t="shared" si="945"/>
        <v>2552.3441835904309</v>
      </c>
      <c r="K263" s="34"/>
      <c r="L263" s="50"/>
      <c r="M263" s="187"/>
      <c r="N263" s="187"/>
      <c r="O263" s="187"/>
      <c r="P263" s="34">
        <f t="shared" ref="P263:AL263" si="946">SUM(M227:P227)</f>
        <v>2984.2370926177687</v>
      </c>
      <c r="Q263" s="34">
        <f t="shared" si="946"/>
        <v>3099.2634510834923</v>
      </c>
      <c r="R263" s="34">
        <f t="shared" si="946"/>
        <v>2705.6439928426958</v>
      </c>
      <c r="S263" s="34">
        <f t="shared" si="946"/>
        <v>2652.9915513640558</v>
      </c>
      <c r="T263" s="34">
        <f t="shared" si="946"/>
        <v>2878.815564760278</v>
      </c>
      <c r="U263" s="34">
        <f t="shared" si="946"/>
        <v>3072.4291970683689</v>
      </c>
      <c r="V263" s="34">
        <f t="shared" si="946"/>
        <v>3577.663925778756</v>
      </c>
      <c r="W263" s="34">
        <f t="shared" si="946"/>
        <v>4343.6957216112514</v>
      </c>
      <c r="X263" s="34">
        <f t="shared" si="946"/>
        <v>4967.1387430684063</v>
      </c>
      <c r="Y263" s="34">
        <f t="shared" si="946"/>
        <v>5397.3608995648692</v>
      </c>
      <c r="Z263" s="34">
        <f t="shared" si="946"/>
        <v>5799.4123995648688</v>
      </c>
      <c r="AA263" s="34">
        <f t="shared" si="946"/>
        <v>5897.3882222359762</v>
      </c>
      <c r="AB263" s="34">
        <f t="shared" si="946"/>
        <v>6004.7139410228992</v>
      </c>
      <c r="AC263" s="34">
        <f t="shared" si="946"/>
        <v>6126.4728743562328</v>
      </c>
      <c r="AD263" s="34">
        <f t="shared" si="946"/>
        <v>6507.3368743562332</v>
      </c>
      <c r="AE263" s="34">
        <f t="shared" si="946"/>
        <v>6839.8485743562342</v>
      </c>
      <c r="AF263" s="34">
        <f>SUM(AC227:AF227)</f>
        <v>7223.2704778123907</v>
      </c>
      <c r="AG263" s="34">
        <f t="shared" si="946"/>
        <v>7599.2510066577152</v>
      </c>
      <c r="AH263" s="34">
        <f t="shared" si="946"/>
        <v>6145.5197066577157</v>
      </c>
      <c r="AI263" s="34">
        <f t="shared" si="946"/>
        <v>4385.313840037621</v>
      </c>
      <c r="AJ263" s="34">
        <f>SUM(AG227:AJ227)</f>
        <v>2526.8548742117077</v>
      </c>
      <c r="AK263" s="34">
        <f t="shared" si="946"/>
        <v>1801.145573485305</v>
      </c>
      <c r="AL263" s="34"/>
    </row>
    <row r="264" spans="2:38">
      <c r="C264" s="25"/>
      <c r="D264" s="25"/>
      <c r="E264" s="25"/>
      <c r="F264" s="25"/>
      <c r="G264" s="25"/>
      <c r="H264" s="25"/>
      <c r="I264" s="25"/>
      <c r="J264" s="25"/>
      <c r="K264" s="25"/>
      <c r="L264" s="50"/>
      <c r="M264" s="50"/>
      <c r="N264" s="50"/>
      <c r="O264" s="50"/>
      <c r="P264" s="50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</row>
    <row r="265" spans="2:38">
      <c r="B265" s="26" t="str">
        <f>+B131</f>
        <v>Net Leverage excluding lease obligations</v>
      </c>
      <c r="C265" s="28">
        <f t="shared" ref="C265:I265" si="947">((C252-(C259))/C263)</f>
        <v>-4.4706299577188382</v>
      </c>
      <c r="D265" s="28">
        <f t="shared" si="947"/>
        <v>-3.6851415836990511</v>
      </c>
      <c r="E265" s="28">
        <f t="shared" si="947"/>
        <v>-6.6813619796198678</v>
      </c>
      <c r="F265" s="28">
        <f t="shared" si="947"/>
        <v>-9.2851474064072921</v>
      </c>
      <c r="G265" s="28">
        <f t="shared" si="947"/>
        <v>-5.4471520715681381</v>
      </c>
      <c r="H265" s="28">
        <f t="shared" si="947"/>
        <v>-3.3872242922397064</v>
      </c>
      <c r="I265" s="28">
        <f t="shared" si="947"/>
        <v>-3.2242542243571526</v>
      </c>
      <c r="J265" s="28">
        <f t="shared" ref="J265" si="948">((J252-(J259))/J263)</f>
        <v>-7.8000800976330877</v>
      </c>
      <c r="K265" s="28"/>
      <c r="L265" s="50"/>
      <c r="M265" s="187"/>
      <c r="N265" s="187"/>
      <c r="O265" s="187"/>
      <c r="P265" s="28">
        <f t="shared" ref="P265:AE265" si="949">(P252-P259)/P263</f>
        <v>-9.8382445582220583</v>
      </c>
      <c r="Q265" s="28">
        <f t="shared" si="949"/>
        <v>-5.791361408267484</v>
      </c>
      <c r="R265" s="28">
        <f t="shared" si="949"/>
        <v>-9.139188255992865</v>
      </c>
      <c r="S265" s="28">
        <f t="shared" si="949"/>
        <v>-9.9902624789112</v>
      </c>
      <c r="T265" s="28">
        <f t="shared" si="949"/>
        <v>-15.59739746011452</v>
      </c>
      <c r="U265" s="28">
        <f t="shared" si="949"/>
        <v>-7.5883666621251091</v>
      </c>
      <c r="V265" s="28">
        <f t="shared" si="949"/>
        <v>-7.0408779324298258</v>
      </c>
      <c r="W265" s="28">
        <f t="shared" si="949"/>
        <v>-5.3417620429811201</v>
      </c>
      <c r="X265" s="28">
        <f t="shared" si="949"/>
        <v>-9.3017528397745171</v>
      </c>
      <c r="Y265" s="28">
        <f t="shared" si="949"/>
        <v>-4.1298263938209159</v>
      </c>
      <c r="Z265" s="28">
        <f t="shared" si="949"/>
        <v>-4.4015006420159448</v>
      </c>
      <c r="AA265" s="28">
        <f t="shared" si="949"/>
        <v>-4.5535498407154833</v>
      </c>
      <c r="AB265" s="28">
        <f t="shared" si="949"/>
        <v>-6.1511373169107229</v>
      </c>
      <c r="AC265" s="28">
        <f t="shared" si="949"/>
        <v>-2.7983266149368973</v>
      </c>
      <c r="AD265" s="28">
        <f t="shared" si="949"/>
        <v>-2.9502010377938577</v>
      </c>
      <c r="AE265" s="28">
        <f t="shared" si="949"/>
        <v>-2.6534337423848875</v>
      </c>
      <c r="AF265" s="28">
        <f>(AF252-AF259)/AF263</f>
        <v>-5.6061644231010455</v>
      </c>
      <c r="AG265" s="28">
        <f t="shared" ref="AG265:AI265" si="950">(AG252-AG259)/AG263</f>
        <v>-2.424187592751966</v>
      </c>
      <c r="AH265" s="28">
        <f t="shared" si="950"/>
        <v>-3.2258843102436039</v>
      </c>
      <c r="AI265" s="28">
        <f t="shared" si="950"/>
        <v>-3.7698483372293854</v>
      </c>
      <c r="AJ265" s="28">
        <f>(AJ252-AJ259)/AJ263</f>
        <v>-7.8787623586590261</v>
      </c>
      <c r="AK265" s="28">
        <f t="shared" ref="AK265:AL265" si="951">(AK252-AK259)/AK263</f>
        <v>-10.280294376921233</v>
      </c>
      <c r="AL265" s="28"/>
    </row>
    <row r="266" spans="2:38">
      <c r="B266" s="21" t="str">
        <f>+B132</f>
        <v>Gross Leverage  excluding lease obligations</v>
      </c>
      <c r="C266" s="29">
        <f t="shared" ref="C266:I266" si="952">((C250-(C259))/C263)</f>
        <v>1.7051177669546729</v>
      </c>
      <c r="D266" s="29">
        <f t="shared" si="952"/>
        <v>0.71895387354178986</v>
      </c>
      <c r="E266" s="29">
        <f t="shared" si="952"/>
        <v>0.80615828242060561</v>
      </c>
      <c r="F266" s="29">
        <f t="shared" si="952"/>
        <v>0.74429809047538287</v>
      </c>
      <c r="G266" s="29">
        <f t="shared" si="952"/>
        <v>1.299970478389578</v>
      </c>
      <c r="H266" s="29">
        <f t="shared" si="952"/>
        <v>1.112148028832564</v>
      </c>
      <c r="I266" s="29">
        <f t="shared" si="952"/>
        <v>1.2153350825615179</v>
      </c>
      <c r="J266" s="29">
        <f t="shared" ref="J266" si="953">((J250-(J259))/J263)</f>
        <v>4.1454696917753795</v>
      </c>
      <c r="K266" s="29"/>
      <c r="L266" s="50"/>
      <c r="M266" s="187"/>
      <c r="N266" s="187"/>
      <c r="O266" s="187"/>
      <c r="P266" s="29">
        <f t="shared" ref="P266:AE266" si="954">(P250-P259)/P263</f>
        <v>0.81145718624983487</v>
      </c>
      <c r="Q266" s="29">
        <f t="shared" si="954"/>
        <v>0.83101151529238981</v>
      </c>
      <c r="R266" s="29">
        <f t="shared" si="954"/>
        <v>0.74189049468817125</v>
      </c>
      <c r="S266" s="29">
        <f t="shared" si="954"/>
        <v>1.1416108073041329</v>
      </c>
      <c r="T266" s="29">
        <f t="shared" si="954"/>
        <v>0.74970258148250368</v>
      </c>
      <c r="U266" s="29">
        <f t="shared" si="954"/>
        <v>1.6819795252418395</v>
      </c>
      <c r="V266" s="29">
        <f t="shared" si="954"/>
        <v>1.663036223219601</v>
      </c>
      <c r="W266" s="29">
        <f t="shared" si="954"/>
        <v>1.5071441624573658</v>
      </c>
      <c r="X266" s="29">
        <f t="shared" si="954"/>
        <v>1.2370053961339691</v>
      </c>
      <c r="Y266" s="29">
        <f t="shared" si="954"/>
        <v>1.1757835205186333</v>
      </c>
      <c r="Z266" s="29">
        <f t="shared" si="954"/>
        <v>1.1892702268453073</v>
      </c>
      <c r="AA266" s="29">
        <f t="shared" si="954"/>
        <v>1.0805707306112995</v>
      </c>
      <c r="AB266" s="29">
        <f t="shared" si="954"/>
        <v>1.1059810784039936</v>
      </c>
      <c r="AC266" s="29">
        <f t="shared" si="954"/>
        <v>1.0787468965484419</v>
      </c>
      <c r="AD266" s="29">
        <f t="shared" si="954"/>
        <v>1.3190900311041893</v>
      </c>
      <c r="AE266" s="29">
        <f t="shared" si="954"/>
        <v>1.3235918020088746</v>
      </c>
      <c r="AF266" s="29">
        <f>(AF250-AF259)/AF263</f>
        <v>1.2149117282605304</v>
      </c>
      <c r="AG266" s="29">
        <f t="shared" ref="AG266:AI266" si="955">(AG250-AG259)/AG263</f>
        <v>1.0967353037382381</v>
      </c>
      <c r="AH266" s="29">
        <f t="shared" si="955"/>
        <v>1.6316031318127988</v>
      </c>
      <c r="AI266" s="29">
        <f t="shared" si="955"/>
        <v>2.5806106182522566</v>
      </c>
      <c r="AJ266" s="29">
        <f>(AJ250-AJ259)/AJ263</f>
        <v>4.1872865608691168</v>
      </c>
      <c r="AK266" s="29">
        <f t="shared" ref="AK266:AL266" si="956">(AK250-AK259)/AK263</f>
        <v>5.9865106651176863</v>
      </c>
      <c r="AL266" s="29"/>
    </row>
    <row r="267" spans="2:38">
      <c r="C267" s="25"/>
      <c r="D267" s="25"/>
      <c r="E267" s="25"/>
      <c r="F267" s="25"/>
      <c r="G267" s="25"/>
      <c r="H267" s="25"/>
      <c r="I267" s="25"/>
      <c r="J267" s="25"/>
      <c r="K267" s="25"/>
      <c r="L267" s="50"/>
      <c r="M267" s="50"/>
      <c r="N267" s="50"/>
      <c r="O267" s="50"/>
      <c r="P267" s="50"/>
      <c r="Q267" s="50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 spans="2:38" s="26" customFormat="1">
      <c r="B268" s="26" t="str">
        <f>+B134</f>
        <v>Net Leverage including lease obligations</v>
      </c>
      <c r="C268" s="28">
        <f t="shared" ref="C268:I268" si="957">C252/C263</f>
        <v>-4.4706299577188382</v>
      </c>
      <c r="D268" s="28">
        <f t="shared" si="957"/>
        <v>-3.0616834776552868</v>
      </c>
      <c r="E268" s="28">
        <f t="shared" si="957"/>
        <v>-5.8765898858227583</v>
      </c>
      <c r="F268" s="28">
        <f t="shared" si="957"/>
        <v>-8.1819487937405437</v>
      </c>
      <c r="G268" s="28">
        <f t="shared" si="957"/>
        <v>-4.7518753811512298</v>
      </c>
      <c r="H268" s="28">
        <f t="shared" si="957"/>
        <v>-2.8801084538160753</v>
      </c>
      <c r="I268" s="28">
        <f t="shared" si="957"/>
        <v>-2.7364202097008867</v>
      </c>
      <c r="J268" s="28">
        <f t="shared" ref="J268" si="958">J252/J263</f>
        <v>-5.9453804424314942</v>
      </c>
      <c r="K268" s="28"/>
      <c r="L268" s="50"/>
      <c r="M268" s="119"/>
      <c r="N268" s="119"/>
      <c r="O268" s="119"/>
      <c r="P268" s="28">
        <f t="shared" ref="P268:AE268" si="959">P252/P263</f>
        <v>-9.0281826720572838</v>
      </c>
      <c r="Q268" s="28">
        <f t="shared" si="959"/>
        <v>-5.0095405500241146</v>
      </c>
      <c r="R268" s="28">
        <f t="shared" si="959"/>
        <v>-8.1366298598650815</v>
      </c>
      <c r="S268" s="28">
        <f t="shared" si="959"/>
        <v>-8.9324752796806557</v>
      </c>
      <c r="T268" s="28">
        <f t="shared" si="959"/>
        <v>-14.486188311000717</v>
      </c>
      <c r="U268" s="28">
        <f t="shared" si="959"/>
        <v>-6.5413395419097</v>
      </c>
      <c r="V268" s="28">
        <f t="shared" si="959"/>
        <v>-6.1461295497135708</v>
      </c>
      <c r="W268" s="28">
        <f t="shared" si="959"/>
        <v>-4.6167587331813689</v>
      </c>
      <c r="X268" s="28">
        <f t="shared" si="959"/>
        <v>-8.6401524171885065</v>
      </c>
      <c r="Y268" s="28">
        <f t="shared" si="959"/>
        <v>-3.5244391386786069</v>
      </c>
      <c r="Z268" s="28">
        <f t="shared" si="959"/>
        <v>-3.8563599997955009</v>
      </c>
      <c r="AA268" s="28">
        <f t="shared" si="959"/>
        <v>-4.0100911808437001</v>
      </c>
      <c r="AB268" s="28">
        <f t="shared" si="959"/>
        <v>-5.6468334766708077</v>
      </c>
      <c r="AC268" s="28">
        <f t="shared" si="959"/>
        <v>-2.2996406070728641</v>
      </c>
      <c r="AD268" s="28">
        <f t="shared" si="959"/>
        <v>-2.4467722368492177</v>
      </c>
      <c r="AE268" s="28">
        <f t="shared" si="959"/>
        <v>-2.1436932909556461</v>
      </c>
      <c r="AF268" s="28">
        <f>AF252/AF263</f>
        <v>-5.1185003423430411</v>
      </c>
      <c r="AG268" s="28">
        <f t="shared" ref="AG268:AI268" si="960">AG252/AG263</f>
        <v>-1.9354440427130608</v>
      </c>
      <c r="AH268" s="28">
        <f t="shared" si="960"/>
        <v>-2.5679230322707287</v>
      </c>
      <c r="AI268" s="28">
        <f t="shared" si="960"/>
        <v>-2.7603575096850506</v>
      </c>
      <c r="AJ268" s="28">
        <f>AJ252/AJ263</f>
        <v>-6.0053536696310275</v>
      </c>
      <c r="AK268" s="28">
        <f t="shared" ref="AK268:AL268" si="961">AK252/AK263</f>
        <v>-7.5738143841995562</v>
      </c>
      <c r="AL268" s="28"/>
    </row>
    <row r="269" spans="2:38">
      <c r="B269" s="21" t="str">
        <f>+B135</f>
        <v>Gross Leverage  including lease obligations</v>
      </c>
      <c r="C269" s="29">
        <f t="shared" ref="C269:I269" si="962">C250/C263</f>
        <v>1.7051177669546729</v>
      </c>
      <c r="D269" s="29">
        <f t="shared" si="962"/>
        <v>1.3424119795855542</v>
      </c>
      <c r="E269" s="29">
        <f t="shared" si="962"/>
        <v>1.6109303762177156</v>
      </c>
      <c r="F269" s="29">
        <f t="shared" si="962"/>
        <v>1.847496703142131</v>
      </c>
      <c r="G269" s="29">
        <f t="shared" si="962"/>
        <v>1.995247168806487</v>
      </c>
      <c r="H269" s="29">
        <f t="shared" si="962"/>
        <v>1.6192638672561956</v>
      </c>
      <c r="I269" s="29">
        <f t="shared" si="962"/>
        <v>1.7031690972177835</v>
      </c>
      <c r="J269" s="29">
        <f t="shared" ref="J269" si="963">J250/J263</f>
        <v>6.0001693469769721</v>
      </c>
      <c r="K269" s="29"/>
      <c r="L269" s="50"/>
      <c r="M269" s="119"/>
      <c r="N269" s="119"/>
      <c r="O269" s="119"/>
      <c r="P269" s="29">
        <f t="shared" ref="P269:AE269" si="964">P250/P263</f>
        <v>1.6215190724146096</v>
      </c>
      <c r="Q269" s="29">
        <f t="shared" si="964"/>
        <v>1.612832373535759</v>
      </c>
      <c r="R269" s="29">
        <f t="shared" si="964"/>
        <v>1.7444488908159546</v>
      </c>
      <c r="S269" s="29">
        <f t="shared" si="964"/>
        <v>2.1993980065346781</v>
      </c>
      <c r="T269" s="29">
        <f t="shared" si="964"/>
        <v>1.8609117305963057</v>
      </c>
      <c r="U269" s="29">
        <f t="shared" si="964"/>
        <v>2.7290066454572495</v>
      </c>
      <c r="V269" s="29">
        <f t="shared" si="964"/>
        <v>2.5577846059358555</v>
      </c>
      <c r="W269" s="29">
        <f t="shared" si="964"/>
        <v>2.2321474722571173</v>
      </c>
      <c r="X269" s="29">
        <f t="shared" si="964"/>
        <v>1.8986058187199797</v>
      </c>
      <c r="Y269" s="29">
        <f t="shared" si="964"/>
        <v>1.7811707756609423</v>
      </c>
      <c r="Z269" s="29">
        <f t="shared" si="964"/>
        <v>1.7344108690657514</v>
      </c>
      <c r="AA269" s="29">
        <f t="shared" si="964"/>
        <v>1.6240293904830823</v>
      </c>
      <c r="AB269" s="29">
        <f t="shared" si="964"/>
        <v>1.6102849186439083</v>
      </c>
      <c r="AC269" s="29">
        <f t="shared" si="964"/>
        <v>1.5774329044124755</v>
      </c>
      <c r="AD269" s="29">
        <f t="shared" si="964"/>
        <v>1.822518832048829</v>
      </c>
      <c r="AE269" s="29">
        <f t="shared" si="964"/>
        <v>1.8333322534381158</v>
      </c>
      <c r="AF269" s="29">
        <f>AF250/AF263</f>
        <v>1.7025758090185352</v>
      </c>
      <c r="AG269" s="29">
        <f t="shared" ref="AG269:AI269" si="965">AG250/AG263</f>
        <v>1.5854788537771436</v>
      </c>
      <c r="AH269" s="29">
        <f t="shared" si="965"/>
        <v>2.2895644097856738</v>
      </c>
      <c r="AI269" s="29">
        <f t="shared" si="965"/>
        <v>3.5901014457965914</v>
      </c>
      <c r="AJ269" s="29">
        <f>AJ250/AJ263</f>
        <v>6.0606952498971154</v>
      </c>
      <c r="AK269" s="29">
        <f t="shared" ref="AK269:AL269" si="966">AK250/AK263</f>
        <v>8.6929906578393634</v>
      </c>
      <c r="AL269" s="29"/>
    </row>
    <row r="270" spans="2:38">
      <c r="C270" s="29"/>
      <c r="D270" s="29"/>
      <c r="E270" s="29"/>
      <c r="F270" s="29"/>
      <c r="G270" s="29"/>
      <c r="H270" s="29"/>
      <c r="I270" s="29"/>
      <c r="J270" s="29"/>
      <c r="K270" s="29"/>
      <c r="L270" s="50"/>
      <c r="M270" s="50"/>
      <c r="N270" s="50"/>
      <c r="O270" s="50"/>
      <c r="P270" s="50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</row>
    <row r="271" spans="2:38">
      <c r="B271" s="26" t="str">
        <f>+B137</f>
        <v>Company reported net leverage</v>
      </c>
      <c r="C271" s="28">
        <f t="shared" ref="C271:H271" si="967">C254/C263</f>
        <v>-4.4706299577188373</v>
      </c>
      <c r="D271" s="28">
        <f t="shared" si="967"/>
        <v>-3.0616834776552873</v>
      </c>
      <c r="E271" s="28">
        <f t="shared" si="967"/>
        <v>-5.8765898858227583</v>
      </c>
      <c r="F271" s="28">
        <f t="shared" si="967"/>
        <v>-8.181948793740542</v>
      </c>
      <c r="G271" s="28">
        <f t="shared" si="967"/>
        <v>-4.7518753811512298</v>
      </c>
      <c r="H271" s="28">
        <f t="shared" si="967"/>
        <v>-2.8801084538160753</v>
      </c>
      <c r="I271" s="28">
        <f>I254/I263</f>
        <v>-2.7364202097008867</v>
      </c>
      <c r="J271" s="28">
        <f>J254/J263</f>
        <v>-5.9453804424314942</v>
      </c>
      <c r="K271" s="28"/>
      <c r="L271" s="50"/>
      <c r="M271" s="119"/>
      <c r="N271" s="119"/>
      <c r="O271" s="119"/>
      <c r="P271" s="28">
        <f t="shared" ref="P271:AE271" si="968">P254/P263</f>
        <v>-5.9152168965821037</v>
      </c>
      <c r="Q271" s="28">
        <f t="shared" si="968"/>
        <v>-5.0095405500241146</v>
      </c>
      <c r="R271" s="28">
        <f t="shared" si="968"/>
        <v>-8.1366298598650815</v>
      </c>
      <c r="S271" s="28">
        <f t="shared" si="968"/>
        <v>-8.9324752796806557</v>
      </c>
      <c r="T271" s="28">
        <f t="shared" si="968"/>
        <v>-8.2413594912048485</v>
      </c>
      <c r="U271" s="28">
        <f t="shared" si="968"/>
        <v>-6.5413395419097</v>
      </c>
      <c r="V271" s="28">
        <f t="shared" si="968"/>
        <v>-6.1461295497135717</v>
      </c>
      <c r="W271" s="28">
        <f t="shared" si="968"/>
        <v>-4.6167587331813689</v>
      </c>
      <c r="X271" s="28">
        <f t="shared" si="968"/>
        <v>-4.5217145973361639</v>
      </c>
      <c r="Y271" s="28">
        <f t="shared" si="968"/>
        <v>-3.5244391386786069</v>
      </c>
      <c r="Z271" s="28">
        <f t="shared" si="968"/>
        <v>-3.8563599997955005</v>
      </c>
      <c r="AA271" s="28">
        <f t="shared" si="968"/>
        <v>-4.010091180843701</v>
      </c>
      <c r="AB271" s="28">
        <f t="shared" si="968"/>
        <v>-2.8641380203817461</v>
      </c>
      <c r="AC271" s="28">
        <f t="shared" si="968"/>
        <v>-2.2996406070728637</v>
      </c>
      <c r="AD271" s="28">
        <f t="shared" si="968"/>
        <v>-2.4467722368492182</v>
      </c>
      <c r="AE271" s="28">
        <f t="shared" si="968"/>
        <v>-2.1436932909556461</v>
      </c>
      <c r="AF271" s="28">
        <f>AF254/AF263</f>
        <v>-2.7354669950017407</v>
      </c>
      <c r="AG271" s="28">
        <f t="shared" ref="AG271:AI271" si="969">AG254/AG263</f>
        <v>-1.9354440427130606</v>
      </c>
      <c r="AH271" s="28">
        <f t="shared" si="969"/>
        <v>-2.5679230322707287</v>
      </c>
      <c r="AI271" s="28">
        <f t="shared" si="969"/>
        <v>-2.7603575096850506</v>
      </c>
      <c r="AJ271" s="28">
        <f>AJ254/AJ263</f>
        <v>-6.0053536696310275</v>
      </c>
      <c r="AK271" s="28">
        <f t="shared" ref="AK271:AL271" si="970">AK254/AK263</f>
        <v>-7.5738143841995562</v>
      </c>
      <c r="AL271" s="28"/>
    </row>
    <row r="272" spans="2:38">
      <c r="C272" s="29"/>
      <c r="D272" s="29"/>
      <c r="E272" s="29"/>
      <c r="F272" s="29"/>
      <c r="G272" s="29"/>
      <c r="H272" s="29"/>
      <c r="I272" s="29"/>
      <c r="J272" s="29"/>
      <c r="K272" s="29"/>
      <c r="L272" s="50"/>
      <c r="M272" s="50"/>
      <c r="N272" s="50"/>
      <c r="O272" s="50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</row>
    <row r="273" spans="2:38" s="26" customFormat="1">
      <c r="B273" s="26" t="str">
        <f>+B139</f>
        <v>EBITDA - Capex / Interest</v>
      </c>
      <c r="C273" s="28">
        <f t="shared" ref="C273:H273" si="971">(C263+C236)/-C234</f>
        <v>-19.506209697531084</v>
      </c>
      <c r="D273" s="28">
        <f t="shared" si="971"/>
        <v>14.982397808929205</v>
      </c>
      <c r="E273" s="28">
        <f t="shared" si="971"/>
        <v>15.484068545746185</v>
      </c>
      <c r="F273" s="28">
        <f t="shared" si="971"/>
        <v>4.3608501228501249</v>
      </c>
      <c r="G273" s="28">
        <f t="shared" si="971"/>
        <v>9.5574592561638116</v>
      </c>
      <c r="H273" s="28">
        <f t="shared" si="971"/>
        <v>11.91096866096866</v>
      </c>
      <c r="I273" s="28">
        <f>(I263+I236)/-I234</f>
        <v>16.565248738284065</v>
      </c>
      <c r="J273" s="28">
        <f>(J263+J236)/-J234</f>
        <v>3.7719821162444118</v>
      </c>
      <c r="K273" s="119"/>
      <c r="L273" s="50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</row>
    <row r="274" spans="2:38">
      <c r="B274" s="21" t="str">
        <f>+B140</f>
        <v>EBITDA/Interest</v>
      </c>
      <c r="C274" s="29">
        <f t="shared" ref="C274:H274" si="972">(C263)/-C234</f>
        <v>13.459595995582314</v>
      </c>
      <c r="D274" s="29">
        <f t="shared" si="972"/>
        <v>20.336643008599367</v>
      </c>
      <c r="E274" s="29">
        <f t="shared" si="972"/>
        <v>20.276960620904138</v>
      </c>
      <c r="F274" s="29">
        <f t="shared" si="972"/>
        <v>15.32481408681409</v>
      </c>
      <c r="G274" s="29">
        <f t="shared" si="972"/>
        <v>14.041788549937317</v>
      </c>
      <c r="H274" s="29">
        <f t="shared" si="972"/>
        <v>15.118233618233615</v>
      </c>
      <c r="I274" s="29">
        <f>(I263)/-I234</f>
        <v>18.717736121124727</v>
      </c>
      <c r="J274" s="29">
        <f>(J263)/-J234</f>
        <v>6.834575260804769</v>
      </c>
      <c r="K274" s="115"/>
      <c r="L274" s="13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15"/>
    </row>
    <row r="275" spans="2:38">
      <c r="C275" s="25"/>
      <c r="D275" s="25"/>
      <c r="E275" s="25"/>
      <c r="F275" s="25"/>
      <c r="G275" s="25"/>
      <c r="H275" s="25"/>
      <c r="I275" s="25"/>
      <c r="J275" s="25"/>
      <c r="K275" s="25"/>
      <c r="L275" s="204"/>
      <c r="M275" s="204"/>
      <c r="N275" s="204"/>
      <c r="O275" s="204"/>
      <c r="P275" s="204"/>
      <c r="Q275" s="204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 spans="2:38" s="26" customFormat="1">
      <c r="B276" s="53" t="str">
        <f>+B142</f>
        <v xml:space="preserve">Gearing (Net debt / Equity) </v>
      </c>
      <c r="C276" s="251">
        <f t="shared" ref="C276:H276" si="973">C252/C261</f>
        <v>-0.43169917094458288</v>
      </c>
      <c r="D276" s="251">
        <f t="shared" si="973"/>
        <v>-0.50562069879478988</v>
      </c>
      <c r="E276" s="251">
        <f t="shared" si="973"/>
        <v>-0.56291327909011724</v>
      </c>
      <c r="F276" s="251">
        <f t="shared" si="973"/>
        <v>-0.61567011340826561</v>
      </c>
      <c r="G276" s="251">
        <f t="shared" si="973"/>
        <v>-0.56633386099666227</v>
      </c>
      <c r="H276" s="251">
        <f t="shared" si="973"/>
        <v>-0.41152465124456494</v>
      </c>
      <c r="I276" s="251">
        <f>I252/I261</f>
        <v>-0.4610645976989447</v>
      </c>
      <c r="J276" s="251">
        <f>J252/J261</f>
        <v>-0.36124282208296604</v>
      </c>
      <c r="K276" s="251"/>
      <c r="L276" s="50"/>
      <c r="M276" s="252"/>
      <c r="N276" s="252"/>
      <c r="O276" s="252"/>
      <c r="P276" s="251">
        <f t="shared" ref="P276:AE276" si="974">P252/P261</f>
        <v>-0.85915427971691816</v>
      </c>
      <c r="Q276" s="251">
        <f t="shared" si="974"/>
        <v>-0.48933027672142609</v>
      </c>
      <c r="R276" s="251">
        <f t="shared" si="974"/>
        <v>-0.57329155574026081</v>
      </c>
      <c r="S276" s="251">
        <f t="shared" si="974"/>
        <v>-0.61602680893952411</v>
      </c>
      <c r="T276" s="251">
        <f t="shared" si="974"/>
        <v>-1.0821895598420774</v>
      </c>
      <c r="U276" s="251">
        <f t="shared" si="974"/>
        <v>-0.50037899763961058</v>
      </c>
      <c r="V276" s="251">
        <f t="shared" si="974"/>
        <v>-0.5780946952697712</v>
      </c>
      <c r="W276" s="251">
        <f t="shared" si="974"/>
        <v>-0.52772716016071142</v>
      </c>
      <c r="X276" s="251">
        <f t="shared" si="974"/>
        <v>-1.0821582770634623</v>
      </c>
      <c r="Y276" s="251">
        <f t="shared" si="974"/>
        <v>-0.47817770186494424</v>
      </c>
      <c r="Z276" s="251">
        <f t="shared" si="974"/>
        <v>-0.5656882749960761</v>
      </c>
      <c r="AA276" s="251">
        <f t="shared" si="974"/>
        <v>-0.58338209083437886</v>
      </c>
      <c r="AB276" s="251">
        <f t="shared" si="974"/>
        <v>-0.81134748415977498</v>
      </c>
      <c r="AC276" s="251">
        <f t="shared" si="974"/>
        <v>-0.3550366284431607</v>
      </c>
      <c r="AD276" s="251">
        <f t="shared" si="974"/>
        <v>-0.40271745183205254</v>
      </c>
      <c r="AE276" s="251">
        <f t="shared" si="974"/>
        <v>-0.3472967590811209</v>
      </c>
      <c r="AF276" s="251">
        <f>AF252/AF261</f>
        <v>-0.86272629334458595</v>
      </c>
      <c r="AG276" s="251">
        <f t="shared" ref="AG276:AI276" si="975">AG252/AG261</f>
        <v>-0.34607078934398589</v>
      </c>
      <c r="AH276" s="251">
        <f t="shared" si="975"/>
        <v>-0.38025624896985766</v>
      </c>
      <c r="AI276" s="251">
        <f t="shared" si="975"/>
        <v>-0.28310557782011692</v>
      </c>
      <c r="AJ276" s="251">
        <f>AJ252/AJ261</f>
        <v>-0.36124282208296604</v>
      </c>
      <c r="AK276" s="251">
        <f t="shared" ref="AK276:AL276" si="976">AK252/AK261</f>
        <v>-0.33524382858974816</v>
      </c>
      <c r="AL276" s="251"/>
    </row>
    <row r="277" spans="2:38"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V277" s="22"/>
      <c r="W277" s="22"/>
      <c r="Z277" s="22"/>
      <c r="AA277" s="22"/>
      <c r="AD277" s="22"/>
      <c r="AE277" s="22"/>
      <c r="AH277" s="22"/>
      <c r="AI277" s="22"/>
      <c r="AL277" s="22"/>
    </row>
    <row r="278" spans="2:38"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V278" s="13"/>
      <c r="W278" s="13"/>
      <c r="Z278" s="13"/>
      <c r="AA278" s="13"/>
      <c r="AD278" s="13"/>
      <c r="AE278" s="13"/>
      <c r="AH278" s="13"/>
      <c r="AI278" s="13"/>
      <c r="AL278" s="13"/>
    </row>
  </sheetData>
  <pageMargins left="0.7" right="0.7" top="0.75" bottom="0.75" header="0.3" footer="0.3"/>
  <pageSetup orientation="portrait" horizontalDpi="90" verticalDpi="90" r:id="rId1"/>
  <headerFooter>
    <oddFooter>&amp;C_x000D_&amp;1#&amp;"Calibri"&amp;10&amp;K000000 Barings-Public</oddFooter>
  </headerFooter>
  <ignoredErrors>
    <ignoredError sqref="M26:P26 P109:P119 P28 P22 M19:P19 M24:P24 P20 P23 C89:E89 P89" formula="1"/>
    <ignoredError sqref="C27:E27 P13 M143:P143 C53:D55 C131:E140 M214:P216 C213:E218 C267:E267 C228:E229 C191:E202 C160:E164 C148:E149 C48:E49 C40:E41 C11:E12 C32:E34 C36:E37 P100 P131:P132 P148 P152:P153 P191:P198 P213 P217:P218 M11:P12 M40:P41 M49:P49 M149:P149 M161:P162 M229:P229 M32:P34 M36:P37 M164:P164 P201:P202 C151:E153 M151:P151 C270:E270 C272:E272 C275:E275 P272 P138 P134:P136" evalError="1"/>
    <ignoredError sqref="P25 E53:E55 M27:P27 M54:P55" evalError="1" formula="1"/>
    <ignoredError sqref="M207:P207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N133"/>
  <sheetViews>
    <sheetView showGridLines="0" tabSelected="1" zoomScaleNormal="100" workbookViewId="0">
      <pane xSplit="2" ySplit="6" topLeftCell="H7" activePane="bottomRight" state="frozen"/>
      <selection pane="topRight" activeCell="C1" sqref="C1"/>
      <selection pane="bottomLeft" activeCell="A7" sqref="A7"/>
      <selection pane="bottomRight" activeCell="AL1" sqref="AL1:AL1048576"/>
    </sheetView>
  </sheetViews>
  <sheetFormatPr defaultRowHeight="13" outlineLevelCol="1"/>
  <cols>
    <col min="1" max="1" width="2.7265625" style="77" customWidth="1"/>
    <col min="2" max="2" width="50.7265625" style="77" customWidth="1"/>
    <col min="3" max="5" width="12.7265625" style="77" hidden="1" customWidth="1" outlineLevel="1"/>
    <col min="6" max="6" width="12.7265625" style="77" hidden="1" customWidth="1" outlineLevel="1" collapsed="1"/>
    <col min="7" max="7" width="12.7265625" style="77" hidden="1" customWidth="1" outlineLevel="1"/>
    <col min="8" max="8" width="12.7265625" style="77" customWidth="1" collapsed="1"/>
    <col min="9" max="12" width="12.7265625" style="77" customWidth="1"/>
    <col min="13" max="16" width="12.7265625" style="77" hidden="1" customWidth="1" outlineLevel="1"/>
    <col min="17" max="17" width="12.7265625" style="77" hidden="1" customWidth="1" outlineLevel="1" collapsed="1"/>
    <col min="18" max="31" width="12.7265625" style="77" hidden="1" customWidth="1" outlineLevel="1"/>
    <col min="32" max="32" width="12.7265625" style="77" customWidth="1" collapsed="1"/>
    <col min="33" max="38" width="12.7265625" style="77" customWidth="1"/>
    <col min="39" max="40" width="12.7265625" style="177" customWidth="1"/>
    <col min="41" max="46" width="12.7265625" style="77" customWidth="1"/>
    <col min="47" max="267" width="9.1796875" style="77"/>
    <col min="268" max="268" width="2.54296875" style="77" customWidth="1"/>
    <col min="269" max="269" width="29.453125" style="77" customWidth="1"/>
    <col min="270" max="274" width="11.1796875" style="77" customWidth="1"/>
    <col min="275" max="275" width="6.1796875" style="77" customWidth="1"/>
    <col min="276" max="279" width="11.1796875" style="77" customWidth="1"/>
    <col min="280" max="523" width="9.1796875" style="77"/>
    <col min="524" max="524" width="2.54296875" style="77" customWidth="1"/>
    <col min="525" max="525" width="29.453125" style="77" customWidth="1"/>
    <col min="526" max="530" width="11.1796875" style="77" customWidth="1"/>
    <col min="531" max="531" width="6.1796875" style="77" customWidth="1"/>
    <col min="532" max="535" width="11.1796875" style="77" customWidth="1"/>
    <col min="536" max="779" width="9.1796875" style="77"/>
    <col min="780" max="780" width="2.54296875" style="77" customWidth="1"/>
    <col min="781" max="781" width="29.453125" style="77" customWidth="1"/>
    <col min="782" max="786" width="11.1796875" style="77" customWidth="1"/>
    <col min="787" max="787" width="6.1796875" style="77" customWidth="1"/>
    <col min="788" max="791" width="11.1796875" style="77" customWidth="1"/>
    <col min="792" max="1035" width="9.1796875" style="77"/>
    <col min="1036" max="1036" width="2.54296875" style="77" customWidth="1"/>
    <col min="1037" max="1037" width="29.453125" style="77" customWidth="1"/>
    <col min="1038" max="1042" width="11.1796875" style="77" customWidth="1"/>
    <col min="1043" max="1043" width="6.1796875" style="77" customWidth="1"/>
    <col min="1044" max="1047" width="11.1796875" style="77" customWidth="1"/>
    <col min="1048" max="1291" width="9.1796875" style="77"/>
    <col min="1292" max="1292" width="2.54296875" style="77" customWidth="1"/>
    <col min="1293" max="1293" width="29.453125" style="77" customWidth="1"/>
    <col min="1294" max="1298" width="11.1796875" style="77" customWidth="1"/>
    <col min="1299" max="1299" width="6.1796875" style="77" customWidth="1"/>
    <col min="1300" max="1303" width="11.1796875" style="77" customWidth="1"/>
    <col min="1304" max="1547" width="9.1796875" style="77"/>
    <col min="1548" max="1548" width="2.54296875" style="77" customWidth="1"/>
    <col min="1549" max="1549" width="29.453125" style="77" customWidth="1"/>
    <col min="1550" max="1554" width="11.1796875" style="77" customWidth="1"/>
    <col min="1555" max="1555" width="6.1796875" style="77" customWidth="1"/>
    <col min="1556" max="1559" width="11.1796875" style="77" customWidth="1"/>
    <col min="1560" max="1803" width="9.1796875" style="77"/>
    <col min="1804" max="1804" width="2.54296875" style="77" customWidth="1"/>
    <col min="1805" max="1805" width="29.453125" style="77" customWidth="1"/>
    <col min="1806" max="1810" width="11.1796875" style="77" customWidth="1"/>
    <col min="1811" max="1811" width="6.1796875" style="77" customWidth="1"/>
    <col min="1812" max="1815" width="11.1796875" style="77" customWidth="1"/>
    <col min="1816" max="2059" width="9.1796875" style="77"/>
    <col min="2060" max="2060" width="2.54296875" style="77" customWidth="1"/>
    <col min="2061" max="2061" width="29.453125" style="77" customWidth="1"/>
    <col min="2062" max="2066" width="11.1796875" style="77" customWidth="1"/>
    <col min="2067" max="2067" width="6.1796875" style="77" customWidth="1"/>
    <col min="2068" max="2071" width="11.1796875" style="77" customWidth="1"/>
    <col min="2072" max="2315" width="9.1796875" style="77"/>
    <col min="2316" max="2316" width="2.54296875" style="77" customWidth="1"/>
    <col min="2317" max="2317" width="29.453125" style="77" customWidth="1"/>
    <col min="2318" max="2322" width="11.1796875" style="77" customWidth="1"/>
    <col min="2323" max="2323" width="6.1796875" style="77" customWidth="1"/>
    <col min="2324" max="2327" width="11.1796875" style="77" customWidth="1"/>
    <col min="2328" max="2571" width="9.1796875" style="77"/>
    <col min="2572" max="2572" width="2.54296875" style="77" customWidth="1"/>
    <col min="2573" max="2573" width="29.453125" style="77" customWidth="1"/>
    <col min="2574" max="2578" width="11.1796875" style="77" customWidth="1"/>
    <col min="2579" max="2579" width="6.1796875" style="77" customWidth="1"/>
    <col min="2580" max="2583" width="11.1796875" style="77" customWidth="1"/>
    <col min="2584" max="2827" width="9.1796875" style="77"/>
    <col min="2828" max="2828" width="2.54296875" style="77" customWidth="1"/>
    <col min="2829" max="2829" width="29.453125" style="77" customWidth="1"/>
    <col min="2830" max="2834" width="11.1796875" style="77" customWidth="1"/>
    <col min="2835" max="2835" width="6.1796875" style="77" customWidth="1"/>
    <col min="2836" max="2839" width="11.1796875" style="77" customWidth="1"/>
    <col min="2840" max="3083" width="9.1796875" style="77"/>
    <col min="3084" max="3084" width="2.54296875" style="77" customWidth="1"/>
    <col min="3085" max="3085" width="29.453125" style="77" customWidth="1"/>
    <col min="3086" max="3090" width="11.1796875" style="77" customWidth="1"/>
    <col min="3091" max="3091" width="6.1796875" style="77" customWidth="1"/>
    <col min="3092" max="3095" width="11.1796875" style="77" customWidth="1"/>
    <col min="3096" max="3339" width="9.1796875" style="77"/>
    <col min="3340" max="3340" width="2.54296875" style="77" customWidth="1"/>
    <col min="3341" max="3341" width="29.453125" style="77" customWidth="1"/>
    <col min="3342" max="3346" width="11.1796875" style="77" customWidth="1"/>
    <col min="3347" max="3347" width="6.1796875" style="77" customWidth="1"/>
    <col min="3348" max="3351" width="11.1796875" style="77" customWidth="1"/>
    <col min="3352" max="3595" width="9.1796875" style="77"/>
    <col min="3596" max="3596" width="2.54296875" style="77" customWidth="1"/>
    <col min="3597" max="3597" width="29.453125" style="77" customWidth="1"/>
    <col min="3598" max="3602" width="11.1796875" style="77" customWidth="1"/>
    <col min="3603" max="3603" width="6.1796875" style="77" customWidth="1"/>
    <col min="3604" max="3607" width="11.1796875" style="77" customWidth="1"/>
    <col min="3608" max="3851" width="9.1796875" style="77"/>
    <col min="3852" max="3852" width="2.54296875" style="77" customWidth="1"/>
    <col min="3853" max="3853" width="29.453125" style="77" customWidth="1"/>
    <col min="3854" max="3858" width="11.1796875" style="77" customWidth="1"/>
    <col min="3859" max="3859" width="6.1796875" style="77" customWidth="1"/>
    <col min="3860" max="3863" width="11.1796875" style="77" customWidth="1"/>
    <col min="3864" max="4107" width="9.1796875" style="77"/>
    <col min="4108" max="4108" width="2.54296875" style="77" customWidth="1"/>
    <col min="4109" max="4109" width="29.453125" style="77" customWidth="1"/>
    <col min="4110" max="4114" width="11.1796875" style="77" customWidth="1"/>
    <col min="4115" max="4115" width="6.1796875" style="77" customWidth="1"/>
    <col min="4116" max="4119" width="11.1796875" style="77" customWidth="1"/>
    <col min="4120" max="4363" width="9.1796875" style="77"/>
    <col min="4364" max="4364" width="2.54296875" style="77" customWidth="1"/>
    <col min="4365" max="4365" width="29.453125" style="77" customWidth="1"/>
    <col min="4366" max="4370" width="11.1796875" style="77" customWidth="1"/>
    <col min="4371" max="4371" width="6.1796875" style="77" customWidth="1"/>
    <col min="4372" max="4375" width="11.1796875" style="77" customWidth="1"/>
    <col min="4376" max="4619" width="9.1796875" style="77"/>
    <col min="4620" max="4620" width="2.54296875" style="77" customWidth="1"/>
    <col min="4621" max="4621" width="29.453125" style="77" customWidth="1"/>
    <col min="4622" max="4626" width="11.1796875" style="77" customWidth="1"/>
    <col min="4627" max="4627" width="6.1796875" style="77" customWidth="1"/>
    <col min="4628" max="4631" width="11.1796875" style="77" customWidth="1"/>
    <col min="4632" max="4875" width="9.1796875" style="77"/>
    <col min="4876" max="4876" width="2.54296875" style="77" customWidth="1"/>
    <col min="4877" max="4877" width="29.453125" style="77" customWidth="1"/>
    <col min="4878" max="4882" width="11.1796875" style="77" customWidth="1"/>
    <col min="4883" max="4883" width="6.1796875" style="77" customWidth="1"/>
    <col min="4884" max="4887" width="11.1796875" style="77" customWidth="1"/>
    <col min="4888" max="5131" width="9.1796875" style="77"/>
    <col min="5132" max="5132" width="2.54296875" style="77" customWidth="1"/>
    <col min="5133" max="5133" width="29.453125" style="77" customWidth="1"/>
    <col min="5134" max="5138" width="11.1796875" style="77" customWidth="1"/>
    <col min="5139" max="5139" width="6.1796875" style="77" customWidth="1"/>
    <col min="5140" max="5143" width="11.1796875" style="77" customWidth="1"/>
    <col min="5144" max="5387" width="9.1796875" style="77"/>
    <col min="5388" max="5388" width="2.54296875" style="77" customWidth="1"/>
    <col min="5389" max="5389" width="29.453125" style="77" customWidth="1"/>
    <col min="5390" max="5394" width="11.1796875" style="77" customWidth="1"/>
    <col min="5395" max="5395" width="6.1796875" style="77" customWidth="1"/>
    <col min="5396" max="5399" width="11.1796875" style="77" customWidth="1"/>
    <col min="5400" max="5643" width="9.1796875" style="77"/>
    <col min="5644" max="5644" width="2.54296875" style="77" customWidth="1"/>
    <col min="5645" max="5645" width="29.453125" style="77" customWidth="1"/>
    <col min="5646" max="5650" width="11.1796875" style="77" customWidth="1"/>
    <col min="5651" max="5651" width="6.1796875" style="77" customWidth="1"/>
    <col min="5652" max="5655" width="11.1796875" style="77" customWidth="1"/>
    <col min="5656" max="5899" width="9.1796875" style="77"/>
    <col min="5900" max="5900" width="2.54296875" style="77" customWidth="1"/>
    <col min="5901" max="5901" width="29.453125" style="77" customWidth="1"/>
    <col min="5902" max="5906" width="11.1796875" style="77" customWidth="1"/>
    <col min="5907" max="5907" width="6.1796875" style="77" customWidth="1"/>
    <col min="5908" max="5911" width="11.1796875" style="77" customWidth="1"/>
    <col min="5912" max="6155" width="9.1796875" style="77"/>
    <col min="6156" max="6156" width="2.54296875" style="77" customWidth="1"/>
    <col min="6157" max="6157" width="29.453125" style="77" customWidth="1"/>
    <col min="6158" max="6162" width="11.1796875" style="77" customWidth="1"/>
    <col min="6163" max="6163" width="6.1796875" style="77" customWidth="1"/>
    <col min="6164" max="6167" width="11.1796875" style="77" customWidth="1"/>
    <col min="6168" max="6411" width="9.1796875" style="77"/>
    <col min="6412" max="6412" width="2.54296875" style="77" customWidth="1"/>
    <col min="6413" max="6413" width="29.453125" style="77" customWidth="1"/>
    <col min="6414" max="6418" width="11.1796875" style="77" customWidth="1"/>
    <col min="6419" max="6419" width="6.1796875" style="77" customWidth="1"/>
    <col min="6420" max="6423" width="11.1796875" style="77" customWidth="1"/>
    <col min="6424" max="6667" width="9.1796875" style="77"/>
    <col min="6668" max="6668" width="2.54296875" style="77" customWidth="1"/>
    <col min="6669" max="6669" width="29.453125" style="77" customWidth="1"/>
    <col min="6670" max="6674" width="11.1796875" style="77" customWidth="1"/>
    <col min="6675" max="6675" width="6.1796875" style="77" customWidth="1"/>
    <col min="6676" max="6679" width="11.1796875" style="77" customWidth="1"/>
    <col min="6680" max="6923" width="9.1796875" style="77"/>
    <col min="6924" max="6924" width="2.54296875" style="77" customWidth="1"/>
    <col min="6925" max="6925" width="29.453125" style="77" customWidth="1"/>
    <col min="6926" max="6930" width="11.1796875" style="77" customWidth="1"/>
    <col min="6931" max="6931" width="6.1796875" style="77" customWidth="1"/>
    <col min="6932" max="6935" width="11.1796875" style="77" customWidth="1"/>
    <col min="6936" max="7179" width="9.1796875" style="77"/>
    <col min="7180" max="7180" width="2.54296875" style="77" customWidth="1"/>
    <col min="7181" max="7181" width="29.453125" style="77" customWidth="1"/>
    <col min="7182" max="7186" width="11.1796875" style="77" customWidth="1"/>
    <col min="7187" max="7187" width="6.1796875" style="77" customWidth="1"/>
    <col min="7188" max="7191" width="11.1796875" style="77" customWidth="1"/>
    <col min="7192" max="7435" width="9.1796875" style="77"/>
    <col min="7436" max="7436" width="2.54296875" style="77" customWidth="1"/>
    <col min="7437" max="7437" width="29.453125" style="77" customWidth="1"/>
    <col min="7438" max="7442" width="11.1796875" style="77" customWidth="1"/>
    <col min="7443" max="7443" width="6.1796875" style="77" customWidth="1"/>
    <col min="7444" max="7447" width="11.1796875" style="77" customWidth="1"/>
    <col min="7448" max="7691" width="9.1796875" style="77"/>
    <col min="7692" max="7692" width="2.54296875" style="77" customWidth="1"/>
    <col min="7693" max="7693" width="29.453125" style="77" customWidth="1"/>
    <col min="7694" max="7698" width="11.1796875" style="77" customWidth="1"/>
    <col min="7699" max="7699" width="6.1796875" style="77" customWidth="1"/>
    <col min="7700" max="7703" width="11.1796875" style="77" customWidth="1"/>
    <col min="7704" max="7947" width="9.1796875" style="77"/>
    <col min="7948" max="7948" width="2.54296875" style="77" customWidth="1"/>
    <col min="7949" max="7949" width="29.453125" style="77" customWidth="1"/>
    <col min="7950" max="7954" width="11.1796875" style="77" customWidth="1"/>
    <col min="7955" max="7955" width="6.1796875" style="77" customWidth="1"/>
    <col min="7956" max="7959" width="11.1796875" style="77" customWidth="1"/>
    <col min="7960" max="8203" width="9.1796875" style="77"/>
    <col min="8204" max="8204" width="2.54296875" style="77" customWidth="1"/>
    <col min="8205" max="8205" width="29.453125" style="77" customWidth="1"/>
    <col min="8206" max="8210" width="11.1796875" style="77" customWidth="1"/>
    <col min="8211" max="8211" width="6.1796875" style="77" customWidth="1"/>
    <col min="8212" max="8215" width="11.1796875" style="77" customWidth="1"/>
    <col min="8216" max="8459" width="9.1796875" style="77"/>
    <col min="8460" max="8460" width="2.54296875" style="77" customWidth="1"/>
    <col min="8461" max="8461" width="29.453125" style="77" customWidth="1"/>
    <col min="8462" max="8466" width="11.1796875" style="77" customWidth="1"/>
    <col min="8467" max="8467" width="6.1796875" style="77" customWidth="1"/>
    <col min="8468" max="8471" width="11.1796875" style="77" customWidth="1"/>
    <col min="8472" max="8715" width="9.1796875" style="77"/>
    <col min="8716" max="8716" width="2.54296875" style="77" customWidth="1"/>
    <col min="8717" max="8717" width="29.453125" style="77" customWidth="1"/>
    <col min="8718" max="8722" width="11.1796875" style="77" customWidth="1"/>
    <col min="8723" max="8723" width="6.1796875" style="77" customWidth="1"/>
    <col min="8724" max="8727" width="11.1796875" style="77" customWidth="1"/>
    <col min="8728" max="8971" width="9.1796875" style="77"/>
    <col min="8972" max="8972" width="2.54296875" style="77" customWidth="1"/>
    <col min="8973" max="8973" width="29.453125" style="77" customWidth="1"/>
    <col min="8974" max="8978" width="11.1796875" style="77" customWidth="1"/>
    <col min="8979" max="8979" width="6.1796875" style="77" customWidth="1"/>
    <col min="8980" max="8983" width="11.1796875" style="77" customWidth="1"/>
    <col min="8984" max="9227" width="9.1796875" style="77"/>
    <col min="9228" max="9228" width="2.54296875" style="77" customWidth="1"/>
    <col min="9229" max="9229" width="29.453125" style="77" customWidth="1"/>
    <col min="9230" max="9234" width="11.1796875" style="77" customWidth="1"/>
    <col min="9235" max="9235" width="6.1796875" style="77" customWidth="1"/>
    <col min="9236" max="9239" width="11.1796875" style="77" customWidth="1"/>
    <col min="9240" max="9483" width="9.1796875" style="77"/>
    <col min="9484" max="9484" width="2.54296875" style="77" customWidth="1"/>
    <col min="9485" max="9485" width="29.453125" style="77" customWidth="1"/>
    <col min="9486" max="9490" width="11.1796875" style="77" customWidth="1"/>
    <col min="9491" max="9491" width="6.1796875" style="77" customWidth="1"/>
    <col min="9492" max="9495" width="11.1796875" style="77" customWidth="1"/>
    <col min="9496" max="9739" width="9.1796875" style="77"/>
    <col min="9740" max="9740" width="2.54296875" style="77" customWidth="1"/>
    <col min="9741" max="9741" width="29.453125" style="77" customWidth="1"/>
    <col min="9742" max="9746" width="11.1796875" style="77" customWidth="1"/>
    <col min="9747" max="9747" width="6.1796875" style="77" customWidth="1"/>
    <col min="9748" max="9751" width="11.1796875" style="77" customWidth="1"/>
    <col min="9752" max="9995" width="9.1796875" style="77"/>
    <col min="9996" max="9996" width="2.54296875" style="77" customWidth="1"/>
    <col min="9997" max="9997" width="29.453125" style="77" customWidth="1"/>
    <col min="9998" max="10002" width="11.1796875" style="77" customWidth="1"/>
    <col min="10003" max="10003" width="6.1796875" style="77" customWidth="1"/>
    <col min="10004" max="10007" width="11.1796875" style="77" customWidth="1"/>
    <col min="10008" max="10251" width="9.1796875" style="77"/>
    <col min="10252" max="10252" width="2.54296875" style="77" customWidth="1"/>
    <col min="10253" max="10253" width="29.453125" style="77" customWidth="1"/>
    <col min="10254" max="10258" width="11.1796875" style="77" customWidth="1"/>
    <col min="10259" max="10259" width="6.1796875" style="77" customWidth="1"/>
    <col min="10260" max="10263" width="11.1796875" style="77" customWidth="1"/>
    <col min="10264" max="10507" width="9.1796875" style="77"/>
    <col min="10508" max="10508" width="2.54296875" style="77" customWidth="1"/>
    <col min="10509" max="10509" width="29.453125" style="77" customWidth="1"/>
    <col min="10510" max="10514" width="11.1796875" style="77" customWidth="1"/>
    <col min="10515" max="10515" width="6.1796875" style="77" customWidth="1"/>
    <col min="10516" max="10519" width="11.1796875" style="77" customWidth="1"/>
    <col min="10520" max="10763" width="9.1796875" style="77"/>
    <col min="10764" max="10764" width="2.54296875" style="77" customWidth="1"/>
    <col min="10765" max="10765" width="29.453125" style="77" customWidth="1"/>
    <col min="10766" max="10770" width="11.1796875" style="77" customWidth="1"/>
    <col min="10771" max="10771" width="6.1796875" style="77" customWidth="1"/>
    <col min="10772" max="10775" width="11.1796875" style="77" customWidth="1"/>
    <col min="10776" max="11019" width="9.1796875" style="77"/>
    <col min="11020" max="11020" width="2.54296875" style="77" customWidth="1"/>
    <col min="11021" max="11021" width="29.453125" style="77" customWidth="1"/>
    <col min="11022" max="11026" width="11.1796875" style="77" customWidth="1"/>
    <col min="11027" max="11027" width="6.1796875" style="77" customWidth="1"/>
    <col min="11028" max="11031" width="11.1796875" style="77" customWidth="1"/>
    <col min="11032" max="11275" width="9.1796875" style="77"/>
    <col min="11276" max="11276" width="2.54296875" style="77" customWidth="1"/>
    <col min="11277" max="11277" width="29.453125" style="77" customWidth="1"/>
    <col min="11278" max="11282" width="11.1796875" style="77" customWidth="1"/>
    <col min="11283" max="11283" width="6.1796875" style="77" customWidth="1"/>
    <col min="11284" max="11287" width="11.1796875" style="77" customWidth="1"/>
    <col min="11288" max="11531" width="9.1796875" style="77"/>
    <col min="11532" max="11532" width="2.54296875" style="77" customWidth="1"/>
    <col min="11533" max="11533" width="29.453125" style="77" customWidth="1"/>
    <col min="11534" max="11538" width="11.1796875" style="77" customWidth="1"/>
    <col min="11539" max="11539" width="6.1796875" style="77" customWidth="1"/>
    <col min="11540" max="11543" width="11.1796875" style="77" customWidth="1"/>
    <col min="11544" max="11787" width="9.1796875" style="77"/>
    <col min="11788" max="11788" width="2.54296875" style="77" customWidth="1"/>
    <col min="11789" max="11789" width="29.453125" style="77" customWidth="1"/>
    <col min="11790" max="11794" width="11.1796875" style="77" customWidth="1"/>
    <col min="11795" max="11795" width="6.1796875" style="77" customWidth="1"/>
    <col min="11796" max="11799" width="11.1796875" style="77" customWidth="1"/>
    <col min="11800" max="12043" width="9.1796875" style="77"/>
    <col min="12044" max="12044" width="2.54296875" style="77" customWidth="1"/>
    <col min="12045" max="12045" width="29.453125" style="77" customWidth="1"/>
    <col min="12046" max="12050" width="11.1796875" style="77" customWidth="1"/>
    <col min="12051" max="12051" width="6.1796875" style="77" customWidth="1"/>
    <col min="12052" max="12055" width="11.1796875" style="77" customWidth="1"/>
    <col min="12056" max="12299" width="9.1796875" style="77"/>
    <col min="12300" max="12300" width="2.54296875" style="77" customWidth="1"/>
    <col min="12301" max="12301" width="29.453125" style="77" customWidth="1"/>
    <col min="12302" max="12306" width="11.1796875" style="77" customWidth="1"/>
    <col min="12307" max="12307" width="6.1796875" style="77" customWidth="1"/>
    <col min="12308" max="12311" width="11.1796875" style="77" customWidth="1"/>
    <col min="12312" max="12555" width="9.1796875" style="77"/>
    <col min="12556" max="12556" width="2.54296875" style="77" customWidth="1"/>
    <col min="12557" max="12557" width="29.453125" style="77" customWidth="1"/>
    <col min="12558" max="12562" width="11.1796875" style="77" customWidth="1"/>
    <col min="12563" max="12563" width="6.1796875" style="77" customWidth="1"/>
    <col min="12564" max="12567" width="11.1796875" style="77" customWidth="1"/>
    <col min="12568" max="12811" width="9.1796875" style="77"/>
    <col min="12812" max="12812" width="2.54296875" style="77" customWidth="1"/>
    <col min="12813" max="12813" width="29.453125" style="77" customWidth="1"/>
    <col min="12814" max="12818" width="11.1796875" style="77" customWidth="1"/>
    <col min="12819" max="12819" width="6.1796875" style="77" customWidth="1"/>
    <col min="12820" max="12823" width="11.1796875" style="77" customWidth="1"/>
    <col min="12824" max="13067" width="9.1796875" style="77"/>
    <col min="13068" max="13068" width="2.54296875" style="77" customWidth="1"/>
    <col min="13069" max="13069" width="29.453125" style="77" customWidth="1"/>
    <col min="13070" max="13074" width="11.1796875" style="77" customWidth="1"/>
    <col min="13075" max="13075" width="6.1796875" style="77" customWidth="1"/>
    <col min="13076" max="13079" width="11.1796875" style="77" customWidth="1"/>
    <col min="13080" max="13323" width="9.1796875" style="77"/>
    <col min="13324" max="13324" width="2.54296875" style="77" customWidth="1"/>
    <col min="13325" max="13325" width="29.453125" style="77" customWidth="1"/>
    <col min="13326" max="13330" width="11.1796875" style="77" customWidth="1"/>
    <col min="13331" max="13331" width="6.1796875" style="77" customWidth="1"/>
    <col min="13332" max="13335" width="11.1796875" style="77" customWidth="1"/>
    <col min="13336" max="13579" width="9.1796875" style="77"/>
    <col min="13580" max="13580" width="2.54296875" style="77" customWidth="1"/>
    <col min="13581" max="13581" width="29.453125" style="77" customWidth="1"/>
    <col min="13582" max="13586" width="11.1796875" style="77" customWidth="1"/>
    <col min="13587" max="13587" width="6.1796875" style="77" customWidth="1"/>
    <col min="13588" max="13591" width="11.1796875" style="77" customWidth="1"/>
    <col min="13592" max="13835" width="9.1796875" style="77"/>
    <col min="13836" max="13836" width="2.54296875" style="77" customWidth="1"/>
    <col min="13837" max="13837" width="29.453125" style="77" customWidth="1"/>
    <col min="13838" max="13842" width="11.1796875" style="77" customWidth="1"/>
    <col min="13843" max="13843" width="6.1796875" style="77" customWidth="1"/>
    <col min="13844" max="13847" width="11.1796875" style="77" customWidth="1"/>
    <col min="13848" max="14091" width="9.1796875" style="77"/>
    <col min="14092" max="14092" width="2.54296875" style="77" customWidth="1"/>
    <col min="14093" max="14093" width="29.453125" style="77" customWidth="1"/>
    <col min="14094" max="14098" width="11.1796875" style="77" customWidth="1"/>
    <col min="14099" max="14099" width="6.1796875" style="77" customWidth="1"/>
    <col min="14100" max="14103" width="11.1796875" style="77" customWidth="1"/>
    <col min="14104" max="14347" width="9.1796875" style="77"/>
    <col min="14348" max="14348" width="2.54296875" style="77" customWidth="1"/>
    <col min="14349" max="14349" width="29.453125" style="77" customWidth="1"/>
    <col min="14350" max="14354" width="11.1796875" style="77" customWidth="1"/>
    <col min="14355" max="14355" width="6.1796875" style="77" customWidth="1"/>
    <col min="14356" max="14359" width="11.1796875" style="77" customWidth="1"/>
    <col min="14360" max="14603" width="9.1796875" style="77"/>
    <col min="14604" max="14604" width="2.54296875" style="77" customWidth="1"/>
    <col min="14605" max="14605" width="29.453125" style="77" customWidth="1"/>
    <col min="14606" max="14610" width="11.1796875" style="77" customWidth="1"/>
    <col min="14611" max="14611" width="6.1796875" style="77" customWidth="1"/>
    <col min="14612" max="14615" width="11.1796875" style="77" customWidth="1"/>
    <col min="14616" max="14859" width="9.1796875" style="77"/>
    <col min="14860" max="14860" width="2.54296875" style="77" customWidth="1"/>
    <col min="14861" max="14861" width="29.453125" style="77" customWidth="1"/>
    <col min="14862" max="14866" width="11.1796875" style="77" customWidth="1"/>
    <col min="14867" max="14867" width="6.1796875" style="77" customWidth="1"/>
    <col min="14868" max="14871" width="11.1796875" style="77" customWidth="1"/>
    <col min="14872" max="15115" width="9.1796875" style="77"/>
    <col min="15116" max="15116" width="2.54296875" style="77" customWidth="1"/>
    <col min="15117" max="15117" width="29.453125" style="77" customWidth="1"/>
    <col min="15118" max="15122" width="11.1796875" style="77" customWidth="1"/>
    <col min="15123" max="15123" width="6.1796875" style="77" customWidth="1"/>
    <col min="15124" max="15127" width="11.1796875" style="77" customWidth="1"/>
    <col min="15128" max="15371" width="9.1796875" style="77"/>
    <col min="15372" max="15372" width="2.54296875" style="77" customWidth="1"/>
    <col min="15373" max="15373" width="29.453125" style="77" customWidth="1"/>
    <col min="15374" max="15378" width="11.1796875" style="77" customWidth="1"/>
    <col min="15379" max="15379" width="6.1796875" style="77" customWidth="1"/>
    <col min="15380" max="15383" width="11.1796875" style="77" customWidth="1"/>
    <col min="15384" max="15627" width="9.1796875" style="77"/>
    <col min="15628" max="15628" width="2.54296875" style="77" customWidth="1"/>
    <col min="15629" max="15629" width="29.453125" style="77" customWidth="1"/>
    <col min="15630" max="15634" width="11.1796875" style="77" customWidth="1"/>
    <col min="15635" max="15635" width="6.1796875" style="77" customWidth="1"/>
    <col min="15636" max="15639" width="11.1796875" style="77" customWidth="1"/>
    <col min="15640" max="15883" width="9.1796875" style="77"/>
    <col min="15884" max="15884" width="2.54296875" style="77" customWidth="1"/>
    <col min="15885" max="15885" width="29.453125" style="77" customWidth="1"/>
    <col min="15886" max="15890" width="11.1796875" style="77" customWidth="1"/>
    <col min="15891" max="15891" width="6.1796875" style="77" customWidth="1"/>
    <col min="15892" max="15895" width="11.1796875" style="77" customWidth="1"/>
    <col min="15896" max="16139" width="9.1796875" style="77"/>
    <col min="16140" max="16140" width="2.54296875" style="77" customWidth="1"/>
    <col min="16141" max="16141" width="29.453125" style="77" customWidth="1"/>
    <col min="16142" max="16146" width="11.1796875" style="77" customWidth="1"/>
    <col min="16147" max="16147" width="6.1796875" style="77" customWidth="1"/>
    <col min="16148" max="16151" width="11.1796875" style="77" customWidth="1"/>
    <col min="16152" max="16384" width="9.1796875" style="77"/>
  </cols>
  <sheetData>
    <row r="2" spans="2:40" s="282" customFormat="1" ht="21">
      <c r="B2" s="260" t="s">
        <v>152</v>
      </c>
      <c r="C2" s="279" t="s">
        <v>153</v>
      </c>
      <c r="D2" s="279" t="s">
        <v>153</v>
      </c>
      <c r="E2" s="279" t="s">
        <v>153</v>
      </c>
      <c r="F2" s="279" t="s">
        <v>153</v>
      </c>
      <c r="G2" s="279" t="s">
        <v>153</v>
      </c>
      <c r="H2" s="279" t="s">
        <v>153</v>
      </c>
      <c r="I2" s="279" t="s">
        <v>153</v>
      </c>
      <c r="J2" s="279" t="s">
        <v>153</v>
      </c>
      <c r="K2" s="297"/>
      <c r="L2" s="280"/>
      <c r="M2" s="261" t="s">
        <v>154</v>
      </c>
      <c r="N2" s="261" t="s">
        <v>154</v>
      </c>
      <c r="O2" s="261" t="s">
        <v>154</v>
      </c>
      <c r="P2" s="261" t="s">
        <v>154</v>
      </c>
      <c r="Q2" s="261" t="s">
        <v>154</v>
      </c>
      <c r="R2" s="261" t="s">
        <v>154</v>
      </c>
      <c r="S2" s="261" t="s">
        <v>154</v>
      </c>
      <c r="T2" s="261" t="s">
        <v>154</v>
      </c>
      <c r="U2" s="261" t="s">
        <v>154</v>
      </c>
      <c r="V2" s="261" t="s">
        <v>154</v>
      </c>
      <c r="W2" s="261" t="s">
        <v>154</v>
      </c>
      <c r="X2" s="261" t="s">
        <v>154</v>
      </c>
      <c r="Y2" s="261" t="s">
        <v>154</v>
      </c>
      <c r="Z2" s="261" t="s">
        <v>154</v>
      </c>
      <c r="AA2" s="261" t="s">
        <v>154</v>
      </c>
      <c r="AB2" s="261" t="s">
        <v>154</v>
      </c>
      <c r="AC2" s="261" t="s">
        <v>154</v>
      </c>
      <c r="AD2" s="261" t="s">
        <v>154</v>
      </c>
      <c r="AE2" s="261" t="s">
        <v>154</v>
      </c>
      <c r="AF2" s="261" t="s">
        <v>154</v>
      </c>
      <c r="AG2" s="261" t="s">
        <v>154</v>
      </c>
      <c r="AH2" s="261" t="s">
        <v>154</v>
      </c>
      <c r="AI2" s="261" t="s">
        <v>154</v>
      </c>
      <c r="AJ2" s="261" t="s">
        <v>154</v>
      </c>
      <c r="AK2" s="261" t="s">
        <v>154</v>
      </c>
      <c r="AL2" s="277"/>
      <c r="AM2" s="281"/>
      <c r="AN2" s="281"/>
    </row>
    <row r="3" spans="2:40" s="282" customFormat="1">
      <c r="B3" s="264" t="s">
        <v>155</v>
      </c>
      <c r="C3" s="265">
        <v>43465</v>
      </c>
      <c r="D3" s="265">
        <v>43830</v>
      </c>
      <c r="E3" s="265">
        <v>44196</v>
      </c>
      <c r="F3" s="265">
        <v>44561</v>
      </c>
      <c r="G3" s="265">
        <v>44926</v>
      </c>
      <c r="H3" s="265">
        <v>45291</v>
      </c>
      <c r="I3" s="265">
        <v>45657</v>
      </c>
      <c r="J3" s="265">
        <v>46022</v>
      </c>
      <c r="K3" s="278"/>
      <c r="L3" s="280"/>
      <c r="M3" s="265">
        <v>43921</v>
      </c>
      <c r="N3" s="265">
        <v>44012</v>
      </c>
      <c r="O3" s="265">
        <v>44104</v>
      </c>
      <c r="P3" s="265">
        <v>44196</v>
      </c>
      <c r="Q3" s="265">
        <v>44286</v>
      </c>
      <c r="R3" s="265">
        <v>44377</v>
      </c>
      <c r="S3" s="265">
        <v>44469</v>
      </c>
      <c r="T3" s="265">
        <v>44561</v>
      </c>
      <c r="U3" s="265">
        <v>44651</v>
      </c>
      <c r="V3" s="265">
        <v>44742</v>
      </c>
      <c r="W3" s="265">
        <v>44834</v>
      </c>
      <c r="X3" s="265">
        <v>44926</v>
      </c>
      <c r="Y3" s="265">
        <v>45016</v>
      </c>
      <c r="Z3" s="265">
        <v>45107</v>
      </c>
      <c r="AA3" s="265">
        <v>45199</v>
      </c>
      <c r="AB3" s="265">
        <v>45291</v>
      </c>
      <c r="AC3" s="265">
        <v>45382</v>
      </c>
      <c r="AD3" s="265">
        <v>45473</v>
      </c>
      <c r="AE3" s="265">
        <v>45565</v>
      </c>
      <c r="AF3" s="265">
        <v>45657</v>
      </c>
      <c r="AG3" s="265">
        <v>45747</v>
      </c>
      <c r="AH3" s="265">
        <v>45838</v>
      </c>
      <c r="AI3" s="265">
        <v>45930</v>
      </c>
      <c r="AJ3" s="265">
        <v>46022</v>
      </c>
      <c r="AK3" s="265">
        <v>46112</v>
      </c>
      <c r="AL3" s="278"/>
      <c r="AM3" s="281"/>
      <c r="AN3" s="281"/>
    </row>
    <row r="4" spans="2:40" s="285" customFormat="1">
      <c r="B4" s="264"/>
      <c r="C4" s="283" t="s">
        <v>156</v>
      </c>
      <c r="D4" s="283" t="s">
        <v>156</v>
      </c>
      <c r="E4" s="283" t="s">
        <v>156</v>
      </c>
      <c r="F4" s="283" t="s">
        <v>156</v>
      </c>
      <c r="G4" s="283" t="s">
        <v>156</v>
      </c>
      <c r="H4" s="283" t="s">
        <v>156</v>
      </c>
      <c r="I4" s="283" t="s">
        <v>156</v>
      </c>
      <c r="J4" s="283" t="s">
        <v>156</v>
      </c>
      <c r="K4" s="298"/>
      <c r="L4" s="280"/>
      <c r="M4" s="265" t="s">
        <v>156</v>
      </c>
      <c r="N4" s="265" t="s">
        <v>156</v>
      </c>
      <c r="O4" s="265" t="s">
        <v>156</v>
      </c>
      <c r="P4" s="265" t="s">
        <v>156</v>
      </c>
      <c r="Q4" s="265" t="s">
        <v>156</v>
      </c>
      <c r="R4" s="265" t="s">
        <v>156</v>
      </c>
      <c r="S4" s="265" t="s">
        <v>156</v>
      </c>
      <c r="T4" s="265" t="s">
        <v>156</v>
      </c>
      <c r="U4" s="265" t="s">
        <v>156</v>
      </c>
      <c r="V4" s="265" t="s">
        <v>156</v>
      </c>
      <c r="W4" s="265" t="s">
        <v>156</v>
      </c>
      <c r="X4" s="265" t="s">
        <v>156</v>
      </c>
      <c r="Y4" s="265" t="s">
        <v>156</v>
      </c>
      <c r="Z4" s="265" t="s">
        <v>156</v>
      </c>
      <c r="AA4" s="265" t="s">
        <v>156</v>
      </c>
      <c r="AB4" s="265" t="s">
        <v>156</v>
      </c>
      <c r="AC4" s="265" t="s">
        <v>156</v>
      </c>
      <c r="AD4" s="265" t="s">
        <v>156</v>
      </c>
      <c r="AE4" s="265" t="s">
        <v>156</v>
      </c>
      <c r="AF4" s="265" t="s">
        <v>156</v>
      </c>
      <c r="AG4" s="265" t="s">
        <v>156</v>
      </c>
      <c r="AH4" s="265" t="s">
        <v>156</v>
      </c>
      <c r="AI4" s="265" t="s">
        <v>156</v>
      </c>
      <c r="AJ4" s="265" t="s">
        <v>156</v>
      </c>
      <c r="AK4" s="265" t="s">
        <v>156</v>
      </c>
      <c r="AL4" s="278"/>
      <c r="AM4" s="284"/>
      <c r="AN4" s="284"/>
    </row>
    <row r="5" spans="2:40" s="286" customFormat="1">
      <c r="C5" s="287" t="s">
        <v>157</v>
      </c>
      <c r="D5" s="287" t="s">
        <v>157</v>
      </c>
      <c r="E5" s="287" t="s">
        <v>157</v>
      </c>
      <c r="F5" s="287" t="s">
        <v>157</v>
      </c>
      <c r="G5" s="287" t="s">
        <v>157</v>
      </c>
      <c r="H5" s="287" t="s">
        <v>157</v>
      </c>
      <c r="I5" s="287" t="s">
        <v>157</v>
      </c>
      <c r="J5" s="287" t="s">
        <v>157</v>
      </c>
      <c r="K5" s="288"/>
      <c r="L5" s="280"/>
      <c r="M5" s="268" t="s">
        <v>158</v>
      </c>
      <c r="N5" s="268" t="s">
        <v>159</v>
      </c>
      <c r="O5" s="268" t="s">
        <v>160</v>
      </c>
      <c r="P5" s="269" t="s">
        <v>161</v>
      </c>
      <c r="Q5" s="268" t="s">
        <v>158</v>
      </c>
      <c r="R5" s="268" t="s">
        <v>159</v>
      </c>
      <c r="S5" s="268" t="s">
        <v>160</v>
      </c>
      <c r="T5" s="269" t="s">
        <v>161</v>
      </c>
      <c r="U5" s="268" t="s">
        <v>158</v>
      </c>
      <c r="V5" s="268" t="s">
        <v>159</v>
      </c>
      <c r="W5" s="268" t="s">
        <v>160</v>
      </c>
      <c r="X5" s="269" t="s">
        <v>161</v>
      </c>
      <c r="Y5" s="268" t="s">
        <v>158</v>
      </c>
      <c r="Z5" s="268" t="s">
        <v>159</v>
      </c>
      <c r="AA5" s="268" t="s">
        <v>160</v>
      </c>
      <c r="AB5" s="269" t="s">
        <v>161</v>
      </c>
      <c r="AC5" s="268" t="s">
        <v>158</v>
      </c>
      <c r="AD5" s="268" t="s">
        <v>159</v>
      </c>
      <c r="AE5" s="268" t="s">
        <v>160</v>
      </c>
      <c r="AF5" s="269" t="s">
        <v>161</v>
      </c>
      <c r="AG5" s="268" t="s">
        <v>158</v>
      </c>
      <c r="AH5" s="268" t="s">
        <v>159</v>
      </c>
      <c r="AI5" s="268" t="s">
        <v>160</v>
      </c>
      <c r="AJ5" s="269" t="s">
        <v>161</v>
      </c>
      <c r="AK5" s="268" t="s">
        <v>158</v>
      </c>
      <c r="AL5" s="268"/>
      <c r="AM5" s="289"/>
      <c r="AN5" s="289"/>
    </row>
    <row r="6" spans="2:40" s="286" customFormat="1">
      <c r="B6" s="290"/>
      <c r="C6" s="291"/>
      <c r="D6" s="291"/>
      <c r="E6" s="291"/>
      <c r="F6" s="291"/>
      <c r="G6" s="291"/>
      <c r="H6" s="291"/>
      <c r="I6" s="291"/>
      <c r="J6" s="291"/>
      <c r="K6" s="292"/>
      <c r="L6" s="280"/>
      <c r="M6" s="293"/>
      <c r="N6" s="293"/>
      <c r="O6" s="293"/>
      <c r="P6" s="294"/>
      <c r="Q6" s="293"/>
      <c r="R6" s="293"/>
      <c r="S6" s="293"/>
      <c r="T6" s="294"/>
      <c r="U6" s="293"/>
      <c r="V6" s="293"/>
      <c r="W6" s="293"/>
      <c r="X6" s="294"/>
      <c r="Y6" s="293"/>
      <c r="Z6" s="293"/>
      <c r="AA6" s="293"/>
      <c r="AB6" s="294"/>
      <c r="AC6" s="293"/>
      <c r="AD6" s="293"/>
      <c r="AE6" s="293"/>
      <c r="AF6" s="294"/>
      <c r="AG6" s="293"/>
      <c r="AH6" s="293"/>
      <c r="AI6" s="293"/>
      <c r="AJ6" s="294"/>
      <c r="AK6" s="293"/>
      <c r="AL6" s="293"/>
      <c r="AM6" s="289"/>
      <c r="AN6" s="289"/>
    </row>
    <row r="7" spans="2:40">
      <c r="B7" s="253" t="s">
        <v>273</v>
      </c>
      <c r="C7" s="254"/>
      <c r="D7" s="254"/>
      <c r="E7" s="254"/>
      <c r="F7" s="254"/>
      <c r="G7" s="254"/>
      <c r="H7" s="254"/>
      <c r="I7" s="254"/>
      <c r="J7" s="254"/>
      <c r="K7" s="254"/>
      <c r="L7" s="87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</row>
    <row r="8" spans="2:40">
      <c r="B8" s="207" t="s">
        <v>274</v>
      </c>
      <c r="C8" s="84">
        <v>447502.17300000001</v>
      </c>
      <c r="D8" s="84">
        <v>552245.14099999995</v>
      </c>
      <c r="E8" s="84">
        <v>702929.61899999995</v>
      </c>
      <c r="F8" s="84">
        <v>866302.53899999999</v>
      </c>
      <c r="G8" s="84">
        <v>929929</v>
      </c>
      <c r="H8" s="84">
        <v>945343</v>
      </c>
      <c r="I8" s="84">
        <v>1015948</v>
      </c>
      <c r="J8" s="84">
        <v>1126399</v>
      </c>
      <c r="K8" s="87"/>
      <c r="L8" s="87"/>
      <c r="M8" s="84">
        <v>137356.07399999999</v>
      </c>
      <c r="N8" s="84">
        <v>189482.78</v>
      </c>
      <c r="O8" s="84">
        <v>161081.245</v>
      </c>
      <c r="P8" s="82">
        <f>E8-SUM(M8:O8)</f>
        <v>215009.51999999996</v>
      </c>
      <c r="Q8" s="84">
        <v>185796.239</v>
      </c>
      <c r="R8" s="84">
        <v>232556.81</v>
      </c>
      <c r="S8" s="84">
        <v>198080.245</v>
      </c>
      <c r="T8" s="82">
        <f>F8-SUM(Q8:S8)</f>
        <v>249869.245</v>
      </c>
      <c r="U8" s="84">
        <v>217524</v>
      </c>
      <c r="V8" s="84">
        <v>241557</v>
      </c>
      <c r="W8" s="84">
        <v>211923</v>
      </c>
      <c r="X8" s="82">
        <f>G8-SUM(U8:W8)</f>
        <v>258925</v>
      </c>
      <c r="Y8" s="84">
        <v>212358</v>
      </c>
      <c r="Z8" s="84">
        <v>253280</v>
      </c>
      <c r="AA8" s="84">
        <v>212059</v>
      </c>
      <c r="AB8" s="82">
        <f>H8-SUM(Y8:AA8)</f>
        <v>267646</v>
      </c>
      <c r="AC8" s="84">
        <v>226835</v>
      </c>
      <c r="AD8" s="84">
        <v>257072</v>
      </c>
      <c r="AE8" s="84">
        <v>224986</v>
      </c>
      <c r="AF8" s="82">
        <f>I8-SUM(AC8:AE8)</f>
        <v>307055</v>
      </c>
      <c r="AG8" s="84">
        <v>263845</v>
      </c>
      <c r="AH8" s="84">
        <v>310075</v>
      </c>
      <c r="AI8" s="84">
        <v>250577</v>
      </c>
      <c r="AJ8" s="82">
        <f>J8-SUM(AG8:AI8)</f>
        <v>301902</v>
      </c>
      <c r="AK8" s="84">
        <v>268588</v>
      </c>
      <c r="AL8" s="84"/>
    </row>
    <row r="9" spans="2:40">
      <c r="B9" s="207" t="s">
        <v>275</v>
      </c>
      <c r="C9" s="229"/>
      <c r="D9" s="229"/>
      <c r="E9" s="229"/>
      <c r="F9" s="84">
        <v>104693.402</v>
      </c>
      <c r="G9" s="84">
        <v>137402</v>
      </c>
      <c r="H9" s="84">
        <v>166625</v>
      </c>
      <c r="I9" s="84">
        <v>182837</v>
      </c>
      <c r="J9" s="84">
        <v>217146</v>
      </c>
      <c r="K9" s="87"/>
      <c r="L9" s="87"/>
      <c r="M9" s="84">
        <v>13656.913</v>
      </c>
      <c r="N9" s="84">
        <v>17885.953000000001</v>
      </c>
      <c r="O9" s="84">
        <v>17964.349999999999</v>
      </c>
      <c r="P9" s="82">
        <f>E9-SUM(M9:O9)</f>
        <v>-49507.216</v>
      </c>
      <c r="Q9" s="84">
        <v>22411.019</v>
      </c>
      <c r="R9" s="84">
        <v>26061.431</v>
      </c>
      <c r="S9" s="84">
        <v>25749.276000000002</v>
      </c>
      <c r="T9" s="82">
        <f>F9-SUM(Q9:S9)</f>
        <v>30471.676000000007</v>
      </c>
      <c r="U9" s="84">
        <v>27351</v>
      </c>
      <c r="V9" s="84">
        <v>31272</v>
      </c>
      <c r="W9" s="84">
        <v>35771</v>
      </c>
      <c r="X9" s="82">
        <f>G9-SUM(U9:W9)</f>
        <v>43008</v>
      </c>
      <c r="Y9" s="84">
        <v>36728</v>
      </c>
      <c r="Z9" s="84">
        <v>41033</v>
      </c>
      <c r="AA9" s="84">
        <v>41663</v>
      </c>
      <c r="AB9" s="82">
        <f>H9-SUM(Y9:AA9)</f>
        <v>47201</v>
      </c>
      <c r="AC9" s="84">
        <v>42137</v>
      </c>
      <c r="AD9" s="84">
        <v>44207</v>
      </c>
      <c r="AE9" s="84">
        <v>44396</v>
      </c>
      <c r="AF9" s="82">
        <f t="shared" ref="AF9" si="0">I9-SUM(AC9:AE9)</f>
        <v>52097</v>
      </c>
      <c r="AG9" s="84">
        <v>46967</v>
      </c>
      <c r="AH9" s="84">
        <v>51564</v>
      </c>
      <c r="AI9" s="84">
        <v>55084</v>
      </c>
      <c r="AJ9" s="82">
        <f>J9-SUM(AG9:AI9)</f>
        <v>63531</v>
      </c>
      <c r="AK9" s="84">
        <v>60581</v>
      </c>
      <c r="AL9" s="84"/>
    </row>
    <row r="10" spans="2:40">
      <c r="B10" s="207" t="s">
        <v>276</v>
      </c>
      <c r="C10" s="229"/>
      <c r="D10" s="229"/>
      <c r="E10" s="229"/>
      <c r="F10" s="229"/>
      <c r="G10" s="84">
        <v>8030</v>
      </c>
      <c r="H10" s="229"/>
      <c r="I10" s="229"/>
      <c r="J10" s="229"/>
      <c r="K10" s="229"/>
      <c r="L10" s="87"/>
      <c r="M10" s="230"/>
      <c r="N10" s="230"/>
      <c r="O10" s="230"/>
      <c r="P10" s="230"/>
      <c r="Q10" s="230"/>
      <c r="R10" s="230"/>
      <c r="S10" s="230"/>
      <c r="T10" s="230"/>
      <c r="U10" s="84">
        <v>688</v>
      </c>
      <c r="V10" s="84">
        <v>2281</v>
      </c>
      <c r="W10" s="84">
        <v>2380</v>
      </c>
      <c r="X10" s="82">
        <f>G10-SUM(U10:W10)</f>
        <v>2681</v>
      </c>
      <c r="Y10" s="84">
        <v>2576</v>
      </c>
      <c r="Z10" s="84">
        <v>2811</v>
      </c>
      <c r="AA10" s="84">
        <v>2867</v>
      </c>
      <c r="AB10" s="82">
        <f>H10-SUM(Y10:AA10)</f>
        <v>-8254</v>
      </c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</row>
    <row r="11" spans="2:40">
      <c r="B11" s="207" t="s">
        <v>277</v>
      </c>
      <c r="C11" s="84">
        <v>14665.281000000001</v>
      </c>
      <c r="D11" s="84">
        <v>23932.277999999998</v>
      </c>
      <c r="E11" s="84">
        <v>42790.953999999998</v>
      </c>
      <c r="F11" s="84">
        <v>26063.231</v>
      </c>
      <c r="G11" s="84">
        <v>21779</v>
      </c>
      <c r="H11" s="84">
        <v>26617</v>
      </c>
      <c r="I11" s="84">
        <v>19157</v>
      </c>
      <c r="J11" s="84">
        <v>49282</v>
      </c>
      <c r="K11" s="87"/>
      <c r="L11" s="87"/>
      <c r="M11" s="84">
        <v>3309.375</v>
      </c>
      <c r="N11" s="84">
        <v>4345.183</v>
      </c>
      <c r="O11" s="84">
        <v>4302.067</v>
      </c>
      <c r="P11" s="82">
        <f>E11-SUM(M11:O11)</f>
        <v>30834.328999999998</v>
      </c>
      <c r="Q11" s="84">
        <v>5154.277</v>
      </c>
      <c r="R11" s="84">
        <v>6963.3069999999998</v>
      </c>
      <c r="S11" s="84">
        <v>5732.81</v>
      </c>
      <c r="T11" s="82">
        <f>F11-SUM(Q11:S11)</f>
        <v>8212.8369999999995</v>
      </c>
      <c r="U11" s="84">
        <v>5756</v>
      </c>
      <c r="V11" s="84">
        <v>6265</v>
      </c>
      <c r="W11" s="84">
        <v>4997</v>
      </c>
      <c r="X11" s="82">
        <f>G11-SUM(U11:W11)</f>
        <v>4761</v>
      </c>
      <c r="Y11" s="84">
        <v>3450</v>
      </c>
      <c r="Z11" s="84">
        <v>4316</v>
      </c>
      <c r="AA11" s="84">
        <v>3818</v>
      </c>
      <c r="AB11" s="82">
        <f>H11-SUM(Y11:AA11)</f>
        <v>15033</v>
      </c>
      <c r="AC11" s="84">
        <v>4870</v>
      </c>
      <c r="AD11" s="84">
        <v>4636</v>
      </c>
      <c r="AE11" s="84">
        <v>4970</v>
      </c>
      <c r="AF11" s="82">
        <f>I11-SUM(AC11:AE11)</f>
        <v>4681</v>
      </c>
      <c r="AG11" s="84">
        <v>5753</v>
      </c>
      <c r="AH11" s="84">
        <v>13852</v>
      </c>
      <c r="AI11" s="84">
        <v>15592</v>
      </c>
      <c r="AJ11" s="82">
        <f>J11-SUM(AG11:AI11)</f>
        <v>14085</v>
      </c>
      <c r="AK11" s="84">
        <v>6279</v>
      </c>
      <c r="AL11" s="84"/>
    </row>
    <row r="12" spans="2:40">
      <c r="B12" s="207" t="s">
        <v>278</v>
      </c>
      <c r="C12" s="84">
        <v>-1103.943</v>
      </c>
      <c r="D12" s="84">
        <v>-435.36399999999998</v>
      </c>
      <c r="E12" s="84">
        <v>-724.63900000000001</v>
      </c>
      <c r="F12" s="84">
        <v>-46042.536999999997</v>
      </c>
      <c r="G12" s="84">
        <v>-50904</v>
      </c>
      <c r="H12" s="84">
        <v>-53923</v>
      </c>
      <c r="I12" s="84">
        <v>-59123</v>
      </c>
      <c r="J12" s="84">
        <v>-83742</v>
      </c>
      <c r="K12" s="87"/>
      <c r="L12" s="87"/>
      <c r="M12" s="84">
        <v>-8440.1350000000002</v>
      </c>
      <c r="N12" s="84">
        <v>-10844.903</v>
      </c>
      <c r="O12" s="84">
        <v>-9291.6970000000001</v>
      </c>
      <c r="P12" s="82">
        <f>E12-SUM(M12:O12)</f>
        <v>27852.096000000001</v>
      </c>
      <c r="Q12" s="84">
        <v>-10321.120000000001</v>
      </c>
      <c r="R12" s="84">
        <v>-11920.407999999999</v>
      </c>
      <c r="S12" s="84">
        <v>-11003.427</v>
      </c>
      <c r="T12" s="82">
        <f>F12-SUM(Q12:S12)</f>
        <v>-12797.581999999995</v>
      </c>
      <c r="U12" s="84">
        <v>-11664</v>
      </c>
      <c r="V12" s="84">
        <v>-13775</v>
      </c>
      <c r="W12" s="84">
        <v>-11536</v>
      </c>
      <c r="X12" s="82">
        <f>G12-SUM(U12:W12)</f>
        <v>-13929</v>
      </c>
      <c r="Y12" s="84">
        <v>-12156</v>
      </c>
      <c r="Z12" s="84">
        <v>-13509</v>
      </c>
      <c r="AA12" s="84">
        <v>-12709</v>
      </c>
      <c r="AB12" s="82">
        <f>H12-SUM(Y12:AA12)</f>
        <v>-15549</v>
      </c>
      <c r="AC12" s="84">
        <v>-13793</v>
      </c>
      <c r="AD12" s="84">
        <v>-14518</v>
      </c>
      <c r="AE12" s="84">
        <v>-13965</v>
      </c>
      <c r="AF12" s="82">
        <f>I12-SUM(AC12:AE12)</f>
        <v>-16847</v>
      </c>
      <c r="AG12" s="84">
        <v>-15483</v>
      </c>
      <c r="AH12" s="84">
        <v>-18831</v>
      </c>
      <c r="AI12" s="84">
        <v>-22194</v>
      </c>
      <c r="AJ12" s="82">
        <f>J12-SUM(AG12:AI12)</f>
        <v>-27234</v>
      </c>
      <c r="AK12" s="84">
        <v>-19754</v>
      </c>
      <c r="AL12" s="84"/>
    </row>
    <row r="13" spans="2:40">
      <c r="B13" s="208" t="s">
        <v>279</v>
      </c>
      <c r="C13" s="83">
        <f t="shared" ref="C13:Q13" si="1">SUM(C8:C12)</f>
        <v>461063.511</v>
      </c>
      <c r="D13" s="83">
        <f t="shared" si="1"/>
        <v>575742.05500000005</v>
      </c>
      <c r="E13" s="83">
        <f t="shared" si="1"/>
        <v>744995.93400000001</v>
      </c>
      <c r="F13" s="83">
        <f t="shared" ref="F13:G13" si="2">SUM(F8:F12)</f>
        <v>951016.63500000001</v>
      </c>
      <c r="G13" s="83">
        <f t="shared" si="2"/>
        <v>1046236</v>
      </c>
      <c r="H13" s="83">
        <f t="shared" ref="H13:I13" si="3">SUM(H8:H12)</f>
        <v>1084662</v>
      </c>
      <c r="I13" s="83">
        <f t="shared" si="3"/>
        <v>1158819</v>
      </c>
      <c r="J13" s="83">
        <f t="shared" ref="J13" si="4">SUM(J8:J12)</f>
        <v>1309085</v>
      </c>
      <c r="K13" s="83"/>
      <c r="L13" s="87"/>
      <c r="M13" s="83">
        <f t="shared" si="1"/>
        <v>145882.22699999998</v>
      </c>
      <c r="N13" s="83">
        <f t="shared" si="1"/>
        <v>200869.01300000001</v>
      </c>
      <c r="O13" s="83">
        <f t="shared" si="1"/>
        <v>174055.96500000003</v>
      </c>
      <c r="P13" s="83">
        <f t="shared" si="1"/>
        <v>224188.72899999993</v>
      </c>
      <c r="Q13" s="83">
        <f t="shared" si="1"/>
        <v>203040.41500000001</v>
      </c>
      <c r="R13" s="83">
        <f>SUM(R8:R12)</f>
        <v>253661.14</v>
      </c>
      <c r="S13" s="83">
        <f>SUM(S8:S12)</f>
        <v>218558.90400000001</v>
      </c>
      <c r="T13" s="83">
        <f t="shared" ref="T13" si="5">SUM(T8:T12)</f>
        <v>275756.17599999998</v>
      </c>
      <c r="U13" s="83">
        <f t="shared" ref="U13" si="6">SUM(U8:U12)</f>
        <v>239655</v>
      </c>
      <c r="V13" s="83">
        <f>SUM(V8:V12)</f>
        <v>267600</v>
      </c>
      <c r="W13" s="83">
        <f>SUM(W8:W12)</f>
        <v>243535</v>
      </c>
      <c r="X13" s="83">
        <f t="shared" ref="X13:Y13" si="7">SUM(X8:X12)</f>
        <v>295446</v>
      </c>
      <c r="Y13" s="83">
        <f t="shared" si="7"/>
        <v>242956</v>
      </c>
      <c r="Z13" s="83">
        <f>SUM(Z8:Z12)</f>
        <v>287931</v>
      </c>
      <c r="AA13" s="83">
        <f>SUM(AA8:AA12)</f>
        <v>247698</v>
      </c>
      <c r="AB13" s="83">
        <f t="shared" ref="AB13:AC13" si="8">SUM(AB8:AB12)</f>
        <v>306077</v>
      </c>
      <c r="AC13" s="83">
        <f t="shared" si="8"/>
        <v>260049</v>
      </c>
      <c r="AD13" s="83">
        <f>SUM(AD8:AD12)</f>
        <v>291397</v>
      </c>
      <c r="AE13" s="83">
        <f>SUM(AE8:AE12)</f>
        <v>260387</v>
      </c>
      <c r="AF13" s="83">
        <f t="shared" ref="AF13:AG13" si="9">SUM(AF8:AF12)</f>
        <v>346986</v>
      </c>
      <c r="AG13" s="83">
        <f t="shared" si="9"/>
        <v>301082</v>
      </c>
      <c r="AH13" s="83">
        <f>SUM(AH8:AH12)</f>
        <v>356660</v>
      </c>
      <c r="AI13" s="83">
        <f>SUM(AI8:AI12)</f>
        <v>299059</v>
      </c>
      <c r="AJ13" s="83">
        <f t="shared" ref="AJ13:AK13" si="10">SUM(AJ8:AJ12)</f>
        <v>352284</v>
      </c>
      <c r="AK13" s="83">
        <f t="shared" si="10"/>
        <v>315694</v>
      </c>
      <c r="AL13" s="83"/>
    </row>
    <row r="14" spans="2:40">
      <c r="B14" s="207" t="s">
        <v>280</v>
      </c>
      <c r="C14" s="84">
        <v>956.24800000000005</v>
      </c>
      <c r="D14" s="84">
        <v>1146.4290000000001</v>
      </c>
      <c r="E14" s="84">
        <v>805.952</v>
      </c>
      <c r="F14" s="84">
        <v>575.51900000000001</v>
      </c>
      <c r="G14" s="84">
        <v>0</v>
      </c>
      <c r="H14" s="84">
        <v>0</v>
      </c>
      <c r="I14" s="84">
        <v>0</v>
      </c>
      <c r="J14" s="84">
        <v>0</v>
      </c>
      <c r="K14" s="87"/>
      <c r="L14" s="87"/>
      <c r="M14" s="84">
        <v>322.98200000000003</v>
      </c>
      <c r="N14" s="84">
        <v>185.04499999999999</v>
      </c>
      <c r="O14" s="84">
        <v>158.499</v>
      </c>
      <c r="P14" s="82">
        <f>E14-SUM(M14:O14)</f>
        <v>139.42599999999993</v>
      </c>
      <c r="Q14" s="84">
        <v>135.75399999999999</v>
      </c>
      <c r="R14" s="84">
        <v>139.33000000000001</v>
      </c>
      <c r="S14" s="84">
        <v>149.45400000000001</v>
      </c>
      <c r="T14" s="82">
        <f>F14-SUM(Q14:S14)</f>
        <v>150.98099999999999</v>
      </c>
      <c r="U14" s="84">
        <v>0</v>
      </c>
      <c r="V14" s="84">
        <v>0</v>
      </c>
      <c r="W14" s="84">
        <v>0</v>
      </c>
      <c r="X14" s="82">
        <f>G14-SUM(U14:W14)</f>
        <v>0</v>
      </c>
      <c r="Y14" s="84"/>
      <c r="Z14" s="84">
        <v>0</v>
      </c>
      <c r="AA14" s="84">
        <v>0</v>
      </c>
      <c r="AB14" s="82">
        <f>H14-SUM(Y14:AA14)</f>
        <v>0</v>
      </c>
      <c r="AC14" s="84"/>
      <c r="AD14" s="84">
        <v>0</v>
      </c>
      <c r="AE14" s="84">
        <v>0</v>
      </c>
      <c r="AF14" s="82">
        <f>I14-SUM(AC14:AE14)</f>
        <v>0</v>
      </c>
      <c r="AG14" s="84"/>
      <c r="AH14" s="84">
        <v>0</v>
      </c>
      <c r="AI14" s="84">
        <v>0</v>
      </c>
      <c r="AJ14" s="82">
        <f>J14-SUM(AG14:AI14)</f>
        <v>0</v>
      </c>
      <c r="AK14" s="84"/>
      <c r="AL14" s="84"/>
    </row>
    <row r="15" spans="2:40">
      <c r="B15" s="208" t="s">
        <v>281</v>
      </c>
      <c r="C15" s="83">
        <f t="shared" ref="C15:Q15" si="11">SUM(C13:C14)</f>
        <v>462019.75900000002</v>
      </c>
      <c r="D15" s="83">
        <f t="shared" si="11"/>
        <v>576888.48400000005</v>
      </c>
      <c r="E15" s="83">
        <f t="shared" si="11"/>
        <v>745801.88600000006</v>
      </c>
      <c r="F15" s="83">
        <f t="shared" ref="F15:G15" si="12">SUM(F13:F14)</f>
        <v>951592.15399999998</v>
      </c>
      <c r="G15" s="83">
        <f t="shared" si="12"/>
        <v>1046236</v>
      </c>
      <c r="H15" s="83">
        <f t="shared" ref="H15:I15" si="13">SUM(H13:H14)</f>
        <v>1084662</v>
      </c>
      <c r="I15" s="83">
        <f t="shared" si="13"/>
        <v>1158819</v>
      </c>
      <c r="J15" s="83">
        <f t="shared" ref="J15" si="14">SUM(J13:J14)</f>
        <v>1309085</v>
      </c>
      <c r="K15" s="83"/>
      <c r="L15" s="87"/>
      <c r="M15" s="83">
        <f t="shared" si="11"/>
        <v>146205.20899999997</v>
      </c>
      <c r="N15" s="83">
        <f t="shared" si="11"/>
        <v>201054.05800000002</v>
      </c>
      <c r="O15" s="83">
        <f t="shared" si="11"/>
        <v>174214.46400000004</v>
      </c>
      <c r="P15" s="83">
        <f t="shared" si="11"/>
        <v>224328.15499999994</v>
      </c>
      <c r="Q15" s="83">
        <f t="shared" si="11"/>
        <v>203176.16899999999</v>
      </c>
      <c r="R15" s="83">
        <f>SUM(R13:R14)</f>
        <v>253800.47</v>
      </c>
      <c r="S15" s="83">
        <f>SUM(S13:S14)</f>
        <v>218708.35800000001</v>
      </c>
      <c r="T15" s="83">
        <f t="shared" ref="T15" si="15">SUM(T13:T14)</f>
        <v>275907.15700000001</v>
      </c>
      <c r="U15" s="83">
        <f t="shared" ref="U15" si="16">SUM(U13:U14)</f>
        <v>239655</v>
      </c>
      <c r="V15" s="83">
        <f>SUM(V13:V14)</f>
        <v>267600</v>
      </c>
      <c r="W15" s="83">
        <f>SUM(W13:W14)</f>
        <v>243535</v>
      </c>
      <c r="X15" s="83">
        <f t="shared" ref="X15:Y15" si="17">SUM(X13:X14)</f>
        <v>295446</v>
      </c>
      <c r="Y15" s="83">
        <f t="shared" si="17"/>
        <v>242956</v>
      </c>
      <c r="Z15" s="83">
        <f>SUM(Z13:Z14)</f>
        <v>287931</v>
      </c>
      <c r="AA15" s="83">
        <f>SUM(AA13:AA14)</f>
        <v>247698</v>
      </c>
      <c r="AB15" s="83">
        <f t="shared" ref="AB15:AC15" si="18">SUM(AB13:AB14)</f>
        <v>306077</v>
      </c>
      <c r="AC15" s="83">
        <f t="shared" si="18"/>
        <v>260049</v>
      </c>
      <c r="AD15" s="83">
        <f>SUM(AD13:AD14)</f>
        <v>291397</v>
      </c>
      <c r="AE15" s="83">
        <f>SUM(AE13:AE14)</f>
        <v>260387</v>
      </c>
      <c r="AF15" s="83">
        <f t="shared" ref="AF15:AG15" si="19">SUM(AF13:AF14)</f>
        <v>346986</v>
      </c>
      <c r="AG15" s="83">
        <f t="shared" si="19"/>
        <v>301082</v>
      </c>
      <c r="AH15" s="83">
        <f>SUM(AH13:AH14)</f>
        <v>356660</v>
      </c>
      <c r="AI15" s="83">
        <f>SUM(AI13:AI14)</f>
        <v>299059</v>
      </c>
      <c r="AJ15" s="83">
        <f t="shared" ref="AJ15:AK15" si="20">SUM(AJ13:AJ14)</f>
        <v>352284</v>
      </c>
      <c r="AK15" s="83">
        <f t="shared" si="20"/>
        <v>315694</v>
      </c>
      <c r="AL15" s="83"/>
    </row>
    <row r="16" spans="2:40">
      <c r="B16" s="11" t="s">
        <v>20</v>
      </c>
      <c r="C16" s="86">
        <f>C15-Model!C7</f>
        <v>0</v>
      </c>
      <c r="D16" s="86">
        <f>D15-Model!D7</f>
        <v>0</v>
      </c>
      <c r="E16" s="86">
        <f>E15-Model!E7</f>
        <v>0</v>
      </c>
      <c r="F16" s="86">
        <f>F15-Model!F7</f>
        <v>0</v>
      </c>
      <c r="G16" s="86">
        <f>G15-Model!G7</f>
        <v>0</v>
      </c>
      <c r="H16" s="86">
        <f>H15-Model!H7</f>
        <v>0</v>
      </c>
      <c r="I16" s="86">
        <f>I15-Model!I7</f>
        <v>0</v>
      </c>
      <c r="J16" s="86">
        <f>J15-Model!J7</f>
        <v>0</v>
      </c>
      <c r="K16" s="86"/>
      <c r="L16" s="87"/>
      <c r="M16" s="86">
        <f>M15-Model!M7</f>
        <v>0</v>
      </c>
      <c r="N16" s="86">
        <f>N15-Model!N7</f>
        <v>0</v>
      </c>
      <c r="O16" s="86">
        <f>O15-Model!O7</f>
        <v>0</v>
      </c>
      <c r="P16" s="86">
        <f>P15-Model!P7</f>
        <v>0</v>
      </c>
      <c r="Q16" s="86">
        <f>Q15-Model!Q7</f>
        <v>0</v>
      </c>
      <c r="R16" s="86">
        <f>R15-Model!R7</f>
        <v>0</v>
      </c>
      <c r="S16" s="86">
        <f>S15-Model!S7</f>
        <v>0</v>
      </c>
      <c r="T16" s="86">
        <f>T15-Model!T7</f>
        <v>0</v>
      </c>
      <c r="U16" s="86">
        <f>U15-Model!U7</f>
        <v>0</v>
      </c>
      <c r="V16" s="86">
        <f>V15-Model!V7</f>
        <v>0</v>
      </c>
      <c r="W16" s="86">
        <f>W15-Model!W7</f>
        <v>0</v>
      </c>
      <c r="X16" s="86">
        <f>X15-Model!X7</f>
        <v>0</v>
      </c>
      <c r="Y16" s="86">
        <f>Y15-Model!Y7</f>
        <v>0</v>
      </c>
      <c r="Z16" s="86">
        <f>Z15-Model!Z7</f>
        <v>0</v>
      </c>
      <c r="AA16" s="86">
        <f>AA15-Model!AA7</f>
        <v>0</v>
      </c>
      <c r="AB16" s="86">
        <f>AB15-Model!AB7</f>
        <v>0</v>
      </c>
      <c r="AC16" s="86">
        <f>AC15-Model!AC7</f>
        <v>0</v>
      </c>
      <c r="AD16" s="86">
        <f>AD15-Model!AD7</f>
        <v>0</v>
      </c>
      <c r="AE16" s="86">
        <f>AE15-Model!AE7</f>
        <v>0</v>
      </c>
      <c r="AF16" s="86">
        <f>AF15-Model!AF7</f>
        <v>0</v>
      </c>
      <c r="AG16" s="86">
        <f>AG15-Model!AG7</f>
        <v>0</v>
      </c>
      <c r="AH16" s="86">
        <f>AH15-Model!AH7</f>
        <v>0</v>
      </c>
      <c r="AI16" s="86">
        <f>AI15-Model!AI7</f>
        <v>0</v>
      </c>
      <c r="AJ16" s="86">
        <f>AJ15-Model!AJ7</f>
        <v>0</v>
      </c>
      <c r="AK16" s="86">
        <f>AK15-Model!AK7</f>
        <v>0</v>
      </c>
      <c r="AL16" s="86"/>
    </row>
    <row r="17" spans="2:38">
      <c r="B17" s="11"/>
      <c r="C17" s="86"/>
      <c r="D17" s="86"/>
      <c r="E17" s="86"/>
      <c r="F17" s="86"/>
      <c r="G17" s="86"/>
      <c r="H17" s="86"/>
      <c r="I17" s="86"/>
      <c r="J17" s="86"/>
      <c r="K17" s="86"/>
      <c r="L17" s="87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</row>
    <row r="18" spans="2:38">
      <c r="B18" s="255" t="s">
        <v>282</v>
      </c>
      <c r="C18" s="86"/>
      <c r="D18" s="86"/>
      <c r="E18" s="86"/>
      <c r="F18" s="86"/>
      <c r="G18" s="86"/>
      <c r="H18" s="86"/>
      <c r="I18" s="86"/>
      <c r="J18" s="86"/>
      <c r="K18" s="86"/>
      <c r="L18" s="87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</row>
    <row r="19" spans="2:38">
      <c r="B19" s="207" t="s">
        <v>274</v>
      </c>
      <c r="C19" s="256">
        <f>C8/C$15</f>
        <v>0.96857799754836893</v>
      </c>
      <c r="D19" s="256">
        <f t="shared" ref="D19:AK25" si="21">D8/D$15</f>
        <v>0.95728231073511927</v>
      </c>
      <c r="E19" s="256">
        <f t="shared" si="21"/>
        <v>0.94251520704789404</v>
      </c>
      <c r="F19" s="256">
        <f t="shared" si="21"/>
        <v>0.9103716706348548</v>
      </c>
      <c r="G19" s="256">
        <f t="shared" si="21"/>
        <v>0.88883292106178724</v>
      </c>
      <c r="H19" s="256">
        <f t="shared" si="21"/>
        <v>0.8715553785418868</v>
      </c>
      <c r="I19" s="256">
        <f t="shared" si="21"/>
        <v>0.87670982267291098</v>
      </c>
      <c r="J19" s="256">
        <f t="shared" si="21"/>
        <v>0.8604475645202565</v>
      </c>
      <c r="K19" s="256"/>
      <c r="L19" s="87"/>
      <c r="M19" s="256">
        <f t="shared" si="21"/>
        <v>0.93947455729843399</v>
      </c>
      <c r="N19" s="256">
        <f t="shared" si="21"/>
        <v>0.94244693136211144</v>
      </c>
      <c r="O19" s="256">
        <f t="shared" si="21"/>
        <v>0.92461464623281775</v>
      </c>
      <c r="P19" s="256">
        <f t="shared" si="21"/>
        <v>0.95845980634931904</v>
      </c>
      <c r="Q19" s="256">
        <f t="shared" si="21"/>
        <v>0.91445881627977743</v>
      </c>
      <c r="R19" s="256">
        <f t="shared" si="21"/>
        <v>0.91629779093789698</v>
      </c>
      <c r="S19" s="256">
        <f t="shared" si="21"/>
        <v>0.90568210017835715</v>
      </c>
      <c r="T19" s="256">
        <f t="shared" si="21"/>
        <v>0.90562799355001866</v>
      </c>
      <c r="U19" s="256">
        <f t="shared" si="21"/>
        <v>0.90765475370845594</v>
      </c>
      <c r="V19" s="256">
        <f t="shared" si="21"/>
        <v>0.90267937219730943</v>
      </c>
      <c r="W19" s="256">
        <f t="shared" si="21"/>
        <v>0.87019524914283364</v>
      </c>
      <c r="X19" s="256">
        <f t="shared" si="21"/>
        <v>0.87638688626686434</v>
      </c>
      <c r="Y19" s="256">
        <f t="shared" si="21"/>
        <v>0.8740595004856847</v>
      </c>
      <c r="Z19" s="256">
        <f t="shared" si="21"/>
        <v>0.87965519516828683</v>
      </c>
      <c r="AA19" s="256">
        <f t="shared" si="21"/>
        <v>0.85611914508797005</v>
      </c>
      <c r="AB19" s="256">
        <f t="shared" si="21"/>
        <v>0.87444009187230665</v>
      </c>
      <c r="AC19" s="256">
        <f t="shared" si="21"/>
        <v>0.87227791685413136</v>
      </c>
      <c r="AD19" s="256">
        <f t="shared" si="21"/>
        <v>0.88220537617065375</v>
      </c>
      <c r="AE19" s="256">
        <f t="shared" si="21"/>
        <v>0.86404467196903068</v>
      </c>
      <c r="AF19" s="256">
        <f t="shared" si="21"/>
        <v>0.88492042906630242</v>
      </c>
      <c r="AG19" s="256">
        <f t="shared" si="21"/>
        <v>0.87632272935612221</v>
      </c>
      <c r="AH19" s="256">
        <f t="shared" si="21"/>
        <v>0.86938540907306683</v>
      </c>
      <c r="AI19" s="256">
        <f t="shared" si="21"/>
        <v>0.83788483208998898</v>
      </c>
      <c r="AJ19" s="256">
        <f t="shared" si="21"/>
        <v>0.85698470552168138</v>
      </c>
      <c r="AK19" s="256">
        <f t="shared" si="21"/>
        <v>0.85078588760001772</v>
      </c>
      <c r="AL19" s="256"/>
    </row>
    <row r="20" spans="2:38">
      <c r="B20" s="207" t="s">
        <v>275</v>
      </c>
      <c r="C20" s="256">
        <f t="shared" ref="C20:R25" si="22">C9/C$15</f>
        <v>0</v>
      </c>
      <c r="D20" s="256">
        <f t="shared" si="22"/>
        <v>0</v>
      </c>
      <c r="E20" s="256">
        <f t="shared" si="22"/>
        <v>0</v>
      </c>
      <c r="F20" s="256">
        <f t="shared" si="22"/>
        <v>0.11001919421038019</v>
      </c>
      <c r="G20" s="256">
        <f t="shared" si="22"/>
        <v>0.13132983380422772</v>
      </c>
      <c r="H20" s="256">
        <f t="shared" si="22"/>
        <v>0.15361928416409903</v>
      </c>
      <c r="I20" s="256">
        <f t="shared" si="22"/>
        <v>0.15777873852603383</v>
      </c>
      <c r="J20" s="256">
        <f t="shared" si="22"/>
        <v>0.16587616541324665</v>
      </c>
      <c r="K20" s="256"/>
      <c r="L20" s="87"/>
      <c r="M20" s="256">
        <f t="shared" si="22"/>
        <v>9.340920951728883E-2</v>
      </c>
      <c r="N20" s="256">
        <f t="shared" si="22"/>
        <v>8.8960915178344716E-2</v>
      </c>
      <c r="O20" s="256">
        <f t="shared" si="22"/>
        <v>0.10311629463785507</v>
      </c>
      <c r="P20" s="256">
        <f t="shared" si="22"/>
        <v>-0.22069104968121372</v>
      </c>
      <c r="Q20" s="256">
        <f t="shared" si="22"/>
        <v>0.11030338405484946</v>
      </c>
      <c r="R20" s="256">
        <f t="shared" si="22"/>
        <v>0.10268472316067816</v>
      </c>
      <c r="S20" s="256">
        <f t="shared" si="21"/>
        <v>0.11773338813142203</v>
      </c>
      <c r="T20" s="256">
        <f t="shared" si="21"/>
        <v>0.1104417744408131</v>
      </c>
      <c r="U20" s="256">
        <f t="shared" si="21"/>
        <v>0.11412655692558052</v>
      </c>
      <c r="V20" s="256">
        <f t="shared" si="21"/>
        <v>0.1168609865470852</v>
      </c>
      <c r="W20" s="256">
        <f t="shared" si="21"/>
        <v>0.14688237830291334</v>
      </c>
      <c r="X20" s="256">
        <f t="shared" si="21"/>
        <v>0.1455697487865803</v>
      </c>
      <c r="Y20" s="256">
        <f t="shared" si="21"/>
        <v>0.15117140552198752</v>
      </c>
      <c r="Z20" s="256">
        <f t="shared" si="21"/>
        <v>0.14250983742632783</v>
      </c>
      <c r="AA20" s="256">
        <f t="shared" si="21"/>
        <v>0.16820079290103271</v>
      </c>
      <c r="AB20" s="256">
        <f t="shared" si="21"/>
        <v>0.1542128287979822</v>
      </c>
      <c r="AC20" s="256">
        <f t="shared" si="21"/>
        <v>0.16203484727878206</v>
      </c>
      <c r="AD20" s="256">
        <f t="shared" si="21"/>
        <v>0.15170712121264118</v>
      </c>
      <c r="AE20" s="256">
        <f t="shared" si="21"/>
        <v>0.17050006336721879</v>
      </c>
      <c r="AF20" s="256">
        <f t="shared" si="21"/>
        <v>0.15014150426818373</v>
      </c>
      <c r="AG20" s="256">
        <f t="shared" si="21"/>
        <v>0.15599404813306675</v>
      </c>
      <c r="AH20" s="256">
        <f t="shared" si="21"/>
        <v>0.14457466494700835</v>
      </c>
      <c r="AI20" s="256">
        <f t="shared" si="21"/>
        <v>0.18419107935223483</v>
      </c>
      <c r="AJ20" s="256">
        <f t="shared" si="21"/>
        <v>0.18034029362673298</v>
      </c>
      <c r="AK20" s="256">
        <f t="shared" si="21"/>
        <v>0.19189785045011942</v>
      </c>
      <c r="AL20" s="256"/>
    </row>
    <row r="21" spans="2:38">
      <c r="B21" s="207" t="s">
        <v>276</v>
      </c>
      <c r="C21" s="256">
        <f t="shared" si="22"/>
        <v>0</v>
      </c>
      <c r="D21" s="256">
        <f t="shared" si="21"/>
        <v>0</v>
      </c>
      <c r="E21" s="256">
        <f t="shared" si="21"/>
        <v>0</v>
      </c>
      <c r="F21" s="256">
        <f t="shared" si="21"/>
        <v>0</v>
      </c>
      <c r="G21" s="256">
        <f t="shared" si="21"/>
        <v>7.6751325704716719E-3</v>
      </c>
      <c r="H21" s="256">
        <f t="shared" si="21"/>
        <v>0</v>
      </c>
      <c r="I21" s="256">
        <f t="shared" si="21"/>
        <v>0</v>
      </c>
      <c r="J21" s="256">
        <f t="shared" si="21"/>
        <v>0</v>
      </c>
      <c r="K21" s="256"/>
      <c r="L21" s="87"/>
      <c r="M21" s="256">
        <f t="shared" si="21"/>
        <v>0</v>
      </c>
      <c r="N21" s="256">
        <f t="shared" si="21"/>
        <v>0</v>
      </c>
      <c r="O21" s="256">
        <f t="shared" si="21"/>
        <v>0</v>
      </c>
      <c r="P21" s="256">
        <f t="shared" si="21"/>
        <v>0</v>
      </c>
      <c r="Q21" s="256">
        <f t="shared" si="21"/>
        <v>0</v>
      </c>
      <c r="R21" s="256">
        <f t="shared" si="21"/>
        <v>0</v>
      </c>
      <c r="S21" s="256">
        <f t="shared" si="21"/>
        <v>0</v>
      </c>
      <c r="T21" s="256">
        <f t="shared" si="21"/>
        <v>0</v>
      </c>
      <c r="U21" s="256">
        <f t="shared" si="21"/>
        <v>2.8707934322254906E-3</v>
      </c>
      <c r="V21" s="256">
        <f t="shared" si="21"/>
        <v>8.5239162929745885E-3</v>
      </c>
      <c r="W21" s="256">
        <f t="shared" si="21"/>
        <v>9.7727226066068526E-3</v>
      </c>
      <c r="X21" s="256">
        <f t="shared" si="21"/>
        <v>9.0744163061947016E-3</v>
      </c>
      <c r="Y21" s="256">
        <f t="shared" si="21"/>
        <v>1.0602742883485075E-2</v>
      </c>
      <c r="Z21" s="256">
        <f t="shared" si="21"/>
        <v>9.7627556602102594E-3</v>
      </c>
      <c r="AA21" s="256">
        <f t="shared" si="21"/>
        <v>1.1574578720861695E-2</v>
      </c>
      <c r="AB21" s="256">
        <f t="shared" si="21"/>
        <v>-2.696707037771541E-2</v>
      </c>
      <c r="AC21" s="256">
        <f t="shared" si="21"/>
        <v>0</v>
      </c>
      <c r="AD21" s="256">
        <f t="shared" si="21"/>
        <v>0</v>
      </c>
      <c r="AE21" s="256">
        <f t="shared" si="21"/>
        <v>0</v>
      </c>
      <c r="AF21" s="256">
        <f t="shared" si="21"/>
        <v>0</v>
      </c>
      <c r="AG21" s="256">
        <f t="shared" si="21"/>
        <v>0</v>
      </c>
      <c r="AH21" s="256">
        <f t="shared" si="21"/>
        <v>0</v>
      </c>
      <c r="AI21" s="256">
        <f t="shared" si="21"/>
        <v>0</v>
      </c>
      <c r="AJ21" s="256">
        <f t="shared" si="21"/>
        <v>0</v>
      </c>
      <c r="AK21" s="256">
        <f t="shared" si="21"/>
        <v>0</v>
      </c>
      <c r="AL21" s="256"/>
    </row>
    <row r="22" spans="2:38">
      <c r="B22" s="207" t="s">
        <v>277</v>
      </c>
      <c r="C22" s="256">
        <f t="shared" si="22"/>
        <v>3.174167492693749E-2</v>
      </c>
      <c r="D22" s="256">
        <f t="shared" si="21"/>
        <v>4.1485102691008122E-2</v>
      </c>
      <c r="E22" s="256">
        <f t="shared" si="21"/>
        <v>5.7375765338303256E-2</v>
      </c>
      <c r="F22" s="256">
        <f t="shared" si="21"/>
        <v>2.7389077232765836E-2</v>
      </c>
      <c r="G22" s="256">
        <f t="shared" si="21"/>
        <v>2.0816527055081264E-2</v>
      </c>
      <c r="H22" s="256">
        <f t="shared" si="21"/>
        <v>2.453944178001995E-2</v>
      </c>
      <c r="I22" s="256">
        <f t="shared" si="21"/>
        <v>1.6531485935249595E-2</v>
      </c>
      <c r="J22" s="256">
        <f t="shared" si="21"/>
        <v>3.7646142152724993E-2</v>
      </c>
      <c r="K22" s="256"/>
      <c r="L22" s="87"/>
      <c r="M22" s="256">
        <f t="shared" si="21"/>
        <v>2.2635137438913006E-2</v>
      </c>
      <c r="N22" s="256">
        <f t="shared" si="21"/>
        <v>2.1612013421783309E-2</v>
      </c>
      <c r="O22" s="256">
        <f t="shared" si="21"/>
        <v>2.4694086249922389E-2</v>
      </c>
      <c r="P22" s="256">
        <f t="shared" si="21"/>
        <v>0.13745189051280704</v>
      </c>
      <c r="Q22" s="256">
        <f t="shared" si="21"/>
        <v>2.5368511599409085E-2</v>
      </c>
      <c r="R22" s="256">
        <f t="shared" si="21"/>
        <v>2.7436146985858615E-2</v>
      </c>
      <c r="S22" s="256">
        <f t="shared" si="21"/>
        <v>2.6212121257844202E-2</v>
      </c>
      <c r="T22" s="256">
        <f t="shared" si="21"/>
        <v>2.9766668937841287E-2</v>
      </c>
      <c r="U22" s="256">
        <f t="shared" si="21"/>
        <v>2.4017859005653962E-2</v>
      </c>
      <c r="V22" s="256">
        <f t="shared" si="21"/>
        <v>2.3411808669656205E-2</v>
      </c>
      <c r="W22" s="256">
        <f t="shared" si="21"/>
        <v>2.051861128790523E-2</v>
      </c>
      <c r="X22" s="256">
        <f t="shared" si="21"/>
        <v>1.6114619930545682E-2</v>
      </c>
      <c r="Y22" s="256">
        <f t="shared" si="21"/>
        <v>1.4200102076096083E-2</v>
      </c>
      <c r="Z22" s="256">
        <f t="shared" si="21"/>
        <v>1.4989702393976335E-2</v>
      </c>
      <c r="AA22" s="256">
        <f t="shared" si="21"/>
        <v>1.5413931481077763E-2</v>
      </c>
      <c r="AB22" s="256">
        <f t="shared" si="21"/>
        <v>4.9115091953985432E-2</v>
      </c>
      <c r="AC22" s="256">
        <f t="shared" si="21"/>
        <v>1.8727239866332884E-2</v>
      </c>
      <c r="AD22" s="256">
        <f t="shared" si="21"/>
        <v>1.5909566673644546E-2</v>
      </c>
      <c r="AE22" s="256">
        <f t="shared" si="21"/>
        <v>1.9086974388122294E-2</v>
      </c>
      <c r="AF22" s="256">
        <f t="shared" si="21"/>
        <v>1.3490457828269728E-2</v>
      </c>
      <c r="AG22" s="256">
        <f t="shared" si="21"/>
        <v>1.9107751376701364E-2</v>
      </c>
      <c r="AH22" s="256">
        <f t="shared" si="21"/>
        <v>3.8838109123535018E-2</v>
      </c>
      <c r="AI22" s="256">
        <f t="shared" si="21"/>
        <v>5.2136869313413076E-2</v>
      </c>
      <c r="AJ22" s="256">
        <f t="shared" si="21"/>
        <v>3.998194638416732E-2</v>
      </c>
      <c r="AK22" s="256">
        <f t="shared" si="21"/>
        <v>1.9889513262843134E-2</v>
      </c>
      <c r="AL22" s="256"/>
    </row>
    <row r="23" spans="2:38">
      <c r="B23" s="207" t="s">
        <v>278</v>
      </c>
      <c r="C23" s="256">
        <f t="shared" si="22"/>
        <v>-2.3893848228252936E-3</v>
      </c>
      <c r="D23" s="256">
        <f t="shared" si="21"/>
        <v>-7.5467618452234513E-4</v>
      </c>
      <c r="E23" s="256">
        <f t="shared" si="21"/>
        <v>-9.7162398433516429E-4</v>
      </c>
      <c r="F23" s="256">
        <f t="shared" si="21"/>
        <v>-4.8384737943099936E-2</v>
      </c>
      <c r="G23" s="256">
        <f t="shared" si="21"/>
        <v>-4.865441449156787E-2</v>
      </c>
      <c r="H23" s="256">
        <f t="shared" si="21"/>
        <v>-4.9714104486005779E-2</v>
      </c>
      <c r="I23" s="256">
        <f t="shared" si="21"/>
        <v>-5.1020047134194384E-2</v>
      </c>
      <c r="J23" s="256">
        <f t="shared" si="21"/>
        <v>-6.3969872086228161E-2</v>
      </c>
      <c r="K23" s="256"/>
      <c r="L23" s="87"/>
      <c r="M23" s="256">
        <f t="shared" si="21"/>
        <v>-5.7728004752552978E-2</v>
      </c>
      <c r="N23" s="256">
        <f t="shared" si="21"/>
        <v>-5.3940234322452714E-2</v>
      </c>
      <c r="O23" s="256">
        <f t="shared" si="21"/>
        <v>-5.333481954747453E-2</v>
      </c>
      <c r="P23" s="256">
        <f t="shared" si="21"/>
        <v>0.12415782584223549</v>
      </c>
      <c r="Q23" s="256">
        <f t="shared" si="21"/>
        <v>-5.0798871003419704E-2</v>
      </c>
      <c r="R23" s="256">
        <f t="shared" si="21"/>
        <v>-4.6967635639130215E-2</v>
      </c>
      <c r="S23" s="256">
        <f t="shared" si="21"/>
        <v>-5.0310957937876336E-2</v>
      </c>
      <c r="T23" s="256">
        <f t="shared" si="21"/>
        <v>-4.6383653614320682E-2</v>
      </c>
      <c r="U23" s="256">
        <f t="shared" si="21"/>
        <v>-4.866996307191588E-2</v>
      </c>
      <c r="V23" s="256">
        <f t="shared" si="21"/>
        <v>-5.1476083707025409E-2</v>
      </c>
      <c r="W23" s="256">
        <f t="shared" si="21"/>
        <v>-4.73689613402591E-2</v>
      </c>
      <c r="X23" s="256">
        <f t="shared" si="21"/>
        <v>-4.7145671290185008E-2</v>
      </c>
      <c r="Y23" s="256">
        <f t="shared" si="21"/>
        <v>-5.0033750967253328E-2</v>
      </c>
      <c r="Z23" s="256">
        <f t="shared" si="21"/>
        <v>-4.6917490648801276E-2</v>
      </c>
      <c r="AA23" s="256">
        <f t="shared" si="21"/>
        <v>-5.1308448190942199E-2</v>
      </c>
      <c r="AB23" s="256">
        <f t="shared" si="21"/>
        <v>-5.0800942246558872E-2</v>
      </c>
      <c r="AC23" s="256">
        <f t="shared" si="21"/>
        <v>-5.3040003999246299E-2</v>
      </c>
      <c r="AD23" s="256">
        <f t="shared" si="21"/>
        <v>-4.9822064056939501E-2</v>
      </c>
      <c r="AE23" s="256">
        <f t="shared" si="21"/>
        <v>-5.3631709724371798E-2</v>
      </c>
      <c r="AF23" s="256">
        <f t="shared" si="21"/>
        <v>-4.8552391162755844E-2</v>
      </c>
      <c r="AG23" s="256">
        <f t="shared" si="21"/>
        <v>-5.1424528865890357E-2</v>
      </c>
      <c r="AH23" s="256">
        <f t="shared" si="21"/>
        <v>-5.2798183143610164E-2</v>
      </c>
      <c r="AI23" s="256">
        <f t="shared" si="21"/>
        <v>-7.4212780755636851E-2</v>
      </c>
      <c r="AJ23" s="256">
        <f t="shared" si="21"/>
        <v>-7.7306945532581661E-2</v>
      </c>
      <c r="AK23" s="256">
        <f t="shared" si="21"/>
        <v>-6.2573251312980291E-2</v>
      </c>
      <c r="AL23" s="256"/>
    </row>
    <row r="24" spans="2:38">
      <c r="B24" s="208" t="s">
        <v>279</v>
      </c>
      <c r="C24" s="204">
        <f t="shared" si="22"/>
        <v>0.99793028765248104</v>
      </c>
      <c r="D24" s="204">
        <f t="shared" si="21"/>
        <v>0.99801273724160522</v>
      </c>
      <c r="E24" s="204">
        <f t="shared" si="21"/>
        <v>0.99891934840186225</v>
      </c>
      <c r="F24" s="204">
        <f t="shared" si="21"/>
        <v>0.99939520413490091</v>
      </c>
      <c r="G24" s="204">
        <f t="shared" si="21"/>
        <v>1</v>
      </c>
      <c r="H24" s="204">
        <f t="shared" si="21"/>
        <v>1</v>
      </c>
      <c r="I24" s="204">
        <f t="shared" si="21"/>
        <v>1</v>
      </c>
      <c r="J24" s="204">
        <f t="shared" si="21"/>
        <v>1</v>
      </c>
      <c r="K24" s="204"/>
      <c r="L24" s="87"/>
      <c r="M24" s="204">
        <f t="shared" si="21"/>
        <v>0.99779089950208277</v>
      </c>
      <c r="N24" s="204">
        <f t="shared" si="21"/>
        <v>0.99907962563978681</v>
      </c>
      <c r="O24" s="204">
        <f t="shared" si="21"/>
        <v>0.99909020757312084</v>
      </c>
      <c r="P24" s="204">
        <f t="shared" si="21"/>
        <v>0.99937847302314764</v>
      </c>
      <c r="Q24" s="204">
        <f t="shared" si="21"/>
        <v>0.99933184093061633</v>
      </c>
      <c r="R24" s="204">
        <f t="shared" si="21"/>
        <v>0.99945102544530362</v>
      </c>
      <c r="S24" s="204">
        <f t="shared" si="21"/>
        <v>0.99931665162974703</v>
      </c>
      <c r="T24" s="204">
        <f t="shared" si="21"/>
        <v>0.99945278331435228</v>
      </c>
      <c r="U24" s="204">
        <f t="shared" si="21"/>
        <v>1</v>
      </c>
      <c r="V24" s="204">
        <f t="shared" si="21"/>
        <v>1</v>
      </c>
      <c r="W24" s="204">
        <f t="shared" si="21"/>
        <v>1</v>
      </c>
      <c r="X24" s="204">
        <f t="shared" si="21"/>
        <v>1</v>
      </c>
      <c r="Y24" s="204">
        <f t="shared" si="21"/>
        <v>1</v>
      </c>
      <c r="Z24" s="204">
        <f t="shared" si="21"/>
        <v>1</v>
      </c>
      <c r="AA24" s="204">
        <f t="shared" si="21"/>
        <v>1</v>
      </c>
      <c r="AB24" s="204">
        <f t="shared" si="21"/>
        <v>1</v>
      </c>
      <c r="AC24" s="204">
        <f t="shared" si="21"/>
        <v>1</v>
      </c>
      <c r="AD24" s="204">
        <f t="shared" si="21"/>
        <v>1</v>
      </c>
      <c r="AE24" s="204">
        <f t="shared" si="21"/>
        <v>1</v>
      </c>
      <c r="AF24" s="204">
        <f t="shared" si="21"/>
        <v>1</v>
      </c>
      <c r="AG24" s="204">
        <f t="shared" si="21"/>
        <v>1</v>
      </c>
      <c r="AH24" s="204">
        <f t="shared" si="21"/>
        <v>1</v>
      </c>
      <c r="AI24" s="204">
        <f t="shared" si="21"/>
        <v>1</v>
      </c>
      <c r="AJ24" s="204">
        <f t="shared" si="21"/>
        <v>1</v>
      </c>
      <c r="AK24" s="204">
        <f t="shared" si="21"/>
        <v>1</v>
      </c>
      <c r="AL24" s="204"/>
    </row>
    <row r="25" spans="2:38">
      <c r="B25" s="207" t="s">
        <v>280</v>
      </c>
      <c r="C25" s="256">
        <f t="shared" si="22"/>
        <v>2.0697123475188861E-3</v>
      </c>
      <c r="D25" s="256">
        <f t="shared" si="21"/>
        <v>1.9872627583947403E-3</v>
      </c>
      <c r="E25" s="256">
        <f t="shared" si="21"/>
        <v>1.0806515981376856E-3</v>
      </c>
      <c r="F25" s="256">
        <f t="shared" si="21"/>
        <v>6.0479586509915679E-4</v>
      </c>
      <c r="G25" s="256">
        <f t="shared" si="21"/>
        <v>0</v>
      </c>
      <c r="H25" s="256">
        <f t="shared" si="21"/>
        <v>0</v>
      </c>
      <c r="I25" s="256">
        <f t="shared" si="21"/>
        <v>0</v>
      </c>
      <c r="J25" s="256">
        <f t="shared" si="21"/>
        <v>0</v>
      </c>
      <c r="K25" s="256"/>
      <c r="L25" s="87"/>
      <c r="M25" s="256">
        <f t="shared" si="21"/>
        <v>2.2091004979172806E-3</v>
      </c>
      <c r="N25" s="256">
        <f t="shared" si="21"/>
        <v>9.2037436021311233E-4</v>
      </c>
      <c r="O25" s="256">
        <f t="shared" si="21"/>
        <v>9.0979242687909065E-4</v>
      </c>
      <c r="P25" s="256">
        <f t="shared" si="21"/>
        <v>6.2152697685228131E-4</v>
      </c>
      <c r="Q25" s="256">
        <f t="shared" si="21"/>
        <v>6.6815906938377204E-4</v>
      </c>
      <c r="R25" s="256">
        <f t="shared" si="21"/>
        <v>5.4897455469645113E-4</v>
      </c>
      <c r="S25" s="256">
        <f t="shared" si="21"/>
        <v>6.8334837025295575E-4</v>
      </c>
      <c r="T25" s="256">
        <f t="shared" si="21"/>
        <v>5.4721668564762884E-4</v>
      </c>
      <c r="U25" s="256">
        <f t="shared" si="21"/>
        <v>0</v>
      </c>
      <c r="V25" s="256">
        <f t="shared" si="21"/>
        <v>0</v>
      </c>
      <c r="W25" s="256">
        <f t="shared" si="21"/>
        <v>0</v>
      </c>
      <c r="X25" s="256">
        <f t="shared" si="21"/>
        <v>0</v>
      </c>
      <c r="Y25" s="256">
        <f t="shared" si="21"/>
        <v>0</v>
      </c>
      <c r="Z25" s="256">
        <f t="shared" si="21"/>
        <v>0</v>
      </c>
      <c r="AA25" s="256">
        <f t="shared" si="21"/>
        <v>0</v>
      </c>
      <c r="AB25" s="256">
        <f t="shared" si="21"/>
        <v>0</v>
      </c>
      <c r="AC25" s="256">
        <f t="shared" si="21"/>
        <v>0</v>
      </c>
      <c r="AD25" s="256">
        <f t="shared" si="21"/>
        <v>0</v>
      </c>
      <c r="AE25" s="256">
        <f t="shared" si="21"/>
        <v>0</v>
      </c>
      <c r="AF25" s="256">
        <f t="shared" si="21"/>
        <v>0</v>
      </c>
      <c r="AG25" s="256">
        <f t="shared" si="21"/>
        <v>0</v>
      </c>
      <c r="AH25" s="256">
        <f t="shared" si="21"/>
        <v>0</v>
      </c>
      <c r="AI25" s="256">
        <f t="shared" si="21"/>
        <v>0</v>
      </c>
      <c r="AJ25" s="256">
        <f t="shared" si="21"/>
        <v>0</v>
      </c>
      <c r="AK25" s="256">
        <f t="shared" si="21"/>
        <v>0</v>
      </c>
      <c r="AL25" s="256"/>
    </row>
    <row r="26" spans="2:38">
      <c r="B26" s="208" t="s">
        <v>281</v>
      </c>
      <c r="C26" s="204">
        <f>SUM(C24:C25)</f>
        <v>0.99999999999999989</v>
      </c>
      <c r="D26" s="204">
        <f t="shared" ref="D26:AK26" si="23">SUM(D24:D25)</f>
        <v>1</v>
      </c>
      <c r="E26" s="204">
        <f t="shared" si="23"/>
        <v>0.99999999999999989</v>
      </c>
      <c r="F26" s="204">
        <f t="shared" si="23"/>
        <v>1</v>
      </c>
      <c r="G26" s="204">
        <f t="shared" si="23"/>
        <v>1</v>
      </c>
      <c r="H26" s="204">
        <f t="shared" si="23"/>
        <v>1</v>
      </c>
      <c r="I26" s="204">
        <f t="shared" si="23"/>
        <v>1</v>
      </c>
      <c r="J26" s="204">
        <f t="shared" si="23"/>
        <v>1</v>
      </c>
      <c r="K26" s="204"/>
      <c r="L26" s="87"/>
      <c r="M26" s="204">
        <f t="shared" si="23"/>
        <v>1</v>
      </c>
      <c r="N26" s="204">
        <f t="shared" si="23"/>
        <v>0.99999999999999989</v>
      </c>
      <c r="O26" s="204">
        <f t="shared" si="23"/>
        <v>0.99999999999999989</v>
      </c>
      <c r="P26" s="204">
        <f t="shared" si="23"/>
        <v>0.99999999999999989</v>
      </c>
      <c r="Q26" s="204">
        <f t="shared" si="23"/>
        <v>1</v>
      </c>
      <c r="R26" s="204">
        <f t="shared" si="23"/>
        <v>1</v>
      </c>
      <c r="S26" s="204">
        <f t="shared" si="23"/>
        <v>1</v>
      </c>
      <c r="T26" s="204">
        <f t="shared" si="23"/>
        <v>0.99999999999999989</v>
      </c>
      <c r="U26" s="204">
        <f t="shared" si="23"/>
        <v>1</v>
      </c>
      <c r="V26" s="204">
        <f t="shared" si="23"/>
        <v>1</v>
      </c>
      <c r="W26" s="204">
        <f t="shared" si="23"/>
        <v>1</v>
      </c>
      <c r="X26" s="204">
        <f t="shared" si="23"/>
        <v>1</v>
      </c>
      <c r="Y26" s="204">
        <f t="shared" si="23"/>
        <v>1</v>
      </c>
      <c r="Z26" s="204">
        <f t="shared" si="23"/>
        <v>1</v>
      </c>
      <c r="AA26" s="204">
        <f t="shared" si="23"/>
        <v>1</v>
      </c>
      <c r="AB26" s="204">
        <f t="shared" si="23"/>
        <v>1</v>
      </c>
      <c r="AC26" s="204">
        <f t="shared" si="23"/>
        <v>1</v>
      </c>
      <c r="AD26" s="204">
        <f t="shared" si="23"/>
        <v>1</v>
      </c>
      <c r="AE26" s="204">
        <f t="shared" si="23"/>
        <v>1</v>
      </c>
      <c r="AF26" s="204">
        <f t="shared" si="23"/>
        <v>1</v>
      </c>
      <c r="AG26" s="204">
        <f t="shared" si="23"/>
        <v>1</v>
      </c>
      <c r="AH26" s="204">
        <f t="shared" si="23"/>
        <v>1</v>
      </c>
      <c r="AI26" s="204">
        <f t="shared" si="23"/>
        <v>1</v>
      </c>
      <c r="AJ26" s="204">
        <f t="shared" si="23"/>
        <v>1</v>
      </c>
      <c r="AK26" s="204">
        <f t="shared" si="23"/>
        <v>1</v>
      </c>
      <c r="AL26" s="204"/>
    </row>
    <row r="27" spans="2:38">
      <c r="B27" s="11"/>
      <c r="C27" s="86"/>
      <c r="D27" s="86"/>
      <c r="E27" s="86"/>
      <c r="F27" s="86"/>
      <c r="G27" s="86"/>
      <c r="H27" s="86"/>
      <c r="I27" s="86"/>
      <c r="J27" s="86"/>
      <c r="K27" s="86"/>
      <c r="L27" s="87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</row>
    <row r="28" spans="2:38">
      <c r="B28" s="255" t="s">
        <v>283</v>
      </c>
      <c r="C28" s="86"/>
      <c r="D28" s="86"/>
      <c r="E28" s="86"/>
      <c r="F28" s="86"/>
      <c r="G28" s="86"/>
      <c r="H28" s="86"/>
      <c r="I28" s="86"/>
      <c r="J28" s="86"/>
      <c r="K28" s="86"/>
      <c r="L28" s="87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</row>
    <row r="29" spans="2:38">
      <c r="B29" s="207" t="s">
        <v>274</v>
      </c>
      <c r="C29" s="257"/>
      <c r="D29" s="256">
        <f>D8/C8-1</f>
        <v>0.23406136175343195</v>
      </c>
      <c r="E29" s="256">
        <f t="shared" ref="E29:J29" si="24">E8/D8-1</f>
        <v>0.27285795168272919</v>
      </c>
      <c r="F29" s="256">
        <f t="shared" si="24"/>
        <v>0.23241718030379377</v>
      </c>
      <c r="G29" s="256">
        <f t="shared" si="24"/>
        <v>7.3446005449142593E-2</v>
      </c>
      <c r="H29" s="256">
        <f t="shared" si="24"/>
        <v>1.6575458986653802E-2</v>
      </c>
      <c r="I29" s="256">
        <f t="shared" si="24"/>
        <v>7.468717703521377E-2</v>
      </c>
      <c r="J29" s="256">
        <f t="shared" si="24"/>
        <v>0.10871717843826656</v>
      </c>
      <c r="K29" s="257"/>
      <c r="L29" s="87"/>
      <c r="M29" s="257"/>
      <c r="N29" s="257"/>
      <c r="O29" s="257"/>
      <c r="P29" s="257"/>
      <c r="Q29" s="256">
        <f>Q8/M8-1</f>
        <v>0.35266125180601771</v>
      </c>
      <c r="R29" s="256">
        <f t="shared" ref="R29:AL33" si="25">R8/N8-1</f>
        <v>0.22732424550663644</v>
      </c>
      <c r="S29" s="256">
        <f t="shared" si="25"/>
        <v>0.22969154478536602</v>
      </c>
      <c r="T29" s="256">
        <f t="shared" si="25"/>
        <v>0.1621310768006925</v>
      </c>
      <c r="U29" s="256">
        <f t="shared" si="25"/>
        <v>0.17076643300621375</v>
      </c>
      <c r="V29" s="256">
        <f t="shared" si="25"/>
        <v>3.8701038253835751E-2</v>
      </c>
      <c r="W29" s="256">
        <f t="shared" si="25"/>
        <v>6.9884581372564369E-2</v>
      </c>
      <c r="X29" s="256">
        <f t="shared" si="25"/>
        <v>3.6241975277909955E-2</v>
      </c>
      <c r="Y29" s="256">
        <f t="shared" si="25"/>
        <v>-2.3749103547194839E-2</v>
      </c>
      <c r="Z29" s="256">
        <f t="shared" si="25"/>
        <v>4.8530988545146592E-2</v>
      </c>
      <c r="AA29" s="256">
        <f t="shared" si="25"/>
        <v>6.4174251968873719E-4</v>
      </c>
      <c r="AB29" s="256">
        <f t="shared" si="25"/>
        <v>3.3681568021627806E-2</v>
      </c>
      <c r="AC29" s="256">
        <f t="shared" si="25"/>
        <v>6.8172614170410428E-2</v>
      </c>
      <c r="AD29" s="256">
        <f t="shared" si="25"/>
        <v>1.4971572962728885E-2</v>
      </c>
      <c r="AE29" s="256">
        <f t="shared" si="25"/>
        <v>6.0959449964396617E-2</v>
      </c>
      <c r="AF29" s="256">
        <f t="shared" si="25"/>
        <v>0.14724300008219804</v>
      </c>
      <c r="AG29" s="256">
        <f t="shared" si="25"/>
        <v>0.16315824277558577</v>
      </c>
      <c r="AH29" s="256">
        <f t="shared" si="25"/>
        <v>0.20617959170971556</v>
      </c>
      <c r="AI29" s="256">
        <f t="shared" si="25"/>
        <v>0.11374485523543698</v>
      </c>
      <c r="AJ29" s="256">
        <f t="shared" si="25"/>
        <v>-1.678200973766919E-2</v>
      </c>
      <c r="AK29" s="256">
        <f t="shared" si="25"/>
        <v>1.7976463453921898E-2</v>
      </c>
      <c r="AL29" s="256"/>
    </row>
    <row r="30" spans="2:38">
      <c r="B30" s="207" t="s">
        <v>275</v>
      </c>
      <c r="C30" s="257"/>
      <c r="D30" s="256" t="e">
        <f t="shared" ref="D30:J36" si="26">D9/C9-1</f>
        <v>#DIV/0!</v>
      </c>
      <c r="E30" s="256" t="e">
        <f t="shared" si="26"/>
        <v>#DIV/0!</v>
      </c>
      <c r="F30" s="256" t="e">
        <f t="shared" si="26"/>
        <v>#DIV/0!</v>
      </c>
      <c r="G30" s="256">
        <f t="shared" si="26"/>
        <v>0.31242272555055561</v>
      </c>
      <c r="H30" s="256">
        <f t="shared" si="26"/>
        <v>0.2126824937046039</v>
      </c>
      <c r="I30" s="256">
        <f t="shared" si="26"/>
        <v>9.7296324081020291E-2</v>
      </c>
      <c r="J30" s="256">
        <f t="shared" si="26"/>
        <v>0.18764801435158085</v>
      </c>
      <c r="K30" s="257"/>
      <c r="L30" s="87"/>
      <c r="M30" s="257"/>
      <c r="N30" s="257"/>
      <c r="O30" s="257"/>
      <c r="P30" s="257"/>
      <c r="Q30" s="256">
        <f t="shared" ref="Q30:Q36" si="27">Q9/M9-1</f>
        <v>0.64100181351378605</v>
      </c>
      <c r="R30" s="256">
        <f t="shared" si="25"/>
        <v>0.45708931472647829</v>
      </c>
      <c r="S30" s="256">
        <f t="shared" si="25"/>
        <v>0.43335417089958739</v>
      </c>
      <c r="T30" s="256">
        <f t="shared" si="25"/>
        <v>-1.6154996879646799</v>
      </c>
      <c r="U30" s="256">
        <f t="shared" si="25"/>
        <v>0.22042643397874939</v>
      </c>
      <c r="V30" s="256">
        <f t="shared" si="25"/>
        <v>0.19993410952760038</v>
      </c>
      <c r="W30" s="256">
        <f t="shared" si="25"/>
        <v>0.38920410810773864</v>
      </c>
      <c r="X30" s="256">
        <f t="shared" si="25"/>
        <v>0.41140907379036151</v>
      </c>
      <c r="Y30" s="256">
        <f t="shared" si="25"/>
        <v>0.34283938430039118</v>
      </c>
      <c r="Z30" s="256">
        <f t="shared" si="25"/>
        <v>0.31213225888974172</v>
      </c>
      <c r="AA30" s="256">
        <f t="shared" si="25"/>
        <v>0.16471443347963444</v>
      </c>
      <c r="AB30" s="256">
        <f t="shared" si="25"/>
        <v>9.7493489583333259E-2</v>
      </c>
      <c r="AC30" s="256">
        <f t="shared" si="25"/>
        <v>0.14727183620126327</v>
      </c>
      <c r="AD30" s="256">
        <f t="shared" si="25"/>
        <v>7.7352374917749156E-2</v>
      </c>
      <c r="AE30" s="256">
        <f t="shared" si="25"/>
        <v>6.5597772603989135E-2</v>
      </c>
      <c r="AF30" s="256">
        <f t="shared" si="25"/>
        <v>0.10372661596152621</v>
      </c>
      <c r="AG30" s="256">
        <f t="shared" si="25"/>
        <v>0.11462610057669043</v>
      </c>
      <c r="AH30" s="256">
        <f t="shared" si="25"/>
        <v>0.16642160743773604</v>
      </c>
      <c r="AI30" s="256">
        <f t="shared" si="25"/>
        <v>0.24074240922605639</v>
      </c>
      <c r="AJ30" s="256">
        <f t="shared" si="25"/>
        <v>0.21947520970497347</v>
      </c>
      <c r="AK30" s="256">
        <f t="shared" si="25"/>
        <v>0.28986309536483068</v>
      </c>
      <c r="AL30" s="256"/>
    </row>
    <row r="31" spans="2:38">
      <c r="B31" s="207" t="s">
        <v>276</v>
      </c>
      <c r="C31" s="257"/>
      <c r="D31" s="256" t="e">
        <f t="shared" si="26"/>
        <v>#DIV/0!</v>
      </c>
      <c r="E31" s="256" t="e">
        <f t="shared" si="26"/>
        <v>#DIV/0!</v>
      </c>
      <c r="F31" s="256" t="e">
        <f t="shared" si="26"/>
        <v>#DIV/0!</v>
      </c>
      <c r="G31" s="256" t="e">
        <f t="shared" si="26"/>
        <v>#DIV/0!</v>
      </c>
      <c r="H31" s="256">
        <f t="shared" si="26"/>
        <v>-1</v>
      </c>
      <c r="I31" s="256" t="e">
        <f t="shared" si="26"/>
        <v>#DIV/0!</v>
      </c>
      <c r="J31" s="256" t="e">
        <f t="shared" si="26"/>
        <v>#DIV/0!</v>
      </c>
      <c r="K31" s="257"/>
      <c r="L31" s="87"/>
      <c r="M31" s="257"/>
      <c r="N31" s="257"/>
      <c r="O31" s="257"/>
      <c r="P31" s="257"/>
      <c r="Q31" s="256" t="e">
        <f t="shared" si="27"/>
        <v>#DIV/0!</v>
      </c>
      <c r="R31" s="256" t="e">
        <f t="shared" si="25"/>
        <v>#DIV/0!</v>
      </c>
      <c r="S31" s="256" t="e">
        <f t="shared" si="25"/>
        <v>#DIV/0!</v>
      </c>
      <c r="T31" s="256" t="e">
        <f t="shared" si="25"/>
        <v>#DIV/0!</v>
      </c>
      <c r="U31" s="256" t="e">
        <f t="shared" si="25"/>
        <v>#DIV/0!</v>
      </c>
      <c r="V31" s="256" t="e">
        <f t="shared" si="25"/>
        <v>#DIV/0!</v>
      </c>
      <c r="W31" s="256" t="e">
        <f t="shared" si="25"/>
        <v>#DIV/0!</v>
      </c>
      <c r="X31" s="256" t="e">
        <f t="shared" si="25"/>
        <v>#DIV/0!</v>
      </c>
      <c r="Y31" s="256">
        <f t="shared" si="25"/>
        <v>2.7441860465116279</v>
      </c>
      <c r="Z31" s="256">
        <f t="shared" si="25"/>
        <v>0.23235423060061366</v>
      </c>
      <c r="AA31" s="256">
        <f t="shared" si="25"/>
        <v>0.20462184873949574</v>
      </c>
      <c r="AB31" s="256">
        <f t="shared" si="25"/>
        <v>-4.0787019768743011</v>
      </c>
      <c r="AC31" s="256">
        <f t="shared" si="25"/>
        <v>-1</v>
      </c>
      <c r="AD31" s="256">
        <f t="shared" si="25"/>
        <v>-1</v>
      </c>
      <c r="AE31" s="256">
        <f t="shared" si="25"/>
        <v>-1</v>
      </c>
      <c r="AF31" s="256">
        <f t="shared" si="25"/>
        <v>-1</v>
      </c>
      <c r="AG31" s="256" t="e">
        <f t="shared" si="25"/>
        <v>#DIV/0!</v>
      </c>
      <c r="AH31" s="256" t="e">
        <f t="shared" si="25"/>
        <v>#DIV/0!</v>
      </c>
      <c r="AI31" s="256" t="e">
        <f t="shared" si="25"/>
        <v>#DIV/0!</v>
      </c>
      <c r="AJ31" s="256" t="e">
        <f t="shared" si="25"/>
        <v>#DIV/0!</v>
      </c>
      <c r="AK31" s="256" t="e">
        <f t="shared" si="25"/>
        <v>#DIV/0!</v>
      </c>
      <c r="AL31" s="256"/>
    </row>
    <row r="32" spans="2:38">
      <c r="B32" s="207" t="s">
        <v>277</v>
      </c>
      <c r="C32" s="257"/>
      <c r="D32" s="256">
        <f t="shared" si="26"/>
        <v>0.63190040477233245</v>
      </c>
      <c r="E32" s="256">
        <f t="shared" si="26"/>
        <v>0.78800171049325107</v>
      </c>
      <c r="F32" s="256">
        <f t="shared" si="26"/>
        <v>-0.3909172719075158</v>
      </c>
      <c r="G32" s="256">
        <f t="shared" si="26"/>
        <v>-0.1643783535510237</v>
      </c>
      <c r="H32" s="256">
        <f t="shared" si="26"/>
        <v>0.22214059415032827</v>
      </c>
      <c r="I32" s="256">
        <f t="shared" si="26"/>
        <v>-0.28027200661231544</v>
      </c>
      <c r="J32" s="256">
        <f t="shared" si="26"/>
        <v>1.5725322336482748</v>
      </c>
      <c r="K32" s="257"/>
      <c r="L32" s="87"/>
      <c r="M32" s="257"/>
      <c r="N32" s="257"/>
      <c r="O32" s="257"/>
      <c r="P32" s="257"/>
      <c r="Q32" s="256">
        <f t="shared" si="27"/>
        <v>0.55747746931067055</v>
      </c>
      <c r="R32" s="256">
        <f t="shared" si="25"/>
        <v>0.60253480693448358</v>
      </c>
      <c r="S32" s="256">
        <f t="shared" si="25"/>
        <v>0.33257106409546866</v>
      </c>
      <c r="T32" s="256">
        <f t="shared" si="25"/>
        <v>-0.7336463199831591</v>
      </c>
      <c r="U32" s="256">
        <f t="shared" si="25"/>
        <v>0.11674246455904491</v>
      </c>
      <c r="V32" s="256">
        <f t="shared" si="25"/>
        <v>-0.10028381629590655</v>
      </c>
      <c r="W32" s="256">
        <f t="shared" si="25"/>
        <v>-0.12835066921806237</v>
      </c>
      <c r="X32" s="256">
        <f t="shared" si="25"/>
        <v>-0.42029776068854152</v>
      </c>
      <c r="Y32" s="256">
        <f t="shared" si="25"/>
        <v>-0.40062543432939546</v>
      </c>
      <c r="Z32" s="256">
        <f t="shared" si="25"/>
        <v>-0.31109337589784514</v>
      </c>
      <c r="AA32" s="256">
        <f t="shared" si="25"/>
        <v>-0.23594156493896334</v>
      </c>
      <c r="AB32" s="256">
        <f t="shared" si="25"/>
        <v>2.1575299306868305</v>
      </c>
      <c r="AC32" s="256">
        <f t="shared" si="25"/>
        <v>0.41159420289855064</v>
      </c>
      <c r="AD32" s="256">
        <f t="shared" si="25"/>
        <v>7.4142724745134281E-2</v>
      </c>
      <c r="AE32" s="256">
        <f t="shared" si="25"/>
        <v>0.30172865374541646</v>
      </c>
      <c r="AF32" s="256">
        <f t="shared" si="25"/>
        <v>-0.68861837291292494</v>
      </c>
      <c r="AG32" s="256">
        <f t="shared" si="25"/>
        <v>0.18131416837782344</v>
      </c>
      <c r="AH32" s="256">
        <f t="shared" si="25"/>
        <v>1.9879206212251943</v>
      </c>
      <c r="AI32" s="256">
        <f t="shared" si="25"/>
        <v>2.1372233400402414</v>
      </c>
      <c r="AJ32" s="256">
        <f t="shared" si="25"/>
        <v>2.0089724417859434</v>
      </c>
      <c r="AK32" s="256">
        <f t="shared" si="25"/>
        <v>9.1430557969754966E-2</v>
      </c>
      <c r="AL32" s="256"/>
    </row>
    <row r="33" spans="2:40">
      <c r="B33" s="207" t="s">
        <v>278</v>
      </c>
      <c r="C33" s="257"/>
      <c r="D33" s="256">
        <f t="shared" si="26"/>
        <v>-0.60562818913657679</v>
      </c>
      <c r="E33" s="256">
        <f t="shared" si="26"/>
        <v>0.66444400547587779</v>
      </c>
      <c r="F33" s="256">
        <f t="shared" si="26"/>
        <v>62.538585419774527</v>
      </c>
      <c r="G33" s="256">
        <f t="shared" si="26"/>
        <v>0.10558634073530748</v>
      </c>
      <c r="H33" s="256">
        <f t="shared" si="26"/>
        <v>5.9307716485934359E-2</v>
      </c>
      <c r="I33" s="256">
        <f t="shared" si="26"/>
        <v>9.6433803757209446E-2</v>
      </c>
      <c r="J33" s="256">
        <f t="shared" si="26"/>
        <v>0.41640309185934399</v>
      </c>
      <c r="K33" s="257"/>
      <c r="L33" s="87"/>
      <c r="M33" s="257"/>
      <c r="N33" s="257"/>
      <c r="O33" s="257"/>
      <c r="P33" s="257"/>
      <c r="Q33" s="256">
        <f t="shared" si="27"/>
        <v>0.22286195659192654</v>
      </c>
      <c r="R33" s="256">
        <f t="shared" si="25"/>
        <v>9.9171472534147931E-2</v>
      </c>
      <c r="S33" s="256">
        <f t="shared" si="25"/>
        <v>0.18422146137567763</v>
      </c>
      <c r="T33" s="256">
        <f t="shared" si="25"/>
        <v>-1.4594836237818509</v>
      </c>
      <c r="U33" s="256">
        <f t="shared" si="25"/>
        <v>0.13010991055234311</v>
      </c>
      <c r="V33" s="256">
        <f t="shared" si="25"/>
        <v>0.15558125191688066</v>
      </c>
      <c r="W33" s="256">
        <f t="shared" si="25"/>
        <v>4.8400648270761515E-2</v>
      </c>
      <c r="X33" s="256">
        <f t="shared" si="25"/>
        <v>8.8408732212069907E-2</v>
      </c>
      <c r="Y33" s="256">
        <f t="shared" si="25"/>
        <v>4.2181069958847628E-2</v>
      </c>
      <c r="Z33" s="256">
        <f t="shared" si="25"/>
        <v>-1.9310344827586201E-2</v>
      </c>
      <c r="AA33" s="256">
        <f t="shared" si="25"/>
        <v>0.10168169209431355</v>
      </c>
      <c r="AB33" s="256">
        <f t="shared" si="25"/>
        <v>0.11630411371957794</v>
      </c>
      <c r="AC33" s="256">
        <f t="shared" si="25"/>
        <v>0.13466600855544586</v>
      </c>
      <c r="AD33" s="256">
        <f t="shared" si="25"/>
        <v>7.4690946776223344E-2</v>
      </c>
      <c r="AE33" s="256">
        <f t="shared" si="25"/>
        <v>9.8827602486426969E-2</v>
      </c>
      <c r="AF33" s="256">
        <f t="shared" si="25"/>
        <v>8.347803717280855E-2</v>
      </c>
      <c r="AG33" s="256">
        <f t="shared" si="25"/>
        <v>0.12252591894439213</v>
      </c>
      <c r="AH33" s="256">
        <f t="shared" si="25"/>
        <v>0.29707948753271807</v>
      </c>
      <c r="AI33" s="256">
        <f t="shared" si="25"/>
        <v>0.58925886143931261</v>
      </c>
      <c r="AJ33" s="256">
        <f t="shared" si="25"/>
        <v>0.61654894046417752</v>
      </c>
      <c r="AK33" s="256">
        <f t="shared" si="25"/>
        <v>0.27585093328166366</v>
      </c>
      <c r="AL33" s="256"/>
    </row>
    <row r="34" spans="2:40">
      <c r="B34" s="208" t="s">
        <v>279</v>
      </c>
      <c r="C34" s="257"/>
      <c r="D34" s="204">
        <f t="shared" si="26"/>
        <v>0.248726132656375</v>
      </c>
      <c r="E34" s="204">
        <f t="shared" si="26"/>
        <v>0.29397518824641011</v>
      </c>
      <c r="F34" s="204">
        <f t="shared" si="26"/>
        <v>0.27653936296516757</v>
      </c>
      <c r="G34" s="204">
        <f t="shared" si="26"/>
        <v>0.10012376387086008</v>
      </c>
      <c r="H34" s="204">
        <f t="shared" si="26"/>
        <v>3.6727851077577034E-2</v>
      </c>
      <c r="I34" s="204">
        <f t="shared" si="26"/>
        <v>6.8368763725473958E-2</v>
      </c>
      <c r="J34" s="204">
        <f t="shared" si="26"/>
        <v>0.12967167435121452</v>
      </c>
      <c r="K34" s="257"/>
      <c r="L34" s="87"/>
      <c r="M34" s="257"/>
      <c r="N34" s="257"/>
      <c r="O34" s="257"/>
      <c r="P34" s="257"/>
      <c r="Q34" s="204">
        <f>Q13/M13-1</f>
        <v>0.39181049792995015</v>
      </c>
      <c r="R34" s="204">
        <f t="shared" ref="R34:AL36" si="28">R13/N13-1</f>
        <v>0.26281867079219445</v>
      </c>
      <c r="S34" s="204">
        <f t="shared" si="28"/>
        <v>0.25568178028256594</v>
      </c>
      <c r="T34" s="204">
        <f t="shared" si="28"/>
        <v>0.2300180175427109</v>
      </c>
      <c r="U34" s="204">
        <f t="shared" si="28"/>
        <v>0.18033151183226259</v>
      </c>
      <c r="V34" s="204">
        <f t="shared" si="28"/>
        <v>5.4950711015490983E-2</v>
      </c>
      <c r="W34" s="204">
        <f t="shared" si="28"/>
        <v>0.11427626851569483</v>
      </c>
      <c r="X34" s="204">
        <f t="shared" si="28"/>
        <v>7.1403020906411374E-2</v>
      </c>
      <c r="Y34" s="204">
        <f t="shared" si="28"/>
        <v>1.3773966743860999E-2</v>
      </c>
      <c r="Z34" s="204">
        <f t="shared" si="28"/>
        <v>7.5975336322869902E-2</v>
      </c>
      <c r="AA34" s="204">
        <f t="shared" si="28"/>
        <v>1.7094052189623676E-2</v>
      </c>
      <c r="AB34" s="204">
        <f t="shared" si="28"/>
        <v>3.5982886889651677E-2</v>
      </c>
      <c r="AC34" s="204">
        <f t="shared" si="28"/>
        <v>7.0354302836727722E-2</v>
      </c>
      <c r="AD34" s="204">
        <f t="shared" si="28"/>
        <v>1.2037606232048637E-2</v>
      </c>
      <c r="AE34" s="204">
        <f t="shared" si="28"/>
        <v>5.1227704704922994E-2</v>
      </c>
      <c r="AF34" s="204">
        <f t="shared" si="28"/>
        <v>0.1336559101141217</v>
      </c>
      <c r="AG34" s="204">
        <f t="shared" si="28"/>
        <v>0.15778949351852911</v>
      </c>
      <c r="AH34" s="204">
        <f t="shared" si="28"/>
        <v>0.22396592964237794</v>
      </c>
      <c r="AI34" s="204">
        <f t="shared" si="28"/>
        <v>0.14851739910210582</v>
      </c>
      <c r="AJ34" s="204">
        <f t="shared" si="28"/>
        <v>1.5268627552696756E-2</v>
      </c>
      <c r="AK34" s="204">
        <f t="shared" si="28"/>
        <v>4.8531629257145825E-2</v>
      </c>
      <c r="AL34" s="204"/>
    </row>
    <row r="35" spans="2:40">
      <c r="B35" s="207" t="s">
        <v>280</v>
      </c>
      <c r="C35" s="257"/>
      <c r="D35" s="256">
        <f t="shared" si="26"/>
        <v>0.19888250746668223</v>
      </c>
      <c r="E35" s="256">
        <f t="shared" si="26"/>
        <v>-0.29698917246510692</v>
      </c>
      <c r="F35" s="256">
        <f t="shared" si="26"/>
        <v>-0.28591404947192889</v>
      </c>
      <c r="G35" s="256">
        <f t="shared" si="26"/>
        <v>-1</v>
      </c>
      <c r="H35" s="256" t="e">
        <f t="shared" si="26"/>
        <v>#DIV/0!</v>
      </c>
      <c r="I35" s="256" t="e">
        <f t="shared" si="26"/>
        <v>#DIV/0!</v>
      </c>
      <c r="J35" s="256" t="e">
        <f t="shared" si="26"/>
        <v>#DIV/0!</v>
      </c>
      <c r="K35" s="257"/>
      <c r="L35" s="87"/>
      <c r="M35" s="257"/>
      <c r="N35" s="257"/>
      <c r="O35" s="257"/>
      <c r="P35" s="257"/>
      <c r="Q35" s="256">
        <f t="shared" si="27"/>
        <v>-0.57968555523218024</v>
      </c>
      <c r="R35" s="256">
        <f t="shared" si="28"/>
        <v>-0.247048015347618</v>
      </c>
      <c r="S35" s="256">
        <f t="shared" si="28"/>
        <v>-5.7066606098461148E-2</v>
      </c>
      <c r="T35" s="256">
        <f t="shared" si="28"/>
        <v>8.2875503851505883E-2</v>
      </c>
      <c r="U35" s="256">
        <f t="shared" si="28"/>
        <v>-1</v>
      </c>
      <c r="V35" s="256">
        <f t="shared" si="28"/>
        <v>-1</v>
      </c>
      <c r="W35" s="256">
        <f t="shared" si="28"/>
        <v>-1</v>
      </c>
      <c r="X35" s="256">
        <f t="shared" si="28"/>
        <v>-1</v>
      </c>
      <c r="Y35" s="256" t="e">
        <f t="shared" si="28"/>
        <v>#DIV/0!</v>
      </c>
      <c r="Z35" s="256" t="e">
        <f t="shared" si="28"/>
        <v>#DIV/0!</v>
      </c>
      <c r="AA35" s="256" t="e">
        <f t="shared" si="28"/>
        <v>#DIV/0!</v>
      </c>
      <c r="AB35" s="256" t="e">
        <f t="shared" si="28"/>
        <v>#DIV/0!</v>
      </c>
      <c r="AC35" s="256" t="e">
        <f t="shared" si="28"/>
        <v>#DIV/0!</v>
      </c>
      <c r="AD35" s="256" t="e">
        <f t="shared" si="28"/>
        <v>#DIV/0!</v>
      </c>
      <c r="AE35" s="256" t="e">
        <f t="shared" si="28"/>
        <v>#DIV/0!</v>
      </c>
      <c r="AF35" s="256" t="e">
        <f t="shared" si="28"/>
        <v>#DIV/0!</v>
      </c>
      <c r="AG35" s="256" t="e">
        <f t="shared" si="28"/>
        <v>#DIV/0!</v>
      </c>
      <c r="AH35" s="256" t="e">
        <f t="shared" si="28"/>
        <v>#DIV/0!</v>
      </c>
      <c r="AI35" s="256" t="e">
        <f t="shared" si="28"/>
        <v>#DIV/0!</v>
      </c>
      <c r="AJ35" s="256" t="e">
        <f t="shared" si="28"/>
        <v>#DIV/0!</v>
      </c>
      <c r="AK35" s="256" t="e">
        <f t="shared" si="28"/>
        <v>#DIV/0!</v>
      </c>
      <c r="AL35" s="256"/>
    </row>
    <row r="36" spans="2:40">
      <c r="B36" s="208" t="s">
        <v>281</v>
      </c>
      <c r="C36" s="257"/>
      <c r="D36" s="204">
        <f t="shared" si="26"/>
        <v>0.24862297068987482</v>
      </c>
      <c r="E36" s="204">
        <f t="shared" si="26"/>
        <v>0.29280078678082955</v>
      </c>
      <c r="F36" s="204">
        <f t="shared" si="26"/>
        <v>0.27593154678613918</v>
      </c>
      <c r="G36" s="204">
        <f t="shared" si="26"/>
        <v>9.9458413567373727E-2</v>
      </c>
      <c r="H36" s="204">
        <f t="shared" si="26"/>
        <v>3.6727851077577034E-2</v>
      </c>
      <c r="I36" s="204">
        <f t="shared" si="26"/>
        <v>6.8368763725473958E-2</v>
      </c>
      <c r="J36" s="204">
        <f t="shared" si="26"/>
        <v>0.12967167435121452</v>
      </c>
      <c r="K36" s="257"/>
      <c r="L36" s="87"/>
      <c r="M36" s="257"/>
      <c r="N36" s="257"/>
      <c r="O36" s="257"/>
      <c r="P36" s="257"/>
      <c r="Q36" s="204">
        <f t="shared" si="27"/>
        <v>0.38966436551518502</v>
      </c>
      <c r="R36" s="204">
        <f t="shared" si="28"/>
        <v>0.26234940256714423</v>
      </c>
      <c r="S36" s="204">
        <f t="shared" si="28"/>
        <v>0.25539724416911769</v>
      </c>
      <c r="T36" s="204">
        <f t="shared" si="28"/>
        <v>0.22992656450101001</v>
      </c>
      <c r="U36" s="204">
        <f t="shared" si="28"/>
        <v>0.17954286262775243</v>
      </c>
      <c r="V36" s="204">
        <f t="shared" si="28"/>
        <v>5.4371569918684637E-2</v>
      </c>
      <c r="W36" s="204">
        <f t="shared" si="28"/>
        <v>0.11351482964359327</v>
      </c>
      <c r="X36" s="204">
        <f t="shared" si="28"/>
        <v>7.0816731296317936E-2</v>
      </c>
      <c r="Y36" s="204">
        <f t="shared" si="28"/>
        <v>1.3773966743860999E-2</v>
      </c>
      <c r="Z36" s="204">
        <f t="shared" si="28"/>
        <v>7.5975336322869902E-2</v>
      </c>
      <c r="AA36" s="204">
        <f t="shared" si="28"/>
        <v>1.7094052189623676E-2</v>
      </c>
      <c r="AB36" s="204">
        <f t="shared" si="28"/>
        <v>3.5982886889651677E-2</v>
      </c>
      <c r="AC36" s="204">
        <f t="shared" si="28"/>
        <v>7.0354302836727722E-2</v>
      </c>
      <c r="AD36" s="204">
        <f t="shared" si="28"/>
        <v>1.2037606232048637E-2</v>
      </c>
      <c r="AE36" s="204">
        <f t="shared" si="28"/>
        <v>5.1227704704922994E-2</v>
      </c>
      <c r="AF36" s="204">
        <f t="shared" si="28"/>
        <v>0.1336559101141217</v>
      </c>
      <c r="AG36" s="204">
        <f t="shared" si="28"/>
        <v>0.15778949351852911</v>
      </c>
      <c r="AH36" s="204">
        <f t="shared" si="28"/>
        <v>0.22396592964237794</v>
      </c>
      <c r="AI36" s="204">
        <f t="shared" si="28"/>
        <v>0.14851739910210582</v>
      </c>
      <c r="AJ36" s="204">
        <f t="shared" si="28"/>
        <v>1.5268627552696756E-2</v>
      </c>
      <c r="AK36" s="204">
        <f t="shared" si="28"/>
        <v>4.8531629257145825E-2</v>
      </c>
      <c r="AL36" s="204"/>
    </row>
    <row r="37" spans="2:40">
      <c r="B37" s="11"/>
      <c r="C37" s="86"/>
      <c r="D37" s="86"/>
      <c r="E37" s="86"/>
      <c r="F37" s="86"/>
      <c r="G37" s="86"/>
      <c r="H37" s="86"/>
      <c r="I37" s="86"/>
      <c r="J37" s="86"/>
      <c r="K37" s="86"/>
      <c r="L37" s="87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</row>
    <row r="38" spans="2:40">
      <c r="B38" s="78"/>
      <c r="C38" s="83"/>
      <c r="D38" s="83"/>
      <c r="E38" s="83"/>
      <c r="F38" s="83"/>
      <c r="G38" s="83"/>
      <c r="H38" s="83"/>
      <c r="I38" s="83"/>
      <c r="J38" s="83"/>
      <c r="K38" s="83"/>
      <c r="L38" s="87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</row>
    <row r="39" spans="2:40">
      <c r="B39" s="253" t="s">
        <v>284</v>
      </c>
      <c r="C39" s="258"/>
      <c r="D39" s="258"/>
      <c r="E39" s="258"/>
      <c r="F39" s="258"/>
      <c r="G39" s="258"/>
      <c r="H39" s="258"/>
      <c r="I39" s="258"/>
      <c r="J39" s="258"/>
      <c r="K39" s="258"/>
      <c r="L39" s="87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8"/>
      <c r="AH39" s="258"/>
      <c r="AI39" s="258"/>
      <c r="AJ39" s="258"/>
      <c r="AK39" s="258"/>
      <c r="AL39" s="258"/>
    </row>
    <row r="40" spans="2:40">
      <c r="B40" s="207" t="s">
        <v>274</v>
      </c>
      <c r="C40" s="84">
        <v>7049.2219999999998</v>
      </c>
      <c r="D40" s="84">
        <v>13775.339</v>
      </c>
      <c r="E40" s="84">
        <v>19484.484</v>
      </c>
      <c r="F40" s="84">
        <v>26612.603999999999</v>
      </c>
      <c r="G40" s="84">
        <v>34852</v>
      </c>
      <c r="H40" s="84">
        <v>35925</v>
      </c>
      <c r="I40" s="84">
        <v>41077</v>
      </c>
      <c r="J40" s="84">
        <v>51402</v>
      </c>
      <c r="K40" s="87"/>
      <c r="L40" s="87"/>
      <c r="M40" s="84">
        <v>5061.433</v>
      </c>
      <c r="N40" s="84">
        <v>4859.4110000000001</v>
      </c>
      <c r="O40" s="84">
        <v>6734.8109999999997</v>
      </c>
      <c r="P40" s="82">
        <f>E40-SUM(M40:O40)</f>
        <v>2828.8290000000015</v>
      </c>
      <c r="Q40" s="84">
        <v>7340.1030000000001</v>
      </c>
      <c r="R40" s="84">
        <v>5986.5379999999996</v>
      </c>
      <c r="S40" s="84">
        <v>7942.2420000000002</v>
      </c>
      <c r="T40" s="82">
        <f>F40-SUM(Q40:S40)</f>
        <v>5343.7209999999977</v>
      </c>
      <c r="U40" s="84">
        <v>7891</v>
      </c>
      <c r="V40" s="84">
        <v>8173</v>
      </c>
      <c r="W40" s="84">
        <v>10926</v>
      </c>
      <c r="X40" s="82">
        <f>G40-SUM(U40:W40)</f>
        <v>7862</v>
      </c>
      <c r="Y40" s="84">
        <v>9844</v>
      </c>
      <c r="Z40" s="84">
        <v>8143</v>
      </c>
      <c r="AA40" s="84">
        <v>11001</v>
      </c>
      <c r="AB40" s="82">
        <f>H40-SUM(Y40:AA40)</f>
        <v>6937</v>
      </c>
      <c r="AC40" s="84">
        <v>9325</v>
      </c>
      <c r="AD40" s="84">
        <v>10108</v>
      </c>
      <c r="AE40" s="84">
        <v>11608</v>
      </c>
      <c r="AF40" s="82">
        <f>I40-SUM(AC40:AE40)</f>
        <v>10036</v>
      </c>
      <c r="AG40" s="84">
        <v>12846</v>
      </c>
      <c r="AH40" s="84">
        <v>13939</v>
      </c>
      <c r="AI40" s="84">
        <v>14828</v>
      </c>
      <c r="AJ40" s="82">
        <f>J40-SUM(AG40:AI40)</f>
        <v>9789</v>
      </c>
      <c r="AK40" s="84">
        <v>14960</v>
      </c>
      <c r="AL40" s="84"/>
    </row>
    <row r="41" spans="2:40">
      <c r="B41" s="207" t="s">
        <v>275</v>
      </c>
      <c r="C41" s="230"/>
      <c r="D41" s="230"/>
      <c r="E41" s="230"/>
      <c r="F41" s="84">
        <v>-1827.056</v>
      </c>
      <c r="G41" s="84">
        <v>528</v>
      </c>
      <c r="H41" s="84">
        <v>1005</v>
      </c>
      <c r="I41" s="84">
        <v>6317</v>
      </c>
      <c r="J41" s="84">
        <v>5269</v>
      </c>
      <c r="K41" s="87"/>
      <c r="L41" s="87"/>
      <c r="M41" s="84">
        <v>-421.38499999999999</v>
      </c>
      <c r="N41" s="84">
        <v>2101.4780000000001</v>
      </c>
      <c r="O41" s="84">
        <v>83.549000000000007</v>
      </c>
      <c r="P41" s="82">
        <f>E41-SUM(M41:O41)</f>
        <v>-1763.6420000000001</v>
      </c>
      <c r="Q41" s="84">
        <v>-1473.5820000000001</v>
      </c>
      <c r="R41" s="84">
        <v>-356.59899999999999</v>
      </c>
      <c r="S41" s="84">
        <v>-726.61199999999997</v>
      </c>
      <c r="T41" s="82">
        <f>F41-SUM(Q41:S41)</f>
        <v>729.73700000000008</v>
      </c>
      <c r="U41" s="84">
        <v>-661</v>
      </c>
      <c r="V41" s="84">
        <v>36</v>
      </c>
      <c r="W41" s="84">
        <v>253</v>
      </c>
      <c r="X41" s="82">
        <f>G41-SUM(U41:W41)</f>
        <v>900</v>
      </c>
      <c r="Y41" s="84">
        <v>-1123</v>
      </c>
      <c r="Z41" s="84">
        <v>510</v>
      </c>
      <c r="AA41" s="84">
        <v>288</v>
      </c>
      <c r="AB41" s="82">
        <f>H41-SUM(Y41:AA41)</f>
        <v>1330</v>
      </c>
      <c r="AC41" s="84">
        <v>224</v>
      </c>
      <c r="AD41" s="84">
        <v>2183</v>
      </c>
      <c r="AE41" s="84">
        <v>2086</v>
      </c>
      <c r="AF41" s="82">
        <f>I41-SUM(AC41:AE41)</f>
        <v>1824</v>
      </c>
      <c r="AG41" s="84">
        <v>145</v>
      </c>
      <c r="AH41" s="84">
        <v>1958</v>
      </c>
      <c r="AI41" s="84">
        <v>1282</v>
      </c>
      <c r="AJ41" s="82">
        <f>J41-SUM(AG41:AI41)</f>
        <v>1884</v>
      </c>
      <c r="AK41" s="84">
        <v>1020</v>
      </c>
      <c r="AL41" s="84"/>
    </row>
    <row r="42" spans="2:40">
      <c r="B42" s="207" t="s">
        <v>276</v>
      </c>
      <c r="C42" s="230"/>
      <c r="D42" s="230"/>
      <c r="E42" s="230"/>
      <c r="F42" s="230"/>
      <c r="G42" s="84">
        <v>-1122</v>
      </c>
      <c r="H42" s="230"/>
      <c r="I42" s="230"/>
      <c r="J42" s="230"/>
      <c r="K42" s="230"/>
      <c r="L42" s="87"/>
      <c r="M42" s="230"/>
      <c r="N42" s="230"/>
      <c r="O42" s="230"/>
      <c r="P42" s="230"/>
      <c r="Q42" s="230"/>
      <c r="R42" s="230"/>
      <c r="S42" s="230"/>
      <c r="T42" s="230"/>
      <c r="U42" s="84">
        <v>-191</v>
      </c>
      <c r="V42" s="84">
        <v>-424</v>
      </c>
      <c r="W42" s="84">
        <v>-300</v>
      </c>
      <c r="X42" s="82">
        <f>G42-SUM(U42:W42)</f>
        <v>-207</v>
      </c>
      <c r="Y42" s="84">
        <v>-217</v>
      </c>
      <c r="Z42" s="84">
        <v>-29</v>
      </c>
      <c r="AA42" s="84">
        <v>-52</v>
      </c>
      <c r="AB42" s="82">
        <f>H42-SUM(Y42:AA42)</f>
        <v>298</v>
      </c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</row>
    <row r="43" spans="2:40">
      <c r="B43" s="207" t="s">
        <v>277</v>
      </c>
      <c r="C43" s="84">
        <v>-5136.6570000000002</v>
      </c>
      <c r="D43" s="84">
        <v>-1022.2809999999999</v>
      </c>
      <c r="E43" s="84">
        <v>-2498.85</v>
      </c>
      <c r="F43" s="84">
        <v>-10599.084999999999</v>
      </c>
      <c r="G43" s="84">
        <v>-5295</v>
      </c>
      <c r="H43" s="84">
        <v>-329</v>
      </c>
      <c r="I43" s="84">
        <v>-2865</v>
      </c>
      <c r="J43" s="84">
        <v>-46641</v>
      </c>
      <c r="K43" s="87"/>
      <c r="L43" s="87"/>
      <c r="M43" s="84">
        <v>-1384.165</v>
      </c>
      <c r="N43" s="84">
        <v>-1171.713</v>
      </c>
      <c r="O43" s="84">
        <v>-1200.492</v>
      </c>
      <c r="P43" s="82">
        <f>E43-SUM(M43:O43)</f>
        <v>1257.52</v>
      </c>
      <c r="Q43" s="84">
        <v>-2281.4859999999999</v>
      </c>
      <c r="R43" s="84">
        <v>-3020.114</v>
      </c>
      <c r="S43" s="84">
        <v>-2073.4499999999998</v>
      </c>
      <c r="T43" s="82">
        <f>F43-SUM(Q43:S43)</f>
        <v>-3224.0349999999989</v>
      </c>
      <c r="U43" s="84">
        <v>-2386</v>
      </c>
      <c r="V43" s="84">
        <v>-2032</v>
      </c>
      <c r="W43" s="84">
        <v>276</v>
      </c>
      <c r="X43" s="82">
        <f>G43-SUM(U43:W43)</f>
        <v>-1153</v>
      </c>
      <c r="Y43" s="84">
        <v>-157</v>
      </c>
      <c r="Z43" s="84">
        <v>1061</v>
      </c>
      <c r="AA43" s="84">
        <v>-140</v>
      </c>
      <c r="AB43" s="82">
        <f>H43-SUM(Y43:AA43)</f>
        <v>-1093</v>
      </c>
      <c r="AC43" s="84">
        <v>-670</v>
      </c>
      <c r="AD43" s="84">
        <v>-695</v>
      </c>
      <c r="AE43" s="84">
        <v>-615</v>
      </c>
      <c r="AF43" s="82">
        <f>I43-SUM(AC43:AE43)</f>
        <v>-885</v>
      </c>
      <c r="AG43" s="84">
        <v>-1327</v>
      </c>
      <c r="AH43" s="84">
        <v>-14777</v>
      </c>
      <c r="AI43" s="84">
        <v>-15736</v>
      </c>
      <c r="AJ43" s="82">
        <f>J43-SUM(AG43:AI43)</f>
        <v>-14801</v>
      </c>
      <c r="AK43" s="84">
        <v>-10352</v>
      </c>
      <c r="AL43" s="84"/>
    </row>
    <row r="44" spans="2:40" s="78" customFormat="1">
      <c r="B44" s="208" t="s">
        <v>285</v>
      </c>
      <c r="C44" s="83">
        <f t="shared" ref="C44:Q44" si="29">SUM(C40:C43)</f>
        <v>1912.5649999999996</v>
      </c>
      <c r="D44" s="83">
        <f t="shared" si="29"/>
        <v>12753.058000000001</v>
      </c>
      <c r="E44" s="83">
        <f t="shared" si="29"/>
        <v>16985.634000000002</v>
      </c>
      <c r="F44" s="83">
        <f t="shared" ref="F44:G44" si="30">SUM(F40:F43)</f>
        <v>14186.463</v>
      </c>
      <c r="G44" s="83">
        <f t="shared" si="30"/>
        <v>28963</v>
      </c>
      <c r="H44" s="83">
        <f t="shared" ref="H44:I44" si="31">SUM(H40:H43)</f>
        <v>36601</v>
      </c>
      <c r="I44" s="83">
        <f t="shared" si="31"/>
        <v>44529</v>
      </c>
      <c r="J44" s="83">
        <f t="shared" ref="J44" si="32">SUM(J40:J43)</f>
        <v>10030</v>
      </c>
      <c r="K44" s="83"/>
      <c r="L44" s="87"/>
      <c r="M44" s="83">
        <f t="shared" si="29"/>
        <v>3255.8829999999998</v>
      </c>
      <c r="N44" s="83">
        <f t="shared" si="29"/>
        <v>5789.1760000000004</v>
      </c>
      <c r="O44" s="83">
        <f t="shared" si="29"/>
        <v>5617.8679999999995</v>
      </c>
      <c r="P44" s="83">
        <f t="shared" si="29"/>
        <v>2322.7070000000012</v>
      </c>
      <c r="Q44" s="83">
        <f t="shared" si="29"/>
        <v>3585.0349999999999</v>
      </c>
      <c r="R44" s="83">
        <f>SUM(R40:R43)</f>
        <v>2609.8249999999994</v>
      </c>
      <c r="S44" s="83">
        <f>SUM(S40:S43)</f>
        <v>5142.18</v>
      </c>
      <c r="T44" s="83">
        <f t="shared" ref="T44" si="33">SUM(T40:T43)</f>
        <v>2849.4229999999989</v>
      </c>
      <c r="U44" s="83">
        <f t="shared" ref="U44" si="34">SUM(U40:U43)</f>
        <v>4653</v>
      </c>
      <c r="V44" s="83">
        <f>SUM(V40:V43)</f>
        <v>5753</v>
      </c>
      <c r="W44" s="83">
        <f>SUM(W40:W43)</f>
        <v>11155</v>
      </c>
      <c r="X44" s="83">
        <f t="shared" ref="X44:Y44" si="35">SUM(X40:X43)</f>
        <v>7402</v>
      </c>
      <c r="Y44" s="83">
        <f t="shared" si="35"/>
        <v>8347</v>
      </c>
      <c r="Z44" s="83">
        <f>SUM(Z40:Z43)</f>
        <v>9685</v>
      </c>
      <c r="AA44" s="83">
        <f>SUM(AA40:AA43)</f>
        <v>11097</v>
      </c>
      <c r="AB44" s="83">
        <f t="shared" ref="AB44:AC44" si="36">SUM(AB40:AB43)</f>
        <v>7472</v>
      </c>
      <c r="AC44" s="83">
        <f t="shared" si="36"/>
        <v>8879</v>
      </c>
      <c r="AD44" s="83">
        <f>SUM(AD40:AD43)</f>
        <v>11596</v>
      </c>
      <c r="AE44" s="83">
        <f>SUM(AE40:AE43)</f>
        <v>13079</v>
      </c>
      <c r="AF44" s="83">
        <f t="shared" ref="AF44:AG44" si="37">SUM(AF40:AF43)</f>
        <v>10975</v>
      </c>
      <c r="AG44" s="83">
        <f t="shared" si="37"/>
        <v>11664</v>
      </c>
      <c r="AH44" s="83">
        <f>SUM(AH40:AH43)</f>
        <v>1120</v>
      </c>
      <c r="AI44" s="83">
        <f>SUM(AI40:AI43)</f>
        <v>374</v>
      </c>
      <c r="AJ44" s="83">
        <f t="shared" ref="AJ44:AK44" si="38">SUM(AJ40:AJ43)</f>
        <v>-3128</v>
      </c>
      <c r="AK44" s="83">
        <f t="shared" si="38"/>
        <v>5628</v>
      </c>
      <c r="AL44" s="83"/>
      <c r="AM44" s="177"/>
      <c r="AN44" s="176"/>
    </row>
    <row r="45" spans="2:40">
      <c r="B45" s="207" t="s">
        <v>280</v>
      </c>
      <c r="C45" s="84">
        <v>-4531.6959999999999</v>
      </c>
      <c r="D45" s="84">
        <v>-3758.1779999999999</v>
      </c>
      <c r="E45" s="84">
        <v>-4642.8140000000003</v>
      </c>
      <c r="F45" s="84">
        <v>-10045.513000000001</v>
      </c>
      <c r="G45" s="84">
        <v>-9240</v>
      </c>
      <c r="H45" s="84">
        <v>-10576</v>
      </c>
      <c r="I45" s="84">
        <v>-5793</v>
      </c>
      <c r="J45" s="84">
        <v>-7256</v>
      </c>
      <c r="K45" s="87"/>
      <c r="L45" s="87"/>
      <c r="M45" s="84">
        <v>-935.43399999999997</v>
      </c>
      <c r="N45" s="84">
        <v>-745.101</v>
      </c>
      <c r="O45" s="84">
        <v>-1234.519</v>
      </c>
      <c r="P45" s="82">
        <f>E45-SUM(M45:O45)</f>
        <v>-1727.7600000000002</v>
      </c>
      <c r="Q45" s="84">
        <v>-1925.2909999999999</v>
      </c>
      <c r="R45" s="84">
        <v>-2309.069</v>
      </c>
      <c r="S45" s="84">
        <v>-2569.7429999999999</v>
      </c>
      <c r="T45" s="82">
        <f>F45-SUM(Q45:S45)</f>
        <v>-3241.4100000000017</v>
      </c>
      <c r="U45" s="84">
        <v>-2244</v>
      </c>
      <c r="V45" s="84">
        <v>-1995</v>
      </c>
      <c r="W45" s="84">
        <v>-2427</v>
      </c>
      <c r="X45" s="82">
        <f>G45-SUM(U45:W45)</f>
        <v>-2574</v>
      </c>
      <c r="Y45" s="84">
        <v>-1920</v>
      </c>
      <c r="Z45" s="84">
        <v>-1415</v>
      </c>
      <c r="AA45" s="84">
        <v>-1794</v>
      </c>
      <c r="AB45" s="82">
        <f>H45-SUM(Y45:AA45)</f>
        <v>-5447</v>
      </c>
      <c r="AC45" s="84">
        <v>-1179</v>
      </c>
      <c r="AD45" s="84">
        <v>-1095</v>
      </c>
      <c r="AE45" s="84">
        <v>-1035</v>
      </c>
      <c r="AF45" s="82">
        <f>I45-SUM(AC45:AE45)</f>
        <v>-2484</v>
      </c>
      <c r="AG45" s="84">
        <v>-1131</v>
      </c>
      <c r="AH45" s="84">
        <v>-1979</v>
      </c>
      <c r="AI45" s="84">
        <v>-1425</v>
      </c>
      <c r="AJ45" s="82">
        <f>J45-SUM(AG45:AI45)</f>
        <v>-2721</v>
      </c>
      <c r="AK45" s="84">
        <v>-1821</v>
      </c>
      <c r="AL45" s="84"/>
    </row>
    <row r="46" spans="2:40" s="78" customFormat="1">
      <c r="B46" s="208" t="s">
        <v>286</v>
      </c>
      <c r="C46" s="83">
        <f t="shared" ref="C46:Q46" si="39">SUM(C44:C45)</f>
        <v>-2619.1310000000003</v>
      </c>
      <c r="D46" s="83">
        <f t="shared" si="39"/>
        <v>8994.880000000001</v>
      </c>
      <c r="E46" s="83">
        <f t="shared" si="39"/>
        <v>12342.820000000002</v>
      </c>
      <c r="F46" s="83">
        <f t="shared" ref="F46:G46" si="40">SUM(F44:F45)</f>
        <v>4140.9499999999989</v>
      </c>
      <c r="G46" s="83">
        <f t="shared" si="40"/>
        <v>19723</v>
      </c>
      <c r="H46" s="83">
        <f t="shared" ref="H46:I46" si="41">SUM(H44:H45)</f>
        <v>26025</v>
      </c>
      <c r="I46" s="83">
        <f t="shared" si="41"/>
        <v>38736</v>
      </c>
      <c r="J46" s="83">
        <f t="shared" ref="J46" si="42">SUM(J44:J45)</f>
        <v>2774</v>
      </c>
      <c r="K46" s="83"/>
      <c r="L46" s="87"/>
      <c r="M46" s="83">
        <f t="shared" si="39"/>
        <v>2320.4489999999996</v>
      </c>
      <c r="N46" s="83">
        <f t="shared" si="39"/>
        <v>5044.0750000000007</v>
      </c>
      <c r="O46" s="83">
        <f t="shared" si="39"/>
        <v>4383.3489999999993</v>
      </c>
      <c r="P46" s="83">
        <f t="shared" si="39"/>
        <v>594.94700000000103</v>
      </c>
      <c r="Q46" s="83">
        <f t="shared" si="39"/>
        <v>1659.7439999999999</v>
      </c>
      <c r="R46" s="83">
        <f>SUM(R44:R45)</f>
        <v>300.7559999999994</v>
      </c>
      <c r="S46" s="83">
        <f>SUM(S44:S45)</f>
        <v>2572.4370000000004</v>
      </c>
      <c r="T46" s="83">
        <f t="shared" ref="T46" si="43">SUM(T44:T45)</f>
        <v>-391.98700000000281</v>
      </c>
      <c r="U46" s="83">
        <f t="shared" ref="U46" si="44">SUM(U44:U45)</f>
        <v>2409</v>
      </c>
      <c r="V46" s="83">
        <f>SUM(V44:V45)</f>
        <v>3758</v>
      </c>
      <c r="W46" s="83">
        <f>SUM(W44:W45)</f>
        <v>8728</v>
      </c>
      <c r="X46" s="83">
        <f t="shared" ref="X46:Y46" si="45">SUM(X44:X45)</f>
        <v>4828</v>
      </c>
      <c r="Y46" s="83">
        <f t="shared" si="45"/>
        <v>6427</v>
      </c>
      <c r="Z46" s="83">
        <f>SUM(Z44:Z45)</f>
        <v>8270</v>
      </c>
      <c r="AA46" s="83">
        <f>SUM(AA44:AA45)</f>
        <v>9303</v>
      </c>
      <c r="AB46" s="83">
        <f t="shared" ref="AB46:AC46" si="46">SUM(AB44:AB45)</f>
        <v>2025</v>
      </c>
      <c r="AC46" s="83">
        <f t="shared" si="46"/>
        <v>7700</v>
      </c>
      <c r="AD46" s="83">
        <f>SUM(AD44:AD45)</f>
        <v>10501</v>
      </c>
      <c r="AE46" s="83">
        <f>SUM(AE44:AE45)</f>
        <v>12044</v>
      </c>
      <c r="AF46" s="83">
        <f t="shared" ref="AF46:AG46" si="47">SUM(AF44:AF45)</f>
        <v>8491</v>
      </c>
      <c r="AG46" s="83">
        <f t="shared" si="47"/>
        <v>10533</v>
      </c>
      <c r="AH46" s="83">
        <f>SUM(AH44:AH45)</f>
        <v>-859</v>
      </c>
      <c r="AI46" s="83">
        <f>SUM(AI44:AI45)</f>
        <v>-1051</v>
      </c>
      <c r="AJ46" s="83">
        <f t="shared" ref="AJ46:AK46" si="48">SUM(AJ44:AJ45)</f>
        <v>-5849</v>
      </c>
      <c r="AK46" s="83">
        <f t="shared" si="48"/>
        <v>3807</v>
      </c>
      <c r="AL46" s="83"/>
      <c r="AM46" s="177"/>
      <c r="AN46" s="176"/>
    </row>
    <row r="47" spans="2:40">
      <c r="B47" s="11" t="s">
        <v>20</v>
      </c>
      <c r="C47" s="88">
        <f>C46-Model!C19</f>
        <v>-3.5470293369144201E-11</v>
      </c>
      <c r="D47" s="88">
        <f>D46-Model!D19</f>
        <v>-6.184563972055912E-11</v>
      </c>
      <c r="E47" s="88">
        <f>E46-Model!E19</f>
        <v>-7.8216544352471828E-11</v>
      </c>
      <c r="F47" s="88">
        <f>F46-Model!F19</f>
        <v>7.4578565545380116E-11</v>
      </c>
      <c r="G47" s="88">
        <f>G46-Model!G19</f>
        <v>0</v>
      </c>
      <c r="H47" s="182">
        <f>H46-Model!H19</f>
        <v>0</v>
      </c>
      <c r="I47" s="182">
        <f>I46-Model!I19</f>
        <v>0</v>
      </c>
      <c r="J47" s="182">
        <f>J46-Model!J19</f>
        <v>0</v>
      </c>
      <c r="K47" s="182"/>
      <c r="L47" s="87"/>
      <c r="M47" s="88">
        <f>M46-Model!M19</f>
        <v>-1.1823431123048067E-11</v>
      </c>
      <c r="N47" s="88">
        <f>N46-Model!N19</f>
        <v>7.2759576141834259E-12</v>
      </c>
      <c r="O47" s="88">
        <f>O46-Model!O19</f>
        <v>-1.0004441719502211E-11</v>
      </c>
      <c r="P47" s="88">
        <f>P46-Model!P19</f>
        <v>-5.7298166211694479E-11</v>
      </c>
      <c r="Q47" s="88">
        <f>Q46-Model!Q19</f>
        <v>0</v>
      </c>
      <c r="R47" s="88">
        <f>R46-Model!R19</f>
        <v>-1.2732925824820995E-11</v>
      </c>
      <c r="S47" s="88">
        <f>S46-Model!S19</f>
        <v>5.9117155615240335E-12</v>
      </c>
      <c r="T47" s="88">
        <f>T46-Model!T19</f>
        <v>4.9112713895738125E-11</v>
      </c>
      <c r="U47" s="88">
        <f>U46-Model!U19</f>
        <v>0</v>
      </c>
      <c r="V47" s="88">
        <f>V46-Model!V19</f>
        <v>0</v>
      </c>
      <c r="W47" s="88">
        <f>W46-Model!W19</f>
        <v>0</v>
      </c>
      <c r="X47" s="88">
        <f>X46-Model!X19</f>
        <v>0</v>
      </c>
      <c r="Y47" s="88">
        <f>Y46-Model!Y19</f>
        <v>0</v>
      </c>
      <c r="Z47" s="88">
        <f>Z46-Model!Z19</f>
        <v>0</v>
      </c>
      <c r="AA47" s="88">
        <f>AA46-Model!AA19</f>
        <v>0</v>
      </c>
      <c r="AB47" s="88">
        <f>AB46-Model!AB19</f>
        <v>0</v>
      </c>
      <c r="AC47" s="88">
        <f>AC46-Model!AC19</f>
        <v>0</v>
      </c>
      <c r="AD47" s="88">
        <f>AD46-Model!AD19</f>
        <v>0</v>
      </c>
      <c r="AE47" s="88">
        <f>AE46-Model!AE19</f>
        <v>0</v>
      </c>
      <c r="AF47" s="88">
        <f>AF46-Model!AF19</f>
        <v>0</v>
      </c>
      <c r="AG47" s="88">
        <f>AG46-Model!AG19</f>
        <v>0</v>
      </c>
      <c r="AH47" s="88">
        <f>AH46-Model!AH19</f>
        <v>0</v>
      </c>
      <c r="AI47" s="88">
        <f>AI46-Model!AI19</f>
        <v>0</v>
      </c>
      <c r="AJ47" s="88">
        <f>AJ46-Model!AJ19</f>
        <v>0</v>
      </c>
      <c r="AK47" s="88">
        <f>AK46-Model!AK19</f>
        <v>0</v>
      </c>
      <c r="AL47" s="88"/>
    </row>
    <row r="48" spans="2:40">
      <c r="L48" s="87"/>
    </row>
    <row r="49" spans="2:40">
      <c r="B49" s="253" t="s">
        <v>287</v>
      </c>
      <c r="C49" s="254"/>
      <c r="D49" s="254"/>
      <c r="E49" s="254"/>
      <c r="F49" s="254"/>
      <c r="G49" s="254"/>
      <c r="H49" s="254"/>
      <c r="I49" s="254"/>
      <c r="J49" s="254"/>
      <c r="K49" s="254"/>
      <c r="L49" s="87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</row>
    <row r="50" spans="2:40">
      <c r="B50" s="77" t="s">
        <v>288</v>
      </c>
      <c r="C50" s="84">
        <v>280059</v>
      </c>
      <c r="D50" s="84">
        <v>328703</v>
      </c>
      <c r="E50" s="84">
        <v>400927</v>
      </c>
      <c r="F50" s="84">
        <v>492592.25699999998</v>
      </c>
      <c r="G50" s="84">
        <v>515945</v>
      </c>
      <c r="H50" s="84">
        <v>538799</v>
      </c>
      <c r="I50" s="84">
        <v>564982</v>
      </c>
      <c r="J50" s="84">
        <v>605131</v>
      </c>
      <c r="K50" s="87"/>
      <c r="L50" s="87"/>
      <c r="M50" s="84">
        <v>77630.952000000005</v>
      </c>
      <c r="N50" s="84">
        <v>114147.35799999999</v>
      </c>
      <c r="O50" s="84">
        <v>93329.728000000003</v>
      </c>
      <c r="P50" s="85">
        <f>E50-SUM(M50:O50)</f>
        <v>115818.962</v>
      </c>
      <c r="Q50" s="84">
        <v>104005.726</v>
      </c>
      <c r="R50" s="84">
        <v>136773.76199999999</v>
      </c>
      <c r="S50" s="84">
        <v>110881.046</v>
      </c>
      <c r="T50" s="85">
        <f>F50-SUM(Q50:S50)</f>
        <v>140931.723</v>
      </c>
      <c r="U50" s="84">
        <v>118368</v>
      </c>
      <c r="V50" s="84">
        <v>136618</v>
      </c>
      <c r="W50" s="84">
        <v>119284</v>
      </c>
      <c r="X50" s="85">
        <f>G50-SUM(U50:W50)</f>
        <v>141675</v>
      </c>
      <c r="Y50" s="84">
        <v>116999</v>
      </c>
      <c r="Z50" s="84">
        <v>152131</v>
      </c>
      <c r="AA50" s="84">
        <v>119316</v>
      </c>
      <c r="AB50" s="85">
        <f>H50-SUM(Y50:AA50)</f>
        <v>150353</v>
      </c>
      <c r="AC50" s="84">
        <v>123212</v>
      </c>
      <c r="AD50" s="84">
        <v>145061</v>
      </c>
      <c r="AE50" s="84">
        <v>122560</v>
      </c>
      <c r="AF50" s="85">
        <f>I50-SUM(AC50:AE50)</f>
        <v>174149</v>
      </c>
      <c r="AG50" s="84">
        <v>144295</v>
      </c>
      <c r="AH50" s="84">
        <v>178982</v>
      </c>
      <c r="AI50" s="84">
        <v>128587</v>
      </c>
      <c r="AJ50" s="82">
        <f t="shared" ref="AJ50:AJ51" si="49">J50-SUM(AG50:AI50)</f>
        <v>153267</v>
      </c>
      <c r="AK50" s="84">
        <v>132171</v>
      </c>
      <c r="AL50" s="84"/>
    </row>
    <row r="51" spans="2:40">
      <c r="B51" s="77" t="s">
        <v>289</v>
      </c>
      <c r="C51" s="84">
        <v>136050</v>
      </c>
      <c r="D51" s="84">
        <v>182031</v>
      </c>
      <c r="E51" s="84">
        <v>250952</v>
      </c>
      <c r="F51" s="84">
        <v>323062.62</v>
      </c>
      <c r="G51" s="84">
        <v>349117</v>
      </c>
      <c r="H51" s="84">
        <v>332425</v>
      </c>
      <c r="I51" s="84">
        <v>363025</v>
      </c>
      <c r="J51" s="84">
        <v>418671</v>
      </c>
      <c r="K51" s="87"/>
      <c r="L51" s="87"/>
      <c r="M51" s="84">
        <v>52462.186000000002</v>
      </c>
      <c r="N51" s="84">
        <v>64039.523000000001</v>
      </c>
      <c r="O51" s="84">
        <v>58069.531000000003</v>
      </c>
      <c r="P51" s="85">
        <f>E51-SUM(M51:O51)</f>
        <v>76380.760000000009</v>
      </c>
      <c r="Q51" s="84">
        <v>71276.077999999994</v>
      </c>
      <c r="R51" s="84">
        <v>82916.122000000003</v>
      </c>
      <c r="S51" s="84">
        <v>75127.319000000003</v>
      </c>
      <c r="T51" s="85">
        <f>F51-SUM(Q51:S51)</f>
        <v>93743.100999999966</v>
      </c>
      <c r="U51" s="84">
        <v>86048</v>
      </c>
      <c r="V51" s="84">
        <v>89402</v>
      </c>
      <c r="W51" s="84">
        <v>77743</v>
      </c>
      <c r="X51" s="85">
        <f>G51-SUM(U51:W51)</f>
        <v>95924</v>
      </c>
      <c r="Y51" s="84">
        <v>78565</v>
      </c>
      <c r="Z51" s="84">
        <v>81724</v>
      </c>
      <c r="AA51" s="84">
        <v>75988</v>
      </c>
      <c r="AB51" s="85">
        <f>H51-SUM(Y51:AA51)</f>
        <v>96148</v>
      </c>
      <c r="AC51" s="84">
        <v>85296</v>
      </c>
      <c r="AD51" s="84">
        <v>88847</v>
      </c>
      <c r="AE51" s="84">
        <v>82053</v>
      </c>
      <c r="AF51" s="85">
        <f>I51-SUM(AC51:AE51)</f>
        <v>106829</v>
      </c>
      <c r="AG51" s="84">
        <v>98014</v>
      </c>
      <c r="AH51" s="84">
        <v>103432</v>
      </c>
      <c r="AI51" s="84">
        <v>97505</v>
      </c>
      <c r="AJ51" s="82">
        <f t="shared" si="49"/>
        <v>119720</v>
      </c>
      <c r="AK51" s="84">
        <v>112648</v>
      </c>
      <c r="AL51" s="84"/>
    </row>
    <row r="52" spans="2:40" s="78" customFormat="1">
      <c r="B52" s="78" t="s">
        <v>290</v>
      </c>
      <c r="C52" s="83">
        <f t="shared" ref="C52:Q52" si="50">SUM(C50:C51)</f>
        <v>416109</v>
      </c>
      <c r="D52" s="83">
        <f t="shared" si="50"/>
        <v>510734</v>
      </c>
      <c r="E52" s="83">
        <f t="shared" si="50"/>
        <v>651879</v>
      </c>
      <c r="F52" s="83">
        <f t="shared" ref="F52:G52" si="51">SUM(F50:F51)</f>
        <v>815654.87699999998</v>
      </c>
      <c r="G52" s="83">
        <f t="shared" si="51"/>
        <v>865062</v>
      </c>
      <c r="H52" s="83">
        <f t="shared" ref="H52:I52" si="52">SUM(H50:H51)</f>
        <v>871224</v>
      </c>
      <c r="I52" s="83">
        <f t="shared" si="52"/>
        <v>928007</v>
      </c>
      <c r="J52" s="83">
        <f t="shared" ref="J52" si="53">SUM(J50:J51)</f>
        <v>1023802</v>
      </c>
      <c r="K52" s="83"/>
      <c r="L52" s="87"/>
      <c r="M52" s="83">
        <f t="shared" si="50"/>
        <v>130093.13800000001</v>
      </c>
      <c r="N52" s="83">
        <f t="shared" si="50"/>
        <v>178186.88099999999</v>
      </c>
      <c r="O52" s="83">
        <f t="shared" si="50"/>
        <v>151399.25900000002</v>
      </c>
      <c r="P52" s="83">
        <f t="shared" si="50"/>
        <v>192199.72200000001</v>
      </c>
      <c r="Q52" s="83">
        <f t="shared" si="50"/>
        <v>175281.804</v>
      </c>
      <c r="R52" s="83">
        <f>SUM(R50:R51)</f>
        <v>219689.88399999999</v>
      </c>
      <c r="S52" s="83">
        <f>SUM(S50:S51)</f>
        <v>186008.36499999999</v>
      </c>
      <c r="T52" s="83">
        <f t="shared" ref="T52" si="54">SUM(T50:T51)</f>
        <v>234674.82399999996</v>
      </c>
      <c r="U52" s="83">
        <f t="shared" ref="U52" si="55">SUM(U50:U51)</f>
        <v>204416</v>
      </c>
      <c r="V52" s="83">
        <f>SUM(V50:V51)</f>
        <v>226020</v>
      </c>
      <c r="W52" s="83">
        <f>SUM(W50:W51)</f>
        <v>197027</v>
      </c>
      <c r="X52" s="83">
        <f t="shared" ref="X52:Y52" si="56">SUM(X50:X51)</f>
        <v>237599</v>
      </c>
      <c r="Y52" s="83">
        <f t="shared" si="56"/>
        <v>195564</v>
      </c>
      <c r="Z52" s="83">
        <f>SUM(Z50:Z51)</f>
        <v>233855</v>
      </c>
      <c r="AA52" s="83">
        <f>SUM(AA50:AA51)</f>
        <v>195304</v>
      </c>
      <c r="AB52" s="83">
        <f t="shared" ref="AB52:AC52" si="57">SUM(AB50:AB51)</f>
        <v>246501</v>
      </c>
      <c r="AC52" s="83">
        <f t="shared" si="57"/>
        <v>208508</v>
      </c>
      <c r="AD52" s="83">
        <f>SUM(AD50:AD51)</f>
        <v>233908</v>
      </c>
      <c r="AE52" s="83">
        <f>SUM(AE50:AE51)</f>
        <v>204613</v>
      </c>
      <c r="AF52" s="83">
        <f t="shared" ref="AF52:AG52" si="58">SUM(AF50:AF51)</f>
        <v>280978</v>
      </c>
      <c r="AG52" s="83">
        <f t="shared" si="58"/>
        <v>242309</v>
      </c>
      <c r="AH52" s="83">
        <f>SUM(AH50:AH51)</f>
        <v>282414</v>
      </c>
      <c r="AI52" s="83">
        <f>SUM(AI50:AI51)</f>
        <v>226092</v>
      </c>
      <c r="AJ52" s="83">
        <f t="shared" ref="AJ52:AK52" si="59">SUM(AJ50:AJ51)</f>
        <v>272987</v>
      </c>
      <c r="AK52" s="83">
        <f t="shared" si="59"/>
        <v>244819</v>
      </c>
      <c r="AL52" s="83"/>
      <c r="AM52" s="176"/>
      <c r="AN52" s="176"/>
    </row>
    <row r="53" spans="2:40">
      <c r="B53" s="77" t="s">
        <v>291</v>
      </c>
      <c r="C53" s="84">
        <v>33532</v>
      </c>
      <c r="D53" s="84">
        <v>42680</v>
      </c>
      <c r="E53" s="84">
        <v>53473</v>
      </c>
      <c r="F53" s="84">
        <v>72118.163</v>
      </c>
      <c r="G53" s="84">
        <v>81970</v>
      </c>
      <c r="H53" s="84">
        <v>84726</v>
      </c>
      <c r="I53" s="84">
        <v>90111</v>
      </c>
      <c r="J53" s="84">
        <v>107131</v>
      </c>
      <c r="K53" s="87"/>
      <c r="L53" s="87"/>
      <c r="M53" s="84">
        <v>9526.8150000000005</v>
      </c>
      <c r="N53" s="84">
        <v>14052.870999999999</v>
      </c>
      <c r="O53" s="84">
        <v>12412.342000000001</v>
      </c>
      <c r="P53" s="85">
        <f>E53-SUM(M53:O53)</f>
        <v>17480.971999999994</v>
      </c>
      <c r="Q53" s="84">
        <v>14119.826999999999</v>
      </c>
      <c r="R53" s="84">
        <v>18984.788</v>
      </c>
      <c r="S53" s="84">
        <v>16774.786</v>
      </c>
      <c r="T53" s="85">
        <f>F53-SUM(Q53:S53)</f>
        <v>22238.762000000002</v>
      </c>
      <c r="U53" s="84">
        <v>17676</v>
      </c>
      <c r="V53" s="84">
        <v>20742</v>
      </c>
      <c r="W53" s="84">
        <v>18954</v>
      </c>
      <c r="X53" s="85">
        <f>G53-SUM(U53:W53)</f>
        <v>24598</v>
      </c>
      <c r="Y53" s="84">
        <v>19062</v>
      </c>
      <c r="Z53" s="84">
        <v>22509</v>
      </c>
      <c r="AA53" s="84">
        <v>19529</v>
      </c>
      <c r="AB53" s="85">
        <f>H53-SUM(Y53:AA53)</f>
        <v>23626</v>
      </c>
      <c r="AC53" s="84">
        <v>19289</v>
      </c>
      <c r="AD53" s="84">
        <v>23425</v>
      </c>
      <c r="AE53" s="84">
        <v>20763</v>
      </c>
      <c r="AF53" s="85">
        <f>I53-SUM(AC53:AE53)</f>
        <v>26634</v>
      </c>
      <c r="AG53" s="84">
        <v>22320</v>
      </c>
      <c r="AH53" s="84">
        <v>28507</v>
      </c>
      <c r="AI53" s="84">
        <v>25688</v>
      </c>
      <c r="AJ53" s="82">
        <f t="shared" ref="AJ53:AJ54" si="60">J53-SUM(AG53:AI53)</f>
        <v>30616</v>
      </c>
      <c r="AK53" s="84">
        <v>26517</v>
      </c>
      <c r="AL53" s="84"/>
    </row>
    <row r="54" spans="2:40">
      <c r="B54" s="77" t="s">
        <v>292</v>
      </c>
      <c r="C54" s="84">
        <v>12379</v>
      </c>
      <c r="D54" s="84">
        <v>23474</v>
      </c>
      <c r="E54" s="84">
        <v>40450</v>
      </c>
      <c r="F54" s="84">
        <v>63819.114000000001</v>
      </c>
      <c r="G54" s="84">
        <v>99204</v>
      </c>
      <c r="H54" s="84">
        <v>128712</v>
      </c>
      <c r="I54" s="84">
        <v>140701</v>
      </c>
      <c r="J54" s="84">
        <v>178152</v>
      </c>
      <c r="K54" s="87"/>
      <c r="L54" s="87"/>
      <c r="M54" s="84">
        <v>6585.2560000000003</v>
      </c>
      <c r="N54" s="84">
        <v>8814.3060000000005</v>
      </c>
      <c r="O54" s="84">
        <v>10402.862999999999</v>
      </c>
      <c r="P54" s="85">
        <f>E54-SUM(M54:O54)</f>
        <v>14647.574999999997</v>
      </c>
      <c r="Q54" s="84">
        <v>13774.538</v>
      </c>
      <c r="R54" s="84">
        <v>15125.798000000001</v>
      </c>
      <c r="S54" s="84">
        <v>15925.207</v>
      </c>
      <c r="T54" s="85">
        <f>F54-SUM(Q54:S54)</f>
        <v>18993.570999999996</v>
      </c>
      <c r="U54" s="84">
        <v>17563</v>
      </c>
      <c r="V54" s="84">
        <v>20838</v>
      </c>
      <c r="W54" s="84">
        <v>27554</v>
      </c>
      <c r="X54" s="85">
        <f>G54-SUM(U54:W54)</f>
        <v>33249</v>
      </c>
      <c r="Y54" s="84">
        <v>28330</v>
      </c>
      <c r="Z54" s="84">
        <v>31567</v>
      </c>
      <c r="AA54" s="84">
        <v>32865</v>
      </c>
      <c r="AB54" s="85">
        <f>H54-SUM(Y54:AA54)</f>
        <v>35950</v>
      </c>
      <c r="AC54" s="84">
        <v>32252</v>
      </c>
      <c r="AD54" s="84">
        <v>34064</v>
      </c>
      <c r="AE54" s="84">
        <v>35011</v>
      </c>
      <c r="AF54" s="85">
        <f>I54-SUM(AC54:AE54)</f>
        <v>39374</v>
      </c>
      <c r="AG54" s="84">
        <v>36453</v>
      </c>
      <c r="AH54" s="84">
        <v>45739</v>
      </c>
      <c r="AI54" s="84">
        <v>47279</v>
      </c>
      <c r="AJ54" s="82">
        <f t="shared" si="60"/>
        <v>48681</v>
      </c>
      <c r="AK54" s="84">
        <v>44358</v>
      </c>
      <c r="AL54" s="84"/>
    </row>
    <row r="55" spans="2:40" s="78" customFormat="1">
      <c r="B55" s="78" t="s">
        <v>293</v>
      </c>
      <c r="C55" s="83">
        <f t="shared" ref="C55:Q55" si="61">SUM(C53:C54)</f>
        <v>45911</v>
      </c>
      <c r="D55" s="83">
        <f t="shared" si="61"/>
        <v>66154</v>
      </c>
      <c r="E55" s="83">
        <f t="shared" si="61"/>
        <v>93923</v>
      </c>
      <c r="F55" s="83">
        <f t="shared" ref="F55:G55" si="62">SUM(F53:F54)</f>
        <v>135937.277</v>
      </c>
      <c r="G55" s="83">
        <f t="shared" si="62"/>
        <v>181174</v>
      </c>
      <c r="H55" s="83">
        <f t="shared" ref="H55:I55" si="63">SUM(H53:H54)</f>
        <v>213438</v>
      </c>
      <c r="I55" s="83">
        <f t="shared" si="63"/>
        <v>230812</v>
      </c>
      <c r="J55" s="83">
        <f t="shared" ref="J55" si="64">SUM(J53:J54)</f>
        <v>285283</v>
      </c>
      <c r="K55" s="83"/>
      <c r="L55" s="87"/>
      <c r="M55" s="83">
        <f t="shared" si="61"/>
        <v>16112.071</v>
      </c>
      <c r="N55" s="83">
        <f t="shared" si="61"/>
        <v>22867.177</v>
      </c>
      <c r="O55" s="83">
        <f t="shared" si="61"/>
        <v>22815.205000000002</v>
      </c>
      <c r="P55" s="83">
        <f t="shared" si="61"/>
        <v>32128.546999999991</v>
      </c>
      <c r="Q55" s="83">
        <f t="shared" si="61"/>
        <v>27894.364999999998</v>
      </c>
      <c r="R55" s="83">
        <f>SUM(R53:R54)</f>
        <v>34110.586000000003</v>
      </c>
      <c r="S55" s="83">
        <f>SUM(S53:S54)</f>
        <v>32699.993000000002</v>
      </c>
      <c r="T55" s="83">
        <f t="shared" ref="T55" si="65">SUM(T53:T54)</f>
        <v>41232.332999999999</v>
      </c>
      <c r="U55" s="83">
        <f t="shared" ref="U55" si="66">SUM(U53:U54)</f>
        <v>35239</v>
      </c>
      <c r="V55" s="83">
        <f>SUM(V53:V54)</f>
        <v>41580</v>
      </c>
      <c r="W55" s="83">
        <f>SUM(W53:W54)</f>
        <v>46508</v>
      </c>
      <c r="X55" s="83">
        <f t="shared" ref="X55:Y55" si="67">SUM(X53:X54)</f>
        <v>57847</v>
      </c>
      <c r="Y55" s="83">
        <f t="shared" si="67"/>
        <v>47392</v>
      </c>
      <c r="Z55" s="83">
        <f>SUM(Z53:Z54)</f>
        <v>54076</v>
      </c>
      <c r="AA55" s="83">
        <f>SUM(AA53:AA54)</f>
        <v>52394</v>
      </c>
      <c r="AB55" s="83">
        <f t="shared" ref="AB55:AC55" si="68">SUM(AB53:AB54)</f>
        <v>59576</v>
      </c>
      <c r="AC55" s="83">
        <f t="shared" si="68"/>
        <v>51541</v>
      </c>
      <c r="AD55" s="83">
        <f>SUM(AD53:AD54)</f>
        <v>57489</v>
      </c>
      <c r="AE55" s="83">
        <f>SUM(AE53:AE54)</f>
        <v>55774</v>
      </c>
      <c r="AF55" s="83">
        <f t="shared" ref="AF55:AG55" si="69">SUM(AF53:AF54)</f>
        <v>66008</v>
      </c>
      <c r="AG55" s="83">
        <f t="shared" si="69"/>
        <v>58773</v>
      </c>
      <c r="AH55" s="83">
        <f>SUM(AH53:AH54)</f>
        <v>74246</v>
      </c>
      <c r="AI55" s="83">
        <f>SUM(AI53:AI54)</f>
        <v>72967</v>
      </c>
      <c r="AJ55" s="83">
        <f t="shared" ref="AJ55:AK55" si="70">SUM(AJ53:AJ54)</f>
        <v>79297</v>
      </c>
      <c r="AK55" s="83">
        <f t="shared" si="70"/>
        <v>70875</v>
      </c>
      <c r="AL55" s="83"/>
      <c r="AM55" s="176"/>
      <c r="AN55" s="176"/>
    </row>
    <row r="56" spans="2:40" s="78" customFormat="1">
      <c r="B56" s="78" t="s">
        <v>294</v>
      </c>
      <c r="C56" s="83">
        <f t="shared" ref="C56:Q56" si="71">C55+C52</f>
        <v>462020</v>
      </c>
      <c r="D56" s="83">
        <f t="shared" si="71"/>
        <v>576888</v>
      </c>
      <c r="E56" s="83">
        <f t="shared" si="71"/>
        <v>745802</v>
      </c>
      <c r="F56" s="83">
        <f t="shared" ref="F56:G56" si="72">F55+F52</f>
        <v>951592.15399999998</v>
      </c>
      <c r="G56" s="83">
        <f t="shared" si="72"/>
        <v>1046236</v>
      </c>
      <c r="H56" s="83">
        <f t="shared" ref="H56:I56" si="73">H55+H52</f>
        <v>1084662</v>
      </c>
      <c r="I56" s="83">
        <f t="shared" si="73"/>
        <v>1158819</v>
      </c>
      <c r="J56" s="83">
        <f t="shared" ref="J56" si="74">J55+J52</f>
        <v>1309085</v>
      </c>
      <c r="K56" s="83"/>
      <c r="L56" s="87"/>
      <c r="M56" s="83">
        <f t="shared" si="71"/>
        <v>146205.209</v>
      </c>
      <c r="N56" s="83">
        <f t="shared" si="71"/>
        <v>201054.05799999999</v>
      </c>
      <c r="O56" s="83">
        <f t="shared" si="71"/>
        <v>174214.46400000004</v>
      </c>
      <c r="P56" s="83">
        <f t="shared" si="71"/>
        <v>224328.269</v>
      </c>
      <c r="Q56" s="83">
        <f t="shared" si="71"/>
        <v>203176.16899999999</v>
      </c>
      <c r="R56" s="83">
        <f>R55+R52</f>
        <v>253800.47</v>
      </c>
      <c r="S56" s="83">
        <f>S55+S52</f>
        <v>218708.35800000001</v>
      </c>
      <c r="T56" s="83">
        <f t="shared" ref="T56:U56" si="75">T55+T52</f>
        <v>275907.15699999995</v>
      </c>
      <c r="U56" s="83">
        <f t="shared" si="75"/>
        <v>239655</v>
      </c>
      <c r="V56" s="83">
        <f>V55+V52</f>
        <v>267600</v>
      </c>
      <c r="W56" s="83">
        <f>W55+W52</f>
        <v>243535</v>
      </c>
      <c r="X56" s="83">
        <f t="shared" ref="X56:Y56" si="76">X55+X52</f>
        <v>295446</v>
      </c>
      <c r="Y56" s="83">
        <f t="shared" si="76"/>
        <v>242956</v>
      </c>
      <c r="Z56" s="83">
        <f>Z55+Z52</f>
        <v>287931</v>
      </c>
      <c r="AA56" s="83">
        <f>AA55+AA52</f>
        <v>247698</v>
      </c>
      <c r="AB56" s="83">
        <f t="shared" ref="AB56:AC56" si="77">AB55+AB52</f>
        <v>306077</v>
      </c>
      <c r="AC56" s="83">
        <f t="shared" si="77"/>
        <v>260049</v>
      </c>
      <c r="AD56" s="83">
        <f>AD55+AD52</f>
        <v>291397</v>
      </c>
      <c r="AE56" s="83">
        <f>AE55+AE52</f>
        <v>260387</v>
      </c>
      <c r="AF56" s="83">
        <f t="shared" ref="AF56:AG56" si="78">AF55+AF52</f>
        <v>346986</v>
      </c>
      <c r="AG56" s="83">
        <f t="shared" si="78"/>
        <v>301082</v>
      </c>
      <c r="AH56" s="83">
        <f>AH55+AH52</f>
        <v>356660</v>
      </c>
      <c r="AI56" s="83">
        <f>AI55+AI52</f>
        <v>299059</v>
      </c>
      <c r="AJ56" s="83">
        <f t="shared" ref="AJ56:AK56" si="79">AJ55+AJ52</f>
        <v>352284</v>
      </c>
      <c r="AK56" s="83">
        <f t="shared" si="79"/>
        <v>315694</v>
      </c>
      <c r="AL56" s="83"/>
      <c r="AM56" s="176"/>
      <c r="AN56" s="176"/>
    </row>
    <row r="57" spans="2:40">
      <c r="B57" s="11" t="s">
        <v>20</v>
      </c>
      <c r="C57" s="88">
        <f>C56-Model!C7</f>
        <v>0.24099999997997656</v>
      </c>
      <c r="D57" s="88">
        <f>D56-Model!D7</f>
        <v>-0.48400000005494803</v>
      </c>
      <c r="E57" s="88">
        <f>E56-Model!E7</f>
        <v>0.11399999994318932</v>
      </c>
      <c r="F57" s="88">
        <f>F56-Model!F7</f>
        <v>0</v>
      </c>
      <c r="G57" s="88">
        <f>G56-Model!G7</f>
        <v>0</v>
      </c>
      <c r="H57" s="88">
        <f>H56-Model!H7</f>
        <v>0</v>
      </c>
      <c r="I57" s="88">
        <f>I56-Model!I7</f>
        <v>0</v>
      </c>
      <c r="J57" s="88">
        <f>J56-Model!J7</f>
        <v>0</v>
      </c>
      <c r="K57" s="88"/>
      <c r="L57" s="87"/>
      <c r="M57" s="88">
        <f>M56-Model!M7</f>
        <v>0</v>
      </c>
      <c r="N57" s="88">
        <f>N56-Model!N7</f>
        <v>0</v>
      </c>
      <c r="O57" s="88">
        <f>O56-Model!O7</f>
        <v>0</v>
      </c>
      <c r="P57" s="88">
        <f>P56-Model!P7</f>
        <v>0.11399999997229315</v>
      </c>
      <c r="Q57" s="88">
        <f>Q56-Model!Q7</f>
        <v>0</v>
      </c>
      <c r="R57" s="88">
        <f>R56-Model!R7</f>
        <v>0</v>
      </c>
      <c r="S57" s="88">
        <f>S56-Model!S7</f>
        <v>0</v>
      </c>
      <c r="T57" s="88">
        <f>T56-Model!T7</f>
        <v>0</v>
      </c>
      <c r="U57" s="88">
        <f>U56-Model!U7</f>
        <v>0</v>
      </c>
      <c r="V57" s="88">
        <f>V56-Model!V7</f>
        <v>0</v>
      </c>
      <c r="W57" s="88">
        <f>W56-Model!W7</f>
        <v>0</v>
      </c>
      <c r="X57" s="88">
        <f>X56-Model!X7</f>
        <v>0</v>
      </c>
      <c r="Y57" s="88">
        <f>Y56-Model!Y7</f>
        <v>0</v>
      </c>
      <c r="Z57" s="88">
        <f>Z56-Model!Z7</f>
        <v>0</v>
      </c>
      <c r="AA57" s="88">
        <f>AA56-Model!AA7</f>
        <v>0</v>
      </c>
      <c r="AB57" s="88">
        <f>AB56-Model!AB7</f>
        <v>0</v>
      </c>
      <c r="AC57" s="88">
        <f>AC56-Model!AC7</f>
        <v>0</v>
      </c>
      <c r="AD57" s="88">
        <f>AD56-Model!AD7</f>
        <v>0</v>
      </c>
      <c r="AE57" s="88">
        <f>AE56-Model!AE7</f>
        <v>0</v>
      </c>
      <c r="AF57" s="88">
        <f>AF56-Model!AF7</f>
        <v>0</v>
      </c>
      <c r="AG57" s="88">
        <f>AG56-Model!AG7</f>
        <v>0</v>
      </c>
      <c r="AH57" s="88">
        <f>AH56-Model!AH7</f>
        <v>0</v>
      </c>
      <c r="AI57" s="88">
        <f>AI56-Model!AI7</f>
        <v>0</v>
      </c>
      <c r="AJ57" s="88">
        <f>AJ56-Model!AJ7</f>
        <v>0</v>
      </c>
      <c r="AK57" s="88">
        <f>AK56-Model!AK7</f>
        <v>0</v>
      </c>
      <c r="AL57" s="88"/>
    </row>
    <row r="58" spans="2:40">
      <c r="B58" s="11"/>
      <c r="C58" s="88"/>
      <c r="D58" s="88"/>
      <c r="E58" s="88"/>
      <c r="F58" s="88"/>
      <c r="G58" s="88"/>
      <c r="H58" s="88"/>
      <c r="I58" s="88"/>
      <c r="J58" s="88"/>
      <c r="K58" s="88"/>
      <c r="L58" s="87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2:40">
      <c r="B59" s="255" t="s">
        <v>295</v>
      </c>
      <c r="C59" s="88"/>
      <c r="D59" s="88"/>
      <c r="E59" s="88"/>
      <c r="F59" s="88"/>
      <c r="G59" s="88"/>
      <c r="H59" s="88"/>
      <c r="I59" s="88"/>
      <c r="J59" s="88"/>
      <c r="K59" s="88"/>
      <c r="L59" s="87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2:40">
      <c r="B60" s="77" t="s">
        <v>288</v>
      </c>
      <c r="C60" s="256">
        <f t="shared" ref="C60" si="80">C50/C$56</f>
        <v>0.60616207090602137</v>
      </c>
      <c r="D60" s="256">
        <f>D50/D$56</f>
        <v>0.56978650968645561</v>
      </c>
      <c r="E60" s="256">
        <f t="shared" ref="E60:AK65" si="81">E50/E$56</f>
        <v>0.53757833848662251</v>
      </c>
      <c r="F60" s="256">
        <f t="shared" si="81"/>
        <v>0.51765060790948891</v>
      </c>
      <c r="G60" s="256">
        <f t="shared" si="81"/>
        <v>0.49314399428044914</v>
      </c>
      <c r="H60" s="256">
        <f t="shared" si="81"/>
        <v>0.49674368605150732</v>
      </c>
      <c r="I60" s="256">
        <f t="shared" si="81"/>
        <v>0.48754982443332395</v>
      </c>
      <c r="J60" s="256">
        <f t="shared" si="81"/>
        <v>0.46225493378963167</v>
      </c>
      <c r="K60" s="256"/>
      <c r="L60" s="87"/>
      <c r="M60" s="256">
        <f t="shared" si="81"/>
        <v>0.53097254558146423</v>
      </c>
      <c r="N60" s="256">
        <f t="shared" si="81"/>
        <v>0.56774461125276066</v>
      </c>
      <c r="O60" s="256">
        <f t="shared" si="81"/>
        <v>0.53571744766266927</v>
      </c>
      <c r="P60" s="256">
        <f t="shared" si="81"/>
        <v>0.51629231802256714</v>
      </c>
      <c r="Q60" s="256">
        <f t="shared" si="81"/>
        <v>0.51189923755280575</v>
      </c>
      <c r="R60" s="256">
        <f t="shared" si="81"/>
        <v>0.53890271361593611</v>
      </c>
      <c r="S60" s="256">
        <f t="shared" si="81"/>
        <v>0.50698129241133072</v>
      </c>
      <c r="T60" s="256">
        <f t="shared" si="81"/>
        <v>0.51079400959504662</v>
      </c>
      <c r="U60" s="256">
        <f t="shared" si="81"/>
        <v>0.49390999561870186</v>
      </c>
      <c r="V60" s="256">
        <f t="shared" si="81"/>
        <v>0.51053064275037374</v>
      </c>
      <c r="W60" s="256">
        <f t="shared" si="81"/>
        <v>0.48980228714558482</v>
      </c>
      <c r="X60" s="256">
        <f t="shared" si="81"/>
        <v>0.47952925407688712</v>
      </c>
      <c r="Y60" s="256">
        <f t="shared" si="81"/>
        <v>0.48156456313077267</v>
      </c>
      <c r="Z60" s="256">
        <f t="shared" si="81"/>
        <v>0.52835922495320065</v>
      </c>
      <c r="AA60" s="256">
        <f t="shared" si="81"/>
        <v>0.48169948889373349</v>
      </c>
      <c r="AB60" s="256">
        <f t="shared" si="81"/>
        <v>0.49122606402963959</v>
      </c>
      <c r="AC60" s="256">
        <f t="shared" si="81"/>
        <v>0.47380301404735259</v>
      </c>
      <c r="AD60" s="256">
        <f t="shared" si="81"/>
        <v>0.49781226299515779</v>
      </c>
      <c r="AE60" s="256">
        <f t="shared" si="81"/>
        <v>0.47068402032359524</v>
      </c>
      <c r="AF60" s="256">
        <f t="shared" si="81"/>
        <v>0.50189056618999039</v>
      </c>
      <c r="AG60" s="256">
        <f t="shared" si="81"/>
        <v>0.47925482094578886</v>
      </c>
      <c r="AH60" s="256">
        <f t="shared" si="81"/>
        <v>0.50182807155273934</v>
      </c>
      <c r="AI60" s="256">
        <f t="shared" si="81"/>
        <v>0.42997201221163717</v>
      </c>
      <c r="AJ60" s="256">
        <f t="shared" si="81"/>
        <v>0.43506659399802433</v>
      </c>
      <c r="AK60" s="256">
        <f t="shared" si="81"/>
        <v>0.41866807731537503</v>
      </c>
      <c r="AL60" s="256"/>
    </row>
    <row r="61" spans="2:40">
      <c r="B61" s="77" t="s">
        <v>289</v>
      </c>
      <c r="C61" s="256">
        <f t="shared" ref="C61" si="82">C51/C$56</f>
        <v>0.2944677719579239</v>
      </c>
      <c r="D61" s="256">
        <f t="shared" ref="D61:S65" si="83">D51/D$56</f>
        <v>0.31553958480675626</v>
      </c>
      <c r="E61" s="256">
        <f t="shared" si="83"/>
        <v>0.33648609148272596</v>
      </c>
      <c r="F61" s="256">
        <f t="shared" si="83"/>
        <v>0.33949693536460157</v>
      </c>
      <c r="G61" s="256">
        <f t="shared" si="83"/>
        <v>0.33368857504425387</v>
      </c>
      <c r="H61" s="256">
        <f t="shared" si="83"/>
        <v>0.30647796272018379</v>
      </c>
      <c r="I61" s="256">
        <f t="shared" si="83"/>
        <v>0.31327152903084954</v>
      </c>
      <c r="J61" s="256">
        <f t="shared" si="83"/>
        <v>0.31981956862999728</v>
      </c>
      <c r="K61" s="256"/>
      <c r="L61" s="87"/>
      <c r="M61" s="256">
        <f t="shared" si="83"/>
        <v>0.35882569683273052</v>
      </c>
      <c r="N61" s="256">
        <f t="shared" si="83"/>
        <v>0.31851892787958552</v>
      </c>
      <c r="O61" s="256">
        <f t="shared" si="83"/>
        <v>0.33332210005249618</v>
      </c>
      <c r="P61" s="256">
        <f t="shared" si="83"/>
        <v>0.34048655722476068</v>
      </c>
      <c r="Q61" s="256">
        <f t="shared" si="83"/>
        <v>0.35080924279067394</v>
      </c>
      <c r="R61" s="256">
        <f t="shared" si="83"/>
        <v>0.32669806324629741</v>
      </c>
      <c r="S61" s="256">
        <f t="shared" si="83"/>
        <v>0.34350456327782408</v>
      </c>
      <c r="T61" s="256">
        <f t="shared" si="81"/>
        <v>0.33976320882462641</v>
      </c>
      <c r="U61" s="256">
        <f t="shared" si="81"/>
        <v>0.35904946694206252</v>
      </c>
      <c r="V61" s="256">
        <f t="shared" si="81"/>
        <v>0.33408819133034379</v>
      </c>
      <c r="W61" s="256">
        <f t="shared" si="81"/>
        <v>0.31922721580060359</v>
      </c>
      <c r="X61" s="256">
        <f t="shared" si="81"/>
        <v>0.32467523676069399</v>
      </c>
      <c r="Y61" s="256">
        <f t="shared" si="81"/>
        <v>0.32337131003144604</v>
      </c>
      <c r="Z61" s="256">
        <f t="shared" si="81"/>
        <v>0.28383189027926831</v>
      </c>
      <c r="AA61" s="256">
        <f t="shared" si="81"/>
        <v>0.30677680078159697</v>
      </c>
      <c r="AB61" s="256">
        <f t="shared" si="81"/>
        <v>0.31413010451618384</v>
      </c>
      <c r="AC61" s="256">
        <f t="shared" si="81"/>
        <v>0.32799972312910258</v>
      </c>
      <c r="AD61" s="256">
        <f t="shared" si="81"/>
        <v>0.30490018771641436</v>
      </c>
      <c r="AE61" s="256">
        <f t="shared" si="81"/>
        <v>0.31511941840414459</v>
      </c>
      <c r="AF61" s="256">
        <f t="shared" si="81"/>
        <v>0.30787697486353915</v>
      </c>
      <c r="AG61" s="256">
        <f t="shared" si="81"/>
        <v>0.32553922187311096</v>
      </c>
      <c r="AH61" s="256">
        <f t="shared" si="81"/>
        <v>0.29000168227443501</v>
      </c>
      <c r="AI61" s="256">
        <f t="shared" si="81"/>
        <v>0.32603934340715379</v>
      </c>
      <c r="AJ61" s="256">
        <f t="shared" si="81"/>
        <v>0.3398394477183182</v>
      </c>
      <c r="AK61" s="256">
        <f t="shared" si="81"/>
        <v>0.35682654722611135</v>
      </c>
      <c r="AL61" s="256"/>
    </row>
    <row r="62" spans="2:40">
      <c r="B62" s="78" t="s">
        <v>290</v>
      </c>
      <c r="C62" s="204">
        <f t="shared" ref="C62" si="84">C52/C$56</f>
        <v>0.90062984286394532</v>
      </c>
      <c r="D62" s="204">
        <f t="shared" si="83"/>
        <v>0.88532609449321187</v>
      </c>
      <c r="E62" s="204">
        <f t="shared" si="81"/>
        <v>0.87406442996934841</v>
      </c>
      <c r="F62" s="204">
        <f t="shared" si="81"/>
        <v>0.85714754327409048</v>
      </c>
      <c r="G62" s="204">
        <f t="shared" si="81"/>
        <v>0.82683256932470306</v>
      </c>
      <c r="H62" s="204">
        <f t="shared" si="81"/>
        <v>0.80322164877169111</v>
      </c>
      <c r="I62" s="204">
        <f t="shared" si="81"/>
        <v>0.80082135346417349</v>
      </c>
      <c r="J62" s="204">
        <f t="shared" si="81"/>
        <v>0.78207450241962895</v>
      </c>
      <c r="K62" s="204"/>
      <c r="L62" s="87"/>
      <c r="M62" s="204">
        <f t="shared" si="81"/>
        <v>0.8897982424141947</v>
      </c>
      <c r="N62" s="204">
        <f t="shared" si="81"/>
        <v>0.88626353913234623</v>
      </c>
      <c r="O62" s="204">
        <f t="shared" si="81"/>
        <v>0.86903954771516556</v>
      </c>
      <c r="P62" s="204">
        <f t="shared" si="81"/>
        <v>0.85677887524732788</v>
      </c>
      <c r="Q62" s="204">
        <f t="shared" si="81"/>
        <v>0.86270848034347969</v>
      </c>
      <c r="R62" s="204">
        <f t="shared" si="81"/>
        <v>0.86560077686223347</v>
      </c>
      <c r="S62" s="204">
        <f t="shared" si="81"/>
        <v>0.85048585568915469</v>
      </c>
      <c r="T62" s="204">
        <f t="shared" si="81"/>
        <v>0.85055721841967302</v>
      </c>
      <c r="U62" s="204">
        <f t="shared" si="81"/>
        <v>0.85295946256076438</v>
      </c>
      <c r="V62" s="204">
        <f t="shared" si="81"/>
        <v>0.84461883408071747</v>
      </c>
      <c r="W62" s="204">
        <f t="shared" si="81"/>
        <v>0.80902950294618847</v>
      </c>
      <c r="X62" s="204">
        <f t="shared" si="81"/>
        <v>0.80420449083758117</v>
      </c>
      <c r="Y62" s="204">
        <f t="shared" si="81"/>
        <v>0.80493587316221871</v>
      </c>
      <c r="Z62" s="204">
        <f t="shared" si="81"/>
        <v>0.8121911152324689</v>
      </c>
      <c r="AA62" s="204">
        <f t="shared" si="81"/>
        <v>0.78847628967533046</v>
      </c>
      <c r="AB62" s="204">
        <f t="shared" si="81"/>
        <v>0.80535616854582348</v>
      </c>
      <c r="AC62" s="204">
        <f t="shared" si="81"/>
        <v>0.80180273717645523</v>
      </c>
      <c r="AD62" s="204">
        <f t="shared" si="81"/>
        <v>0.80271245071157216</v>
      </c>
      <c r="AE62" s="204">
        <f t="shared" si="81"/>
        <v>0.78580343872773983</v>
      </c>
      <c r="AF62" s="204">
        <f t="shared" si="81"/>
        <v>0.80976754105352955</v>
      </c>
      <c r="AG62" s="204">
        <f t="shared" si="81"/>
        <v>0.80479404281889988</v>
      </c>
      <c r="AH62" s="204">
        <f t="shared" si="81"/>
        <v>0.79182975382717435</v>
      </c>
      <c r="AI62" s="204">
        <f t="shared" si="81"/>
        <v>0.75601135561879096</v>
      </c>
      <c r="AJ62" s="204">
        <f t="shared" si="81"/>
        <v>0.77490604171634248</v>
      </c>
      <c r="AK62" s="204">
        <f t="shared" si="81"/>
        <v>0.77549462454148632</v>
      </c>
      <c r="AL62" s="204"/>
    </row>
    <row r="63" spans="2:40">
      <c r="B63" s="77" t="s">
        <v>291</v>
      </c>
      <c r="C63" s="256">
        <f t="shared" ref="C63" si="85">C53/C$56</f>
        <v>7.2576944721007744E-2</v>
      </c>
      <c r="D63" s="256">
        <f t="shared" si="83"/>
        <v>7.398316484308913E-2</v>
      </c>
      <c r="E63" s="256">
        <f t="shared" si="81"/>
        <v>7.1698654602696157E-2</v>
      </c>
      <c r="F63" s="256">
        <f t="shared" si="81"/>
        <v>7.5786840714115428E-2</v>
      </c>
      <c r="G63" s="256">
        <f t="shared" si="81"/>
        <v>7.8347523885624271E-2</v>
      </c>
      <c r="H63" s="256">
        <f t="shared" si="81"/>
        <v>7.8112813023780675E-2</v>
      </c>
      <c r="I63" s="256">
        <f t="shared" si="81"/>
        <v>7.7761065360509279E-2</v>
      </c>
      <c r="J63" s="256">
        <f t="shared" si="81"/>
        <v>8.1836549956649116E-2</v>
      </c>
      <c r="K63" s="256"/>
      <c r="L63" s="87"/>
      <c r="M63" s="256">
        <f t="shared" si="81"/>
        <v>6.5160571672928561E-2</v>
      </c>
      <c r="N63" s="256">
        <f t="shared" si="81"/>
        <v>6.9895982900280484E-2</v>
      </c>
      <c r="O63" s="256">
        <f t="shared" si="81"/>
        <v>7.1247482643002583E-2</v>
      </c>
      <c r="P63" s="256">
        <f t="shared" si="81"/>
        <v>7.7925854275637432E-2</v>
      </c>
      <c r="Q63" s="256">
        <f t="shared" si="81"/>
        <v>6.9495487928015812E-2</v>
      </c>
      <c r="R63" s="256">
        <f t="shared" si="81"/>
        <v>7.4802020658196577E-2</v>
      </c>
      <c r="S63" s="256">
        <f t="shared" si="81"/>
        <v>7.669933674871264E-2</v>
      </c>
      <c r="T63" s="256">
        <f t="shared" si="81"/>
        <v>8.0602338271348314E-2</v>
      </c>
      <c r="U63" s="256">
        <f t="shared" si="81"/>
        <v>7.3756024284909558E-2</v>
      </c>
      <c r="V63" s="256">
        <f t="shared" si="81"/>
        <v>7.7511210762331834E-2</v>
      </c>
      <c r="W63" s="256">
        <f t="shared" si="81"/>
        <v>7.7828648859506841E-2</v>
      </c>
      <c r="X63" s="256">
        <f t="shared" si="81"/>
        <v>8.3257177284512235E-2</v>
      </c>
      <c r="Y63" s="256">
        <f t="shared" si="81"/>
        <v>7.8458650949143061E-2</v>
      </c>
      <c r="Z63" s="256">
        <f t="shared" si="81"/>
        <v>7.8174979422153221E-2</v>
      </c>
      <c r="AA63" s="256">
        <f t="shared" si="81"/>
        <v>7.8841976923511692E-2</v>
      </c>
      <c r="AB63" s="256">
        <f t="shared" si="81"/>
        <v>7.7189726768100833E-2</v>
      </c>
      <c r="AC63" s="256">
        <f t="shared" si="81"/>
        <v>7.4174482501374747E-2</v>
      </c>
      <c r="AD63" s="256">
        <f t="shared" si="81"/>
        <v>8.0388610726946405E-2</v>
      </c>
      <c r="AE63" s="256">
        <f t="shared" si="81"/>
        <v>7.9739003867320565E-2</v>
      </c>
      <c r="AF63" s="256">
        <f t="shared" si="81"/>
        <v>7.675814009787138E-2</v>
      </c>
      <c r="AG63" s="256">
        <f t="shared" si="81"/>
        <v>7.4132628320523974E-2</v>
      </c>
      <c r="AH63" s="256">
        <f t="shared" si="81"/>
        <v>7.9927662199293439E-2</v>
      </c>
      <c r="AI63" s="256">
        <f t="shared" si="81"/>
        <v>8.5896094081769819E-2</v>
      </c>
      <c r="AJ63" s="256">
        <f t="shared" si="81"/>
        <v>8.6907154454928415E-2</v>
      </c>
      <c r="AK63" s="256">
        <f t="shared" si="81"/>
        <v>8.3995894758848763E-2</v>
      </c>
      <c r="AL63" s="256"/>
    </row>
    <row r="64" spans="2:40">
      <c r="B64" s="77" t="s">
        <v>292</v>
      </c>
      <c r="C64" s="256">
        <f t="shared" ref="C64" si="86">C54/C$56</f>
        <v>2.6793212415046969E-2</v>
      </c>
      <c r="D64" s="256">
        <f t="shared" si="83"/>
        <v>4.0690740663699022E-2</v>
      </c>
      <c r="E64" s="256">
        <f t="shared" si="81"/>
        <v>5.4236915427955411E-2</v>
      </c>
      <c r="F64" s="256">
        <f t="shared" si="81"/>
        <v>6.706561601179406E-2</v>
      </c>
      <c r="G64" s="256">
        <f t="shared" si="81"/>
        <v>9.4819906789672698E-2</v>
      </c>
      <c r="H64" s="256">
        <f t="shared" si="81"/>
        <v>0.11866553820452823</v>
      </c>
      <c r="I64" s="256">
        <f t="shared" si="81"/>
        <v>0.12141758117531729</v>
      </c>
      <c r="J64" s="256">
        <f t="shared" si="81"/>
        <v>0.13608894762372192</v>
      </c>
      <c r="K64" s="256"/>
      <c r="L64" s="87"/>
      <c r="M64" s="256">
        <f t="shared" si="81"/>
        <v>4.5041185912876744E-2</v>
      </c>
      <c r="N64" s="256">
        <f t="shared" si="81"/>
        <v>4.3840477967373337E-2</v>
      </c>
      <c r="O64" s="256">
        <f t="shared" si="81"/>
        <v>5.9712969641831787E-2</v>
      </c>
      <c r="P64" s="256">
        <f t="shared" si="81"/>
        <v>6.5295270477034692E-2</v>
      </c>
      <c r="Q64" s="256">
        <f t="shared" si="81"/>
        <v>6.7796031728504541E-2</v>
      </c>
      <c r="R64" s="256">
        <f t="shared" si="81"/>
        <v>5.9597202479569879E-2</v>
      </c>
      <c r="S64" s="256">
        <f t="shared" si="81"/>
        <v>7.2814807562132586E-2</v>
      </c>
      <c r="T64" s="256">
        <f t="shared" si="81"/>
        <v>6.8840443308978747E-2</v>
      </c>
      <c r="U64" s="256">
        <f t="shared" si="81"/>
        <v>7.3284513154326006E-2</v>
      </c>
      <c r="V64" s="256">
        <f t="shared" si="81"/>
        <v>7.7869955156950679E-2</v>
      </c>
      <c r="W64" s="256">
        <f t="shared" si="81"/>
        <v>0.11314184819430471</v>
      </c>
      <c r="X64" s="256">
        <f t="shared" si="81"/>
        <v>0.11253833187790663</v>
      </c>
      <c r="Y64" s="256">
        <f t="shared" si="81"/>
        <v>0.11660547588863827</v>
      </c>
      <c r="Z64" s="256">
        <f t="shared" si="81"/>
        <v>0.10963390534537788</v>
      </c>
      <c r="AA64" s="256">
        <f t="shared" si="81"/>
        <v>0.13268173340115785</v>
      </c>
      <c r="AB64" s="256">
        <f t="shared" si="81"/>
        <v>0.11745410468607573</v>
      </c>
      <c r="AC64" s="256">
        <f t="shared" si="81"/>
        <v>0.12402278032217005</v>
      </c>
      <c r="AD64" s="256">
        <f t="shared" si="81"/>
        <v>0.11689893856148141</v>
      </c>
      <c r="AE64" s="256">
        <f t="shared" si="81"/>
        <v>0.13445755740493956</v>
      </c>
      <c r="AF64" s="256">
        <f t="shared" si="81"/>
        <v>0.11347431884859908</v>
      </c>
      <c r="AG64" s="256">
        <f t="shared" si="81"/>
        <v>0.12107332886057619</v>
      </c>
      <c r="AH64" s="256">
        <f t="shared" si="81"/>
        <v>0.12824258397353222</v>
      </c>
      <c r="AI64" s="256">
        <f t="shared" si="81"/>
        <v>0.15809255029943925</v>
      </c>
      <c r="AJ64" s="256">
        <f t="shared" si="81"/>
        <v>0.13818680382872908</v>
      </c>
      <c r="AK64" s="256">
        <f t="shared" si="81"/>
        <v>0.14050948069966487</v>
      </c>
      <c r="AL64" s="256"/>
    </row>
    <row r="65" spans="2:40">
      <c r="B65" s="78" t="s">
        <v>293</v>
      </c>
      <c r="C65" s="204">
        <f t="shared" ref="C65" si="87">C55/C$56</f>
        <v>9.937015713605471E-2</v>
      </c>
      <c r="D65" s="204">
        <f t="shared" si="83"/>
        <v>0.11467390550678815</v>
      </c>
      <c r="E65" s="204">
        <f t="shared" si="81"/>
        <v>0.12593557003065156</v>
      </c>
      <c r="F65" s="204">
        <f t="shared" si="81"/>
        <v>0.14285245672590949</v>
      </c>
      <c r="G65" s="204">
        <f t="shared" si="81"/>
        <v>0.17316743067529697</v>
      </c>
      <c r="H65" s="204">
        <f t="shared" si="81"/>
        <v>0.19677835122830892</v>
      </c>
      <c r="I65" s="204">
        <f t="shared" si="81"/>
        <v>0.19917864653582656</v>
      </c>
      <c r="J65" s="204">
        <f t="shared" si="81"/>
        <v>0.21792549758037102</v>
      </c>
      <c r="K65" s="204"/>
      <c r="L65" s="87"/>
      <c r="M65" s="204">
        <f t="shared" si="81"/>
        <v>0.1102017575858053</v>
      </c>
      <c r="N65" s="204">
        <f t="shared" si="81"/>
        <v>0.11373646086765382</v>
      </c>
      <c r="O65" s="204">
        <f t="shared" si="81"/>
        <v>0.13096045228483438</v>
      </c>
      <c r="P65" s="204">
        <f t="shared" si="81"/>
        <v>0.14322112475267212</v>
      </c>
      <c r="Q65" s="204">
        <f t="shared" si="81"/>
        <v>0.13729151965652034</v>
      </c>
      <c r="R65" s="204">
        <f t="shared" si="81"/>
        <v>0.13439922313776645</v>
      </c>
      <c r="S65" s="204">
        <f t="shared" si="81"/>
        <v>0.14951414431084523</v>
      </c>
      <c r="T65" s="204">
        <f t="shared" si="81"/>
        <v>0.14944278158032706</v>
      </c>
      <c r="U65" s="204">
        <f t="shared" si="81"/>
        <v>0.14704053743923556</v>
      </c>
      <c r="V65" s="204">
        <f t="shared" si="81"/>
        <v>0.1553811659192825</v>
      </c>
      <c r="W65" s="204">
        <f t="shared" si="81"/>
        <v>0.19097049705381156</v>
      </c>
      <c r="X65" s="204">
        <f t="shared" si="81"/>
        <v>0.19579550916241886</v>
      </c>
      <c r="Y65" s="204">
        <f t="shared" si="81"/>
        <v>0.19506412683778132</v>
      </c>
      <c r="Z65" s="204">
        <f t="shared" si="81"/>
        <v>0.1878088847675311</v>
      </c>
      <c r="AA65" s="204">
        <f t="shared" si="81"/>
        <v>0.21152371032466954</v>
      </c>
      <c r="AB65" s="204">
        <f t="shared" si="81"/>
        <v>0.19464383145417657</v>
      </c>
      <c r="AC65" s="204">
        <f t="shared" si="81"/>
        <v>0.1981972628235448</v>
      </c>
      <c r="AD65" s="204">
        <f t="shared" si="81"/>
        <v>0.19728754928842782</v>
      </c>
      <c r="AE65" s="204">
        <f t="shared" si="81"/>
        <v>0.21419656127226014</v>
      </c>
      <c r="AF65" s="204">
        <f t="shared" si="81"/>
        <v>0.19023245894647045</v>
      </c>
      <c r="AG65" s="204">
        <f t="shared" si="81"/>
        <v>0.19520595718110018</v>
      </c>
      <c r="AH65" s="204">
        <f t="shared" si="81"/>
        <v>0.20817024617282567</v>
      </c>
      <c r="AI65" s="204">
        <f t="shared" si="81"/>
        <v>0.24398864438120907</v>
      </c>
      <c r="AJ65" s="204">
        <f t="shared" si="81"/>
        <v>0.2250939582836575</v>
      </c>
      <c r="AK65" s="204">
        <f t="shared" si="81"/>
        <v>0.22450537545851362</v>
      </c>
      <c r="AL65" s="204"/>
    </row>
    <row r="66" spans="2:40">
      <c r="B66" s="78" t="s">
        <v>294</v>
      </c>
      <c r="C66" s="204">
        <f t="shared" ref="C66" si="88">SUM(C62,C65)</f>
        <v>1</v>
      </c>
      <c r="D66" s="204">
        <f>SUM(D62,D65)</f>
        <v>1</v>
      </c>
      <c r="E66" s="204">
        <f t="shared" ref="E66:AK66" si="89">SUM(E62,E65)</f>
        <v>1</v>
      </c>
      <c r="F66" s="204">
        <f t="shared" si="89"/>
        <v>1</v>
      </c>
      <c r="G66" s="204">
        <f t="shared" si="89"/>
        <v>1</v>
      </c>
      <c r="H66" s="204">
        <f t="shared" si="89"/>
        <v>1</v>
      </c>
      <c r="I66" s="204">
        <f t="shared" si="89"/>
        <v>1</v>
      </c>
      <c r="J66" s="204">
        <f t="shared" si="89"/>
        <v>1</v>
      </c>
      <c r="K66" s="204"/>
      <c r="L66" s="87"/>
      <c r="M66" s="204">
        <f t="shared" si="89"/>
        <v>1</v>
      </c>
      <c r="N66" s="204">
        <f t="shared" si="89"/>
        <v>1</v>
      </c>
      <c r="O66" s="204">
        <f t="shared" si="89"/>
        <v>1</v>
      </c>
      <c r="P66" s="204">
        <f t="shared" si="89"/>
        <v>1</v>
      </c>
      <c r="Q66" s="204">
        <f t="shared" si="89"/>
        <v>1</v>
      </c>
      <c r="R66" s="204">
        <f t="shared" si="89"/>
        <v>0.99999999999999989</v>
      </c>
      <c r="S66" s="204">
        <f t="shared" si="89"/>
        <v>0.99999999999999989</v>
      </c>
      <c r="T66" s="204">
        <f t="shared" si="89"/>
        <v>1</v>
      </c>
      <c r="U66" s="204">
        <f t="shared" si="89"/>
        <v>1</v>
      </c>
      <c r="V66" s="204">
        <f t="shared" si="89"/>
        <v>1</v>
      </c>
      <c r="W66" s="204">
        <f t="shared" si="89"/>
        <v>1</v>
      </c>
      <c r="X66" s="204">
        <f t="shared" si="89"/>
        <v>1</v>
      </c>
      <c r="Y66" s="204">
        <f t="shared" si="89"/>
        <v>1</v>
      </c>
      <c r="Z66" s="204">
        <f t="shared" si="89"/>
        <v>1</v>
      </c>
      <c r="AA66" s="204">
        <f t="shared" si="89"/>
        <v>1</v>
      </c>
      <c r="AB66" s="204">
        <f t="shared" si="89"/>
        <v>1</v>
      </c>
      <c r="AC66" s="204">
        <f t="shared" si="89"/>
        <v>1</v>
      </c>
      <c r="AD66" s="204">
        <f t="shared" si="89"/>
        <v>1</v>
      </c>
      <c r="AE66" s="204">
        <f t="shared" si="89"/>
        <v>1</v>
      </c>
      <c r="AF66" s="204">
        <f t="shared" si="89"/>
        <v>1</v>
      </c>
      <c r="AG66" s="204">
        <f t="shared" si="89"/>
        <v>1</v>
      </c>
      <c r="AH66" s="204">
        <f t="shared" si="89"/>
        <v>1</v>
      </c>
      <c r="AI66" s="204">
        <f t="shared" si="89"/>
        <v>1</v>
      </c>
      <c r="AJ66" s="204">
        <f t="shared" si="89"/>
        <v>1</v>
      </c>
      <c r="AK66" s="204">
        <f t="shared" si="89"/>
        <v>1</v>
      </c>
      <c r="AL66" s="204"/>
    </row>
    <row r="67" spans="2:40">
      <c r="B67" s="11"/>
      <c r="C67" s="88"/>
      <c r="D67" s="88"/>
      <c r="E67" s="88"/>
      <c r="F67" s="88"/>
      <c r="G67" s="88"/>
      <c r="H67" s="88"/>
      <c r="I67" s="88"/>
      <c r="J67" s="88"/>
      <c r="K67" s="88"/>
      <c r="L67" s="87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2:40">
      <c r="B68" s="255" t="s">
        <v>296</v>
      </c>
      <c r="C68" s="88"/>
      <c r="D68" s="88"/>
      <c r="E68" s="88"/>
      <c r="F68" s="88"/>
      <c r="G68" s="88"/>
      <c r="H68" s="88"/>
      <c r="I68" s="88"/>
      <c r="J68" s="88"/>
      <c r="K68" s="88"/>
      <c r="L68" s="87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2:40">
      <c r="B69" s="77" t="s">
        <v>288</v>
      </c>
      <c r="C69" s="259"/>
      <c r="D69" s="256">
        <f>D50/C50-1</f>
        <v>0.17369197204874687</v>
      </c>
      <c r="E69" s="256">
        <f t="shared" ref="E69:J69" si="90">E50/D50-1</f>
        <v>0.21972418870530541</v>
      </c>
      <c r="F69" s="256">
        <f t="shared" si="90"/>
        <v>0.22863328486233159</v>
      </c>
      <c r="G69" s="256">
        <f t="shared" si="90"/>
        <v>4.7407856433277162E-2</v>
      </c>
      <c r="H69" s="256">
        <f t="shared" si="90"/>
        <v>4.4295419085367715E-2</v>
      </c>
      <c r="I69" s="256">
        <f t="shared" si="90"/>
        <v>4.8595116175048636E-2</v>
      </c>
      <c r="J69" s="256">
        <f t="shared" si="90"/>
        <v>7.1062440927321502E-2</v>
      </c>
      <c r="K69" s="259"/>
      <c r="L69" s="87"/>
      <c r="M69" s="259"/>
      <c r="N69" s="259"/>
      <c r="O69" s="259"/>
      <c r="P69" s="259"/>
      <c r="Q69" s="256">
        <f>Q50/M50-1</f>
        <v>0.33974559528781745</v>
      </c>
      <c r="R69" s="256">
        <f t="shared" ref="R69:AL75" si="91">R50/N50-1</f>
        <v>0.19822100481729943</v>
      </c>
      <c r="S69" s="256">
        <f t="shared" si="91"/>
        <v>0.1880571000914093</v>
      </c>
      <c r="T69" s="256">
        <f t="shared" si="91"/>
        <v>0.21682771600042483</v>
      </c>
      <c r="U69" s="256">
        <f t="shared" si="91"/>
        <v>0.13809118547953791</v>
      </c>
      <c r="V69" s="256">
        <f t="shared" si="91"/>
        <v>-1.1388295366181467E-3</v>
      </c>
      <c r="W69" s="256">
        <f t="shared" si="91"/>
        <v>7.5783502258808033E-2</v>
      </c>
      <c r="X69" s="256">
        <f t="shared" si="91"/>
        <v>5.274021946073848E-3</v>
      </c>
      <c r="Y69" s="256">
        <f t="shared" si="91"/>
        <v>-1.1565625844822902E-2</v>
      </c>
      <c r="Z69" s="256">
        <f t="shared" si="91"/>
        <v>0.11355019104363984</v>
      </c>
      <c r="AA69" s="256">
        <f t="shared" si="91"/>
        <v>2.6826732839269063E-4</v>
      </c>
      <c r="AB69" s="256">
        <f t="shared" si="91"/>
        <v>6.1252867478383655E-2</v>
      </c>
      <c r="AC69" s="256">
        <f t="shared" si="91"/>
        <v>5.3103017974512667E-2</v>
      </c>
      <c r="AD69" s="256">
        <f t="shared" si="91"/>
        <v>-4.6473105415727245E-2</v>
      </c>
      <c r="AE69" s="256">
        <f t="shared" si="91"/>
        <v>2.7188306681417362E-2</v>
      </c>
      <c r="AF69" s="256">
        <f t="shared" si="91"/>
        <v>0.15826754371379348</v>
      </c>
      <c r="AG69" s="256">
        <f t="shared" si="91"/>
        <v>0.1711115800409051</v>
      </c>
      <c r="AH69" s="256">
        <f t="shared" si="91"/>
        <v>0.23383955715181881</v>
      </c>
      <c r="AI69" s="256">
        <f t="shared" si="91"/>
        <v>4.9175913838120033E-2</v>
      </c>
      <c r="AJ69" s="256">
        <f t="shared" si="91"/>
        <v>-0.11990881371698947</v>
      </c>
      <c r="AK69" s="256">
        <f t="shared" si="91"/>
        <v>-8.4022315395543834E-2</v>
      </c>
      <c r="AL69" s="256"/>
    </row>
    <row r="70" spans="2:40">
      <c r="B70" s="77" t="s">
        <v>289</v>
      </c>
      <c r="C70" s="259"/>
      <c r="D70" s="256">
        <f t="shared" ref="D70:J75" si="92">D51/C51-1</f>
        <v>0.33797133406835722</v>
      </c>
      <c r="E70" s="256">
        <f t="shared" si="92"/>
        <v>0.37862232257143025</v>
      </c>
      <c r="F70" s="256">
        <f t="shared" si="92"/>
        <v>0.28734825783416751</v>
      </c>
      <c r="G70" s="256">
        <f t="shared" si="92"/>
        <v>8.0648079929519501E-2</v>
      </c>
      <c r="H70" s="256">
        <f t="shared" si="92"/>
        <v>-4.7812051547189038E-2</v>
      </c>
      <c r="I70" s="256">
        <f t="shared" si="92"/>
        <v>9.205083853500784E-2</v>
      </c>
      <c r="J70" s="256">
        <f t="shared" si="92"/>
        <v>0.15328420907650986</v>
      </c>
      <c r="K70" s="259"/>
      <c r="L70" s="87"/>
      <c r="M70" s="259"/>
      <c r="N70" s="259"/>
      <c r="O70" s="259"/>
      <c r="P70" s="259"/>
      <c r="Q70" s="256">
        <f t="shared" ref="Q70:Q75" si="93">Q51/M51-1</f>
        <v>0.35861814831734207</v>
      </c>
      <c r="R70" s="256">
        <f t="shared" si="91"/>
        <v>0.29476482827643791</v>
      </c>
      <c r="S70" s="256">
        <f t="shared" si="91"/>
        <v>0.29374764538738907</v>
      </c>
      <c r="T70" s="256">
        <f t="shared" si="91"/>
        <v>0.22731301704774798</v>
      </c>
      <c r="U70" s="256">
        <f t="shared" si="91"/>
        <v>0.20724936633017332</v>
      </c>
      <c r="V70" s="256">
        <f t="shared" si="91"/>
        <v>7.8222158050276436E-2</v>
      </c>
      <c r="W70" s="256">
        <f t="shared" si="91"/>
        <v>3.4816642398752373E-2</v>
      </c>
      <c r="X70" s="256">
        <f t="shared" si="91"/>
        <v>2.3264634695624453E-2</v>
      </c>
      <c r="Y70" s="256">
        <f t="shared" si="91"/>
        <v>-8.6963090368166629E-2</v>
      </c>
      <c r="Z70" s="256">
        <f t="shared" si="91"/>
        <v>-8.5881747611910253E-2</v>
      </c>
      <c r="AA70" s="256">
        <f t="shared" si="91"/>
        <v>-2.2574379686917112E-2</v>
      </c>
      <c r="AB70" s="256">
        <f t="shared" si="91"/>
        <v>2.3351820190984363E-3</v>
      </c>
      <c r="AC70" s="256">
        <f t="shared" si="91"/>
        <v>8.5674282441290606E-2</v>
      </c>
      <c r="AD70" s="256">
        <f t="shared" si="91"/>
        <v>8.7159218834124585E-2</v>
      </c>
      <c r="AE70" s="256">
        <f t="shared" si="91"/>
        <v>7.9815233984313227E-2</v>
      </c>
      <c r="AF70" s="256">
        <f t="shared" si="91"/>
        <v>0.11108915422057652</v>
      </c>
      <c r="AG70" s="256">
        <f t="shared" si="91"/>
        <v>0.1491042956293378</v>
      </c>
      <c r="AH70" s="256">
        <f t="shared" si="91"/>
        <v>0.1641586097448422</v>
      </c>
      <c r="AI70" s="256">
        <f t="shared" si="91"/>
        <v>0.18831730710638239</v>
      </c>
      <c r="AJ70" s="256">
        <f t="shared" si="91"/>
        <v>0.12066948113340015</v>
      </c>
      <c r="AK70" s="256">
        <f t="shared" si="91"/>
        <v>0.1493052012977738</v>
      </c>
      <c r="AL70" s="256"/>
    </row>
    <row r="71" spans="2:40">
      <c r="B71" s="78" t="s">
        <v>290</v>
      </c>
      <c r="C71" s="259"/>
      <c r="D71" s="204">
        <f t="shared" si="92"/>
        <v>0.22740435799273739</v>
      </c>
      <c r="E71" s="204">
        <f t="shared" si="92"/>
        <v>0.27635716439477309</v>
      </c>
      <c r="F71" s="204">
        <f t="shared" si="92"/>
        <v>0.25123662059983531</v>
      </c>
      <c r="G71" s="204">
        <f t="shared" si="92"/>
        <v>6.0573564130114388E-2</v>
      </c>
      <c r="H71" s="204">
        <f t="shared" si="92"/>
        <v>7.1231888581395619E-3</v>
      </c>
      <c r="I71" s="204">
        <f t="shared" si="92"/>
        <v>6.5176120033424212E-2</v>
      </c>
      <c r="J71" s="204">
        <f t="shared" si="92"/>
        <v>0.10322659204079287</v>
      </c>
      <c r="K71" s="259"/>
      <c r="L71" s="87"/>
      <c r="M71" s="259"/>
      <c r="N71" s="259"/>
      <c r="O71" s="259"/>
      <c r="P71" s="259"/>
      <c r="Q71" s="204">
        <f t="shared" si="93"/>
        <v>0.34735626101970118</v>
      </c>
      <c r="R71" s="204">
        <f t="shared" si="91"/>
        <v>0.23291839874564046</v>
      </c>
      <c r="S71" s="204">
        <f t="shared" si="91"/>
        <v>0.22859494972825445</v>
      </c>
      <c r="T71" s="204">
        <f t="shared" si="91"/>
        <v>0.22099460684963912</v>
      </c>
      <c r="U71" s="204">
        <f t="shared" si="91"/>
        <v>0.16621346503257128</v>
      </c>
      <c r="V71" s="204">
        <f t="shared" si="91"/>
        <v>2.8813871102048694E-2</v>
      </c>
      <c r="W71" s="204">
        <f t="shared" si="91"/>
        <v>5.9237309031773933E-2</v>
      </c>
      <c r="X71" s="204">
        <f t="shared" si="91"/>
        <v>1.2460544127221862E-2</v>
      </c>
      <c r="Y71" s="204">
        <f t="shared" si="91"/>
        <v>-4.3303850970569768E-2</v>
      </c>
      <c r="Z71" s="204">
        <f t="shared" si="91"/>
        <v>3.4665073887266695E-2</v>
      </c>
      <c r="AA71" s="204">
        <f t="shared" si="91"/>
        <v>-8.7449943408771658E-3</v>
      </c>
      <c r="AB71" s="204">
        <f t="shared" si="91"/>
        <v>3.7466487653567526E-2</v>
      </c>
      <c r="AC71" s="204">
        <f t="shared" si="91"/>
        <v>6.618805097052638E-2</v>
      </c>
      <c r="AD71" s="204">
        <f t="shared" si="91"/>
        <v>2.2663616343465698E-4</v>
      </c>
      <c r="AE71" s="204">
        <f t="shared" si="91"/>
        <v>4.7664154343997067E-2</v>
      </c>
      <c r="AF71" s="204">
        <f t="shared" si="91"/>
        <v>0.1398655583547328</v>
      </c>
      <c r="AG71" s="204">
        <f t="shared" si="91"/>
        <v>0.16210888790837763</v>
      </c>
      <c r="AH71" s="204">
        <f t="shared" si="91"/>
        <v>0.20737212921319492</v>
      </c>
      <c r="AI71" s="204">
        <f t="shared" si="91"/>
        <v>0.10497377976961375</v>
      </c>
      <c r="AJ71" s="204">
        <f t="shared" si="91"/>
        <v>-2.8439949035155787E-2</v>
      </c>
      <c r="AK71" s="204">
        <f t="shared" si="91"/>
        <v>1.0358674254773881E-2</v>
      </c>
      <c r="AL71" s="204"/>
    </row>
    <row r="72" spans="2:40">
      <c r="B72" s="77" t="s">
        <v>291</v>
      </c>
      <c r="C72" s="259"/>
      <c r="D72" s="256">
        <f t="shared" si="92"/>
        <v>0.27281402839079094</v>
      </c>
      <c r="E72" s="256">
        <f t="shared" si="92"/>
        <v>0.25288191190253051</v>
      </c>
      <c r="F72" s="256">
        <f t="shared" si="92"/>
        <v>0.34868369083462691</v>
      </c>
      <c r="G72" s="256">
        <f t="shared" si="92"/>
        <v>0.13660687668930227</v>
      </c>
      <c r="H72" s="256">
        <f t="shared" si="92"/>
        <v>3.3622056850067139E-2</v>
      </c>
      <c r="I72" s="256">
        <f t="shared" si="92"/>
        <v>6.3557821684016691E-2</v>
      </c>
      <c r="J72" s="256">
        <f t="shared" si="92"/>
        <v>0.18887816137874403</v>
      </c>
      <c r="K72" s="259"/>
      <c r="L72" s="87"/>
      <c r="M72" s="259"/>
      <c r="N72" s="259"/>
      <c r="O72" s="259"/>
      <c r="P72" s="259"/>
      <c r="Q72" s="256">
        <f t="shared" si="93"/>
        <v>0.48211411683757888</v>
      </c>
      <c r="R72" s="256">
        <f t="shared" si="91"/>
        <v>0.35095440639852171</v>
      </c>
      <c r="S72" s="256">
        <f t="shared" si="91"/>
        <v>0.35146018374292298</v>
      </c>
      <c r="T72" s="256">
        <f t="shared" si="91"/>
        <v>0.27216964823237566</v>
      </c>
      <c r="U72" s="256">
        <f t="shared" si="91"/>
        <v>0.25185669767766994</v>
      </c>
      <c r="V72" s="256">
        <f t="shared" si="91"/>
        <v>9.2558947721723239E-2</v>
      </c>
      <c r="W72" s="256">
        <f t="shared" si="91"/>
        <v>0.12991009244469653</v>
      </c>
      <c r="X72" s="256">
        <f t="shared" si="91"/>
        <v>0.10608675069232709</v>
      </c>
      <c r="Y72" s="256">
        <f t="shared" si="91"/>
        <v>7.8411405295315761E-2</v>
      </c>
      <c r="Z72" s="256">
        <f t="shared" si="91"/>
        <v>8.5189470639282616E-2</v>
      </c>
      <c r="AA72" s="256">
        <f t="shared" si="91"/>
        <v>3.0336604410678536E-2</v>
      </c>
      <c r="AB72" s="256">
        <f t="shared" si="91"/>
        <v>-3.9515407756728238E-2</v>
      </c>
      <c r="AC72" s="256">
        <f t="shared" si="91"/>
        <v>1.1908509075647888E-2</v>
      </c>
      <c r="AD72" s="256">
        <f t="shared" si="91"/>
        <v>4.0694833177840062E-2</v>
      </c>
      <c r="AE72" s="256">
        <f t="shared" si="91"/>
        <v>6.3188079266731423E-2</v>
      </c>
      <c r="AF72" s="256">
        <f t="shared" si="91"/>
        <v>0.1273173622280539</v>
      </c>
      <c r="AG72" s="256">
        <f t="shared" si="91"/>
        <v>0.15713619161179948</v>
      </c>
      <c r="AH72" s="256">
        <f t="shared" si="91"/>
        <v>0.21694770544290298</v>
      </c>
      <c r="AI72" s="256">
        <f t="shared" si="91"/>
        <v>0.23720078986658955</v>
      </c>
      <c r="AJ72" s="256">
        <f t="shared" si="91"/>
        <v>0.14950814748066388</v>
      </c>
      <c r="AK72" s="256">
        <f t="shared" si="91"/>
        <v>0.18803763440860211</v>
      </c>
      <c r="AL72" s="256"/>
    </row>
    <row r="73" spans="2:40">
      <c r="B73" s="77" t="s">
        <v>292</v>
      </c>
      <c r="C73" s="259"/>
      <c r="D73" s="256">
        <f t="shared" si="92"/>
        <v>0.89627595120769055</v>
      </c>
      <c r="E73" s="256">
        <f t="shared" si="92"/>
        <v>0.72318309619153109</v>
      </c>
      <c r="F73" s="256">
        <f t="shared" si="92"/>
        <v>0.57772840543881343</v>
      </c>
      <c r="G73" s="256">
        <f t="shared" si="92"/>
        <v>0.55445592679334288</v>
      </c>
      <c r="H73" s="256">
        <f t="shared" si="92"/>
        <v>0.29744768356114681</v>
      </c>
      <c r="I73" s="256">
        <f t="shared" si="92"/>
        <v>9.3145938218658797E-2</v>
      </c>
      <c r="J73" s="256">
        <f t="shared" si="92"/>
        <v>0.26617436976283049</v>
      </c>
      <c r="K73" s="259"/>
      <c r="L73" s="87"/>
      <c r="M73" s="259"/>
      <c r="N73" s="259"/>
      <c r="O73" s="259"/>
      <c r="P73" s="259"/>
      <c r="Q73" s="256">
        <f t="shared" si="93"/>
        <v>1.0917239967588199</v>
      </c>
      <c r="R73" s="256">
        <f t="shared" si="91"/>
        <v>0.71605092902379375</v>
      </c>
      <c r="S73" s="256">
        <f t="shared" si="91"/>
        <v>0.53084847892354259</v>
      </c>
      <c r="T73" s="256">
        <f t="shared" si="91"/>
        <v>0.29670413020585329</v>
      </c>
      <c r="U73" s="256">
        <f t="shared" si="91"/>
        <v>0.27503368897018543</v>
      </c>
      <c r="V73" s="256">
        <f t="shared" si="91"/>
        <v>0.37764632318903102</v>
      </c>
      <c r="W73" s="256">
        <f t="shared" si="91"/>
        <v>0.73021298875424345</v>
      </c>
      <c r="X73" s="256">
        <f t="shared" si="91"/>
        <v>0.75053969577390189</v>
      </c>
      <c r="Y73" s="256">
        <f t="shared" si="91"/>
        <v>0.61305016227296028</v>
      </c>
      <c r="Z73" s="256">
        <f t="shared" si="91"/>
        <v>0.51487666762645157</v>
      </c>
      <c r="AA73" s="256">
        <f t="shared" si="91"/>
        <v>0.19274878420555996</v>
      </c>
      <c r="AB73" s="256">
        <f t="shared" si="91"/>
        <v>8.1235525880477555E-2</v>
      </c>
      <c r="AC73" s="256">
        <f t="shared" si="91"/>
        <v>0.13843981644899395</v>
      </c>
      <c r="AD73" s="256">
        <f t="shared" si="91"/>
        <v>7.9101593436183393E-2</v>
      </c>
      <c r="AE73" s="256">
        <f t="shared" si="91"/>
        <v>6.5297428875703556E-2</v>
      </c>
      <c r="AF73" s="256">
        <f t="shared" si="91"/>
        <v>9.5243393602225224E-2</v>
      </c>
      <c r="AG73" s="256">
        <f t="shared" si="91"/>
        <v>0.13025548803174991</v>
      </c>
      <c r="AH73" s="256">
        <f t="shared" si="91"/>
        <v>0.34273720056364487</v>
      </c>
      <c r="AI73" s="256">
        <f t="shared" si="91"/>
        <v>0.35040415869298225</v>
      </c>
      <c r="AJ73" s="256">
        <f t="shared" si="91"/>
        <v>0.23637425712399041</v>
      </c>
      <c r="AK73" s="256">
        <f t="shared" si="91"/>
        <v>0.21685457986996948</v>
      </c>
      <c r="AL73" s="256"/>
    </row>
    <row r="74" spans="2:40">
      <c r="B74" s="78" t="s">
        <v>293</v>
      </c>
      <c r="C74" s="259"/>
      <c r="D74" s="204">
        <f t="shared" si="92"/>
        <v>0.44091829844699526</v>
      </c>
      <c r="E74" s="204">
        <f t="shared" si="92"/>
        <v>0.41976297729540168</v>
      </c>
      <c r="F74" s="204">
        <f t="shared" si="92"/>
        <v>0.44732682090648734</v>
      </c>
      <c r="G74" s="204">
        <f t="shared" si="92"/>
        <v>0.33277643923969435</v>
      </c>
      <c r="H74" s="204">
        <f t="shared" si="92"/>
        <v>0.17808294788435419</v>
      </c>
      <c r="I74" s="204">
        <f t="shared" si="92"/>
        <v>8.140068778755416E-2</v>
      </c>
      <c r="J74" s="204">
        <f t="shared" si="92"/>
        <v>0.23599726184080549</v>
      </c>
      <c r="K74" s="259"/>
      <c r="L74" s="87"/>
      <c r="M74" s="259"/>
      <c r="N74" s="259"/>
      <c r="O74" s="259"/>
      <c r="P74" s="259"/>
      <c r="Q74" s="204">
        <f t="shared" si="93"/>
        <v>0.73127123136436012</v>
      </c>
      <c r="R74" s="204">
        <f t="shared" si="91"/>
        <v>0.49168329785526232</v>
      </c>
      <c r="S74" s="204">
        <f t="shared" si="91"/>
        <v>0.43325440205336752</v>
      </c>
      <c r="T74" s="204">
        <f t="shared" si="91"/>
        <v>0.28335504870481731</v>
      </c>
      <c r="U74" s="204">
        <f t="shared" si="91"/>
        <v>0.26330174571100651</v>
      </c>
      <c r="V74" s="204">
        <f t="shared" si="91"/>
        <v>0.21897641981289895</v>
      </c>
      <c r="W74" s="204">
        <f t="shared" si="91"/>
        <v>0.42226330140192991</v>
      </c>
      <c r="X74" s="204">
        <f t="shared" si="91"/>
        <v>0.4029523869047138</v>
      </c>
      <c r="Y74" s="204">
        <f t="shared" si="91"/>
        <v>0.34487357757030557</v>
      </c>
      <c r="Z74" s="204">
        <f t="shared" si="91"/>
        <v>0.30052910052910042</v>
      </c>
      <c r="AA74" s="204">
        <f t="shared" si="91"/>
        <v>0.12655887159198409</v>
      </c>
      <c r="AB74" s="204">
        <f t="shared" si="91"/>
        <v>2.988919045067151E-2</v>
      </c>
      <c r="AC74" s="204">
        <f t="shared" si="91"/>
        <v>8.7546421336934577E-2</v>
      </c>
      <c r="AD74" s="204">
        <f t="shared" si="91"/>
        <v>6.3114875360603673E-2</v>
      </c>
      <c r="AE74" s="204">
        <f t="shared" si="91"/>
        <v>6.4511203572928277E-2</v>
      </c>
      <c r="AF74" s="204">
        <f t="shared" si="91"/>
        <v>0.10796293809587754</v>
      </c>
      <c r="AG74" s="204">
        <f t="shared" si="91"/>
        <v>0.14031547699889413</v>
      </c>
      <c r="AH74" s="204">
        <f t="shared" si="91"/>
        <v>0.29148184870149074</v>
      </c>
      <c r="AI74" s="204">
        <f t="shared" si="91"/>
        <v>0.30826191415354831</v>
      </c>
      <c r="AJ74" s="204">
        <f t="shared" si="91"/>
        <v>0.20132408192946305</v>
      </c>
      <c r="AK74" s="204">
        <f t="shared" si="91"/>
        <v>0.20591087744372416</v>
      </c>
      <c r="AL74" s="204"/>
    </row>
    <row r="75" spans="2:40">
      <c r="B75" s="78" t="s">
        <v>294</v>
      </c>
      <c r="C75" s="259"/>
      <c r="D75" s="204">
        <f t="shared" si="92"/>
        <v>0.24862127180641536</v>
      </c>
      <c r="E75" s="204">
        <f t="shared" si="92"/>
        <v>0.29280206903246375</v>
      </c>
      <c r="F75" s="204">
        <f t="shared" si="92"/>
        <v>0.27593135175287808</v>
      </c>
      <c r="G75" s="204">
        <f t="shared" si="92"/>
        <v>9.9458413567373727E-2</v>
      </c>
      <c r="H75" s="204">
        <f t="shared" si="92"/>
        <v>3.6727851077577034E-2</v>
      </c>
      <c r="I75" s="204">
        <f t="shared" si="92"/>
        <v>6.8368763725473958E-2</v>
      </c>
      <c r="J75" s="204">
        <f t="shared" si="92"/>
        <v>0.12967167435121452</v>
      </c>
      <c r="K75" s="259"/>
      <c r="L75" s="87"/>
      <c r="M75" s="259"/>
      <c r="N75" s="259"/>
      <c r="O75" s="259"/>
      <c r="P75" s="259"/>
      <c r="Q75" s="204">
        <f t="shared" si="93"/>
        <v>0.3896643655151848</v>
      </c>
      <c r="R75" s="204">
        <f t="shared" si="91"/>
        <v>0.26234940256714445</v>
      </c>
      <c r="S75" s="204">
        <f t="shared" si="91"/>
        <v>0.25539724416911769</v>
      </c>
      <c r="T75" s="204">
        <f t="shared" si="91"/>
        <v>0.22992593947221129</v>
      </c>
      <c r="U75" s="204">
        <f t="shared" si="91"/>
        <v>0.17954286262775243</v>
      </c>
      <c r="V75" s="204">
        <f t="shared" si="91"/>
        <v>5.4371569918684637E-2</v>
      </c>
      <c r="W75" s="204">
        <f t="shared" si="91"/>
        <v>0.11351482964359327</v>
      </c>
      <c r="X75" s="204">
        <f t="shared" si="91"/>
        <v>7.0816731296318158E-2</v>
      </c>
      <c r="Y75" s="204">
        <f t="shared" si="91"/>
        <v>1.3773966743860999E-2</v>
      </c>
      <c r="Z75" s="204">
        <f t="shared" si="91"/>
        <v>7.5975336322869902E-2</v>
      </c>
      <c r="AA75" s="204">
        <f t="shared" si="91"/>
        <v>1.7094052189623676E-2</v>
      </c>
      <c r="AB75" s="204">
        <f t="shared" si="91"/>
        <v>3.5982886889651677E-2</v>
      </c>
      <c r="AC75" s="204">
        <f t="shared" si="91"/>
        <v>7.0354302836727722E-2</v>
      </c>
      <c r="AD75" s="204">
        <f t="shared" si="91"/>
        <v>1.2037606232048637E-2</v>
      </c>
      <c r="AE75" s="204">
        <f t="shared" si="91"/>
        <v>5.1227704704922994E-2</v>
      </c>
      <c r="AF75" s="204">
        <f t="shared" si="91"/>
        <v>0.1336559101141217</v>
      </c>
      <c r="AG75" s="204">
        <f t="shared" si="91"/>
        <v>0.15778949351852911</v>
      </c>
      <c r="AH75" s="204">
        <f t="shared" si="91"/>
        <v>0.22396592964237794</v>
      </c>
      <c r="AI75" s="204">
        <f t="shared" si="91"/>
        <v>0.14851739910210582</v>
      </c>
      <c r="AJ75" s="204">
        <f t="shared" si="91"/>
        <v>1.5268627552696756E-2</v>
      </c>
      <c r="AK75" s="204">
        <f t="shared" si="91"/>
        <v>4.8531629257145825E-2</v>
      </c>
      <c r="AL75" s="204"/>
    </row>
    <row r="76" spans="2:40">
      <c r="B76" s="11"/>
      <c r="C76" s="88"/>
      <c r="D76" s="88"/>
      <c r="E76" s="88"/>
      <c r="F76" s="88"/>
      <c r="G76" s="88"/>
      <c r="H76" s="88"/>
      <c r="I76" s="88"/>
      <c r="J76" s="88"/>
      <c r="K76" s="88"/>
      <c r="L76" s="87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2:40" s="82" customFormat="1">
      <c r="B77" s="82" t="s">
        <v>297</v>
      </c>
      <c r="C77" s="84">
        <v>178000</v>
      </c>
      <c r="D77" s="84">
        <v>220000</v>
      </c>
      <c r="E77" s="84">
        <v>310000</v>
      </c>
      <c r="F77" s="229"/>
      <c r="G77" s="229"/>
      <c r="H77" s="229"/>
      <c r="I77" s="229"/>
      <c r="J77" s="229"/>
      <c r="K77" s="229"/>
      <c r="L77" s="87"/>
      <c r="M77" s="84">
        <v>220000</v>
      </c>
      <c r="N77" s="84">
        <v>240000</v>
      </c>
      <c r="O77" s="84">
        <v>284000</v>
      </c>
      <c r="P77" s="84">
        <v>310000</v>
      </c>
      <c r="Q77" s="84">
        <v>310000</v>
      </c>
      <c r="R77" s="84">
        <v>320000</v>
      </c>
      <c r="S77" s="229"/>
      <c r="T77" s="229"/>
      <c r="U77" s="84">
        <v>390000</v>
      </c>
      <c r="V77" s="229"/>
      <c r="W77" s="229"/>
      <c r="X77" s="229"/>
      <c r="Y77" s="229"/>
      <c r="Z77" s="229"/>
      <c r="AA77" s="229"/>
      <c r="AB77" s="229"/>
      <c r="AC77" s="229"/>
      <c r="AD77" s="229"/>
      <c r="AE77" s="229"/>
      <c r="AF77" s="229"/>
      <c r="AG77" s="229"/>
      <c r="AH77" s="229"/>
      <c r="AI77" s="229"/>
      <c r="AJ77" s="229"/>
      <c r="AK77" s="229"/>
      <c r="AL77" s="229"/>
      <c r="AM77" s="178"/>
      <c r="AN77" s="178"/>
    </row>
    <row r="78" spans="2:40">
      <c r="L78" s="87"/>
    </row>
    <row r="79" spans="2:40">
      <c r="B79" s="253" t="s">
        <v>298</v>
      </c>
      <c r="C79" s="254"/>
      <c r="D79" s="254"/>
      <c r="E79" s="254"/>
      <c r="F79" s="254"/>
      <c r="G79" s="254"/>
      <c r="H79" s="254"/>
      <c r="I79" s="254"/>
      <c r="J79" s="254"/>
      <c r="K79" s="254"/>
      <c r="L79" s="87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</row>
    <row r="80" spans="2:40">
      <c r="B80" s="77" t="s">
        <v>299</v>
      </c>
      <c r="C80" s="229"/>
      <c r="D80" s="229"/>
      <c r="E80" s="229"/>
      <c r="F80" s="229"/>
      <c r="G80" s="229"/>
      <c r="H80" s="295">
        <v>40.700000000000003</v>
      </c>
      <c r="I80" s="295">
        <v>43.7</v>
      </c>
      <c r="J80" s="295">
        <v>6.5</v>
      </c>
      <c r="K80" s="296"/>
      <c r="L80" s="296"/>
      <c r="M80" s="295">
        <v>15.2</v>
      </c>
      <c r="N80" s="295">
        <v>22.7</v>
      </c>
      <c r="O80" s="295">
        <v>30.2</v>
      </c>
      <c r="P80" s="295">
        <v>34.9</v>
      </c>
      <c r="Q80" s="295">
        <v>28.2</v>
      </c>
      <c r="R80" s="295">
        <v>31.9</v>
      </c>
      <c r="S80" s="295">
        <v>28.5</v>
      </c>
      <c r="T80" s="295">
        <v>26.2</v>
      </c>
      <c r="U80" s="295">
        <v>27.2</v>
      </c>
      <c r="V80" s="295">
        <v>27.7</v>
      </c>
      <c r="W80" s="295">
        <v>25.8</v>
      </c>
      <c r="X80" s="295">
        <v>35.6</v>
      </c>
      <c r="Y80" s="295">
        <v>19</v>
      </c>
      <c r="Z80" s="295">
        <v>33.5</v>
      </c>
      <c r="AA80" s="295">
        <v>39.4</v>
      </c>
      <c r="AB80" s="295">
        <v>40.700000000000003</v>
      </c>
      <c r="AC80" s="295">
        <v>50.6</v>
      </c>
      <c r="AD80" s="295">
        <v>55.6</v>
      </c>
      <c r="AE80" s="295">
        <v>33.6</v>
      </c>
      <c r="AF80" s="295">
        <v>43.7</v>
      </c>
      <c r="AG80" s="295">
        <v>37.6</v>
      </c>
      <c r="AH80" s="295">
        <v>10.1</v>
      </c>
      <c r="AI80" s="295">
        <v>12.6</v>
      </c>
      <c r="AJ80" s="295">
        <v>6.5</v>
      </c>
      <c r="AK80" s="295">
        <v>21.6</v>
      </c>
      <c r="AL80" s="295"/>
    </row>
    <row r="81" spans="2:40">
      <c r="B81" s="77" t="s">
        <v>300</v>
      </c>
      <c r="C81" s="84">
        <v>38.700000000000003</v>
      </c>
      <c r="D81" s="84">
        <v>35.799999999999997</v>
      </c>
      <c r="E81" s="84">
        <v>33.299999999999997</v>
      </c>
      <c r="F81" s="84">
        <v>30.3</v>
      </c>
      <c r="G81" s="84">
        <v>33.200000000000003</v>
      </c>
      <c r="H81" s="295">
        <v>30.3</v>
      </c>
      <c r="I81" s="295">
        <v>31.5</v>
      </c>
      <c r="J81" s="295">
        <v>37.799999999999997</v>
      </c>
      <c r="K81" s="296"/>
      <c r="L81" s="296"/>
      <c r="M81" s="295">
        <v>35.4</v>
      </c>
      <c r="N81" s="295">
        <v>34.799999999999997</v>
      </c>
      <c r="O81" s="295">
        <v>34.299999999999997</v>
      </c>
      <c r="P81" s="295">
        <v>33.299999999999997</v>
      </c>
      <c r="Q81" s="295">
        <v>31.2</v>
      </c>
      <c r="R81" s="295">
        <v>31</v>
      </c>
      <c r="S81" s="295">
        <v>30.1</v>
      </c>
      <c r="T81" s="295">
        <v>30.3</v>
      </c>
      <c r="U81" s="295">
        <v>30.2</v>
      </c>
      <c r="V81" s="295">
        <v>31.5</v>
      </c>
      <c r="W81" s="295">
        <v>31.7</v>
      </c>
      <c r="X81" s="295">
        <v>33.200000000000003</v>
      </c>
      <c r="Y81" s="295">
        <v>32.4</v>
      </c>
      <c r="Z81" s="295">
        <v>31.7</v>
      </c>
      <c r="AA81" s="295">
        <v>30.8</v>
      </c>
      <c r="AB81" s="295">
        <v>30.3</v>
      </c>
      <c r="AC81" s="295">
        <v>29</v>
      </c>
      <c r="AD81" s="295">
        <v>29.8</v>
      </c>
      <c r="AE81" s="295">
        <v>30.4</v>
      </c>
      <c r="AF81" s="295">
        <v>31.5</v>
      </c>
      <c r="AG81" s="295">
        <v>32.799999999999997</v>
      </c>
      <c r="AH81" s="295">
        <v>34.1</v>
      </c>
      <c r="AI81" s="295">
        <v>35.799999999999997</v>
      </c>
      <c r="AJ81" s="295">
        <v>37.799999999999997</v>
      </c>
      <c r="AK81" s="295">
        <v>38.299999999999997</v>
      </c>
      <c r="AL81" s="295"/>
    </row>
    <row r="82" spans="2:40">
      <c r="B82" s="77" t="s">
        <v>301</v>
      </c>
      <c r="C82" s="84">
        <v>60.2</v>
      </c>
      <c r="D82" s="84">
        <v>54.5</v>
      </c>
      <c r="E82" s="84">
        <v>47.1</v>
      </c>
      <c r="F82" s="84">
        <v>45.3</v>
      </c>
      <c r="G82" s="84">
        <v>52.5</v>
      </c>
      <c r="H82" s="295">
        <v>53.2</v>
      </c>
      <c r="I82" s="295">
        <v>58.6</v>
      </c>
      <c r="J82" s="295">
        <v>60</v>
      </c>
      <c r="K82" s="296"/>
      <c r="L82" s="296"/>
      <c r="M82" s="295">
        <v>51.7</v>
      </c>
      <c r="N82" s="295">
        <v>50.8</v>
      </c>
      <c r="O82" s="295">
        <v>49.2</v>
      </c>
      <c r="P82" s="295">
        <v>47.1</v>
      </c>
      <c r="Q82" s="295">
        <v>44.2</v>
      </c>
      <c r="R82" s="295">
        <v>45.8</v>
      </c>
      <c r="S82" s="295">
        <v>45.5</v>
      </c>
      <c r="T82" s="295">
        <v>45.3</v>
      </c>
      <c r="U82" s="295">
        <v>45</v>
      </c>
      <c r="V82" s="295">
        <v>49.4</v>
      </c>
      <c r="W82" s="295">
        <v>50.4</v>
      </c>
      <c r="X82" s="295">
        <v>52.5</v>
      </c>
      <c r="Y82" s="295">
        <v>51.3</v>
      </c>
      <c r="Z82" s="295">
        <v>52.8</v>
      </c>
      <c r="AA82" s="295">
        <v>52.6</v>
      </c>
      <c r="AB82" s="295">
        <v>53.2</v>
      </c>
      <c r="AC82" s="295">
        <v>51.8</v>
      </c>
      <c r="AD82" s="295">
        <v>57</v>
      </c>
      <c r="AE82" s="295">
        <v>57.5</v>
      </c>
      <c r="AF82" s="295">
        <v>58.6</v>
      </c>
      <c r="AG82" s="295">
        <v>57.6</v>
      </c>
      <c r="AH82" s="295">
        <v>59</v>
      </c>
      <c r="AI82" s="295">
        <v>58</v>
      </c>
      <c r="AJ82" s="295">
        <v>60</v>
      </c>
      <c r="AK82" s="295">
        <v>59.7</v>
      </c>
      <c r="AL82" s="295"/>
    </row>
    <row r="83" spans="2:40">
      <c r="B83" s="77" t="s">
        <v>302</v>
      </c>
      <c r="C83" s="84">
        <v>2.7</v>
      </c>
      <c r="D83" s="84">
        <v>3.2</v>
      </c>
      <c r="E83" s="84">
        <v>2.7</v>
      </c>
      <c r="F83" s="84">
        <v>2.9</v>
      </c>
      <c r="G83" s="84">
        <v>4.5</v>
      </c>
      <c r="H83" s="295">
        <v>5.6</v>
      </c>
      <c r="I83" s="295">
        <v>5.9</v>
      </c>
      <c r="J83" s="295">
        <v>8.6999999999999993</v>
      </c>
      <c r="K83" s="296"/>
      <c r="L83" s="296"/>
      <c r="M83" s="295">
        <v>3.1</v>
      </c>
      <c r="N83" s="295">
        <v>2.9</v>
      </c>
      <c r="O83" s="295">
        <v>2.8</v>
      </c>
      <c r="P83" s="295">
        <v>2.7</v>
      </c>
      <c r="Q83" s="295">
        <v>2.6</v>
      </c>
      <c r="R83" s="295">
        <v>2.7</v>
      </c>
      <c r="S83" s="295">
        <v>2.8</v>
      </c>
      <c r="T83" s="295">
        <v>2.9</v>
      </c>
      <c r="U83" s="295">
        <v>3.2</v>
      </c>
      <c r="V83" s="295">
        <v>3.6</v>
      </c>
      <c r="W83" s="295">
        <v>4</v>
      </c>
      <c r="X83" s="295">
        <v>4.5</v>
      </c>
      <c r="Y83" s="295">
        <v>4.8</v>
      </c>
      <c r="Z83" s="295">
        <v>5</v>
      </c>
      <c r="AA83" s="295">
        <v>5.4</v>
      </c>
      <c r="AB83" s="295">
        <v>5.6</v>
      </c>
      <c r="AC83" s="295">
        <v>5.4</v>
      </c>
      <c r="AD83" s="295">
        <v>5.7</v>
      </c>
      <c r="AE83" s="295">
        <v>5.8</v>
      </c>
      <c r="AF83" s="295">
        <v>5.9</v>
      </c>
      <c r="AG83" s="295">
        <v>6.4</v>
      </c>
      <c r="AH83" s="295">
        <v>7.4</v>
      </c>
      <c r="AI83" s="295">
        <v>8.3000000000000007</v>
      </c>
      <c r="AJ83" s="295">
        <v>8.6999999999999993</v>
      </c>
      <c r="AK83" s="295">
        <v>8.6999999999999993</v>
      </c>
      <c r="AL83" s="295"/>
    </row>
    <row r="84" spans="2:40" s="78" customFormat="1">
      <c r="B84" s="77" t="s">
        <v>303</v>
      </c>
      <c r="C84" s="84">
        <v>305.3</v>
      </c>
      <c r="D84" s="84">
        <v>362</v>
      </c>
      <c r="E84" s="84">
        <v>471.9</v>
      </c>
      <c r="F84" s="84">
        <v>569.70000000000005</v>
      </c>
      <c r="G84" s="229"/>
      <c r="H84" s="229"/>
      <c r="I84" s="229"/>
      <c r="J84" s="229"/>
      <c r="K84" s="229"/>
      <c r="L84" s="87"/>
      <c r="M84" s="84">
        <v>387.4</v>
      </c>
      <c r="N84" s="84">
        <v>417.4</v>
      </c>
      <c r="O84" s="84">
        <v>441.6</v>
      </c>
      <c r="P84" s="84">
        <v>471.9</v>
      </c>
      <c r="Q84" s="84">
        <v>499.8</v>
      </c>
      <c r="R84" s="84">
        <v>531.9</v>
      </c>
      <c r="S84" s="84">
        <v>552.20000000000005</v>
      </c>
      <c r="T84" s="84">
        <v>569.70000000000005</v>
      </c>
      <c r="U84" s="84">
        <v>580.5</v>
      </c>
      <c r="V84" s="84">
        <v>580.79999999999995</v>
      </c>
      <c r="W84" s="84">
        <v>588.29999999999995</v>
      </c>
      <c r="X84" s="229"/>
      <c r="Y84" s="229"/>
      <c r="Z84" s="229"/>
      <c r="AA84" s="229"/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  <c r="AL84" s="229"/>
      <c r="AM84" s="176"/>
      <c r="AN84" s="176"/>
    </row>
    <row r="85" spans="2:40">
      <c r="L85" s="87"/>
      <c r="M85" s="84"/>
      <c r="N85" s="84"/>
      <c r="O85" s="84"/>
      <c r="P85" s="84"/>
      <c r="Q85" s="84"/>
      <c r="R85" s="84"/>
      <c r="S85" s="84"/>
      <c r="T85" s="84"/>
      <c r="V85" s="84"/>
      <c r="W85" s="84"/>
      <c r="Z85" s="84"/>
      <c r="AA85" s="84"/>
      <c r="AD85" s="84"/>
      <c r="AE85" s="84"/>
      <c r="AH85" s="84"/>
      <c r="AI85" s="84"/>
      <c r="AL85" s="84"/>
    </row>
    <row r="86" spans="2:40">
      <c r="L86" s="87"/>
      <c r="M86" s="84"/>
      <c r="N86" s="84"/>
      <c r="O86" s="84"/>
      <c r="P86" s="84"/>
      <c r="Q86" s="84"/>
      <c r="R86" s="84"/>
      <c r="S86" s="84"/>
      <c r="T86" s="84"/>
      <c r="V86" s="84"/>
      <c r="W86" s="84"/>
      <c r="Z86" s="84"/>
      <c r="AA86" s="84"/>
      <c r="AD86" s="84"/>
      <c r="AE86" s="84"/>
      <c r="AH86" s="84"/>
      <c r="AI86" s="84"/>
      <c r="AL86" s="84"/>
    </row>
    <row r="87" spans="2:40">
      <c r="L87" s="87"/>
      <c r="M87" s="84"/>
      <c r="N87" s="84"/>
      <c r="O87" s="84"/>
      <c r="P87" s="84"/>
      <c r="Q87" s="84"/>
      <c r="R87" s="84"/>
      <c r="S87" s="84"/>
      <c r="T87" s="84"/>
      <c r="V87" s="84"/>
      <c r="W87" s="84"/>
      <c r="Z87" s="84"/>
      <c r="AA87" s="84"/>
      <c r="AD87" s="84"/>
      <c r="AE87" s="84"/>
      <c r="AH87" s="84"/>
      <c r="AI87" s="84"/>
      <c r="AL87" s="84"/>
    </row>
    <row r="88" spans="2:40">
      <c r="L88" s="87"/>
      <c r="M88" s="84"/>
      <c r="N88" s="84"/>
      <c r="O88" s="84"/>
      <c r="P88" s="84"/>
      <c r="Q88" s="84"/>
      <c r="R88" s="84"/>
      <c r="S88" s="84"/>
      <c r="T88" s="84"/>
      <c r="V88" s="84"/>
      <c r="W88" s="84"/>
      <c r="Z88" s="84"/>
      <c r="AA88" s="84"/>
      <c r="AD88" s="84"/>
      <c r="AE88" s="84"/>
      <c r="AH88" s="84"/>
      <c r="AI88" s="84"/>
      <c r="AL88" s="84"/>
    </row>
    <row r="89" spans="2:40">
      <c r="L89" s="87"/>
      <c r="M89" s="84"/>
      <c r="N89" s="84"/>
      <c r="O89" s="84"/>
      <c r="P89" s="84"/>
      <c r="Q89" s="84"/>
      <c r="R89" s="84"/>
      <c r="S89" s="84"/>
      <c r="T89" s="84"/>
      <c r="V89" s="84"/>
      <c r="W89" s="84"/>
      <c r="Z89" s="84"/>
      <c r="AA89" s="84"/>
      <c r="AD89" s="84"/>
      <c r="AE89" s="84"/>
      <c r="AH89" s="84"/>
      <c r="AI89" s="84"/>
      <c r="AL89" s="84"/>
    </row>
    <row r="90" spans="2:40">
      <c r="M90" s="84"/>
      <c r="N90" s="84"/>
      <c r="O90" s="84"/>
      <c r="P90" s="84"/>
      <c r="Q90" s="84"/>
      <c r="R90" s="84"/>
      <c r="S90" s="84"/>
      <c r="T90" s="84"/>
      <c r="V90" s="84"/>
      <c r="W90" s="84"/>
      <c r="Z90" s="84"/>
      <c r="AA90" s="84"/>
      <c r="AD90" s="84"/>
      <c r="AE90" s="84"/>
      <c r="AH90" s="84"/>
      <c r="AI90" s="84"/>
      <c r="AL90" s="84"/>
    </row>
    <row r="91" spans="2:40">
      <c r="M91" s="84"/>
      <c r="N91" s="84"/>
      <c r="O91" s="84"/>
      <c r="P91" s="84"/>
      <c r="Q91" s="84"/>
      <c r="R91" s="84"/>
      <c r="S91" s="84"/>
      <c r="T91" s="84"/>
      <c r="V91" s="84"/>
      <c r="W91" s="84"/>
      <c r="Z91" s="84"/>
      <c r="AA91" s="84"/>
      <c r="AD91" s="84"/>
      <c r="AE91" s="84"/>
      <c r="AH91" s="84"/>
      <c r="AI91" s="84"/>
      <c r="AL91" s="84"/>
    </row>
    <row r="92" spans="2:40">
      <c r="M92" s="84"/>
      <c r="N92" s="84"/>
      <c r="O92" s="84"/>
      <c r="P92" s="84"/>
      <c r="Q92" s="84"/>
      <c r="R92" s="84"/>
      <c r="S92" s="84"/>
      <c r="T92" s="84"/>
      <c r="V92" s="84"/>
      <c r="W92" s="84"/>
      <c r="Z92" s="84"/>
      <c r="AA92" s="84"/>
      <c r="AD92" s="84"/>
      <c r="AE92" s="84"/>
      <c r="AH92" s="84"/>
      <c r="AI92" s="84"/>
      <c r="AL92" s="84"/>
    </row>
    <row r="93" spans="2:40">
      <c r="M93" s="84"/>
      <c r="N93" s="84"/>
      <c r="O93" s="84"/>
      <c r="P93" s="84"/>
      <c r="Q93" s="84"/>
      <c r="R93" s="84"/>
      <c r="S93" s="84"/>
      <c r="T93" s="84"/>
      <c r="V93" s="84"/>
      <c r="W93" s="84"/>
      <c r="Z93" s="84"/>
      <c r="AA93" s="84"/>
      <c r="AD93" s="84"/>
      <c r="AE93" s="84"/>
      <c r="AH93" s="84"/>
      <c r="AI93" s="84"/>
      <c r="AL93" s="84"/>
    </row>
    <row r="94" spans="2:40">
      <c r="M94" s="84"/>
      <c r="N94" s="84"/>
      <c r="O94" s="84"/>
      <c r="P94" s="84"/>
      <c r="Q94" s="84"/>
      <c r="R94" s="84"/>
      <c r="S94" s="84"/>
      <c r="T94" s="84"/>
      <c r="V94" s="84"/>
      <c r="W94" s="84"/>
      <c r="Z94" s="84"/>
      <c r="AA94" s="84"/>
      <c r="AD94" s="84"/>
      <c r="AE94" s="84"/>
      <c r="AH94" s="84"/>
      <c r="AI94" s="84"/>
      <c r="AL94" s="84"/>
    </row>
    <row r="95" spans="2:40">
      <c r="M95" s="84"/>
      <c r="N95" s="84"/>
      <c r="O95" s="84"/>
      <c r="P95" s="84"/>
      <c r="Q95" s="84"/>
      <c r="R95" s="84"/>
      <c r="S95" s="84"/>
      <c r="T95" s="84"/>
      <c r="V95" s="84"/>
      <c r="W95" s="84"/>
      <c r="Z95" s="84"/>
      <c r="AA95" s="84"/>
      <c r="AD95" s="84"/>
      <c r="AE95" s="84"/>
      <c r="AH95" s="84"/>
      <c r="AI95" s="84"/>
      <c r="AL95" s="84"/>
    </row>
    <row r="96" spans="2:40">
      <c r="M96" s="84"/>
      <c r="N96" s="84"/>
      <c r="O96" s="84"/>
      <c r="P96" s="84"/>
      <c r="Q96" s="84"/>
      <c r="R96" s="84"/>
      <c r="S96" s="84"/>
      <c r="T96" s="84"/>
      <c r="V96" s="84"/>
      <c r="W96" s="84"/>
      <c r="Z96" s="84"/>
      <c r="AA96" s="84"/>
      <c r="AD96" s="84"/>
      <c r="AE96" s="84"/>
      <c r="AH96" s="84"/>
      <c r="AI96" s="84"/>
      <c r="AL96" s="84"/>
    </row>
    <row r="97" spans="13:38">
      <c r="M97" s="84"/>
      <c r="N97" s="84"/>
      <c r="O97" s="84"/>
      <c r="P97" s="84"/>
      <c r="Q97" s="84"/>
      <c r="R97" s="84"/>
      <c r="S97" s="84"/>
      <c r="T97" s="84"/>
      <c r="V97" s="84"/>
      <c r="W97" s="84"/>
      <c r="Z97" s="84"/>
      <c r="AA97" s="84"/>
      <c r="AD97" s="84"/>
      <c r="AE97" s="84"/>
      <c r="AH97" s="84"/>
      <c r="AI97" s="84"/>
      <c r="AL97" s="84"/>
    </row>
    <row r="98" spans="13:38">
      <c r="M98" s="84"/>
      <c r="N98" s="84"/>
      <c r="O98" s="84"/>
      <c r="P98" s="84"/>
      <c r="Q98" s="84"/>
      <c r="R98" s="84"/>
      <c r="S98" s="84"/>
      <c r="T98" s="84"/>
      <c r="V98" s="84"/>
      <c r="W98" s="84"/>
      <c r="Z98" s="84"/>
      <c r="AA98" s="84"/>
      <c r="AD98" s="84"/>
      <c r="AE98" s="84"/>
      <c r="AH98" s="84"/>
      <c r="AI98" s="84"/>
      <c r="AL98" s="84"/>
    </row>
    <row r="99" spans="13:38">
      <c r="M99" s="84"/>
      <c r="N99" s="84"/>
      <c r="O99" s="84"/>
      <c r="P99" s="84"/>
      <c r="Q99" s="84"/>
      <c r="R99" s="84"/>
      <c r="S99" s="84"/>
      <c r="T99" s="84"/>
      <c r="V99" s="84"/>
      <c r="W99" s="84"/>
      <c r="Z99" s="84"/>
      <c r="AA99" s="84"/>
      <c r="AD99" s="84"/>
      <c r="AE99" s="84"/>
      <c r="AH99" s="84"/>
      <c r="AI99" s="84"/>
      <c r="AL99" s="84"/>
    </row>
    <row r="100" spans="13:38">
      <c r="M100" s="84"/>
      <c r="N100" s="84"/>
      <c r="O100" s="84"/>
      <c r="P100" s="84"/>
      <c r="Q100" s="84"/>
      <c r="R100" s="84"/>
      <c r="S100" s="84"/>
      <c r="T100" s="84"/>
      <c r="V100" s="84"/>
      <c r="W100" s="84"/>
      <c r="Z100" s="84"/>
      <c r="AA100" s="84"/>
      <c r="AD100" s="84"/>
      <c r="AE100" s="84"/>
      <c r="AH100" s="84"/>
      <c r="AI100" s="84"/>
      <c r="AL100" s="84"/>
    </row>
    <row r="101" spans="13:38">
      <c r="M101" s="84"/>
      <c r="N101" s="84"/>
      <c r="O101" s="84"/>
      <c r="P101" s="84"/>
      <c r="Q101" s="84"/>
      <c r="R101" s="84"/>
      <c r="S101" s="84"/>
      <c r="T101" s="84"/>
      <c r="V101" s="84"/>
      <c r="W101" s="84"/>
      <c r="Z101" s="84"/>
      <c r="AA101" s="84"/>
      <c r="AD101" s="84"/>
      <c r="AE101" s="84"/>
      <c r="AH101" s="84"/>
      <c r="AI101" s="84"/>
      <c r="AL101" s="84"/>
    </row>
    <row r="102" spans="13:38">
      <c r="M102" s="84"/>
      <c r="N102" s="84"/>
      <c r="O102" s="84"/>
      <c r="P102" s="84"/>
      <c r="Q102" s="84"/>
      <c r="R102" s="84"/>
      <c r="S102" s="84"/>
      <c r="T102" s="84"/>
      <c r="V102" s="84"/>
      <c r="W102" s="84"/>
      <c r="Z102" s="84"/>
      <c r="AA102" s="84"/>
      <c r="AD102" s="84"/>
      <c r="AE102" s="84"/>
      <c r="AH102" s="84"/>
      <c r="AI102" s="84"/>
      <c r="AL102" s="84"/>
    </row>
    <row r="103" spans="13:38">
      <c r="M103" s="84"/>
      <c r="N103" s="84"/>
      <c r="O103" s="84"/>
      <c r="P103" s="84"/>
      <c r="Q103" s="84"/>
      <c r="R103" s="84"/>
      <c r="S103" s="84"/>
      <c r="T103" s="84"/>
      <c r="V103" s="84"/>
      <c r="W103" s="84"/>
      <c r="Z103" s="84"/>
      <c r="AA103" s="84"/>
      <c r="AD103" s="84"/>
      <c r="AE103" s="84"/>
      <c r="AH103" s="84"/>
      <c r="AI103" s="84"/>
      <c r="AL103" s="84"/>
    </row>
    <row r="104" spans="13:38">
      <c r="M104" s="84"/>
      <c r="N104" s="84"/>
      <c r="O104" s="84"/>
      <c r="P104" s="84"/>
      <c r="Q104" s="84"/>
      <c r="R104" s="84"/>
      <c r="S104" s="84"/>
      <c r="T104" s="84"/>
      <c r="V104" s="84"/>
      <c r="W104" s="84"/>
      <c r="Z104" s="84"/>
      <c r="AA104" s="84"/>
      <c r="AD104" s="84"/>
      <c r="AE104" s="84"/>
      <c r="AH104" s="84"/>
      <c r="AI104" s="84"/>
      <c r="AL104" s="84"/>
    </row>
    <row r="105" spans="13:38">
      <c r="M105" s="84"/>
      <c r="N105" s="84"/>
      <c r="O105" s="84"/>
      <c r="P105" s="84"/>
      <c r="Q105" s="84"/>
      <c r="R105" s="84"/>
      <c r="S105" s="84"/>
      <c r="T105" s="84"/>
      <c r="V105" s="84"/>
      <c r="W105" s="84"/>
      <c r="Z105" s="84"/>
      <c r="AA105" s="84"/>
      <c r="AD105" s="84"/>
      <c r="AE105" s="84"/>
      <c r="AH105" s="84"/>
      <c r="AI105" s="84"/>
      <c r="AL105" s="84"/>
    </row>
    <row r="106" spans="13:38">
      <c r="M106" s="84"/>
      <c r="N106" s="84"/>
      <c r="O106" s="84"/>
      <c r="P106" s="84"/>
      <c r="Q106" s="84"/>
      <c r="R106" s="84"/>
      <c r="S106" s="84"/>
      <c r="T106" s="84"/>
      <c r="V106" s="84"/>
      <c r="W106" s="84"/>
      <c r="Z106" s="84"/>
      <c r="AA106" s="84"/>
      <c r="AD106" s="84"/>
      <c r="AE106" s="84"/>
      <c r="AH106" s="84"/>
      <c r="AI106" s="84"/>
      <c r="AL106" s="84"/>
    </row>
    <row r="107" spans="13:38">
      <c r="M107" s="84"/>
      <c r="N107" s="84"/>
      <c r="O107" s="84"/>
      <c r="P107" s="84"/>
      <c r="Q107" s="84"/>
      <c r="R107" s="84"/>
      <c r="S107" s="84"/>
      <c r="T107" s="84"/>
      <c r="V107" s="84"/>
      <c r="W107" s="84"/>
      <c r="Z107" s="84"/>
      <c r="AA107" s="84"/>
      <c r="AD107" s="84"/>
      <c r="AE107" s="84"/>
      <c r="AH107" s="84"/>
      <c r="AI107" s="84"/>
      <c r="AL107" s="84"/>
    </row>
    <row r="108" spans="13:38">
      <c r="M108" s="84"/>
      <c r="N108" s="84"/>
      <c r="O108" s="84"/>
      <c r="P108" s="84"/>
      <c r="Q108" s="84"/>
      <c r="R108" s="84"/>
      <c r="S108" s="84"/>
      <c r="T108" s="84"/>
      <c r="V108" s="84"/>
      <c r="W108" s="84"/>
      <c r="Z108" s="84"/>
      <c r="AA108" s="84"/>
      <c r="AD108" s="84"/>
      <c r="AE108" s="84"/>
      <c r="AH108" s="84"/>
      <c r="AI108" s="84"/>
      <c r="AL108" s="84"/>
    </row>
    <row r="109" spans="13:38">
      <c r="M109" s="84"/>
      <c r="N109" s="84"/>
      <c r="O109" s="84"/>
      <c r="P109" s="84"/>
      <c r="Q109" s="84"/>
      <c r="R109" s="84"/>
      <c r="S109" s="84"/>
      <c r="T109" s="84"/>
      <c r="V109" s="84"/>
      <c r="W109" s="84"/>
      <c r="Z109" s="84"/>
      <c r="AA109" s="84"/>
      <c r="AD109" s="84"/>
      <c r="AE109" s="84"/>
      <c r="AH109" s="84"/>
      <c r="AI109" s="84"/>
      <c r="AL109" s="84"/>
    </row>
    <row r="110" spans="13:38">
      <c r="M110" s="84"/>
      <c r="N110" s="84"/>
      <c r="O110" s="84"/>
      <c r="P110" s="84"/>
      <c r="Q110" s="84"/>
      <c r="R110" s="84"/>
      <c r="S110" s="84"/>
      <c r="T110" s="84"/>
      <c r="V110" s="84"/>
      <c r="W110" s="84"/>
      <c r="Z110" s="84"/>
      <c r="AA110" s="84"/>
      <c r="AD110" s="84"/>
      <c r="AE110" s="84"/>
      <c r="AH110" s="84"/>
      <c r="AI110" s="84"/>
      <c r="AL110" s="84"/>
    </row>
    <row r="111" spans="13:38">
      <c r="M111" s="84"/>
      <c r="N111" s="84"/>
      <c r="O111" s="84"/>
      <c r="P111" s="84"/>
      <c r="Q111" s="84"/>
      <c r="R111" s="84"/>
      <c r="S111" s="84"/>
      <c r="T111" s="84"/>
      <c r="V111" s="84"/>
      <c r="W111" s="84"/>
      <c r="Z111" s="84"/>
      <c r="AA111" s="84"/>
      <c r="AD111" s="84"/>
      <c r="AE111" s="84"/>
      <c r="AH111" s="84"/>
      <c r="AI111" s="84"/>
      <c r="AL111" s="84"/>
    </row>
    <row r="112" spans="13:38">
      <c r="M112" s="84"/>
      <c r="N112" s="84"/>
      <c r="O112" s="84"/>
      <c r="P112" s="84"/>
      <c r="Q112" s="84"/>
      <c r="R112" s="84"/>
      <c r="S112" s="84"/>
      <c r="T112" s="84"/>
      <c r="V112" s="84"/>
      <c r="W112" s="84"/>
      <c r="Z112" s="84"/>
      <c r="AA112" s="84"/>
      <c r="AD112" s="84"/>
      <c r="AE112" s="84"/>
      <c r="AH112" s="84"/>
      <c r="AI112" s="84"/>
      <c r="AL112" s="84"/>
    </row>
    <row r="113" spans="13:38">
      <c r="M113" s="84"/>
      <c r="N113" s="84"/>
      <c r="O113" s="84"/>
      <c r="P113" s="84"/>
      <c r="Q113" s="84"/>
      <c r="R113" s="84"/>
      <c r="S113" s="84"/>
      <c r="T113" s="84"/>
      <c r="V113" s="84"/>
      <c r="W113" s="84"/>
      <c r="Z113" s="84"/>
      <c r="AA113" s="84"/>
      <c r="AD113" s="84"/>
      <c r="AE113" s="84"/>
      <c r="AH113" s="84"/>
      <c r="AI113" s="84"/>
      <c r="AL113" s="84"/>
    </row>
    <row r="114" spans="13:38">
      <c r="M114" s="84"/>
      <c r="N114" s="84"/>
      <c r="O114" s="84"/>
      <c r="P114" s="84"/>
      <c r="Q114" s="84"/>
      <c r="R114" s="84"/>
      <c r="S114" s="84"/>
      <c r="T114" s="84"/>
      <c r="V114" s="84"/>
      <c r="W114" s="84"/>
      <c r="Z114" s="84"/>
      <c r="AA114" s="84"/>
      <c r="AD114" s="84"/>
      <c r="AE114" s="84"/>
      <c r="AH114" s="84"/>
      <c r="AI114" s="84"/>
      <c r="AL114" s="84"/>
    </row>
    <row r="115" spans="13:38">
      <c r="M115" s="84"/>
      <c r="N115" s="84"/>
      <c r="O115" s="84"/>
      <c r="P115" s="84"/>
      <c r="Q115" s="84"/>
      <c r="R115" s="84"/>
      <c r="S115" s="84"/>
      <c r="T115" s="84"/>
      <c r="V115" s="84"/>
      <c r="W115" s="84"/>
      <c r="Z115" s="84"/>
      <c r="AA115" s="84"/>
      <c r="AD115" s="84"/>
      <c r="AE115" s="84"/>
      <c r="AH115" s="84"/>
      <c r="AI115" s="84"/>
      <c r="AL115" s="84"/>
    </row>
    <row r="116" spans="13:38">
      <c r="M116" s="84"/>
      <c r="N116" s="84"/>
      <c r="O116" s="84"/>
      <c r="P116" s="84"/>
      <c r="Q116" s="84"/>
      <c r="R116" s="84"/>
      <c r="S116" s="84"/>
      <c r="T116" s="84"/>
      <c r="V116" s="84"/>
      <c r="W116" s="84"/>
      <c r="Z116" s="84"/>
      <c r="AA116" s="84"/>
      <c r="AD116" s="84"/>
      <c r="AE116" s="84"/>
      <c r="AH116" s="84"/>
      <c r="AI116" s="84"/>
      <c r="AL116" s="84"/>
    </row>
    <row r="117" spans="13:38">
      <c r="M117" s="84"/>
      <c r="N117" s="84"/>
      <c r="O117" s="84"/>
      <c r="P117" s="84"/>
      <c r="Q117" s="84"/>
      <c r="R117" s="84"/>
      <c r="S117" s="84"/>
      <c r="T117" s="84"/>
      <c r="V117" s="84"/>
      <c r="W117" s="84"/>
      <c r="Z117" s="84"/>
      <c r="AA117" s="84"/>
      <c r="AD117" s="84"/>
      <c r="AE117" s="84"/>
      <c r="AH117" s="84"/>
      <c r="AI117" s="84"/>
      <c r="AL117" s="84"/>
    </row>
    <row r="118" spans="13:38">
      <c r="M118" s="84"/>
      <c r="N118" s="84"/>
      <c r="O118" s="84"/>
      <c r="P118" s="84"/>
      <c r="Q118" s="84"/>
      <c r="R118" s="84"/>
      <c r="S118" s="84"/>
      <c r="T118" s="84"/>
      <c r="V118" s="84"/>
      <c r="W118" s="84"/>
      <c r="Z118" s="84"/>
      <c r="AA118" s="84"/>
      <c r="AD118" s="84"/>
      <c r="AE118" s="84"/>
      <c r="AH118" s="84"/>
      <c r="AI118" s="84"/>
      <c r="AL118" s="84"/>
    </row>
    <row r="119" spans="13:38">
      <c r="M119" s="84"/>
      <c r="N119" s="84"/>
      <c r="O119" s="84"/>
      <c r="P119" s="84"/>
      <c r="Q119" s="84"/>
      <c r="R119" s="84"/>
      <c r="S119" s="84"/>
      <c r="T119" s="84"/>
      <c r="V119" s="84"/>
      <c r="W119" s="84"/>
      <c r="Z119" s="84"/>
      <c r="AA119" s="84"/>
      <c r="AD119" s="84"/>
      <c r="AE119" s="84"/>
      <c r="AH119" s="84"/>
      <c r="AI119" s="84"/>
      <c r="AL119" s="84"/>
    </row>
    <row r="120" spans="13:38">
      <c r="M120" s="84"/>
      <c r="N120" s="84"/>
      <c r="O120" s="84"/>
      <c r="P120" s="84"/>
      <c r="Q120" s="84"/>
      <c r="R120" s="84"/>
      <c r="S120" s="84"/>
      <c r="T120" s="84"/>
      <c r="V120" s="84"/>
      <c r="W120" s="84"/>
      <c r="Z120" s="84"/>
      <c r="AA120" s="84"/>
      <c r="AD120" s="84"/>
      <c r="AE120" s="84"/>
      <c r="AH120" s="84"/>
      <c r="AI120" s="84"/>
      <c r="AL120" s="84"/>
    </row>
    <row r="121" spans="13:38">
      <c r="M121" s="84"/>
      <c r="N121" s="84"/>
      <c r="O121" s="84"/>
      <c r="P121" s="84"/>
      <c r="Q121" s="84"/>
      <c r="R121" s="84"/>
      <c r="S121" s="84"/>
      <c r="T121" s="84"/>
      <c r="V121" s="84"/>
      <c r="W121" s="84"/>
      <c r="Z121" s="84"/>
      <c r="AA121" s="84"/>
      <c r="AD121" s="84"/>
      <c r="AE121" s="84"/>
      <c r="AH121" s="84"/>
      <c r="AI121" s="84"/>
      <c r="AL121" s="84"/>
    </row>
    <row r="122" spans="13:38">
      <c r="M122" s="84"/>
      <c r="N122" s="84"/>
      <c r="O122" s="84"/>
      <c r="P122" s="84"/>
      <c r="Q122" s="84"/>
      <c r="R122" s="84"/>
      <c r="S122" s="84"/>
      <c r="T122" s="84"/>
      <c r="V122" s="84"/>
      <c r="W122" s="84"/>
      <c r="Z122" s="84"/>
      <c r="AA122" s="84"/>
      <c r="AD122" s="84"/>
      <c r="AE122" s="84"/>
      <c r="AH122" s="84"/>
      <c r="AI122" s="84"/>
      <c r="AL122" s="84"/>
    </row>
    <row r="123" spans="13:38">
      <c r="M123" s="84"/>
      <c r="N123" s="84"/>
      <c r="O123" s="84"/>
      <c r="P123" s="84"/>
      <c r="Q123" s="84"/>
      <c r="R123" s="84"/>
      <c r="S123" s="84"/>
      <c r="T123" s="84"/>
      <c r="V123" s="84"/>
      <c r="W123" s="84"/>
      <c r="Z123" s="84"/>
      <c r="AA123" s="84"/>
      <c r="AD123" s="84"/>
      <c r="AE123" s="84"/>
      <c r="AH123" s="84"/>
      <c r="AI123" s="84"/>
      <c r="AL123" s="84"/>
    </row>
    <row r="124" spans="13:38">
      <c r="M124" s="84"/>
      <c r="N124" s="84"/>
      <c r="O124" s="84"/>
      <c r="P124" s="84"/>
      <c r="Q124" s="84"/>
      <c r="R124" s="84"/>
      <c r="S124" s="84"/>
      <c r="T124" s="84"/>
      <c r="V124" s="84"/>
      <c r="W124" s="84"/>
      <c r="Z124" s="84"/>
      <c r="AA124" s="84"/>
      <c r="AD124" s="84"/>
      <c r="AE124" s="84"/>
      <c r="AH124" s="84"/>
      <c r="AI124" s="84"/>
      <c r="AL124" s="84"/>
    </row>
    <row r="125" spans="13:38">
      <c r="M125" s="84"/>
      <c r="N125" s="84"/>
      <c r="O125" s="84"/>
      <c r="P125" s="84"/>
      <c r="Q125" s="84"/>
      <c r="R125" s="84"/>
      <c r="S125" s="84"/>
      <c r="T125" s="84"/>
      <c r="V125" s="84"/>
      <c r="W125" s="84"/>
      <c r="Z125" s="84"/>
      <c r="AA125" s="84"/>
      <c r="AD125" s="84"/>
      <c r="AE125" s="84"/>
      <c r="AH125" s="84"/>
      <c r="AI125" s="84"/>
      <c r="AL125" s="84"/>
    </row>
    <row r="126" spans="13:38">
      <c r="M126" s="84"/>
      <c r="N126" s="84"/>
      <c r="O126" s="84"/>
      <c r="P126" s="84"/>
      <c r="Q126" s="84"/>
      <c r="R126" s="84"/>
      <c r="S126" s="84"/>
      <c r="T126" s="84"/>
      <c r="V126" s="84"/>
      <c r="W126" s="84"/>
      <c r="Z126" s="84"/>
      <c r="AA126" s="84"/>
      <c r="AD126" s="84"/>
      <c r="AE126" s="84"/>
      <c r="AH126" s="84"/>
      <c r="AI126" s="84"/>
      <c r="AL126" s="84"/>
    </row>
    <row r="127" spans="13:38">
      <c r="M127" s="84"/>
      <c r="N127" s="84"/>
      <c r="O127" s="84"/>
      <c r="P127" s="84"/>
      <c r="Q127" s="84"/>
      <c r="R127" s="84"/>
      <c r="S127" s="84"/>
      <c r="T127" s="84"/>
      <c r="V127" s="84"/>
      <c r="W127" s="84"/>
      <c r="Z127" s="84"/>
      <c r="AA127" s="84"/>
      <c r="AD127" s="84"/>
      <c r="AE127" s="84"/>
      <c r="AH127" s="84"/>
      <c r="AI127" s="84"/>
      <c r="AL127" s="84"/>
    </row>
    <row r="128" spans="13:38">
      <c r="M128" s="84"/>
      <c r="N128" s="84"/>
      <c r="O128" s="84"/>
      <c r="P128" s="84"/>
      <c r="Q128" s="84"/>
      <c r="R128" s="84"/>
      <c r="S128" s="84"/>
      <c r="T128" s="84"/>
      <c r="V128" s="84"/>
      <c r="W128" s="84"/>
      <c r="Z128" s="84"/>
      <c r="AA128" s="84"/>
      <c r="AD128" s="84"/>
      <c r="AE128" s="84"/>
      <c r="AH128" s="84"/>
      <c r="AI128" s="84"/>
      <c r="AL128" s="84"/>
    </row>
    <row r="129" spans="13:38">
      <c r="M129" s="84"/>
      <c r="N129" s="84"/>
      <c r="O129" s="84"/>
      <c r="P129" s="84"/>
      <c r="Q129" s="84"/>
      <c r="R129" s="84"/>
      <c r="S129" s="84"/>
      <c r="T129" s="84"/>
      <c r="V129" s="84"/>
      <c r="W129" s="84"/>
      <c r="Z129" s="84"/>
      <c r="AA129" s="84"/>
      <c r="AD129" s="84"/>
      <c r="AE129" s="84"/>
      <c r="AH129" s="84"/>
      <c r="AI129" s="84"/>
      <c r="AL129" s="84"/>
    </row>
    <row r="130" spans="13:38">
      <c r="M130" s="84"/>
      <c r="N130" s="84"/>
      <c r="O130" s="84"/>
      <c r="P130" s="84"/>
      <c r="Q130" s="84"/>
      <c r="R130" s="84"/>
      <c r="S130" s="84"/>
      <c r="T130" s="84"/>
      <c r="V130" s="84"/>
      <c r="W130" s="84"/>
      <c r="Z130" s="84"/>
      <c r="AA130" s="84"/>
      <c r="AD130" s="84"/>
      <c r="AE130" s="84"/>
      <c r="AH130" s="84"/>
      <c r="AI130" s="84"/>
      <c r="AL130" s="84"/>
    </row>
    <row r="131" spans="13:38">
      <c r="M131" s="84"/>
      <c r="N131" s="84"/>
      <c r="O131" s="84"/>
      <c r="P131" s="84"/>
      <c r="Q131" s="84"/>
      <c r="R131" s="84"/>
      <c r="S131" s="84"/>
      <c r="T131" s="84"/>
      <c r="V131" s="84"/>
      <c r="W131" s="84"/>
      <c r="Z131" s="84"/>
      <c r="AA131" s="84"/>
      <c r="AD131" s="84"/>
      <c r="AE131" s="84"/>
      <c r="AH131" s="84"/>
      <c r="AI131" s="84"/>
      <c r="AL131" s="84"/>
    </row>
    <row r="132" spans="13:38">
      <c r="M132" s="84"/>
      <c r="N132" s="84"/>
      <c r="O132" s="84"/>
      <c r="P132" s="84"/>
      <c r="Q132" s="84"/>
      <c r="R132" s="84"/>
      <c r="S132" s="84"/>
      <c r="T132" s="84"/>
      <c r="V132" s="84"/>
      <c r="W132" s="84"/>
      <c r="Z132" s="84"/>
      <c r="AA132" s="84"/>
      <c r="AD132" s="84"/>
      <c r="AE132" s="84"/>
      <c r="AH132" s="84"/>
      <c r="AI132" s="84"/>
      <c r="AL132" s="84"/>
    </row>
    <row r="133" spans="13:38">
      <c r="M133" s="84"/>
      <c r="N133" s="84"/>
      <c r="O133" s="84"/>
      <c r="P133" s="84"/>
      <c r="Q133" s="84"/>
      <c r="R133" s="84"/>
      <c r="S133" s="84"/>
      <c r="T133" s="84"/>
      <c r="V133" s="84"/>
      <c r="W133" s="84"/>
      <c r="Z133" s="84"/>
      <c r="AA133" s="84"/>
      <c r="AD133" s="84"/>
      <c r="AE133" s="84"/>
      <c r="AH133" s="84"/>
      <c r="AI133" s="84"/>
      <c r="AL133" s="84"/>
    </row>
  </sheetData>
  <pageMargins left="0.7" right="0.7" top="0.75" bottom="0.75" header="0.3" footer="0.3"/>
  <pageSetup orientation="portrait" horizontalDpi="90" verticalDpi="90" r:id="rId1"/>
  <headerFooter>
    <oddFooter>&amp;C_x000D_&amp;1#&amp;"Calibri"&amp;10&amp;K000000 Barings-Public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364766-34C3-4FA6-8A81-5434A85EE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3d72f-12a9-4590-815a-2b1f92f4a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DEBCA6-A735-47EC-8A06-4E639C584C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CFE472-58F2-4B87-9917-E72C40AD81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Capitalisation</vt:lpstr>
      <vt:lpstr>Model</vt:lpstr>
      <vt:lpstr>KPIs</vt:lpstr>
    </vt:vector>
  </TitlesOfParts>
  <Manager/>
  <Company>MassMutual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>Kumar, Gunjan</cp:lastModifiedBy>
  <cp:revision/>
  <dcterms:created xsi:type="dcterms:W3CDTF">2008-03-12T15:44:19Z</dcterms:created>
  <dcterms:modified xsi:type="dcterms:W3CDTF">2026-09-07T13:43:01Z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{7259EA4D-B0FF-4B67-B3B9-C4BFD77D0FED}</vt:lpwstr>
  </property>
  <property fmtid="{D5CDD505-2E9C-101B-9397-08002B2CF9AE}" pid="3" name="WorkbookGuid">
    <vt:lpwstr>6203d69d-e302-41df-af11-f1a4215d4b7d</vt:lpwstr>
  </property>
  <property fmtid="{D5CDD505-2E9C-101B-9397-08002B2CF9AE}" pid="4" name="MSIP_Label_75c705d7-a0c7-4dfc-9e74-f70280a93ba5_Enabled">
    <vt:lpwstr>true</vt:lpwstr>
  </property>
  <property fmtid="{D5CDD505-2E9C-101B-9397-08002B2CF9AE}" pid="5" name="MSIP_Label_75c705d7-a0c7-4dfc-9e74-f70280a93ba5_SetDate">
    <vt:lpwstr>2021-12-06T11:57:54Z</vt:lpwstr>
  </property>
  <property fmtid="{D5CDD505-2E9C-101B-9397-08002B2CF9AE}" pid="6" name="MSIP_Label_75c705d7-a0c7-4dfc-9e74-f70280a93ba5_Method">
    <vt:lpwstr>Privileged</vt:lpwstr>
  </property>
  <property fmtid="{D5CDD505-2E9C-101B-9397-08002B2CF9AE}" pid="7" name="MSIP_Label_75c705d7-a0c7-4dfc-9e74-f70280a93ba5_Name">
    <vt:lpwstr>Internal-Confidential</vt:lpwstr>
  </property>
  <property fmtid="{D5CDD505-2E9C-101B-9397-08002B2CF9AE}" pid="8" name="MSIP_Label_75c705d7-a0c7-4dfc-9e74-f70280a93ba5_SiteId">
    <vt:lpwstr>4d8b04bf-7a7c-48a0-b6e3-38da5008297e</vt:lpwstr>
  </property>
  <property fmtid="{D5CDD505-2E9C-101B-9397-08002B2CF9AE}" pid="9" name="MSIP_Label_75c705d7-a0c7-4dfc-9e74-f70280a93ba5_ActionId">
    <vt:lpwstr>8adf84fc-a266-41d8-99b6-cdd1e853f978</vt:lpwstr>
  </property>
  <property fmtid="{D5CDD505-2E9C-101B-9397-08002B2CF9AE}" pid="10" name="MSIP_Label_75c705d7-a0c7-4dfc-9e74-f70280a93ba5_ContentBits">
    <vt:lpwstr>0</vt:lpwstr>
  </property>
  <property fmtid="{D5CDD505-2E9C-101B-9397-08002B2CF9AE}" pid="11" name="MSIP_Label_7a9b4e55-d4a1-422d-960f-5eb66d4619d8_Enabled">
    <vt:lpwstr>true</vt:lpwstr>
  </property>
  <property fmtid="{D5CDD505-2E9C-101B-9397-08002B2CF9AE}" pid="12" name="MSIP_Label_7a9b4e55-d4a1-422d-960f-5eb66d4619d8_SetDate">
    <vt:lpwstr>2023-08-31T07:42:18Z</vt:lpwstr>
  </property>
  <property fmtid="{D5CDD505-2E9C-101B-9397-08002B2CF9AE}" pid="13" name="MSIP_Label_7a9b4e55-d4a1-422d-960f-5eb66d4619d8_Method">
    <vt:lpwstr>Privileged</vt:lpwstr>
  </property>
  <property fmtid="{D5CDD505-2E9C-101B-9397-08002B2CF9AE}" pid="14" name="MSIP_Label_7a9b4e55-d4a1-422d-960f-5eb66d4619d8_Name">
    <vt:lpwstr>Public</vt:lpwstr>
  </property>
  <property fmtid="{D5CDD505-2E9C-101B-9397-08002B2CF9AE}" pid="15" name="MSIP_Label_7a9b4e55-d4a1-422d-960f-5eb66d4619d8_SiteId">
    <vt:lpwstr>ce78e7b0-e32a-4428-9390-1c2ec8a59c47</vt:lpwstr>
  </property>
  <property fmtid="{D5CDD505-2E9C-101B-9397-08002B2CF9AE}" pid="16" name="MSIP_Label_7a9b4e55-d4a1-422d-960f-5eb66d4619d8_ActionId">
    <vt:lpwstr>0ac7dedf-8ade-404e-a3ef-b3bdc36e1e8b</vt:lpwstr>
  </property>
  <property fmtid="{D5CDD505-2E9C-101B-9397-08002B2CF9AE}" pid="17" name="MSIP_Label_7a9b4e55-d4a1-422d-960f-5eb66d4619d8_ContentBits">
    <vt:lpwstr>2</vt:lpwstr>
  </property>
  <property fmtid="{D5CDD505-2E9C-101B-9397-08002B2CF9AE}" pid="18" name="ContentTypeId">
    <vt:lpwstr>0x0101003A00EECCAA3DB94895FACE15614ECBE0</vt:lpwstr>
  </property>
</Properties>
</file>