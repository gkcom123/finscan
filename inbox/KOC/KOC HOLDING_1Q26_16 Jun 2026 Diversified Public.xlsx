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1PEPF0000192D\EXCELCNV\5b3bb1f5-c1dd-41bd-a096-dbd42e74ae49\"/>
    </mc:Choice>
  </mc:AlternateContent>
  <xr:revisionPtr revIDLastSave="0" documentId="8_{CB2570C9-73E9-40F1-A112-9C17384E5A08}" xr6:coauthVersionLast="47" xr6:coauthVersionMax="47" xr10:uidLastSave="{00000000-0000-0000-0000-000000000000}"/>
  <bookViews>
    <workbookView xWindow="-60" yWindow="-60" windowWidth="15480" windowHeight="11640" xr2:uid="{82ECADA7-9ED3-45B1-A5F4-BE57DC75745D}"/>
  </bookViews>
  <sheets>
    <sheet name="Capitalisation" sheetId="17" r:id="rId1"/>
    <sheet name="Model" sheetId="15" r:id="rId2"/>
    <sheet name="KPI" sheetId="19" r:id="rId3"/>
    <sheet name="Sheet2" sheetId="16" state="hidden" r:id="rId4"/>
    <sheet name="Terms" sheetId="18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0">MonthlyOpStats</definedName>
    <definedName name="_01_30_04" localSheetId="1">MonthlyOpStats</definedName>
    <definedName name="_01_30_04" localSheetId="4">MonthlyOpStats</definedName>
    <definedName name="_01_30_04">MonthlyOpStats</definedName>
    <definedName name="_1_30_01" localSheetId="0">MonthlyOpStats</definedName>
    <definedName name="_1_30_01" localSheetId="1">MonthlyOpStats</definedName>
    <definedName name="_1_30_01" localSheetId="4">MonthlyOpStats</definedName>
    <definedName name="_1_30_01">MonthlyOpStats</definedName>
    <definedName name="_1_30_02" localSheetId="0">MonthlyOpStats</definedName>
    <definedName name="_1_30_02" localSheetId="1">MonthlyOpStats</definedName>
    <definedName name="_1_30_02" localSheetId="4">MonthlyOpStats</definedName>
    <definedName name="_1_30_02">MonthlyOpStats</definedName>
    <definedName name="_1_31_01" localSheetId="0">MonthlyOpStats</definedName>
    <definedName name="_1_31_01" localSheetId="1">MonthlyOpStats</definedName>
    <definedName name="_1_31_01" localSheetId="4">MonthlyOpStats</definedName>
    <definedName name="_1_31_01">MonthlyOpStats</definedName>
    <definedName name="_1_31_02" localSheetId="0">MonthlyOpStats</definedName>
    <definedName name="_1_31_02" localSheetId="1">MonthlyOpStats</definedName>
    <definedName name="_1_31_02" localSheetId="4">MonthlyOpStats</definedName>
    <definedName name="_1_31_02">MonthlyOpStats</definedName>
    <definedName name="_12_31_05" localSheetId="0">MonthlyOpStats</definedName>
    <definedName name="_12_31_05" localSheetId="1">MonthlyOpStats</definedName>
    <definedName name="_12_31_05" localSheetId="4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[15]Inputs!$J$17</definedName>
    <definedName name="_ent10">[15]Inputs!$J$476</definedName>
    <definedName name="_ent11">[15]Inputs!$J$527</definedName>
    <definedName name="_ent12">[15]Inputs!$J$578</definedName>
    <definedName name="_ent13">[15]Inputs!$J$629</definedName>
    <definedName name="_ent14">[15]Inputs!$J$680</definedName>
    <definedName name="_ent15">[15]Inputs!$J$731</definedName>
    <definedName name="_ent2">[15]Inputs!$J$68</definedName>
    <definedName name="_ent3">[15]Inputs!$J$119</definedName>
    <definedName name="_ent4">[15]Inputs!$J$170</definedName>
    <definedName name="_ent5">[15]Inputs!$J$221</definedName>
    <definedName name="_ent6">[15]Inputs!$J$272</definedName>
    <definedName name="_ent7">[15]Inputs!$J$323</definedName>
    <definedName name="_ent8">[15]Inputs!$J$374</definedName>
    <definedName name="_ent9">[15]Inputs!$J$425</definedName>
    <definedName name="_eps1">[15]Inputs!$P$42</definedName>
    <definedName name="_eps10">[15]Inputs!$P$501</definedName>
    <definedName name="_eps11">[15]Inputs!$P$552</definedName>
    <definedName name="_eps12">[15]Inputs!$P$603</definedName>
    <definedName name="_eps13">[15]Inputs!$P$654</definedName>
    <definedName name="_eps14">[15]Inputs!$P$705</definedName>
    <definedName name="_eps15">[15]Inputs!$P$756</definedName>
    <definedName name="_eps2">[15]Inputs!$P$93</definedName>
    <definedName name="_eps3">[15]Inputs!$P$144</definedName>
    <definedName name="_eps4">[15]Inputs!$P$195</definedName>
    <definedName name="_eps5">[15]Inputs!$P$246</definedName>
    <definedName name="_eps6">[15]Inputs!$P$297</definedName>
    <definedName name="_eps7">[15]Inputs!$P$348</definedName>
    <definedName name="_eps8">[15]Inputs!$P$399</definedName>
    <definedName name="_eps9">[15]Inputs!$P$450</definedName>
    <definedName name="_Fill" localSheetId="1" hidden="1">[1]FxdChg!#REF!</definedName>
    <definedName name="_Fill" localSheetId="4" hidden="1">[1]FxdChg!#REF!</definedName>
    <definedName name="_Fill" hidden="1">[1]FxdChg!#REF!</definedName>
    <definedName name="_fye1">[15]Inputs!$E$12</definedName>
    <definedName name="_fye10">[15]Inputs!$E$471</definedName>
    <definedName name="_fye11">[15]Inputs!$E$522</definedName>
    <definedName name="_fye12">[15]Inputs!$E$573</definedName>
    <definedName name="_fye13">[15]Inputs!$E$624</definedName>
    <definedName name="_fye14">[15]Inputs!$E$675</definedName>
    <definedName name="_fye15">[15]Inputs!$E$726</definedName>
    <definedName name="_fye2">[15]Inputs!$E$63</definedName>
    <definedName name="_fye3">[15]Inputs!$E$114</definedName>
    <definedName name="_fye4">[15]Inputs!$E$165</definedName>
    <definedName name="_fye5">[15]Inputs!$E$216</definedName>
    <definedName name="_fye6">[15]Inputs!$E$267</definedName>
    <definedName name="_fye7">[15]Inputs!$E$318</definedName>
    <definedName name="_fye8">[15]Inputs!$E$369</definedName>
    <definedName name="_fye9">[15]Inputs!$E$420</definedName>
    <definedName name="_GEI_Returns" localSheetId="1">[2]Model!#REF!</definedName>
    <definedName name="_GEI_Returns" localSheetId="4">[2]Model!#REF!</definedName>
    <definedName name="_GEI_Returns">[2]Model!#REF!</definedName>
    <definedName name="_L">#REF!</definedName>
    <definedName name="_L___0">#REF!</definedName>
    <definedName name="_mv1">[15]Inputs!$J$16</definedName>
    <definedName name="_mv10">[15]Inputs!$J$475</definedName>
    <definedName name="_mv11">[15]Inputs!$J$526</definedName>
    <definedName name="_mv12">[15]Inputs!$J$577</definedName>
    <definedName name="_mv13">[15]Inputs!$J$628</definedName>
    <definedName name="_mv14">[15]Inputs!$J$679</definedName>
    <definedName name="_mv15">[15]Inputs!$J$730</definedName>
    <definedName name="_mv2">[15]Inputs!$J$67</definedName>
    <definedName name="_mv3">[15]Inputs!$J$118</definedName>
    <definedName name="_mv4">[15]Inputs!$J$169</definedName>
    <definedName name="_mv5">[15]Inputs!$J$220</definedName>
    <definedName name="_mv6">[15]Inputs!$J$271</definedName>
    <definedName name="_mv7">[15]Inputs!$J$322</definedName>
    <definedName name="_mv8">[15]Inputs!$J$373</definedName>
    <definedName name="_mv9">[15]Inputs!$J$424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 localSheetId="1">'[3]Tanning Assumptions'!#REF!</definedName>
    <definedName name="Accrued_Comp_Sales" localSheetId="4">'[3]Tanning Assumptions'!#REF!</definedName>
    <definedName name="Accrued_Comp_Sales">'[3]Tanning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 localSheetId="1">#REF!</definedName>
    <definedName name="AICORR" localSheetId="4">#REF!</definedName>
    <definedName name="AICORR">#REF!</definedName>
    <definedName name="AllBH">#REF!</definedName>
    <definedName name="allProjects">#REF!</definedName>
    <definedName name="amort" localSheetId="1">[4]Inputs!#REF!</definedName>
    <definedName name="amort" localSheetId="4">[4]Inputs!#REF!</definedName>
    <definedName name="amort">[4]Inputs!#REF!</definedName>
    <definedName name="AP_Sales" localSheetId="1">'[3]Tanning Assumptions'!#REF!</definedName>
    <definedName name="AP_Sales" localSheetId="4">'[3]Tanning Assumptions'!#REF!</definedName>
    <definedName name="AP_Sales">'[3]Tanning Assumptions'!#REF!</definedName>
    <definedName name="AR_Other_Sales" localSheetId="1">'[3]Tanning Assumptions'!#REF!</definedName>
    <definedName name="AR_Other_Sales" localSheetId="4">'[3]Tanning Assumptions'!#REF!</definedName>
    <definedName name="AR_Other_Sales">'[3]Tanning Assumptions'!#REF!</definedName>
    <definedName name="AR_Trade_Sales" localSheetId="1">'[3]Tanning Assumptions'!#REF!</definedName>
    <definedName name="AR_Trade_Sales" localSheetId="4">'[3]Tanning Assumptions'!#REF!</definedName>
    <definedName name="AR_Trade_Sales">'[3]Tanning Assumptions'!#REF!</definedName>
    <definedName name="As_Of_Date">[5]Selections!$C$2</definedName>
    <definedName name="asdfa">#REF!</definedName>
    <definedName name="AsOfDate">'[6]AUM YTD 2000'!$W$1</definedName>
    <definedName name="ASSUMPTIONS">#REF!</definedName>
    <definedName name="B_S" localSheetId="1">#REF!</definedName>
    <definedName name="B_S" localSheetId="4">#REF!</definedName>
    <definedName name="B_S">#REF!</definedName>
    <definedName name="Baa_Recovery">#REF!</definedName>
    <definedName name="bal">#REF!</definedName>
    <definedName name="banner2">[7]CONTROL!$D$10</definedName>
    <definedName name="banner2___0">[7]CONTROL!$D$10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 localSheetId="1">[4]Inputs!#REF!</definedName>
    <definedName name="bs" localSheetId="4">[4]Inputs!#REF!</definedName>
    <definedName name="bs">[4]Inputs!#REF!</definedName>
    <definedName name="case">#REF!</definedName>
    <definedName name="case1">[8]CONTROL!$A$12</definedName>
    <definedName name="case2">[8]CONTROL!$A$13</definedName>
    <definedName name="case3">[8]CONTROL!$A$14</definedName>
    <definedName name="CASH_FLOW" localSheetId="1">#REF!</definedName>
    <definedName name="CASH_FLOW" localSheetId="4">#REF!</definedName>
    <definedName name="CASH_FLOW">#REF!</definedName>
    <definedName name="Cash_Sales" localSheetId="1">'[3]Tanning Assumptions'!#REF!</definedName>
    <definedName name="Cash_Sales" localSheetId="4">'[3]Tanning Assumptions'!#REF!</definedName>
    <definedName name="Cash_Sales">'[3]Tanning Assumptions'!#REF!</definedName>
    <definedName name="CASHBUDGET" localSheetId="1">#REF!</definedName>
    <definedName name="CASHBUDGET" localSheetId="4">#REF!</definedName>
    <definedName name="CASHBUDGET">#REF!</definedName>
    <definedName name="CASHBUDGET___0" localSheetId="1">#REF!</definedName>
    <definedName name="CASHBUDGET___0" localSheetId="4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 localSheetId="1">#REF!</definedName>
    <definedName name="cashint" localSheetId="4">#REF!</definedName>
    <definedName name="cashint">#REF!</definedName>
    <definedName name="cashint___0" localSheetId="1">#REF!</definedName>
    <definedName name="cashint___0" localSheetId="4">#REF!</definedName>
    <definedName name="cashint___0">#REF!</definedName>
    <definedName name="CBHC">#REF!</definedName>
    <definedName name="cfl">#REF!</definedName>
    <definedName name="ChartDataRange">#REF!</definedName>
    <definedName name="CINC" localSheetId="1">#REF!</definedName>
    <definedName name="CINC" localSheetId="4">#REF!</definedName>
    <definedName name="CINC">#REF!</definedName>
    <definedName name="CIQWBGuid" hidden="1">"427c18b5-4d77-45ea-936a-1253880ac5f0"</definedName>
    <definedName name="circ" localSheetId="1">[4]Inputs!#REF!</definedName>
    <definedName name="circ" localSheetId="4">[4]Inputs!#REF!</definedName>
    <definedName name="circ">[4]Inputs!#REF!</definedName>
    <definedName name="CircRev">#REF!</definedName>
    <definedName name="Class_3_Agg_Cash" localSheetId="1">[9]Revolver!#REF!</definedName>
    <definedName name="Class_3_Agg_Cash" localSheetId="4">[9]Revolver!#REF!</definedName>
    <definedName name="Class_3_Agg_Cash">[9]Revolver!#REF!</definedName>
    <definedName name="Class_3_Amt_BET" localSheetId="1">[9]Revolver!#REF!</definedName>
    <definedName name="Class_3_Amt_BET" localSheetId="4">[9]Revolver!#REF!</definedName>
    <definedName name="Class_3_Amt_BET">[9]Revolver!#REF!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'[5]Debt Structure'!$AN$7</definedName>
    <definedName name="ClassABCD">'[5]Debt Structure'!$AN$8</definedName>
    <definedName name="ClassABCDE">'[5]Debt Structure'!$AN$9</definedName>
    <definedName name="Clients" localSheetId="1">#REF!</definedName>
    <definedName name="Clients" localSheetId="4">#REF!</definedName>
    <definedName name="Clients">#REF!</definedName>
    <definedName name="closing_date">#REF!</definedName>
    <definedName name="closingttmrevenue">#REF!</definedName>
    <definedName name="CMBSIG" localSheetId="1">#REF!</definedName>
    <definedName name="CMBSIG" localSheetId="4">#REF!</definedName>
    <definedName name="CMBSIG">#REF!</definedName>
    <definedName name="Column_Lookup">'[10]MASTER DRIVER'!$C$5:$D$29</definedName>
    <definedName name="COMBINED_J_W__3_111403_JUP_IND_PROFORMA_List">#REF!</definedName>
    <definedName name="company">[11]CONTROL!$D$7</definedName>
    <definedName name="company___0">[7]CONTROL!$D$7</definedName>
    <definedName name="cons">#REF!</definedName>
    <definedName name="consultants">#REF!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0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'[12]MASTER DRIVERS'!$A$1</definedName>
    <definedName name="COSTREPORT">#REF!</definedName>
    <definedName name="COSTREPORT___0">#REF!</definedName>
    <definedName name="counter" localSheetId="1">'[13]Portfolio Input'!#REF!</definedName>
    <definedName name="counter" localSheetId="4">'[13]Portfolio Input'!#REF!</definedName>
    <definedName name="counter">'[13]Portfolio Input'!#REF!</definedName>
    <definedName name="counter2" localSheetId="1">'[13]Portfolio Input'!#REF!</definedName>
    <definedName name="counter2" localSheetId="4">'[13]Portfolio Input'!#REF!</definedName>
    <definedName name="counter2">'[13]Portfolio Input'!#REF!</definedName>
    <definedName name="Coupon">[14]Inputs!$J$30</definedName>
    <definedName name="CSEnd">#REF!</definedName>
    <definedName name="CSHO" localSheetId="1">#REF!</definedName>
    <definedName name="CSHO" localSheetId="4">#REF!</definedName>
    <definedName name="CSHO">#REF!</definedName>
    <definedName name="CSHPRI" localSheetId="1">#REF!</definedName>
    <definedName name="CSHPRI" localSheetId="4">#REF!</definedName>
    <definedName name="CSHPRI">#REF!</definedName>
    <definedName name="current1">[15]Inputs!$E$21</definedName>
    <definedName name="current10">[15]Inputs!$E$480</definedName>
    <definedName name="current11">[15]Inputs!$E$531</definedName>
    <definedName name="current12">[15]Inputs!$E$582</definedName>
    <definedName name="current13">[15]Inputs!$E$633</definedName>
    <definedName name="current14">[15]Inputs!$E$684</definedName>
    <definedName name="current15">[15]Inputs!$E$735</definedName>
    <definedName name="current2">[15]Inputs!$E$72</definedName>
    <definedName name="current3">[15]Inputs!$E$123</definedName>
    <definedName name="current4">[15]Inputs!$E$174</definedName>
    <definedName name="current5">[15]Inputs!$E$225</definedName>
    <definedName name="current6">[15]Inputs!$E$276</definedName>
    <definedName name="current7">[15]Inputs!$E$327</definedName>
    <definedName name="current8">[15]Inputs!$E$378</definedName>
    <definedName name="current9">[15]Inputs!$E$429</definedName>
    <definedName name="CustomPubSales">#REF!</definedName>
    <definedName name="Date" localSheetId="1">[16]Comps!#REF!</definedName>
    <definedName name="Date" localSheetId="4">[16]Comps!#REF!</definedName>
    <definedName name="Date">[16]Comps!#REF!</definedName>
    <definedName name="Date_OC1">OFFSET([5]OCTrends!$B$2,0,0,COUNTA([5]OCTrends!$B$1:$B$65536)-1)</definedName>
    <definedName name="Date_OC2">OFFSET([5]OCTrends!$G$2,0,0,COUNTA([5]OCTrends!$G$1:$G$65536)-1)</definedName>
    <definedName name="Date_OC3">OFFSET([5]OCTrends!$L$2,0,0,COUNTA([5]OCTrends!$L$1:$L$65536)-1)</definedName>
    <definedName name="debtsched" localSheetId="1">[4]Inputs!#REF!</definedName>
    <definedName name="debtsched" localSheetId="4">[4]Inputs!#REF!</definedName>
    <definedName name="debtsched">[4]Inputs!#REF!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 localSheetId="1">#REF!</definedName>
    <definedName name="Default_Table" localSheetId="4">#REF!</definedName>
    <definedName name="Default_Table">#REF!</definedName>
    <definedName name="Default_Timing">#REF!</definedName>
    <definedName name="depsched" localSheetId="1">[4]Inputs!#REF!</definedName>
    <definedName name="depsched" localSheetId="4">[4]Inputs!#REF!</definedName>
    <definedName name="depsched">[4]Inputs!#REF!</definedName>
    <definedName name="DivActual">OFFSET([5]DivTrends!$C$2,0,0,COUNTA([5]DivTrends!$C$1:$C$65536)-1)</definedName>
    <definedName name="DivCovenant">OFFSET([5]DivTrends!$D$2,0,0,COUNTA([5]DivTrends!$D$1:$D$65536)-1)</definedName>
    <definedName name="DivDate">OFFSET([5]DivTrends!$B$2,0,0,COUNTA([5]DivTrends!$B$1:$B$65536)-1)</definedName>
    <definedName name="Diversity">'[6]Actual vs Covenant'!$P$41:$Q$48</definedName>
    <definedName name="DiversityScore">#REF!</definedName>
    <definedName name="earnout">#REF!</definedName>
    <definedName name="earnout___0">#REF!</definedName>
    <definedName name="EBIT">Model!$B$33</definedName>
    <definedName name="EBITDA">#REF!</definedName>
    <definedName name="ebitda1">[15]Inputs!$P$46</definedName>
    <definedName name="ebitda10">[15]Inputs!$P$505</definedName>
    <definedName name="ebitda11">[15]Inputs!$P$556</definedName>
    <definedName name="ebitda12">[15]Inputs!$P$607</definedName>
    <definedName name="ebitda13">[15]Inputs!$P$658</definedName>
    <definedName name="ebitda14">[15]Inputs!$P$709</definedName>
    <definedName name="ebitda15">[15]Inputs!$P$760</definedName>
    <definedName name="ebitda2">[15]Inputs!$P$97</definedName>
    <definedName name="ebitda3">[15]Inputs!$P$148</definedName>
    <definedName name="ebitda4">[15]Inputs!$P$199</definedName>
    <definedName name="ebitda5">[15]Inputs!$P$250</definedName>
    <definedName name="ebitda6">[15]Inputs!$P$301</definedName>
    <definedName name="ebitda7">[15]Inputs!$P$352</definedName>
    <definedName name="ebitda8">[15]Inputs!$P$403</definedName>
    <definedName name="ebitda9">[15]Inputs!$P$454</definedName>
    <definedName name="effective_date">#REF!</definedName>
    <definedName name="ELC1_Top3">[6]TOP10!$D$3</definedName>
    <definedName name="ELC1_Top4">[6]TOP10!$D$8</definedName>
    <definedName name="ELC1FitchRatingChartData">[6]ELC1!$G$2:$H$11</definedName>
    <definedName name="ELC1FitchRatingChartSerial1">[6]ELC1!$H$2:$H$11</definedName>
    <definedName name="ELC1FitchRatingChartXScale">[6]ELC1!$G$2:$G$11</definedName>
    <definedName name="ELC1MoodyRatingChartData">[6]ELC1!$A$2:$B$14</definedName>
    <definedName name="ELC1MoodyRatingChartSerial1">[6]ELC1!$B$2:$B$14</definedName>
    <definedName name="ELC1MoodyRatingChartXScale">[6]ELC1!$A$2:$A$14</definedName>
    <definedName name="ELC1SPRatingChartData">[6]ELC1!$D$2:$E$14</definedName>
    <definedName name="ELC1SPRatingChartSerial1">[6]ELC1!$E$2:$E$14</definedName>
    <definedName name="ELC1SPRatingChartXScale">[6]ELC1!$D$2:$D$14</definedName>
    <definedName name="ELC2_Top3">[6]TOP10!$G$3</definedName>
    <definedName name="ELC2_Top4">[6]TOP10!$G$8</definedName>
    <definedName name="ELC2FitchRatingChartData">[6]ELC2!$G$2:$H$12</definedName>
    <definedName name="ELC2FitchRatingChartSerial1">[6]ELC2!$H$2:$H$12</definedName>
    <definedName name="ELC2FitchRatingChartXScale">[6]ELC2!$G$2:$G$12</definedName>
    <definedName name="ELC2MoodyRatingChartData">[6]ELC2!$A$2:$B$15</definedName>
    <definedName name="ELC2MoodyRatingChartSerial1">[6]ELC2!$B$2:$B$15</definedName>
    <definedName name="ELC2MoodyRatingChartXScale">[6]ELC2!$A$2:$A$15</definedName>
    <definedName name="ELC2SPRatingChartData">[6]ELC2!$D$2:$E$15</definedName>
    <definedName name="ELC2SPRatingChartSerial1">[6]ELC2!$E$2:$E$15</definedName>
    <definedName name="ELC2SPRatingChartXScale">[6]ELC2!$D$2:$D$15</definedName>
    <definedName name="ELC3_Top3">[6]TOP10!$J$3</definedName>
    <definedName name="ELC3_Top4">[6]TOP10!$J$8</definedName>
    <definedName name="ELC3FitchRatingChartData">[6]ELC3!$G$2:$H$14</definedName>
    <definedName name="ELC3FitchRatingChartSerial1">[6]ELC3!$H$2:$H$14</definedName>
    <definedName name="ELC3FitchRatingChartXScale">[6]ELC3!$G$2:$G$14</definedName>
    <definedName name="ELC3MoodyRatingChartData">[6]ELC3!$A$2:$B$15</definedName>
    <definedName name="ELC3MoodyRatingChartSerial1">[6]ELC3!$B$2:$B$15</definedName>
    <definedName name="ELC3MoodyRatingChartXScale">[6]ELC3!$A$2:$A$15</definedName>
    <definedName name="ELC3SPRatingChartData">[6]ELC3!$D$2:$E$16</definedName>
    <definedName name="ELC3SPRatingChartSerial1">[6]ELC3!$E$2:$E$16</definedName>
    <definedName name="ELC3SPRatingChartXScale">[6]ELC3!$D$2:$D$16</definedName>
    <definedName name="ELC4_Top3">[6]TOP10!$M$3</definedName>
    <definedName name="ELC4_Top4">[6]TOP10!$M$8</definedName>
    <definedName name="ELC4FitchRatingChartData">[6]ELC4!$G$2:$H$8</definedName>
    <definedName name="ELC4FitchRatingChartSerial1">[6]ELC4!$H$2:$H$8</definedName>
    <definedName name="ELC4FitchRatingChartXScale">[6]ELC4!$G$2:$G$8</definedName>
    <definedName name="ELC4MoodyRatingChartData">[6]ELC4!$A$2:$B$13</definedName>
    <definedName name="ELC4MoodyRatingChartSerial1">[6]ELC4!$B$2:$B$13</definedName>
    <definedName name="ELC4MoodyRatingChartXScale">[6]ELC4!$A$2:$A$13</definedName>
    <definedName name="ELC4SPRatingChartData">[6]ELC4!$D$2:$E$14</definedName>
    <definedName name="ELC4SPRatingChartSerial1">[6]ELC4!$E$2:$E$14</definedName>
    <definedName name="ELC4SPRatingChartXScale">[6]ELC4!$D$2:$D$14</definedName>
    <definedName name="ELC5_Top3">[6]TOP10!$P$3</definedName>
    <definedName name="ELC5_Top4">[6]TOP10!$P$8</definedName>
    <definedName name="ELC5FitchRatingChartData">[6]ELC5!$G$2:$H$9</definedName>
    <definedName name="ELC5FitchRatingChartSerial1">[6]ELC5!$H$2:$H$9</definedName>
    <definedName name="ELC5FitchRatingChartXScale">[6]ELC5!$G$2:$G$9</definedName>
    <definedName name="ELC5MoodyRatingChartData">[6]ELC5!$A$2:$B$14</definedName>
    <definedName name="ELC5MoodyRatingChartSerial1">[6]ELC5!$B$2:$B$14</definedName>
    <definedName name="ELC5MoodyRatingChartXScale">[6]ELC5!$A$2:$A$14</definedName>
    <definedName name="ELC5SPRatingChartData">[6]ELC5!$D$2:$E$14</definedName>
    <definedName name="ELC5SPRatingChartSerial1">[6]ELC5!$E$2:$E$14</definedName>
    <definedName name="ELC5SPRatingChartXScale">[6]ELC5!$D$2:$D$14</definedName>
    <definedName name="employees">#REF!</definedName>
    <definedName name="EndDay">[5]Selections!$R$3</definedName>
    <definedName name="EndMonth">[5]Selections!$R$2</definedName>
    <definedName name="EndYear">[5]Selections!$R$1</definedName>
    <definedName name="ePrint" localSheetId="1">[17]Consolidated!#REF!</definedName>
    <definedName name="ePrint" localSheetId="4">[17]Consolidated!#REF!</definedName>
    <definedName name="ePrint">[17]Consolidated!#REF!</definedName>
    <definedName name="EQUITY">'[8]S&amp;U'!$E$12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[5]Selections!$U$2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0" hidden="1">{"BS",#N/A,FALSE,"USA"}</definedName>
    <definedName name="FSoPacific" hidden="1">{"BS",#N/A,FALSE,"USA"}</definedName>
    <definedName name="Fund">[5]Selections!$A$1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[15]Inputs!$E$23</definedName>
    <definedName name="high10">[15]Inputs!$E$482</definedName>
    <definedName name="high11">[15]Inputs!$E$533</definedName>
    <definedName name="high12">[15]Inputs!$E$584</definedName>
    <definedName name="high13">[15]Inputs!$E$635</definedName>
    <definedName name="high14">[15]Inputs!$E$686</definedName>
    <definedName name="high15">[15]Inputs!$E$737</definedName>
    <definedName name="high2">[15]Inputs!$E$74</definedName>
    <definedName name="high3">[15]Inputs!$E$125</definedName>
    <definedName name="high4">[15]Inputs!$E$176</definedName>
    <definedName name="high5">[15]Inputs!$E$227</definedName>
    <definedName name="high6">[15]Inputs!$E$278</definedName>
    <definedName name="high7">[15]Inputs!$E$329</definedName>
    <definedName name="high8">[15]Inputs!$E$380</definedName>
    <definedName name="high9">[15]Inputs!$E$431</definedName>
    <definedName name="hl" localSheetId="1">'[20]LBO Summary'!#REF!</definedName>
    <definedName name="hl" localSheetId="4">'[20]LBO Summary'!#REF!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OFFSET([5]ICTrends!$C$2,0,0,COUNTA([5]ICTrends!$C$1:$C$65536)-1)</definedName>
    <definedName name="IC1ChartTitle">[5]ICTrends!$W$1</definedName>
    <definedName name="IC1Covenant">OFFSET([5]ICTrends!$D$2,0,0,COUNTA([5]ICTrends!$D$1:$D$65536)-1)</definedName>
    <definedName name="IC1Date">OFFSET([5]ICTrends!$B$2,0,0,COUNTA([5]ICTrends!$B$1:$B$65536)-1)</definedName>
    <definedName name="IC2Actual">OFFSET([5]ICTrends!$H$2,0,0,COUNTA([5]ICTrends!$H$1:$H$65536)-1)</definedName>
    <definedName name="IC2Covenant">OFFSET([5]ICTrends!$I$2,0,0,COUNTA([5]ICTrends!$I$1:$I$65536)-1)</definedName>
    <definedName name="IC2Date">OFFSET([5]ICTrends!$G$2,0,0,COUNTA([5]ICTrends!$G$1:$G$65536)-1)</definedName>
    <definedName name="IC3Actual">OFFSET([5]ICTrends!$M$2,0,0,COUNTA([5]ICTrends!$M$1:$M$65536)-1)</definedName>
    <definedName name="IC3Covenant">OFFSET([5]ICTrends!$N$2,0,0,COUNTA([5]ICTrends!$N$1:$N$65536)-1)</definedName>
    <definedName name="IC3Date">OFFSET([5]ICTrends!$L$2,0,0,COUNTA([5]ICTrends!$L$1:$L$65536)-1)</definedName>
    <definedName name="IC4Actual">OFFSET([5]ICTrends!$R$2,0,0,COUNTA([5]ICTrends!$R$1:$R$65536)-1)</definedName>
    <definedName name="IC4Covenant">OFFSET([5]ICTrends!$S$2,0,0,COUNTA([5]ICTrends!$S$1:$S$65536)-1)</definedName>
    <definedName name="IC4Date">OFFSET([5]ICTrends!$Q$2,0,0,COUNTA([5]ICTrends!$Q$1:$Q$65536)-1)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 hidden="1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 hidden="1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 hidden="1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[15]Inputs!$E$13</definedName>
    <definedName name="latest10">[15]Inputs!$E$472</definedName>
    <definedName name="latest11">[15]Inputs!$E$523</definedName>
    <definedName name="latest12">[15]Inputs!$E$574</definedName>
    <definedName name="latest13">[15]Inputs!$E$625</definedName>
    <definedName name="latest14">[15]Inputs!$E$676</definedName>
    <definedName name="latest15">[15]Inputs!$E$727</definedName>
    <definedName name="latest2">[15]Inputs!$E$64</definedName>
    <definedName name="latest3">[15]Inputs!$E$115</definedName>
    <definedName name="latest4">[15]Inputs!$E$166</definedName>
    <definedName name="latest5">[15]Inputs!$E$217</definedName>
    <definedName name="latest6">[15]Inputs!$E$268</definedName>
    <definedName name="latest7">[15]Inputs!$E$319</definedName>
    <definedName name="latest8">[15]Inputs!$E$370</definedName>
    <definedName name="latest9">[15]Inputs!$E$421</definedName>
    <definedName name="LBO" localSheetId="1">'[8]S&amp;U'!#REF!</definedName>
    <definedName name="LBO" localSheetId="4">'[8]S&amp;U'!#REF!</definedName>
    <definedName name="LBO">'[8]S&amp;U'!#REF!</definedName>
    <definedName name="left">#REF!</definedName>
    <definedName name="lett" localSheetId="1">#REF!</definedName>
    <definedName name="lett" localSheetId="4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 localSheetId="1">[9]Revolver!#REF!</definedName>
    <definedName name="LIBOR_Minus_1SD" localSheetId="4">[9]Revolver!#REF!</definedName>
    <definedName name="LIBOR_Minus_1SD">[9]Revolver!#REF!</definedName>
    <definedName name="Libor_Minus_2SD" localSheetId="1">[9]Revolver!#REF!</definedName>
    <definedName name="Libor_Minus_2SD" localSheetId="4">[9]Revolver!#REF!</definedName>
    <definedName name="Libor_Minus_2SD">[9]Revolver!#REF!</definedName>
    <definedName name="Libor_Plus_0SD" localSheetId="1">[9]Revolver!#REF!</definedName>
    <definedName name="Libor_Plus_0SD" localSheetId="4">[9]Revolver!#REF!</definedName>
    <definedName name="Libor_Plus_0SD">[9]Revolver!#REF!</definedName>
    <definedName name="Libor_Plus_1SD" localSheetId="1">[9]Revolver!#REF!</definedName>
    <definedName name="Libor_Plus_1SD" localSheetId="4">[9]Revolver!#REF!</definedName>
    <definedName name="Libor_Plus_1SD">[9]Revolver!#REF!</definedName>
    <definedName name="Libor_Plus_2SD" localSheetId="1">[9]Revolver!#REF!</definedName>
    <definedName name="Libor_Plus_2SD" localSheetId="4">[9]Revolver!#REF!</definedName>
    <definedName name="Libor_Plus_2SD">[9]Revolver!#REF!</definedName>
    <definedName name="Libor_Scenario">#REF!</definedName>
    <definedName name="Libor_Up">#REF!</definedName>
    <definedName name="longterm" localSheetId="1">[4]Inputs!#REF!</definedName>
    <definedName name="longterm" localSheetId="4">[4]Inputs!#REF!</definedName>
    <definedName name="longterm">[4]Inputs!#REF!</definedName>
    <definedName name="LTM_DATE">#REF!</definedName>
    <definedName name="Marketable_securities" localSheetId="1">'[22]Fly-by-night - problem 5'!#REF!</definedName>
    <definedName name="Marketable_securities" localSheetId="4">'[22]Fly-by-night - problem 5'!#REF!</definedName>
    <definedName name="Marketable_securities">'[22]Fly-by-night - problem 5'!#REF!</definedName>
    <definedName name="MaxMarkDate">[6]SaleData!$M$3</definedName>
    <definedName name="mcs03g.ReqArray" localSheetId="0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 localSheetId="1">#REF!</definedName>
    <definedName name="MKVALM" localSheetId="4">#REF!</definedName>
    <definedName name="MKVALM">#REF!</definedName>
    <definedName name="MONTHLYSALES" localSheetId="1">#REF!</definedName>
    <definedName name="MONTHLYSALES" localSheetId="4">#REF!</definedName>
    <definedName name="MONTHLYSALES">#REF!</definedName>
    <definedName name="MONTHLYSALES___0" localSheetId="1">#REF!</definedName>
    <definedName name="MONTHLYSALES___0" localSheetId="4">#REF!</definedName>
    <definedName name="MONTHLYSALES___0">#REF!</definedName>
    <definedName name="moodys">#REF!</definedName>
    <definedName name="mu">'[23]LBO Summary'!$G$130</definedName>
    <definedName name="Name">[4]Info!$C$8</definedName>
    <definedName name="name1">[15]Inputs!$E$10</definedName>
    <definedName name="name10">[15]Inputs!$E$469</definedName>
    <definedName name="name11">[15]Inputs!$E$520</definedName>
    <definedName name="name12">[15]Inputs!$E$571</definedName>
    <definedName name="name13">[15]Inputs!$E$622</definedName>
    <definedName name="name14">[15]Inputs!$E$673</definedName>
    <definedName name="name15">[15]Inputs!$E$724</definedName>
    <definedName name="name2">[15]Inputs!$E$61</definedName>
    <definedName name="name3">[15]Inputs!$E$112</definedName>
    <definedName name="name4">[15]Inputs!$E$163</definedName>
    <definedName name="name5">[15]Inputs!$E$214</definedName>
    <definedName name="name6">[15]Inputs!$E$265</definedName>
    <definedName name="name7">[15]Inputs!$E$316</definedName>
    <definedName name="name8">[15]Inputs!$E$367</definedName>
    <definedName name="name9">[15]Inputs!$E$418</definedName>
    <definedName name="NDY" localSheetId="1">#REF!</definedName>
    <definedName name="NDY" localSheetId="4">#REF!</definedName>
    <definedName name="NDY">#REF!</definedName>
    <definedName name="NDYWGT" localSheetId="1">#REF!</definedName>
    <definedName name="NDYWGT" localSheetId="4">#REF!</definedName>
    <definedName name="NDYWGT">#REF!</definedName>
    <definedName name="OC1Actual">OFFSET([5]OCTrends!$C$2,0,0,COUNTA([5]OCTrends!$C$1:$C$65536)-1)</definedName>
    <definedName name="OC1ChartTitle">[5]OCTrends!$W$1</definedName>
    <definedName name="OC1Covenant">OFFSET([5]OCTrends!$D$2,0,0,COUNTA([5]OCTrends!$D$1:$D$65536)-1)</definedName>
    <definedName name="OC1Date">OFFSET([5]OCTrends!$B$2,0,0,COUNTA([5]OCTrends!$B$1:$B$65536)-1)</definedName>
    <definedName name="OC2Actual">OFFSET([5]OCTrends!$H$2,0,0,COUNTA([5]OCTrends!$H$1:$H$65536)-1)</definedName>
    <definedName name="OC2Covenant">OFFSET([5]OCTrends!$I$2,0,0,COUNTA([5]OCTrends!$I$1:$I$65536)-1)</definedName>
    <definedName name="OC2Date">OFFSET([5]OCTrends!$G$2,0,0,COUNTA([5]OCTrends!$G$1:$G$65536)-1)</definedName>
    <definedName name="OC3Actual">OFFSET([5]OCTrends!$M$2,0,0,COUNTA([5]OCTrends!$M$1:$M$65536)-1)</definedName>
    <definedName name="OC3Covenant">OFFSET([5]OCTrends!$N$2,0,0,COUNTA([5]OCTrends!$N$1:$N$65536)-1)</definedName>
    <definedName name="OC3Date">OFFSET([5]OCTrends!$L$2,0,0,COUNTA([5]OCTrends!$L$1:$L$65536)-1)</definedName>
    <definedName name="OC4Actual">OFFSET([5]OCTrends!$R$2,0,0,COUNTA([5]OCTrends!$R$1:$R$65536)-1)</definedName>
    <definedName name="OC4Covenant">OFFSET([5]OCTrends!$S$2,0,0,COUNTA([5]OCTrends!$S$1:$S$65536)-1)</definedName>
    <definedName name="OC4Date">OFFSET([5]OCTrends!$Q$2,0,0,COUNTA([5]OCTrends!$Q$1:$Q$65536)-1)</definedName>
    <definedName name="Order">#REF!</definedName>
    <definedName name="Other_assets" localSheetId="1">'[22]Fly-by-night - problem 5'!#REF!</definedName>
    <definedName name="Other_assets" localSheetId="4">'[22]Fly-by-night - problem 5'!#REF!</definedName>
    <definedName name="Other_assets">'[22]Fly-by-night - problem 5'!#REF!</definedName>
    <definedName name="Other_current_liabilities_Sales" localSheetId="1">'[3]Tanning Assumptions'!#REF!</definedName>
    <definedName name="Other_current_liabilities_Sales" localSheetId="4">'[3]Tanning Assumptions'!#REF!</definedName>
    <definedName name="Other_current_liabilities_Sales">'[3]Tanning Assumptions'!#REF!</definedName>
    <definedName name="Other_long_term_liabilities" localSheetId="1">'[3]Tanning Assumptions'!#REF!</definedName>
    <definedName name="Other_long_term_liabilities" localSheetId="4">'[3]Tanning Assumptions'!#REF!</definedName>
    <definedName name="Other_long_term_liabilities">'[3]Tanning Assumptions'!#REF!</definedName>
    <definedName name="OtherRev">#REF!</definedName>
    <definedName name="P_L" localSheetId="1">#REF!</definedName>
    <definedName name="P_L" localSheetId="4">#REF!</definedName>
    <definedName name="P_L">#REF!</definedName>
    <definedName name="PCV">[5]Calcs!$B$1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 localSheetId="1">#REF!</definedName>
    <definedName name="PERSONAL_FINANCIAL" localSheetId="4">#REF!</definedName>
    <definedName name="PERSONAL_FINANCIAL">#REF!</definedName>
    <definedName name="PERSONAL_FINANCIAL___0" localSheetId="1">#REF!</definedName>
    <definedName name="PERSONAL_FINANCIAL___0" localSheetId="4">#REF!</definedName>
    <definedName name="PERSONAL_FINANCIAL___0">#REF!</definedName>
    <definedName name="PFLTM" localSheetId="1">'[24]VeCTOR Import'!#REF!</definedName>
    <definedName name="PFLTM" localSheetId="4">'[24]VeCTOR Import'!#REF!</definedName>
    <definedName name="PFLTM">'[24]VeCTOR Import'!#REF!</definedName>
    <definedName name="pik" localSheetId="1">'[8]S&amp;U'!#REF!</definedName>
    <definedName name="pik" localSheetId="4">'[8]S&amp;U'!#REF!</definedName>
    <definedName name="pik">'[8]S&amp;U'!#REF!</definedName>
    <definedName name="portion1">[15]Inputs!$E$14</definedName>
    <definedName name="portion10">[15]Inputs!$E$473</definedName>
    <definedName name="portion11">[15]Inputs!$E$524</definedName>
    <definedName name="portion12">[15]Inputs!$E$575</definedName>
    <definedName name="portion13">[15]Inputs!$E$626</definedName>
    <definedName name="portion14">[15]Inputs!$E$677</definedName>
    <definedName name="portion15">[15]Inputs!$E$728</definedName>
    <definedName name="portion2">[15]Inputs!$E$65</definedName>
    <definedName name="portion3">[15]Inputs!$E$116</definedName>
    <definedName name="portion4">[15]Inputs!$E$167</definedName>
    <definedName name="portion5">[15]Inputs!$E$218</definedName>
    <definedName name="portion6">[15]Inputs!$E$269</definedName>
    <definedName name="portion7">[15]Inputs!$E$320</definedName>
    <definedName name="portion8">[15]Inputs!$E$371</definedName>
    <definedName name="portion9">[15]Inputs!$E$422</definedName>
    <definedName name="PP_E_Sales" localSheetId="1">'[3]Tanning Assumptions'!#REF!</definedName>
    <definedName name="PP_E_Sales" localSheetId="4">'[3]Tanning Assumptions'!#REF!</definedName>
    <definedName name="PP_E_Sales">'[3]Tanning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 localSheetId="1">'[3]Tanning Assumptions'!#REF!</definedName>
    <definedName name="Prepaids_Sales" localSheetId="4">'[3]Tanning Assumptions'!#REF!</definedName>
    <definedName name="Prepaids_Sales">'[3]Tanning Assumptions'!#REF!</definedName>
    <definedName name="PRICES">#REF!</definedName>
    <definedName name="PRICES___0">#REF!</definedName>
    <definedName name="_xlnm.Print_Area" localSheetId="1">Model!$B$2:$W$67</definedName>
    <definedName name="_xlnm.Print_Area">#REF!</definedName>
    <definedName name="_xlnm.Print_Titles" localSheetId="1">Model!$2:$5</definedName>
    <definedName name="_xlnm.Print_Titles">#REF!</definedName>
    <definedName name="project">[11]CONTROL!$D$8</definedName>
    <definedName name="project___0">[7]CONTROL!$D$8</definedName>
    <definedName name="ProjList">#REF!</definedName>
    <definedName name="PublicCompany" localSheetId="1">#REF!</definedName>
    <definedName name="PublicCompany" localSheetId="4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 localSheetId="1">[27]MASTER!#REF!</definedName>
    <definedName name="RateTable" localSheetId="4">[27]MASTER!#REF!</definedName>
    <definedName name="RateTable">[27]MASTER!#REF!</definedName>
    <definedName name="Rating">'[6]Actual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 localSheetId="1">'[20]LBO Summary'!#REF!</definedName>
    <definedName name="rhl" localSheetId="4">'[20]LBO Summary'!#REF!</definedName>
    <definedName name="rhl">'[20]LBO Summary'!#REF!</definedName>
    <definedName name="RoyaltyRev">#REF!</definedName>
    <definedName name="rptData">#REF!</definedName>
    <definedName name="rr" localSheetId="1">'[20]LBO Summary'!#REF!</definedName>
    <definedName name="rr" localSheetId="4">'[20]LBO Summary'!#REF!</definedName>
    <definedName name="rr">'[20]LBO Summary'!#REF!</definedName>
    <definedName name="s" localSheetId="1">#REF!</definedName>
    <definedName name="s" localSheetId="4">#REF!</definedName>
    <definedName name="s">#REF!</definedName>
    <definedName name="s.outstand" localSheetId="1">[4]Inputs!#REF!</definedName>
    <definedName name="s.outstand" localSheetId="4">[4]Inputs!#REF!</definedName>
    <definedName name="s.outstand">[4]Inputs!#REF!</definedName>
    <definedName name="SALES" localSheetId="1">#REF!</definedName>
    <definedName name="SALES" localSheetId="4">#REF!</definedName>
    <definedName name="SALES">#REF!</definedName>
    <definedName name="SALES___0" localSheetId="1">#REF!</definedName>
    <definedName name="SALES___0" localSheetId="4">#REF!</definedName>
    <definedName name="SALES___0">#REF!</definedName>
    <definedName name="sales1">[15]Inputs!$P$29</definedName>
    <definedName name="sales10">[15]Inputs!$P$488</definedName>
    <definedName name="sales11">[15]Inputs!$P$539</definedName>
    <definedName name="sales12">[15]Inputs!$P$590</definedName>
    <definedName name="sales13">[15]Inputs!$P$641</definedName>
    <definedName name="sales14">[15]Inputs!$P$692</definedName>
    <definedName name="sales15">[15]Inputs!$P$743</definedName>
    <definedName name="sales2">[15]Inputs!$P$80</definedName>
    <definedName name="sales3">[15]Inputs!$P$131</definedName>
    <definedName name="sales4">[15]Inputs!$P$182</definedName>
    <definedName name="sales5">[15]Inputs!$P$233</definedName>
    <definedName name="sales6">[15]Inputs!$P$284</definedName>
    <definedName name="sales7">[15]Inputs!$P$335</definedName>
    <definedName name="sales8">[15]Inputs!$P$386</definedName>
    <definedName name="sales9">[15]Inputs!$P$437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 localSheetId="1">#REF!</definedName>
    <definedName name="Scenario_39" localSheetId="4">#REF!</definedName>
    <definedName name="Scenario_39">#REF!</definedName>
    <definedName name="Scenario_41" localSheetId="1">#REF!</definedName>
    <definedName name="Scenario_41" localSheetId="4">#REF!</definedName>
    <definedName name="Scenario_41">#REF!</definedName>
    <definedName name="Scenario_42" localSheetId="1">#REF!</definedName>
    <definedName name="Scenario_42" localSheetId="4">#REF!</definedName>
    <definedName name="Scenario_42">#REF!</definedName>
    <definedName name="Scenario_43" localSheetId="1">#REF!</definedName>
    <definedName name="Scenario_43" localSheetId="4">#REF!</definedName>
    <definedName name="Scenario_43">#REF!</definedName>
    <definedName name="Scenario_44" localSheetId="1">#REF!</definedName>
    <definedName name="Scenario_44" localSheetId="4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 localSheetId="1">[4]Inputs!#REF!</definedName>
    <definedName name="sh.equity" localSheetId="4">[4]Inputs!#REF!</definedName>
    <definedName name="sh.equity">[4]Inputs!#REF!</definedName>
    <definedName name="sl" localSheetId="1">'[20]LBO Summary'!#REF!</definedName>
    <definedName name="sl" localSheetId="4">'[20]LBO Summary'!#REF!</definedName>
    <definedName name="sl">'[20]LBO Summary'!#REF!</definedName>
    <definedName name="snapshotdate">#REF!</definedName>
    <definedName name="sort_range">#REF!</definedName>
    <definedName name="sponsor">'[8]S&amp;U'!$J$21</definedName>
    <definedName name="Start">#REF!</definedName>
    <definedName name="Start_Date">[5]Selections!$C$1</definedName>
    <definedName name="StartDay">[5]Selections!$P$3</definedName>
    <definedName name="StartMonth">[5]Selections!$P$2</definedName>
    <definedName name="StartRefresh" localSheetId="1">'[13]Portfolio Input'!#REF!</definedName>
    <definedName name="StartRefresh" localSheetId="4">'[13]Portfolio Input'!#REF!</definedName>
    <definedName name="StartRefresh">'[13]Portfolio Input'!#REF!</definedName>
    <definedName name="StartYear">[5]Selections!$P$1</definedName>
    <definedName name="Strip_Amount">#REF!</definedName>
    <definedName name="Strip_PV" localSheetId="1">#REF!</definedName>
    <definedName name="Strip_PV" localSheetId="4">#REF!</definedName>
    <definedName name="Strip_PV">#REF!</definedName>
    <definedName name="stub">#REF!</definedName>
    <definedName name="stubmonths">'[29]D&amp;A'!$C$5</definedName>
    <definedName name="sub" localSheetId="1">'[20]LBO Summary'!#REF!</definedName>
    <definedName name="sub" localSheetId="4">'[20]LBO Summary'!#REF!</definedName>
    <definedName name="sub">'[20]LBO Summary'!#REF!</definedName>
    <definedName name="subdebtamount">[14]Inputs!$J$26</definedName>
    <definedName name="subdebtdate">[14]Inputs!$J$28</definedName>
    <definedName name="Subhead1">[19]_01_05_v_Wicks_xls__01_05_v_Wic!$N$2</definedName>
    <definedName name="subHeading" localSheetId="1">#REF!</definedName>
    <definedName name="subHeading" localSheetId="4">#REF!</definedName>
    <definedName name="subHeading">#REF!</definedName>
    <definedName name="summary">#REF!</definedName>
    <definedName name="support">#REF!</definedName>
    <definedName name="sweep___9" localSheetId="1">[30]COVS_ACTUAL!#REF!</definedName>
    <definedName name="sweep___9" localSheetId="4">[30]COVS_ACTUAL!#REF!</definedName>
    <definedName name="sweep___9">[30]COVS_ACTUAL!#REF!</definedName>
    <definedName name="target">#REF!</definedName>
    <definedName name="tax" localSheetId="1">[31]ISCF!#REF!</definedName>
    <definedName name="tax" localSheetId="4">[31]ISCF!#REF!</definedName>
    <definedName name="tax">[31]ISCF!#REF!</definedName>
    <definedName name="Taxes_Receivable_Sales" localSheetId="1">'[3]Tanning Assumptions'!#REF!</definedName>
    <definedName name="Taxes_Receivable_Sales" localSheetId="4">'[3]Tanning Assumptions'!#REF!</definedName>
    <definedName name="Taxes_Receivable_Sales">'[3]Tanning Assumptions'!#REF!</definedName>
    <definedName name="Test">#REF!</definedName>
    <definedName name="tgt">#REF!</definedName>
    <definedName name="ticker1">[15]Inputs!$E$11</definedName>
    <definedName name="ticker10">[15]Inputs!$E$470</definedName>
    <definedName name="ticker11">[15]Inputs!$E$521</definedName>
    <definedName name="ticker12">[15]Inputs!$E$572</definedName>
    <definedName name="ticker13">[15]Inputs!$E$623</definedName>
    <definedName name="ticker14">[15]Inputs!$E$674</definedName>
    <definedName name="ticker15">[15]Inputs!$E$725</definedName>
    <definedName name="ticker2">[15]Inputs!$E$62</definedName>
    <definedName name="ticker3">[15]Inputs!$E$113</definedName>
    <definedName name="ticker4">[15]Inputs!$E$164</definedName>
    <definedName name="ticker5">[15]Inputs!$E$215</definedName>
    <definedName name="ticker6">[15]Inputs!$E$266</definedName>
    <definedName name="ticker7">[15]Inputs!$E$317</definedName>
    <definedName name="ticker8">[15]Inputs!$E$368</definedName>
    <definedName name="ticker9">[15]Inputs!$E$419</definedName>
    <definedName name="TimeEnd">[5]Selections!$L$3</definedName>
    <definedName name="TimeStart">[5]Selections!$L$2</definedName>
    <definedName name="title">[28]SUM!$A$2</definedName>
    <definedName name="today">#REF!</definedName>
    <definedName name="top">#REF!</definedName>
    <definedName name="TopIC">'[6]Actual vs Covenant'!$P$31:$Q$38</definedName>
    <definedName name="TopOC">'[6]Actual vs Covenant'!$P$21:$Q$28</definedName>
    <definedName name="TOTAL">#REF!</definedName>
    <definedName name="TOTAL___0">#REF!</definedName>
    <definedName name="Total_Europe" localSheetId="1">#REF!</definedName>
    <definedName name="Total_Europe" localSheetId="4">#REF!</definedName>
    <definedName name="Total_Europe">#REF!</definedName>
    <definedName name="TotalRev">#REF!</definedName>
    <definedName name="TradedCash">[5]Principal!$G$5</definedName>
    <definedName name="trigger">[7]OBS!$U$5</definedName>
    <definedName name="TRYN_Top3">[6]TOP10!$S$3</definedName>
    <definedName name="TRYN_Top4">[6]TOP10!$S$8</definedName>
    <definedName name="TryonFitchRatingChartData">[6]TRYN!$G$2:$H$9</definedName>
    <definedName name="TryonFitchRatingChartSerial1">[6]TRYN!$H$2:$H$9</definedName>
    <definedName name="TryonFitchRatingChartXScale">[6]TRYN!$G$2:$G$9</definedName>
    <definedName name="TryonMoodyRatingChartData">[6]TRYN!$A$2:$B$15</definedName>
    <definedName name="TryonMoodyRatingChartSerial1">[6]TRYN!$B$2:$B$15</definedName>
    <definedName name="TryonMoodyRatingChartXScale">[6]TRYN!$A$2:$A$15</definedName>
    <definedName name="TryonSPRatingChartData">[6]TRYN!$D$2:$E$15</definedName>
    <definedName name="TryonSPRatingChartSerial1">[6]TRYN!$E$2:$E$15</definedName>
    <definedName name="TryonSPRatingChartXScale">[6]TRYN!$D$2:$D$15</definedName>
    <definedName name="units">'[8]S&amp;U'!$K$2</definedName>
    <definedName name="version">[28]SUM!$AE$2</definedName>
    <definedName name="version___0">[7]CONTROL!$D$9</definedName>
    <definedName name="WACActual">OFFSET([5]WACTrends!$C$2,0,0,COUNTA([5]WACTrends!$C$1:$C$65536)-1)</definedName>
    <definedName name="WACCovenant">OFFSET([5]WACTrends!$D$2,0,0,COUNTA([5]WACTrends!$D$1:$D$65536)-1)</definedName>
    <definedName name="WACDate">OFFSET([5]WACTrends!$B$2,0,0,COUNTA([5]WACTrends!$B$1:$B$65536)-1)</definedName>
    <definedName name="WALActual">OFFSET([5]WALTrends!$C$2,0,0,COUNTA([5]WALTrends!$C$1:$C$65536)-1)</definedName>
    <definedName name="WALCovenant">OFFSET([5]WALTrends!$D$2,0,0,COUNTA([5]WALTrends!$D$1:$D$65536)-1)</definedName>
    <definedName name="WALDate">OFFSET([5]WALTrends!$B$2,0,0,COUNTA([5]WALTrends!$B$1:$B$65536)-1)</definedName>
    <definedName name="WARFActual">OFFSET([5]WARFTrends!$C$2,0,0,COUNTA([5]WARFTrends!$C$1:$C$65536)-1)</definedName>
    <definedName name="WARFCovenant">OFFSET([5]WARFTrends!$D$2,0,0,COUNTA([5]WARFTrends!$D$1:$D$65536)-1)</definedName>
    <definedName name="WARFDate">OFFSET([5]WARFTrends!$B$2,0,0,COUNTA([5]WARFTrends!$B$1:$B$65536)-1)</definedName>
    <definedName name="WARFFitchActual">OFFSET([5]WARFFitchTrends!$C$2,0,0,COUNTA([5]WARFFitchTrends!$C$1:$C$65536)-1)</definedName>
    <definedName name="WARFFitchCovenant">OFFSET([5]WARFFitchTrends!$D$2,0,0,COUNTA([5]WARFFitchTrends!$D$1:$D$65536)-1)</definedName>
    <definedName name="WARFFitchDate">OFFSET([5]WARFFitchTrends!$B$2,0,0,COUNTA([5]WARFFitchTrends!$B$1:$B$65536)-1)</definedName>
    <definedName name="warrants">[14]Inputs!$O$13</definedName>
    <definedName name="WASActual">OFFSET([5]WASTrends!$C$2,0,0,COUNTA([5]WASTrends!$C$1:$C$65536)-1)</definedName>
    <definedName name="WASCovenant">OFFSET([5]WASTrends!$D$2,0,0,COUNTA([5]WASTrends!$D$1:$D$65536)-1)</definedName>
    <definedName name="WASDate">OFFSET([5]WASTrends!$B$2,0,0,COUNTA([5]WASTrends!$B$1:$B$65536)-1)</definedName>
    <definedName name="WBMIN" localSheetId="1">'[13]Portfolio Input'!#REF!</definedName>
    <definedName name="WBMIN" localSheetId="4">'[13]Portfolio Input'!#REF!</definedName>
    <definedName name="WBMIN">'[13]Portfolio Input'!#REF!</definedName>
    <definedName name="WHAT_IF">#REF!</definedName>
    <definedName name="WHAT_IF___0">#REF!</definedName>
    <definedName name="whec">[28]WHEC!$AX$2</definedName>
    <definedName name="wicksequity">[14]Inputs!$E$35</definedName>
    <definedName name="WORKING_CAPITAL" localSheetId="1">#REF!</definedName>
    <definedName name="WORKING_CAPITAL" localSheetId="4">#REF!</definedName>
    <definedName name="WORKING_CAPITAL">#REF!</definedName>
    <definedName name="WORKING_CAPITAL___0" localSheetId="1">#REF!</definedName>
    <definedName name="WORKING_CAPITAL___0" localSheetId="4">#REF!</definedName>
    <definedName name="WORKING_CAPITAL___0">#REF!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ummary." localSheetId="0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0" hidden="1">{#N/A,#N/A,FALSE,"Combo"}</definedName>
    <definedName name="wrn.Weekly._.Inventory._.Report." hidden="1">{#N/A,#N/A,FALSE,"Combo"}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 localSheetId="1">#REF!</definedName>
    <definedName name="zip" localSheetId="4">#REF!</definedName>
    <definedName name="zip">#REF!</definedName>
  </definedNames>
  <calcPr calcId="191029" calcMode="manual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1" i="19" l="1"/>
  <c r="BF30" i="19"/>
  <c r="BF29" i="19"/>
  <c r="BF28" i="19"/>
  <c r="BF27" i="19"/>
  <c r="BF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32" i="19"/>
  <c r="AA31" i="19"/>
  <c r="AA30" i="19"/>
  <c r="AA29" i="19"/>
  <c r="AA28" i="19"/>
  <c r="AA27" i="19"/>
  <c r="Z28" i="19"/>
  <c r="Z29" i="19"/>
  <c r="Z30" i="19"/>
  <c r="Z31" i="19"/>
  <c r="Z32" i="19"/>
  <c r="Z27" i="19"/>
  <c r="S32" i="19"/>
  <c r="S31" i="19"/>
  <c r="S30" i="19"/>
  <c r="S29" i="19"/>
  <c r="S28" i="19"/>
  <c r="S27" i="19"/>
  <c r="R32" i="19"/>
  <c r="R31" i="19"/>
  <c r="R30" i="19"/>
  <c r="R29" i="19"/>
  <c r="R28" i="19"/>
  <c r="R27" i="19"/>
  <c r="Q32" i="19"/>
  <c r="Q31" i="19"/>
  <c r="Q30" i="19"/>
  <c r="Q29" i="19"/>
  <c r="Q28" i="19"/>
  <c r="Q27" i="19"/>
  <c r="P32" i="19"/>
  <c r="P31" i="19"/>
  <c r="P30" i="19"/>
  <c r="P29" i="19"/>
  <c r="P28" i="19"/>
  <c r="P27" i="19"/>
  <c r="O32" i="19"/>
  <c r="M32" i="19"/>
  <c r="L32" i="19"/>
  <c r="K32" i="19"/>
  <c r="J32" i="19"/>
  <c r="I32" i="19"/>
  <c r="H32" i="19"/>
  <c r="G32" i="19"/>
  <c r="F32" i="19"/>
  <c r="E32" i="19"/>
  <c r="O31" i="19"/>
  <c r="M31" i="19"/>
  <c r="L31" i="19"/>
  <c r="K31" i="19"/>
  <c r="J31" i="19"/>
  <c r="I31" i="19"/>
  <c r="H31" i="19"/>
  <c r="G31" i="19"/>
  <c r="F31" i="19"/>
  <c r="E31" i="19"/>
  <c r="O30" i="19"/>
  <c r="M30" i="19"/>
  <c r="L30" i="19"/>
  <c r="K30" i="19"/>
  <c r="J30" i="19"/>
  <c r="I30" i="19"/>
  <c r="H30" i="19"/>
  <c r="G30" i="19"/>
  <c r="F30" i="19"/>
  <c r="E30" i="19"/>
  <c r="O29" i="19"/>
  <c r="M29" i="19"/>
  <c r="L29" i="19"/>
  <c r="K29" i="19"/>
  <c r="J29" i="19"/>
  <c r="I29" i="19"/>
  <c r="H29" i="19"/>
  <c r="G29" i="19"/>
  <c r="F29" i="19"/>
  <c r="E29" i="19"/>
  <c r="O28" i="19"/>
  <c r="M28" i="19"/>
  <c r="L28" i="19"/>
  <c r="K28" i="19"/>
  <c r="J28" i="19"/>
  <c r="I28" i="19"/>
  <c r="H28" i="19"/>
  <c r="G28" i="19"/>
  <c r="F28" i="19"/>
  <c r="E28" i="19"/>
  <c r="O27" i="19"/>
  <c r="M27" i="19"/>
  <c r="L27" i="19"/>
  <c r="K27" i="19"/>
  <c r="J27" i="19"/>
  <c r="I27" i="19"/>
  <c r="H27" i="19"/>
  <c r="G27" i="19"/>
  <c r="F27" i="19"/>
  <c r="E27" i="19"/>
  <c r="D28" i="19"/>
  <c r="D29" i="19"/>
  <c r="D30" i="19"/>
  <c r="D31" i="19"/>
  <c r="D32" i="19"/>
  <c r="D27" i="19"/>
  <c r="C41" i="17"/>
  <c r="C47" i="17"/>
  <c r="C29" i="17"/>
  <c r="C28" i="17"/>
  <c r="D43" i="17"/>
  <c r="C24" i="17"/>
  <c r="C21" i="17"/>
  <c r="C34" i="17"/>
  <c r="C35" i="17"/>
  <c r="BH14" i="19"/>
  <c r="BH22" i="19"/>
  <c r="BR36" i="15"/>
  <c r="BI36" i="15"/>
  <c r="BI112" i="15"/>
  <c r="BR96" i="15"/>
  <c r="BR124" i="15"/>
  <c r="BR95" i="15"/>
  <c r="BR134" i="15"/>
  <c r="U128" i="15"/>
  <c r="U122" i="15"/>
  <c r="U116" i="15"/>
  <c r="U111" i="15"/>
  <c r="U96" i="15"/>
  <c r="U95" i="15"/>
  <c r="U55" i="15"/>
  <c r="U57" i="15"/>
  <c r="U54" i="15"/>
  <c r="U129" i="15"/>
  <c r="U130" i="15"/>
  <c r="U53" i="15"/>
  <c r="U50" i="15"/>
  <c r="U49" i="15"/>
  <c r="U125" i="15"/>
  <c r="U48" i="15"/>
  <c r="U47" i="15"/>
  <c r="U123" i="15"/>
  <c r="U46" i="15"/>
  <c r="U40" i="15"/>
  <c r="U35" i="15"/>
  <c r="U33" i="15"/>
  <c r="U109" i="15"/>
  <c r="U31" i="15"/>
  <c r="U43" i="15"/>
  <c r="U119" i="15"/>
  <c r="U24" i="15"/>
  <c r="U20" i="15"/>
  <c r="U28" i="15"/>
  <c r="U19" i="15"/>
  <c r="U27" i="15"/>
  <c r="U18" i="15"/>
  <c r="U17" i="15"/>
  <c r="U25" i="15"/>
  <c r="U16" i="15"/>
  <c r="U12" i="15"/>
  <c r="U11" i="15"/>
  <c r="U10" i="15"/>
  <c r="U26" i="15"/>
  <c r="U9" i="15"/>
  <c r="U13" i="15"/>
  <c r="U8" i="15"/>
  <c r="BI56" i="15"/>
  <c r="BI53" i="15"/>
  <c r="BI128" i="15"/>
  <c r="BR131" i="15"/>
  <c r="BR125" i="15"/>
  <c r="BR116" i="15"/>
  <c r="BR111" i="15"/>
  <c r="BR109" i="15"/>
  <c r="BR110" i="15"/>
  <c r="BR107" i="15"/>
  <c r="BR117" i="15"/>
  <c r="BR119" i="15"/>
  <c r="BR105" i="15"/>
  <c r="BR104" i="15"/>
  <c r="BR103" i="15"/>
  <c r="BR98" i="15"/>
  <c r="BR97" i="15"/>
  <c r="BR60" i="15"/>
  <c r="BR135" i="15"/>
  <c r="BR59" i="15"/>
  <c r="BR56" i="15"/>
  <c r="BR54" i="15"/>
  <c r="BR129" i="15"/>
  <c r="BR53" i="15"/>
  <c r="BR55" i="15"/>
  <c r="BR57" i="15"/>
  <c r="BR51" i="15"/>
  <c r="BR126" i="15"/>
  <c r="BR43" i="15"/>
  <c r="BR41" i="15"/>
  <c r="BR37" i="15"/>
  <c r="BR113" i="15"/>
  <c r="BR34" i="15"/>
  <c r="BR32" i="15"/>
  <c r="BR28" i="15"/>
  <c r="BR27" i="15"/>
  <c r="BR26" i="15"/>
  <c r="BR25" i="15"/>
  <c r="BR24" i="15"/>
  <c r="BR21" i="15"/>
  <c r="BR13" i="15"/>
  <c r="C15" i="17"/>
  <c r="C11" i="17"/>
  <c r="C6" i="17"/>
  <c r="BF14" i="19"/>
  <c r="BF18" i="19"/>
  <c r="U60" i="15"/>
  <c r="U135" i="15"/>
  <c r="U59" i="15"/>
  <c r="U134" i="15"/>
  <c r="U56" i="15"/>
  <c r="U131" i="15"/>
  <c r="U3" i="15"/>
  <c r="BI135" i="15"/>
  <c r="BI134" i="15"/>
  <c r="BI129" i="15"/>
  <c r="BI105" i="15"/>
  <c r="BI103" i="15"/>
  <c r="BI124" i="15"/>
  <c r="BI131" i="15"/>
  <c r="BI132" i="15"/>
  <c r="BI51" i="15"/>
  <c r="BI126" i="15"/>
  <c r="BI41" i="15"/>
  <c r="BI34" i="15"/>
  <c r="BI32" i="15"/>
  <c r="BI28" i="15"/>
  <c r="BI27" i="15"/>
  <c r="BI26" i="15"/>
  <c r="BI25" i="15"/>
  <c r="BI24" i="15"/>
  <c r="BI21" i="15"/>
  <c r="BI13" i="15"/>
  <c r="BR108" i="15"/>
  <c r="BR29" i="15"/>
  <c r="BI29" i="15"/>
  <c r="BR128" i="15"/>
  <c r="BR130" i="15"/>
  <c r="BR112" i="15"/>
  <c r="BI55" i="15"/>
  <c r="BI61" i="15"/>
  <c r="BI136" i="15"/>
  <c r="BQ96" i="15"/>
  <c r="BQ107" i="15"/>
  <c r="BK36" i="15"/>
  <c r="BL36" i="15"/>
  <c r="BQ40" i="15"/>
  <c r="BP36" i="15"/>
  <c r="BQ35" i="15"/>
  <c r="BQ33" i="15"/>
  <c r="BQ34" i="15"/>
  <c r="BQ31" i="15"/>
  <c r="BQ32" i="15"/>
  <c r="BQ20" i="15"/>
  <c r="BQ19" i="15"/>
  <c r="BQ18" i="15"/>
  <c r="BQ17" i="15"/>
  <c r="BQ16" i="15"/>
  <c r="BQ12" i="15"/>
  <c r="BQ11" i="15"/>
  <c r="BQ10" i="15"/>
  <c r="BQ26" i="15"/>
  <c r="BQ9" i="15"/>
  <c r="BQ8" i="15"/>
  <c r="BQ24" i="15"/>
  <c r="R21" i="15"/>
  <c r="BG36" i="15"/>
  <c r="BF36" i="15"/>
  <c r="T36" i="15"/>
  <c r="S36" i="15"/>
  <c r="C98" i="17"/>
  <c r="C101" i="17"/>
  <c r="C89" i="17"/>
  <c r="C92" i="17"/>
  <c r="C65" i="17"/>
  <c r="C61" i="17"/>
  <c r="C56" i="17"/>
  <c r="C78" i="17"/>
  <c r="D110" i="17"/>
  <c r="C74" i="17"/>
  <c r="BE13" i="19"/>
  <c r="T13" i="19"/>
  <c r="BE12" i="19"/>
  <c r="T12" i="19"/>
  <c r="BE11" i="19"/>
  <c r="T11" i="19"/>
  <c r="BE10" i="19"/>
  <c r="BE14" i="19"/>
  <c r="BE22" i="19"/>
  <c r="BE9" i="19"/>
  <c r="T9" i="19"/>
  <c r="S14" i="19"/>
  <c r="S22" i="19"/>
  <c r="R14" i="19"/>
  <c r="R21" i="19"/>
  <c r="BQ60" i="15"/>
  <c r="BQ59" i="15"/>
  <c r="BQ56" i="15"/>
  <c r="BQ54" i="15"/>
  <c r="BQ25" i="15"/>
  <c r="BS128" i="15"/>
  <c r="BW128" i="15"/>
  <c r="BW130" i="15"/>
  <c r="BO129" i="15"/>
  <c r="BP129" i="15"/>
  <c r="BS129" i="15"/>
  <c r="BS130" i="15"/>
  <c r="BU129" i="15"/>
  <c r="BW129" i="15"/>
  <c r="BY129" i="15"/>
  <c r="BS131" i="15"/>
  <c r="BU131" i="15"/>
  <c r="BY131" i="15"/>
  <c r="BS134" i="15"/>
  <c r="BT134" i="15"/>
  <c r="BU134" i="15"/>
  <c r="BW134" i="15"/>
  <c r="BY134" i="15"/>
  <c r="BO135" i="15"/>
  <c r="BS135" i="15"/>
  <c r="BU135" i="15"/>
  <c r="BW135" i="15"/>
  <c r="BX135" i="15"/>
  <c r="BY135" i="15"/>
  <c r="CA135" i="15"/>
  <c r="BS136" i="15"/>
  <c r="BS137" i="15"/>
  <c r="BS141" i="15"/>
  <c r="BN131" i="15"/>
  <c r="BN129" i="15"/>
  <c r="BP60" i="15"/>
  <c r="BP135" i="15"/>
  <c r="BO60" i="15"/>
  <c r="BP59" i="15"/>
  <c r="BP134" i="15"/>
  <c r="BO59" i="15"/>
  <c r="BO134" i="15"/>
  <c r="BN59" i="15"/>
  <c r="BN134" i="15"/>
  <c r="BO56" i="15"/>
  <c r="BO131" i="15"/>
  <c r="BN56" i="15"/>
  <c r="BP54" i="15"/>
  <c r="BO54" i="15"/>
  <c r="BN54" i="15"/>
  <c r="BP95" i="15"/>
  <c r="BP50" i="15"/>
  <c r="BP49" i="15"/>
  <c r="BP48" i="15"/>
  <c r="BP47" i="15"/>
  <c r="BP46" i="15"/>
  <c r="BP32" i="15"/>
  <c r="BP24" i="15"/>
  <c r="BP28" i="15"/>
  <c r="BP26" i="15"/>
  <c r="BP25" i="15"/>
  <c r="BQ105" i="15"/>
  <c r="BQ103" i="15"/>
  <c r="BQ28" i="15"/>
  <c r="BQ21" i="15"/>
  <c r="BP105" i="15"/>
  <c r="BP103" i="15"/>
  <c r="BP41" i="15"/>
  <c r="BP37" i="15"/>
  <c r="BP39" i="15"/>
  <c r="BP34" i="15"/>
  <c r="BP27" i="15"/>
  <c r="BP21" i="15"/>
  <c r="BH60" i="15"/>
  <c r="BH59" i="15"/>
  <c r="BH54" i="15"/>
  <c r="BH40" i="15"/>
  <c r="BH35" i="15"/>
  <c r="BH33" i="15"/>
  <c r="BH31" i="15"/>
  <c r="BH20" i="15"/>
  <c r="BH19" i="15"/>
  <c r="BH27" i="15"/>
  <c r="BH18" i="15"/>
  <c r="BH17" i="15"/>
  <c r="BH16" i="15"/>
  <c r="BH12" i="15"/>
  <c r="BH11" i="15"/>
  <c r="BH10" i="15"/>
  <c r="BH9" i="15"/>
  <c r="BH8" i="15"/>
  <c r="T95" i="15"/>
  <c r="S56" i="15"/>
  <c r="S131" i="15"/>
  <c r="T56" i="15"/>
  <c r="BH56" i="15"/>
  <c r="C71" i="17"/>
  <c r="C84" i="17"/>
  <c r="S53" i="15"/>
  <c r="BQ53" i="15"/>
  <c r="T53" i="15"/>
  <c r="BH53" i="15"/>
  <c r="BH105" i="15"/>
  <c r="BH103" i="15"/>
  <c r="BH135" i="15"/>
  <c r="R32" i="15"/>
  <c r="S32" i="15"/>
  <c r="AE13" i="19"/>
  <c r="AF13" i="19"/>
  <c r="AA13" i="19"/>
  <c r="AB13" i="19"/>
  <c r="W13" i="19"/>
  <c r="X13" i="19"/>
  <c r="AQ12" i="19"/>
  <c r="AR12" i="19"/>
  <c r="AM12" i="19"/>
  <c r="AN12" i="19"/>
  <c r="AI12" i="19"/>
  <c r="AJ12" i="19"/>
  <c r="AF12" i="19"/>
  <c r="AG12" i="19"/>
  <c r="AE12" i="19"/>
  <c r="AA12" i="19"/>
  <c r="AB12" i="19"/>
  <c r="W12" i="19"/>
  <c r="X12" i="19"/>
  <c r="AQ11" i="19"/>
  <c r="AR11" i="19"/>
  <c r="AM11" i="19"/>
  <c r="AN11" i="19"/>
  <c r="AI11" i="19"/>
  <c r="AJ11" i="19"/>
  <c r="AE11" i="19"/>
  <c r="AF11" i="19"/>
  <c r="AA11" i="19"/>
  <c r="AB11" i="19"/>
  <c r="X11" i="19"/>
  <c r="Y11" i="19"/>
  <c r="W11" i="19"/>
  <c r="AQ10" i="19"/>
  <c r="AR10" i="19"/>
  <c r="AM10" i="19"/>
  <c r="AN10" i="19"/>
  <c r="AI10" i="19"/>
  <c r="AE10" i="19"/>
  <c r="AF10" i="19"/>
  <c r="AA10" i="19"/>
  <c r="AB10" i="19"/>
  <c r="AC10" i="19"/>
  <c r="W10" i="19"/>
  <c r="W14" i="19"/>
  <c r="AQ9" i="19"/>
  <c r="AR9" i="19"/>
  <c r="AM9" i="19"/>
  <c r="AN9" i="19"/>
  <c r="AI9" i="19"/>
  <c r="AJ9" i="19"/>
  <c r="AE9" i="19"/>
  <c r="AF9" i="19"/>
  <c r="AA9" i="19"/>
  <c r="AB9" i="19"/>
  <c r="W9" i="19"/>
  <c r="X9" i="19"/>
  <c r="Y9" i="19"/>
  <c r="AX96" i="15"/>
  <c r="C389" i="17"/>
  <c r="AT96" i="15"/>
  <c r="CI95" i="15"/>
  <c r="CC95" i="15"/>
  <c r="CC129" i="15"/>
  <c r="CC130" i="15"/>
  <c r="CA95" i="15"/>
  <c r="CA129" i="15"/>
  <c r="AX95" i="15"/>
  <c r="AT95" i="15"/>
  <c r="BA60" i="15"/>
  <c r="BN60" i="15"/>
  <c r="BN135" i="15"/>
  <c r="AW60" i="15"/>
  <c r="AS60" i="15"/>
  <c r="Q60" i="15"/>
  <c r="P60" i="15"/>
  <c r="P135" i="15"/>
  <c r="O60" i="15"/>
  <c r="O135" i="15"/>
  <c r="N60" i="15"/>
  <c r="M60" i="15"/>
  <c r="M135" i="15"/>
  <c r="CA56" i="15"/>
  <c r="CA131" i="15"/>
  <c r="BY56" i="15"/>
  <c r="BW56" i="15"/>
  <c r="BW131" i="15"/>
  <c r="AU56" i="15"/>
  <c r="AT56" i="15"/>
  <c r="AS56" i="15"/>
  <c r="AQ56" i="15"/>
  <c r="AP56" i="15"/>
  <c r="AO56" i="15"/>
  <c r="AO131" i="15"/>
  <c r="AM56" i="15"/>
  <c r="AL56" i="15"/>
  <c r="AK56" i="15"/>
  <c r="AK131" i="15"/>
  <c r="M56" i="15"/>
  <c r="L56" i="15"/>
  <c r="CA53" i="15"/>
  <c r="CA128" i="15"/>
  <c r="BY53" i="15"/>
  <c r="BY128" i="15"/>
  <c r="BY130" i="15"/>
  <c r="BY132" i="15"/>
  <c r="BY55" i="15"/>
  <c r="BW53" i="15"/>
  <c r="BW55" i="15"/>
  <c r="AU53" i="15"/>
  <c r="AT53" i="15"/>
  <c r="AT128" i="15"/>
  <c r="AS53" i="15"/>
  <c r="AQ53" i="15"/>
  <c r="C629" i="17"/>
  <c r="C635" i="17"/>
  <c r="AP53" i="15"/>
  <c r="AO53" i="15"/>
  <c r="AO128" i="15"/>
  <c r="AO130" i="15"/>
  <c r="AO132" i="15"/>
  <c r="AO143" i="15"/>
  <c r="AM53" i="15"/>
  <c r="AL53" i="15"/>
  <c r="C758" i="17"/>
  <c r="AK53" i="15"/>
  <c r="AI53" i="15"/>
  <c r="AH53" i="15"/>
  <c r="AG53" i="15"/>
  <c r="AG55" i="15"/>
  <c r="AE53" i="15"/>
  <c r="AD53" i="15"/>
  <c r="AC53" i="15"/>
  <c r="AA53" i="15"/>
  <c r="Z53" i="15"/>
  <c r="Z55" i="15"/>
  <c r="Y53" i="15"/>
  <c r="M53" i="15"/>
  <c r="L53" i="15"/>
  <c r="L55" i="15"/>
  <c r="K53" i="15"/>
  <c r="J53" i="15"/>
  <c r="I53" i="15"/>
  <c r="I128" i="15"/>
  <c r="H53" i="15"/>
  <c r="BY49" i="15"/>
  <c r="BY125" i="15"/>
  <c r="AT49" i="15"/>
  <c r="AU49" i="15"/>
  <c r="AP49" i="15"/>
  <c r="AQ49" i="15"/>
  <c r="AL49" i="15"/>
  <c r="AH49" i="15"/>
  <c r="AI49" i="15"/>
  <c r="AD49" i="15"/>
  <c r="AE49" i="15"/>
  <c r="AA49" i="15"/>
  <c r="Z49" i="15"/>
  <c r="BY48" i="15"/>
  <c r="AT48" i="15"/>
  <c r="AU48" i="15"/>
  <c r="AP48" i="15"/>
  <c r="AQ48" i="15"/>
  <c r="AL48" i="15"/>
  <c r="AM48" i="15"/>
  <c r="AN48" i="15"/>
  <c r="AN124" i="15"/>
  <c r="AH48" i="15"/>
  <c r="AI48" i="15"/>
  <c r="AD48" i="15"/>
  <c r="AE48" i="15"/>
  <c r="Z48" i="15"/>
  <c r="AA48" i="15"/>
  <c r="BY47" i="15"/>
  <c r="AT47" i="15"/>
  <c r="AU47" i="15"/>
  <c r="AV47" i="15"/>
  <c r="AP47" i="15"/>
  <c r="AQ47" i="15"/>
  <c r="AR47" i="15"/>
  <c r="AL47" i="15"/>
  <c r="AH47" i="15"/>
  <c r="AI47" i="15"/>
  <c r="AI51" i="15"/>
  <c r="AI126" i="15"/>
  <c r="AD47" i="15"/>
  <c r="AD123" i="15"/>
  <c r="Z47" i="15"/>
  <c r="AA47" i="15"/>
  <c r="AA123" i="15"/>
  <c r="BY46" i="15"/>
  <c r="AT46" i="15"/>
  <c r="AU46" i="15"/>
  <c r="AV46" i="15"/>
  <c r="AP46" i="15"/>
  <c r="AQ46" i="15"/>
  <c r="AL46" i="15"/>
  <c r="AH46" i="15"/>
  <c r="AI46" i="15"/>
  <c r="AD46" i="15"/>
  <c r="AE46" i="15"/>
  <c r="Z46" i="15"/>
  <c r="AA46" i="15"/>
  <c r="AB46" i="15"/>
  <c r="AB122" i="15"/>
  <c r="AS40" i="15"/>
  <c r="CA36" i="15"/>
  <c r="CA37" i="15"/>
  <c r="CA39" i="15"/>
  <c r="BY36" i="15"/>
  <c r="BW36" i="15"/>
  <c r="BU36" i="15"/>
  <c r="BS36" i="15"/>
  <c r="BS37" i="15"/>
  <c r="AU36" i="15"/>
  <c r="AU37" i="15"/>
  <c r="AU39" i="15"/>
  <c r="AT36" i="15"/>
  <c r="AS36" i="15"/>
  <c r="AQ36" i="15"/>
  <c r="AP36" i="15"/>
  <c r="AP112" i="15"/>
  <c r="AO36" i="15"/>
  <c r="AM36" i="15"/>
  <c r="AL36" i="15"/>
  <c r="AL112" i="15"/>
  <c r="AK36" i="15"/>
  <c r="AK37" i="15"/>
  <c r="AI36" i="15"/>
  <c r="AH36" i="15"/>
  <c r="AG36" i="15"/>
  <c r="AG37" i="15"/>
  <c r="AG39" i="15"/>
  <c r="AE36" i="15"/>
  <c r="AD36" i="15"/>
  <c r="AD112" i="15"/>
  <c r="AC36" i="15"/>
  <c r="AC37" i="15"/>
  <c r="AA36" i="15"/>
  <c r="AA112" i="15"/>
  <c r="Z36" i="15"/>
  <c r="Y36" i="15"/>
  <c r="M36" i="15"/>
  <c r="L36" i="15"/>
  <c r="K36" i="15"/>
  <c r="J36" i="15"/>
  <c r="J37" i="15"/>
  <c r="I36" i="15"/>
  <c r="I37" i="15"/>
  <c r="H36" i="15"/>
  <c r="AH35" i="15"/>
  <c r="AI35" i="15"/>
  <c r="AD35" i="15"/>
  <c r="Z35" i="15"/>
  <c r="AA35" i="15"/>
  <c r="BY20" i="15"/>
  <c r="AT20" i="15"/>
  <c r="AU20" i="15"/>
  <c r="AP20" i="15"/>
  <c r="AQ20" i="15"/>
  <c r="AR20" i="15"/>
  <c r="AL20" i="15"/>
  <c r="AM20" i="15"/>
  <c r="AN20" i="15"/>
  <c r="AH20" i="15"/>
  <c r="AI20" i="15"/>
  <c r="AD20" i="15"/>
  <c r="AE20" i="15"/>
  <c r="Z20" i="15"/>
  <c r="AA20" i="15"/>
  <c r="BY19" i="15"/>
  <c r="AT19" i="15"/>
  <c r="AU19" i="15"/>
  <c r="AP19" i="15"/>
  <c r="AQ19" i="15"/>
  <c r="AL19" i="15"/>
  <c r="AM19" i="15"/>
  <c r="AN19" i="15"/>
  <c r="AH19" i="15"/>
  <c r="AI19" i="15"/>
  <c r="AJ19" i="15"/>
  <c r="AD19" i="15"/>
  <c r="AE19" i="15"/>
  <c r="Z19" i="15"/>
  <c r="AA19" i="15"/>
  <c r="AB19" i="15"/>
  <c r="BY18" i="15"/>
  <c r="AT18" i="15"/>
  <c r="AU18" i="15"/>
  <c r="AP18" i="15"/>
  <c r="AQ18" i="15"/>
  <c r="AL18" i="15"/>
  <c r="AM18" i="15"/>
  <c r="AH18" i="15"/>
  <c r="AI18" i="15"/>
  <c r="AD18" i="15"/>
  <c r="AE18" i="15"/>
  <c r="Z18" i="15"/>
  <c r="AA18" i="15"/>
  <c r="AB18" i="15"/>
  <c r="BY17" i="15"/>
  <c r="AT17" i="15"/>
  <c r="AU17" i="15"/>
  <c r="AV17" i="15"/>
  <c r="AP17" i="15"/>
  <c r="AQ17" i="15"/>
  <c r="AR17" i="15"/>
  <c r="AL17" i="15"/>
  <c r="AM17" i="15"/>
  <c r="AN17" i="15"/>
  <c r="AH17" i="15"/>
  <c r="AI17" i="15"/>
  <c r="AI21" i="15"/>
  <c r="AD17" i="15"/>
  <c r="AE17" i="15"/>
  <c r="Z17" i="15"/>
  <c r="BY16" i="15"/>
  <c r="AT16" i="15"/>
  <c r="AU16" i="15"/>
  <c r="AV16" i="15"/>
  <c r="AP16" i="15"/>
  <c r="AQ16" i="15"/>
  <c r="AQ24" i="15"/>
  <c r="AL16" i="15"/>
  <c r="AH16" i="15"/>
  <c r="AI16" i="15"/>
  <c r="AD16" i="15"/>
  <c r="AE16" i="15"/>
  <c r="Z16" i="15"/>
  <c r="AA16" i="15"/>
  <c r="BY12" i="15"/>
  <c r="BZ12" i="15"/>
  <c r="AT12" i="15"/>
  <c r="AU12" i="15"/>
  <c r="AV12" i="15"/>
  <c r="AP12" i="15"/>
  <c r="AQ12" i="15"/>
  <c r="AL12" i="15"/>
  <c r="AM12" i="15"/>
  <c r="AH12" i="15"/>
  <c r="AI12" i="15"/>
  <c r="AJ12" i="15"/>
  <c r="AD12" i="15"/>
  <c r="AE12" i="15"/>
  <c r="AF12" i="15"/>
  <c r="Z12" i="15"/>
  <c r="AA12" i="15"/>
  <c r="AB12" i="15"/>
  <c r="BY11" i="15"/>
  <c r="AT11" i="15"/>
  <c r="AU11" i="15"/>
  <c r="AP11" i="15"/>
  <c r="AQ11" i="15"/>
  <c r="AL11" i="15"/>
  <c r="AM11" i="15"/>
  <c r="AH11" i="15"/>
  <c r="AI11" i="15"/>
  <c r="AJ11" i="15"/>
  <c r="AD11" i="15"/>
  <c r="AE11" i="15"/>
  <c r="AF11" i="15"/>
  <c r="Z11" i="15"/>
  <c r="AA11" i="15"/>
  <c r="BY10" i="15"/>
  <c r="AT10" i="15"/>
  <c r="AU10" i="15"/>
  <c r="AV10" i="15"/>
  <c r="AP10" i="15"/>
  <c r="AQ10" i="15"/>
  <c r="AL10" i="15"/>
  <c r="AH10" i="15"/>
  <c r="AI10" i="15"/>
  <c r="AD10" i="15"/>
  <c r="AE10" i="15"/>
  <c r="AF10" i="15"/>
  <c r="Z10" i="15"/>
  <c r="AA10" i="15"/>
  <c r="BY9" i="15"/>
  <c r="AT9" i="15"/>
  <c r="AU9" i="15"/>
  <c r="AP9" i="15"/>
  <c r="AL9" i="15"/>
  <c r="AM9" i="15"/>
  <c r="AH9" i="15"/>
  <c r="AI9" i="15"/>
  <c r="AJ9" i="15"/>
  <c r="AD9" i="15"/>
  <c r="AE9" i="15"/>
  <c r="Z9" i="15"/>
  <c r="BY8" i="15"/>
  <c r="AT8" i="15"/>
  <c r="AU8" i="15"/>
  <c r="AP8" i="15"/>
  <c r="AQ8" i="15"/>
  <c r="AR8" i="15"/>
  <c r="AL8" i="15"/>
  <c r="AM8" i="15"/>
  <c r="AN8" i="15"/>
  <c r="AH8" i="15"/>
  <c r="AI8" i="15"/>
  <c r="AJ8" i="15"/>
  <c r="AD8" i="15"/>
  <c r="AE8" i="15"/>
  <c r="Z8" i="15"/>
  <c r="AA8" i="15"/>
  <c r="C804" i="17"/>
  <c r="C803" i="17"/>
  <c r="C770" i="17"/>
  <c r="D770" i="17"/>
  <c r="C769" i="17"/>
  <c r="C737" i="17"/>
  <c r="C736" i="17"/>
  <c r="C705" i="17"/>
  <c r="C704" i="17"/>
  <c r="C641" i="17"/>
  <c r="C640" i="17"/>
  <c r="C608" i="17"/>
  <c r="D608" i="17"/>
  <c r="C607" i="17"/>
  <c r="C572" i="17"/>
  <c r="D572" i="17"/>
  <c r="C571" i="17"/>
  <c r="C537" i="17"/>
  <c r="C536" i="17"/>
  <c r="C507" i="17"/>
  <c r="C505" i="17"/>
  <c r="C504" i="17"/>
  <c r="C475" i="17"/>
  <c r="C473" i="17"/>
  <c r="C476" i="17"/>
  <c r="C472" i="17"/>
  <c r="C855" i="17"/>
  <c r="CI96" i="15"/>
  <c r="CI116" i="15"/>
  <c r="CC96" i="15"/>
  <c r="CC107" i="15"/>
  <c r="CA96" i="15"/>
  <c r="CA124" i="15"/>
  <c r="AQ13" i="19"/>
  <c r="AR13" i="19"/>
  <c r="AM13" i="19"/>
  <c r="AN13" i="19"/>
  <c r="AI13" i="19"/>
  <c r="AJ13" i="19"/>
  <c r="BZ18" i="15"/>
  <c r="T105" i="15"/>
  <c r="T103" i="15"/>
  <c r="T81" i="15"/>
  <c r="T51" i="15"/>
  <c r="T43" i="15"/>
  <c r="T41" i="15"/>
  <c r="T34" i="15"/>
  <c r="T32" i="15"/>
  <c r="T28" i="15"/>
  <c r="T27" i="15"/>
  <c r="T26" i="15"/>
  <c r="T25" i="15"/>
  <c r="T24" i="15"/>
  <c r="T21" i="15"/>
  <c r="T13" i="15"/>
  <c r="S135" i="15"/>
  <c r="S134" i="15"/>
  <c r="S129" i="15"/>
  <c r="S105" i="15"/>
  <c r="S103" i="15"/>
  <c r="S125" i="15"/>
  <c r="S81" i="15"/>
  <c r="S55" i="15"/>
  <c r="S128" i="15"/>
  <c r="S51" i="15"/>
  <c r="S43" i="15"/>
  <c r="BQ43" i="15"/>
  <c r="S41" i="15"/>
  <c r="S34" i="15"/>
  <c r="S28" i="15"/>
  <c r="S27" i="15"/>
  <c r="S26" i="15"/>
  <c r="S25" i="15"/>
  <c r="S24" i="15"/>
  <c r="S21" i="15"/>
  <c r="S13" i="15"/>
  <c r="C135" i="17"/>
  <c r="D148" i="17"/>
  <c r="C131" i="17"/>
  <c r="C126" i="17"/>
  <c r="C125" i="17"/>
  <c r="D125" i="17"/>
  <c r="C124" i="17"/>
  <c r="D124" i="17"/>
  <c r="C123" i="17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AY3" i="19"/>
  <c r="AZ3" i="19"/>
  <c r="BA3" i="19"/>
  <c r="BB3" i="19"/>
  <c r="BD14" i="19"/>
  <c r="BD19" i="19"/>
  <c r="BC14" i="19"/>
  <c r="BC22" i="19"/>
  <c r="BC23" i="19"/>
  <c r="BB14" i="19"/>
  <c r="BB19" i="19"/>
  <c r="AY14" i="19"/>
  <c r="AY18" i="19"/>
  <c r="AX14" i="19"/>
  <c r="AX21" i="19"/>
  <c r="AU14" i="19"/>
  <c r="AU22" i="19"/>
  <c r="AT14" i="19"/>
  <c r="AT22" i="19"/>
  <c r="AP14" i="19"/>
  <c r="AP22" i="19"/>
  <c r="AP19" i="19"/>
  <c r="AP23" i="19"/>
  <c r="AL14" i="19"/>
  <c r="AL22" i="19"/>
  <c r="AL23" i="19"/>
  <c r="AH14" i="19"/>
  <c r="AH18" i="19"/>
  <c r="AD14" i="19"/>
  <c r="AD20" i="19"/>
  <c r="AD23" i="19"/>
  <c r="Z14" i="19"/>
  <c r="Z20" i="19"/>
  <c r="V14" i="19"/>
  <c r="AZ13" i="19"/>
  <c r="AV13" i="19"/>
  <c r="AW13" i="19"/>
  <c r="AZ12" i="19"/>
  <c r="BA12" i="19"/>
  <c r="AV12" i="19"/>
  <c r="AW12" i="19"/>
  <c r="AZ11" i="19"/>
  <c r="BA11" i="19"/>
  <c r="AV11" i="19"/>
  <c r="AW11" i="19"/>
  <c r="AZ10" i="19"/>
  <c r="BA10" i="19"/>
  <c r="AV10" i="19"/>
  <c r="AW10" i="19"/>
  <c r="AZ9" i="19"/>
  <c r="BA9" i="19"/>
  <c r="AV9" i="19"/>
  <c r="AV18" i="19"/>
  <c r="Q14" i="19"/>
  <c r="Q20" i="19"/>
  <c r="Q23" i="19"/>
  <c r="Q22" i="19"/>
  <c r="P14" i="19"/>
  <c r="P22" i="19"/>
  <c r="O14" i="19"/>
  <c r="O18" i="19"/>
  <c r="O23" i="19"/>
  <c r="N14" i="19"/>
  <c r="N22" i="19"/>
  <c r="M14" i="19"/>
  <c r="M19" i="19"/>
  <c r="M23" i="19"/>
  <c r="L14" i="19"/>
  <c r="L22" i="19"/>
  <c r="K14" i="19"/>
  <c r="K19" i="19"/>
  <c r="J14" i="19"/>
  <c r="J21" i="19"/>
  <c r="I14" i="19"/>
  <c r="I18" i="19"/>
  <c r="I23" i="19"/>
  <c r="H14" i="19"/>
  <c r="H18" i="19"/>
  <c r="G14" i="19"/>
  <c r="G18" i="19"/>
  <c r="G23" i="19"/>
  <c r="G19" i="19"/>
  <c r="F14" i="19"/>
  <c r="F22" i="19"/>
  <c r="E14" i="19"/>
  <c r="E19" i="19"/>
  <c r="D14" i="19"/>
  <c r="D20" i="19"/>
  <c r="C14" i="19"/>
  <c r="C19" i="19"/>
  <c r="D3" i="19"/>
  <c r="E3" i="19"/>
  <c r="F3" i="19"/>
  <c r="G3" i="19"/>
  <c r="H3" i="19"/>
  <c r="I3" i="19"/>
  <c r="J3" i="19"/>
  <c r="K3" i="19"/>
  <c r="L3" i="19"/>
  <c r="M3" i="19"/>
  <c r="U105" i="15"/>
  <c r="U103" i="15"/>
  <c r="V103" i="15"/>
  <c r="W103" i="15"/>
  <c r="BG56" i="15"/>
  <c r="C128" i="17"/>
  <c r="BG53" i="15"/>
  <c r="C144" i="17"/>
  <c r="C150" i="17"/>
  <c r="BG37" i="15"/>
  <c r="BG39" i="15"/>
  <c r="BL34" i="15"/>
  <c r="BL32" i="15"/>
  <c r="BK37" i="15"/>
  <c r="BL37" i="15"/>
  <c r="BL39" i="15"/>
  <c r="BK24" i="15"/>
  <c r="BK28" i="15"/>
  <c r="BK26" i="15"/>
  <c r="BL25" i="15"/>
  <c r="BK27" i="15"/>
  <c r="BK13" i="15"/>
  <c r="BL24" i="15"/>
  <c r="BG135" i="15"/>
  <c r="BG134" i="15"/>
  <c r="BG129" i="15"/>
  <c r="BG105" i="15"/>
  <c r="BG103" i="15"/>
  <c r="BG55" i="15"/>
  <c r="BG41" i="15"/>
  <c r="BG34" i="15"/>
  <c r="BG32" i="15"/>
  <c r="BG26" i="15"/>
  <c r="CK32" i="15"/>
  <c r="CG32" i="15"/>
  <c r="BO50" i="15"/>
  <c r="BQ50" i="15"/>
  <c r="BO49" i="15"/>
  <c r="BQ49" i="15"/>
  <c r="BO125" i="15"/>
  <c r="BO48" i="15"/>
  <c r="BQ48" i="15"/>
  <c r="BO124" i="15"/>
  <c r="BO47" i="15"/>
  <c r="BQ47" i="15"/>
  <c r="BO46" i="15"/>
  <c r="CG50" i="15"/>
  <c r="CG49" i="15"/>
  <c r="CG48" i="15"/>
  <c r="CG47" i="15"/>
  <c r="CG46" i="15"/>
  <c r="BF50" i="15"/>
  <c r="BF49" i="15"/>
  <c r="BF48" i="15"/>
  <c r="BG48" i="15"/>
  <c r="BF47" i="15"/>
  <c r="BG47" i="15"/>
  <c r="BF46" i="15"/>
  <c r="BG46" i="15"/>
  <c r="C160" i="17"/>
  <c r="C162" i="17"/>
  <c r="C159" i="17"/>
  <c r="C163" i="17"/>
  <c r="C171" i="17"/>
  <c r="D180" i="17"/>
  <c r="C167" i="17"/>
  <c r="CK36" i="15"/>
  <c r="CK37" i="15"/>
  <c r="CK116" i="15"/>
  <c r="CK105" i="15"/>
  <c r="CK104" i="15"/>
  <c r="CK103" i="15"/>
  <c r="CK109" i="15"/>
  <c r="CK41" i="15"/>
  <c r="CK34" i="15"/>
  <c r="CK28" i="15"/>
  <c r="CK27" i="15"/>
  <c r="CK26" i="15"/>
  <c r="CK25" i="15"/>
  <c r="CK24" i="15"/>
  <c r="CK21" i="15"/>
  <c r="CK13" i="15"/>
  <c r="BO32" i="15"/>
  <c r="BO36" i="15"/>
  <c r="BO112" i="15"/>
  <c r="BO116" i="15"/>
  <c r="BO111" i="15"/>
  <c r="BO109" i="15"/>
  <c r="BO107" i="15"/>
  <c r="BO105" i="15"/>
  <c r="BO103" i="15"/>
  <c r="BO97" i="15"/>
  <c r="BO41" i="15"/>
  <c r="BO34" i="15"/>
  <c r="BO28" i="15"/>
  <c r="BO27" i="15"/>
  <c r="BO26" i="15"/>
  <c r="BO25" i="15"/>
  <c r="BO24" i="15"/>
  <c r="BO21" i="15"/>
  <c r="BO29" i="15"/>
  <c r="BO13" i="15"/>
  <c r="BO3" i="15"/>
  <c r="BO104" i="15"/>
  <c r="CG56" i="15"/>
  <c r="CG131" i="15"/>
  <c r="CG54" i="15"/>
  <c r="CG129" i="15"/>
  <c r="CG53" i="15"/>
  <c r="CG36" i="15"/>
  <c r="CG37" i="15"/>
  <c r="CG39" i="15"/>
  <c r="CG135" i="15"/>
  <c r="CG134" i="15"/>
  <c r="CG105" i="15"/>
  <c r="CG104" i="15"/>
  <c r="CG103" i="15"/>
  <c r="CG41" i="15"/>
  <c r="CG34" i="15"/>
  <c r="CG28" i="15"/>
  <c r="CG27" i="15"/>
  <c r="CG26" i="15"/>
  <c r="CG25" i="15"/>
  <c r="CG24" i="15"/>
  <c r="CG21" i="15"/>
  <c r="CG13" i="15"/>
  <c r="BF96" i="15"/>
  <c r="BF107" i="15"/>
  <c r="BF56" i="15"/>
  <c r="BF131" i="15"/>
  <c r="BF54" i="15"/>
  <c r="BF53" i="15"/>
  <c r="BF128" i="15"/>
  <c r="BF37" i="15"/>
  <c r="BF135" i="15"/>
  <c r="BF134" i="15"/>
  <c r="BF105" i="15"/>
  <c r="BF103" i="15"/>
  <c r="BF41" i="15"/>
  <c r="BF34" i="15"/>
  <c r="BF32" i="15"/>
  <c r="BF28" i="15"/>
  <c r="BF27" i="15"/>
  <c r="BF26" i="15"/>
  <c r="BF25" i="15"/>
  <c r="BF24" i="15"/>
  <c r="BF21" i="15"/>
  <c r="BF13" i="15"/>
  <c r="CK111" i="15"/>
  <c r="CK107" i="15"/>
  <c r="C205" i="17"/>
  <c r="D216" i="17"/>
  <c r="C201" i="17"/>
  <c r="C196" i="17"/>
  <c r="C193" i="17"/>
  <c r="C194" i="17"/>
  <c r="CI32" i="15"/>
  <c r="BN98" i="15"/>
  <c r="BN97" i="15"/>
  <c r="BN32" i="15"/>
  <c r="BE32" i="15"/>
  <c r="BN122" i="15"/>
  <c r="BN36" i="15"/>
  <c r="BN112" i="15"/>
  <c r="BN125" i="15"/>
  <c r="BN124" i="15"/>
  <c r="BN123" i="15"/>
  <c r="BN116" i="15"/>
  <c r="BN111" i="15"/>
  <c r="BN109" i="15"/>
  <c r="BN107" i="15"/>
  <c r="BN105" i="15"/>
  <c r="BN103" i="15"/>
  <c r="BN51" i="15"/>
  <c r="BN126" i="15"/>
  <c r="BN41" i="15"/>
  <c r="BN34" i="15"/>
  <c r="BN28" i="15"/>
  <c r="BN27" i="15"/>
  <c r="BN26" i="15"/>
  <c r="BN25" i="15"/>
  <c r="BN24" i="15"/>
  <c r="BN21" i="15"/>
  <c r="BN13" i="15"/>
  <c r="BN104" i="15"/>
  <c r="BE56" i="15"/>
  <c r="BE53" i="15"/>
  <c r="C213" i="17"/>
  <c r="C219" i="17"/>
  <c r="BE36" i="15"/>
  <c r="BE37" i="15"/>
  <c r="BE134" i="15"/>
  <c r="BE129" i="15"/>
  <c r="BE130" i="15"/>
  <c r="BE105" i="15"/>
  <c r="BE103" i="15"/>
  <c r="BE135" i="15"/>
  <c r="BE51" i="15"/>
  <c r="BE41" i="15"/>
  <c r="BE34" i="15"/>
  <c r="BE28" i="15"/>
  <c r="BE27" i="15"/>
  <c r="BE26" i="15"/>
  <c r="BE25" i="15"/>
  <c r="BE24" i="15"/>
  <c r="BE21" i="15"/>
  <c r="BE13" i="15"/>
  <c r="CF8" i="15"/>
  <c r="CJ8" i="15"/>
  <c r="CJ40" i="15"/>
  <c r="CJ41" i="15"/>
  <c r="CJ35" i="15"/>
  <c r="CJ33" i="15"/>
  <c r="CJ31" i="15"/>
  <c r="CJ20" i="15"/>
  <c r="CJ19" i="15"/>
  <c r="CJ18" i="15"/>
  <c r="CJ17" i="15"/>
  <c r="CJ16" i="15"/>
  <c r="CJ12" i="15"/>
  <c r="CJ11" i="15"/>
  <c r="CJ10" i="15"/>
  <c r="CJ9" i="15"/>
  <c r="CJ105" i="15"/>
  <c r="CJ104" i="15"/>
  <c r="CJ103" i="15"/>
  <c r="CF105" i="15"/>
  <c r="CF104" i="15"/>
  <c r="CF103" i="15"/>
  <c r="CF60" i="15"/>
  <c r="CF59" i="15"/>
  <c r="CF54" i="15"/>
  <c r="CF50" i="15"/>
  <c r="CF49" i="15"/>
  <c r="CF48" i="15"/>
  <c r="CF51" i="15"/>
  <c r="CF47" i="15"/>
  <c r="CF46" i="15"/>
  <c r="CF40" i="15"/>
  <c r="CF35" i="15"/>
  <c r="CF33" i="15"/>
  <c r="CF31" i="15"/>
  <c r="CG43" i="15"/>
  <c r="CF20" i="15"/>
  <c r="CF28" i="15"/>
  <c r="CF19" i="15"/>
  <c r="CF18" i="15"/>
  <c r="CF17" i="15"/>
  <c r="CF16" i="15"/>
  <c r="CF12" i="15"/>
  <c r="CF11" i="15"/>
  <c r="CF10" i="15"/>
  <c r="CF26" i="15"/>
  <c r="CF9" i="15"/>
  <c r="AZ59" i="15"/>
  <c r="AZ54" i="15"/>
  <c r="AZ40" i="15"/>
  <c r="AZ116" i="15"/>
  <c r="AZ35" i="15"/>
  <c r="AZ111" i="15"/>
  <c r="AZ33" i="15"/>
  <c r="AZ109" i="15"/>
  <c r="AZ31" i="15"/>
  <c r="BN43" i="15"/>
  <c r="BD95" i="15"/>
  <c r="BQ95" i="15"/>
  <c r="BD60" i="15"/>
  <c r="BD59" i="15"/>
  <c r="BD54" i="15"/>
  <c r="BD129" i="15"/>
  <c r="BD40" i="15"/>
  <c r="BD35" i="15"/>
  <c r="BD33" i="15"/>
  <c r="BD31" i="15"/>
  <c r="BD105" i="15"/>
  <c r="BD103" i="15"/>
  <c r="Q96" i="15"/>
  <c r="Q124" i="15"/>
  <c r="Q123" i="15"/>
  <c r="R125" i="15"/>
  <c r="Q32" i="15"/>
  <c r="Q56" i="15"/>
  <c r="Q53" i="15"/>
  <c r="Q128" i="15"/>
  <c r="Q36" i="15"/>
  <c r="R36" i="15"/>
  <c r="R37" i="15"/>
  <c r="Q134" i="15"/>
  <c r="Q129" i="15"/>
  <c r="Q105" i="15"/>
  <c r="Q103" i="15"/>
  <c r="Q81" i="15"/>
  <c r="Q51" i="15"/>
  <c r="Q43" i="15"/>
  <c r="Q119" i="15"/>
  <c r="Q41" i="15"/>
  <c r="Q34" i="15"/>
  <c r="Q28" i="15"/>
  <c r="Q27" i="15"/>
  <c r="Q26" i="15"/>
  <c r="Q25" i="15"/>
  <c r="Q24" i="15"/>
  <c r="Q21" i="15"/>
  <c r="Q13" i="15"/>
  <c r="R56" i="15"/>
  <c r="R131" i="15"/>
  <c r="R53" i="15"/>
  <c r="R134" i="15"/>
  <c r="R129" i="15"/>
  <c r="R105" i="15"/>
  <c r="R103" i="15"/>
  <c r="R81" i="15"/>
  <c r="R135" i="15"/>
  <c r="R51" i="15"/>
  <c r="R43" i="15"/>
  <c r="R41" i="15"/>
  <c r="R34" i="15"/>
  <c r="R28" i="15"/>
  <c r="R27" i="15"/>
  <c r="R26" i="15"/>
  <c r="R25" i="15"/>
  <c r="R24" i="15"/>
  <c r="R13" i="15"/>
  <c r="C224" i="17"/>
  <c r="C226" i="17"/>
  <c r="C225" i="17"/>
  <c r="C223" i="17"/>
  <c r="AY50" i="15"/>
  <c r="AZ50" i="15"/>
  <c r="BC50" i="15"/>
  <c r="BD50" i="15"/>
  <c r="AY20" i="15"/>
  <c r="AY19" i="15"/>
  <c r="AZ19" i="15"/>
  <c r="AY18" i="15"/>
  <c r="AZ18" i="15"/>
  <c r="AY17" i="15"/>
  <c r="AY16" i="15"/>
  <c r="AY12" i="15"/>
  <c r="AZ12" i="15"/>
  <c r="AY11" i="15"/>
  <c r="AZ11" i="15"/>
  <c r="AY10" i="15"/>
  <c r="AY9" i="15"/>
  <c r="AY8" i="15"/>
  <c r="AY36" i="15"/>
  <c r="AY37" i="15"/>
  <c r="C235" i="17"/>
  <c r="D248" i="17"/>
  <c r="C231" i="17"/>
  <c r="BC56" i="15"/>
  <c r="BC53" i="15"/>
  <c r="BC55" i="15"/>
  <c r="AY53" i="15"/>
  <c r="C364" i="17"/>
  <c r="C370" i="17"/>
  <c r="AY56" i="15"/>
  <c r="C349" i="17"/>
  <c r="C360" i="17"/>
  <c r="BC36" i="15"/>
  <c r="BC20" i="15"/>
  <c r="BD20" i="15"/>
  <c r="BC19" i="15"/>
  <c r="BD19" i="15"/>
  <c r="BC18" i="15"/>
  <c r="BC17" i="15"/>
  <c r="BD17" i="15"/>
  <c r="BD25" i="15"/>
  <c r="BC16" i="15"/>
  <c r="BD16" i="15"/>
  <c r="BC12" i="15"/>
  <c r="BC11" i="15"/>
  <c r="BC10" i="15"/>
  <c r="BC9" i="15"/>
  <c r="BD9" i="15"/>
  <c r="BC8" i="15"/>
  <c r="BD8" i="15"/>
  <c r="BC135" i="15"/>
  <c r="BC134" i="15"/>
  <c r="BC129" i="15"/>
  <c r="BC105" i="15"/>
  <c r="BC103" i="15"/>
  <c r="BC41" i="15"/>
  <c r="BC34" i="15"/>
  <c r="BC32" i="15"/>
  <c r="C256" i="17"/>
  <c r="C254" i="17"/>
  <c r="C253" i="17"/>
  <c r="BB49" i="15"/>
  <c r="BC49" i="15"/>
  <c r="BD49" i="15"/>
  <c r="BB48" i="15"/>
  <c r="BC48" i="15"/>
  <c r="BD48" i="15"/>
  <c r="BB47" i="15"/>
  <c r="BB46" i="15"/>
  <c r="CE51" i="15"/>
  <c r="CE126" i="15"/>
  <c r="C261" i="17"/>
  <c r="CE56" i="15"/>
  <c r="CE131" i="15"/>
  <c r="CE53" i="15"/>
  <c r="BB56" i="15"/>
  <c r="C258" i="17"/>
  <c r="C269" i="17"/>
  <c r="BB53" i="15"/>
  <c r="CD40" i="15"/>
  <c r="C266" i="17"/>
  <c r="C265" i="17"/>
  <c r="D255" i="17"/>
  <c r="CI36" i="15"/>
  <c r="CI37" i="15"/>
  <c r="CE36" i="15"/>
  <c r="CE112" i="15"/>
  <c r="CI105" i="15"/>
  <c r="CI104" i="15"/>
  <c r="CI103" i="15"/>
  <c r="CI43" i="15"/>
  <c r="CI41" i="15"/>
  <c r="CI34" i="15"/>
  <c r="CI28" i="15"/>
  <c r="CI27" i="15"/>
  <c r="CI26" i="15"/>
  <c r="CI25" i="15"/>
  <c r="CI24" i="15"/>
  <c r="CI21" i="15"/>
  <c r="CI13" i="15"/>
  <c r="AX13" i="15"/>
  <c r="BB13" i="15"/>
  <c r="BB111" i="15"/>
  <c r="AX36" i="15"/>
  <c r="AX37" i="15"/>
  <c r="BB36" i="15"/>
  <c r="BB37" i="15"/>
  <c r="BF38" i="15"/>
  <c r="BB113" i="15"/>
  <c r="BB116" i="15"/>
  <c r="BB105" i="15"/>
  <c r="BB103" i="15"/>
  <c r="BB41" i="15"/>
  <c r="BB34" i="15"/>
  <c r="BB32" i="15"/>
  <c r="BB25" i="15"/>
  <c r="BB27" i="15"/>
  <c r="BB26" i="15"/>
  <c r="BB24" i="15"/>
  <c r="CE105" i="15"/>
  <c r="CE104" i="15"/>
  <c r="CE103" i="15"/>
  <c r="CE123" i="15"/>
  <c r="CE41" i="15"/>
  <c r="CE34" i="15"/>
  <c r="CE32" i="15"/>
  <c r="CE28" i="15"/>
  <c r="CE27" i="15"/>
  <c r="CE26" i="15"/>
  <c r="CE25" i="15"/>
  <c r="CE24" i="15"/>
  <c r="CE21" i="15"/>
  <c r="CE13" i="15"/>
  <c r="C287" i="17"/>
  <c r="C285" i="17"/>
  <c r="C284" i="17"/>
  <c r="D284" i="17"/>
  <c r="C297" i="17"/>
  <c r="D295" i="17"/>
  <c r="C296" i="17"/>
  <c r="D307" i="17"/>
  <c r="BA56" i="15"/>
  <c r="BA131" i="15"/>
  <c r="BA53" i="15"/>
  <c r="BN53" i="15"/>
  <c r="BA36" i="15"/>
  <c r="BA112" i="15"/>
  <c r="P56" i="15"/>
  <c r="P53" i="15"/>
  <c r="AW53" i="15"/>
  <c r="AW55" i="15"/>
  <c r="AW36" i="15"/>
  <c r="AW37" i="15"/>
  <c r="AW21" i="15"/>
  <c r="AW13" i="15"/>
  <c r="BA134" i="15"/>
  <c r="BA129" i="15"/>
  <c r="BA125" i="15"/>
  <c r="BA124" i="15"/>
  <c r="BA123" i="15"/>
  <c r="BA122" i="15"/>
  <c r="BA116" i="15"/>
  <c r="BA111" i="15"/>
  <c r="BA109" i="15"/>
  <c r="BA107" i="15"/>
  <c r="BA105" i="15"/>
  <c r="BA103" i="15"/>
  <c r="BA98" i="15"/>
  <c r="BA97" i="15"/>
  <c r="BA51" i="15"/>
  <c r="BA126" i="15"/>
  <c r="BA41" i="15"/>
  <c r="BA34" i="15"/>
  <c r="BA32" i="15"/>
  <c r="BA28" i="15"/>
  <c r="BA27" i="15"/>
  <c r="BA26" i="15"/>
  <c r="BA25" i="15"/>
  <c r="BA24" i="15"/>
  <c r="BA21" i="15"/>
  <c r="BA29" i="15"/>
  <c r="BA13" i="15"/>
  <c r="C317" i="17"/>
  <c r="C315" i="17"/>
  <c r="C314" i="17"/>
  <c r="CC51" i="15"/>
  <c r="CA51" i="15"/>
  <c r="BW51" i="15"/>
  <c r="BW126" i="15"/>
  <c r="BU51" i="15"/>
  <c r="BU126" i="15"/>
  <c r="BS51" i="15"/>
  <c r="BS126" i="15"/>
  <c r="CD50" i="15"/>
  <c r="CB50" i="15"/>
  <c r="BZ50" i="15"/>
  <c r="AW51" i="15"/>
  <c r="AW126" i="15"/>
  <c r="AS51" i="15"/>
  <c r="AO51" i="15"/>
  <c r="AO126" i="15"/>
  <c r="AK51" i="15"/>
  <c r="AK126" i="15"/>
  <c r="AG51" i="15"/>
  <c r="AG126" i="15"/>
  <c r="AC51" i="15"/>
  <c r="AC126" i="15"/>
  <c r="Y51" i="15"/>
  <c r="Y126" i="15"/>
  <c r="N51" i="15"/>
  <c r="AV50" i="15"/>
  <c r="O51" i="15"/>
  <c r="P51" i="15"/>
  <c r="O32" i="15"/>
  <c r="C327" i="17"/>
  <c r="AZ95" i="15"/>
  <c r="AZ129" i="15"/>
  <c r="AZ130" i="15"/>
  <c r="O56" i="15"/>
  <c r="O53" i="15"/>
  <c r="O128" i="15"/>
  <c r="O130" i="15"/>
  <c r="O132" i="15"/>
  <c r="O143" i="15"/>
  <c r="P36" i="15"/>
  <c r="O36" i="15"/>
  <c r="O37" i="15"/>
  <c r="P32" i="15"/>
  <c r="O134" i="15"/>
  <c r="O129" i="15"/>
  <c r="O105" i="15"/>
  <c r="O103" i="15"/>
  <c r="O81" i="15"/>
  <c r="O43" i="15"/>
  <c r="O41" i="15"/>
  <c r="O34" i="15"/>
  <c r="O28" i="15"/>
  <c r="O27" i="15"/>
  <c r="O26" i="15"/>
  <c r="O25" i="15"/>
  <c r="O24" i="15"/>
  <c r="O21" i="15"/>
  <c r="O13" i="15"/>
  <c r="O29" i="15"/>
  <c r="P134" i="15"/>
  <c r="P129" i="15"/>
  <c r="P105" i="15"/>
  <c r="P103" i="15"/>
  <c r="P81" i="15"/>
  <c r="P43" i="15"/>
  <c r="P41" i="15"/>
  <c r="P34" i="15"/>
  <c r="P28" i="15"/>
  <c r="P27" i="15"/>
  <c r="P26" i="15"/>
  <c r="P25" i="15"/>
  <c r="P24" i="15"/>
  <c r="P21" i="15"/>
  <c r="P13" i="15"/>
  <c r="P29" i="15"/>
  <c r="CD105" i="15"/>
  <c r="CD104" i="15"/>
  <c r="CD103" i="15"/>
  <c r="CD59" i="15"/>
  <c r="CD54" i="15"/>
  <c r="CD49" i="15"/>
  <c r="CD48" i="15"/>
  <c r="CD47" i="15"/>
  <c r="CD46" i="15"/>
  <c r="CD35" i="15"/>
  <c r="CD33" i="15"/>
  <c r="CD31" i="15"/>
  <c r="CD43" i="15"/>
  <c r="CD20" i="15"/>
  <c r="CD19" i="15"/>
  <c r="CD18" i="15"/>
  <c r="CD17" i="15"/>
  <c r="CD16" i="15"/>
  <c r="CD12" i="15"/>
  <c r="CD11" i="15"/>
  <c r="CD10" i="15"/>
  <c r="CD9" i="15"/>
  <c r="CD8" i="15"/>
  <c r="AZ105" i="15"/>
  <c r="AZ103" i="15"/>
  <c r="C379" i="17"/>
  <c r="C377" i="17"/>
  <c r="C376" i="17"/>
  <c r="C356" i="17"/>
  <c r="D346" i="17"/>
  <c r="C352" i="17"/>
  <c r="C347" i="17"/>
  <c r="C345" i="17"/>
  <c r="C344" i="17"/>
  <c r="C384" i="17"/>
  <c r="AX49" i="15"/>
  <c r="AY49" i="15"/>
  <c r="AZ49" i="15"/>
  <c r="AZ125" i="15"/>
  <c r="AX48" i="15"/>
  <c r="AY48" i="15"/>
  <c r="AZ48" i="15"/>
  <c r="AZ124" i="15"/>
  <c r="AX47" i="15"/>
  <c r="AY47" i="15"/>
  <c r="AZ47" i="15"/>
  <c r="AZ123" i="15"/>
  <c r="AX46" i="15"/>
  <c r="AY135" i="15"/>
  <c r="AY134" i="15"/>
  <c r="AY129" i="15"/>
  <c r="AY105" i="15"/>
  <c r="AY103" i="15"/>
  <c r="AY41" i="15"/>
  <c r="AY34" i="15"/>
  <c r="AY32" i="15"/>
  <c r="CC56" i="15"/>
  <c r="CC131" i="15"/>
  <c r="CC53" i="15"/>
  <c r="CC55" i="15"/>
  <c r="CC61" i="15"/>
  <c r="CC136" i="15"/>
  <c r="CC36" i="15"/>
  <c r="CD36" i="15"/>
  <c r="CC26" i="15"/>
  <c r="CC25" i="15"/>
  <c r="CC105" i="15"/>
  <c r="CC104" i="15"/>
  <c r="CC103" i="15"/>
  <c r="CC41" i="15"/>
  <c r="CC34" i="15"/>
  <c r="CC32" i="15"/>
  <c r="CC28" i="15"/>
  <c r="CC27" i="15"/>
  <c r="CC24" i="15"/>
  <c r="CC21" i="15"/>
  <c r="CC13" i="15"/>
  <c r="C411" i="17"/>
  <c r="C409" i="17"/>
  <c r="C408" i="17"/>
  <c r="AX56" i="15"/>
  <c r="C381" i="17"/>
  <c r="C392" i="17"/>
  <c r="AX53" i="15"/>
  <c r="AX105" i="15"/>
  <c r="AX103" i="15"/>
  <c r="AX41" i="15"/>
  <c r="AX34" i="15"/>
  <c r="AX32" i="15"/>
  <c r="C421" i="17"/>
  <c r="C420" i="17"/>
  <c r="D401" i="17"/>
  <c r="AW56" i="15"/>
  <c r="AW134" i="15"/>
  <c r="AW129" i="15"/>
  <c r="AW105" i="15"/>
  <c r="AW103" i="15"/>
  <c r="AW41" i="15"/>
  <c r="AW34" i="15"/>
  <c r="AW32" i="15"/>
  <c r="AW28" i="15"/>
  <c r="AW27" i="15"/>
  <c r="AW26" i="15"/>
  <c r="AW25" i="15"/>
  <c r="AW24" i="15"/>
  <c r="N53" i="15"/>
  <c r="N55" i="15"/>
  <c r="CB59" i="15"/>
  <c r="CB134" i="15"/>
  <c r="CB54" i="15"/>
  <c r="CB49" i="15"/>
  <c r="CB48" i="15"/>
  <c r="CB47" i="15"/>
  <c r="CB46" i="15"/>
  <c r="CB40" i="15"/>
  <c r="CB35" i="15"/>
  <c r="CB33" i="15"/>
  <c r="CB31" i="15"/>
  <c r="CB20" i="15"/>
  <c r="CB19" i="15"/>
  <c r="CB18" i="15"/>
  <c r="CB17" i="15"/>
  <c r="CB16" i="15"/>
  <c r="CB12" i="15"/>
  <c r="CB11" i="15"/>
  <c r="CB10" i="15"/>
  <c r="CB9" i="15"/>
  <c r="CB8" i="15"/>
  <c r="CB105" i="15"/>
  <c r="CB104" i="15"/>
  <c r="CB103" i="15"/>
  <c r="C443" i="17"/>
  <c r="C441" i="17"/>
  <c r="C440" i="17"/>
  <c r="AV95" i="15"/>
  <c r="CB95" i="15"/>
  <c r="CB96" i="15"/>
  <c r="AV59" i="15"/>
  <c r="AV54" i="15"/>
  <c r="AV35" i="15"/>
  <c r="AV33" i="15"/>
  <c r="AV31" i="15"/>
  <c r="AV43" i="15"/>
  <c r="AV105" i="15"/>
  <c r="AV103" i="15"/>
  <c r="C480" i="17"/>
  <c r="C484" i="17"/>
  <c r="D496" i="17"/>
  <c r="N56" i="15"/>
  <c r="N131" i="15"/>
  <c r="N36" i="15"/>
  <c r="N134" i="15"/>
  <c r="N129" i="15"/>
  <c r="N105" i="15"/>
  <c r="N103" i="15"/>
  <c r="N81" i="15"/>
  <c r="N43" i="15"/>
  <c r="N41" i="15"/>
  <c r="N34" i="15"/>
  <c r="N32" i="15"/>
  <c r="N28" i="15"/>
  <c r="N27" i="15"/>
  <c r="N26" i="15"/>
  <c r="N25" i="15"/>
  <c r="N24" i="15"/>
  <c r="N21" i="15"/>
  <c r="N13" i="15"/>
  <c r="AU135" i="15"/>
  <c r="AU134" i="15"/>
  <c r="AU129" i="15"/>
  <c r="AU105" i="15"/>
  <c r="AU103" i="15"/>
  <c r="AU41" i="15"/>
  <c r="AU34" i="15"/>
  <c r="AU32" i="15"/>
  <c r="C512" i="17"/>
  <c r="AT107" i="15"/>
  <c r="C524" i="17"/>
  <c r="C530" i="17"/>
  <c r="AT105" i="15"/>
  <c r="AT103" i="15"/>
  <c r="AT41" i="15"/>
  <c r="AT34" i="15"/>
  <c r="AT32" i="15"/>
  <c r="CA105" i="15"/>
  <c r="CA104" i="15"/>
  <c r="CA103" i="15"/>
  <c r="CA41" i="15"/>
  <c r="CA34" i="15"/>
  <c r="CA32" i="15"/>
  <c r="CA28" i="15"/>
  <c r="CA27" i="15"/>
  <c r="CA26" i="15"/>
  <c r="CA24" i="15"/>
  <c r="CA25" i="15"/>
  <c r="CA13" i="15"/>
  <c r="CA21" i="15"/>
  <c r="C550" i="17"/>
  <c r="D559" i="17"/>
  <c r="AO135" i="15"/>
  <c r="AO134" i="15"/>
  <c r="AO129" i="15"/>
  <c r="AO125" i="15"/>
  <c r="AO124" i="15"/>
  <c r="AO123" i="15"/>
  <c r="AO122" i="15"/>
  <c r="AO116" i="15"/>
  <c r="AO111" i="15"/>
  <c r="AO109" i="15"/>
  <c r="AO107" i="15"/>
  <c r="AO105" i="15"/>
  <c r="AO103" i="15"/>
  <c r="AO98" i="15"/>
  <c r="AP97" i="15"/>
  <c r="AO97" i="15"/>
  <c r="AO41" i="15"/>
  <c r="AR40" i="15"/>
  <c r="AR35" i="15"/>
  <c r="AO34" i="15"/>
  <c r="AR33" i="15"/>
  <c r="AS32" i="15"/>
  <c r="AO32" i="15"/>
  <c r="AR31" i="15"/>
  <c r="AU43" i="15"/>
  <c r="AO28" i="15"/>
  <c r="AO27" i="15"/>
  <c r="AO26" i="15"/>
  <c r="AO25" i="15"/>
  <c r="AO24" i="15"/>
  <c r="AO21" i="15"/>
  <c r="AO13" i="15"/>
  <c r="AS135" i="15"/>
  <c r="AS41" i="15"/>
  <c r="AS134" i="15"/>
  <c r="AS129" i="15"/>
  <c r="AS105" i="15"/>
  <c r="AS103" i="15"/>
  <c r="AS34" i="15"/>
  <c r="AS28" i="15"/>
  <c r="AS27" i="15"/>
  <c r="AS26" i="15"/>
  <c r="AS25" i="15"/>
  <c r="AS24" i="15"/>
  <c r="AS21" i="15"/>
  <c r="AS13" i="15"/>
  <c r="BZ59" i="15"/>
  <c r="BZ54" i="15"/>
  <c r="BZ40" i="15"/>
  <c r="BZ35" i="15"/>
  <c r="BZ33" i="15"/>
  <c r="BZ31" i="15"/>
  <c r="BZ43" i="15"/>
  <c r="BZ105" i="15"/>
  <c r="BZ104" i="15"/>
  <c r="BZ103" i="15"/>
  <c r="AR95" i="15"/>
  <c r="AR59" i="15"/>
  <c r="AR54" i="15"/>
  <c r="AR105" i="15"/>
  <c r="AR103" i="15"/>
  <c r="M134" i="15"/>
  <c r="M129" i="15"/>
  <c r="M105" i="15"/>
  <c r="M103" i="15"/>
  <c r="M81" i="15"/>
  <c r="M51" i="15"/>
  <c r="M43" i="15"/>
  <c r="M41" i="15"/>
  <c r="M34" i="15"/>
  <c r="M32" i="15"/>
  <c r="M28" i="15"/>
  <c r="M27" i="15"/>
  <c r="M26" i="15"/>
  <c r="M25" i="15"/>
  <c r="M24" i="15"/>
  <c r="M21" i="15"/>
  <c r="M13" i="15"/>
  <c r="C621" i="17"/>
  <c r="D631" i="17"/>
  <c r="C617" i="17"/>
  <c r="C614" i="17"/>
  <c r="C625" i="17"/>
  <c r="AQ135" i="15"/>
  <c r="AQ134" i="15"/>
  <c r="AQ129" i="15"/>
  <c r="AQ105" i="15"/>
  <c r="AQ103" i="15"/>
  <c r="AQ41" i="15"/>
  <c r="AQ34" i="15"/>
  <c r="AQ32" i="15"/>
  <c r="C650" i="17"/>
  <c r="BY32" i="15"/>
  <c r="C655" i="17"/>
  <c r="C654" i="17"/>
  <c r="D665" i="17"/>
  <c r="BY112" i="15"/>
  <c r="BY116" i="15"/>
  <c r="BY111" i="15"/>
  <c r="BY109" i="15"/>
  <c r="BY110" i="15"/>
  <c r="BY107" i="15"/>
  <c r="BY105" i="15"/>
  <c r="BY104" i="15"/>
  <c r="BY103" i="15"/>
  <c r="BY41" i="15"/>
  <c r="BY34" i="15"/>
  <c r="AP135" i="15"/>
  <c r="AP134" i="15"/>
  <c r="AP129" i="15"/>
  <c r="AP116" i="15"/>
  <c r="AP111" i="15"/>
  <c r="AP109" i="15"/>
  <c r="AP107" i="15"/>
  <c r="AP105" i="15"/>
  <c r="AP103" i="15"/>
  <c r="AP98" i="15"/>
  <c r="AP41" i="15"/>
  <c r="AP34" i="15"/>
  <c r="AP32" i="15"/>
  <c r="C687" i="17"/>
  <c r="E2" i="16"/>
  <c r="BX60" i="15"/>
  <c r="BX59" i="15"/>
  <c r="BX134" i="15"/>
  <c r="BX54" i="15"/>
  <c r="BX49" i="15"/>
  <c r="BX125" i="15"/>
  <c r="BX48" i="15"/>
  <c r="BX47" i="15"/>
  <c r="BX123" i="15"/>
  <c r="BX46" i="15"/>
  <c r="BX122" i="15"/>
  <c r="BX40" i="15"/>
  <c r="BX35" i="15"/>
  <c r="BX111" i="15"/>
  <c r="BX33" i="15"/>
  <c r="BX109" i="15"/>
  <c r="BX31" i="15"/>
  <c r="BY43" i="15"/>
  <c r="BX20" i="15"/>
  <c r="BX28" i="15"/>
  <c r="BX19" i="15"/>
  <c r="BX18" i="15"/>
  <c r="BX17" i="15"/>
  <c r="BX16" i="15"/>
  <c r="BX12" i="15"/>
  <c r="BX11" i="15"/>
  <c r="BX10" i="15"/>
  <c r="BX9" i="15"/>
  <c r="BX25" i="15"/>
  <c r="BX8" i="15"/>
  <c r="AN60" i="15"/>
  <c r="C682" i="17"/>
  <c r="D682" i="17"/>
  <c r="AN59" i="15"/>
  <c r="AN54" i="15"/>
  <c r="AN40" i="15"/>
  <c r="AN35" i="15"/>
  <c r="AN111" i="15"/>
  <c r="AN33" i="15"/>
  <c r="AN31" i="15"/>
  <c r="AL97" i="15"/>
  <c r="AI97" i="15"/>
  <c r="AH97" i="15"/>
  <c r="AG97" i="15"/>
  <c r="AF97" i="15"/>
  <c r="AE97" i="15"/>
  <c r="AD97" i="15"/>
  <c r="AN95" i="15"/>
  <c r="BX95" i="15"/>
  <c r="L131" i="15"/>
  <c r="BX105" i="15"/>
  <c r="BX104" i="15"/>
  <c r="BX103" i="15"/>
  <c r="AN105" i="15"/>
  <c r="AN103" i="15"/>
  <c r="L135" i="15"/>
  <c r="L134" i="15"/>
  <c r="L129" i="15"/>
  <c r="L105" i="15"/>
  <c r="L103" i="15"/>
  <c r="L81" i="15"/>
  <c r="L51" i="15"/>
  <c r="L43" i="15"/>
  <c r="L41" i="15"/>
  <c r="L34" i="15"/>
  <c r="L32" i="15"/>
  <c r="L28" i="15"/>
  <c r="L27" i="15"/>
  <c r="L26" i="15"/>
  <c r="L25" i="15"/>
  <c r="L24" i="15"/>
  <c r="L21" i="15"/>
  <c r="L29" i="15"/>
  <c r="L13" i="15"/>
  <c r="AM60" i="15"/>
  <c r="AM135" i="15"/>
  <c r="C718" i="17"/>
  <c r="D704" i="17"/>
  <c r="AM37" i="15"/>
  <c r="AM39" i="15"/>
  <c r="AM134" i="15"/>
  <c r="AM129" i="15"/>
  <c r="AM105" i="15"/>
  <c r="AM103" i="15"/>
  <c r="AM41" i="15"/>
  <c r="AM34" i="15"/>
  <c r="AM32" i="15"/>
  <c r="AK24" i="15"/>
  <c r="K32" i="15"/>
  <c r="AK107" i="15"/>
  <c r="AK109" i="15"/>
  <c r="AK32" i="15"/>
  <c r="C746" i="17"/>
  <c r="C750" i="17"/>
  <c r="BW125" i="15"/>
  <c r="BW124" i="15"/>
  <c r="BW123" i="15"/>
  <c r="BW122" i="15"/>
  <c r="BW116" i="15"/>
  <c r="BW111" i="15"/>
  <c r="BW109" i="15"/>
  <c r="BW107" i="15"/>
  <c r="BW105" i="15"/>
  <c r="BW104" i="15"/>
  <c r="BW103" i="15"/>
  <c r="BW41" i="15"/>
  <c r="BW34" i="15"/>
  <c r="BW28" i="15"/>
  <c r="BW27" i="15"/>
  <c r="BW26" i="15"/>
  <c r="BW25" i="15"/>
  <c r="BW24" i="15"/>
  <c r="BW21" i="15"/>
  <c r="BW29" i="15"/>
  <c r="BW13" i="15"/>
  <c r="AL135" i="15"/>
  <c r="AL134" i="15"/>
  <c r="AL129" i="15"/>
  <c r="AL116" i="15"/>
  <c r="AL109" i="15"/>
  <c r="AL107" i="15"/>
  <c r="AL105" i="15"/>
  <c r="AL103" i="15"/>
  <c r="AL98" i="15"/>
  <c r="AL41" i="15"/>
  <c r="AL111" i="15"/>
  <c r="AL34" i="15"/>
  <c r="AL32" i="15"/>
  <c r="AK135" i="15"/>
  <c r="AK134" i="15"/>
  <c r="AK129" i="15"/>
  <c r="AK125" i="15"/>
  <c r="AK124" i="15"/>
  <c r="AK123" i="15"/>
  <c r="AK122" i="15"/>
  <c r="AK116" i="15"/>
  <c r="AK111" i="15"/>
  <c r="AK105" i="15"/>
  <c r="AK103" i="15"/>
  <c r="AK98" i="15"/>
  <c r="AK41" i="15"/>
  <c r="AK34" i="15"/>
  <c r="AK28" i="15"/>
  <c r="AK27" i="15"/>
  <c r="AK26" i="15"/>
  <c r="AK25" i="15"/>
  <c r="AK21" i="15"/>
  <c r="AK13" i="15"/>
  <c r="AJ54" i="15"/>
  <c r="AJ95" i="15"/>
  <c r="AJ129" i="15"/>
  <c r="C784" i="17"/>
  <c r="C773" i="17"/>
  <c r="AJ60" i="15"/>
  <c r="AJ59" i="15"/>
  <c r="AJ56" i="15"/>
  <c r="C777" i="17"/>
  <c r="C788" i="17"/>
  <c r="AJ40" i="15"/>
  <c r="AJ33" i="15"/>
  <c r="AJ31" i="15"/>
  <c r="AJ105" i="15"/>
  <c r="AJ103" i="15"/>
  <c r="K81" i="15"/>
  <c r="AJ53" i="15"/>
  <c r="K37" i="15"/>
  <c r="K135" i="15"/>
  <c r="K134" i="15"/>
  <c r="K131" i="15"/>
  <c r="K129" i="15"/>
  <c r="K105" i="15"/>
  <c r="K103" i="15"/>
  <c r="K51" i="15"/>
  <c r="K43" i="15"/>
  <c r="K41" i="15"/>
  <c r="K34" i="15"/>
  <c r="K28" i="15"/>
  <c r="K27" i="15"/>
  <c r="K26" i="15"/>
  <c r="K25" i="15"/>
  <c r="K24" i="15"/>
  <c r="K21" i="15"/>
  <c r="K13" i="15"/>
  <c r="K29" i="15"/>
  <c r="B115" i="15"/>
  <c r="BU34" i="15"/>
  <c r="BS34" i="15"/>
  <c r="AI34" i="15"/>
  <c r="AH34" i="15"/>
  <c r="AG34" i="15"/>
  <c r="AE34" i="15"/>
  <c r="AD34" i="15"/>
  <c r="AC34" i="15"/>
  <c r="AA34" i="15"/>
  <c r="Z34" i="15"/>
  <c r="Y34" i="15"/>
  <c r="G39" i="15"/>
  <c r="F39" i="15"/>
  <c r="E39" i="15"/>
  <c r="D39" i="15"/>
  <c r="G38" i="15"/>
  <c r="F38" i="15"/>
  <c r="E38" i="15"/>
  <c r="BU41" i="15"/>
  <c r="BS41" i="15"/>
  <c r="AI41" i="15"/>
  <c r="AH41" i="15"/>
  <c r="AG41" i="15"/>
  <c r="AE41" i="15"/>
  <c r="AD41" i="15"/>
  <c r="AC41" i="15"/>
  <c r="AA41" i="15"/>
  <c r="Z41" i="15"/>
  <c r="Y41" i="15"/>
  <c r="BT112" i="15"/>
  <c r="B112" i="15"/>
  <c r="Y37" i="15"/>
  <c r="Y113" i="15"/>
  <c r="AI112" i="15"/>
  <c r="C814" i="17"/>
  <c r="C811" i="17"/>
  <c r="C822" i="17"/>
  <c r="C819" i="17"/>
  <c r="C818" i="17"/>
  <c r="D831" i="17"/>
  <c r="BV98" i="15"/>
  <c r="AD98" i="15"/>
  <c r="AE98" i="15"/>
  <c r="AF98" i="15"/>
  <c r="AG98" i="15"/>
  <c r="AH98" i="15"/>
  <c r="AI98" i="15"/>
  <c r="AC98" i="15"/>
  <c r="B142" i="15"/>
  <c r="B143" i="15"/>
  <c r="B141" i="15"/>
  <c r="AA134" i="15"/>
  <c r="AC134" i="15"/>
  <c r="AD134" i="15"/>
  <c r="AE134" i="15"/>
  <c r="AG134" i="15"/>
  <c r="AH134" i="15"/>
  <c r="AI134" i="15"/>
  <c r="AA135" i="15"/>
  <c r="AC135" i="15"/>
  <c r="AD135" i="15"/>
  <c r="AE135" i="15"/>
  <c r="AG135" i="15"/>
  <c r="AH135" i="15"/>
  <c r="AI135" i="15"/>
  <c r="Z135" i="15"/>
  <c r="Z134" i="15"/>
  <c r="Y135" i="15"/>
  <c r="Y134" i="15"/>
  <c r="E134" i="15"/>
  <c r="F134" i="15"/>
  <c r="G134" i="15"/>
  <c r="H134" i="15"/>
  <c r="I134" i="15"/>
  <c r="J134" i="15"/>
  <c r="E135" i="15"/>
  <c r="F135" i="15"/>
  <c r="G135" i="15"/>
  <c r="H135" i="15"/>
  <c r="I135" i="15"/>
  <c r="J135" i="15"/>
  <c r="D135" i="15"/>
  <c r="D134" i="15"/>
  <c r="Z131" i="15"/>
  <c r="AA131" i="15"/>
  <c r="AC131" i="15"/>
  <c r="AD131" i="15"/>
  <c r="AE131" i="15"/>
  <c r="AG131" i="15"/>
  <c r="AH131" i="15"/>
  <c r="AI131" i="15"/>
  <c r="Y131" i="15"/>
  <c r="BU122" i="15"/>
  <c r="BU123" i="15"/>
  <c r="BU124" i="15"/>
  <c r="BU125" i="15"/>
  <c r="BS125" i="15"/>
  <c r="BS124" i="15"/>
  <c r="BS123" i="15"/>
  <c r="BS122" i="15"/>
  <c r="AC122" i="15"/>
  <c r="AG122" i="15"/>
  <c r="AC123" i="15"/>
  <c r="AG123" i="15"/>
  <c r="AC124" i="15"/>
  <c r="AG124" i="15"/>
  <c r="AC125" i="15"/>
  <c r="AG125" i="15"/>
  <c r="Y125" i="15"/>
  <c r="Y124" i="15"/>
  <c r="Y123" i="15"/>
  <c r="Y122" i="15"/>
  <c r="E122" i="15"/>
  <c r="F122" i="15"/>
  <c r="G122" i="15"/>
  <c r="H122" i="15"/>
  <c r="I122" i="15"/>
  <c r="J122" i="15"/>
  <c r="E123" i="15"/>
  <c r="F123" i="15"/>
  <c r="G123" i="15"/>
  <c r="H123" i="15"/>
  <c r="I123" i="15"/>
  <c r="J123" i="15"/>
  <c r="E124" i="15"/>
  <c r="F124" i="15"/>
  <c r="G124" i="15"/>
  <c r="H124" i="15"/>
  <c r="I124" i="15"/>
  <c r="J124" i="15"/>
  <c r="E125" i="15"/>
  <c r="F125" i="15"/>
  <c r="G125" i="15"/>
  <c r="H125" i="15"/>
  <c r="I125" i="15"/>
  <c r="J125" i="15"/>
  <c r="D123" i="15"/>
  <c r="D124" i="15"/>
  <c r="D125" i="15"/>
  <c r="D122" i="15"/>
  <c r="J75" i="15"/>
  <c r="I75" i="15"/>
  <c r="H75" i="15"/>
  <c r="H79" i="15"/>
  <c r="H81" i="15"/>
  <c r="J74" i="15"/>
  <c r="I74" i="15"/>
  <c r="I79" i="15"/>
  <c r="I81" i="15"/>
  <c r="H74" i="15"/>
  <c r="BV60" i="15"/>
  <c r="BV135" i="15"/>
  <c r="BV59" i="15"/>
  <c r="BV134" i="15"/>
  <c r="BV56" i="15"/>
  <c r="BV131" i="15"/>
  <c r="BV54" i="15"/>
  <c r="BV129" i="15"/>
  <c r="BT60" i="15"/>
  <c r="BT135" i="15"/>
  <c r="BT59" i="15"/>
  <c r="BT56" i="15"/>
  <c r="BT54" i="15"/>
  <c r="BT129" i="15"/>
  <c r="BT130" i="15"/>
  <c r="BT53" i="15"/>
  <c r="BT128" i="15"/>
  <c r="BT49" i="15"/>
  <c r="BT125" i="15"/>
  <c r="BV49" i="15"/>
  <c r="BV125" i="15"/>
  <c r="BV48" i="15"/>
  <c r="BV47" i="15"/>
  <c r="BV46" i="15"/>
  <c r="BV122" i="15"/>
  <c r="BT48" i="15"/>
  <c r="BT124" i="15"/>
  <c r="BT47" i="15"/>
  <c r="BT123" i="15"/>
  <c r="BT46" i="15"/>
  <c r="BV35" i="15"/>
  <c r="BV111" i="15"/>
  <c r="BV40" i="15"/>
  <c r="BV116" i="15"/>
  <c r="BV33" i="15"/>
  <c r="BV109" i="15"/>
  <c r="BV110" i="15"/>
  <c r="BV31" i="15"/>
  <c r="BV107" i="15"/>
  <c r="BT40" i="15"/>
  <c r="BT116" i="15"/>
  <c r="BT33" i="15"/>
  <c r="BT109" i="15"/>
  <c r="BT31" i="15"/>
  <c r="BV17" i="15"/>
  <c r="BV18" i="15"/>
  <c r="BV19" i="15"/>
  <c r="BV20" i="15"/>
  <c r="BV16" i="15"/>
  <c r="BV9" i="15"/>
  <c r="BV10" i="15"/>
  <c r="BV26" i="15"/>
  <c r="BV11" i="15"/>
  <c r="BV12" i="15"/>
  <c r="BV8" i="15"/>
  <c r="BT17" i="15"/>
  <c r="BT18" i="15"/>
  <c r="BT19" i="15"/>
  <c r="BT20" i="15"/>
  <c r="BT16" i="15"/>
  <c r="BT24" i="15"/>
  <c r="BT9" i="15"/>
  <c r="BT10" i="15"/>
  <c r="BT11" i="15"/>
  <c r="BT27" i="15"/>
  <c r="BT12" i="15"/>
  <c r="BT8" i="15"/>
  <c r="BV105" i="15"/>
  <c r="BV104" i="15"/>
  <c r="BV103" i="15"/>
  <c r="BT111" i="15"/>
  <c r="BT105" i="15"/>
  <c r="BT104" i="15"/>
  <c r="BT103" i="15"/>
  <c r="AF95" i="15"/>
  <c r="AB95" i="15"/>
  <c r="BU116" i="15"/>
  <c r="BS116" i="15"/>
  <c r="AI116" i="15"/>
  <c r="AH116" i="15"/>
  <c r="AG116" i="15"/>
  <c r="AE116" i="15"/>
  <c r="AD116" i="15"/>
  <c r="AC116" i="15"/>
  <c r="AA116" i="15"/>
  <c r="AA117" i="15"/>
  <c r="Z116" i="15"/>
  <c r="Y116" i="15"/>
  <c r="J116" i="15"/>
  <c r="I116" i="15"/>
  <c r="H116" i="15"/>
  <c r="G116" i="15"/>
  <c r="F116" i="15"/>
  <c r="E116" i="15"/>
  <c r="E117" i="15"/>
  <c r="D116" i="15"/>
  <c r="G113" i="15"/>
  <c r="F113" i="15"/>
  <c r="E113" i="15"/>
  <c r="D113" i="15"/>
  <c r="BU111" i="15"/>
  <c r="BS111" i="15"/>
  <c r="AG111" i="15"/>
  <c r="AC111" i="15"/>
  <c r="Y111" i="15"/>
  <c r="J111" i="15"/>
  <c r="I111" i="15"/>
  <c r="H111" i="15"/>
  <c r="BU109" i="15"/>
  <c r="BS109" i="15"/>
  <c r="AI109" i="15"/>
  <c r="AI110" i="15"/>
  <c r="AH109" i="15"/>
  <c r="AG109" i="15"/>
  <c r="AE109" i="15"/>
  <c r="AD109" i="15"/>
  <c r="AC109" i="15"/>
  <c r="AA109" i="15"/>
  <c r="Z109" i="15"/>
  <c r="Y109" i="15"/>
  <c r="Y110" i="15"/>
  <c r="J109" i="15"/>
  <c r="I109" i="15"/>
  <c r="H109" i="15"/>
  <c r="G109" i="15"/>
  <c r="F109" i="15"/>
  <c r="E109" i="15"/>
  <c r="D109" i="15"/>
  <c r="BU107" i="15"/>
  <c r="BS107" i="15"/>
  <c r="Z107" i="15"/>
  <c r="AA107" i="15"/>
  <c r="AC107" i="15"/>
  <c r="AD107" i="15"/>
  <c r="AE107" i="15"/>
  <c r="AG107" i="15"/>
  <c r="AH107" i="15"/>
  <c r="AI107" i="15"/>
  <c r="Y107" i="15"/>
  <c r="AD32" i="15"/>
  <c r="AE32" i="15"/>
  <c r="AG32" i="15"/>
  <c r="AH32" i="15"/>
  <c r="AI32" i="15"/>
  <c r="AC32" i="15"/>
  <c r="E107" i="15"/>
  <c r="E115" i="15"/>
  <c r="F107" i="15"/>
  <c r="G107" i="15"/>
  <c r="H107" i="15"/>
  <c r="I107" i="15"/>
  <c r="J107" i="15"/>
  <c r="D107" i="15"/>
  <c r="B137" i="15"/>
  <c r="B136" i="15"/>
  <c r="B135" i="15"/>
  <c r="B134" i="15"/>
  <c r="B125" i="15"/>
  <c r="B122" i="15"/>
  <c r="B120" i="15"/>
  <c r="B119" i="15"/>
  <c r="B117" i="15"/>
  <c r="B116" i="15"/>
  <c r="B114" i="15"/>
  <c r="B113" i="15"/>
  <c r="B111" i="15"/>
  <c r="B110" i="15"/>
  <c r="B109" i="15"/>
  <c r="AF60" i="15"/>
  <c r="AB60" i="15"/>
  <c r="Z84" i="15"/>
  <c r="Z83" i="15"/>
  <c r="Y84" i="15"/>
  <c r="Y83" i="15"/>
  <c r="H84" i="15"/>
  <c r="H83" i="15"/>
  <c r="AD55" i="15"/>
  <c r="AE55" i="15"/>
  <c r="AF59" i="15"/>
  <c r="AB59" i="15"/>
  <c r="AF54" i="15"/>
  <c r="AB54" i="15"/>
  <c r="AB56" i="15"/>
  <c r="AF56" i="15"/>
  <c r="AH111" i="15"/>
  <c r="D51" i="15"/>
  <c r="D126" i="15"/>
  <c r="E51" i="15"/>
  <c r="E126" i="15"/>
  <c r="F51" i="15"/>
  <c r="F126" i="15"/>
  <c r="G51" i="15"/>
  <c r="G126" i="15"/>
  <c r="H51" i="15"/>
  <c r="H126" i="15"/>
  <c r="I51" i="15"/>
  <c r="I126" i="15"/>
  <c r="J51" i="15"/>
  <c r="J126" i="15"/>
  <c r="AB40" i="15"/>
  <c r="AB41" i="15"/>
  <c r="AB116" i="15"/>
  <c r="AB33" i="15"/>
  <c r="AB109" i="15"/>
  <c r="AB31" i="15"/>
  <c r="AC43" i="15"/>
  <c r="AF40" i="15"/>
  <c r="AF33" i="15"/>
  <c r="AF31" i="15"/>
  <c r="AH43" i="15"/>
  <c r="G24" i="15"/>
  <c r="H24" i="15"/>
  <c r="I24" i="15"/>
  <c r="J24" i="15"/>
  <c r="G25" i="15"/>
  <c r="H25" i="15"/>
  <c r="I25" i="15"/>
  <c r="J25" i="15"/>
  <c r="G26" i="15"/>
  <c r="H26" i="15"/>
  <c r="I26" i="15"/>
  <c r="J26" i="15"/>
  <c r="G27" i="15"/>
  <c r="H27" i="15"/>
  <c r="I27" i="15"/>
  <c r="J27" i="15"/>
  <c r="G28" i="15"/>
  <c r="H28" i="15"/>
  <c r="I28" i="15"/>
  <c r="J28" i="15"/>
  <c r="AI129" i="15"/>
  <c r="AI105" i="15"/>
  <c r="AI103" i="15"/>
  <c r="AH129" i="15"/>
  <c r="AH105" i="15"/>
  <c r="AH103" i="15"/>
  <c r="AG129" i="15"/>
  <c r="AG105" i="15"/>
  <c r="AG103" i="15"/>
  <c r="AG28" i="15"/>
  <c r="AG27" i="15"/>
  <c r="AG26" i="15"/>
  <c r="AG25" i="15"/>
  <c r="AG24" i="15"/>
  <c r="AG21" i="15"/>
  <c r="AG13" i="15"/>
  <c r="AF105" i="15"/>
  <c r="AF103" i="15"/>
  <c r="AE129" i="15"/>
  <c r="AE105" i="15"/>
  <c r="AE103" i="15"/>
  <c r="AD129" i="15"/>
  <c r="AD105" i="15"/>
  <c r="AD103" i="15"/>
  <c r="AC129" i="15"/>
  <c r="AC105" i="15"/>
  <c r="AC103" i="15"/>
  <c r="AC28" i="15"/>
  <c r="AC27" i="15"/>
  <c r="AC26" i="15"/>
  <c r="AC25" i="15"/>
  <c r="AC24" i="15"/>
  <c r="AC21" i="15"/>
  <c r="AC13" i="15"/>
  <c r="AB105" i="15"/>
  <c r="AB103" i="15"/>
  <c r="AA129" i="15"/>
  <c r="AA105" i="15"/>
  <c r="AA103" i="15"/>
  <c r="Z3" i="15"/>
  <c r="Z104" i="15"/>
  <c r="Z129" i="15"/>
  <c r="Z105" i="15"/>
  <c r="Z103" i="15"/>
  <c r="Y129" i="15"/>
  <c r="Y105" i="15"/>
  <c r="Y103" i="15"/>
  <c r="Y28" i="15"/>
  <c r="Y27" i="15"/>
  <c r="Y26" i="15"/>
  <c r="Y25" i="15"/>
  <c r="Y24" i="15"/>
  <c r="Y21" i="15"/>
  <c r="Y13" i="15"/>
  <c r="Y104" i="15"/>
  <c r="J131" i="15"/>
  <c r="J129" i="15"/>
  <c r="J105" i="15"/>
  <c r="J103" i="15"/>
  <c r="J98" i="15"/>
  <c r="J43" i="15"/>
  <c r="J119" i="15"/>
  <c r="J41" i="15"/>
  <c r="J34" i="15"/>
  <c r="J32" i="15"/>
  <c r="J21" i="15"/>
  <c r="J13" i="15"/>
  <c r="I131" i="15"/>
  <c r="I129" i="15"/>
  <c r="I105" i="15"/>
  <c r="I103" i="15"/>
  <c r="I98" i="15"/>
  <c r="I43" i="15"/>
  <c r="I119" i="15"/>
  <c r="I41" i="15"/>
  <c r="I34" i="15"/>
  <c r="I32" i="15"/>
  <c r="I21" i="15"/>
  <c r="I13" i="15"/>
  <c r="H131" i="15"/>
  <c r="H129" i="15"/>
  <c r="H105" i="15"/>
  <c r="H103" i="15"/>
  <c r="H98" i="15"/>
  <c r="H43" i="15"/>
  <c r="H119" i="15"/>
  <c r="H41" i="15"/>
  <c r="H34" i="15"/>
  <c r="H32" i="15"/>
  <c r="H21" i="15"/>
  <c r="H13" i="15"/>
  <c r="BU84" i="15"/>
  <c r="BU83" i="15"/>
  <c r="BS28" i="15"/>
  <c r="BS27" i="15"/>
  <c r="BS26" i="15"/>
  <c r="BS25" i="15"/>
  <c r="BS24" i="15"/>
  <c r="BU53" i="15"/>
  <c r="BU105" i="15"/>
  <c r="BS105" i="15"/>
  <c r="BS104" i="15"/>
  <c r="BU103" i="15"/>
  <c r="BS103" i="15"/>
  <c r="BU98" i="15"/>
  <c r="BU32" i="15"/>
  <c r="BU28" i="15"/>
  <c r="BU27" i="15"/>
  <c r="BU26" i="15"/>
  <c r="BU25" i="15"/>
  <c r="BU24" i="15"/>
  <c r="BU21" i="15"/>
  <c r="BS21" i="15"/>
  <c r="BU13" i="15"/>
  <c r="BU29" i="15"/>
  <c r="BS13" i="15"/>
  <c r="BS29" i="15"/>
  <c r="BU104" i="15"/>
  <c r="F83" i="15"/>
  <c r="F84" i="15"/>
  <c r="E83" i="15"/>
  <c r="D83" i="15"/>
  <c r="D88" i="15"/>
  <c r="G83" i="15"/>
  <c r="G84" i="15"/>
  <c r="BT84" i="15"/>
  <c r="G78" i="15"/>
  <c r="G75" i="15"/>
  <c r="W79" i="15"/>
  <c r="W81" i="15"/>
  <c r="W92" i="15"/>
  <c r="V79" i="15"/>
  <c r="V81" i="15"/>
  <c r="V91" i="15"/>
  <c r="F79" i="15"/>
  <c r="F81" i="15"/>
  <c r="F91" i="15"/>
  <c r="E79" i="15"/>
  <c r="E81" i="15"/>
  <c r="E92" i="15"/>
  <c r="D79" i="15"/>
  <c r="D81" i="15"/>
  <c r="D90" i="15"/>
  <c r="F28" i="15"/>
  <c r="E28" i="15"/>
  <c r="D28" i="15"/>
  <c r="F27" i="15"/>
  <c r="E27" i="15"/>
  <c r="D27" i="15"/>
  <c r="F26" i="15"/>
  <c r="E26" i="15"/>
  <c r="D26" i="15"/>
  <c r="F25" i="15"/>
  <c r="E25" i="15"/>
  <c r="D25" i="15"/>
  <c r="F24" i="15"/>
  <c r="E24" i="15"/>
  <c r="D24" i="15"/>
  <c r="E13" i="15"/>
  <c r="E29" i="15"/>
  <c r="D13" i="15"/>
  <c r="F21" i="15"/>
  <c r="E21" i="15"/>
  <c r="D21" i="15"/>
  <c r="G21" i="15"/>
  <c r="F13" i="15"/>
  <c r="G13" i="15"/>
  <c r="G29" i="15"/>
  <c r="W38" i="15"/>
  <c r="V38" i="15"/>
  <c r="G44" i="15"/>
  <c r="G120" i="15"/>
  <c r="F44" i="15"/>
  <c r="F120" i="15"/>
  <c r="E44" i="15"/>
  <c r="E120" i="15"/>
  <c r="D44" i="15"/>
  <c r="D120" i="15"/>
  <c r="G43" i="15"/>
  <c r="G119" i="15"/>
  <c r="F43" i="15"/>
  <c r="F119" i="15"/>
  <c r="E43" i="15"/>
  <c r="E119" i="15"/>
  <c r="D43" i="15"/>
  <c r="D119" i="15"/>
  <c r="G32" i="15"/>
  <c r="G128" i="15"/>
  <c r="C872" i="17"/>
  <c r="C878" i="17"/>
  <c r="C861" i="17"/>
  <c r="D861" i="17"/>
  <c r="C858" i="17"/>
  <c r="C866" i="17"/>
  <c r="C865" i="17"/>
  <c r="C856" i="17"/>
  <c r="E128" i="15"/>
  <c r="E131" i="15"/>
  <c r="D131" i="15"/>
  <c r="E129" i="15"/>
  <c r="D129" i="15"/>
  <c r="D128" i="15"/>
  <c r="B140" i="15"/>
  <c r="B139" i="15"/>
  <c r="B132" i="15"/>
  <c r="B131" i="15"/>
  <c r="B130" i="15"/>
  <c r="B129" i="15"/>
  <c r="B128" i="15"/>
  <c r="B126" i="15"/>
  <c r="B124" i="15"/>
  <c r="B123" i="15"/>
  <c r="B108" i="15"/>
  <c r="B107" i="15"/>
  <c r="W105" i="15"/>
  <c r="V105" i="15"/>
  <c r="G105" i="15"/>
  <c r="F105" i="15"/>
  <c r="E105" i="15"/>
  <c r="D105" i="15"/>
  <c r="G103" i="15"/>
  <c r="F103" i="15"/>
  <c r="E103" i="15"/>
  <c r="D103" i="15"/>
  <c r="B103" i="15"/>
  <c r="F98" i="15"/>
  <c r="E98" i="15"/>
  <c r="F129" i="15"/>
  <c r="E32" i="15"/>
  <c r="D55" i="15"/>
  <c r="D57" i="15"/>
  <c r="D104" i="15"/>
  <c r="F32" i="15"/>
  <c r="F131" i="15"/>
  <c r="D34" i="15"/>
  <c r="E34" i="15"/>
  <c r="G98" i="15"/>
  <c r="G129" i="15"/>
  <c r="G131" i="15"/>
  <c r="G34" i="15"/>
  <c r="V44" i="15"/>
  <c r="W44" i="15"/>
  <c r="E55" i="15"/>
  <c r="E57" i="15"/>
  <c r="E65" i="15"/>
  <c r="G55" i="15"/>
  <c r="D41" i="15"/>
  <c r="E41" i="15"/>
  <c r="F128" i="15"/>
  <c r="F55" i="15"/>
  <c r="F61" i="15"/>
  <c r="F136" i="15"/>
  <c r="E3" i="15"/>
  <c r="F3" i="15"/>
  <c r="F34" i="15"/>
  <c r="G41" i="15"/>
  <c r="F41" i="15"/>
  <c r="C864" i="17"/>
  <c r="V43" i="15"/>
  <c r="V32" i="15"/>
  <c r="V34" i="15"/>
  <c r="V41" i="15"/>
  <c r="W43" i="15"/>
  <c r="W32" i="15"/>
  <c r="W34" i="15"/>
  <c r="W41" i="15"/>
  <c r="V55" i="15"/>
  <c r="V57" i="15"/>
  <c r="V62" i="15"/>
  <c r="W55" i="15"/>
  <c r="W61" i="15"/>
  <c r="C685" i="17"/>
  <c r="AW116" i="15"/>
  <c r="AW124" i="15"/>
  <c r="AW123" i="15"/>
  <c r="AW122" i="15"/>
  <c r="AW111" i="15"/>
  <c r="AW109" i="15"/>
  <c r="AW125" i="15"/>
  <c r="AW107" i="15"/>
  <c r="AX27" i="15"/>
  <c r="AX28" i="15"/>
  <c r="AX26" i="15"/>
  <c r="AX24" i="15"/>
  <c r="CE124" i="15"/>
  <c r="BB107" i="15"/>
  <c r="CE129" i="15"/>
  <c r="CE134" i="15"/>
  <c r="CE111" i="15"/>
  <c r="CE116" i="15"/>
  <c r="CE109" i="15"/>
  <c r="CE107" i="15"/>
  <c r="CE125" i="15"/>
  <c r="AX25" i="15"/>
  <c r="AX21" i="15"/>
  <c r="BB28" i="15"/>
  <c r="BB21" i="15"/>
  <c r="BB134" i="15"/>
  <c r="BB129" i="15"/>
  <c r="BB135" i="15"/>
  <c r="BB109" i="15"/>
  <c r="BB97" i="15"/>
  <c r="CE135" i="15"/>
  <c r="CE122" i="15"/>
  <c r="C546" i="17"/>
  <c r="D546" i="17"/>
  <c r="BB124" i="15"/>
  <c r="AH112" i="15"/>
  <c r="BA55" i="15"/>
  <c r="BC131" i="15"/>
  <c r="AP55" i="15"/>
  <c r="AP61" i="15"/>
  <c r="AP136" i="15"/>
  <c r="Q109" i="15"/>
  <c r="BY37" i="15"/>
  <c r="AE128" i="15"/>
  <c r="AV40" i="15"/>
  <c r="BC24" i="15"/>
  <c r="AY128" i="15"/>
  <c r="AY130" i="15"/>
  <c r="AZ8" i="15"/>
  <c r="AT98" i="15"/>
  <c r="AG117" i="15"/>
  <c r="O131" i="15"/>
  <c r="BB112" i="15"/>
  <c r="AZ9" i="15"/>
  <c r="BZ48" i="15"/>
  <c r="BY124" i="15"/>
  <c r="CE43" i="15"/>
  <c r="M21" i="19"/>
  <c r="H19" i="19"/>
  <c r="AP21" i="19"/>
  <c r="E21" i="19"/>
  <c r="M20" i="19"/>
  <c r="F18" i="19"/>
  <c r="BC18" i="19"/>
  <c r="BA13" i="19"/>
  <c r="BC21" i="19"/>
  <c r="BC19" i="19"/>
  <c r="BC20" i="19"/>
  <c r="O19" i="19"/>
  <c r="E18" i="19"/>
  <c r="M18" i="19"/>
  <c r="AL18" i="19"/>
  <c r="AP20" i="19"/>
  <c r="E22" i="19"/>
  <c r="E23" i="19"/>
  <c r="M22" i="19"/>
  <c r="Z18" i="19"/>
  <c r="AP18" i="19"/>
  <c r="AL20" i="19"/>
  <c r="AT20" i="19"/>
  <c r="AL21" i="19"/>
  <c r="AT21" i="19"/>
  <c r="E20" i="19"/>
  <c r="BG131" i="15"/>
  <c r="BL26" i="15"/>
  <c r="BL27" i="15"/>
  <c r="BL13" i="15"/>
  <c r="BK25" i="15"/>
  <c r="BL28" i="15"/>
  <c r="BK21" i="15"/>
  <c r="BK29" i="15"/>
  <c r="BL21" i="15"/>
  <c r="BG28" i="15"/>
  <c r="AD128" i="15"/>
  <c r="BG128" i="15"/>
  <c r="P37" i="15"/>
  <c r="P44" i="15"/>
  <c r="AP37" i="15"/>
  <c r="AP39" i="15"/>
  <c r="AW131" i="15"/>
  <c r="BD11" i="15"/>
  <c r="BD27" i="15"/>
  <c r="AZ16" i="15"/>
  <c r="AY24" i="15"/>
  <c r="AY21" i="15"/>
  <c r="AY29" i="15"/>
  <c r="AE112" i="15"/>
  <c r="CB60" i="15"/>
  <c r="N135" i="15"/>
  <c r="AY25" i="15"/>
  <c r="AZ17" i="15"/>
  <c r="Q37" i="15"/>
  <c r="CJ36" i="15"/>
  <c r="AS131" i="15"/>
  <c r="C543" i="17"/>
  <c r="D543" i="17"/>
  <c r="BG24" i="15"/>
  <c r="M37" i="15"/>
  <c r="M39" i="15"/>
  <c r="CC43" i="15"/>
  <c r="CE128" i="15"/>
  <c r="CE55" i="15"/>
  <c r="AV60" i="15"/>
  <c r="C448" i="17"/>
  <c r="AZ53" i="15"/>
  <c r="AZ55" i="15"/>
  <c r="AZ57" i="15"/>
  <c r="Q55" i="15"/>
  <c r="AT55" i="15"/>
  <c r="AX29" i="15"/>
  <c r="AQ131" i="15"/>
  <c r="BG25" i="15"/>
  <c r="BE43" i="15"/>
  <c r="BD43" i="15"/>
  <c r="AA3" i="15"/>
  <c r="AA104" i="15"/>
  <c r="BG21" i="15"/>
  <c r="BF43" i="15"/>
  <c r="CB41" i="15"/>
  <c r="E90" i="15"/>
  <c r="R124" i="15"/>
  <c r="Z123" i="15"/>
  <c r="Y128" i="15"/>
  <c r="Y55" i="15"/>
  <c r="R128" i="15"/>
  <c r="BD53" i="15"/>
  <c r="BD55" i="15"/>
  <c r="BD61" i="15"/>
  <c r="BX56" i="15"/>
  <c r="BX131" i="15"/>
  <c r="BF129" i="15"/>
  <c r="BF55" i="15"/>
  <c r="AN56" i="15"/>
  <c r="C679" i="17"/>
  <c r="C690" i="17"/>
  <c r="C304" i="17"/>
  <c r="D304" i="17"/>
  <c r="BA128" i="15"/>
  <c r="BG13" i="15"/>
  <c r="BG27" i="15"/>
  <c r="AH24" i="15"/>
  <c r="AL124" i="15"/>
  <c r="AP123" i="15"/>
  <c r="AT112" i="15"/>
  <c r="AT37" i="15"/>
  <c r="AT39" i="15"/>
  <c r="AT109" i="15"/>
  <c r="AT116" i="15"/>
  <c r="AT111" i="15"/>
  <c r="AT122" i="15"/>
  <c r="C517" i="17"/>
  <c r="CI109" i="15"/>
  <c r="AW112" i="15"/>
  <c r="BG111" i="15"/>
  <c r="J55" i="15"/>
  <c r="J57" i="15"/>
  <c r="J69" i="15"/>
  <c r="AF53" i="15"/>
  <c r="J128" i="15"/>
  <c r="J130" i="15"/>
  <c r="BG116" i="15"/>
  <c r="R119" i="15"/>
  <c r="AT123" i="15"/>
  <c r="Y85" i="15"/>
  <c r="Z122" i="15"/>
  <c r="AY131" i="15"/>
  <c r="C662" i="17"/>
  <c r="C668" i="17"/>
  <c r="AP128" i="15"/>
  <c r="BU43" i="15"/>
  <c r="Y112" i="15"/>
  <c r="AX39" i="15"/>
  <c r="AO55" i="15"/>
  <c r="AO57" i="15"/>
  <c r="AO61" i="15"/>
  <c r="AO136" i="15"/>
  <c r="CB43" i="15"/>
  <c r="K128" i="15"/>
  <c r="K55" i="15"/>
  <c r="K57" i="15"/>
  <c r="K62" i="15"/>
  <c r="K68" i="15"/>
  <c r="AS37" i="15"/>
  <c r="AZ20" i="15"/>
  <c r="AZ28" i="15"/>
  <c r="AY28" i="15"/>
  <c r="AZ56" i="15"/>
  <c r="C319" i="17"/>
  <c r="C330" i="17"/>
  <c r="C331" i="17"/>
  <c r="Q131" i="15"/>
  <c r="BE55" i="15"/>
  <c r="BE57" i="15"/>
  <c r="BE128" i="15"/>
  <c r="AP108" i="15"/>
  <c r="CD28" i="15"/>
  <c r="CJ28" i="15"/>
  <c r="CF27" i="15"/>
  <c r="CD25" i="15"/>
  <c r="BC47" i="15"/>
  <c r="BD47" i="15"/>
  <c r="BB123" i="15"/>
  <c r="CE61" i="15"/>
  <c r="CE136" i="15"/>
  <c r="BT122" i="15"/>
  <c r="C780" i="17"/>
  <c r="BZ8" i="15"/>
  <c r="AI128" i="15"/>
  <c r="CK39" i="15"/>
  <c r="CK113" i="15"/>
  <c r="AN53" i="15"/>
  <c r="AG128" i="15"/>
  <c r="AG130" i="15"/>
  <c r="BO43" i="15"/>
  <c r="AZ43" i="15"/>
  <c r="BC43" i="15"/>
  <c r="BB43" i="15"/>
  <c r="BA43" i="15"/>
  <c r="AZ34" i="15"/>
  <c r="AZ107" i="15"/>
  <c r="AZ117" i="15"/>
  <c r="CK112" i="15"/>
  <c r="C413" i="17"/>
  <c r="C424" i="17"/>
  <c r="BO37" i="15"/>
  <c r="BO113" i="15"/>
  <c r="BG107" i="15"/>
  <c r="BG109" i="15"/>
  <c r="O38" i="15"/>
  <c r="K61" i="15"/>
  <c r="K136" i="15"/>
  <c r="BW132" i="15"/>
  <c r="BP13" i="15"/>
  <c r="BP29" i="15"/>
  <c r="C334" i="17"/>
  <c r="C340" i="17"/>
  <c r="BF109" i="15"/>
  <c r="BG112" i="15"/>
  <c r="CI111" i="15"/>
  <c r="AH28" i="15"/>
  <c r="AG112" i="15"/>
  <c r="BG29" i="15"/>
  <c r="BN37" i="15"/>
  <c r="CI107" i="15"/>
  <c r="AY55" i="15"/>
  <c r="BZ19" i="15"/>
  <c r="G117" i="15"/>
  <c r="BV28" i="15"/>
  <c r="BG57" i="15"/>
  <c r="AX38" i="15"/>
  <c r="BB38" i="15"/>
  <c r="Z51" i="15"/>
  <c r="Z126" i="15"/>
  <c r="BD12" i="15"/>
  <c r="AT134" i="15"/>
  <c r="AJ36" i="15"/>
  <c r="AZ25" i="15"/>
  <c r="CD34" i="15"/>
  <c r="BB131" i="15"/>
  <c r="AZ27" i="15"/>
  <c r="AD26" i="15"/>
  <c r="AT135" i="15"/>
  <c r="BB125" i="15"/>
  <c r="AR60" i="15"/>
  <c r="C581" i="17"/>
  <c r="AB53" i="15"/>
  <c r="BZ60" i="15"/>
  <c r="BZ135" i="15"/>
  <c r="D29" i="15"/>
  <c r="AV96" i="15"/>
  <c r="AW97" i="15"/>
  <c r="BB39" i="15"/>
  <c r="AT129" i="15"/>
  <c r="E61" i="15"/>
  <c r="E136" i="15"/>
  <c r="AH27" i="15"/>
  <c r="I55" i="15"/>
  <c r="Z124" i="15"/>
  <c r="C516" i="17"/>
  <c r="D526" i="17"/>
  <c r="BA37" i="15"/>
  <c r="BT28" i="15"/>
  <c r="J79" i="15"/>
  <c r="J81" i="15"/>
  <c r="CB24" i="15"/>
  <c r="CI29" i="15"/>
  <c r="BD28" i="15"/>
  <c r="BD41" i="15"/>
  <c r="CJ27" i="15"/>
  <c r="BN29" i="15"/>
  <c r="AH125" i="15"/>
  <c r="CD41" i="15"/>
  <c r="CD32" i="15"/>
  <c r="BF130" i="15"/>
  <c r="BF132" i="15"/>
  <c r="BF143" i="15"/>
  <c r="BZ34" i="15"/>
  <c r="BH134" i="15"/>
  <c r="BP3" i="15"/>
  <c r="T135" i="15"/>
  <c r="BH13" i="15"/>
  <c r="AZ21" i="15"/>
  <c r="AZ36" i="15"/>
  <c r="AW128" i="15"/>
  <c r="AW130" i="15"/>
  <c r="AW132" i="15"/>
  <c r="BX26" i="15"/>
  <c r="BZ41" i="15"/>
  <c r="AY26" i="15"/>
  <c r="P39" i="15"/>
  <c r="AL25" i="15"/>
  <c r="CA43" i="15"/>
  <c r="C428" i="17"/>
  <c r="C434" i="17"/>
  <c r="G110" i="15"/>
  <c r="CE29" i="15"/>
  <c r="CG51" i="15"/>
  <c r="BH25" i="15"/>
  <c r="T131" i="15"/>
  <c r="BH26" i="15"/>
  <c r="AH37" i="15"/>
  <c r="AE130" i="15"/>
  <c r="AE132" i="15"/>
  <c r="AE143" i="15"/>
  <c r="BH28" i="15"/>
  <c r="BH21" i="15"/>
  <c r="BP38" i="15"/>
  <c r="AZ41" i="15"/>
  <c r="K130" i="15"/>
  <c r="C179" i="17"/>
  <c r="C185" i="17"/>
  <c r="CJ37" i="15"/>
  <c r="AD122" i="15"/>
  <c r="N57" i="15"/>
  <c r="N62" i="15"/>
  <c r="AL26" i="15"/>
  <c r="BH32" i="15"/>
  <c r="R38" i="15"/>
  <c r="R44" i="15"/>
  <c r="R120" i="15"/>
  <c r="R39" i="15"/>
  <c r="BE39" i="15"/>
  <c r="BH131" i="15"/>
  <c r="BH36" i="15"/>
  <c r="BH112" i="15"/>
  <c r="BO38" i="15"/>
  <c r="AB3" i="15"/>
  <c r="AB104" i="15"/>
  <c r="BG61" i="15"/>
  <c r="BG136" i="15"/>
  <c r="AP57" i="15"/>
  <c r="AM96" i="15"/>
  <c r="AM111" i="15"/>
  <c r="W57" i="15"/>
  <c r="W62" i="15"/>
  <c r="C289" i="17"/>
  <c r="D289" i="17"/>
  <c r="BL29" i="15"/>
  <c r="AV41" i="15"/>
  <c r="BT21" i="15"/>
  <c r="BC21" i="15"/>
  <c r="F57" i="15"/>
  <c r="F65" i="15"/>
  <c r="CF34" i="15"/>
  <c r="CC37" i="15"/>
  <c r="CC39" i="15"/>
  <c r="I117" i="15"/>
  <c r="AD110" i="15"/>
  <c r="E114" i="15"/>
  <c r="N29" i="15"/>
  <c r="CD13" i="15"/>
  <c r="CD27" i="15"/>
  <c r="CF41" i="15"/>
  <c r="CJ26" i="15"/>
  <c r="BH47" i="15"/>
  <c r="BG113" i="15"/>
  <c r="CF36" i="15"/>
  <c r="CF37" i="15"/>
  <c r="CF43" i="15"/>
  <c r="N128" i="15"/>
  <c r="N130" i="15"/>
  <c r="N132" i="15"/>
  <c r="N143" i="15"/>
  <c r="AV53" i="15"/>
  <c r="AV128" i="15"/>
  <c r="AV130" i="15"/>
  <c r="BT34" i="15"/>
  <c r="CB53" i="15"/>
  <c r="CB55" i="15"/>
  <c r="CB57" i="15"/>
  <c r="CE37" i="15"/>
  <c r="CI38" i="15"/>
  <c r="E104" i="15"/>
  <c r="BA57" i="15"/>
  <c r="BA69" i="15"/>
  <c r="F114" i="15"/>
  <c r="CA29" i="15"/>
  <c r="AZ134" i="15"/>
  <c r="CK29" i="15"/>
  <c r="AY27" i="15"/>
  <c r="AJ135" i="15"/>
  <c r="AC112" i="15"/>
  <c r="BT37" i="15"/>
  <c r="BT44" i="15"/>
  <c r="CJ13" i="15"/>
  <c r="BH24" i="15"/>
  <c r="CI39" i="15"/>
  <c r="CK38" i="15"/>
  <c r="CI113" i="15"/>
  <c r="CI115" i="15"/>
  <c r="CI44" i="15"/>
  <c r="Z61" i="15"/>
  <c r="Z136" i="15"/>
  <c r="Z57" i="15"/>
  <c r="Z69" i="15"/>
  <c r="C678" i="17"/>
  <c r="E678" i="17"/>
  <c r="L61" i="15"/>
  <c r="L136" i="15"/>
  <c r="L57" i="15"/>
  <c r="AG57" i="15"/>
  <c r="AG62" i="15"/>
  <c r="AG61" i="15"/>
  <c r="AG136" i="15"/>
  <c r="BE69" i="15"/>
  <c r="BE62" i="15"/>
  <c r="BE137" i="15"/>
  <c r="C164" i="17"/>
  <c r="C175" i="17"/>
  <c r="BO39" i="15"/>
  <c r="BX53" i="15"/>
  <c r="BX128" i="15"/>
  <c r="BX107" i="15"/>
  <c r="BX110" i="15"/>
  <c r="BT13" i="15"/>
  <c r="BT29" i="15"/>
  <c r="CB56" i="15"/>
  <c r="CB131" i="15"/>
  <c r="O55" i="15"/>
  <c r="AW29" i="15"/>
  <c r="AZ10" i="15"/>
  <c r="AZ13" i="15"/>
  <c r="BH107" i="15"/>
  <c r="D69" i="15"/>
  <c r="AW113" i="15"/>
  <c r="AW115" i="15"/>
  <c r="E66" i="15"/>
  <c r="E91" i="15"/>
  <c r="BT55" i="15"/>
  <c r="CD60" i="15"/>
  <c r="CD135" i="15"/>
  <c r="AC110" i="15"/>
  <c r="BV27" i="15"/>
  <c r="AY13" i="15"/>
  <c r="BD128" i="15"/>
  <c r="BD130" i="15"/>
  <c r="AX112" i="15"/>
  <c r="AA9" i="15"/>
  <c r="AB9" i="15"/>
  <c r="AE47" i="15"/>
  <c r="AE123" i="15"/>
  <c r="BH41" i="15"/>
  <c r="BH116" i="15"/>
  <c r="E69" i="15"/>
  <c r="J61" i="15"/>
  <c r="J136" i="15"/>
  <c r="CC135" i="15"/>
  <c r="BC25" i="15"/>
  <c r="BD56" i="15"/>
  <c r="BD57" i="15"/>
  <c r="BA38" i="15"/>
  <c r="AP113" i="15"/>
  <c r="AP115" i="15"/>
  <c r="CI112" i="15"/>
  <c r="AQ55" i="15"/>
  <c r="AF43" i="15"/>
  <c r="AG29" i="15"/>
  <c r="BE29" i="15"/>
  <c r="AP24" i="15"/>
  <c r="BH34" i="15"/>
  <c r="W91" i="15"/>
  <c r="CF56" i="15"/>
  <c r="AW39" i="15"/>
  <c r="CJ25" i="15"/>
  <c r="AQ128" i="15"/>
  <c r="AQ130" i="15"/>
  <c r="AQ132" i="15"/>
  <c r="AQ143" i="15"/>
  <c r="E62" i="15"/>
  <c r="CG38" i="15"/>
  <c r="BE61" i="15"/>
  <c r="BE136" i="15"/>
  <c r="W90" i="15"/>
  <c r="CC134" i="15"/>
  <c r="BC128" i="15"/>
  <c r="BC130" i="15"/>
  <c r="BC132" i="15"/>
  <c r="BC143" i="15"/>
  <c r="CC128" i="15"/>
  <c r="AI43" i="15"/>
  <c r="Z85" i="15"/>
  <c r="L128" i="15"/>
  <c r="L130" i="15"/>
  <c r="L132" i="15"/>
  <c r="CE57" i="15"/>
  <c r="N61" i="15"/>
  <c r="N136" i="15"/>
  <c r="AV56" i="15"/>
  <c r="C445" i="17"/>
  <c r="C456" i="17"/>
  <c r="C457" i="17"/>
  <c r="BS112" i="15"/>
  <c r="CD51" i="15"/>
  <c r="P38" i="15"/>
  <c r="BL38" i="15"/>
  <c r="AW38" i="15"/>
  <c r="AP51" i="15"/>
  <c r="AP126" i="15"/>
  <c r="C243" i="17"/>
  <c r="C249" i="17"/>
  <c r="V61" i="15"/>
  <c r="R109" i="15"/>
  <c r="BO115" i="15"/>
  <c r="R111" i="15"/>
  <c r="R116" i="15"/>
  <c r="CB34" i="15"/>
  <c r="R122" i="15"/>
  <c r="R113" i="15"/>
  <c r="BG130" i="15"/>
  <c r="BG132" i="15"/>
  <c r="G21" i="19"/>
  <c r="I29" i="15"/>
  <c r="I130" i="15"/>
  <c r="I132" i="15"/>
  <c r="AM10" i="15"/>
  <c r="R112" i="15"/>
  <c r="E108" i="15"/>
  <c r="R123" i="15"/>
  <c r="J110" i="15"/>
  <c r="E110" i="15"/>
  <c r="AT130" i="15"/>
  <c r="R107" i="15"/>
  <c r="R115" i="15"/>
  <c r="R126" i="15"/>
  <c r="AZ131" i="15"/>
  <c r="J117" i="15"/>
  <c r="BF111" i="15"/>
  <c r="CF95" i="15"/>
  <c r="BD134" i="15"/>
  <c r="AC29" i="15"/>
  <c r="BV84" i="15"/>
  <c r="F110" i="15"/>
  <c r="H117" i="15"/>
  <c r="BY108" i="15"/>
  <c r="CB28" i="15"/>
  <c r="BA117" i="15"/>
  <c r="Q130" i="15"/>
  <c r="BD136" i="15"/>
  <c r="AZ128" i="15"/>
  <c r="AT110" i="15"/>
  <c r="BD96" i="15"/>
  <c r="AT117" i="15"/>
  <c r="BF122" i="15"/>
  <c r="BF124" i="15"/>
  <c r="BO117" i="15"/>
  <c r="BF98" i="15"/>
  <c r="C172" i="17"/>
  <c r="CJ95" i="15"/>
  <c r="CK110" i="15"/>
  <c r="BF112" i="15"/>
  <c r="BG97" i="15"/>
  <c r="AT108" i="15"/>
  <c r="CA107" i="15"/>
  <c r="CC108" i="15"/>
  <c r="CA108" i="15"/>
  <c r="CE108" i="15"/>
  <c r="BF123" i="15"/>
  <c r="BF116" i="15"/>
  <c r="BF117" i="15"/>
  <c r="AL55" i="15"/>
  <c r="AL61" i="15"/>
  <c r="AL136" i="15"/>
  <c r="CB125" i="15"/>
  <c r="J44" i="15"/>
  <c r="J120" i="15"/>
  <c r="J113" i="15"/>
  <c r="J115" i="15"/>
  <c r="AF46" i="15"/>
  <c r="AE122" i="15"/>
  <c r="AB107" i="15"/>
  <c r="AB117" i="15"/>
  <c r="AG43" i="15"/>
  <c r="AU18" i="19"/>
  <c r="AU23" i="19"/>
  <c r="AV134" i="15"/>
  <c r="Q125" i="15"/>
  <c r="Z19" i="19"/>
  <c r="AV135" i="15"/>
  <c r="BW119" i="15"/>
  <c r="Q126" i="15"/>
  <c r="CC112" i="15"/>
  <c r="AB34" i="15"/>
  <c r="C452" i="17"/>
  <c r="D440" i="17"/>
  <c r="Q107" i="15"/>
  <c r="Q110" i="15"/>
  <c r="AW110" i="15"/>
  <c r="BU85" i="15"/>
  <c r="AL28" i="15"/>
  <c r="BV32" i="15"/>
  <c r="BA130" i="15"/>
  <c r="BA132" i="15"/>
  <c r="Q116" i="15"/>
  <c r="Q117" i="15"/>
  <c r="AP130" i="15"/>
  <c r="AD108" i="15"/>
  <c r="Q112" i="15"/>
  <c r="Q111" i="15"/>
  <c r="CB51" i="15"/>
  <c r="CB126" i="15"/>
  <c r="Q122" i="15"/>
  <c r="G108" i="15"/>
  <c r="I110" i="15"/>
  <c r="AI117" i="15"/>
  <c r="BY117" i="15"/>
  <c r="AO29" i="15"/>
  <c r="BN117" i="15"/>
  <c r="Q113" i="15"/>
  <c r="J108" i="15"/>
  <c r="BV43" i="15"/>
  <c r="AF107" i="15"/>
  <c r="Y115" i="15"/>
  <c r="BW117" i="15"/>
  <c r="AN55" i="15"/>
  <c r="AN57" i="15"/>
  <c r="M29" i="15"/>
  <c r="AW135" i="15"/>
  <c r="AA128" i="15"/>
  <c r="AA130" i="15"/>
  <c r="AA132" i="15"/>
  <c r="AA55" i="15"/>
  <c r="CA122" i="15"/>
  <c r="CA109" i="15"/>
  <c r="CA123" i="15"/>
  <c r="CA111" i="15"/>
  <c r="CA125" i="15"/>
  <c r="AX116" i="15"/>
  <c r="Y57" i="15"/>
  <c r="Y62" i="15"/>
  <c r="Y137" i="15"/>
  <c r="Y69" i="15"/>
  <c r="Y61" i="15"/>
  <c r="Y136" i="15"/>
  <c r="AB128" i="15"/>
  <c r="AB129" i="15"/>
  <c r="Z24" i="15"/>
  <c r="Z21" i="15"/>
  <c r="AT27" i="15"/>
  <c r="AV19" i="15"/>
  <c r="AV27" i="15"/>
  <c r="AK29" i="15"/>
  <c r="AX97" i="15"/>
  <c r="AN129" i="15"/>
  <c r="AL128" i="15"/>
  <c r="AL130" i="15"/>
  <c r="J38" i="15"/>
  <c r="AH122" i="15"/>
  <c r="BA135" i="15"/>
  <c r="BA143" i="15"/>
  <c r="C292" i="17"/>
  <c r="D292" i="17"/>
  <c r="AA122" i="15"/>
  <c r="AF36" i="15"/>
  <c r="AF112" i="15"/>
  <c r="J112" i="15"/>
  <c r="BW112" i="15"/>
  <c r="BW37" i="15"/>
  <c r="AT124" i="15"/>
  <c r="Y39" i="15"/>
  <c r="CA38" i="15"/>
  <c r="CA112" i="15"/>
  <c r="BA61" i="15"/>
  <c r="BA136" i="15"/>
  <c r="AT113" i="15"/>
  <c r="AT38" i="15"/>
  <c r="CA116" i="15"/>
  <c r="Z128" i="15"/>
  <c r="Z130" i="15"/>
  <c r="Z132" i="15"/>
  <c r="Z143" i="15"/>
  <c r="BV25" i="15"/>
  <c r="BZ9" i="15"/>
  <c r="BY25" i="15"/>
  <c r="BY28" i="15"/>
  <c r="BZ20" i="15"/>
  <c r="BZ28" i="15"/>
  <c r="AX107" i="15"/>
  <c r="BO108" i="15"/>
  <c r="AX109" i="15"/>
  <c r="AX124" i="15"/>
  <c r="AX111" i="15"/>
  <c r="BB98" i="15"/>
  <c r="J39" i="15"/>
  <c r="C416" i="17"/>
  <c r="CK117" i="15"/>
  <c r="BZ49" i="15"/>
  <c r="Z26" i="15"/>
  <c r="AI130" i="15"/>
  <c r="AI132" i="15"/>
  <c r="AI143" i="15"/>
  <c r="AB131" i="15"/>
  <c r="AA110" i="15"/>
  <c r="R130" i="15"/>
  <c r="R132" i="15"/>
  <c r="AJ96" i="15"/>
  <c r="Q132" i="15"/>
  <c r="K132" i="15"/>
  <c r="K143" i="15"/>
  <c r="Y29" i="15"/>
  <c r="AJ128" i="15"/>
  <c r="AJ130" i="15"/>
  <c r="AJ132" i="15"/>
  <c r="AJ134" i="15"/>
  <c r="AJ27" i="15"/>
  <c r="BG115" i="15"/>
  <c r="Y130" i="15"/>
  <c r="Y132" i="15"/>
  <c r="BX124" i="15"/>
  <c r="BX51" i="15"/>
  <c r="BX126" i="15"/>
  <c r="AT125" i="15"/>
  <c r="AH39" i="15"/>
  <c r="AH113" i="15"/>
  <c r="AK38" i="15"/>
  <c r="AK39" i="15"/>
  <c r="AK113" i="15"/>
  <c r="AN131" i="15"/>
  <c r="AQ96" i="15"/>
  <c r="AN135" i="15"/>
  <c r="AN128" i="15"/>
  <c r="AN134" i="15"/>
  <c r="C686" i="17"/>
  <c r="AP43" i="15"/>
  <c r="AO43" i="15"/>
  <c r="AN107" i="15"/>
  <c r="AN32" i="15"/>
  <c r="AQ43" i="15"/>
  <c r="AN43" i="15"/>
  <c r="AD25" i="15"/>
  <c r="AF9" i="15"/>
  <c r="AF18" i="15"/>
  <c r="AF26" i="15"/>
  <c r="AE26" i="15"/>
  <c r="V18" i="19"/>
  <c r="V23" i="19"/>
  <c r="V19" i="19"/>
  <c r="V22" i="19"/>
  <c r="AH26" i="15"/>
  <c r="AH123" i="15"/>
  <c r="AH51" i="15"/>
  <c r="AH126" i="15"/>
  <c r="BV124" i="15"/>
  <c r="F115" i="15"/>
  <c r="F117" i="15"/>
  <c r="F108" i="15"/>
  <c r="Z117" i="15"/>
  <c r="G114" i="15"/>
  <c r="G115" i="15"/>
  <c r="Y117" i="15"/>
  <c r="AT43" i="15"/>
  <c r="AR34" i="15"/>
  <c r="AR32" i="15"/>
  <c r="AR41" i="15"/>
  <c r="AS43" i="15"/>
  <c r="AR43" i="15"/>
  <c r="AV34" i="15"/>
  <c r="AV32" i="15"/>
  <c r="AY43" i="15"/>
  <c r="CC124" i="15"/>
  <c r="CC122" i="15"/>
  <c r="CC111" i="15"/>
  <c r="CC123" i="15"/>
  <c r="CC116" i="15"/>
  <c r="CC117" i="15"/>
  <c r="CC125" i="15"/>
  <c r="CC109" i="15"/>
  <c r="CC110" i="15"/>
  <c r="CC126" i="15"/>
  <c r="AJ20" i="15"/>
  <c r="AJ28" i="15"/>
  <c r="AI28" i="15"/>
  <c r="AD125" i="15"/>
  <c r="AM116" i="15"/>
  <c r="AF109" i="15"/>
  <c r="AF34" i="15"/>
  <c r="AB16" i="15"/>
  <c r="AB36" i="15"/>
  <c r="AB112" i="15"/>
  <c r="Z112" i="15"/>
  <c r="AK112" i="15"/>
  <c r="AP27" i="15"/>
  <c r="AR11" i="15"/>
  <c r="AI27" i="15"/>
  <c r="AJ16" i="15"/>
  <c r="AJ24" i="15"/>
  <c r="AI24" i="15"/>
  <c r="BZ47" i="15"/>
  <c r="BY123" i="15"/>
  <c r="M55" i="15"/>
  <c r="M57" i="15"/>
  <c r="AR53" i="15"/>
  <c r="C593" i="17"/>
  <c r="M128" i="15"/>
  <c r="M130" i="15"/>
  <c r="BZ53" i="15"/>
  <c r="BZ55" i="15"/>
  <c r="AH128" i="15"/>
  <c r="AH130" i="15"/>
  <c r="AH132" i="15"/>
  <c r="AH55" i="15"/>
  <c r="AS55" i="15"/>
  <c r="C558" i="17"/>
  <c r="C564" i="17"/>
  <c r="AS128" i="15"/>
  <c r="AS130" i="15"/>
  <c r="AS132" i="15"/>
  <c r="AZ60" i="15"/>
  <c r="AZ69" i="15"/>
  <c r="Q135" i="15"/>
  <c r="Z110" i="15"/>
  <c r="BS110" i="15"/>
  <c r="AB134" i="15"/>
  <c r="CB26" i="15"/>
  <c r="AB55" i="15"/>
  <c r="AD117" i="15"/>
  <c r="BF110" i="15"/>
  <c r="CC132" i="15"/>
  <c r="CC143" i="15"/>
  <c r="F130" i="15"/>
  <c r="F132" i="15"/>
  <c r="F139" i="15"/>
  <c r="G130" i="15"/>
  <c r="G140" i="15"/>
  <c r="BV13" i="15"/>
  <c r="AJ131" i="15"/>
  <c r="AV11" i="15"/>
  <c r="AU27" i="15"/>
  <c r="AR16" i="15"/>
  <c r="AR24" i="15"/>
  <c r="AS39" i="15"/>
  <c r="AX108" i="15"/>
  <c r="BB110" i="15"/>
  <c r="BF108" i="15"/>
  <c r="H85" i="15"/>
  <c r="H91" i="15"/>
  <c r="AR18" i="15"/>
  <c r="AQ26" i="15"/>
  <c r="J29" i="15"/>
  <c r="AP110" i="15"/>
  <c r="AP117" i="15"/>
  <c r="AL13" i="15"/>
  <c r="BZ17" i="15"/>
  <c r="BY21" i="15"/>
  <c r="AM25" i="15"/>
  <c r="AN9" i="15"/>
  <c r="F88" i="15"/>
  <c r="CE110" i="15"/>
  <c r="AL110" i="15"/>
  <c r="CB13" i="15"/>
  <c r="CB27" i="15"/>
  <c r="CE117" i="15"/>
  <c r="AF116" i="15"/>
  <c r="AF41" i="15"/>
  <c r="AJ55" i="15"/>
  <c r="C792" i="17"/>
  <c r="C798" i="17"/>
  <c r="AW43" i="15"/>
  <c r="AX43" i="15"/>
  <c r="AC39" i="15"/>
  <c r="BU112" i="15"/>
  <c r="BU37" i="15"/>
  <c r="AT51" i="15"/>
  <c r="AT126" i="15"/>
  <c r="J65" i="15"/>
  <c r="AE43" i="15"/>
  <c r="AF32" i="15"/>
  <c r="AB43" i="15"/>
  <c r="AD43" i="15"/>
  <c r="AT18" i="19"/>
  <c r="AD13" i="15"/>
  <c r="AP26" i="15"/>
  <c r="AR10" i="15"/>
  <c r="AO37" i="15"/>
  <c r="AO38" i="15"/>
  <c r="AO112" i="15"/>
  <c r="J62" i="15"/>
  <c r="V21" i="19"/>
  <c r="V20" i="19"/>
  <c r="AT19" i="19"/>
  <c r="AD124" i="15"/>
  <c r="AD51" i="15"/>
  <c r="AD126" i="15"/>
  <c r="BV83" i="15"/>
  <c r="AG108" i="15"/>
  <c r="Z13" i="15"/>
  <c r="AK55" i="15"/>
  <c r="AK128" i="15"/>
  <c r="AK130" i="15"/>
  <c r="AK132" i="15"/>
  <c r="AK143" i="15"/>
  <c r="C711" i="17"/>
  <c r="C722" i="17"/>
  <c r="AM131" i="15"/>
  <c r="AX123" i="15"/>
  <c r="AX98" i="15"/>
  <c r="AX125" i="15"/>
  <c r="H29" i="15"/>
  <c r="AL117" i="15"/>
  <c r="BW110" i="15"/>
  <c r="AS29" i="15"/>
  <c r="AV129" i="15"/>
  <c r="BV41" i="15"/>
  <c r="BV34" i="15"/>
  <c r="CA113" i="15"/>
  <c r="D130" i="15"/>
  <c r="D140" i="15"/>
  <c r="AD130" i="15"/>
  <c r="AD132" i="15"/>
  <c r="AD143" i="15"/>
  <c r="C714" i="17"/>
  <c r="AZ32" i="15"/>
  <c r="AX113" i="15"/>
  <c r="S29" i="15"/>
  <c r="T29" i="15"/>
  <c r="CK114" i="15"/>
  <c r="CK115" i="15"/>
  <c r="BG117" i="15"/>
  <c r="H90" i="15"/>
  <c r="AH25" i="15"/>
  <c r="AH21" i="15"/>
  <c r="AH29" i="15"/>
  <c r="AA125" i="15"/>
  <c r="AB49" i="15"/>
  <c r="AB125" i="15"/>
  <c r="BV24" i="15"/>
  <c r="BV21" i="15"/>
  <c r="K39" i="15"/>
  <c r="K44" i="15"/>
  <c r="CB25" i="15"/>
  <c r="CB21" i="15"/>
  <c r="AX131" i="15"/>
  <c r="AY96" i="15"/>
  <c r="AX134" i="15"/>
  <c r="AX135" i="15"/>
  <c r="AX129" i="15"/>
  <c r="AX128" i="15"/>
  <c r="AX130" i="15"/>
  <c r="C388" i="17"/>
  <c r="AX51" i="15"/>
  <c r="AX126" i="15"/>
  <c r="AX122" i="15"/>
  <c r="AY46" i="15"/>
  <c r="BC61" i="15"/>
  <c r="BC136" i="15"/>
  <c r="BC57" i="15"/>
  <c r="BG110" i="15"/>
  <c r="AF122" i="15"/>
  <c r="K137" i="15"/>
  <c r="P131" i="15"/>
  <c r="CD56" i="15"/>
  <c r="CF24" i="15"/>
  <c r="CF21" i="15"/>
  <c r="CJ32" i="15"/>
  <c r="CF32" i="15"/>
  <c r="BE131" i="15"/>
  <c r="C198" i="17"/>
  <c r="C209" i="17"/>
  <c r="C210" i="17"/>
  <c r="BF57" i="15"/>
  <c r="BF61" i="15"/>
  <c r="BF136" i="15"/>
  <c r="AA28" i="15"/>
  <c r="Z28" i="15"/>
  <c r="AI124" i="15"/>
  <c r="AJ48" i="15"/>
  <c r="AI108" i="15"/>
  <c r="AF129" i="15"/>
  <c r="AF134" i="15"/>
  <c r="H37" i="15"/>
  <c r="H113" i="15"/>
  <c r="BV36" i="15"/>
  <c r="H112" i="15"/>
  <c r="AP122" i="15"/>
  <c r="AV36" i="15"/>
  <c r="AV112" i="15"/>
  <c r="N37" i="15"/>
  <c r="AD111" i="15"/>
  <c r="BV117" i="15"/>
  <c r="AG38" i="15"/>
  <c r="AG113" i="15"/>
  <c r="C764" i="17"/>
  <c r="E88" i="15"/>
  <c r="E84" i="15"/>
  <c r="Z27" i="15"/>
  <c r="AJ10" i="15"/>
  <c r="AJ13" i="15"/>
  <c r="AF17" i="15"/>
  <c r="AE25" i="15"/>
  <c r="AL21" i="15"/>
  <c r="C647" i="17"/>
  <c r="C658" i="17"/>
  <c r="AP131" i="15"/>
  <c r="AP132" i="15"/>
  <c r="AT26" i="15"/>
  <c r="AT21" i="15"/>
  <c r="CD24" i="15"/>
  <c r="CD21" i="15"/>
  <c r="BC96" i="15"/>
  <c r="BP96" i="15"/>
  <c r="CD95" i="15"/>
  <c r="C326" i="17"/>
  <c r="D316" i="17"/>
  <c r="D339" i="17"/>
  <c r="BD10" i="15"/>
  <c r="BC13" i="15"/>
  <c r="F66" i="15"/>
  <c r="AM43" i="15"/>
  <c r="AJ41" i="15"/>
  <c r="AK43" i="15"/>
  <c r="AJ43" i="15"/>
  <c r="AJ32" i="15"/>
  <c r="AJ34" i="15"/>
  <c r="AL43" i="15"/>
  <c r="AT24" i="15"/>
  <c r="S130" i="15"/>
  <c r="S132" i="15"/>
  <c r="S143" i="15"/>
  <c r="G57" i="15"/>
  <c r="G66" i="15"/>
  <c r="G61" i="15"/>
  <c r="G136" i="15"/>
  <c r="AD27" i="15"/>
  <c r="CA55" i="15"/>
  <c r="CA61" i="15"/>
  <c r="CA136" i="15"/>
  <c r="K38" i="15"/>
  <c r="AZ24" i="15"/>
  <c r="BA110" i="15"/>
  <c r="R29" i="15"/>
  <c r="BN110" i="15"/>
  <c r="BO110" i="15"/>
  <c r="T37" i="15"/>
  <c r="T55" i="15"/>
  <c r="T61" i="15"/>
  <c r="T136" i="15"/>
  <c r="CB107" i="15"/>
  <c r="AH124" i="15"/>
  <c r="BT41" i="15"/>
  <c r="BT51" i="15"/>
  <c r="BT126" i="15"/>
  <c r="CJ34" i="15"/>
  <c r="CG29" i="15"/>
  <c r="D61" i="15"/>
  <c r="D136" i="15"/>
  <c r="CE130" i="15"/>
  <c r="F29" i="15"/>
  <c r="G79" i="15"/>
  <c r="G81" i="15"/>
  <c r="AF131" i="15"/>
  <c r="CD26" i="15"/>
  <c r="CA126" i="15"/>
  <c r="CB109" i="15"/>
  <c r="F92" i="15"/>
  <c r="E130" i="15"/>
  <c r="AH13" i="15"/>
  <c r="BT26" i="15"/>
  <c r="D66" i="15"/>
  <c r="F90" i="15"/>
  <c r="Z125" i="15"/>
  <c r="AG110" i="15"/>
  <c r="BT25" i="15"/>
  <c r="AZ26" i="15"/>
  <c r="BD135" i="15"/>
  <c r="BF29" i="15"/>
  <c r="S107" i="15"/>
  <c r="AT61" i="15"/>
  <c r="AT136" i="15"/>
  <c r="BG43" i="15"/>
  <c r="AF135" i="15"/>
  <c r="CB36" i="15"/>
  <c r="AR56" i="15"/>
  <c r="C578" i="17"/>
  <c r="M131" i="15"/>
  <c r="BZ56" i="15"/>
  <c r="BZ131" i="15"/>
  <c r="AG69" i="15"/>
  <c r="AN18" i="15"/>
  <c r="AB47" i="15"/>
  <c r="BY61" i="15"/>
  <c r="BY136" i="15"/>
  <c r="BY57" i="15"/>
  <c r="AQ61" i="15"/>
  <c r="AQ136" i="15"/>
  <c r="AQ57" i="15"/>
  <c r="AY39" i="15"/>
  <c r="AY38" i="15"/>
  <c r="AP124" i="15"/>
  <c r="AF128" i="15"/>
  <c r="AF55" i="15"/>
  <c r="AI111" i="15"/>
  <c r="BC46" i="15"/>
  <c r="BB51" i="15"/>
  <c r="BB126" i="15"/>
  <c r="BB122" i="15"/>
  <c r="R55" i="15"/>
  <c r="CF53" i="15"/>
  <c r="BD34" i="15"/>
  <c r="CG128" i="15"/>
  <c r="CG130" i="15"/>
  <c r="CG55" i="15"/>
  <c r="AJ18" i="15"/>
  <c r="AJ26" i="15"/>
  <c r="AI26" i="15"/>
  <c r="BV53" i="15"/>
  <c r="BV128" i="15"/>
  <c r="BV130" i="15"/>
  <c r="H55" i="15"/>
  <c r="H128" i="15"/>
  <c r="H130" i="15"/>
  <c r="AE108" i="15"/>
  <c r="AE117" i="15"/>
  <c r="H39" i="15"/>
  <c r="O39" i="15"/>
  <c r="O44" i="15"/>
  <c r="G3" i="15"/>
  <c r="F104" i="15"/>
  <c r="AD21" i="15"/>
  <c r="AD28" i="15"/>
  <c r="Z111" i="15"/>
  <c r="AE61" i="15"/>
  <c r="AE136" i="15"/>
  <c r="AE57" i="15"/>
  <c r="I108" i="15"/>
  <c r="H110" i="15"/>
  <c r="H108" i="15"/>
  <c r="BA113" i="15"/>
  <c r="BA39" i="15"/>
  <c r="AW117" i="15"/>
  <c r="BN108" i="15"/>
  <c r="BA108" i="15"/>
  <c r="AT28" i="15"/>
  <c r="I44" i="15"/>
  <c r="I113" i="15"/>
  <c r="BX43" i="15"/>
  <c r="BX34" i="15"/>
  <c r="C585" i="17"/>
  <c r="D571" i="17"/>
  <c r="AS96" i="15"/>
  <c r="AR96" i="15"/>
  <c r="AR107" i="15"/>
  <c r="AR119" i="15"/>
  <c r="AR134" i="15"/>
  <c r="BZ95" i="15"/>
  <c r="AT13" i="15"/>
  <c r="BD32" i="15"/>
  <c r="AO108" i="15"/>
  <c r="BC27" i="15"/>
  <c r="BD24" i="15"/>
  <c r="AC117" i="15"/>
  <c r="AC108" i="15"/>
  <c r="AN116" i="15"/>
  <c r="AN41" i="15"/>
  <c r="AP125" i="15"/>
  <c r="CK43" i="15"/>
  <c r="CJ43" i="15"/>
  <c r="D92" i="15"/>
  <c r="D91" i="15"/>
  <c r="AD24" i="15"/>
  <c r="AC128" i="15"/>
  <c r="AC130" i="15"/>
  <c r="AC55" i="15"/>
  <c r="AC57" i="15"/>
  <c r="AE110" i="15"/>
  <c r="BZ16" i="15"/>
  <c r="BZ21" i="15"/>
  <c r="BY24" i="15"/>
  <c r="BG50" i="15"/>
  <c r="BG123" i="15"/>
  <c r="AL37" i="15"/>
  <c r="CC57" i="15"/>
  <c r="BB117" i="15"/>
  <c r="AO117" i="15"/>
  <c r="BB29" i="15"/>
  <c r="BY51" i="15"/>
  <c r="BY126" i="15"/>
  <c r="BY122" i="15"/>
  <c r="BZ46" i="15"/>
  <c r="AQ37" i="15"/>
  <c r="AP21" i="15"/>
  <c r="BB115" i="15"/>
  <c r="S61" i="15"/>
  <c r="S136" i="15"/>
  <c r="S57" i="15"/>
  <c r="AU96" i="15"/>
  <c r="AU112" i="15"/>
  <c r="AO110" i="15"/>
  <c r="V92" i="15"/>
  <c r="V90" i="15"/>
  <c r="AR129" i="15"/>
  <c r="AP28" i="15"/>
  <c r="I112" i="15"/>
  <c r="AT25" i="15"/>
  <c r="I39" i="15"/>
  <c r="BS39" i="15"/>
  <c r="BS113" i="15"/>
  <c r="AL27" i="15"/>
  <c r="CD37" i="15"/>
  <c r="CD39" i="15"/>
  <c r="P128" i="15"/>
  <c r="P130" i="15"/>
  <c r="P132" i="15"/>
  <c r="P143" i="15"/>
  <c r="CD53" i="15"/>
  <c r="P55" i="15"/>
  <c r="P66" i="15"/>
  <c r="BD18" i="15"/>
  <c r="BC26" i="15"/>
  <c r="AV123" i="15"/>
  <c r="AY57" i="15"/>
  <c r="AY61" i="15"/>
  <c r="AY136" i="15"/>
  <c r="CD29" i="15"/>
  <c r="AM112" i="15"/>
  <c r="AV122" i="15"/>
  <c r="AV109" i="15"/>
  <c r="AV110" i="15"/>
  <c r="AZ132" i="15"/>
  <c r="L96" i="15"/>
  <c r="AM124" i="15"/>
  <c r="AM113" i="15"/>
  <c r="BP124" i="15"/>
  <c r="I57" i="15"/>
  <c r="I61" i="15"/>
  <c r="I136" i="15"/>
  <c r="BN39" i="15"/>
  <c r="AM98" i="15"/>
  <c r="BA62" i="15"/>
  <c r="BA68" i="15"/>
  <c r="AM107" i="15"/>
  <c r="AM108" i="15"/>
  <c r="AR135" i="15"/>
  <c r="C453" i="17"/>
  <c r="AZ98" i="15"/>
  <c r="BP104" i="15"/>
  <c r="BQ3" i="15"/>
  <c r="BQ104" i="15"/>
  <c r="AM97" i="15"/>
  <c r="AF108" i="15"/>
  <c r="C719" i="17"/>
  <c r="AV107" i="15"/>
  <c r="AN97" i="15"/>
  <c r="AM109" i="15"/>
  <c r="AV111" i="15"/>
  <c r="AV116" i="15"/>
  <c r="N68" i="15"/>
  <c r="N137" i="15"/>
  <c r="CC38" i="15"/>
  <c r="AB119" i="15"/>
  <c r="N69" i="15"/>
  <c r="C460" i="17"/>
  <c r="C466" i="17"/>
  <c r="Z62" i="15"/>
  <c r="Z137" i="15"/>
  <c r="Z142" i="15"/>
  <c r="CA110" i="15"/>
  <c r="AC3" i="15"/>
  <c r="AC104" i="15"/>
  <c r="AV55" i="15"/>
  <c r="AC119" i="15"/>
  <c r="AN130" i="15"/>
  <c r="AN132" i="15"/>
  <c r="AN143" i="15"/>
  <c r="BD131" i="15"/>
  <c r="AZ29" i="15"/>
  <c r="BP123" i="15"/>
  <c r="BP51" i="15"/>
  <c r="BP126" i="15"/>
  <c r="I143" i="15"/>
  <c r="AF119" i="15"/>
  <c r="CC113" i="15"/>
  <c r="CC115" i="15"/>
  <c r="AZ37" i="15"/>
  <c r="AZ112" i="15"/>
  <c r="BH50" i="15"/>
  <c r="BC29" i="15"/>
  <c r="CB61" i="15"/>
  <c r="CB136" i="15"/>
  <c r="AV131" i="15"/>
  <c r="BY119" i="15"/>
  <c r="BE68" i="15"/>
  <c r="AP69" i="15"/>
  <c r="AG119" i="15"/>
  <c r="BX119" i="15"/>
  <c r="AE119" i="15"/>
  <c r="BT113" i="15"/>
  <c r="BT39" i="15"/>
  <c r="J132" i="15"/>
  <c r="CF38" i="15"/>
  <c r="CF39" i="15"/>
  <c r="F62" i="15"/>
  <c r="F69" i="15"/>
  <c r="CE39" i="15"/>
  <c r="CE38" i="15"/>
  <c r="CE113" i="15"/>
  <c r="BH123" i="15"/>
  <c r="BV85" i="15"/>
  <c r="BT61" i="15"/>
  <c r="BT136" i="15"/>
  <c r="BH117" i="15"/>
  <c r="CE62" i="15"/>
  <c r="CE69" i="15"/>
  <c r="BH97" i="15"/>
  <c r="AD119" i="15"/>
  <c r="G132" i="15"/>
  <c r="G143" i="15"/>
  <c r="O61" i="15"/>
  <c r="O136" i="15"/>
  <c r="O57" i="15"/>
  <c r="O65" i="15"/>
  <c r="Z29" i="15"/>
  <c r="AV117" i="15"/>
  <c r="BT66" i="15"/>
  <c r="L62" i="15"/>
  <c r="E68" i="15"/>
  <c r="BH109" i="15"/>
  <c r="BH110" i="15"/>
  <c r="BH111" i="15"/>
  <c r="AZ61" i="15"/>
  <c r="AZ136" i="15"/>
  <c r="R140" i="15"/>
  <c r="AM117" i="15"/>
  <c r="AX110" i="15"/>
  <c r="AF25" i="15"/>
  <c r="R139" i="15"/>
  <c r="AZ62" i="15"/>
  <c r="AZ68" i="15"/>
  <c r="AP119" i="15"/>
  <c r="AN61" i="15"/>
  <c r="AN136" i="15"/>
  <c r="AB130" i="15"/>
  <c r="AB132" i="15"/>
  <c r="Q143" i="15"/>
  <c r="BZ25" i="15"/>
  <c r="M132" i="15"/>
  <c r="F143" i="15"/>
  <c r="AV37" i="15"/>
  <c r="AY44" i="15"/>
  <c r="AX117" i="15"/>
  <c r="BB108" i="15"/>
  <c r="AJ112" i="15"/>
  <c r="N142" i="15"/>
  <c r="AJ107" i="15"/>
  <c r="AJ143" i="15"/>
  <c r="AZ108" i="15"/>
  <c r="AR26" i="15"/>
  <c r="AF110" i="15"/>
  <c r="AB110" i="15"/>
  <c r="AF117" i="15"/>
  <c r="BW39" i="15"/>
  <c r="BW113" i="15"/>
  <c r="BY38" i="15"/>
  <c r="AO62" i="15"/>
  <c r="AO69" i="15"/>
  <c r="AJ98" i="15"/>
  <c r="C751" i="17"/>
  <c r="D749" i="17"/>
  <c r="AN98" i="15"/>
  <c r="AJ97" i="15"/>
  <c r="K96" i="15"/>
  <c r="K120" i="15"/>
  <c r="K139" i="15"/>
  <c r="K141" i="15"/>
  <c r="AJ116" i="15"/>
  <c r="AK97" i="15"/>
  <c r="C785" i="17"/>
  <c r="M61" i="15"/>
  <c r="M136" i="15"/>
  <c r="BV29" i="15"/>
  <c r="AJ49" i="15"/>
  <c r="AJ125" i="15"/>
  <c r="AI122" i="15"/>
  <c r="AJ46" i="15"/>
  <c r="AJ122" i="15"/>
  <c r="CB110" i="15"/>
  <c r="AL29" i="15"/>
  <c r="AI125" i="15"/>
  <c r="D132" i="15"/>
  <c r="D139" i="15"/>
  <c r="AS38" i="15"/>
  <c r="AO119" i="15"/>
  <c r="AM110" i="15"/>
  <c r="AQ98" i="15"/>
  <c r="C622" i="17"/>
  <c r="AQ107" i="15"/>
  <c r="AQ111" i="15"/>
  <c r="AQ116" i="15"/>
  <c r="AQ97" i="15"/>
  <c r="AQ112" i="15"/>
  <c r="AQ109" i="15"/>
  <c r="AQ123" i="15"/>
  <c r="AR128" i="15"/>
  <c r="AR130" i="15"/>
  <c r="AR132" i="15"/>
  <c r="AR55" i="15"/>
  <c r="AR61" i="15"/>
  <c r="AR136" i="15"/>
  <c r="AE125" i="15"/>
  <c r="AF49" i="15"/>
  <c r="AF125" i="15"/>
  <c r="AN108" i="15"/>
  <c r="AD29" i="15"/>
  <c r="AM115" i="15"/>
  <c r="BG143" i="15"/>
  <c r="AS61" i="15"/>
  <c r="AS136" i="15"/>
  <c r="AS57" i="15"/>
  <c r="F140" i="15"/>
  <c r="AH57" i="15"/>
  <c r="AH61" i="15"/>
  <c r="AH136" i="15"/>
  <c r="AB57" i="15"/>
  <c r="C322" i="17"/>
  <c r="D322" i="17"/>
  <c r="AZ135" i="15"/>
  <c r="AZ143" i="15"/>
  <c r="AJ47" i="15"/>
  <c r="AJ123" i="15"/>
  <c r="AI123" i="15"/>
  <c r="AN117" i="15"/>
  <c r="AB10" i="15"/>
  <c r="AB26" i="15"/>
  <c r="AA26" i="15"/>
  <c r="AE124" i="15"/>
  <c r="AF48" i="15"/>
  <c r="AF124" i="15"/>
  <c r="AV48" i="15"/>
  <c r="AJ61" i="15"/>
  <c r="AJ136" i="15"/>
  <c r="CA115" i="15"/>
  <c r="CC114" i="15"/>
  <c r="BU38" i="15"/>
  <c r="BU39" i="15"/>
  <c r="BU44" i="15"/>
  <c r="BU113" i="15"/>
  <c r="BU114" i="15"/>
  <c r="AJ57" i="15"/>
  <c r="R143" i="15"/>
  <c r="AN12" i="15"/>
  <c r="AN28" i="15"/>
  <c r="AM28" i="15"/>
  <c r="AF130" i="15"/>
  <c r="AF132" i="15"/>
  <c r="AF143" i="15"/>
  <c r="CB29" i="15"/>
  <c r="AV132" i="15"/>
  <c r="AV143" i="15"/>
  <c r="Y143" i="15"/>
  <c r="Y142" i="15"/>
  <c r="AE13" i="15"/>
  <c r="AF8" i="15"/>
  <c r="AF13" i="15"/>
  <c r="BB114" i="15"/>
  <c r="AX115" i="15"/>
  <c r="BO114" i="15"/>
  <c r="AK57" i="15"/>
  <c r="AK61" i="15"/>
  <c r="AK136" i="15"/>
  <c r="J68" i="15"/>
  <c r="J67" i="15"/>
  <c r="J137" i="15"/>
  <c r="Y68" i="15"/>
  <c r="AP143" i="15"/>
  <c r="AF47" i="15"/>
  <c r="AE51" i="15"/>
  <c r="AE126" i="15"/>
  <c r="T44" i="15"/>
  <c r="T39" i="15"/>
  <c r="BC107" i="15"/>
  <c r="BC111" i="15"/>
  <c r="BC112" i="15"/>
  <c r="BC123" i="15"/>
  <c r="BC97" i="15"/>
  <c r="BC124" i="15"/>
  <c r="BC125" i="15"/>
  <c r="BG98" i="15"/>
  <c r="C236" i="17"/>
  <c r="BC109" i="15"/>
  <c r="BC116" i="15"/>
  <c r="BC117" i="15"/>
  <c r="BC98" i="15"/>
  <c r="H115" i="15"/>
  <c r="H114" i="15"/>
  <c r="CA57" i="15"/>
  <c r="AZ46" i="15"/>
  <c r="AY122" i="15"/>
  <c r="AY51" i="15"/>
  <c r="AY126" i="15"/>
  <c r="AY112" i="15"/>
  <c r="AY111" i="15"/>
  <c r="AZ97" i="15"/>
  <c r="AY125" i="15"/>
  <c r="AY123" i="15"/>
  <c r="AY97" i="15"/>
  <c r="AY113" i="15"/>
  <c r="AY107" i="15"/>
  <c r="AY116" i="15"/>
  <c r="P96" i="15"/>
  <c r="AY109" i="15"/>
  <c r="AY124" i="15"/>
  <c r="CD96" i="15"/>
  <c r="C357" i="17"/>
  <c r="AT29" i="15"/>
  <c r="N44" i="15"/>
  <c r="N66" i="15"/>
  <c r="N39" i="15"/>
  <c r="N38" i="15"/>
  <c r="AF19" i="15"/>
  <c r="AE27" i="15"/>
  <c r="AU26" i="15"/>
  <c r="AV18" i="15"/>
  <c r="AV26" i="15"/>
  <c r="AV57" i="15"/>
  <c r="CI119" i="15"/>
  <c r="CB119" i="15"/>
  <c r="CC119" i="15"/>
  <c r="I38" i="15"/>
  <c r="G92" i="15"/>
  <c r="AW143" i="15"/>
  <c r="AU24" i="15"/>
  <c r="AV8" i="15"/>
  <c r="H44" i="15"/>
  <c r="E132" i="15"/>
  <c r="E140" i="15"/>
  <c r="K142" i="15"/>
  <c r="AX132" i="15"/>
  <c r="BF62" i="15"/>
  <c r="BF69" i="15"/>
  <c r="H38" i="15"/>
  <c r="CE132" i="15"/>
  <c r="T57" i="15"/>
  <c r="G65" i="15"/>
  <c r="G69" i="15"/>
  <c r="G62" i="15"/>
  <c r="G67" i="15"/>
  <c r="CD134" i="15"/>
  <c r="CD129" i="15"/>
  <c r="BV37" i="15"/>
  <c r="BV112" i="15"/>
  <c r="CD131" i="15"/>
  <c r="BC62" i="15"/>
  <c r="BC69" i="15"/>
  <c r="K66" i="15"/>
  <c r="K67" i="15"/>
  <c r="K65" i="15"/>
  <c r="AI25" i="15"/>
  <c r="AJ17" i="15"/>
  <c r="AB11" i="15"/>
  <c r="AB27" i="15"/>
  <c r="AA13" i="15"/>
  <c r="AA27" i="15"/>
  <c r="AB20" i="15"/>
  <c r="AN11" i="15"/>
  <c r="AM27" i="15"/>
  <c r="S62" i="15"/>
  <c r="S69" i="15"/>
  <c r="BZ24" i="15"/>
  <c r="AR123" i="15"/>
  <c r="AR98" i="15"/>
  <c r="AR109" i="15"/>
  <c r="C586" i="17"/>
  <c r="AR111" i="15"/>
  <c r="AR97" i="15"/>
  <c r="AR116" i="15"/>
  <c r="M96" i="15"/>
  <c r="AV98" i="15"/>
  <c r="AV20" i="15"/>
  <c r="AU28" i="15"/>
  <c r="AU21" i="15"/>
  <c r="BA115" i="15"/>
  <c r="BA114" i="15"/>
  <c r="H57" i="15"/>
  <c r="H61" i="15"/>
  <c r="H136" i="15"/>
  <c r="BC122" i="15"/>
  <c r="BD46" i="15"/>
  <c r="BC51" i="15"/>
  <c r="BC126" i="15"/>
  <c r="BA137" i="15"/>
  <c r="BA142" i="15"/>
  <c r="BY69" i="15"/>
  <c r="AR131" i="15"/>
  <c r="AF16" i="15"/>
  <c r="AE24" i="15"/>
  <c r="AE21" i="15"/>
  <c r="AE29" i="15"/>
  <c r="CD55" i="15"/>
  <c r="CD128" i="15"/>
  <c r="CD130" i="15"/>
  <c r="AU124" i="15"/>
  <c r="AU109" i="15"/>
  <c r="C485" i="17"/>
  <c r="D483" i="17"/>
  <c r="AU97" i="15"/>
  <c r="AU123" i="15"/>
  <c r="AU122" i="15"/>
  <c r="AY98" i="15"/>
  <c r="AU107" i="15"/>
  <c r="AU111" i="15"/>
  <c r="AU98" i="15"/>
  <c r="AU116" i="15"/>
  <c r="AU125" i="15"/>
  <c r="AP38" i="15"/>
  <c r="AL38" i="15"/>
  <c r="AL113" i="15"/>
  <c r="AL39" i="15"/>
  <c r="AS122" i="15"/>
  <c r="AS123" i="15"/>
  <c r="AS97" i="15"/>
  <c r="AS124" i="15"/>
  <c r="AS126" i="15"/>
  <c r="AS98" i="15"/>
  <c r="AW98" i="15"/>
  <c r="AS111" i="15"/>
  <c r="AS125" i="15"/>
  <c r="AS112" i="15"/>
  <c r="AS107" i="15"/>
  <c r="AW108" i="15"/>
  <c r="AT97" i="15"/>
  <c r="AS113" i="15"/>
  <c r="AS109" i="15"/>
  <c r="C551" i="17"/>
  <c r="N96" i="15"/>
  <c r="AS116" i="15"/>
  <c r="V3" i="15"/>
  <c r="W3" i="15"/>
  <c r="G104" i="15"/>
  <c r="H3" i="15"/>
  <c r="BV55" i="15"/>
  <c r="CE44" i="15"/>
  <c r="CD113" i="15"/>
  <c r="CD120" i="15"/>
  <c r="AQ28" i="15"/>
  <c r="AR12" i="15"/>
  <c r="AC61" i="15"/>
  <c r="AC136" i="15"/>
  <c r="AB123" i="15"/>
  <c r="AC132" i="15"/>
  <c r="CF55" i="15"/>
  <c r="BS115" i="15"/>
  <c r="BT120" i="15"/>
  <c r="AU38" i="15"/>
  <c r="AQ39" i="15"/>
  <c r="AQ38" i="15"/>
  <c r="AQ113" i="15"/>
  <c r="AR49" i="15"/>
  <c r="AR125" i="15"/>
  <c r="AQ125" i="15"/>
  <c r="AV9" i="15"/>
  <c r="AV25" i="15"/>
  <c r="AU13" i="15"/>
  <c r="AU25" i="15"/>
  <c r="I115" i="15"/>
  <c r="I114" i="15"/>
  <c r="J114" i="15"/>
  <c r="AE62" i="15"/>
  <c r="AE68" i="15"/>
  <c r="AE69" i="15"/>
  <c r="AF20" i="15"/>
  <c r="AF28" i="15"/>
  <c r="AE28" i="15"/>
  <c r="R61" i="15"/>
  <c r="R136" i="15"/>
  <c r="R57" i="15"/>
  <c r="R66" i="15"/>
  <c r="AR48" i="15"/>
  <c r="AR124" i="15"/>
  <c r="AQ124" i="15"/>
  <c r="AG137" i="15"/>
  <c r="BD21" i="15"/>
  <c r="BZ96" i="15"/>
  <c r="I66" i="15"/>
  <c r="I120" i="15"/>
  <c r="I140" i="15"/>
  <c r="I65" i="15"/>
  <c r="CG61" i="15"/>
  <c r="CG136" i="15"/>
  <c r="CG57" i="15"/>
  <c r="M62" i="15"/>
  <c r="M68" i="15"/>
  <c r="M69" i="15"/>
  <c r="BZ57" i="15"/>
  <c r="BZ51" i="15"/>
  <c r="BZ126" i="15"/>
  <c r="P57" i="15"/>
  <c r="AB35" i="15"/>
  <c r="AA37" i="15"/>
  <c r="AA111" i="15"/>
  <c r="D143" i="15"/>
  <c r="O66" i="15"/>
  <c r="H132" i="15"/>
  <c r="H143" i="15"/>
  <c r="CG132" i="15"/>
  <c r="L119" i="15"/>
  <c r="L109" i="15"/>
  <c r="L126" i="15"/>
  <c r="L112" i="15"/>
  <c r="L124" i="15"/>
  <c r="L122" i="15"/>
  <c r="L123" i="15"/>
  <c r="L107" i="15"/>
  <c r="L111" i="15"/>
  <c r="L125" i="15"/>
  <c r="L116" i="15"/>
  <c r="AQ69" i="15"/>
  <c r="AQ62" i="15"/>
  <c r="M143" i="15"/>
  <c r="AV113" i="15"/>
  <c r="AQ117" i="15"/>
  <c r="AY69" i="15"/>
  <c r="AY62" i="15"/>
  <c r="AY137" i="15"/>
  <c r="I62" i="15"/>
  <c r="I68" i="15"/>
  <c r="I69" i="15"/>
  <c r="AD3" i="15"/>
  <c r="AE3" i="15"/>
  <c r="BO44" i="15"/>
  <c r="AZ44" i="15"/>
  <c r="AZ67" i="15"/>
  <c r="Z68" i="15"/>
  <c r="F68" i="15"/>
  <c r="F137" i="15"/>
  <c r="F141" i="15"/>
  <c r="F67" i="15"/>
  <c r="CE115" i="15"/>
  <c r="AV39" i="15"/>
  <c r="AW44" i="15"/>
  <c r="CE68" i="15"/>
  <c r="AX44" i="15"/>
  <c r="AZ38" i="15"/>
  <c r="AZ137" i="15"/>
  <c r="AV44" i="15"/>
  <c r="O69" i="15"/>
  <c r="O62" i="15"/>
  <c r="O68" i="15"/>
  <c r="L137" i="15"/>
  <c r="L142" i="15"/>
  <c r="BZ122" i="15"/>
  <c r="AJ117" i="15"/>
  <c r="AJ108" i="15"/>
  <c r="AU110" i="15"/>
  <c r="AL119" i="15"/>
  <c r="K111" i="15"/>
  <c r="K123" i="15"/>
  <c r="K98" i="15"/>
  <c r="K107" i="15"/>
  <c r="K108" i="15"/>
  <c r="K109" i="15"/>
  <c r="K116" i="15"/>
  <c r="K117" i="15"/>
  <c r="K112" i="15"/>
  <c r="K124" i="15"/>
  <c r="K113" i="15"/>
  <c r="K126" i="15"/>
  <c r="AO137" i="15"/>
  <c r="AR143" i="15"/>
  <c r="BW115" i="15"/>
  <c r="AQ119" i="15"/>
  <c r="AQ108" i="15"/>
  <c r="AH62" i="15"/>
  <c r="AH137" i="15"/>
  <c r="AH69" i="15"/>
  <c r="AQ110" i="15"/>
  <c r="AS69" i="15"/>
  <c r="AS62" i="15"/>
  <c r="AS137" i="15"/>
  <c r="J141" i="15"/>
  <c r="AR110" i="15"/>
  <c r="AV124" i="15"/>
  <c r="AK62" i="15"/>
  <c r="AK137" i="15"/>
  <c r="AK142" i="15"/>
  <c r="AK69" i="15"/>
  <c r="BU120" i="15"/>
  <c r="AZ122" i="15"/>
  <c r="AZ51" i="15"/>
  <c r="AZ126" i="15"/>
  <c r="G68" i="15"/>
  <c r="G137" i="15"/>
  <c r="AW66" i="15"/>
  <c r="BC119" i="15"/>
  <c r="BG108" i="15"/>
  <c r="L110" i="15"/>
  <c r="AB28" i="15"/>
  <c r="N67" i="15"/>
  <c r="CD109" i="15"/>
  <c r="CD112" i="15"/>
  <c r="CD122" i="15"/>
  <c r="CD116" i="15"/>
  <c r="CD124" i="15"/>
  <c r="CD126" i="15"/>
  <c r="CD123" i="15"/>
  <c r="CD107" i="15"/>
  <c r="CD119" i="15"/>
  <c r="CD111" i="15"/>
  <c r="CD125" i="15"/>
  <c r="E143" i="15"/>
  <c r="E139" i="15"/>
  <c r="K140" i="15"/>
  <c r="BV38" i="15"/>
  <c r="BV39" i="15"/>
  <c r="AY65" i="15"/>
  <c r="AY67" i="15"/>
  <c r="C355" i="17"/>
  <c r="AY66" i="15"/>
  <c r="AU117" i="15"/>
  <c r="T66" i="15"/>
  <c r="AX143" i="15"/>
  <c r="P119" i="15"/>
  <c r="P107" i="15"/>
  <c r="T65" i="15"/>
  <c r="T62" i="15"/>
  <c r="T137" i="15"/>
  <c r="AV115" i="15"/>
  <c r="AY110" i="15"/>
  <c r="BC110" i="15"/>
  <c r="CA69" i="15"/>
  <c r="AY119" i="15"/>
  <c r="BA119" i="15"/>
  <c r="BO119" i="15"/>
  <c r="AZ119" i="15"/>
  <c r="AF123" i="15"/>
  <c r="AF51" i="15"/>
  <c r="AF126" i="15"/>
  <c r="CE143" i="15"/>
  <c r="AQ115" i="15"/>
  <c r="AQ114" i="15"/>
  <c r="I3" i="15"/>
  <c r="H104" i="15"/>
  <c r="AS110" i="15"/>
  <c r="AF24" i="15"/>
  <c r="AU29" i="15"/>
  <c r="S137" i="15"/>
  <c r="CF61" i="15"/>
  <c r="CF57" i="15"/>
  <c r="CF68" i="15"/>
  <c r="AC69" i="15"/>
  <c r="AW114" i="15"/>
  <c r="AS115" i="15"/>
  <c r="AL115" i="15"/>
  <c r="AP114" i="15"/>
  <c r="AL114" i="15"/>
  <c r="H65" i="15"/>
  <c r="H62" i="15"/>
  <c r="H69" i="15"/>
  <c r="AR108" i="15"/>
  <c r="P69" i="15"/>
  <c r="P65" i="15"/>
  <c r="P62" i="15"/>
  <c r="I139" i="15"/>
  <c r="CE65" i="15"/>
  <c r="CE66" i="15"/>
  <c r="V104" i="15"/>
  <c r="W104" i="15"/>
  <c r="AV28" i="15"/>
  <c r="AV21" i="15"/>
  <c r="AS108" i="15"/>
  <c r="AS119" i="15"/>
  <c r="AT119" i="15"/>
  <c r="AC143" i="15"/>
  <c r="BZ116" i="15"/>
  <c r="BZ123" i="15"/>
  <c r="BZ111" i="15"/>
  <c r="BZ125" i="15"/>
  <c r="BZ107" i="15"/>
  <c r="BZ110" i="15"/>
  <c r="BZ124" i="15"/>
  <c r="BZ109" i="15"/>
  <c r="AU119" i="15"/>
  <c r="AU108" i="15"/>
  <c r="AY108" i="15"/>
  <c r="AV119" i="15"/>
  <c r="AW119" i="15"/>
  <c r="AX119" i="15"/>
  <c r="M112" i="15"/>
  <c r="M113" i="15"/>
  <c r="M107" i="15"/>
  <c r="M108" i="15"/>
  <c r="M111" i="15"/>
  <c r="M98" i="15"/>
  <c r="M123" i="15"/>
  <c r="M126" i="15"/>
  <c r="M124" i="15"/>
  <c r="M119" i="15"/>
  <c r="M122" i="15"/>
  <c r="M109" i="15"/>
  <c r="M125" i="15"/>
  <c r="M116" i="15"/>
  <c r="AN27" i="15"/>
  <c r="AR28" i="15"/>
  <c r="AQ68" i="15"/>
  <c r="L117" i="15"/>
  <c r="CG143" i="15"/>
  <c r="M137" i="15"/>
  <c r="R62" i="15"/>
  <c r="R68" i="15"/>
  <c r="R69" i="15"/>
  <c r="R65" i="15"/>
  <c r="AS117" i="15"/>
  <c r="BD122" i="15"/>
  <c r="BD51" i="15"/>
  <c r="AR117" i="15"/>
  <c r="AA39" i="15"/>
  <c r="AA113" i="15"/>
  <c r="AA115" i="15"/>
  <c r="BZ69" i="15"/>
  <c r="BZ62" i="15"/>
  <c r="BZ137" i="15"/>
  <c r="CG62" i="15"/>
  <c r="CG68" i="15"/>
  <c r="CG69" i="15"/>
  <c r="AE137" i="15"/>
  <c r="BV61" i="15"/>
  <c r="BV136" i="15"/>
  <c r="BV57" i="15"/>
  <c r="N112" i="15"/>
  <c r="N125" i="15"/>
  <c r="N122" i="15"/>
  <c r="N126" i="15"/>
  <c r="N123" i="15"/>
  <c r="N124" i="15"/>
  <c r="N119" i="15"/>
  <c r="N113" i="15"/>
  <c r="N109" i="15"/>
  <c r="N120" i="15"/>
  <c r="N140" i="15"/>
  <c r="N107" i="15"/>
  <c r="N111" i="15"/>
  <c r="N98" i="15"/>
  <c r="N116" i="15"/>
  <c r="P98" i="15"/>
  <c r="S68" i="15"/>
  <c r="AY68" i="15"/>
  <c r="I137" i="15"/>
  <c r="I142" i="15"/>
  <c r="I67" i="15"/>
  <c r="C451" i="17"/>
  <c r="D451" i="17"/>
  <c r="AV65" i="15"/>
  <c r="AD104" i="15"/>
  <c r="C419" i="17"/>
  <c r="C387" i="17"/>
  <c r="D387" i="17"/>
  <c r="F142" i="15"/>
  <c r="O137" i="15"/>
  <c r="O67" i="15"/>
  <c r="AH68" i="15"/>
  <c r="CD140" i="15"/>
  <c r="K114" i="15"/>
  <c r="K115" i="15"/>
  <c r="CD132" i="15"/>
  <c r="CD139" i="15"/>
  <c r="K110" i="15"/>
  <c r="CD117" i="15"/>
  <c r="AK68" i="15"/>
  <c r="N108" i="15"/>
  <c r="G141" i="15"/>
  <c r="G142" i="15"/>
  <c r="CD110" i="15"/>
  <c r="CD108" i="15"/>
  <c r="BV69" i="15"/>
  <c r="BV62" i="15"/>
  <c r="BV137" i="15"/>
  <c r="P137" i="15"/>
  <c r="P67" i="15"/>
  <c r="N117" i="15"/>
  <c r="M117" i="15"/>
  <c r="P68" i="15"/>
  <c r="H67" i="15"/>
  <c r="H137" i="15"/>
  <c r="CG137" i="15"/>
  <c r="M142" i="15"/>
  <c r="M110" i="15"/>
  <c r="J3" i="15"/>
  <c r="I104" i="15"/>
  <c r="BZ119" i="15"/>
  <c r="S142" i="15"/>
  <c r="BZ68" i="15"/>
  <c r="N139" i="15"/>
  <c r="N141" i="15"/>
  <c r="N110" i="15"/>
  <c r="R137" i="15"/>
  <c r="R141" i="15"/>
  <c r="R142" i="15"/>
  <c r="R67" i="15"/>
  <c r="N115" i="15"/>
  <c r="N114" i="15"/>
  <c r="AE142" i="15"/>
  <c r="CF69" i="15"/>
  <c r="CF62" i="15"/>
  <c r="CF137" i="15"/>
  <c r="I141" i="15"/>
  <c r="O142" i="15"/>
  <c r="CD143" i="15"/>
  <c r="J104" i="15"/>
  <c r="K3" i="15"/>
  <c r="CG142" i="15"/>
  <c r="P142" i="15"/>
  <c r="K104" i="15"/>
  <c r="L3" i="15"/>
  <c r="L104" i="15"/>
  <c r="D66" i="17"/>
  <c r="D146" i="17"/>
  <c r="C539" i="17"/>
  <c r="D400" i="17"/>
  <c r="D149" i="17"/>
  <c r="D335" i="17"/>
  <c r="D147" i="17"/>
  <c r="D144" i="17"/>
  <c r="D145" i="17"/>
  <c r="D474" i="17"/>
  <c r="C574" i="17"/>
  <c r="D575" i="17"/>
  <c r="D596" i="17"/>
  <c r="D512" i="17"/>
  <c r="D828" i="17"/>
  <c r="D797" i="17"/>
  <c r="D711" i="17"/>
  <c r="D796" i="17"/>
  <c r="D774" i="17"/>
  <c r="D277" i="17"/>
  <c r="P18" i="19"/>
  <c r="AX19" i="19"/>
  <c r="AT23" i="19"/>
  <c r="O22" i="19"/>
  <c r="D22" i="19"/>
  <c r="AD18" i="19"/>
  <c r="D21" i="19"/>
  <c r="O21" i="19"/>
  <c r="I20" i="19"/>
  <c r="I21" i="19"/>
  <c r="AE14" i="19"/>
  <c r="AE22" i="19"/>
  <c r="AD21" i="19"/>
  <c r="K20" i="19"/>
  <c r="K22" i="19"/>
  <c r="K18" i="19"/>
  <c r="K23" i="19"/>
  <c r="I22" i="19"/>
  <c r="J22" i="19"/>
  <c r="AY21" i="19"/>
  <c r="P21" i="19"/>
  <c r="P19" i="19"/>
  <c r="Z21" i="19"/>
  <c r="I19" i="19"/>
  <c r="AY19" i="19"/>
  <c r="AY23" i="19"/>
  <c r="K21" i="19"/>
  <c r="R22" i="19"/>
  <c r="W22" i="19"/>
  <c r="W20" i="19"/>
  <c r="W21" i="19"/>
  <c r="X10" i="19"/>
  <c r="Y10" i="19"/>
  <c r="AD22" i="19"/>
  <c r="G20" i="19"/>
  <c r="G22" i="19"/>
  <c r="C21" i="19"/>
  <c r="H20" i="19"/>
  <c r="P20" i="19"/>
  <c r="P23" i="19"/>
  <c r="S18" i="19"/>
  <c r="S23" i="19"/>
  <c r="AD19" i="19"/>
  <c r="AX18" i="19"/>
  <c r="Z22" i="19"/>
  <c r="Z23" i="19"/>
  <c r="AX20" i="19"/>
  <c r="S19" i="19"/>
  <c r="L21" i="19"/>
  <c r="AA14" i="19"/>
  <c r="AA22" i="19"/>
  <c r="S20" i="19"/>
  <c r="AM14" i="19"/>
  <c r="AM20" i="19"/>
  <c r="AM23" i="19"/>
  <c r="Q18" i="19"/>
  <c r="S21" i="19"/>
  <c r="AA20" i="19"/>
  <c r="AG11" i="19"/>
  <c r="W18" i="19"/>
  <c r="W23" i="19"/>
  <c r="W19" i="19"/>
  <c r="AZ14" i="19"/>
  <c r="AJ10" i="19"/>
  <c r="AS12" i="19"/>
  <c r="L19" i="19"/>
  <c r="AY20" i="19"/>
  <c r="BD22" i="19"/>
  <c r="BD23" i="19"/>
  <c r="H21" i="19"/>
  <c r="F19" i="19"/>
  <c r="AU19" i="19"/>
  <c r="D19" i="19"/>
  <c r="R18" i="19"/>
  <c r="AU20" i="19"/>
  <c r="L18" i="19"/>
  <c r="AY22" i="19"/>
  <c r="AL19" i="19"/>
  <c r="F21" i="19"/>
  <c r="O20" i="19"/>
  <c r="Q19" i="19"/>
  <c r="R19" i="19"/>
  <c r="L20" i="19"/>
  <c r="AA19" i="19"/>
  <c r="AU21" i="19"/>
  <c r="BD18" i="19"/>
  <c r="BD21" i="19"/>
  <c r="F20" i="19"/>
  <c r="F23" i="19"/>
  <c r="R20" i="19"/>
  <c r="AV14" i="19"/>
  <c r="AV21" i="19"/>
  <c r="BD20" i="19"/>
  <c r="H22" i="19"/>
  <c r="Q21" i="19"/>
  <c r="H23" i="19"/>
  <c r="AM18" i="19"/>
  <c r="AM19" i="19"/>
  <c r="AM22" i="19"/>
  <c r="AM21" i="19"/>
  <c r="AA18" i="19"/>
  <c r="AK10" i="19"/>
  <c r="AZ18" i="19"/>
  <c r="AZ19" i="19"/>
  <c r="AZ20" i="19"/>
  <c r="AZ21" i="19"/>
  <c r="AZ22" i="19"/>
  <c r="L23" i="19"/>
  <c r="AZ23" i="19"/>
  <c r="BQ135" i="15"/>
  <c r="BQ128" i="15"/>
  <c r="BQ131" i="15"/>
  <c r="BQ134" i="15"/>
  <c r="BQ129" i="15"/>
  <c r="BD132" i="15"/>
  <c r="BD111" i="15"/>
  <c r="CF135" i="15"/>
  <c r="R110" i="15"/>
  <c r="S124" i="15"/>
  <c r="CF96" i="15"/>
  <c r="CF134" i="15"/>
  <c r="BD124" i="15"/>
  <c r="S122" i="15"/>
  <c r="S126" i="15"/>
  <c r="CF128" i="15"/>
  <c r="BD125" i="15"/>
  <c r="BD109" i="15"/>
  <c r="CG96" i="15"/>
  <c r="S112" i="15"/>
  <c r="S123" i="15"/>
  <c r="R108" i="15"/>
  <c r="BD97" i="15"/>
  <c r="CF131" i="15"/>
  <c r="S111" i="15"/>
  <c r="S98" i="15"/>
  <c r="CF136" i="15"/>
  <c r="BD123" i="15"/>
  <c r="CF129" i="15"/>
  <c r="CF130" i="15"/>
  <c r="BD107" i="15"/>
  <c r="S119" i="15"/>
  <c r="CJ96" i="15"/>
  <c r="BD98" i="15"/>
  <c r="S109" i="15"/>
  <c r="S110" i="15"/>
  <c r="BD126" i="15"/>
  <c r="BD116" i="15"/>
  <c r="BD117" i="15"/>
  <c r="BH98" i="15"/>
  <c r="S116" i="15"/>
  <c r="S117" i="15"/>
  <c r="BF39" i="15"/>
  <c r="BF113" i="15"/>
  <c r="BH37" i="15"/>
  <c r="C103" i="17"/>
  <c r="D685" i="17"/>
  <c r="C789" i="17"/>
  <c r="D803" i="17"/>
  <c r="D274" i="17"/>
  <c r="CJ111" i="15"/>
  <c r="CJ109" i="15"/>
  <c r="BQ111" i="15"/>
  <c r="BQ109" i="15"/>
  <c r="BQ125" i="15"/>
  <c r="BQ98" i="15"/>
  <c r="BQ123" i="15"/>
  <c r="BQ124" i="15"/>
  <c r="BQ97" i="15"/>
  <c r="CG116" i="15"/>
  <c r="CG117" i="15"/>
  <c r="CG125" i="15"/>
  <c r="CG107" i="15"/>
  <c r="CG126" i="15"/>
  <c r="CG124" i="15"/>
  <c r="CG112" i="15"/>
  <c r="CG111" i="15"/>
  <c r="CG123" i="15"/>
  <c r="CG113" i="15"/>
  <c r="CG122" i="15"/>
  <c r="CG109" i="15"/>
  <c r="CG110" i="15"/>
  <c r="BD119" i="15"/>
  <c r="BD108" i="15"/>
  <c r="BH108" i="15"/>
  <c r="BD110" i="15"/>
  <c r="BD143" i="15"/>
  <c r="BQ130" i="15"/>
  <c r="BQ132" i="15"/>
  <c r="CF116" i="15"/>
  <c r="CF117" i="15"/>
  <c r="CF124" i="15"/>
  <c r="CF125" i="15"/>
  <c r="CF107" i="15"/>
  <c r="CF126" i="15"/>
  <c r="CF123" i="15"/>
  <c r="CF109" i="15"/>
  <c r="CF110" i="15"/>
  <c r="CF122" i="15"/>
  <c r="CF111" i="15"/>
  <c r="CF112" i="15"/>
  <c r="CF113" i="15"/>
  <c r="BF114" i="15"/>
  <c r="BF115" i="15"/>
  <c r="BQ116" i="15"/>
  <c r="BQ117" i="15"/>
  <c r="BQ41" i="15"/>
  <c r="CF115" i="15"/>
  <c r="CF120" i="15"/>
  <c r="BQ143" i="15"/>
  <c r="CG114" i="15"/>
  <c r="CG120" i="15"/>
  <c r="CG115" i="15"/>
  <c r="CG119" i="15"/>
  <c r="CG108" i="15"/>
  <c r="CF119" i="15"/>
  <c r="BQ110" i="15"/>
  <c r="CG141" i="15"/>
  <c r="CG139" i="15"/>
  <c r="CG140" i="15"/>
  <c r="CF141" i="15"/>
  <c r="D708" i="17"/>
  <c r="D336" i="17"/>
  <c r="D525" i="17"/>
  <c r="C310" i="17"/>
  <c r="D337" i="17"/>
  <c r="D528" i="17"/>
  <c r="D506" i="17"/>
  <c r="D762" i="17"/>
  <c r="D562" i="17"/>
  <c r="D505" i="17"/>
  <c r="D529" i="17"/>
  <c r="D463" i="17"/>
  <c r="D317" i="17"/>
  <c r="D527" i="17"/>
  <c r="D286" i="17"/>
  <c r="CF132" i="15"/>
  <c r="CF140" i="15"/>
  <c r="BU117" i="15"/>
  <c r="BV123" i="15"/>
  <c r="BV51" i="15"/>
  <c r="BV126" i="15"/>
  <c r="CJ112" i="15"/>
  <c r="CJ113" i="15"/>
  <c r="CJ116" i="15"/>
  <c r="CJ117" i="15"/>
  <c r="P111" i="15"/>
  <c r="P113" i="15"/>
  <c r="P122" i="15"/>
  <c r="P112" i="15"/>
  <c r="P124" i="15"/>
  <c r="P116" i="15"/>
  <c r="P117" i="15"/>
  <c r="P109" i="15"/>
  <c r="P110" i="15"/>
  <c r="P123" i="15"/>
  <c r="P125" i="15"/>
  <c r="P126" i="15"/>
  <c r="P120" i="15"/>
  <c r="AH108" i="15"/>
  <c r="AL108" i="15"/>
  <c r="AH110" i="15"/>
  <c r="AH119" i="15"/>
  <c r="AH117" i="15"/>
  <c r="AI119" i="15"/>
  <c r="AJ119" i="15"/>
  <c r="AK119" i="15"/>
  <c r="AO142" i="15"/>
  <c r="J139" i="15"/>
  <c r="J143" i="15"/>
  <c r="J142" i="15"/>
  <c r="BG69" i="15"/>
  <c r="BG62" i="15"/>
  <c r="BG68" i="15"/>
  <c r="BW143" i="15"/>
  <c r="AD57" i="15"/>
  <c r="AD61" i="15"/>
  <c r="AD136" i="15"/>
  <c r="BG49" i="15"/>
  <c r="BF125" i="15"/>
  <c r="BF51" i="15"/>
  <c r="BF126" i="15"/>
  <c r="AQ27" i="15"/>
  <c r="AQ21" i="15"/>
  <c r="AR19" i="15"/>
  <c r="AQ122" i="15"/>
  <c r="AQ51" i="15"/>
  <c r="AQ126" i="15"/>
  <c r="AR46" i="15"/>
  <c r="AM47" i="15"/>
  <c r="AL123" i="15"/>
  <c r="AL51" i="15"/>
  <c r="AL126" i="15"/>
  <c r="AZ66" i="15"/>
  <c r="AZ65" i="15"/>
  <c r="C325" i="17"/>
  <c r="CD57" i="15"/>
  <c r="CD61" i="15"/>
  <c r="CD136" i="15"/>
  <c r="AV24" i="15"/>
  <c r="AV13" i="15"/>
  <c r="AV29" i="15"/>
  <c r="AV69" i="15"/>
  <c r="AV62" i="15"/>
  <c r="CE114" i="15"/>
  <c r="CI114" i="15"/>
  <c r="AB135" i="15"/>
  <c r="AB61" i="15"/>
  <c r="AB136" i="15"/>
  <c r="BU110" i="15"/>
  <c r="BU119" i="15"/>
  <c r="BU108" i="15"/>
  <c r="BV119" i="15"/>
  <c r="BU115" i="15"/>
  <c r="BQ108" i="15"/>
  <c r="BH39" i="15"/>
  <c r="AE104" i="15"/>
  <c r="AF3" i="15"/>
  <c r="AJ69" i="15"/>
  <c r="AJ62" i="15"/>
  <c r="BH113" i="15"/>
  <c r="CC68" i="15"/>
  <c r="CC69" i="15"/>
  <c r="CC62" i="15"/>
  <c r="BH44" i="15"/>
  <c r="C77" i="17"/>
  <c r="CJ107" i="15"/>
  <c r="M3" i="15"/>
  <c r="BC137" i="15"/>
  <c r="BC68" i="15"/>
  <c r="AB62" i="15"/>
  <c r="AB68" i="15"/>
  <c r="AF57" i="15"/>
  <c r="AF61" i="15"/>
  <c r="AF136" i="15"/>
  <c r="H142" i="15"/>
  <c r="BV68" i="15"/>
  <c r="CA119" i="15"/>
  <c r="AS68" i="15"/>
  <c r="CD115" i="15"/>
  <c r="AB69" i="15"/>
  <c r="AB37" i="15"/>
  <c r="AB111" i="15"/>
  <c r="AJ21" i="15"/>
  <c r="AJ29" i="15"/>
  <c r="AJ25" i="15"/>
  <c r="BZ117" i="15"/>
  <c r="AQ137" i="15"/>
  <c r="AJ51" i="15"/>
  <c r="AJ126" i="15"/>
  <c r="AV61" i="15"/>
  <c r="AV136" i="15"/>
  <c r="AV66" i="15"/>
  <c r="AN10" i="15"/>
  <c r="AN26" i="15"/>
  <c r="AM13" i="15"/>
  <c r="AM26" i="15"/>
  <c r="G85" i="15"/>
  <c r="G91" i="15"/>
  <c r="G88" i="15"/>
  <c r="BT83" i="15"/>
  <c r="BT85" i="15"/>
  <c r="G90" i="15"/>
  <c r="BQ36" i="15"/>
  <c r="S37" i="15"/>
  <c r="BQ13" i="15"/>
  <c r="BQ29" i="15"/>
  <c r="BQ27" i="15"/>
  <c r="L108" i="15"/>
  <c r="CE67" i="15"/>
  <c r="CE137" i="15"/>
  <c r="AA61" i="15"/>
  <c r="AA136" i="15"/>
  <c r="AA57" i="15"/>
  <c r="Q57" i="15"/>
  <c r="Q61" i="15"/>
  <c r="Q136" i="15"/>
  <c r="AF21" i="15"/>
  <c r="AF29" i="15"/>
  <c r="AF27" i="15"/>
  <c r="M115" i="15"/>
  <c r="T67" i="15"/>
  <c r="H68" i="15"/>
  <c r="BF137" i="15"/>
  <c r="BF68" i="15"/>
  <c r="H66" i="15"/>
  <c r="H120" i="15"/>
  <c r="CA62" i="15"/>
  <c r="AR57" i="15"/>
  <c r="BY62" i="15"/>
  <c r="CB37" i="15"/>
  <c r="CB112" i="15"/>
  <c r="AN25" i="15"/>
  <c r="CB69" i="15"/>
  <c r="CB62" i="15"/>
  <c r="BV44" i="15"/>
  <c r="BV113" i="15"/>
  <c r="BC108" i="15"/>
  <c r="AY117" i="15"/>
  <c r="BN119" i="15"/>
  <c r="AY115" i="15"/>
  <c r="BB119" i="15"/>
  <c r="AB143" i="15"/>
  <c r="AG115" i="15"/>
  <c r="AK114" i="15"/>
  <c r="AS143" i="15"/>
  <c r="AS142" i="15"/>
  <c r="AV108" i="15"/>
  <c r="N65" i="15"/>
  <c r="E142" i="15"/>
  <c r="BP44" i="15"/>
  <c r="BB44" i="15"/>
  <c r="C264" i="17"/>
  <c r="AZ39" i="15"/>
  <c r="AZ113" i="15"/>
  <c r="BA44" i="15"/>
  <c r="AC62" i="15"/>
  <c r="AC68" i="15"/>
  <c r="H140" i="15"/>
  <c r="BD13" i="15"/>
  <c r="BD29" i="15"/>
  <c r="BD26" i="15"/>
  <c r="AA143" i="15"/>
  <c r="T69" i="15"/>
  <c r="T68" i="15"/>
  <c r="AN69" i="15"/>
  <c r="AN68" i="15"/>
  <c r="AN62" i="15"/>
  <c r="L68" i="15"/>
  <c r="BP116" i="15"/>
  <c r="BP109" i="15"/>
  <c r="BP107" i="15"/>
  <c r="BP122" i="15"/>
  <c r="BP98" i="15"/>
  <c r="BP97" i="15"/>
  <c r="BP112" i="15"/>
  <c r="BP111" i="15"/>
  <c r="BP125" i="15"/>
  <c r="BP113" i="15"/>
  <c r="AH143" i="15"/>
  <c r="AH142" i="15"/>
  <c r="E67" i="15"/>
  <c r="E137" i="15"/>
  <c r="E141" i="15"/>
  <c r="AP62" i="15"/>
  <c r="AP68" i="15"/>
  <c r="AT115" i="15"/>
  <c r="AT114" i="15"/>
  <c r="AX114" i="15"/>
  <c r="BT131" i="15"/>
  <c r="BT57" i="15"/>
  <c r="AK115" i="15"/>
  <c r="AK108" i="15"/>
  <c r="AK117" i="15"/>
  <c r="AK110" i="15"/>
  <c r="AN119" i="15"/>
  <c r="AM119" i="15"/>
  <c r="AW57" i="15"/>
  <c r="AW61" i="15"/>
  <c r="AW136" i="15"/>
  <c r="BO53" i="15"/>
  <c r="BB128" i="15"/>
  <c r="BB130" i="15"/>
  <c r="BB55" i="15"/>
  <c r="C273" i="17"/>
  <c r="C279" i="17"/>
  <c r="AV49" i="15"/>
  <c r="AU51" i="15"/>
  <c r="AU126" i="15"/>
  <c r="BW57" i="15"/>
  <c r="BW61" i="15"/>
  <c r="BW136" i="15"/>
  <c r="C743" i="17"/>
  <c r="C754" i="17"/>
  <c r="AL131" i="15"/>
  <c r="AL132" i="15"/>
  <c r="AL57" i="15"/>
  <c r="AU131" i="15"/>
  <c r="C477" i="17"/>
  <c r="C488" i="17"/>
  <c r="C489" i="17"/>
  <c r="BV132" i="15"/>
  <c r="BZ13" i="15"/>
  <c r="BZ29" i="15"/>
  <c r="BD69" i="15"/>
  <c r="BD62" i="15"/>
  <c r="AG132" i="15"/>
  <c r="AO68" i="15"/>
  <c r="BS140" i="15"/>
  <c r="BS132" i="15"/>
  <c r="AY120" i="15"/>
  <c r="AY140" i="15"/>
  <c r="K122" i="15"/>
  <c r="K119" i="15"/>
  <c r="L98" i="15"/>
  <c r="K125" i="15"/>
  <c r="AZ142" i="15"/>
  <c r="CI110" i="15"/>
  <c r="CK108" i="15"/>
  <c r="CI108" i="15"/>
  <c r="CI117" i="15"/>
  <c r="AT132" i="15"/>
  <c r="BN44" i="15"/>
  <c r="BN38" i="15"/>
  <c r="BE38" i="15"/>
  <c r="BN113" i="15"/>
  <c r="BT132" i="15"/>
  <c r="BT140" i="15"/>
  <c r="BX116" i="15"/>
  <c r="BX117" i="15"/>
  <c r="BX41" i="15"/>
  <c r="BH46" i="15"/>
  <c r="BG122" i="15"/>
  <c r="BG51" i="15"/>
  <c r="BG126" i="15"/>
  <c r="AB8" i="15"/>
  <c r="AA24" i="15"/>
  <c r="AB48" i="15"/>
  <c r="AB124" i="15"/>
  <c r="AA51" i="15"/>
  <c r="AA126" i="15"/>
  <c r="AA124" i="15"/>
  <c r="AM55" i="15"/>
  <c r="AM128" i="15"/>
  <c r="AM130" i="15"/>
  <c r="C726" i="17"/>
  <c r="D726" i="17"/>
  <c r="AU128" i="15"/>
  <c r="AU130" i="15"/>
  <c r="C492" i="17"/>
  <c r="C498" i="17"/>
  <c r="AU55" i="15"/>
  <c r="C509" i="17"/>
  <c r="D509" i="17"/>
  <c r="AT57" i="15"/>
  <c r="AT131" i="15"/>
  <c r="Q115" i="15"/>
  <c r="CJ44" i="15"/>
  <c r="CJ39" i="15"/>
  <c r="D62" i="15"/>
  <c r="D68" i="15"/>
  <c r="D65" i="15"/>
  <c r="AN109" i="15"/>
  <c r="AN110" i="15"/>
  <c r="AN34" i="15"/>
  <c r="BX13" i="15"/>
  <c r="BX24" i="15"/>
  <c r="BX21" i="15"/>
  <c r="BX27" i="15"/>
  <c r="BX55" i="15"/>
  <c r="BX129" i="15"/>
  <c r="CB124" i="15"/>
  <c r="CB111" i="15"/>
  <c r="CB123" i="15"/>
  <c r="CB122" i="15"/>
  <c r="CB116" i="15"/>
  <c r="CB117" i="15"/>
  <c r="BC37" i="15"/>
  <c r="BD36" i="15"/>
  <c r="AZ110" i="15"/>
  <c r="Q44" i="15"/>
  <c r="Q120" i="15"/>
  <c r="Q39" i="15"/>
  <c r="Q38" i="15"/>
  <c r="BQ46" i="15"/>
  <c r="BO51" i="15"/>
  <c r="BO126" i="15"/>
  <c r="BO122" i="15"/>
  <c r="AC38" i="15"/>
  <c r="AC113" i="15"/>
  <c r="AL122" i="15"/>
  <c r="AM46" i="15"/>
  <c r="BH55" i="15"/>
  <c r="C107" i="17"/>
  <c r="BH128" i="15"/>
  <c r="P61" i="15"/>
  <c r="P136" i="15"/>
  <c r="CD44" i="15"/>
  <c r="CD66" i="15"/>
  <c r="AV97" i="15"/>
  <c r="CD38" i="15"/>
  <c r="AO113" i="15"/>
  <c r="G139" i="15"/>
  <c r="CA117" i="15"/>
  <c r="CK44" i="15"/>
  <c r="S108" i="15"/>
  <c r="R117" i="15"/>
  <c r="L143" i="15"/>
  <c r="M44" i="15"/>
  <c r="AE35" i="15"/>
  <c r="AD37" i="15"/>
  <c r="L37" i="15"/>
  <c r="BX36" i="15"/>
  <c r="AN36" i="15"/>
  <c r="AU113" i="15"/>
  <c r="O96" i="15"/>
  <c r="AO39" i="15"/>
  <c r="AJ124" i="15"/>
  <c r="AJ109" i="15"/>
  <c r="AJ110" i="15"/>
  <c r="CG44" i="15"/>
  <c r="CF44" i="15"/>
  <c r="AI13" i="15"/>
  <c r="AI29" i="15"/>
  <c r="BY27" i="15"/>
  <c r="BZ11" i="15"/>
  <c r="BZ27" i="15"/>
  <c r="BY13" i="15"/>
  <c r="BY29" i="15"/>
  <c r="AM16" i="15"/>
  <c r="AL24" i="15"/>
  <c r="AJ35" i="15"/>
  <c r="AI37" i="15"/>
  <c r="BZ36" i="15"/>
  <c r="AR36" i="15"/>
  <c r="BZ61" i="15"/>
  <c r="BZ136" i="15"/>
  <c r="AH115" i="15"/>
  <c r="L69" i="15"/>
  <c r="BH29" i="15"/>
  <c r="J140" i="15"/>
  <c r="BY113" i="15"/>
  <c r="BY39" i="15"/>
  <c r="CF13" i="15"/>
  <c r="CF29" i="15"/>
  <c r="CF25" i="15"/>
  <c r="CJ21" i="15"/>
  <c r="CJ29" i="15"/>
  <c r="CJ24" i="15"/>
  <c r="BE132" i="15"/>
  <c r="AQ9" i="15"/>
  <c r="AP13" i="15"/>
  <c r="AP29" i="15"/>
  <c r="AP25" i="15"/>
  <c r="T134" i="15"/>
  <c r="T129" i="15"/>
  <c r="BH129" i="15"/>
  <c r="J66" i="15"/>
  <c r="BU128" i="15"/>
  <c r="BU130" i="15"/>
  <c r="BU55" i="15"/>
  <c r="BS117" i="15"/>
  <c r="BT43" i="15"/>
  <c r="BT107" i="15"/>
  <c r="CB128" i="15"/>
  <c r="CB130" i="15"/>
  <c r="CB129" i="15"/>
  <c r="CC29" i="15"/>
  <c r="C396" i="17"/>
  <c r="C402" i="17"/>
  <c r="AX55" i="15"/>
  <c r="BI43" i="15"/>
  <c r="BH43" i="15"/>
  <c r="CB135" i="15"/>
  <c r="AY132" i="15"/>
  <c r="BY143" i="15"/>
  <c r="T128" i="15"/>
  <c r="T130" i="15"/>
  <c r="AG68" i="15"/>
  <c r="BZ129" i="15"/>
  <c r="BN55" i="15"/>
  <c r="BN128" i="15"/>
  <c r="BN130" i="15"/>
  <c r="Q29" i="15"/>
  <c r="AI55" i="15"/>
  <c r="C826" i="17"/>
  <c r="C832" i="17"/>
  <c r="CA130" i="15"/>
  <c r="BQ55" i="15"/>
  <c r="BZ128" i="15"/>
  <c r="BZ130" i="15"/>
  <c r="BX130" i="15"/>
  <c r="K69" i="15"/>
  <c r="BZ134" i="15"/>
  <c r="BP56" i="15"/>
  <c r="BP131" i="15"/>
  <c r="C228" i="17"/>
  <c r="C239" i="17"/>
  <c r="C240" i="17"/>
  <c r="BG124" i="15"/>
  <c r="BH48" i="15"/>
  <c r="BZ10" i="15"/>
  <c r="BZ26" i="15"/>
  <c r="BY26" i="15"/>
  <c r="Z25" i="15"/>
  <c r="AA17" i="15"/>
  <c r="AL125" i="15"/>
  <c r="AM49" i="15"/>
  <c r="BP43" i="15"/>
  <c r="BO123" i="15"/>
  <c r="BP53" i="15"/>
  <c r="CA134" i="15"/>
  <c r="BC28" i="15"/>
  <c r="BE96" i="15"/>
  <c r="C136" i="17"/>
  <c r="Z37" i="15"/>
  <c r="AL143" i="15"/>
  <c r="BP55" i="15"/>
  <c r="BP128" i="15"/>
  <c r="BP130" i="15"/>
  <c r="AI113" i="15"/>
  <c r="AI39" i="15"/>
  <c r="AM38" i="15"/>
  <c r="BY137" i="15"/>
  <c r="AR21" i="15"/>
  <c r="AR27" i="15"/>
  <c r="AR69" i="15"/>
  <c r="AR62" i="15"/>
  <c r="AR68" i="15"/>
  <c r="P140" i="15"/>
  <c r="P139" i="15"/>
  <c r="P141" i="15"/>
  <c r="BH130" i="15"/>
  <c r="CA137" i="15"/>
  <c r="CA68" i="15"/>
  <c r="AQ142" i="15"/>
  <c r="CA132" i="15"/>
  <c r="BU57" i="15"/>
  <c r="BU61" i="15"/>
  <c r="BU136" i="15"/>
  <c r="BU66" i="15"/>
  <c r="BY115" i="15"/>
  <c r="BY114" i="15"/>
  <c r="CA114" i="15"/>
  <c r="BZ37" i="15"/>
  <c r="BZ112" i="15"/>
  <c r="AW120" i="15"/>
  <c r="AU115" i="15"/>
  <c r="AU114" i="15"/>
  <c r="AX120" i="15"/>
  <c r="AY114" i="15"/>
  <c r="AV120" i="15"/>
  <c r="M66" i="15"/>
  <c r="M67" i="15"/>
  <c r="M120" i="15"/>
  <c r="M65" i="15"/>
  <c r="AO114" i="15"/>
  <c r="AS114" i="15"/>
  <c r="AO115" i="15"/>
  <c r="BH61" i="15"/>
  <c r="BH136" i="15"/>
  <c r="BH57" i="15"/>
  <c r="BH66" i="15"/>
  <c r="AU132" i="15"/>
  <c r="AB24" i="15"/>
  <c r="AB13" i="15"/>
  <c r="BO120" i="15"/>
  <c r="BN115" i="15"/>
  <c r="BN114" i="15"/>
  <c r="BN120" i="15"/>
  <c r="BN140" i="15"/>
  <c r="BV142" i="15"/>
  <c r="BV143" i="15"/>
  <c r="BV66" i="15"/>
  <c r="BV65" i="15"/>
  <c r="BV67" i="15"/>
  <c r="CB44" i="15"/>
  <c r="CJ38" i="15"/>
  <c r="CB113" i="15"/>
  <c r="CC44" i="15"/>
  <c r="CB39" i="15"/>
  <c r="AA62" i="15"/>
  <c r="AA137" i="15"/>
  <c r="AA142" i="15"/>
  <c r="AA68" i="15"/>
  <c r="AA69" i="15"/>
  <c r="BC142" i="15"/>
  <c r="CC67" i="15"/>
  <c r="CC137" i="15"/>
  <c r="BH120" i="15"/>
  <c r="BH115" i="15"/>
  <c r="AV137" i="15"/>
  <c r="AV67" i="15"/>
  <c r="AD69" i="15"/>
  <c r="AD62" i="15"/>
  <c r="AD68" i="15"/>
  <c r="AN46" i="15"/>
  <c r="AM122" i="15"/>
  <c r="AM51" i="15"/>
  <c r="AM126" i="15"/>
  <c r="BP119" i="15"/>
  <c r="BP108" i="15"/>
  <c r="S38" i="15"/>
  <c r="S39" i="15"/>
  <c r="S44" i="15"/>
  <c r="T38" i="15"/>
  <c r="S113" i="15"/>
  <c r="C79" i="17"/>
  <c r="D77" i="17"/>
  <c r="BE112" i="15"/>
  <c r="C206" i="17"/>
  <c r="BE107" i="15"/>
  <c r="BE111" i="15"/>
  <c r="BE125" i="15"/>
  <c r="BE126" i="15"/>
  <c r="BE123" i="15"/>
  <c r="BF97" i="15"/>
  <c r="BE113" i="15"/>
  <c r="BE122" i="15"/>
  <c r="BE109" i="15"/>
  <c r="BE110" i="15"/>
  <c r="BO98" i="15"/>
  <c r="BE116" i="15"/>
  <c r="T96" i="15"/>
  <c r="BE98" i="15"/>
  <c r="BE124" i="15"/>
  <c r="BE97" i="15"/>
  <c r="AI57" i="15"/>
  <c r="AI61" i="15"/>
  <c r="AI136" i="15"/>
  <c r="BE142" i="15"/>
  <c r="BE143" i="15"/>
  <c r="AJ37" i="15"/>
  <c r="AJ111" i="15"/>
  <c r="CG66" i="15"/>
  <c r="CG65" i="15"/>
  <c r="CG67" i="15"/>
  <c r="AN112" i="15"/>
  <c r="AN37" i="15"/>
  <c r="Q139" i="15"/>
  <c r="Q140" i="15"/>
  <c r="AM132" i="15"/>
  <c r="AG143" i="15"/>
  <c r="AG142" i="15"/>
  <c r="D273" i="17"/>
  <c r="BP120" i="15"/>
  <c r="BP115" i="15"/>
  <c r="BP114" i="15"/>
  <c r="BP110" i="15"/>
  <c r="CB137" i="15"/>
  <c r="BY68" i="15"/>
  <c r="BF142" i="15"/>
  <c r="CE142" i="15"/>
  <c r="CE141" i="15"/>
  <c r="BQ112" i="15"/>
  <c r="BQ37" i="15"/>
  <c r="AB39" i="15"/>
  <c r="AB44" i="15"/>
  <c r="AB113" i="15"/>
  <c r="AC120" i="15"/>
  <c r="AC44" i="15"/>
  <c r="AF69" i="15"/>
  <c r="AF68" i="15"/>
  <c r="AF62" i="15"/>
  <c r="AJ137" i="15"/>
  <c r="BQ119" i="15"/>
  <c r="AA25" i="15"/>
  <c r="AB17" i="15"/>
  <c r="AA21" i="15"/>
  <c r="AA29" i="15"/>
  <c r="AY143" i="15"/>
  <c r="AY142" i="15"/>
  <c r="AY139" i="15"/>
  <c r="BX37" i="15"/>
  <c r="BX112" i="15"/>
  <c r="AC114" i="15"/>
  <c r="AC115" i="15"/>
  <c r="AG114" i="15"/>
  <c r="AM61" i="15"/>
  <c r="AM136" i="15"/>
  <c r="AM57" i="15"/>
  <c r="BH122" i="15"/>
  <c r="BD137" i="15"/>
  <c r="BD68" i="15"/>
  <c r="AL69" i="15"/>
  <c r="AL62" i="15"/>
  <c r="AL68" i="15"/>
  <c r="BB61" i="15"/>
  <c r="BB136" i="15"/>
  <c r="BB66" i="15"/>
  <c r="BB57" i="15"/>
  <c r="BP117" i="15"/>
  <c r="AC67" i="15"/>
  <c r="AC137" i="15"/>
  <c r="CB68" i="15"/>
  <c r="AJ68" i="15"/>
  <c r="BU140" i="15"/>
  <c r="BU132" i="15"/>
  <c r="CF66" i="15"/>
  <c r="CF65" i="15"/>
  <c r="CF67" i="15"/>
  <c r="BN132" i="15"/>
  <c r="L44" i="15"/>
  <c r="L39" i="15"/>
  <c r="L113" i="15"/>
  <c r="L38" i="15"/>
  <c r="BD37" i="15"/>
  <c r="BD112" i="15"/>
  <c r="AT69" i="15"/>
  <c r="AT62" i="15"/>
  <c r="AT68" i="15"/>
  <c r="AT143" i="15"/>
  <c r="CF108" i="15"/>
  <c r="CJ110" i="15"/>
  <c r="CJ119" i="15"/>
  <c r="CK119" i="15"/>
  <c r="CJ108" i="15"/>
  <c r="CE119" i="15"/>
  <c r="AD113" i="15"/>
  <c r="AD38" i="15"/>
  <c r="AH38" i="15"/>
  <c r="AD44" i="15"/>
  <c r="AD66" i="15"/>
  <c r="AD39" i="15"/>
  <c r="AF104" i="15"/>
  <c r="AG3" i="15"/>
  <c r="CD62" i="15"/>
  <c r="CD69" i="15"/>
  <c r="CD65" i="15"/>
  <c r="AN47" i="15"/>
  <c r="AN123" i="15"/>
  <c r="AM123" i="15"/>
  <c r="BG137" i="15"/>
  <c r="R114" i="15"/>
  <c r="P115" i="15"/>
  <c r="Z39" i="15"/>
  <c r="Z113" i="15"/>
  <c r="Z115" i="15"/>
  <c r="AN49" i="15"/>
  <c r="AN125" i="15"/>
  <c r="AM125" i="15"/>
  <c r="AR9" i="15"/>
  <c r="AQ25" i="15"/>
  <c r="AQ13" i="15"/>
  <c r="AQ29" i="15"/>
  <c r="AV125" i="15"/>
  <c r="AV51" i="15"/>
  <c r="AV126" i="15"/>
  <c r="AM24" i="15"/>
  <c r="AM21" i="15"/>
  <c r="AM29" i="15"/>
  <c r="AN16" i="15"/>
  <c r="BB132" i="15"/>
  <c r="BA65" i="15"/>
  <c r="BA67" i="15"/>
  <c r="BA66" i="15"/>
  <c r="C295" i="17"/>
  <c r="BN57" i="15"/>
  <c r="BN61" i="15"/>
  <c r="BN136" i="15"/>
  <c r="BN66" i="15"/>
  <c r="BT117" i="15"/>
  <c r="BV108" i="15"/>
  <c r="BT110" i="15"/>
  <c r="BH119" i="15"/>
  <c r="BT115" i="15"/>
  <c r="BT119" i="15"/>
  <c r="BC39" i="15"/>
  <c r="BG38" i="15"/>
  <c r="BC38" i="15"/>
  <c r="BC113" i="15"/>
  <c r="BC44" i="15"/>
  <c r="AP137" i="15"/>
  <c r="AN13" i="15"/>
  <c r="BZ132" i="15"/>
  <c r="AE111" i="15"/>
  <c r="AE37" i="15"/>
  <c r="AI38" i="15"/>
  <c r="AF35" i="15"/>
  <c r="BX29" i="15"/>
  <c r="AU61" i="15"/>
  <c r="AU136" i="15"/>
  <c r="AU57" i="15"/>
  <c r="AB51" i="15"/>
  <c r="AB126" i="15"/>
  <c r="BT69" i="15"/>
  <c r="BT62" i="15"/>
  <c r="BT65" i="15"/>
  <c r="AN137" i="15"/>
  <c r="Q66" i="15"/>
  <c r="D325" i="17"/>
  <c r="AR122" i="15"/>
  <c r="AR51" i="15"/>
  <c r="AR126" i="15"/>
  <c r="BG125" i="15"/>
  <c r="BH49" i="15"/>
  <c r="BH125" i="15"/>
  <c r="CJ115" i="15"/>
  <c r="CF114" i="15"/>
  <c r="CK120" i="15"/>
  <c r="CJ120" i="15"/>
  <c r="CE120" i="15"/>
  <c r="CJ114" i="15"/>
  <c r="CF139" i="15"/>
  <c r="CF143" i="15"/>
  <c r="CF142" i="15"/>
  <c r="AY141" i="15"/>
  <c r="N3" i="15"/>
  <c r="M104" i="15"/>
  <c r="CB132" i="15"/>
  <c r="BX61" i="15"/>
  <c r="BX136" i="15"/>
  <c r="BX57" i="15"/>
  <c r="AB137" i="15"/>
  <c r="AB67" i="15"/>
  <c r="BX132" i="15"/>
  <c r="D137" i="15"/>
  <c r="D67" i="15"/>
  <c r="BO55" i="15"/>
  <c r="BO128" i="15"/>
  <c r="BO130" i="15"/>
  <c r="AZ114" i="15"/>
  <c r="BA120" i="15"/>
  <c r="AZ115" i="15"/>
  <c r="AZ120" i="15"/>
  <c r="BB120" i="15"/>
  <c r="BB140" i="15"/>
  <c r="BH124" i="15"/>
  <c r="BQ61" i="15"/>
  <c r="BQ136" i="15"/>
  <c r="BQ57" i="15"/>
  <c r="AX57" i="15"/>
  <c r="AX61" i="15"/>
  <c r="AX136" i="15"/>
  <c r="AX66" i="15"/>
  <c r="AR112" i="15"/>
  <c r="AR37" i="15"/>
  <c r="O120" i="15"/>
  <c r="O107" i="15"/>
  <c r="R98" i="15"/>
  <c r="O111" i="15"/>
  <c r="O113" i="15"/>
  <c r="P114" i="15"/>
  <c r="O122" i="15"/>
  <c r="Q98" i="15"/>
  <c r="O123" i="15"/>
  <c r="O98" i="15"/>
  <c r="O109" i="15"/>
  <c r="O110" i="15"/>
  <c r="O126" i="15"/>
  <c r="O119" i="15"/>
  <c r="O124" i="15"/>
  <c r="O116" i="15"/>
  <c r="O117" i="15"/>
  <c r="O112" i="15"/>
  <c r="O125" i="15"/>
  <c r="M38" i="15"/>
  <c r="BQ51" i="15"/>
  <c r="BQ126" i="15"/>
  <c r="BQ122" i="15"/>
  <c r="BT143" i="15"/>
  <c r="BT139" i="15"/>
  <c r="BS139" i="15"/>
  <c r="BS143" i="15"/>
  <c r="BS142" i="15"/>
  <c r="BW68" i="15"/>
  <c r="BW62" i="15"/>
  <c r="BW137" i="15"/>
  <c r="BW69" i="15"/>
  <c r="AW62" i="15"/>
  <c r="AW69" i="15"/>
  <c r="AW68" i="15"/>
  <c r="AW65" i="15"/>
  <c r="BV115" i="15"/>
  <c r="BV120" i="15"/>
  <c r="BV114" i="15"/>
  <c r="BW120" i="15"/>
  <c r="H141" i="15"/>
  <c r="H139" i="15"/>
  <c r="Q62" i="15"/>
  <c r="Q65" i="15"/>
  <c r="Q69" i="15"/>
  <c r="AV68" i="15"/>
  <c r="AC140" i="15"/>
  <c r="AC139" i="15"/>
  <c r="AX140" i="15"/>
  <c r="AX139" i="15"/>
  <c r="BN143" i="15"/>
  <c r="BN139" i="15"/>
  <c r="Q67" i="15"/>
  <c r="Q137" i="15"/>
  <c r="BW141" i="15"/>
  <c r="BW142" i="15"/>
  <c r="BT137" i="15"/>
  <c r="BT67" i="15"/>
  <c r="L114" i="15"/>
  <c r="L115" i="15"/>
  <c r="M114" i="15"/>
  <c r="BU143" i="15"/>
  <c r="BU139" i="15"/>
  <c r="BX39" i="15"/>
  <c r="BX44" i="15"/>
  <c r="BX66" i="15"/>
  <c r="BX113" i="15"/>
  <c r="BY44" i="15"/>
  <c r="AF137" i="15"/>
  <c r="AN122" i="15"/>
  <c r="AN51" i="15"/>
  <c r="AN126" i="15"/>
  <c r="AV141" i="15"/>
  <c r="AV142" i="15"/>
  <c r="CB115" i="15"/>
  <c r="CC120" i="15"/>
  <c r="CB120" i="15"/>
  <c r="CB140" i="15"/>
  <c r="CI120" i="15"/>
  <c r="CD114" i="15"/>
  <c r="AU143" i="15"/>
  <c r="C234" i="17"/>
  <c r="BC65" i="15"/>
  <c r="BC66" i="15"/>
  <c r="BC67" i="15"/>
  <c r="S120" i="15"/>
  <c r="S65" i="15"/>
  <c r="S66" i="15"/>
  <c r="S67" i="15"/>
  <c r="BQ44" i="15"/>
  <c r="BQ66" i="15"/>
  <c r="AZ140" i="15"/>
  <c r="AZ139" i="15"/>
  <c r="AZ141" i="15"/>
  <c r="CB139" i="15"/>
  <c r="CB143" i="15"/>
  <c r="CB142" i="15"/>
  <c r="AE113" i="15"/>
  <c r="AI114" i="15"/>
  <c r="AE38" i="15"/>
  <c r="AE39" i="15"/>
  <c r="AE44" i="15"/>
  <c r="L66" i="15"/>
  <c r="L120" i="15"/>
  <c r="L67" i="15"/>
  <c r="L65" i="15"/>
  <c r="AM143" i="15"/>
  <c r="AI62" i="15"/>
  <c r="AI68" i="15"/>
  <c r="AI69" i="15"/>
  <c r="BE108" i="15"/>
  <c r="BG119" i="15"/>
  <c r="BE119" i="15"/>
  <c r="BF119" i="15"/>
  <c r="CB66" i="15"/>
  <c r="CB65" i="15"/>
  <c r="CA142" i="15"/>
  <c r="CA143" i="15"/>
  <c r="BY142" i="15"/>
  <c r="AI115" i="15"/>
  <c r="AM114" i="15"/>
  <c r="BW140" i="15"/>
  <c r="BW139" i="15"/>
  <c r="AX62" i="15"/>
  <c r="AX68" i="15"/>
  <c r="AX69" i="15"/>
  <c r="AX65" i="15"/>
  <c r="BX143" i="15"/>
  <c r="AU62" i="15"/>
  <c r="AU68" i="15"/>
  <c r="AU69" i="15"/>
  <c r="AU65" i="15"/>
  <c r="AT137" i="15"/>
  <c r="BD142" i="15"/>
  <c r="AC66" i="15"/>
  <c r="AC65" i="15"/>
  <c r="AK44" i="15"/>
  <c r="AL44" i="15"/>
  <c r="AJ39" i="15"/>
  <c r="AM44" i="15"/>
  <c r="AJ113" i="15"/>
  <c r="AJ44" i="15"/>
  <c r="BE115" i="15"/>
  <c r="BE114" i="15"/>
  <c r="BG120" i="15"/>
  <c r="BF120" i="15"/>
  <c r="AD65" i="15"/>
  <c r="BH62" i="15"/>
  <c r="BH68" i="15"/>
  <c r="BH69" i="15"/>
  <c r="BH65" i="15"/>
  <c r="BP132" i="15"/>
  <c r="BP140" i="15"/>
  <c r="AM69" i="15"/>
  <c r="AM68" i="15"/>
  <c r="AM62" i="15"/>
  <c r="BB69" i="15"/>
  <c r="BB68" i="15"/>
  <c r="BB65" i="15"/>
  <c r="BB62" i="15"/>
  <c r="BA141" i="15"/>
  <c r="BA139" i="15"/>
  <c r="BA140" i="15"/>
  <c r="BZ142" i="15"/>
  <c r="BZ143" i="15"/>
  <c r="BB143" i="15"/>
  <c r="BB139" i="15"/>
  <c r="CD137" i="15"/>
  <c r="CD67" i="15"/>
  <c r="M140" i="15"/>
  <c r="M141" i="15"/>
  <c r="M139" i="15"/>
  <c r="BP57" i="15"/>
  <c r="BP61" i="15"/>
  <c r="BP136" i="15"/>
  <c r="BP66" i="15"/>
  <c r="BV140" i="15"/>
  <c r="BV141" i="15"/>
  <c r="O108" i="15"/>
  <c r="Q108" i="15"/>
  <c r="P108" i="15"/>
  <c r="AB141" i="15"/>
  <c r="AB142" i="15"/>
  <c r="AN142" i="15"/>
  <c r="AN21" i="15"/>
  <c r="AN29" i="15"/>
  <c r="AN24" i="15"/>
  <c r="CD68" i="15"/>
  <c r="BH51" i="15"/>
  <c r="BH126" i="15"/>
  <c r="AB25" i="15"/>
  <c r="AB21" i="15"/>
  <c r="AB29" i="15"/>
  <c r="AB66" i="15"/>
  <c r="AB65" i="15"/>
  <c r="AN44" i="15"/>
  <c r="AN39" i="15"/>
  <c r="AP44" i="15"/>
  <c r="AQ44" i="15"/>
  <c r="AN38" i="15"/>
  <c r="AO44" i="15"/>
  <c r="AN113" i="15"/>
  <c r="AD137" i="15"/>
  <c r="AD67" i="15"/>
  <c r="AW139" i="15"/>
  <c r="AW140" i="15"/>
  <c r="D141" i="15"/>
  <c r="D142" i="15"/>
  <c r="AF111" i="15"/>
  <c r="AF37" i="15"/>
  <c r="AB115" i="15"/>
  <c r="AB120" i="15"/>
  <c r="Q68" i="15"/>
  <c r="BQ69" i="15"/>
  <c r="BQ62" i="15"/>
  <c r="BQ68" i="15"/>
  <c r="AW137" i="15"/>
  <c r="AW67" i="15"/>
  <c r="O139" i="15"/>
  <c r="O140" i="15"/>
  <c r="O141" i="15"/>
  <c r="BO132" i="15"/>
  <c r="BO140" i="15"/>
  <c r="CE140" i="15"/>
  <c r="CE139" i="15"/>
  <c r="BN68" i="15"/>
  <c r="BN62" i="15"/>
  <c r="BN69" i="15"/>
  <c r="BN65" i="15"/>
  <c r="AR25" i="15"/>
  <c r="AR13" i="15"/>
  <c r="AR29" i="15"/>
  <c r="AG104" i="15"/>
  <c r="AH3" i="15"/>
  <c r="BD39" i="15"/>
  <c r="BE44" i="15"/>
  <c r="BD44" i="15"/>
  <c r="BD38" i="15"/>
  <c r="BG44" i="15"/>
  <c r="BF44" i="15"/>
  <c r="BD113" i="15"/>
  <c r="BH38" i="15"/>
  <c r="AJ142" i="15"/>
  <c r="CB67" i="15"/>
  <c r="T126" i="15"/>
  <c r="T123" i="15"/>
  <c r="T116" i="15"/>
  <c r="T117" i="15"/>
  <c r="T125" i="15"/>
  <c r="T107" i="15"/>
  <c r="T108" i="15"/>
  <c r="T109" i="15"/>
  <c r="T110" i="15"/>
  <c r="T122" i="15"/>
  <c r="T119" i="15"/>
  <c r="T111" i="15"/>
  <c r="T113" i="15"/>
  <c r="T124" i="15"/>
  <c r="T112" i="15"/>
  <c r="T98" i="15"/>
  <c r="T120" i="15"/>
  <c r="T141" i="15"/>
  <c r="BU69" i="15"/>
  <c r="BU62" i="15"/>
  <c r="BU65" i="15"/>
  <c r="O115" i="15"/>
  <c r="O114" i="15"/>
  <c r="Q114" i="15"/>
  <c r="BC120" i="15"/>
  <c r="BC115" i="15"/>
  <c r="BG114" i="15"/>
  <c r="BC114" i="15"/>
  <c r="P3" i="15"/>
  <c r="O3" i="15"/>
  <c r="N104" i="15"/>
  <c r="AR137" i="15"/>
  <c r="AR38" i="15"/>
  <c r="AT44" i="15"/>
  <c r="AR39" i="15"/>
  <c r="AS44" i="15"/>
  <c r="AU44" i="15"/>
  <c r="AR113" i="15"/>
  <c r="AV38" i="15"/>
  <c r="AR44" i="15"/>
  <c r="BO66" i="15"/>
  <c r="BO57" i="15"/>
  <c r="BO61" i="15"/>
  <c r="BO136" i="15"/>
  <c r="BX69" i="15"/>
  <c r="BX62" i="15"/>
  <c r="BX65" i="15"/>
  <c r="BX68" i="15"/>
  <c r="BT68" i="15"/>
  <c r="AP142" i="15"/>
  <c r="BG142" i="15"/>
  <c r="BG141" i="15"/>
  <c r="AD114" i="15"/>
  <c r="AH114" i="15"/>
  <c r="AD120" i="15"/>
  <c r="AD115" i="15"/>
  <c r="AC141" i="15"/>
  <c r="AC142" i="15"/>
  <c r="AL137" i="15"/>
  <c r="AL67" i="15"/>
  <c r="BQ39" i="15"/>
  <c r="BQ38" i="15"/>
  <c r="BQ113" i="15"/>
  <c r="CB141" i="15"/>
  <c r="BE117" i="15"/>
  <c r="S114" i="15"/>
  <c r="S115" i="15"/>
  <c r="CC142" i="15"/>
  <c r="CC66" i="15"/>
  <c r="CC65" i="15"/>
  <c r="BV139" i="15"/>
  <c r="AV140" i="15"/>
  <c r="AV139" i="15"/>
  <c r="BZ39" i="15"/>
  <c r="BZ44" i="15"/>
  <c r="CA44" i="15"/>
  <c r="BZ113" i="15"/>
  <c r="BH132" i="15"/>
  <c r="BH140" i="15"/>
  <c r="AT66" i="15"/>
  <c r="C515" i="17"/>
  <c r="AT65" i="15"/>
  <c r="P104" i="15"/>
  <c r="R3" i="15"/>
  <c r="AH104" i="15"/>
  <c r="AI3" i="15"/>
  <c r="AW142" i="15"/>
  <c r="AW141" i="15"/>
  <c r="AB140" i="15"/>
  <c r="AB139" i="15"/>
  <c r="AN120" i="15"/>
  <c r="AN114" i="15"/>
  <c r="AN115" i="15"/>
  <c r="AO120" i="15"/>
  <c r="AQ120" i="15"/>
  <c r="AP120" i="15"/>
  <c r="BF140" i="15"/>
  <c r="BF139" i="15"/>
  <c r="BF141" i="15"/>
  <c r="C717" i="17"/>
  <c r="D717" i="17"/>
  <c r="AM66" i="15"/>
  <c r="AT67" i="15"/>
  <c r="AF142" i="15"/>
  <c r="AL142" i="15"/>
  <c r="BD114" i="15"/>
  <c r="BD120" i="15"/>
  <c r="BD115" i="15"/>
  <c r="BH114" i="15"/>
  <c r="BQ65" i="15"/>
  <c r="AO65" i="15"/>
  <c r="AO66" i="15"/>
  <c r="AO67" i="15"/>
  <c r="BB67" i="15"/>
  <c r="BB137" i="15"/>
  <c r="BE120" i="15"/>
  <c r="AT142" i="15"/>
  <c r="C584" i="17"/>
  <c r="AR66" i="15"/>
  <c r="AR65" i="15"/>
  <c r="C170" i="17"/>
  <c r="BF67" i="15"/>
  <c r="BF66" i="15"/>
  <c r="BF65" i="15"/>
  <c r="BP69" i="15"/>
  <c r="BP68" i="15"/>
  <c r="BP62" i="15"/>
  <c r="BP65" i="15"/>
  <c r="BP143" i="15"/>
  <c r="BP139" i="15"/>
  <c r="AL66" i="15"/>
  <c r="C749" i="17"/>
  <c r="AL65" i="15"/>
  <c r="BY65" i="15"/>
  <c r="BY66" i="15"/>
  <c r="BY67" i="15"/>
  <c r="BU137" i="15"/>
  <c r="BU67" i="15"/>
  <c r="AT120" i="15"/>
  <c r="AR115" i="15"/>
  <c r="AR114" i="15"/>
  <c r="AS120" i="15"/>
  <c r="AV114" i="15"/>
  <c r="AR120" i="15"/>
  <c r="AU120" i="15"/>
  <c r="BC140" i="15"/>
  <c r="BC139" i="15"/>
  <c r="BC141" i="15"/>
  <c r="C653" i="17"/>
  <c r="D653" i="17"/>
  <c r="AP66" i="15"/>
  <c r="AP65" i="15"/>
  <c r="AP67" i="15"/>
  <c r="AE67" i="15"/>
  <c r="AE66" i="15"/>
  <c r="AE65" i="15"/>
  <c r="S139" i="15"/>
  <c r="S140" i="15"/>
  <c r="S141" i="15"/>
  <c r="Q3" i="15"/>
  <c r="O104" i="15"/>
  <c r="AR142" i="15"/>
  <c r="AR67" i="15"/>
  <c r="T114" i="15"/>
  <c r="T115" i="15"/>
  <c r="BO139" i="15"/>
  <c r="BO143" i="15"/>
  <c r="BQ137" i="15"/>
  <c r="BQ67" i="15"/>
  <c r="CA66" i="15"/>
  <c r="CA65" i="15"/>
  <c r="CA67" i="15"/>
  <c r="BZ66" i="15"/>
  <c r="BZ67" i="15"/>
  <c r="BZ65" i="15"/>
  <c r="AD139" i="15"/>
  <c r="AD140" i="15"/>
  <c r="BU68" i="15"/>
  <c r="BD66" i="15"/>
  <c r="BD65" i="15"/>
  <c r="BD67" i="15"/>
  <c r="AM65" i="15"/>
  <c r="AJ66" i="15"/>
  <c r="C783" i="17"/>
  <c r="D783" i="17"/>
  <c r="AJ65" i="15"/>
  <c r="AJ67" i="15"/>
  <c r="AU137" i="15"/>
  <c r="AU67" i="15"/>
  <c r="AX137" i="15"/>
  <c r="AX67" i="15"/>
  <c r="Q142" i="15"/>
  <c r="Q141" i="15"/>
  <c r="BH143" i="15"/>
  <c r="BH139" i="15"/>
  <c r="BQ120" i="15"/>
  <c r="BQ115" i="15"/>
  <c r="BQ114" i="15"/>
  <c r="BG140" i="15"/>
  <c r="BG139" i="15"/>
  <c r="L141" i="15"/>
  <c r="L140" i="15"/>
  <c r="L139" i="15"/>
  <c r="CC140" i="15"/>
  <c r="CC139" i="15"/>
  <c r="BT141" i="15"/>
  <c r="BT142" i="15"/>
  <c r="CA120" i="15"/>
  <c r="BZ120" i="15"/>
  <c r="BZ115" i="15"/>
  <c r="C134" i="17"/>
  <c r="BG66" i="15"/>
  <c r="BG65" i="15"/>
  <c r="BG67" i="15"/>
  <c r="C620" i="17"/>
  <c r="D620" i="17"/>
  <c r="AQ65" i="15"/>
  <c r="AQ66" i="15"/>
  <c r="AQ67" i="15"/>
  <c r="AK67" i="15"/>
  <c r="AK65" i="15"/>
  <c r="AK66" i="15"/>
  <c r="AI137" i="15"/>
  <c r="BX115" i="15"/>
  <c r="BX120" i="15"/>
  <c r="BY120" i="15"/>
  <c r="CC141" i="15"/>
  <c r="BX137" i="15"/>
  <c r="BX67" i="15"/>
  <c r="C483" i="17"/>
  <c r="AU66" i="15"/>
  <c r="AS66" i="15"/>
  <c r="AS65" i="15"/>
  <c r="C549" i="17"/>
  <c r="AS67" i="15"/>
  <c r="BE65" i="15"/>
  <c r="BE66" i="15"/>
  <c r="BE67" i="15"/>
  <c r="C204" i="17"/>
  <c r="BN137" i="15"/>
  <c r="BN67" i="15"/>
  <c r="AG44" i="15"/>
  <c r="AF38" i="15"/>
  <c r="AF39" i="15"/>
  <c r="AH44" i="15"/>
  <c r="AF113" i="15"/>
  <c r="AF44" i="15"/>
  <c r="AI44" i="15"/>
  <c r="AN65" i="15"/>
  <c r="AN66" i="15"/>
  <c r="AN67" i="15"/>
  <c r="AM137" i="15"/>
  <c r="AM67" i="15"/>
  <c r="BH137" i="15"/>
  <c r="BH142" i="15"/>
  <c r="BH67" i="15"/>
  <c r="AJ38" i="15"/>
  <c r="CD141" i="15"/>
  <c r="CD142" i="15"/>
  <c r="AK120" i="15"/>
  <c r="AJ115" i="15"/>
  <c r="AJ120" i="15"/>
  <c r="AL120" i="15"/>
  <c r="AL141" i="15"/>
  <c r="AM120" i="15"/>
  <c r="AE115" i="15"/>
  <c r="AE114" i="15"/>
  <c r="AE120" i="15"/>
  <c r="AD142" i="15"/>
  <c r="AD141" i="15"/>
  <c r="BO65" i="15"/>
  <c r="BO62" i="15"/>
  <c r="BO69" i="15"/>
  <c r="AJ3" i="15"/>
  <c r="AI104" i="15"/>
  <c r="AF120" i="15"/>
  <c r="AF115" i="15"/>
  <c r="AH120" i="15"/>
  <c r="AG120" i="15"/>
  <c r="AF114" i="15"/>
  <c r="AI120" i="15"/>
  <c r="BO67" i="15"/>
  <c r="BO137" i="15"/>
  <c r="AJ139" i="15"/>
  <c r="AJ140" i="15"/>
  <c r="AJ141" i="15"/>
  <c r="C817" i="17"/>
  <c r="D817" i="17"/>
  <c r="AI66" i="15"/>
  <c r="AI65" i="15"/>
  <c r="BN141" i="15"/>
  <c r="BN142" i="15"/>
  <c r="AU140" i="15"/>
  <c r="AU139" i="15"/>
  <c r="BU141" i="15"/>
  <c r="BU142" i="15"/>
  <c r="BB141" i="15"/>
  <c r="BB142" i="15"/>
  <c r="BD140" i="15"/>
  <c r="BD139" i="15"/>
  <c r="BD141" i="15"/>
  <c r="AQ139" i="15"/>
  <c r="AQ140" i="15"/>
  <c r="AQ141" i="15"/>
  <c r="BQ142" i="15"/>
  <c r="BQ141" i="15"/>
  <c r="AR139" i="15"/>
  <c r="AR140" i="15"/>
  <c r="BZ141" i="15"/>
  <c r="BZ140" i="15"/>
  <c r="BZ139" i="15"/>
  <c r="AE140" i="15"/>
  <c r="AE139" i="15"/>
  <c r="AE141" i="15"/>
  <c r="AJ114" i="15"/>
  <c r="AH66" i="15"/>
  <c r="AH67" i="15"/>
  <c r="AH65" i="15"/>
  <c r="CA140" i="15"/>
  <c r="CA141" i="15"/>
  <c r="CA139" i="15"/>
  <c r="AU141" i="15"/>
  <c r="AU142" i="15"/>
  <c r="AR141" i="15"/>
  <c r="AS140" i="15"/>
  <c r="AS139" i="15"/>
  <c r="AS141" i="15"/>
  <c r="BP137" i="15"/>
  <c r="BP67" i="15"/>
  <c r="T3" i="15"/>
  <c r="T104" i="15"/>
  <c r="R104" i="15"/>
  <c r="AN140" i="15"/>
  <c r="AN139" i="15"/>
  <c r="AN141" i="15"/>
  <c r="AF66" i="15"/>
  <c r="AF65" i="15"/>
  <c r="AF67" i="15"/>
  <c r="AK140" i="15"/>
  <c r="AK141" i="15"/>
  <c r="AK139" i="15"/>
  <c r="BX140" i="15"/>
  <c r="BX139" i="15"/>
  <c r="AM141" i="15"/>
  <c r="AM142" i="15"/>
  <c r="AI67" i="15"/>
  <c r="AI142" i="15"/>
  <c r="AI141" i="15"/>
  <c r="S3" i="15"/>
  <c r="S104" i="15"/>
  <c r="Q104" i="15"/>
  <c r="AX142" i="15"/>
  <c r="AX141" i="15"/>
  <c r="AO139" i="15"/>
  <c r="AO140" i="15"/>
  <c r="AO141" i="15"/>
  <c r="BO68" i="15"/>
  <c r="AM140" i="15"/>
  <c r="AM139" i="15"/>
  <c r="AG67" i="15"/>
  <c r="AG65" i="15"/>
  <c r="AG66" i="15"/>
  <c r="AT140" i="15"/>
  <c r="AT139" i="15"/>
  <c r="AT141" i="15"/>
  <c r="BY139" i="15"/>
  <c r="BY140" i="15"/>
  <c r="BY141" i="15"/>
  <c r="AL140" i="15"/>
  <c r="AL139" i="15"/>
  <c r="BX141" i="15"/>
  <c r="BX142" i="15"/>
  <c r="BQ140" i="15"/>
  <c r="BQ139" i="15"/>
  <c r="BE140" i="15"/>
  <c r="BE141" i="15"/>
  <c r="BE139" i="15"/>
  <c r="AP140" i="15"/>
  <c r="AP139" i="15"/>
  <c r="AP141" i="15"/>
  <c r="AI139" i="15"/>
  <c r="AI140" i="15"/>
  <c r="AH139" i="15"/>
  <c r="AH140" i="15"/>
  <c r="AH141" i="15"/>
  <c r="AG140" i="15"/>
  <c r="AG141" i="15"/>
  <c r="AG139" i="15"/>
  <c r="AF140" i="15"/>
  <c r="AF139" i="15"/>
  <c r="AF141" i="15"/>
  <c r="BO141" i="15"/>
  <c r="BO142" i="15"/>
  <c r="BP141" i="15"/>
  <c r="BP142" i="15"/>
  <c r="AJ104" i="15"/>
  <c r="AK3" i="15"/>
  <c r="AK104" i="15"/>
  <c r="AL3" i="15"/>
  <c r="AL104" i="15"/>
  <c r="AM3" i="15"/>
  <c r="AN3" i="15"/>
  <c r="AM104" i="15"/>
  <c r="AO3" i="15"/>
  <c r="AN104" i="15"/>
  <c r="AP3" i="15"/>
  <c r="AO104" i="15"/>
  <c r="AQ3" i="15"/>
  <c r="AP104" i="15"/>
  <c r="AR3" i="15"/>
  <c r="AQ104" i="15"/>
  <c r="AS3" i="15"/>
  <c r="AR104" i="15"/>
  <c r="AS104" i="15"/>
  <c r="AT3" i="15"/>
  <c r="AU3" i="15"/>
  <c r="AT104" i="15"/>
  <c r="AU104" i="15"/>
  <c r="AV3" i="15"/>
  <c r="AV104" i="15"/>
  <c r="AW3" i="15"/>
  <c r="AX3" i="15"/>
  <c r="AW104" i="15"/>
  <c r="AY3" i="15"/>
  <c r="AX104" i="15"/>
  <c r="AZ3" i="15"/>
  <c r="AY104" i="15"/>
  <c r="AZ104" i="15"/>
  <c r="BA3" i="15"/>
  <c r="BA104" i="15"/>
  <c r="BB3" i="15"/>
  <c r="BC3" i="15"/>
  <c r="BB104" i="15"/>
  <c r="BD3" i="15"/>
  <c r="BC104" i="15"/>
  <c r="BE3" i="15"/>
  <c r="BD104" i="15"/>
  <c r="BF3" i="15"/>
  <c r="BE104" i="15"/>
  <c r="BF104" i="15"/>
  <c r="BG3" i="15"/>
  <c r="BH3" i="15"/>
  <c r="BG104" i="15"/>
  <c r="BI3" i="15"/>
  <c r="BI104" i="15"/>
  <c r="U104" i="15"/>
  <c r="BH104" i="15"/>
  <c r="BF21" i="19"/>
  <c r="BF22" i="19"/>
  <c r="BF20" i="19"/>
  <c r="BF19" i="19"/>
  <c r="BI97" i="15"/>
  <c r="BI123" i="15"/>
  <c r="BI122" i="15"/>
  <c r="BI107" i="15"/>
  <c r="BI119" i="15"/>
  <c r="BI111" i="15"/>
  <c r="BI109" i="15"/>
  <c r="BI116" i="15"/>
  <c r="BI98" i="15"/>
  <c r="BI125" i="15"/>
  <c r="BI57" i="15"/>
  <c r="BI62" i="15"/>
  <c r="BI130" i="15"/>
  <c r="BI117" i="15"/>
  <c r="U124" i="15"/>
  <c r="BI110" i="15"/>
  <c r="U61" i="15"/>
  <c r="U136" i="15"/>
  <c r="BE20" i="19"/>
  <c r="T10" i="19"/>
  <c r="BH18" i="19"/>
  <c r="BH19" i="19"/>
  <c r="BH20" i="19"/>
  <c r="BH21" i="19"/>
  <c r="BR38" i="15"/>
  <c r="BR120" i="15"/>
  <c r="BR114" i="15"/>
  <c r="BR39" i="15"/>
  <c r="BR44" i="15"/>
  <c r="BR66" i="15"/>
  <c r="BI37" i="15"/>
  <c r="BI44" i="15"/>
  <c r="U36" i="15"/>
  <c r="BR122" i="15"/>
  <c r="BR123" i="15"/>
  <c r="U51" i="15"/>
  <c r="U126" i="15"/>
  <c r="T140" i="15"/>
  <c r="T132" i="15"/>
  <c r="BH141" i="15"/>
  <c r="BI39" i="15"/>
  <c r="BI113" i="15"/>
  <c r="BI38" i="15"/>
  <c r="U112" i="15"/>
  <c r="T139" i="15"/>
  <c r="T143" i="15"/>
  <c r="T142" i="15"/>
  <c r="BI114" i="15"/>
  <c r="BI120" i="15"/>
  <c r="BI140" i="15"/>
  <c r="BI115" i="15"/>
  <c r="D170" i="17"/>
  <c r="D428" i="17"/>
  <c r="D278" i="17"/>
  <c r="D794" i="17"/>
  <c r="C610" i="17"/>
  <c r="D578" i="17"/>
  <c r="C348" i="17"/>
  <c r="C350" i="17"/>
  <c r="C353" i="17"/>
  <c r="E353" i="17"/>
  <c r="D264" i="17"/>
  <c r="D308" i="17"/>
  <c r="D338" i="17"/>
  <c r="D256" i="17"/>
  <c r="C772" i="17"/>
  <c r="C805" i="17"/>
  <c r="D666" i="17"/>
  <c r="D795" i="17"/>
  <c r="D827" i="17"/>
  <c r="D832" i="17"/>
  <c r="D465" i="17"/>
  <c r="C412" i="17"/>
  <c r="C414" i="17"/>
  <c r="D285" i="17"/>
  <c r="C257" i="17"/>
  <c r="D126" i="17"/>
  <c r="D507" i="17"/>
  <c r="D804" i="17"/>
  <c r="D822" i="17"/>
  <c r="D823" i="17"/>
  <c r="D788" i="17"/>
  <c r="D789" i="17"/>
  <c r="C318" i="17"/>
  <c r="C320" i="17"/>
  <c r="D254" i="17"/>
  <c r="C732" i="17"/>
  <c r="D258" i="17"/>
  <c r="D793" i="17"/>
  <c r="D611" i="17"/>
  <c r="D584" i="17"/>
  <c r="D826" i="17"/>
  <c r="D560" i="17"/>
  <c r="D558" i="17"/>
  <c r="C771" i="17"/>
  <c r="D811" i="17"/>
  <c r="D641" i="17"/>
  <c r="D808" i="17"/>
  <c r="D379" i="17"/>
  <c r="D780" i="17"/>
  <c r="D777" i="17"/>
  <c r="D315" i="17"/>
  <c r="D617" i="17"/>
  <c r="D563" i="17"/>
  <c r="C444" i="17"/>
  <c r="E444" i="17"/>
  <c r="C94" i="17"/>
  <c r="C127" i="17"/>
  <c r="E127" i="17"/>
  <c r="D540" i="17"/>
  <c r="D276" i="17"/>
  <c r="D275" i="17"/>
  <c r="D830" i="17"/>
  <c r="D181" i="17"/>
  <c r="C554" i="17"/>
  <c r="D554" i="17"/>
  <c r="D555" i="17"/>
  <c r="D261" i="17"/>
  <c r="C197" i="17"/>
  <c r="E197" i="17"/>
  <c r="C755" i="17"/>
  <c r="D754" i="17"/>
  <c r="D755" i="17"/>
  <c r="C446" i="17"/>
  <c r="E446" i="17"/>
  <c r="C361" i="17"/>
  <c r="D360" i="17"/>
  <c r="D361" i="17"/>
  <c r="D743" i="17"/>
  <c r="D727" i="17"/>
  <c r="D855" i="17"/>
  <c r="C573" i="17"/>
  <c r="C576" i="17"/>
  <c r="D576" i="17"/>
  <c r="C775" i="17"/>
  <c r="D775" i="17"/>
  <c r="D306" i="17"/>
  <c r="D305" i="17"/>
  <c r="D537" i="17"/>
  <c r="D730" i="17"/>
  <c r="D729" i="17"/>
  <c r="D123" i="17"/>
  <c r="C538" i="17"/>
  <c r="D630" i="17"/>
  <c r="D460" i="17"/>
  <c r="D864" i="17"/>
  <c r="D858" i="17"/>
  <c r="D814" i="17"/>
  <c r="D368" i="17"/>
  <c r="D128" i="17"/>
  <c r="D24" i="17"/>
  <c r="C70" i="17"/>
  <c r="D70" i="17"/>
  <c r="D309" i="17"/>
  <c r="E348" i="17"/>
  <c r="D581" i="17"/>
  <c r="D714" i="17"/>
  <c r="D392" i="17"/>
  <c r="D393" i="17"/>
  <c r="D376" i="17"/>
  <c r="D287" i="17"/>
  <c r="D234" i="17"/>
  <c r="D633" i="17"/>
  <c r="C609" i="17"/>
  <c r="D728" i="17"/>
  <c r="C589" i="17"/>
  <c r="D413" i="17"/>
  <c r="C806" i="17"/>
  <c r="D598" i="17"/>
  <c r="D647" i="17"/>
  <c r="D245" i="17"/>
  <c r="D678" i="17"/>
  <c r="D515" i="17"/>
  <c r="D381" i="17"/>
  <c r="D131" i="17"/>
  <c r="D74" i="17"/>
  <c r="D597" i="17"/>
  <c r="C227" i="17"/>
  <c r="D227" i="17"/>
  <c r="D229" i="17"/>
  <c r="D232" i="17"/>
  <c r="D204" i="17"/>
  <c r="D228" i="17"/>
  <c r="C520" i="17"/>
  <c r="D520" i="17"/>
  <c r="D521" i="17"/>
  <c r="C707" i="17"/>
  <c r="D561" i="17"/>
  <c r="D397" i="17"/>
  <c r="D134" i="17"/>
  <c r="C555" i="17"/>
  <c r="D632" i="17"/>
  <c r="D634" i="17"/>
  <c r="D279" i="17"/>
  <c r="C288" i="17"/>
  <c r="C807" i="17"/>
  <c r="D594" i="17"/>
  <c r="D829" i="17"/>
  <c r="D731" i="17"/>
  <c r="D854" i="17"/>
  <c r="D218" i="17"/>
  <c r="D377" i="17"/>
  <c r="D593" i="17"/>
  <c r="D599" i="17"/>
  <c r="C300" i="17"/>
  <c r="D300" i="17"/>
  <c r="D301" i="17"/>
  <c r="D746" i="17"/>
  <c r="C706" i="17"/>
  <c r="D231" i="17"/>
  <c r="E318" i="17"/>
  <c r="D318" i="17"/>
  <c r="C478" i="17"/>
  <c r="E478" i="17"/>
  <c r="D99" i="17"/>
  <c r="D57" i="17"/>
  <c r="D462" i="17"/>
  <c r="D112" i="17"/>
  <c r="D464" i="17"/>
  <c r="D334" i="17"/>
  <c r="C140" i="17"/>
  <c r="D769" i="17"/>
  <c r="D776" i="17"/>
  <c r="D778" i="17"/>
  <c r="D781" i="17"/>
  <c r="D461" i="17"/>
  <c r="D441" i="17"/>
  <c r="D150" i="17"/>
  <c r="D314" i="17"/>
  <c r="D59" i="17"/>
  <c r="D595" i="17"/>
  <c r="D614" i="17"/>
  <c r="D504" i="17"/>
  <c r="D102" i="17"/>
  <c r="D475" i="17"/>
  <c r="D492" i="17"/>
  <c r="D108" i="17"/>
  <c r="D109" i="17"/>
  <c r="D384" i="17"/>
  <c r="D442" i="17"/>
  <c r="D448" i="17"/>
  <c r="D472" i="17"/>
  <c r="D63" i="17"/>
  <c r="D7" i="17"/>
  <c r="D396" i="17"/>
  <c r="C776" i="17"/>
  <c r="D58" i="17"/>
  <c r="C380" i="17"/>
  <c r="D456" i="17"/>
  <c r="D457" i="17"/>
  <c r="D497" i="17"/>
  <c r="D93" i="17"/>
  <c r="D319" i="17"/>
  <c r="D8" i="17"/>
  <c r="D89" i="17"/>
  <c r="D477" i="17"/>
  <c r="D62" i="17"/>
  <c r="D61" i="17"/>
  <c r="D495" i="17"/>
  <c r="D91" i="17"/>
  <c r="C599" i="17"/>
  <c r="C823" i="17"/>
  <c r="C739" i="17"/>
  <c r="D640" i="17"/>
  <c r="D226" i="17"/>
  <c r="D536" i="17"/>
  <c r="D21" i="17"/>
  <c r="D607" i="17"/>
  <c r="D100" i="17"/>
  <c r="D443" i="17"/>
  <c r="E414" i="17"/>
  <c r="D494" i="17"/>
  <c r="D473" i="17"/>
  <c r="D67" i="17"/>
  <c r="D65" i="17"/>
  <c r="D355" i="17"/>
  <c r="D183" i="17"/>
  <c r="D111" i="17"/>
  <c r="D444" i="17"/>
  <c r="D98" i="17"/>
  <c r="D162" i="17"/>
  <c r="D71" i="17"/>
  <c r="D493" i="17"/>
  <c r="D90" i="17"/>
  <c r="D419" i="17"/>
  <c r="D549" i="17"/>
  <c r="D378" i="17"/>
  <c r="C393" i="17"/>
  <c r="C151" i="17"/>
  <c r="D736" i="17"/>
  <c r="D629" i="17"/>
  <c r="C691" i="17"/>
  <c r="D690" i="17"/>
  <c r="D691" i="17"/>
  <c r="C481" i="17"/>
  <c r="E481" i="17"/>
  <c r="C270" i="17"/>
  <c r="D269" i="17"/>
  <c r="D270" i="17"/>
  <c r="C259" i="17"/>
  <c r="E257" i="17"/>
  <c r="D257" i="17"/>
  <c r="D163" i="17"/>
  <c r="C165" i="17"/>
  <c r="E163" i="17"/>
  <c r="D107" i="17"/>
  <c r="C113" i="17"/>
  <c r="C114" i="17"/>
  <c r="C659" i="17"/>
  <c r="D658" i="17"/>
  <c r="D659" i="17"/>
  <c r="C425" i="17"/>
  <c r="D424" i="17"/>
  <c r="D425" i="17"/>
  <c r="D476" i="17"/>
  <c r="E476" i="17"/>
  <c r="D625" i="17"/>
  <c r="D626" i="17"/>
  <c r="C626" i="17"/>
  <c r="C85" i="17"/>
  <c r="D84" i="17"/>
  <c r="D85" i="17"/>
  <c r="D340" i="17"/>
  <c r="D175" i="17"/>
  <c r="D176" i="17"/>
  <c r="C176" i="17"/>
  <c r="D856" i="17"/>
  <c r="D857" i="17"/>
  <c r="C857" i="17"/>
  <c r="D722" i="17"/>
  <c r="D723" i="17"/>
  <c r="C723" i="17"/>
  <c r="D347" i="17"/>
  <c r="D213" i="17"/>
  <c r="D330" i="17"/>
  <c r="D331" i="17"/>
  <c r="D430" i="17"/>
  <c r="D410" i="17"/>
  <c r="D367" i="17"/>
  <c r="D247" i="17"/>
  <c r="D224" i="17"/>
  <c r="D663" i="17"/>
  <c r="D161" i="17"/>
  <c r="D179" i="17"/>
  <c r="C508" i="17"/>
  <c r="D9" i="17"/>
  <c r="D198" i="17"/>
  <c r="D209" i="17"/>
  <c r="D210" i="17"/>
  <c r="C20" i="17"/>
  <c r="C30" i="17"/>
  <c r="D239" i="17"/>
  <c r="D240" i="17"/>
  <c r="D488" i="17"/>
  <c r="D489" i="17"/>
  <c r="D348" i="17"/>
  <c r="D352" i="17"/>
  <c r="D411" i="17"/>
  <c r="D196" i="17"/>
  <c r="C738" i="17"/>
  <c r="D644" i="17"/>
  <c r="D432" i="17"/>
  <c r="D215" i="17"/>
  <c r="C643" i="17"/>
  <c r="D344" i="17"/>
  <c r="D13" i="17"/>
  <c r="C709" i="17"/>
  <c r="D709" i="17"/>
  <c r="D431" i="17"/>
  <c r="D225" i="17"/>
  <c r="C417" i="17"/>
  <c r="E417" i="17"/>
  <c r="C72" i="17"/>
  <c r="D345" i="17"/>
  <c r="C642" i="17"/>
  <c r="D760" i="17"/>
  <c r="D524" i="17"/>
  <c r="D530" i="17"/>
  <c r="D366" i="17"/>
  <c r="D737" i="17"/>
  <c r="D758" i="17"/>
  <c r="D705" i="17"/>
  <c r="D399" i="17"/>
  <c r="D409" i="17"/>
  <c r="D429" i="17"/>
  <c r="D246" i="17"/>
  <c r="D160" i="17"/>
  <c r="D195" i="17"/>
  <c r="D445" i="17"/>
  <c r="C680" i="17"/>
  <c r="E350" i="17"/>
  <c r="D763" i="17"/>
  <c r="D349" i="17"/>
  <c r="D740" i="17"/>
  <c r="D369" i="17"/>
  <c r="D197" i="17"/>
  <c r="D662" i="17"/>
  <c r="D201" i="17"/>
  <c r="D159" i="17"/>
  <c r="D416" i="17"/>
  <c r="D193" i="17"/>
  <c r="D244" i="17"/>
  <c r="D214" i="17"/>
  <c r="D650" i="17"/>
  <c r="D761" i="17"/>
  <c r="D167" i="17"/>
  <c r="D42" i="17"/>
  <c r="D288" i="17"/>
  <c r="D290" i="17"/>
  <c r="D293" i="17"/>
  <c r="D759" i="17"/>
  <c r="D365" i="17"/>
  <c r="D223" i="17"/>
  <c r="D792" i="17"/>
  <c r="D798" i="17"/>
  <c r="D480" i="17"/>
  <c r="D433" i="17"/>
  <c r="D398" i="17"/>
  <c r="D664" i="17"/>
  <c r="D667" i="17"/>
  <c r="D194" i="17"/>
  <c r="D184" i="17"/>
  <c r="D243" i="17"/>
  <c r="C80" i="17"/>
  <c r="D253" i="17"/>
  <c r="D412" i="17"/>
  <c r="D408" i="17"/>
  <c r="D164" i="17"/>
  <c r="D364" i="17"/>
  <c r="D182" i="17"/>
  <c r="D217" i="17"/>
  <c r="D679" i="17"/>
  <c r="D680" i="17"/>
  <c r="D683" i="17"/>
  <c r="AX23" i="19"/>
  <c r="AK9" i="19"/>
  <c r="AJ14" i="19"/>
  <c r="AJ19" i="19"/>
  <c r="AK11" i="19"/>
  <c r="AO12" i="19"/>
  <c r="AN21" i="19"/>
  <c r="AN14" i="19"/>
  <c r="AO9" i="19"/>
  <c r="AN18" i="19"/>
  <c r="AN19" i="19"/>
  <c r="AO10" i="19"/>
  <c r="AO11" i="19"/>
  <c r="AN20" i="19"/>
  <c r="AR14" i="19"/>
  <c r="AR21" i="19"/>
  <c r="AR18" i="19"/>
  <c r="AS9" i="19"/>
  <c r="AS10" i="19"/>
  <c r="AR19" i="19"/>
  <c r="AR20" i="19"/>
  <c r="AS11" i="19"/>
  <c r="R23" i="19"/>
  <c r="AJ22" i="19"/>
  <c r="AK13" i="19"/>
  <c r="Y12" i="19"/>
  <c r="X21" i="19"/>
  <c r="X22" i="19"/>
  <c r="Y13" i="19"/>
  <c r="BC3" i="19"/>
  <c r="BD3" i="19"/>
  <c r="BE3" i="19"/>
  <c r="BF3" i="19"/>
  <c r="T3" i="19"/>
  <c r="BH3" i="19"/>
  <c r="AN22" i="19"/>
  <c r="AO13" i="19"/>
  <c r="Y14" i="19"/>
  <c r="Y20" i="19"/>
  <c r="AC12" i="19"/>
  <c r="AC13" i="19"/>
  <c r="AA23" i="19"/>
  <c r="N3" i="19"/>
  <c r="P3" i="19"/>
  <c r="R3" i="19"/>
  <c r="O3" i="19"/>
  <c r="Q3" i="19"/>
  <c r="S3" i="19"/>
  <c r="BA14" i="19"/>
  <c r="BA19" i="19"/>
  <c r="BA21" i="19"/>
  <c r="AS13" i="19"/>
  <c r="AR22" i="19"/>
  <c r="AC11" i="19"/>
  <c r="AG13" i="19"/>
  <c r="AF22" i="19"/>
  <c r="AC9" i="19"/>
  <c r="AB14" i="19"/>
  <c r="AB20" i="19"/>
  <c r="AB18" i="19"/>
  <c r="AF14" i="19"/>
  <c r="AF20" i="19"/>
  <c r="AG9" i="19"/>
  <c r="AF18" i="19"/>
  <c r="AG10" i="19"/>
  <c r="AF19" i="19"/>
  <c r="AJ21" i="19"/>
  <c r="AK12" i="19"/>
  <c r="T14" i="19"/>
  <c r="T21" i="19"/>
  <c r="BE19" i="19"/>
  <c r="AV19" i="19"/>
  <c r="AV23" i="19"/>
  <c r="AE20" i="19"/>
  <c r="AH20" i="19"/>
  <c r="AE21" i="19"/>
  <c r="BB20" i="19"/>
  <c r="C20" i="19"/>
  <c r="N18" i="19"/>
  <c r="D18" i="19"/>
  <c r="D23" i="19"/>
  <c r="BE18" i="19"/>
  <c r="X14" i="19"/>
  <c r="J18" i="19"/>
  <c r="AI14" i="19"/>
  <c r="AH22" i="19"/>
  <c r="AE18" i="19"/>
  <c r="AA21" i="19"/>
  <c r="BB22" i="19"/>
  <c r="N19" i="19"/>
  <c r="AX22" i="19"/>
  <c r="AQ14" i="19"/>
  <c r="N21" i="19"/>
  <c r="AW9" i="19"/>
  <c r="BB18" i="19"/>
  <c r="N20" i="19"/>
  <c r="BE21" i="19"/>
  <c r="X18" i="19"/>
  <c r="AF21" i="19"/>
  <c r="AH19" i="19"/>
  <c r="AH23" i="19"/>
  <c r="C18" i="19"/>
  <c r="AV20" i="19"/>
  <c r="AH21" i="19"/>
  <c r="BB21" i="19"/>
  <c r="AV22" i="19"/>
  <c r="J20" i="19"/>
  <c r="AE19" i="19"/>
  <c r="J19" i="19"/>
  <c r="C22" i="19"/>
  <c r="BF23" i="19"/>
  <c r="BH23" i="19"/>
  <c r="T19" i="19"/>
  <c r="T20" i="19"/>
  <c r="T22" i="19"/>
  <c r="T18" i="19"/>
  <c r="BR140" i="15"/>
  <c r="BR132" i="15"/>
  <c r="BR69" i="15"/>
  <c r="BR65" i="15"/>
  <c r="BR62" i="15"/>
  <c r="BR61" i="15"/>
  <c r="BR136" i="15"/>
  <c r="BR115" i="15"/>
  <c r="U132" i="15"/>
  <c r="BI139" i="15"/>
  <c r="BI143" i="15"/>
  <c r="BI66" i="15"/>
  <c r="C27" i="17"/>
  <c r="U62" i="15"/>
  <c r="U137" i="15"/>
  <c r="U69" i="15"/>
  <c r="U68" i="15"/>
  <c r="BI67" i="15"/>
  <c r="BI137" i="15"/>
  <c r="BI141" i="15"/>
  <c r="D34" i="17"/>
  <c r="D35" i="17"/>
  <c r="U21" i="15"/>
  <c r="U29" i="15"/>
  <c r="D41" i="17"/>
  <c r="U37" i="15"/>
  <c r="BI68" i="15"/>
  <c r="BI108" i="15"/>
  <c r="U34" i="15"/>
  <c r="D12" i="17"/>
  <c r="D46" i="17"/>
  <c r="D45" i="17"/>
  <c r="BI69" i="15"/>
  <c r="U41" i="15"/>
  <c r="U107" i="15"/>
  <c r="U110" i="15"/>
  <c r="D16" i="17"/>
  <c r="D44" i="17"/>
  <c r="BI65" i="15"/>
  <c r="D17" i="17"/>
  <c r="U143" i="15"/>
  <c r="U142" i="15"/>
  <c r="U117" i="15"/>
  <c r="E320" i="17"/>
  <c r="C323" i="17"/>
  <c r="E323" i="17"/>
  <c r="C613" i="17"/>
  <c r="C615" i="17"/>
  <c r="C741" i="17"/>
  <c r="E412" i="17"/>
  <c r="D310" i="17"/>
  <c r="D320" i="17"/>
  <c r="D323" i="17"/>
  <c r="C521" i="17"/>
  <c r="D466" i="17"/>
  <c r="D6" i="17"/>
  <c r="E227" i="17"/>
  <c r="D414" i="17"/>
  <c r="E70" i="17"/>
  <c r="C229" i="17"/>
  <c r="C129" i="17"/>
  <c r="C809" i="17"/>
  <c r="D809" i="17"/>
  <c r="D810" i="17"/>
  <c r="D812" i="17"/>
  <c r="D815" i="17"/>
  <c r="C612" i="17"/>
  <c r="D612" i="17"/>
  <c r="D732" i="17"/>
  <c r="D350" i="17"/>
  <c r="D353" i="17"/>
  <c r="D859" i="17"/>
  <c r="D862" i="17"/>
  <c r="D259" i="17"/>
  <c r="D262" i="17"/>
  <c r="D635" i="17"/>
  <c r="C199" i="17"/>
  <c r="D564" i="17"/>
  <c r="D127" i="17"/>
  <c r="C449" i="17"/>
  <c r="E449" i="17"/>
  <c r="D668" i="17"/>
  <c r="D129" i="17"/>
  <c r="D132" i="17"/>
  <c r="C290" i="17"/>
  <c r="E288" i="17"/>
  <c r="C590" i="17"/>
  <c r="D589" i="17"/>
  <c r="D590" i="17"/>
  <c r="D434" i="17"/>
  <c r="C48" i="17"/>
  <c r="C301" i="17"/>
  <c r="C541" i="17"/>
  <c r="D541" i="17"/>
  <c r="D741" i="17"/>
  <c r="D742" i="17"/>
  <c r="D744" i="17"/>
  <c r="D747" i="17"/>
  <c r="C742" i="17"/>
  <c r="C744" i="17"/>
  <c r="D199" i="17"/>
  <c r="D202" i="17"/>
  <c r="C577" i="17"/>
  <c r="E577" i="17"/>
  <c r="D113" i="17"/>
  <c r="D249" i="17"/>
  <c r="C778" i="17"/>
  <c r="E776" i="17"/>
  <c r="D710" i="17"/>
  <c r="D712" i="17"/>
  <c r="D715" i="17"/>
  <c r="C141" i="17"/>
  <c r="D140" i="17"/>
  <c r="D141" i="17"/>
  <c r="D56" i="17"/>
  <c r="D446" i="17"/>
  <c r="D449" i="17"/>
  <c r="D72" i="17"/>
  <c r="F70" i="17"/>
  <c r="D15" i="17"/>
  <c r="D402" i="17"/>
  <c r="D478" i="17"/>
  <c r="D481" i="17"/>
  <c r="D101" i="17"/>
  <c r="D613" i="17"/>
  <c r="D615" i="17"/>
  <c r="D618" i="17"/>
  <c r="D498" i="17"/>
  <c r="D92" i="17"/>
  <c r="C382" i="17"/>
  <c r="E380" i="17"/>
  <c r="D380" i="17"/>
  <c r="D382" i="17"/>
  <c r="D385" i="17"/>
  <c r="D11" i="17"/>
  <c r="C645" i="17"/>
  <c r="D645" i="17"/>
  <c r="C262" i="17"/>
  <c r="E262" i="17"/>
  <c r="E259" i="17"/>
  <c r="E615" i="17"/>
  <c r="C618" i="17"/>
  <c r="E618" i="17"/>
  <c r="C232" i="17"/>
  <c r="E232" i="17"/>
  <c r="E229" i="17"/>
  <c r="C75" i="17"/>
  <c r="E75" i="17"/>
  <c r="E72" i="17"/>
  <c r="D417" i="17"/>
  <c r="D764" i="17"/>
  <c r="D219" i="17"/>
  <c r="C683" i="17"/>
  <c r="E683" i="17"/>
  <c r="E680" i="17"/>
  <c r="E857" i="17"/>
  <c r="C879" i="17"/>
  <c r="C859" i="17"/>
  <c r="D185" i="17"/>
  <c r="D20" i="17"/>
  <c r="D22" i="17"/>
  <c r="D25" i="17"/>
  <c r="C22" i="17"/>
  <c r="E165" i="17"/>
  <c r="C168" i="17"/>
  <c r="E168" i="17"/>
  <c r="D370" i="17"/>
  <c r="E508" i="17"/>
  <c r="C510" i="17"/>
  <c r="D508" i="17"/>
  <c r="D510" i="17"/>
  <c r="D513" i="17"/>
  <c r="C710" i="17"/>
  <c r="D165" i="17"/>
  <c r="D168" i="17"/>
  <c r="X20" i="19"/>
  <c r="X19" i="19"/>
  <c r="X23" i="19"/>
  <c r="Y21" i="19"/>
  <c r="AO19" i="19"/>
  <c r="AJ20" i="19"/>
  <c r="AI21" i="19"/>
  <c r="AI20" i="19"/>
  <c r="AI18" i="19"/>
  <c r="AI22" i="19"/>
  <c r="AI19" i="19"/>
  <c r="AQ21" i="19"/>
  <c r="AQ18" i="19"/>
  <c r="AQ23" i="19"/>
  <c r="BE23" i="19"/>
  <c r="AQ20" i="19"/>
  <c r="AG19" i="19"/>
  <c r="AC14" i="19"/>
  <c r="AC19" i="19"/>
  <c r="AC18" i="19"/>
  <c r="AS22" i="19"/>
  <c r="AB22" i="19"/>
  <c r="AB23" i="19"/>
  <c r="AK20" i="19"/>
  <c r="AR23" i="19"/>
  <c r="AO14" i="19"/>
  <c r="AO20" i="19"/>
  <c r="AO18" i="19"/>
  <c r="AJ18" i="19"/>
  <c r="AJ23" i="19"/>
  <c r="J23" i="19"/>
  <c r="Y18" i="19"/>
  <c r="AQ22" i="19"/>
  <c r="AQ19" i="19"/>
  <c r="AC22" i="19"/>
  <c r="AS14" i="19"/>
  <c r="AS21" i="19"/>
  <c r="AS18" i="19"/>
  <c r="AN23" i="19"/>
  <c r="N23" i="19"/>
  <c r="AG14" i="19"/>
  <c r="AG18" i="19"/>
  <c r="AW14" i="19"/>
  <c r="AE23" i="19"/>
  <c r="AG22" i="19"/>
  <c r="BA18" i="19"/>
  <c r="BA23" i="19"/>
  <c r="AB21" i="19"/>
  <c r="AK14" i="19"/>
  <c r="AK19" i="19"/>
  <c r="AK18" i="19"/>
  <c r="Y19" i="19"/>
  <c r="AF23" i="19"/>
  <c r="BB23" i="19"/>
  <c r="AC21" i="19"/>
  <c r="C23" i="19"/>
  <c r="AB19" i="19"/>
  <c r="Y22" i="19"/>
  <c r="BA20" i="19"/>
  <c r="BA22" i="19"/>
  <c r="AC20" i="19"/>
  <c r="T23" i="19"/>
  <c r="BR137" i="15"/>
  <c r="BR141" i="15"/>
  <c r="BR67" i="15"/>
  <c r="BR68" i="15"/>
  <c r="BR143" i="15"/>
  <c r="BR139" i="15"/>
  <c r="BR142" i="15"/>
  <c r="BI142" i="15"/>
  <c r="D27" i="17"/>
  <c r="F20" i="17"/>
  <c r="E20" i="17"/>
  <c r="U39" i="15"/>
  <c r="U113" i="15"/>
  <c r="U115" i="15"/>
  <c r="U44" i="15"/>
  <c r="D47" i="17"/>
  <c r="E129" i="17"/>
  <c r="C132" i="17"/>
  <c r="E132" i="17"/>
  <c r="E613" i="17"/>
  <c r="C202" i="17"/>
  <c r="E202" i="17"/>
  <c r="E199" i="17"/>
  <c r="C810" i="17"/>
  <c r="E810" i="17"/>
  <c r="F25" i="17"/>
  <c r="C542" i="17"/>
  <c r="E290" i="17"/>
  <c r="C293" i="17"/>
  <c r="E293" i="17"/>
  <c r="E742" i="17"/>
  <c r="F22" i="17"/>
  <c r="C646" i="17"/>
  <c r="C648" i="17"/>
  <c r="E778" i="17"/>
  <c r="C781" i="17"/>
  <c r="E781" i="17"/>
  <c r="E382" i="17"/>
  <c r="C385" i="17"/>
  <c r="E385" i="17"/>
  <c r="C579" i="17"/>
  <c r="C582" i="17"/>
  <c r="E582" i="17"/>
  <c r="D577" i="17"/>
  <c r="D579" i="17"/>
  <c r="D582" i="17"/>
  <c r="F72" i="17"/>
  <c r="D75" i="17"/>
  <c r="F75" i="17"/>
  <c r="E744" i="17"/>
  <c r="C747" i="17"/>
  <c r="E747" i="17"/>
  <c r="C513" i="17"/>
  <c r="E513" i="17"/>
  <c r="E510" i="17"/>
  <c r="C862" i="17"/>
  <c r="E862" i="17"/>
  <c r="E859" i="17"/>
  <c r="E646" i="17"/>
  <c r="D646" i="17"/>
  <c r="D648" i="17"/>
  <c r="D651" i="17"/>
  <c r="E22" i="17"/>
  <c r="C25" i="17"/>
  <c r="E25" i="17"/>
  <c r="C712" i="17"/>
  <c r="E710" i="17"/>
  <c r="AO22" i="19"/>
  <c r="AC23" i="19"/>
  <c r="AI23" i="19"/>
  <c r="AW19" i="19"/>
  <c r="AW21" i="19"/>
  <c r="AW20" i="19"/>
  <c r="AW22" i="19"/>
  <c r="AS20" i="19"/>
  <c r="AS19" i="19"/>
  <c r="AS23" i="19"/>
  <c r="AO21" i="19"/>
  <c r="AO23" i="19"/>
  <c r="AW18" i="19"/>
  <c r="AW23" i="19"/>
  <c r="AG20" i="19"/>
  <c r="AG23" i="19"/>
  <c r="AG21" i="19"/>
  <c r="Y23" i="19"/>
  <c r="AK22" i="19"/>
  <c r="AK21" i="19"/>
  <c r="AK23" i="19"/>
  <c r="U67" i="15"/>
  <c r="U65" i="15"/>
  <c r="U120" i="15"/>
  <c r="U66" i="15"/>
  <c r="C812" i="17"/>
  <c r="E812" i="17"/>
  <c r="C815" i="17"/>
  <c r="E815" i="17"/>
  <c r="E542" i="17"/>
  <c r="D542" i="17"/>
  <c r="D544" i="17"/>
  <c r="D547" i="17"/>
  <c r="C544" i="17"/>
  <c r="E579" i="17"/>
  <c r="E712" i="17"/>
  <c r="C715" i="17"/>
  <c r="E715" i="17"/>
  <c r="C651" i="17"/>
  <c r="E651" i="17"/>
  <c r="E648" i="17"/>
  <c r="U139" i="15"/>
  <c r="U140" i="15"/>
  <c r="U141" i="15"/>
  <c r="C547" i="17"/>
  <c r="E547" i="17"/>
  <c r="E54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GR&amp;RS</author>
    <author>Crisil Integral IQ</author>
    <author>Nikhil Amrutiya</author>
  </authors>
  <commentList>
    <comment ref="H5" authorId="0" shapeId="0" xr:uid="{32B32071-9AEB-424A-A503-A0FD9237A0C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5" authorId="1" shapeId="0" xr:uid="{41136159-9981-45F0-B010-A160141A310D}">
      <text>
        <r>
          <rPr>
            <b/>
            <sz val="9"/>
            <color indexed="81"/>
            <rFont val="Tahoma"/>
            <family val="2"/>
          </rPr>
          <t xml:space="preserve">Crisil Integral IQ:
</t>
        </r>
        <r>
          <rPr>
            <sz val="9"/>
            <color indexed="81"/>
            <rFont val="Tahoma"/>
            <family val="2"/>
          </rPr>
          <t>taken from PPT, page no 5/24</t>
        </r>
      </text>
    </comment>
    <comment ref="C7" authorId="1" shapeId="0" xr:uid="{48C6174A-023E-42AD-9951-E2292E7BD428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non english filings, opage no 38/64</t>
        </r>
      </text>
    </comment>
    <comment ref="C42" authorId="1" shapeId="0" xr:uid="{CCEA5C7B-D774-4E9C-8DA1-A66AA1C47523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non englisg filings, page no 38/64</t>
        </r>
      </text>
    </comment>
    <comment ref="H55" authorId="0" shapeId="0" xr:uid="{B9F8365C-229F-4D86-8EEA-7ACFA14A4E7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H123" authorId="0" shapeId="0" xr:uid="{B6D777B5-F617-49A0-B200-18DFD3D5C24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H161" authorId="0" shapeId="0" xr:uid="{1B23F162-27AB-4413-AB67-2EDEB86657D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H195" authorId="0" shapeId="0" xr:uid="{AF564DFB-073A-4D87-B3E8-07C8551747F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224" authorId="2" shapeId="0" xr:uid="{41320AEF-C62C-4A03-90D2-A382260D8940}">
      <text>
        <r>
          <rPr>
            <sz val="9"/>
            <color indexed="81"/>
            <rFont val="Tahoma"/>
            <family val="2"/>
          </rPr>
          <t xml:space="preserve">Net financial debt not yet published for 3Q24
</t>
        </r>
      </text>
    </comment>
    <comment ref="H225" authorId="0" shapeId="0" xr:uid="{49057127-28ED-4756-9E26-9B56C63B952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254" authorId="2" shapeId="0" xr:uid="{A201E6AA-5F3F-425D-8145-3F68B5AA50EE}">
      <text>
        <r>
          <rPr>
            <sz val="9"/>
            <color indexed="81"/>
            <rFont val="Tahoma"/>
            <family val="2"/>
          </rPr>
          <t xml:space="preserve">Net financial debt not yet published for 2Q24
</t>
        </r>
      </text>
    </comment>
    <comment ref="H255" authorId="0" shapeId="0" xr:uid="{0B9ADE87-3B47-474C-9F4D-397140BCD1F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285" authorId="2" shapeId="0" xr:uid="{7220AFA6-4CA1-4FDD-814B-D47C0E335D79}">
      <text>
        <r>
          <rPr>
            <sz val="9"/>
            <color indexed="81"/>
            <rFont val="Tahoma"/>
            <family val="2"/>
          </rPr>
          <t xml:space="preserve">Net financial debt not yet published for 1Q24
</t>
        </r>
      </text>
    </comment>
    <comment ref="H286" authorId="0" shapeId="0" xr:uid="{10EDC6BD-5343-4A28-94AC-58E819EE0B3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H316" authorId="0" shapeId="0" xr:uid="{D765D42D-E64E-4832-9F38-011C62DE0BC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345" authorId="2" shapeId="0" xr:uid="{11908592-BFFE-402F-899C-77DD468750B6}">
      <text>
        <r>
          <rPr>
            <sz val="9"/>
            <color indexed="81"/>
            <rFont val="Tahoma"/>
            <family val="2"/>
          </rPr>
          <t xml:space="preserve">Net financial debt not yet published for 3Q23
</t>
        </r>
      </text>
    </comment>
    <comment ref="H346" authorId="0" shapeId="0" xr:uid="{475D8194-21BD-4F14-8242-A6C4C743F88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377" authorId="2" shapeId="0" xr:uid="{004F7B69-A863-4853-B2E9-E93503FCA017}">
      <text>
        <r>
          <rPr>
            <sz val="9"/>
            <color indexed="81"/>
            <rFont val="Tahoma"/>
            <family val="2"/>
          </rPr>
          <t xml:space="preserve">Net financial debt not yet published for 2Q23
</t>
        </r>
      </text>
    </comment>
    <comment ref="H378" authorId="0" shapeId="0" xr:uid="{5A81F7D8-84DC-4E56-BA52-5F07522C43D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I409" authorId="2" shapeId="0" xr:uid="{9E6D5085-F4C9-4A5D-92E6-70024B8B1EBD}">
      <text>
        <r>
          <rPr>
            <sz val="9"/>
            <color indexed="81"/>
            <rFont val="Tahoma"/>
            <family val="2"/>
          </rPr>
          <t xml:space="preserve">Net financial debt not yet published in report for 1Q23
</t>
        </r>
      </text>
    </comment>
    <comment ref="H410" authorId="0" shapeId="0" xr:uid="{04B11D21-9BAC-4296-853F-7F97AC8A11D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  <comment ref="H442" authorId="0" shapeId="0" xr:uid="{A307717D-3FAC-452B-AEE1-50A5F6CD53D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Excluding finance segment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Bishu Gupta</author>
    <author>Crisil GR&amp;A</author>
    <author>Crisil Integral IQ</author>
    <author>CRISIL Ltd</author>
    <author>Rishabh Saraf</author>
    <author>CRISIL GR&amp;RS</author>
  </authors>
  <commentList>
    <comment ref="AW3" authorId="0" shapeId="0" xr:uid="{9F880E07-DB60-47EB-9B98-F49014339D27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3" authorId="0" shapeId="0" xr:uid="{B9E62D84-04C0-4B76-B4F8-0BC5955041CA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" authorId="0" shapeId="0" xr:uid="{A6D5E71B-7490-4DF5-A675-08B9A2CEAF48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" authorId="1" shapeId="0" xr:uid="{E8812EAC-7BBA-47E2-80CD-C6BC518A5BB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added this row for the calculation of EBITDA</t>
        </r>
      </text>
    </comment>
    <comment ref="B36" authorId="1" shapeId="0" xr:uid="{0A80AF9A-3E43-4190-AE07-E78AC60D08C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adjustments include
Other operating income
Other operating expenses
Share of profit/loss of investments
accounted for using the equity method
</t>
        </r>
      </text>
    </comment>
    <comment ref="BI36" authorId="2" shapeId="0" xr:uid="{95BE256C-CDF7-4871-8159-8BF4BD07F36E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from non english filings page no  5/64
* Share of profit/loss of investments accounted for using the equity method 2.490
* other operating expense 28.924 
* other operating income 15.720 </t>
        </r>
      </text>
    </comment>
    <comment ref="D46" authorId="1" shapeId="0" xr:uid="{62AD35DB-CA25-4CBC-96C0-7A0BEFF2077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E46" authorId="1" shapeId="0" xr:uid="{35F06CC3-6409-4FA4-AF71-617C4222500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F46" authorId="1" shapeId="0" xr:uid="{DBB53294-B0BE-4773-95EB-F77A9FBDBBF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G46" authorId="1" shapeId="0" xr:uid="{9F8BC98D-C51F-4063-A44E-789D5E4F973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D47" authorId="1" shapeId="0" xr:uid="{F88CE77E-0804-46D7-B86D-71FE45500BF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E47" authorId="1" shapeId="0" xr:uid="{4DC90AF3-713B-4A90-A3A8-64EC322674A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F47" authorId="1" shapeId="0" xr:uid="{F316D698-8EB3-46FB-9BB4-781253A16D6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G47" authorId="1" shapeId="0" xr:uid="{9BC098CA-8618-4349-81A4-DBC9F7F39E1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D48" authorId="1" shapeId="0" xr:uid="{1C7EB747-524C-4AB1-9834-6580A1DC2F8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E48" authorId="1" shapeId="0" xr:uid="{A7C4CD7F-0C22-4E73-973E-71B03DD7A72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F48" authorId="1" shapeId="0" xr:uid="{33CC7DEC-13F4-4824-B201-82797D8BBD5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G48" authorId="1" shapeId="0" xr:uid="{A2123908-F1C2-4567-B956-8B75495292F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have changed the yellow numbers as they seemed to be not in line with company comsolidated number</t>
        </r>
      </text>
    </comment>
    <comment ref="AG53" authorId="1" shapeId="0" xr:uid="{ED797693-43CA-493A-BC73-89E27E57B7F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H53" authorId="1" shapeId="0" xr:uid="{4BC7F43A-AF60-42C4-A786-A7A4E71B2F5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I53" authorId="1" shapeId="0" xr:uid="{B220C9A5-1082-4E74-83C3-6878A5C732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K53" authorId="1" shapeId="0" xr:uid="{93163BBD-8EBF-4D56-99B8-6CEF315C270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L53" authorId="1" shapeId="0" xr:uid="{C09DF929-688E-4C94-A53F-6FFBBCAB02B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M53" authorId="1" shapeId="0" xr:uid="{6698315D-D010-4987-91CC-A53951082D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O53" authorId="1" shapeId="0" xr:uid="{56C68C96-CF30-4F08-8394-5CB3E11FABF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P53" authorId="1" shapeId="0" xr:uid="{9DD7A782-F155-48EA-A1BC-9B116201943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Q53" authorId="1" shapeId="0" xr:uid="{650D9044-508B-497C-8DAC-2AC8D8CD088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U53" authorId="1" shapeId="0" xr:uid="{48A762F5-04AE-4C07-9252-10F103ACA61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G54" authorId="1" shapeId="0" xr:uid="{736AA980-E1DA-4827-B781-0698D9199A6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H54" authorId="1" shapeId="0" xr:uid="{4EB83628-16B7-49D7-BD07-A97612E2976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I54" authorId="1" shapeId="0" xr:uid="{12736DFD-CA2D-4913-A64E-5F400AF5EE7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K54" authorId="1" shapeId="0" xr:uid="{6A3EA43B-45D8-4C91-9397-27B66EDA0AF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L54" authorId="1" shapeId="0" xr:uid="{07EC64EF-241E-4763-AB21-9B796EC3369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M54" authorId="1" shapeId="0" xr:uid="{1F786492-1521-4321-A5C7-4ED812B03C5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Q54" authorId="1" shapeId="0" xr:uid="{046F9CD5-C212-468F-B72F-BBD3C03B1C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AU54" authorId="1" shapeId="0" xr:uid="{88B25A02-1480-4CEC-A8DB-D8D2EB9763F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lease liabilities as per IFRS 16</t>
        </r>
      </text>
    </comment>
    <comment ref="L56" authorId="3" shapeId="0" xr:uid="{1A2D6B34-CF16-448C-A2E2-0ADB2C2C5C1D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M56" authorId="3" shapeId="0" xr:uid="{17E1FE69-AF50-49A1-8D9B-D94E96637D17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N56" authorId="3" shapeId="0" xr:uid="{24814996-5AF1-4873-B8DE-FD8E29D736DB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O56" authorId="3" shapeId="0" xr:uid="{2F425E9B-3559-4AD1-9F1B-56C2D5D48EB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P56" authorId="3" shapeId="0" xr:uid="{0D888D0D-1866-4810-9DCC-5EAE575E0387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Q56" authorId="3" shapeId="0" xr:uid="{930D18BE-7D73-40FD-B41C-C3AF1A2E4842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R56" authorId="3" shapeId="0" xr:uid="{31B536E7-B16E-4935-9A11-C1AB6E15A6B9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S56" authorId="3" shapeId="0" xr:uid="{26EA2178-432D-49EC-B910-383723A2B2D1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T56" authorId="3" shapeId="0" xr:uid="{138171C1-D899-4935-AF61-F764F1C7B006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K56" authorId="3" shapeId="0" xr:uid="{1D52FBD9-BCF6-44C9-8D98-8096BC6D42E4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L56" authorId="3" shapeId="0" xr:uid="{67CF76B3-F431-448D-BC1A-7053943B7DBD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M56" authorId="3" shapeId="0" xr:uid="{74178886-9B66-4FA0-A6CC-7B155269CC4F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O56" authorId="3" shapeId="0" xr:uid="{371DDB68-8687-41E7-9808-9014555FA48B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P56" authorId="3" shapeId="0" xr:uid="{E2C9E39E-B2E3-4E83-B283-24172A9B84A6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Q56" authorId="3" shapeId="0" xr:uid="{F9D09FE6-67E7-4950-A819-08A7796D5836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S56" authorId="3" shapeId="0" xr:uid="{11D4D960-A856-4C9F-9D77-393CF2ED249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T56" authorId="3" shapeId="0" xr:uid="{0F5CF505-A34C-4981-8312-E8854D14053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U56" authorId="3" shapeId="0" xr:uid="{DCB114FE-844E-4C16-984A-5B15B97E9310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W56" authorId="3" shapeId="0" xr:uid="{8CA927C7-0237-463C-AB65-CCD6A17EB624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X56" authorId="3" shapeId="0" xr:uid="{AAA4F231-B2EA-4107-B2AE-856BFA7086C4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AY56" authorId="3" shapeId="0" xr:uid="{55C1CC74-D7D0-4EF0-8227-0A79C019D21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A56" authorId="3" shapeId="0" xr:uid="{03935F06-67AF-42E3-BCE0-55A1C02F3097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B56" authorId="3" shapeId="0" xr:uid="{081DF8A1-79C3-455B-9E8C-BDBA3ABEC056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C56" authorId="3" shapeId="0" xr:uid="{4F474138-E679-44FA-8802-668352B0E6EA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E56" authorId="3" shapeId="0" xr:uid="{56503B67-4186-4AF8-873E-D92F88AD4CD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F56" authorId="3" shapeId="0" xr:uid="{95D3ABF5-443D-42D8-8B88-66B53159A19B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G56" authorId="3" shapeId="0" xr:uid="{2D732DE9-9DC8-42F5-92AA-73361ADB700D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I56" authorId="3" shapeId="0" xr:uid="{A2F60DCB-08E4-4E7C-9AED-A93D8A0875A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W56" authorId="3" shapeId="0" xr:uid="{917C17ED-665D-4CFA-973B-CFD42BF8C001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BY56" authorId="3" shapeId="0" xr:uid="{C2071BC3-32B5-4990-8F3C-794EC0FA70C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CA56" authorId="3" shapeId="0" xr:uid="{F00DEFEA-569B-4802-B7A3-684A2F33A4D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CC56" authorId="3" shapeId="0" xr:uid="{6DA883DF-5E21-4E44-82AF-0E436F229244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CE56" authorId="3" shapeId="0" xr:uid="{4F3B3D81-6E9B-4CD2-A874-483DF2F63727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CG56" authorId="3" shapeId="0" xr:uid="{AFA31271-77A8-444E-B55C-39BCBFDE9082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Includes:
1) Cash and cash equivalents
2) Balances with CBRT</t>
        </r>
      </text>
    </comment>
    <comment ref="K60" authorId="4" shapeId="0" xr:uid="{F9544C07-C9CB-4CAE-B51C-394D169AB578}">
      <text>
        <r>
          <rPr>
            <b/>
            <sz val="9"/>
            <color indexed="81"/>
            <rFont val="Tahoma"/>
            <family val="2"/>
          </rPr>
          <t>Rishabh Saraf:</t>
        </r>
        <r>
          <rPr>
            <sz val="9"/>
            <color indexed="81"/>
            <rFont val="Tahoma"/>
            <family val="2"/>
          </rPr>
          <t xml:space="preserve">
taken from bloomberg website, as of 31/3/2020</t>
        </r>
      </text>
    </comment>
    <comment ref="L60" authorId="3" shapeId="0" xr:uid="{1CB415AD-E866-47B6-A90D-1D3386D70BD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Bloomberg website as on 19-02-2021</t>
        </r>
      </text>
    </comment>
    <comment ref="M60" authorId="3" shapeId="0" xr:uid="{427E5F9F-E73B-4F21-B01D-6F6DF67EDC3E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Yahoo finance as of 31 Dec 2021</t>
        </r>
      </text>
    </comment>
    <comment ref="N60" authorId="3" shapeId="0" xr:uid="{D81A897F-B635-4887-93AE-303808D97D52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Yahoo finance as of 24/02/23</t>
        </r>
      </text>
    </comment>
    <comment ref="O60" authorId="3" shapeId="0" xr:uid="{41DC61E5-BCEB-4F57-9FA8-9CEF96C519D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Yahoo finance as of 24/02/23</t>
        </r>
      </text>
    </comment>
    <comment ref="P60" authorId="3" shapeId="0" xr:uid="{A43689BD-306E-49BC-8C03-FEDB6ABF97F3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google as on 18-03-24</t>
        </r>
      </text>
    </comment>
    <comment ref="Q60" authorId="3" shapeId="0" xr:uid="{1A378FF0-86E5-400B-B3F1-41DB72F95538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google as on 18-03-24</t>
        </r>
      </text>
    </comment>
    <comment ref="BI60" authorId="2" shapeId="0" xr:uid="{FDD95677-716F-428F-8102-03E9A49D433C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taken from Capital IQ</t>
        </r>
      </text>
    </comment>
    <comment ref="CA60" authorId="3" shapeId="0" xr:uid="{33ED7B8F-6C23-4176-8E29-761679A5C3B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Yahoo finance as of 30 June 2022</t>
        </r>
      </text>
    </comment>
    <comment ref="CC60" authorId="3" shapeId="0" xr:uid="{B6BAE730-901D-49A9-AD81-62E5FFB8070D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Yahoo finance as of 30 June 2023
</t>
        </r>
      </text>
    </comment>
    <comment ref="CE60" authorId="3" shapeId="0" xr:uid="{9825DAE6-4218-4A1C-88F0-3F6061E28BFC}">
      <text>
        <r>
          <rPr>
            <b/>
            <sz val="9"/>
            <color indexed="81"/>
            <rFont val="Tahoma"/>
            <family val="2"/>
          </rPr>
          <t>CRISIL Ltd:</t>
        </r>
        <r>
          <rPr>
            <sz val="9"/>
            <color indexed="81"/>
            <rFont val="Tahoma"/>
            <family val="2"/>
          </rPr>
          <t xml:space="preserve">
Taken from Google finance </t>
        </r>
      </text>
    </comment>
    <comment ref="H74" authorId="1" shapeId="0" xr:uid="{1B7BC23B-11B5-48B1-8ABF-C6E370C322E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Tüpraş (via EYAŞ) and Aygaz</t>
        </r>
      </text>
    </comment>
    <comment ref="I74" authorId="1" shapeId="0" xr:uid="{8241A305-0A34-409B-9B98-1DED2B2B90D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Tüpraş (via EYAŞ) and Aygaz</t>
        </r>
      </text>
    </comment>
    <comment ref="J74" authorId="1" shapeId="0" xr:uid="{89DDBEED-FC62-4644-B0B4-0DD95947A00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Tüpraş (via EYAŞ) and Aygaz</t>
        </r>
      </text>
    </comment>
    <comment ref="H75" authorId="1" shapeId="0" xr:uid="{C105CDA9-4F0F-4DBE-964C-85AEE3B0517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Ford Otosan
Tofaş
TürkTraktör
Otokar</t>
        </r>
      </text>
    </comment>
    <comment ref="I75" authorId="1" shapeId="0" xr:uid="{16CD2F8C-1305-4ACC-B550-C907556EF64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Ford Otosan
Tofaş
TürkTraktör
Otokar</t>
        </r>
      </text>
    </comment>
    <comment ref="J75" authorId="1" shapeId="0" xr:uid="{18FF8E8E-60BA-4297-A82D-1E5DB41A9CE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Ford Otosan
Tofaş
TürkTraktör
Otokar</t>
        </r>
      </text>
    </comment>
    <comment ref="H76" authorId="1" shapeId="0" xr:uid="{763CE896-1841-4428-B195-B905677F86C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Arçelik</t>
        </r>
      </text>
    </comment>
    <comment ref="I76" authorId="1" shapeId="0" xr:uid="{85E60F0B-59F2-41E2-AF06-3F1B9244D6C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Arçelik</t>
        </r>
      </text>
    </comment>
    <comment ref="J76" authorId="1" shapeId="0" xr:uid="{82294595-41A5-43E1-8126-21B8E0F7048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Arçelik</t>
        </r>
      </text>
    </comment>
    <comment ref="H77" authorId="1" shapeId="0" xr:uid="{33BBCA59-0CF2-4FBE-A077-A95730D24A4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Yapı Kredi Bank</t>
        </r>
      </text>
    </comment>
    <comment ref="I77" authorId="1" shapeId="0" xr:uid="{05A938D0-765E-42AA-A3C2-7FD23A64763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Yapı Kredi Bank</t>
        </r>
      </text>
    </comment>
    <comment ref="J77" authorId="1" shapeId="0" xr:uid="{2F10A87E-ECD3-4894-A9A3-6F6EF8FB936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Yapı Kredi Bank</t>
        </r>
      </text>
    </comment>
    <comment ref="H78" authorId="1" shapeId="0" xr:uid="{D2E6EB0C-C566-4301-852C-45B3C0FF571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Other Companies</t>
        </r>
      </text>
    </comment>
    <comment ref="I78" authorId="1" shapeId="0" xr:uid="{34590FAB-F613-4826-B444-A6F9D6DD8C6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Other Companies</t>
        </r>
      </text>
    </comment>
    <comment ref="J78" authorId="1" shapeId="0" xr:uid="{A2A0CA84-8BD1-4736-91BA-188BBC33DDB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Other Companies</t>
        </r>
      </text>
    </comment>
    <comment ref="N95" authorId="5" shapeId="0" xr:uid="{A0A08E30-100F-4574-BFEC-750F91CD76C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O95" authorId="5" shapeId="0" xr:uid="{09C658EA-9FF4-4E54-AF9C-750C117F361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P95" authorId="5" shapeId="0" xr:uid="{227B91FA-4A5C-490D-A153-142102CB504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Q95" authorId="5" shapeId="0" xr:uid="{A227E8DF-484D-4035-99BE-25175224D2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R95" authorId="5" shapeId="0" xr:uid="{BC9BE786-107A-4149-B835-C6E4A74EB92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S95" authorId="5" shapeId="0" xr:uid="{654CAF42-755E-492E-A2DC-FAC130F205A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T95" authorId="5" shapeId="0" xr:uid="{DD18F1A2-40E3-44ED-83A3-0E89F038621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https://www.investing.com/currencies/usd-try-historical-data </t>
        </r>
      </text>
    </comment>
    <comment ref="BA95" authorId="0" shapeId="0" xr:uid="{A5D18E3B-A5AA-479F-9F23-D3C4AF0F1A9B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BE95" authorId="0" shapeId="0" xr:uid="{BEDFA76B-11E1-4792-8545-E7F34D36D768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BI95" authorId="0" shapeId="0" xr:uid="{BED4F954-0394-436A-8284-66BE7F991187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BN95" authorId="0" shapeId="0" xr:uid="{C5059D0C-8739-4D38-AED2-133C9122396C}">
      <text>
        <r>
          <rPr>
            <b/>
            <sz val="9"/>
            <color indexed="81"/>
            <rFont val="Tahoma"/>
            <family val="2"/>
          </rPr>
          <t>investing.com</t>
        </r>
      </text>
    </comment>
    <comment ref="BR95" authorId="0" shapeId="0" xr:uid="{456D083B-28A3-444D-9386-9A38CD82FD10}">
      <text>
        <r>
          <rPr>
            <b/>
            <sz val="9"/>
            <color indexed="81"/>
            <rFont val="Tahoma"/>
            <family val="2"/>
          </rPr>
          <t>investing.com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Bishu Gupta</author>
  </authors>
  <commentList>
    <comment ref="AT3" authorId="0" shapeId="0" xr:uid="{811ADA9C-5860-4BDC-8F1E-8B098E422570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" authorId="0" shapeId="0" xr:uid="{FAC44D41-AF70-40D2-AB58-DEFC7F34E825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3" authorId="0" shapeId="0" xr:uid="{5D044DB6-7F36-46F5-8BD1-D334819CB0BB}">
      <text>
        <r>
          <rPr>
            <b/>
            <sz val="9"/>
            <color indexed="81"/>
            <rFont val="Tahoma"/>
            <family val="2"/>
          </rPr>
          <t>restated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<sst xmlns="http://schemas.openxmlformats.org/spreadsheetml/2006/main" count="1710" uniqueCount="480">
  <si>
    <t>1Q26</t>
  </si>
  <si>
    <t>As of March 2026</t>
  </si>
  <si>
    <t>TRY (mn)</t>
  </si>
  <si>
    <t>USD( mn)</t>
  </si>
  <si>
    <t>Leverage (TRY)</t>
  </si>
  <si>
    <t>Leverage (USD)</t>
  </si>
  <si>
    <t>Company Reported</t>
  </si>
  <si>
    <t>Net Financial Debt / EBITDA on Combined Basis</t>
  </si>
  <si>
    <t>Current:</t>
  </si>
  <si>
    <t>Bank borrowings</t>
  </si>
  <si>
    <t>Issued debt securities</t>
  </si>
  <si>
    <t>Factoring debts</t>
  </si>
  <si>
    <t>Non Current:</t>
  </si>
  <si>
    <t>Lease Liabilities:</t>
  </si>
  <si>
    <t>Current leases</t>
  </si>
  <si>
    <t>Non-current leases</t>
  </si>
  <si>
    <t xml:space="preserve">Total debt </t>
  </si>
  <si>
    <t>Cash *</t>
  </si>
  <si>
    <t xml:space="preserve">Net debt </t>
  </si>
  <si>
    <t>Market cap</t>
  </si>
  <si>
    <t xml:space="preserve">Total capitalisation </t>
  </si>
  <si>
    <t xml:space="preserve">LTM EBITDA </t>
  </si>
  <si>
    <t>TRY/USD exchange rate - end period</t>
  </si>
  <si>
    <t>TRY/USD exchange rate - average</t>
  </si>
  <si>
    <t>check</t>
  </si>
  <si>
    <t>Liquidity table</t>
  </si>
  <si>
    <t>USD (mn)</t>
  </si>
  <si>
    <t xml:space="preserve">Cash </t>
  </si>
  <si>
    <t>Total</t>
  </si>
  <si>
    <t>Debt maturity schedule:</t>
  </si>
  <si>
    <t>TRY mn</t>
  </si>
  <si>
    <t>USDmn</t>
  </si>
  <si>
    <t>Less than 1 year</t>
  </si>
  <si>
    <t>1-2 years</t>
  </si>
  <si>
    <t>2-3 years</t>
  </si>
  <si>
    <t>3-4 years</t>
  </si>
  <si>
    <t>4-5 years</t>
  </si>
  <si>
    <t>5 years and over</t>
  </si>
  <si>
    <t>FY25</t>
  </si>
  <si>
    <t>As of Dec 2025</t>
  </si>
  <si>
    <r>
      <t xml:space="preserve">Debt maturity schedule </t>
    </r>
    <r>
      <rPr>
        <b/>
        <sz val="10"/>
        <color indexed="10"/>
        <rFont val="Calibri"/>
        <family val="2"/>
      </rPr>
      <t>(undiscounted cash flows)</t>
    </r>
  </si>
  <si>
    <t>1-5 years</t>
  </si>
  <si>
    <t>More than 5 years</t>
  </si>
  <si>
    <t>Carrying amount</t>
  </si>
  <si>
    <r>
      <t xml:space="preserve">Lease maturity schedule </t>
    </r>
    <r>
      <rPr>
        <b/>
        <sz val="10"/>
        <color indexed="10"/>
        <rFont val="Calibri"/>
        <family val="2"/>
      </rPr>
      <t>(undiscounted cash flows)</t>
    </r>
  </si>
  <si>
    <t>3Q25</t>
  </si>
  <si>
    <t>As of Sep 2025</t>
  </si>
  <si>
    <t xml:space="preserve">Leverage </t>
  </si>
  <si>
    <t>Net financial debt</t>
  </si>
  <si>
    <t>Lease liabilities</t>
  </si>
  <si>
    <t>Factoring payables</t>
  </si>
  <si>
    <t xml:space="preserve">Debt securiteis in Issue </t>
  </si>
  <si>
    <t>2Q25</t>
  </si>
  <si>
    <t>As of Jun 2025</t>
  </si>
  <si>
    <t>1.6x</t>
  </si>
  <si>
    <t>1Q25</t>
  </si>
  <si>
    <t>As of Mar 2025</t>
  </si>
  <si>
    <t>1.3x</t>
  </si>
  <si>
    <t>3Q24</t>
  </si>
  <si>
    <t>As of Sept 2024</t>
  </si>
  <si>
    <t>0.9x</t>
  </si>
  <si>
    <t>2Q24</t>
  </si>
  <si>
    <t>As of Jun 2024</t>
  </si>
  <si>
    <t>0.7x</t>
  </si>
  <si>
    <t>1Q24</t>
  </si>
  <si>
    <t>As of Mar 2024</t>
  </si>
  <si>
    <t>FY23</t>
  </si>
  <si>
    <t>As of Dec 2023</t>
  </si>
  <si>
    <t>3Q23</t>
  </si>
  <si>
    <t>As of Sep 2023</t>
  </si>
  <si>
    <t>2Q23</t>
  </si>
  <si>
    <t>As of June 2023</t>
  </si>
  <si>
    <t>0.5x</t>
  </si>
  <si>
    <t>1Q23</t>
  </si>
  <si>
    <t>As of March 2023</t>
  </si>
  <si>
    <t>4Q22</t>
  </si>
  <si>
    <t>As of Dec 2022</t>
  </si>
  <si>
    <t>3Q22</t>
  </si>
  <si>
    <t>As of Sept 2022</t>
  </si>
  <si>
    <t>2Q22</t>
  </si>
  <si>
    <t>As of June 2022</t>
  </si>
  <si>
    <t>1Q22</t>
  </si>
  <si>
    <t>As of Mar 2022</t>
  </si>
  <si>
    <t>US$750 mn, 6 yrs, 6.5% coupon bond</t>
  </si>
  <si>
    <t>US$750 mn, 7 yrs, 5.25% coupon bond</t>
  </si>
  <si>
    <t>Other bonds in issue</t>
  </si>
  <si>
    <t>4Q21</t>
  </si>
  <si>
    <t>As of Dec 2021</t>
  </si>
  <si>
    <t>3Q21</t>
  </si>
  <si>
    <t>As of Sept 2021</t>
  </si>
  <si>
    <t>2Q21</t>
  </si>
  <si>
    <t>As of Jun 2021</t>
  </si>
  <si>
    <t>4Q20</t>
  </si>
  <si>
    <t>As of Dec 2020</t>
  </si>
  <si>
    <t>3Q20</t>
  </si>
  <si>
    <t>As of Sep 2020</t>
  </si>
  <si>
    <t>2Q20</t>
  </si>
  <si>
    <t>As of Jun 2020</t>
  </si>
  <si>
    <t>4Q19</t>
  </si>
  <si>
    <t>As of Dec 2019</t>
  </si>
  <si>
    <t>US$750 mn, 7 yrs, 3.5% coupon bond</t>
  </si>
  <si>
    <t>3Q19</t>
  </si>
  <si>
    <t>As of Sep 2019</t>
  </si>
  <si>
    <t>As of Dec 2013</t>
  </si>
  <si>
    <t>Short-term loans</t>
  </si>
  <si>
    <t>Long-term loans</t>
  </si>
  <si>
    <t>4.125% 2018 notes</t>
  </si>
  <si>
    <t xml:space="preserve">* Cash balance: TRY 2,006mn is kept at Yapi Kredi, bank controlled by Koc family. </t>
  </si>
  <si>
    <t>2019+</t>
  </si>
  <si>
    <t>KOC HOLDING</t>
  </si>
  <si>
    <t>Annual</t>
  </si>
  <si>
    <t>LTM</t>
  </si>
  <si>
    <t>Quarters</t>
  </si>
  <si>
    <t>9M</t>
  </si>
  <si>
    <t>H1</t>
  </si>
  <si>
    <t>H2</t>
  </si>
  <si>
    <t>Act</t>
  </si>
  <si>
    <t>Proj</t>
  </si>
  <si>
    <t>Restated</t>
  </si>
  <si>
    <t>FY</t>
  </si>
  <si>
    <t>1Q</t>
  </si>
  <si>
    <t>2Q</t>
  </si>
  <si>
    <t>3Q</t>
  </si>
  <si>
    <t>4Q</t>
  </si>
  <si>
    <t>6M</t>
  </si>
  <si>
    <t>SUMMARY FINANCIALS - CONSOLIDATED</t>
  </si>
  <si>
    <t xml:space="preserve">Combined revenues by segment: </t>
  </si>
  <si>
    <t xml:space="preserve">        Energy </t>
  </si>
  <si>
    <t xml:space="preserve">        Automotive</t>
  </si>
  <si>
    <t xml:space="preserve">        Consumer durables</t>
  </si>
  <si>
    <t xml:space="preserve">        Finance </t>
  </si>
  <si>
    <t xml:space="preserve">        Other </t>
  </si>
  <si>
    <t xml:space="preserve">Total combined revenues </t>
  </si>
  <si>
    <t xml:space="preserve">Combined operating profit by segment: </t>
  </si>
  <si>
    <t xml:space="preserve">Total combined operating profit </t>
  </si>
  <si>
    <t xml:space="preserve">Combined operating profit % margin by segment: </t>
  </si>
  <si>
    <t>Consolidated revenues</t>
  </si>
  <si>
    <t xml:space="preserve">% growth </t>
  </si>
  <si>
    <t xml:space="preserve">Consolidated operating profit </t>
  </si>
  <si>
    <t>% margin</t>
  </si>
  <si>
    <t>Depreciation and amortisation</t>
  </si>
  <si>
    <t>Other adjustments</t>
  </si>
  <si>
    <t xml:space="preserve">Consolidated EBITDA </t>
  </si>
  <si>
    <t xml:space="preserve">% margin </t>
  </si>
  <si>
    <t>Consolidated net profit attributable to Equity holders</t>
  </si>
  <si>
    <t>LTM revenues</t>
  </si>
  <si>
    <t xml:space="preserve">Cash flow from operations </t>
  </si>
  <si>
    <t xml:space="preserve">Cash flow from investments </t>
  </si>
  <si>
    <t xml:space="preserve">Cash flow from financing </t>
  </si>
  <si>
    <t>FX impact</t>
  </si>
  <si>
    <t>Inflation effect on cash and cash equivalents</t>
  </si>
  <si>
    <t xml:space="preserve">Net change in cash </t>
  </si>
  <si>
    <t xml:space="preserve">Short term debt </t>
  </si>
  <si>
    <t xml:space="preserve">Long term debt </t>
  </si>
  <si>
    <t>Equity (as reported on balance sheet)</t>
  </si>
  <si>
    <t>Market Cap</t>
  </si>
  <si>
    <t xml:space="preserve">Total debt + Market Cap </t>
  </si>
  <si>
    <t>Net debt + Market Cap</t>
  </si>
  <si>
    <t xml:space="preserve">CREDIT RATIOS - CONSOLIDATED </t>
  </si>
  <si>
    <t xml:space="preserve">Net leverage </t>
  </si>
  <si>
    <t xml:space="preserve">Gross leverage </t>
  </si>
  <si>
    <t xml:space="preserve">(Net debt + Market Cap )/ EBITDA </t>
  </si>
  <si>
    <t xml:space="preserve">Net debt / (Net debt + Market Cap) </t>
  </si>
  <si>
    <t xml:space="preserve">Net debt / Market Cap </t>
  </si>
  <si>
    <t>SUMMARY FINANCIALS - KOC STAND-ALONE</t>
  </si>
  <si>
    <t>Dividends received / paid at the holding level</t>
  </si>
  <si>
    <t>Total dividends</t>
  </si>
  <si>
    <t xml:space="preserve">Dividends paid </t>
  </si>
  <si>
    <t xml:space="preserve">Net dividends </t>
  </si>
  <si>
    <t>Holdo total debt</t>
  </si>
  <si>
    <t xml:space="preserve">Holdo cash </t>
  </si>
  <si>
    <t xml:space="preserve">Holdco net debt </t>
  </si>
  <si>
    <t xml:space="preserve">Holdco interest </t>
  </si>
  <si>
    <t>Holdco interest %</t>
  </si>
  <si>
    <t xml:space="preserve">Holdco total debt / net dividends </t>
  </si>
  <si>
    <t>Holdco net debt / net dividends</t>
  </si>
  <si>
    <t xml:space="preserve">Holdco net dividends / holdco interest </t>
  </si>
  <si>
    <t xml:space="preserve">FX: </t>
  </si>
  <si>
    <t>USD/TRY end period</t>
  </si>
  <si>
    <t xml:space="preserve">USD/TRY average </t>
  </si>
  <si>
    <t>Q/Q change</t>
  </si>
  <si>
    <t xml:space="preserve">Y/Y change </t>
  </si>
  <si>
    <t>SUMMARY in USD</t>
  </si>
  <si>
    <t>in USD  mn</t>
  </si>
  <si>
    <t>Combined revenues by segment (% Share)</t>
  </si>
  <si>
    <t>34.69K</t>
  </si>
  <si>
    <t>39.47K</t>
  </si>
  <si>
    <t>46.00K</t>
  </si>
  <si>
    <t>28.59K</t>
  </si>
  <si>
    <t>3.00K</t>
  </si>
  <si>
    <t>47.13K</t>
  </si>
  <si>
    <t>53.20K</t>
  </si>
  <si>
    <t>56.36K</t>
  </si>
  <si>
    <t>51.53K</t>
  </si>
  <si>
    <t>57.81K</t>
  </si>
  <si>
    <t>63.73K</t>
  </si>
  <si>
    <t>61.16K</t>
  </si>
  <si>
    <t>26.31K</t>
  </si>
  <si>
    <t>32.47K</t>
  </si>
  <si>
    <t>36.70K</t>
  </si>
  <si>
    <t>33.87K</t>
  </si>
  <si>
    <t>37.98K</t>
  </si>
  <si>
    <t>35.49K</t>
  </si>
  <si>
    <t>35.07K</t>
  </si>
  <si>
    <t>33.56K</t>
  </si>
  <si>
    <t>76.72K</t>
  </si>
  <si>
    <t>158.86K</t>
  </si>
  <si>
    <t>156.49K</t>
  </si>
  <si>
    <t>150.85K</t>
  </si>
  <si>
    <t>159.60K</t>
  </si>
  <si>
    <t>147.04K</t>
  </si>
  <si>
    <t>157.06K</t>
  </si>
  <si>
    <t>161.05K</t>
  </si>
  <si>
    <t>149.60K</t>
  </si>
  <si>
    <t>155.14K</t>
  </si>
  <si>
    <t>158.74K</t>
  </si>
  <si>
    <t>152.88K</t>
  </si>
  <si>
    <t>150.37K</t>
  </si>
  <si>
    <t>115.35K</t>
  </si>
  <si>
    <t>144.97K</t>
  </si>
  <si>
    <t>155.37K</t>
  </si>
  <si>
    <t>126.10K</t>
  </si>
  <si>
    <t>127.00K</t>
  </si>
  <si>
    <t>124.22K</t>
  </si>
  <si>
    <t>141.30K</t>
  </si>
  <si>
    <t>159.28K</t>
  </si>
  <si>
    <t>146.30K</t>
  </si>
  <si>
    <t>155.47K</t>
  </si>
  <si>
    <t>166.50K</t>
  </si>
  <si>
    <t>169.13K</t>
  </si>
  <si>
    <t>148.70K</t>
  </si>
  <si>
    <t>175.04K</t>
  </si>
  <si>
    <t>180.80K</t>
  </si>
  <si>
    <t>168.10K</t>
  </si>
  <si>
    <t>160.01K</t>
  </si>
  <si>
    <t>178.88K</t>
  </si>
  <si>
    <t>166.31K</t>
  </si>
  <si>
    <t>162.95K</t>
  </si>
  <si>
    <t>155.39K</t>
  </si>
  <si>
    <t>166.63K</t>
  </si>
  <si>
    <t>151.83K</t>
  </si>
  <si>
    <t>166.72K</t>
  </si>
  <si>
    <t>161.95K</t>
  </si>
  <si>
    <t>152.43K</t>
  </si>
  <si>
    <t>167.50K</t>
  </si>
  <si>
    <t>170.93K</t>
  </si>
  <si>
    <t>180.58K</t>
  </si>
  <si>
    <t>163.25K</t>
  </si>
  <si>
    <t>155.63K</t>
  </si>
  <si>
    <t>166.51K</t>
  </si>
  <si>
    <t>151.55K</t>
  </si>
  <si>
    <t>172.86K</t>
  </si>
  <si>
    <t>163.26K</t>
  </si>
  <si>
    <t>158.25K</t>
  </si>
  <si>
    <t>152.65K</t>
  </si>
  <si>
    <t>158.17K</t>
  </si>
  <si>
    <t>159.35K</t>
  </si>
  <si>
    <t>164.08K</t>
  </si>
  <si>
    <t>159.33K</t>
  </si>
  <si>
    <t>143.77K</t>
  </si>
  <si>
    <t>164.16K</t>
  </si>
  <si>
    <t>169.84K</t>
  </si>
  <si>
    <t>159.41K</t>
  </si>
  <si>
    <t>143.38K</t>
  </si>
  <si>
    <t>145.13K</t>
  </si>
  <si>
    <t>159.10K</t>
  </si>
  <si>
    <t>150.20K</t>
  </si>
  <si>
    <t>144.65K</t>
  </si>
  <si>
    <t>124.63K</t>
  </si>
  <si>
    <t>152.16K</t>
  </si>
  <si>
    <t>165.35K</t>
  </si>
  <si>
    <t>154.42K</t>
  </si>
  <si>
    <t>163.13K</t>
  </si>
  <si>
    <t>150.90K</t>
  </si>
  <si>
    <t>153.73K</t>
  </si>
  <si>
    <t>153.78K</t>
  </si>
  <si>
    <t>154.29K</t>
  </si>
  <si>
    <t>155.48K</t>
  </si>
  <si>
    <t>139.95K</t>
  </si>
  <si>
    <t>146.94K</t>
  </si>
  <si>
    <t>156.09K</t>
  </si>
  <si>
    <t>133.06K</t>
  </si>
  <si>
    <t>48.41K</t>
  </si>
  <si>
    <t>140.92K</t>
  </si>
  <si>
    <t>145.65K</t>
  </si>
  <si>
    <t>165.72K</t>
  </si>
  <si>
    <t>131.04K</t>
  </si>
  <si>
    <t>145.88K</t>
  </si>
  <si>
    <t>121.97K</t>
  </si>
  <si>
    <t>141.00K</t>
  </si>
  <si>
    <t>133.11K</t>
  </si>
  <si>
    <t>154.99K</t>
  </si>
  <si>
    <t>161.61K</t>
  </si>
  <si>
    <t>127.73K</t>
  </si>
  <si>
    <t>146.63K</t>
  </si>
  <si>
    <t>147.32K</t>
  </si>
  <si>
    <t>159.64K</t>
  </si>
  <si>
    <t>159.62K</t>
  </si>
  <si>
    <t>132.84K</t>
  </si>
  <si>
    <t>145.68K</t>
  </si>
  <si>
    <t>141.29K</t>
  </si>
  <si>
    <t>140.99K</t>
  </si>
  <si>
    <t>134.97K</t>
  </si>
  <si>
    <t>124.86K</t>
  </si>
  <si>
    <t>132.40K</t>
  </si>
  <si>
    <t>127.48K</t>
  </si>
  <si>
    <t>126.63K</t>
  </si>
  <si>
    <t>137.52K</t>
  </si>
  <si>
    <t>127.46K</t>
  </si>
  <si>
    <t>139.23K</t>
  </si>
  <si>
    <t>134.43K</t>
  </si>
  <si>
    <t>130.14K</t>
  </si>
  <si>
    <t>128.97K</t>
  </si>
  <si>
    <t>137.69K</t>
  </si>
  <si>
    <t>136.25K</t>
  </si>
  <si>
    <t>131.70K</t>
  </si>
  <si>
    <t>128.66K</t>
  </si>
  <si>
    <t>129.92K</t>
  </si>
  <si>
    <t>104.02K</t>
  </si>
  <si>
    <t>123.63K</t>
  </si>
  <si>
    <t>131.97K</t>
  </si>
  <si>
    <t>132.91K</t>
  </si>
  <si>
    <t>134.34K</t>
  </si>
  <si>
    <t>130.67K</t>
  </si>
  <si>
    <t>124.76K</t>
  </si>
  <si>
    <t>128.84K</t>
  </si>
  <si>
    <t>136.15K</t>
  </si>
  <si>
    <t>137.71K</t>
  </si>
  <si>
    <t>141.92K</t>
  </si>
  <si>
    <t>144.16K</t>
  </si>
  <si>
    <t>155.52K</t>
  </si>
  <si>
    <t>146.04K</t>
  </si>
  <si>
    <t>152.03K</t>
  </si>
  <si>
    <t>137.21K</t>
  </si>
  <si>
    <t>155.73K</t>
  </si>
  <si>
    <t>150.96K</t>
  </si>
  <si>
    <t>142.54K</t>
  </si>
  <si>
    <t>138.54K</t>
  </si>
  <si>
    <t>157.04K</t>
  </si>
  <si>
    <t>174.38K</t>
  </si>
  <si>
    <t>168.83K</t>
  </si>
  <si>
    <t>131.87K</t>
  </si>
  <si>
    <t>169.27K</t>
  </si>
  <si>
    <t>168.52K</t>
  </si>
  <si>
    <t>163.33K</t>
  </si>
  <si>
    <t>173.06K</t>
  </si>
  <si>
    <t>158.76K</t>
  </si>
  <si>
    <t>172.01K</t>
  </si>
  <si>
    <t>181.05K</t>
  </si>
  <si>
    <t>176.95K</t>
  </si>
  <si>
    <t>189.43K</t>
  </si>
  <si>
    <t>151.51K</t>
  </si>
  <si>
    <t>124.12K</t>
  </si>
  <si>
    <t>163.67K</t>
  </si>
  <si>
    <t>204.62K</t>
  </si>
  <si>
    <t>220.79K</t>
  </si>
  <si>
    <t>203.69K</t>
  </si>
  <si>
    <t>166.16K</t>
  </si>
  <si>
    <t>175.61K</t>
  </si>
  <si>
    <t>180.39K</t>
  </si>
  <si>
    <t>164.00K</t>
  </si>
  <si>
    <t>176.06K</t>
  </si>
  <si>
    <t>173.96K</t>
  </si>
  <si>
    <t>168.47K</t>
  </si>
  <si>
    <t>166.27K</t>
  </si>
  <si>
    <t>180.02K</t>
  </si>
  <si>
    <t>177.74K</t>
  </si>
  <si>
    <t>154.90K</t>
  </si>
  <si>
    <t>160.69K</t>
  </si>
  <si>
    <t>165.98K</t>
  </si>
  <si>
    <t>147.94K</t>
  </si>
  <si>
    <t>148.52K</t>
  </si>
  <si>
    <t>102.19K</t>
  </si>
  <si>
    <t>151.88K</t>
  </si>
  <si>
    <t>154.35K</t>
  </si>
  <si>
    <t>158.29K</t>
  </si>
  <si>
    <t>153.01K</t>
  </si>
  <si>
    <t>134.35K</t>
  </si>
  <si>
    <t>162.84K</t>
  </si>
  <si>
    <t>170.27K</t>
  </si>
  <si>
    <t>163.42K</t>
  </si>
  <si>
    <t>157.43K</t>
  </si>
  <si>
    <t>134.26K</t>
  </si>
  <si>
    <t>135.84K</t>
  </si>
  <si>
    <t>122.83K</t>
  </si>
  <si>
    <t>125.32K</t>
  </si>
  <si>
    <t>120.58K</t>
  </si>
  <si>
    <t>127.62K</t>
  </si>
  <si>
    <t>135.31K</t>
  </si>
  <si>
    <t>129.61K</t>
  </si>
  <si>
    <t>129.53K</t>
  </si>
  <si>
    <t>128.03K</t>
  </si>
  <si>
    <t>123.49K</t>
  </si>
  <si>
    <t>142.53K</t>
  </si>
  <si>
    <t>139.65K</t>
  </si>
  <si>
    <t>131.34K</t>
  </si>
  <si>
    <t>125.37K</t>
  </si>
  <si>
    <t>157.18K</t>
  </si>
  <si>
    <t>156.39K</t>
  </si>
  <si>
    <t>155.34K</t>
  </si>
  <si>
    <t>159.87K</t>
  </si>
  <si>
    <t>152.01K</t>
  </si>
  <si>
    <t>168.30K</t>
  </si>
  <si>
    <t>167.51K</t>
  </si>
  <si>
    <t>170.63K</t>
  </si>
  <si>
    <t>151.25K</t>
  </si>
  <si>
    <t>141.58K</t>
  </si>
  <si>
    <t>150.86K</t>
  </si>
  <si>
    <t>144.84K</t>
  </si>
  <si>
    <t>123.62K</t>
  </si>
  <si>
    <t>55.71K</t>
  </si>
  <si>
    <t>72.28K</t>
  </si>
  <si>
    <t>76.26K</t>
  </si>
  <si>
    <t>61.36K</t>
  </si>
  <si>
    <t>57.20K</t>
  </si>
  <si>
    <t>38.68K</t>
  </si>
  <si>
    <t>47.30K</t>
  </si>
  <si>
    <t>54.62K</t>
  </si>
  <si>
    <t>48.16K</t>
  </si>
  <si>
    <t>53.18K</t>
  </si>
  <si>
    <t>50.69K</t>
  </si>
  <si>
    <t>57.92K</t>
  </si>
  <si>
    <t>51.86K</t>
  </si>
  <si>
    <t>48.20K</t>
  </si>
  <si>
    <t>54.13K</t>
  </si>
  <si>
    <t>49.15K</t>
  </si>
  <si>
    <t>52.10K</t>
  </si>
  <si>
    <t>51.62K</t>
  </si>
  <si>
    <t>55.45K</t>
  </si>
  <si>
    <t>47.60K</t>
  </si>
  <si>
    <t>50.83K</t>
  </si>
  <si>
    <t>53.56K</t>
  </si>
  <si>
    <t>52.74K</t>
  </si>
  <si>
    <t>54.44K</t>
  </si>
  <si>
    <t>49.96K</t>
  </si>
  <si>
    <t>50.00K</t>
  </si>
  <si>
    <t>58.98K</t>
  </si>
  <si>
    <t>57.30K</t>
  </si>
  <si>
    <t>47.54K</t>
  </si>
  <si>
    <t>49.46K</t>
  </si>
  <si>
    <t>51.05K</t>
  </si>
  <si>
    <t>48.60K</t>
  </si>
  <si>
    <t>1.19K</t>
  </si>
  <si>
    <t>Tranches</t>
  </si>
  <si>
    <t>4.125% 2018</t>
  </si>
  <si>
    <t>Format (i.e., LPN, Bond, Note, etc.)</t>
  </si>
  <si>
    <t>Notes</t>
  </si>
  <si>
    <t>Currency</t>
  </si>
  <si>
    <t>USD</t>
  </si>
  <si>
    <t>Type</t>
  </si>
  <si>
    <t>Senior Notes</t>
  </si>
  <si>
    <t>Size</t>
  </si>
  <si>
    <t>700mn</t>
  </si>
  <si>
    <t>Rating</t>
  </si>
  <si>
    <t>Ba1 / BBB-</t>
  </si>
  <si>
    <t>Babson Recommendation</t>
  </si>
  <si>
    <t>BUY</t>
  </si>
  <si>
    <t>Maturity</t>
  </si>
  <si>
    <t>Callable</t>
  </si>
  <si>
    <t xml:space="preserve">No </t>
  </si>
  <si>
    <t>Putable</t>
  </si>
  <si>
    <t>Series</t>
  </si>
  <si>
    <t>144A/RegS</t>
  </si>
  <si>
    <t xml:space="preserve">Bond price </t>
  </si>
  <si>
    <t>Spread over UST</t>
  </si>
  <si>
    <t>UST</t>
  </si>
  <si>
    <t>T23/4 02/15/24</t>
  </si>
  <si>
    <t>L OAS</t>
  </si>
  <si>
    <t>YTM</t>
  </si>
  <si>
    <t>YTW</t>
  </si>
  <si>
    <t>OAD</t>
  </si>
  <si>
    <t>Withholding tax (Y / N)</t>
  </si>
  <si>
    <t>Yes</t>
  </si>
  <si>
    <t>Change of control (Y / N)</t>
  </si>
  <si>
    <t>Pre-empt language if tax event (Y/N)</t>
  </si>
  <si>
    <t xml:space="preserve">Yes </t>
  </si>
  <si>
    <t>Bookrunners</t>
  </si>
  <si>
    <t>Citi,DB</t>
  </si>
  <si>
    <t>Lead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</si>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</sst>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_);\(#,##0.0\)"/>
    <numFmt numFmtId="166" formatCode="#0.0%_);\(#0.0%\)"/>
    <numFmt numFmtId="167" formatCode="mmm\ yyyy"/>
    <numFmt numFmtId="168" formatCode="0.0%"/>
    <numFmt numFmtId="169" formatCode="_(* #,##0.0_);_(* \(#,##0.0\);_(* &quot;-&quot;??_);_(@_)"/>
    <numFmt numFmtId="170" formatCode="_(* #,##0.000_);_(* \(#,##0.000\);_(* &quot;-&quot;??_);_(@_)"/>
    <numFmt numFmtId="171" formatCode="_(* #,##0_);_(* \(#,##0\);_(* &quot;-&quot;??_);_(@_)"/>
    <numFmt numFmtId="172" formatCode="#,##0.0\ ;\(#,##0.0\)"/>
    <numFmt numFmtId="173" formatCode="&quot;$&quot;#,##0.00_)&quot;per share&quot;;\(&quot;$&quot;#,##0.00\)&quot; per share&quot;"/>
    <numFmt numFmtId="174" formatCode="0.0_)\%;\(0.0\)\%;0.0_)\%;@_)_%"/>
    <numFmt numFmtId="175" formatCode="#,##0.0_)_%;\(#,##0.0\)_%;0.0_)_%;@_)_%"/>
    <numFmt numFmtId="176" formatCode="#,##0.0_);\(#,##0.0\);#,##0.0_);@_)"/>
    <numFmt numFmtId="177" formatCode="&quot;$&quot;_(#,##0.00_);&quot;$&quot;\(#,##0.00\);&quot;$&quot;_(0.00_);@_)"/>
    <numFmt numFmtId="178" formatCode="&quot;$&quot;_(#,##0.00_);&quot;$&quot;\(#,##0.00\)"/>
    <numFmt numFmtId="179" formatCode="#,##0.00_);\(#,##0.00\);0.00_);@_)"/>
    <numFmt numFmtId="180" formatCode="\€_(#,##0.00_);\€\(#,##0.00\);\€_(0.00_);@_)"/>
    <numFmt numFmtId="181" formatCode="#,##0_)\x;\(#,##0\)\x;0_)\x;@_)_x"/>
    <numFmt numFmtId="182" formatCode="#,##0.0_)\x;\(#,##0.0\)\x"/>
    <numFmt numFmtId="183" formatCode="#,##0_)_x;\(#,##0\)_x;0_)_x;@_)_x"/>
    <numFmt numFmtId="184" formatCode="#,##0.0_)_x;\(#,##0.0\)_x"/>
    <numFmt numFmtId="185" formatCode="0.0_)\%;\(0.0\)\%"/>
    <numFmt numFmtId="186" formatCode="#,##0.0_)_%;\(#,##0.0\)_%"/>
    <numFmt numFmtId="187" formatCode="_(\£* #,##0_);_(\£* \(#,##0\);_(\£* &quot;-&quot;_);_(@_)"/>
    <numFmt numFmtId="188" formatCode="_(\£* #,##0.0_);_(\£* \(#,##0.0\);_(\£* &quot;-&quot;_);_(@_)"/>
    <numFmt numFmtId="189" formatCode="_(\£* #,##0.00_);_(\£* \(#,##0.00\);_(\£* &quot;-&quot;_);_(@_)"/>
    <numFmt numFmtId="190" formatCode="_(* #,##0\p_);_(* \(#,##0\p\);_(* &quot;-&quot;\ \p_);_(@_)"/>
    <numFmt numFmtId="191" formatCode="_(* #,##0.00\p_);_(* \(#,##0.00\p\);_(* &quot;-&quot;\ \p_);_(@_)"/>
    <numFmt numFmtId="192" formatCode="\£#,##0.00"/>
    <numFmt numFmtId="193" formatCode="&quot;$&quot;&quot; &quot;#,##0_);\(&quot;$&quot;&quot; &quot;#,##0\);\-_)"/>
    <numFmt numFmtId="194" formatCode="#,##0_);\(#,##0\);\-_)"/>
    <numFmt numFmtId="195" formatCode="&quot;$&quot;#,##0_);[Red]\(&quot;$&quot;#,##0\);&quot;-&quot;"/>
    <numFmt numFmtId="196" formatCode="[Blue]0.0%;[Blue]\-0.0%"/>
    <numFmt numFmtId="197" formatCode="\£#,##0_);\(\£#,##0\)"/>
    <numFmt numFmtId="198" formatCode="&quot;fl&quot;#,##0_);\(&quot;fl&quot;#,##0\)"/>
    <numFmt numFmtId="199" formatCode="&quot;$&quot;\ #,##0_);\(&quot;$&quot;\ #,##0\)"/>
    <numFmt numFmtId="200" formatCode="_(&quot;R$&quot;* #,##0.00_);_(&quot;R$&quot;* \(#,##0.00\);_(&quot;R$&quot;* &quot;-&quot;??_);_(@_)"/>
    <numFmt numFmtId="201" formatCode="0.0\x;[Red]\(0.0\x\)"/>
    <numFmt numFmtId="202" formatCode="#,##0.0_);\(#,##0.0\);&quot;—&quot;_)"/>
    <numFmt numFmtId="203" formatCode="&quot;$&quot;#,##0.0_);\(&quot;$&quot;#,##0.0\);&quot;—&quot;_)"/>
    <numFmt numFmtId="204" formatCode="0.000000000%"/>
    <numFmt numFmtId="205" formatCode="#,##0.0000"/>
    <numFmt numFmtId="206" formatCode="mm/dd/yy"/>
    <numFmt numFmtId="207" formatCode="&quot;$&quot;#,##0.00"/>
    <numFmt numFmtId="208" formatCode="_([$€-2]* #,##0.00_);_([$€-2]* \(#,##0.00\);_([$€-2]* &quot;-&quot;??_)"/>
    <numFmt numFmtId="209" formatCode="#&quot; mon&quot;"/>
    <numFmt numFmtId="210" formatCode="#,##0\ &quot;F&quot;;[Red]\-#,##0\ &quot;F&quot;"/>
    <numFmt numFmtId="211" formatCode="#,##0.00\ &quot;F&quot;;[Red]\-#,##0.00\ &quot;F&quot;"/>
    <numFmt numFmtId="212" formatCode="#,##0.0\x_)_);\(#,##0.0\x\)_);#,##0.0\x_)_);@_%_)"/>
    <numFmt numFmtId="213" formatCode="_(* #,##0.00\ ___);_(* \(#,##0.00\ __\);_(* &quot;-&quot;??_);_(@_)"/>
    <numFmt numFmtId="214" formatCode="0%\);[Red]\(0%"/>
    <numFmt numFmtId="215" formatCode="_(* #,##0\ ___);_(* \(#,##0\ __\);_(* &quot;-&quot;??_);_(@_)"/>
    <numFmt numFmtId="216" formatCode="_(* #,##0\ \x_);_(* \(#,##0\ \x\);_(* &quot;-&quot;??_);_(@_)"/>
    <numFmt numFmtId="217" formatCode="0%_);[Red]\(0%\)"/>
    <numFmt numFmtId="218" formatCode="_(* #,##0.0\ ___);_(* \(#,##0.0\ __\);_(* &quot;-&quot;??_);_(@_)"/>
    <numFmt numFmtId="219" formatCode="_(* #,##0.0\ \x_);_(* \(#,##0.0\ \x\);_(* &quot;-&quot;??_);_(@_)"/>
    <numFmt numFmtId="220" formatCode="#,##0&quot; F&quot;_);\(#,##0&quot; F&quot;\)"/>
    <numFmt numFmtId="221" formatCode="_(* #,##0.00_);_(* \(\ #,##0.00\ \);_(* &quot;&quot;??_);_(\ @_ \)"/>
    <numFmt numFmtId="222" formatCode="0.00_)"/>
    <numFmt numFmtId="223" formatCode="_(* #,##0.0_);_(* \(#,##0.0\);_(* &quot;-&quot;?_);_(@_)"/>
    <numFmt numFmtId="224" formatCode="0.00%\ &quot;Ramped&quot;\ "/>
    <numFmt numFmtId="225" formatCode="0.00%\ &quot;Ramped&quot;"/>
    <numFmt numFmtId="226" formatCode="0.0000"/>
    <numFmt numFmtId="227" formatCode="0.000"/>
    <numFmt numFmtId="228" formatCode="&quot;Diversity =&quot;\ #.0"/>
    <numFmt numFmtId="229" formatCode="&quot;Ratings Factor =&quot;\ #"/>
    <numFmt numFmtId="230" formatCode="&quot;Page &quot;0"/>
    <numFmt numFmtId="231" formatCode="&quot;\&quot;#,##0.00;[Red]\-&quot;\&quot;#,##0.00"/>
    <numFmt numFmtId="232" formatCode="0.0_%"/>
    <numFmt numFmtId="233" formatCode="_(0.0%;_(* \(0.0\)%"/>
    <numFmt numFmtId="234" formatCode="_(* #,##0.0000_);_(* \(#,##0.0000\);_(* &quot;-&quot;??_);_(@_)"/>
    <numFmt numFmtId="235" formatCode="0&quot; bps&quot;"/>
    <numFmt numFmtId="236" formatCode="&quot;WAS =&quot;\ #.00"/>
    <numFmt numFmtId="237" formatCode="&quot;Avg. Px.=&quot;#.00"/>
    <numFmt numFmtId="238" formatCode="&quot;WAL=&quot;#.00"/>
    <numFmt numFmtId="239" formatCode="#.00\ &quot;years&quot;"/>
    <numFmt numFmtId="240" formatCode="&quot;2nd Lien=&quot;#"/>
    <numFmt numFmtId="241" formatCode="&quot;WAPP=&quot;#.00"/>
    <numFmt numFmtId="242" formatCode="&quot;WAS=&quot;#.00"/>
    <numFmt numFmtId="243" formatCode="&quot;WAC=&quot;#.00"/>
    <numFmt numFmtId="244" formatCode="&quot;$&quot;#,##0.0_);\(&quot;$&quot;#,##0.0\)"/>
    <numFmt numFmtId="245" formatCode="#,###,;\(#,###,\)"/>
    <numFmt numFmtId="246" formatCode="000\-00\-0000"/>
    <numFmt numFmtId="247" formatCode="&quot;$&quot;#,##0.0000"/>
    <numFmt numFmtId="248" formatCode="&quot;$&quot;#,##0.000000"/>
    <numFmt numFmtId="249" formatCode="&quot;$&quot;#,##0.000"/>
    <numFmt numFmtId="250" formatCode="000000000"/>
    <numFmt numFmtId="251" formatCode="000"/>
    <numFmt numFmtId="252" formatCode="hh:mm\ AM/PM_)"/>
    <numFmt numFmtId="253" formatCode="#.0&quot;x&quot;"/>
    <numFmt numFmtId="254" formatCode="yyyy"/>
    <numFmt numFmtId="255" formatCode="\¥#,##0_);\(\¥#,##0\)"/>
    <numFmt numFmtId="256" formatCode="#0.0\x"/>
    <numFmt numFmtId="257" formatCode="0.0\x"/>
    <numFmt numFmtId="258" formatCode="#,##0.000_);\(#,##0.000\)"/>
    <numFmt numFmtId="259" formatCode="0.0"/>
  </numFmts>
  <fonts count="127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  <charset val="2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ms Rmn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ms Rmn"/>
    </font>
    <font>
      <sz val="8"/>
      <name val="Helv"/>
    </font>
    <font>
      <sz val="12"/>
      <name val="Tms Rmn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ms Rmn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10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sz val="12"/>
      <color rgb="FF000000"/>
      <name val="Segoe UI"/>
      <family val="2"/>
    </font>
    <font>
      <sz val="12"/>
      <color rgb="FF0EA600"/>
      <name val="Segoe UI"/>
      <family val="2"/>
    </font>
    <font>
      <sz val="12"/>
      <color rgb="FFFF0000"/>
      <name val="Segoe UI"/>
      <family val="2"/>
    </font>
    <font>
      <i/>
      <sz val="10"/>
      <color rgb="FFFF0000"/>
      <name val="Calibri"/>
      <family val="2"/>
      <scheme val="minor"/>
    </font>
    <font>
      <i/>
      <sz val="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E3EAF2"/>
      </bottom>
      <diagonal/>
    </border>
  </borders>
  <cellStyleXfs count="894">
    <xf numFmtId="0" fontId="0" fillId="0" borderId="0"/>
    <xf numFmtId="172" fontId="26" fillId="0" borderId="0"/>
    <xf numFmtId="0" fontId="27" fillId="0" borderId="0">
      <alignment horizontal="right"/>
    </xf>
    <xf numFmtId="0" fontId="6" fillId="0" borderId="0"/>
    <xf numFmtId="173" fontId="22" fillId="0" borderId="0" applyFont="0" applyFill="0" applyBorder="0" applyAlignment="0"/>
    <xf numFmtId="17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17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2" borderId="0" applyNumberFormat="0" applyFont="0" applyAlignment="0" applyProtection="0"/>
    <xf numFmtId="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6" fillId="0" borderId="0" applyFont="0" applyFill="0" applyBorder="0" applyProtection="0">
      <alignment horizontal="right"/>
    </xf>
    <xf numFmtId="184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30" fillId="0" borderId="1" applyNumberFormat="0" applyFill="0" applyAlignment="0" applyProtection="0"/>
    <xf numFmtId="0" fontId="31" fillId="0" borderId="2" applyNumberFormat="0" applyFill="0" applyProtection="0">
      <alignment horizontal="center"/>
    </xf>
    <xf numFmtId="0" fontId="31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centerContinuous"/>
    </xf>
    <xf numFmtId="187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4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35" fillId="0" borderId="0" applyNumberFormat="0" applyFont="0" applyFill="0" applyBorder="0" applyProtection="0">
      <alignment horizontal="centerContinuous"/>
    </xf>
    <xf numFmtId="0" fontId="3" fillId="0" borderId="0" applyNumberFormat="0" applyFill="0" applyBorder="0" applyAlignment="0">
      <protection locked="0"/>
    </xf>
    <xf numFmtId="0" fontId="36" fillId="0" borderId="0"/>
    <xf numFmtId="0" fontId="37" fillId="0" borderId="0"/>
    <xf numFmtId="0" fontId="27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2" fillId="3" borderId="0" applyNumberFormat="0" applyBorder="0" applyAlignment="0">
      <protection locked="0"/>
    </xf>
    <xf numFmtId="193" fontId="22" fillId="0" borderId="0" applyFont="0" applyFill="0" applyBorder="0" applyAlignment="0" applyProtection="0"/>
    <xf numFmtId="194" fontId="39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96" fontId="41" fillId="0" borderId="0"/>
    <xf numFmtId="0" fontId="42" fillId="0" borderId="0" applyNumberFormat="0" applyFill="0" applyBorder="0" applyAlignment="0" applyProtection="0"/>
    <xf numFmtId="0" fontId="5" fillId="0" borderId="0"/>
    <xf numFmtId="0" fontId="43" fillId="0" borderId="0"/>
    <xf numFmtId="0" fontId="35" fillId="0" borderId="3" applyNumberFormat="0" applyFont="0" applyFill="0" applyAlignment="0" applyProtection="0"/>
    <xf numFmtId="0" fontId="44" fillId="0" borderId="4" applyFill="0" applyProtection="0">
      <alignment horizontal="right"/>
    </xf>
    <xf numFmtId="197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26" fillId="0" borderId="0" applyFill="0" applyBorder="0" applyAlignment="0"/>
    <xf numFmtId="0" fontId="26" fillId="0" borderId="0" applyFill="0" applyBorder="0" applyAlignment="0"/>
    <xf numFmtId="198" fontId="26" fillId="0" borderId="0" applyFill="0" applyBorder="0" applyAlignment="0"/>
    <xf numFmtId="199" fontId="26" fillId="0" borderId="0" applyFill="0" applyBorder="0" applyAlignment="0"/>
    <xf numFmtId="200" fontId="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39" fontId="27" fillId="4" borderId="0" applyNumberFormat="0" applyFont="0" applyBorder="0" applyAlignment="0"/>
    <xf numFmtId="0" fontId="46" fillId="0" borderId="0"/>
    <xf numFmtId="0" fontId="35" fillId="0" borderId="0" applyNumberFormat="0" applyFont="0" applyFill="0" applyBorder="0" applyProtection="0">
      <alignment horizontal="center"/>
    </xf>
    <xf numFmtId="49" fontId="20" fillId="0" borderId="0" applyFill="0" applyBorder="0" applyProtection="0">
      <alignment horizontal="center"/>
    </xf>
    <xf numFmtId="49" fontId="47" fillId="0" borderId="0" applyFill="0" applyBorder="0" applyProtection="0">
      <alignment horizontal="center"/>
    </xf>
    <xf numFmtId="8" fontId="6" fillId="0" borderId="5" applyFont="0" applyFill="0" applyBorder="0" applyProtection="0">
      <alignment horizontal="right"/>
    </xf>
    <xf numFmtId="0" fontId="4" fillId="0" borderId="0"/>
    <xf numFmtId="0" fontId="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3" applyNumberFormat="0" applyFill="0" applyBorder="0" applyAlignment="0" applyProtection="0">
      <alignment horizontal="center"/>
    </xf>
    <xf numFmtId="0" fontId="8" fillId="5" borderId="0"/>
    <xf numFmtId="43" fontId="1" fillId="0" borderId="0" applyFont="0" applyFill="0" applyBorder="0" applyAlignment="0" applyProtection="0"/>
    <xf numFmtId="201" fontId="6" fillId="0" borderId="0"/>
    <xf numFmtId="201" fontId="6" fillId="0" borderId="0"/>
    <xf numFmtId="201" fontId="6" fillId="0" borderId="0"/>
    <xf numFmtId="201" fontId="6" fillId="0" borderId="0"/>
    <xf numFmtId="201" fontId="6" fillId="0" borderId="0"/>
    <xf numFmtId="201" fontId="6" fillId="0" borderId="0"/>
    <xf numFmtId="201" fontId="6" fillId="0" borderId="0"/>
    <xf numFmtId="201" fontId="6" fillId="0" borderId="0"/>
    <xf numFmtId="202" fontId="50" fillId="0" borderId="0"/>
    <xf numFmtId="0" fontId="26" fillId="0" borderId="0" applyFont="0" applyFill="0" applyBorder="0" applyAlignment="0" applyProtection="0"/>
    <xf numFmtId="169" fontId="51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3" fontId="6" fillId="0" borderId="0" applyFill="0" applyBorder="0" applyAlignment="0" applyProtection="0"/>
    <xf numFmtId="3" fontId="2" fillId="0" borderId="0" applyFont="0" applyFill="0" applyBorder="0" applyAlignment="0" applyProtection="0"/>
    <xf numFmtId="3" fontId="20" fillId="0" borderId="0" applyFill="0" applyBorder="0" applyAlignment="0" applyProtection="0"/>
    <xf numFmtId="38" fontId="52" fillId="0" borderId="0" applyNumberFormat="0" applyFill="0" applyBorder="0">
      <alignment vertical="center"/>
    </xf>
    <xf numFmtId="0" fontId="53" fillId="0" borderId="0" applyNumberFormat="0" applyAlignment="0">
      <alignment horizontal="left"/>
    </xf>
    <xf numFmtId="7" fontId="6" fillId="0" borderId="0" applyFont="0" applyFill="0" applyBorder="0" applyAlignment="0" applyProtection="0"/>
    <xf numFmtId="203" fontId="50" fillId="0" borderId="0"/>
    <xf numFmtId="0" fontId="26" fillId="0" borderId="0" applyFont="0" applyFill="0" applyBorder="0" applyAlignment="0" applyProtection="0"/>
    <xf numFmtId="204" fontId="22" fillId="0" borderId="0" applyFont="0" applyFill="0" applyBorder="0" applyAlignment="0" applyProtection="0"/>
    <xf numFmtId="8" fontId="35" fillId="0" borderId="0" applyBorder="0"/>
    <xf numFmtId="205" fontId="6" fillId="0" borderId="0" applyNumberFormat="0">
      <alignment horizontal="right"/>
    </xf>
    <xf numFmtId="15" fontId="6" fillId="0" borderId="0" applyFont="0" applyFill="0" applyBorder="0" applyProtection="0">
      <alignment horizontal="right"/>
    </xf>
    <xf numFmtId="14" fontId="4" fillId="0" borderId="0" applyFill="0" applyBorder="0" applyAlignment="0"/>
    <xf numFmtId="15" fontId="6" fillId="0" borderId="0" applyFont="0" applyFill="0" applyBorder="0" applyProtection="0">
      <alignment horizontal="right"/>
    </xf>
    <xf numFmtId="206" fontId="20" fillId="0" borderId="0" applyFill="0" applyBorder="0" applyProtection="0">
      <alignment horizontal="left"/>
    </xf>
    <xf numFmtId="0" fontId="6" fillId="0" borderId="0">
      <alignment horizontal="left"/>
    </xf>
    <xf numFmtId="38" fontId="54" fillId="0" borderId="6">
      <alignment vertical="center"/>
    </xf>
    <xf numFmtId="207" fontId="34" fillId="0" borderId="0" applyFont="0" applyFill="0" applyBorder="0" applyAlignment="0" applyProtection="0"/>
    <xf numFmtId="4" fontId="5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7" applyNumberFormat="0" applyFont="0" applyFill="0" applyAlignment="0" applyProtection="0"/>
    <xf numFmtId="42" fontId="56" fillId="0" borderId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57" fillId="0" borderId="0" applyNumberFormat="0" applyAlignment="0">
      <alignment horizontal="left"/>
    </xf>
    <xf numFmtId="208" fontId="6" fillId="0" borderId="0" applyFont="0" applyFill="0" applyBorder="0" applyAlignment="0" applyProtection="0"/>
    <xf numFmtId="168" fontId="35" fillId="0" borderId="0" applyNumberFormat="0" applyFont="0" applyAlignment="0">
      <alignment vertical="center"/>
    </xf>
    <xf numFmtId="0" fontId="58" fillId="0" borderId="0">
      <alignment horizontal="center"/>
    </xf>
    <xf numFmtId="0" fontId="59" fillId="0" borderId="0" applyNumberFormat="0" applyFill="0" applyBorder="0" applyAlignment="0" applyProtection="0"/>
    <xf numFmtId="38" fontId="2" fillId="6" borderId="0" applyNumberFormat="0" applyBorder="0" applyAlignment="0" applyProtection="0"/>
    <xf numFmtId="0" fontId="5" fillId="7" borderId="8" applyAlignment="0" applyProtection="0"/>
    <xf numFmtId="0" fontId="60" fillId="0" borderId="3" applyFill="0" applyProtection="0">
      <alignment horizontal="centerContinuous"/>
    </xf>
    <xf numFmtId="41" fontId="61" fillId="0" borderId="0">
      <alignment horizontal="center"/>
    </xf>
    <xf numFmtId="0" fontId="6" fillId="0" borderId="0">
      <alignment horizontal="center"/>
    </xf>
    <xf numFmtId="0" fontId="6" fillId="0" borderId="0">
      <alignment horizontal="left"/>
    </xf>
    <xf numFmtId="0" fontId="6" fillId="0" borderId="0">
      <alignment horizontal="right"/>
    </xf>
    <xf numFmtId="0" fontId="62" fillId="8" borderId="0"/>
    <xf numFmtId="0" fontId="63" fillId="0" borderId="0">
      <alignment horizontal="center" vertical="center"/>
    </xf>
    <xf numFmtId="0" fontId="64" fillId="0" borderId="9" applyNumberFormat="0" applyAlignment="0" applyProtection="0">
      <alignment horizontal="left" vertical="center"/>
    </xf>
    <xf numFmtId="0" fontId="64" fillId="0" borderId="8">
      <alignment horizontal="left" vertical="center"/>
    </xf>
    <xf numFmtId="0" fontId="65" fillId="0" borderId="0">
      <alignment horizontal="center"/>
    </xf>
    <xf numFmtId="0" fontId="66" fillId="0" borderId="0" applyFill="0" applyBorder="0" applyProtection="0">
      <alignment horizontal="right"/>
    </xf>
    <xf numFmtId="0" fontId="67" fillId="0" borderId="10">
      <alignment horizontal="center"/>
    </xf>
    <xf numFmtId="0" fontId="67" fillId="0" borderId="0">
      <alignment horizontal="center"/>
    </xf>
    <xf numFmtId="10" fontId="40" fillId="0" borderId="0" applyNumberFormat="0" applyFill="0" applyBorder="0" applyAlignment="0" applyProtection="0">
      <alignment horizontal="right"/>
    </xf>
    <xf numFmtId="10" fontId="2" fillId="9" borderId="11" applyNumberFormat="0" applyBorder="0" applyAlignment="0" applyProtection="0"/>
    <xf numFmtId="0" fontId="9" fillId="0" borderId="0"/>
    <xf numFmtId="0" fontId="68" fillId="0" borderId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9" fontId="2" fillId="0" borderId="0" applyFont="0" applyFill="0" applyBorder="0" applyProtection="0">
      <alignment horizontal="left"/>
    </xf>
    <xf numFmtId="49" fontId="20" fillId="0" borderId="0" applyFill="0" applyBorder="0" applyProtection="0">
      <alignment horizontal="left"/>
    </xf>
    <xf numFmtId="49" fontId="20" fillId="0" borderId="3" applyFill="0" applyProtection="0">
      <alignment horizontal="left"/>
    </xf>
    <xf numFmtId="49" fontId="20" fillId="0" borderId="12" applyFill="0" applyProtection="0">
      <alignment horizontal="left"/>
    </xf>
    <xf numFmtId="0" fontId="69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65" fontId="6" fillId="0" borderId="0" applyNumberFormat="0" applyFont="0" applyFill="0" applyBorder="0" applyAlignment="0"/>
    <xf numFmtId="17" fontId="22" fillId="0" borderId="0"/>
    <xf numFmtId="0" fontId="27" fillId="0" borderId="0" applyNumberFormat="0" applyFill="0" applyBorder="0" applyProtection="0"/>
    <xf numFmtId="0" fontId="22" fillId="0" borderId="0" applyNumberFormat="0" applyFill="0" applyBorder="0" applyProtection="0"/>
    <xf numFmtId="38" fontId="70" fillId="0" borderId="0" applyNumberFormat="0" applyFill="0" applyBorder="0">
      <alignment horizontal="left" vertical="center"/>
    </xf>
    <xf numFmtId="164" fontId="6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168" fontId="72" fillId="0" borderId="0" applyFill="0" applyBorder="0">
      <alignment vertical="center"/>
    </xf>
    <xf numFmtId="209" fontId="27" fillId="0" borderId="0">
      <alignment horizontal="center"/>
    </xf>
    <xf numFmtId="210" fontId="71" fillId="0" borderId="0" applyFont="0" applyFill="0" applyBorder="0" applyAlignment="0" applyProtection="0"/>
    <xf numFmtId="211" fontId="71" fillId="0" borderId="0" applyFont="0" applyFill="0" applyBorder="0" applyAlignment="0" applyProtection="0"/>
    <xf numFmtId="7" fontId="6" fillId="0" borderId="0"/>
    <xf numFmtId="212" fontId="73" fillId="0" borderId="0" applyFont="0" applyFill="0" applyBorder="0" applyProtection="0">
      <alignment horizontal="right"/>
    </xf>
    <xf numFmtId="213" fontId="55" fillId="0" borderId="0" applyFont="0" applyFill="0" applyBorder="0" applyAlignment="0" applyProtection="0"/>
    <xf numFmtId="214" fontId="22" fillId="0" borderId="0" applyFont="0" applyFill="0" applyBorder="0" applyAlignment="0" applyProtection="0"/>
    <xf numFmtId="215" fontId="55" fillId="0" borderId="0" applyFont="0" applyFill="0" applyBorder="0" applyAlignment="0" applyProtection="0"/>
    <xf numFmtId="216" fontId="27" fillId="0" borderId="0" applyFont="0" applyFill="0" applyBorder="0" applyAlignment="0" applyProtection="0"/>
    <xf numFmtId="217" fontId="22" fillId="0" borderId="0" applyFont="0" applyFill="0" applyBorder="0" applyAlignment="0" applyProtection="0"/>
    <xf numFmtId="218" fontId="55" fillId="0" borderId="0" applyFont="0" applyFill="0" applyBorder="0" applyAlignment="0" applyProtection="0"/>
    <xf numFmtId="219" fontId="55" fillId="0" borderId="0" applyFont="0" applyFill="0" applyBorder="0" applyAlignment="0" applyProtection="0"/>
    <xf numFmtId="220" fontId="22" fillId="0" borderId="0" applyFont="0" applyFill="0" applyBorder="0" applyAlignment="0" applyProtection="0"/>
    <xf numFmtId="221" fontId="6" fillId="0" borderId="0"/>
    <xf numFmtId="0" fontId="10" fillId="10" borderId="0"/>
    <xf numFmtId="0" fontId="11" fillId="11" borderId="0"/>
    <xf numFmtId="0" fontId="12" fillId="0" borderId="0"/>
    <xf numFmtId="222" fontId="74" fillId="0" borderId="0"/>
    <xf numFmtId="0" fontId="6" fillId="0" borderId="0"/>
    <xf numFmtId="0" fontId="75" fillId="0" borderId="0">
      <alignment horizontal="center"/>
    </xf>
    <xf numFmtId="0" fontId="23" fillId="0" borderId="0">
      <alignment horizontal="center" vertical="center"/>
    </xf>
    <xf numFmtId="0" fontId="22" fillId="0" borderId="13"/>
    <xf numFmtId="0" fontId="22" fillId="0" borderId="14"/>
    <xf numFmtId="49" fontId="22" fillId="0" borderId="14">
      <alignment horizontal="left"/>
    </xf>
    <xf numFmtId="0" fontId="22" fillId="0" borderId="15"/>
    <xf numFmtId="0" fontId="22" fillId="0" borderId="3"/>
    <xf numFmtId="0" fontId="22" fillId="0" borderId="16"/>
    <xf numFmtId="0" fontId="22" fillId="6" borderId="17"/>
    <xf numFmtId="0" fontId="23" fillId="6" borderId="12">
      <alignment horizontal="left"/>
    </xf>
    <xf numFmtId="0" fontId="23" fillId="6" borderId="18">
      <alignment horizontal="left"/>
    </xf>
    <xf numFmtId="0" fontId="22" fillId="6" borderId="12"/>
    <xf numFmtId="0" fontId="22" fillId="0" borderId="0">
      <alignment horizontal="left"/>
    </xf>
    <xf numFmtId="0" fontId="23" fillId="6" borderId="12">
      <alignment horizontal="left"/>
    </xf>
    <xf numFmtId="0" fontId="39" fillId="6" borderId="12">
      <alignment horizontal="left"/>
    </xf>
    <xf numFmtId="0" fontId="22" fillId="6" borderId="18"/>
    <xf numFmtId="0" fontId="22" fillId="0" borderId="13">
      <alignment horizontal="left"/>
    </xf>
    <xf numFmtId="0" fontId="22" fillId="0" borderId="0">
      <alignment horizontal="left"/>
    </xf>
    <xf numFmtId="0" fontId="22" fillId="0" borderId="14">
      <alignment horizontal="center"/>
    </xf>
    <xf numFmtId="0" fontId="22" fillId="0" borderId="0">
      <alignment horizontal="left"/>
    </xf>
    <xf numFmtId="0" fontId="23" fillId="6" borderId="17">
      <alignment horizontal="left"/>
    </xf>
    <xf numFmtId="0" fontId="22" fillId="0" borderId="13">
      <alignment horizontal="left"/>
    </xf>
    <xf numFmtId="0" fontId="22" fillId="0" borderId="13">
      <alignment horizontal="right"/>
    </xf>
    <xf numFmtId="171" fontId="23" fillId="0" borderId="0"/>
    <xf numFmtId="0" fontId="22" fillId="0" borderId="13"/>
    <xf numFmtId="168" fontId="22" fillId="0" borderId="14"/>
    <xf numFmtId="0" fontId="22" fillId="0" borderId="13"/>
    <xf numFmtId="0" fontId="22" fillId="0" borderId="13">
      <alignment horizontal="left"/>
    </xf>
    <xf numFmtId="0" fontId="23" fillId="6" borderId="17"/>
    <xf numFmtId="0" fontId="76" fillId="6" borderId="13">
      <alignment horizontal="left"/>
    </xf>
    <xf numFmtId="0" fontId="22" fillId="6" borderId="14"/>
    <xf numFmtId="0" fontId="23" fillId="6" borderId="13">
      <alignment horizontal="left"/>
    </xf>
    <xf numFmtId="0" fontId="22" fillId="0" borderId="13">
      <alignment horizontal="left"/>
    </xf>
    <xf numFmtId="0" fontId="22" fillId="0" borderId="13">
      <alignment horizontal="left"/>
    </xf>
    <xf numFmtId="14" fontId="75" fillId="0" borderId="0">
      <alignment horizontal="center"/>
    </xf>
    <xf numFmtId="49" fontId="77" fillId="0" borderId="13">
      <alignment horizontal="left"/>
    </xf>
    <xf numFmtId="0" fontId="77" fillId="0" borderId="13"/>
    <xf numFmtId="0" fontId="23" fillId="6" borderId="13">
      <alignment horizontal="left"/>
    </xf>
    <xf numFmtId="0" fontId="23" fillId="6" borderId="13"/>
    <xf numFmtId="49" fontId="22" fillId="0" borderId="14">
      <alignment horizontal="left"/>
    </xf>
    <xf numFmtId="0" fontId="75" fillId="0" borderId="13"/>
    <xf numFmtId="0" fontId="75" fillId="0" borderId="0">
      <alignment horizontal="center"/>
    </xf>
    <xf numFmtId="14" fontId="75" fillId="0" borderId="0">
      <alignment horizontal="center"/>
    </xf>
    <xf numFmtId="0" fontId="75" fillId="0" borderId="15"/>
    <xf numFmtId="0" fontId="22" fillId="0" borderId="3">
      <alignment horizontal="center"/>
    </xf>
    <xf numFmtId="0" fontId="22" fillId="0" borderId="0"/>
    <xf numFmtId="0" fontId="75" fillId="0" borderId="3">
      <alignment horizontal="center"/>
    </xf>
    <xf numFmtId="14" fontId="75" fillId="0" borderId="3">
      <alignment horizontal="center"/>
    </xf>
    <xf numFmtId="0" fontId="23" fillId="0" borderId="0">
      <alignment horizontal="left" vertical="center" wrapText="1"/>
    </xf>
    <xf numFmtId="0" fontId="23" fillId="6" borderId="9">
      <alignment horizontal="left" wrapText="1"/>
    </xf>
    <xf numFmtId="0" fontId="23" fillId="0" borderId="0">
      <alignment horizontal="right" vertical="center"/>
    </xf>
    <xf numFmtId="171" fontId="23" fillId="0" borderId="0">
      <alignment horizontal="right"/>
    </xf>
    <xf numFmtId="14" fontId="78" fillId="0" borderId="0">
      <alignment horizontal="center"/>
    </xf>
    <xf numFmtId="0" fontId="23" fillId="6" borderId="19">
      <alignment horizontal="center" wrapText="1"/>
    </xf>
    <xf numFmtId="0" fontId="55" fillId="0" borderId="0">
      <alignment horizontal="center" vertical="center"/>
    </xf>
    <xf numFmtId="1" fontId="79" fillId="0" borderId="0">
      <alignment horizontal="center" wrapText="1"/>
    </xf>
    <xf numFmtId="0" fontId="23" fillId="6" borderId="9">
      <alignment horizontal="center" wrapText="1"/>
    </xf>
    <xf numFmtId="0" fontId="79" fillId="6" borderId="20">
      <alignment horizontal="center" wrapText="1"/>
    </xf>
    <xf numFmtId="0" fontId="79" fillId="6" borderId="19">
      <alignment horizontal="left" wrapText="1"/>
    </xf>
    <xf numFmtId="0" fontId="22" fillId="0" borderId="14">
      <alignment horizontal="left"/>
    </xf>
    <xf numFmtId="0" fontId="55" fillId="0" borderId="0">
      <alignment horizontal="center"/>
    </xf>
    <xf numFmtId="2" fontId="55" fillId="12" borderId="0">
      <alignment horizontal="center"/>
    </xf>
    <xf numFmtId="0" fontId="22" fillId="0" borderId="0">
      <alignment horizontal="left" vertical="top"/>
    </xf>
    <xf numFmtId="16" fontId="22" fillId="0" borderId="0"/>
    <xf numFmtId="0" fontId="22" fillId="12" borderId="0"/>
    <xf numFmtId="14" fontId="22" fillId="0" borderId="0">
      <alignment horizontal="center"/>
    </xf>
    <xf numFmtId="2" fontId="55" fillId="0" borderId="12">
      <alignment horizontal="center" vertical="center"/>
    </xf>
    <xf numFmtId="0" fontId="23" fillId="6" borderId="0">
      <alignment horizontal="center"/>
    </xf>
    <xf numFmtId="2" fontId="55" fillId="0" borderId="0">
      <alignment horizontal="center"/>
    </xf>
    <xf numFmtId="2" fontId="55" fillId="0" borderId="0">
      <alignment horizontal="center"/>
    </xf>
    <xf numFmtId="0" fontId="22" fillId="0" borderId="0">
      <alignment horizontal="left" vertical="top"/>
    </xf>
    <xf numFmtId="15" fontId="22" fillId="0" borderId="0">
      <alignment horizontal="left" vertical="top"/>
    </xf>
    <xf numFmtId="0" fontId="22" fillId="0" borderId="0">
      <alignment horizontal="left" vertical="top"/>
    </xf>
    <xf numFmtId="14" fontId="22" fillId="0" borderId="0">
      <alignment horizontal="center" vertical="top"/>
    </xf>
    <xf numFmtId="0" fontId="55" fillId="0" borderId="0"/>
    <xf numFmtId="0" fontId="79" fillId="0" borderId="3"/>
    <xf numFmtId="14" fontId="79" fillId="0" borderId="3"/>
    <xf numFmtId="2" fontId="55" fillId="0" borderId="3">
      <alignment horizontal="center"/>
    </xf>
    <xf numFmtId="0" fontId="22" fillId="0" borderId="0">
      <alignment horizontal="center"/>
    </xf>
    <xf numFmtId="2" fontId="55" fillId="0" borderId="3">
      <alignment horizontal="center"/>
    </xf>
    <xf numFmtId="0" fontId="55" fillId="0" borderId="3"/>
    <xf numFmtId="0" fontId="55" fillId="0" borderId="3">
      <alignment horizontal="center"/>
    </xf>
    <xf numFmtId="0" fontId="55" fillId="0" borderId="3">
      <alignment horizontal="center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center" vertical="top"/>
    </xf>
    <xf numFmtId="43" fontId="55" fillId="0" borderId="0">
      <alignment horizontal="left"/>
    </xf>
    <xf numFmtId="171" fontId="22" fillId="0" borderId="0"/>
    <xf numFmtId="0" fontId="22" fillId="0" borderId="0">
      <alignment horizontal="center"/>
    </xf>
    <xf numFmtId="0" fontId="75" fillId="0" borderId="0"/>
    <xf numFmtId="43" fontId="22" fillId="0" borderId="0"/>
    <xf numFmtId="1" fontId="22" fillId="0" borderId="0"/>
    <xf numFmtId="0" fontId="23" fillId="0" borderId="0"/>
    <xf numFmtId="43" fontId="22" fillId="0" borderId="0">
      <alignment horizontal="center"/>
    </xf>
    <xf numFmtId="43" fontId="22" fillId="0" borderId="21"/>
    <xf numFmtId="43" fontId="22" fillId="0" borderId="22"/>
    <xf numFmtId="0" fontId="22" fillId="0" borderId="10"/>
    <xf numFmtId="43" fontId="22" fillId="0" borderId="0"/>
    <xf numFmtId="1" fontId="79" fillId="0" borderId="16">
      <alignment horizontal="center" wrapText="1"/>
    </xf>
    <xf numFmtId="0" fontId="55" fillId="0" borderId="0">
      <alignment horizontal="center"/>
    </xf>
    <xf numFmtId="0" fontId="22" fillId="0" borderId="0">
      <alignment horizontal="left"/>
    </xf>
    <xf numFmtId="0" fontId="55" fillId="0" borderId="0"/>
    <xf numFmtId="43" fontId="22" fillId="0" borderId="0">
      <alignment horizontal="center"/>
    </xf>
    <xf numFmtId="0" fontId="23" fillId="0" borderId="3">
      <alignment horizontal="left" vertical="top"/>
    </xf>
    <xf numFmtId="0" fontId="22" fillId="0" borderId="3">
      <alignment horizontal="center" vertical="top"/>
    </xf>
    <xf numFmtId="14" fontId="22" fillId="0" borderId="3">
      <alignment horizontal="center" vertical="top"/>
    </xf>
    <xf numFmtId="15" fontId="22" fillId="0" borderId="3">
      <alignment horizontal="left" vertical="top"/>
    </xf>
    <xf numFmtId="0" fontId="25" fillId="0" borderId="0"/>
    <xf numFmtId="223" fontId="22" fillId="0" borderId="0">
      <alignment vertical="top"/>
    </xf>
    <xf numFmtId="0" fontId="22" fillId="0" borderId="3">
      <alignment horizontal="left" vertical="top"/>
    </xf>
    <xf numFmtId="0" fontId="22" fillId="0" borderId="0">
      <alignment horizontal="center" wrapText="1"/>
    </xf>
    <xf numFmtId="0" fontId="22" fillId="0" borderId="0">
      <alignment horizontal="center"/>
    </xf>
    <xf numFmtId="0" fontId="22" fillId="0" borderId="0">
      <alignment horizontal="center" vertical="top"/>
    </xf>
    <xf numFmtId="0" fontId="23" fillId="0" borderId="0"/>
    <xf numFmtId="14" fontId="22" fillId="0" borderId="0">
      <alignment horizontal="center"/>
    </xf>
    <xf numFmtId="14" fontId="22" fillId="0" borderId="0">
      <alignment horizontal="left" vertical="top"/>
    </xf>
    <xf numFmtId="41" fontId="22" fillId="0" borderId="0"/>
    <xf numFmtId="3" fontId="23" fillId="0" borderId="23">
      <alignment horizontal="right" vertical="center"/>
    </xf>
    <xf numFmtId="171" fontId="23" fillId="0" borderId="22">
      <alignment horizontal="right"/>
    </xf>
    <xf numFmtId="224" fontId="79" fillId="0" borderId="0">
      <alignment wrapText="1"/>
    </xf>
    <xf numFmtId="0" fontId="22" fillId="0" borderId="0">
      <alignment horizontal="center"/>
    </xf>
    <xf numFmtId="225" fontId="23" fillId="0" borderId="10"/>
    <xf numFmtId="225" fontId="23" fillId="0" borderId="0"/>
    <xf numFmtId="0" fontId="22" fillId="0" borderId="0">
      <alignment vertical="top"/>
    </xf>
    <xf numFmtId="3" fontId="23" fillId="0" borderId="21">
      <alignment horizontal="right" vertical="center"/>
    </xf>
    <xf numFmtId="0" fontId="79" fillId="0" borderId="15">
      <alignment horizontal="center" wrapText="1"/>
    </xf>
    <xf numFmtId="3" fontId="23" fillId="0" borderId="24">
      <alignment horizontal="right" vertical="center"/>
    </xf>
    <xf numFmtId="3" fontId="23" fillId="0" borderId="0">
      <alignment horizontal="right" vertical="center"/>
    </xf>
    <xf numFmtId="171" fontId="23" fillId="0" borderId="10">
      <alignment horizontal="right"/>
    </xf>
    <xf numFmtId="0" fontId="4" fillId="0" borderId="25">
      <alignment wrapText="1"/>
    </xf>
    <xf numFmtId="226" fontId="4" fillId="0" borderId="25">
      <alignment horizontal="right" wrapText="1"/>
    </xf>
    <xf numFmtId="4" fontId="22" fillId="0" borderId="0">
      <alignment horizontal="center"/>
    </xf>
    <xf numFmtId="0" fontId="23" fillId="6" borderId="9">
      <alignment horizontal="center"/>
    </xf>
    <xf numFmtId="0" fontId="23" fillId="6" borderId="20">
      <alignment horizontal="center"/>
    </xf>
    <xf numFmtId="14" fontId="22" fillId="0" borderId="0">
      <alignment horizontal="center" vertical="top"/>
    </xf>
    <xf numFmtId="0" fontId="22" fillId="13" borderId="0">
      <alignment vertical="top"/>
    </xf>
    <xf numFmtId="0" fontId="22" fillId="13" borderId="0"/>
    <xf numFmtId="0" fontId="4" fillId="0" borderId="25">
      <alignment wrapText="1"/>
    </xf>
    <xf numFmtId="227" fontId="26" fillId="0" borderId="0">
      <alignment horizontal="right" vertical="center" wrapText="1"/>
    </xf>
    <xf numFmtId="0" fontId="26" fillId="0" borderId="0">
      <alignment horizontal="right" vertical="center" wrapText="1"/>
    </xf>
    <xf numFmtId="0" fontId="4" fillId="0" borderId="0">
      <alignment wrapText="1"/>
    </xf>
    <xf numFmtId="171" fontId="22" fillId="0" borderId="0"/>
    <xf numFmtId="0" fontId="22" fillId="13" borderId="0">
      <alignment horizontal="center"/>
    </xf>
    <xf numFmtId="0" fontId="23" fillId="13" borderId="0"/>
    <xf numFmtId="0" fontId="22" fillId="13" borderId="0">
      <alignment horizontal="center" vertical="top"/>
    </xf>
    <xf numFmtId="0" fontId="22" fillId="0" borderId="0">
      <alignment vertical="top"/>
    </xf>
    <xf numFmtId="14" fontId="22" fillId="13" borderId="0">
      <alignment horizontal="center" vertical="top"/>
    </xf>
    <xf numFmtId="15" fontId="22" fillId="13" borderId="0">
      <alignment horizontal="left" vertical="top"/>
    </xf>
    <xf numFmtId="0" fontId="22" fillId="13" borderId="0">
      <alignment horizontal="left" vertical="top"/>
    </xf>
    <xf numFmtId="14" fontId="22" fillId="13" borderId="0">
      <alignment horizontal="left" vertical="top"/>
    </xf>
    <xf numFmtId="0" fontId="22" fillId="14" borderId="0">
      <alignment horizontal="center"/>
    </xf>
    <xf numFmtId="0" fontId="23" fillId="14" borderId="0"/>
    <xf numFmtId="0" fontId="22" fillId="14" borderId="0">
      <alignment horizontal="center" vertical="top"/>
    </xf>
    <xf numFmtId="14" fontId="22" fillId="14" borderId="0">
      <alignment horizontal="center" vertical="top"/>
    </xf>
    <xf numFmtId="0" fontId="22" fillId="14" borderId="0">
      <alignment vertical="top"/>
    </xf>
    <xf numFmtId="15" fontId="22" fillId="14" borderId="0">
      <alignment horizontal="left" vertical="top"/>
    </xf>
    <xf numFmtId="15" fontId="75" fillId="0" borderId="0">
      <alignment horizontal="left"/>
    </xf>
    <xf numFmtId="0" fontId="22" fillId="14" borderId="0">
      <alignment horizontal="left" vertical="top"/>
    </xf>
    <xf numFmtId="171" fontId="22" fillId="14" borderId="0">
      <alignment vertical="top"/>
    </xf>
    <xf numFmtId="14" fontId="22" fillId="14" borderId="0">
      <alignment horizontal="left" vertical="top"/>
    </xf>
    <xf numFmtId="0" fontId="22" fillId="14" borderId="0">
      <alignment horizontal="center"/>
    </xf>
    <xf numFmtId="0" fontId="22" fillId="14" borderId="0"/>
    <xf numFmtId="0" fontId="23" fillId="14" borderId="0">
      <alignment horizontal="left" vertical="top"/>
    </xf>
    <xf numFmtId="14" fontId="22" fillId="14" borderId="0">
      <alignment horizontal="center" vertical="top"/>
    </xf>
    <xf numFmtId="0" fontId="55" fillId="14" borderId="0">
      <alignment horizontal="center"/>
    </xf>
    <xf numFmtId="0" fontId="75" fillId="14" borderId="0">
      <alignment horizontal="center"/>
    </xf>
    <xf numFmtId="0" fontId="22" fillId="14" borderId="0"/>
    <xf numFmtId="0" fontId="55" fillId="0" borderId="0"/>
    <xf numFmtId="0" fontId="23" fillId="0" borderId="0">
      <alignment horizontal="center"/>
    </xf>
    <xf numFmtId="0" fontId="23" fillId="0" borderId="0">
      <alignment horizontal="center"/>
    </xf>
    <xf numFmtId="171" fontId="23" fillId="6" borderId="23">
      <alignment horizontal="center"/>
    </xf>
    <xf numFmtId="171" fontId="23" fillId="6" borderId="24">
      <alignment horizontal="center"/>
    </xf>
    <xf numFmtId="2" fontId="55" fillId="0" borderId="0"/>
    <xf numFmtId="0" fontId="55" fillId="0" borderId="0"/>
    <xf numFmtId="2" fontId="55" fillId="0" borderId="0">
      <alignment horizontal="center"/>
    </xf>
    <xf numFmtId="0" fontId="55" fillId="0" borderId="0">
      <alignment horizontal="center"/>
    </xf>
    <xf numFmtId="0" fontId="75" fillId="0" borderId="0">
      <alignment wrapText="1"/>
    </xf>
    <xf numFmtId="0" fontId="55" fillId="0" borderId="0">
      <alignment horizontal="center"/>
    </xf>
    <xf numFmtId="0" fontId="79" fillId="0" borderId="0">
      <alignment horizontal="left" vertical="center"/>
    </xf>
    <xf numFmtId="2" fontId="55" fillId="0" borderId="12">
      <alignment horizontal="center" vertical="center"/>
    </xf>
    <xf numFmtId="0" fontId="55" fillId="0" borderId="12">
      <alignment horizontal="center" vertical="center"/>
    </xf>
    <xf numFmtId="0" fontId="55" fillId="0" borderId="18">
      <alignment horizontal="center" vertical="center"/>
    </xf>
    <xf numFmtId="0" fontId="55" fillId="0" borderId="0">
      <alignment horizontal="center" vertical="center"/>
    </xf>
    <xf numFmtId="0" fontId="55" fillId="0" borderId="0">
      <alignment horizontal="left" vertical="center"/>
    </xf>
    <xf numFmtId="0" fontId="79" fillId="0" borderId="0">
      <alignment horizontal="left"/>
    </xf>
    <xf numFmtId="0" fontId="79" fillId="0" borderId="0">
      <alignment horizontal="left"/>
    </xf>
    <xf numFmtId="0" fontId="79" fillId="0" borderId="0">
      <alignment horizontal="center"/>
    </xf>
    <xf numFmtId="0" fontId="22" fillId="0" borderId="0">
      <alignment horizontal="center" vertical="center" wrapText="1"/>
    </xf>
    <xf numFmtId="0" fontId="79" fillId="0" borderId="0">
      <alignment horizontal="center" wrapText="1"/>
    </xf>
    <xf numFmtId="0" fontId="79" fillId="0" borderId="13">
      <alignment horizontal="center" wrapText="1"/>
    </xf>
    <xf numFmtId="1" fontId="79" fillId="0" borderId="14">
      <alignment horizontal="center" wrapText="1"/>
    </xf>
    <xf numFmtId="0" fontId="79" fillId="0" borderId="0">
      <alignment horizontal="center"/>
    </xf>
    <xf numFmtId="228" fontId="79" fillId="0" borderId="0">
      <alignment horizontal="center" wrapText="1"/>
    </xf>
    <xf numFmtId="43" fontId="79" fillId="0" borderId="0"/>
    <xf numFmtId="0" fontId="79" fillId="0" borderId="0"/>
    <xf numFmtId="0" fontId="55" fillId="0" borderId="0">
      <alignment wrapText="1"/>
    </xf>
    <xf numFmtId="0" fontId="79" fillId="0" borderId="0">
      <alignment horizontal="center" wrapText="1"/>
    </xf>
    <xf numFmtId="0" fontId="79" fillId="0" borderId="0">
      <alignment horizontal="center" wrapText="1"/>
    </xf>
    <xf numFmtId="43" fontId="22" fillId="0" borderId="0">
      <alignment horizontal="center" vertical="center" wrapText="1"/>
    </xf>
    <xf numFmtId="0" fontId="79" fillId="0" borderId="0">
      <alignment horizontal="center" wrapText="1"/>
    </xf>
    <xf numFmtId="229" fontId="79" fillId="0" borderId="0">
      <alignment horizontal="center" wrapText="1"/>
    </xf>
    <xf numFmtId="0" fontId="79" fillId="6" borderId="9">
      <alignment horizontal="center" wrapText="1"/>
    </xf>
    <xf numFmtId="2" fontId="79" fillId="6" borderId="9">
      <alignment horizontal="center" wrapText="1"/>
    </xf>
    <xf numFmtId="0" fontId="79" fillId="6" borderId="9">
      <alignment horizontal="center" wrapText="1"/>
    </xf>
    <xf numFmtId="0" fontId="79" fillId="0" borderId="0">
      <alignment horizontal="center" wrapText="1"/>
    </xf>
    <xf numFmtId="0" fontId="22" fillId="0" borderId="0"/>
    <xf numFmtId="0" fontId="22" fillId="0" borderId="0"/>
    <xf numFmtId="0" fontId="80" fillId="0" borderId="0">
      <alignment horizontal="left" vertical="center"/>
    </xf>
    <xf numFmtId="171" fontId="80" fillId="0" borderId="0">
      <alignment horizontal="left" vertical="center"/>
    </xf>
    <xf numFmtId="0" fontId="23" fillId="0" borderId="0">
      <alignment horizontal="center" vertical="center" wrapText="1"/>
    </xf>
    <xf numFmtId="0" fontId="80" fillId="0" borderId="0">
      <alignment horizontal="center" vertical="center"/>
    </xf>
    <xf numFmtId="0" fontId="23" fillId="0" borderId="23">
      <alignment horizontal="left"/>
    </xf>
    <xf numFmtId="41" fontId="23" fillId="0" borderId="26"/>
    <xf numFmtId="0" fontId="23" fillId="0" borderId="23"/>
    <xf numFmtId="41" fontId="23" fillId="0" borderId="0"/>
    <xf numFmtId="0" fontId="23" fillId="0" borderId="21"/>
    <xf numFmtId="171" fontId="23" fillId="0" borderId="27"/>
    <xf numFmtId="171" fontId="23" fillId="0" borderId="0"/>
    <xf numFmtId="43" fontId="23" fillId="0" borderId="27"/>
    <xf numFmtId="43" fontId="23" fillId="0" borderId="0"/>
    <xf numFmtId="0" fontId="22" fillId="0" borderId="0">
      <alignment wrapText="1"/>
    </xf>
    <xf numFmtId="0" fontId="23" fillId="0" borderId="22"/>
    <xf numFmtId="43" fontId="23" fillId="0" borderId="28"/>
    <xf numFmtId="0" fontId="23" fillId="0" borderId="0">
      <alignment horizontal="center"/>
    </xf>
    <xf numFmtId="0" fontId="23" fillId="6" borderId="23">
      <alignment horizontal="center"/>
    </xf>
    <xf numFmtId="171" fontId="23" fillId="6" borderId="24">
      <alignment horizontal="center"/>
    </xf>
    <xf numFmtId="0" fontId="23" fillId="6" borderId="24">
      <alignment horizontal="center"/>
    </xf>
    <xf numFmtId="0" fontId="23" fillId="6" borderId="26">
      <alignment horizontal="center"/>
    </xf>
    <xf numFmtId="0" fontId="23" fillId="6" borderId="22">
      <alignment horizontal="center"/>
    </xf>
    <xf numFmtId="171" fontId="23" fillId="6" borderId="10">
      <alignment horizontal="right"/>
    </xf>
    <xf numFmtId="0" fontId="23" fillId="6" borderId="10">
      <alignment horizontal="center"/>
    </xf>
    <xf numFmtId="0" fontId="22" fillId="0" borderId="0">
      <alignment horizontal="left" vertical="center" wrapText="1"/>
    </xf>
    <xf numFmtId="0" fontId="23" fillId="6" borderId="28">
      <alignment horizontal="center"/>
    </xf>
    <xf numFmtId="0" fontId="23" fillId="15" borderId="0">
      <alignment horizontal="center"/>
    </xf>
    <xf numFmtId="171" fontId="23" fillId="6" borderId="22">
      <alignment horizontal="center"/>
    </xf>
    <xf numFmtId="171" fontId="23" fillId="6" borderId="10">
      <alignment horizontal="center"/>
    </xf>
    <xf numFmtId="0" fontId="23" fillId="6" borderId="10">
      <alignment horizontal="center"/>
    </xf>
    <xf numFmtId="171" fontId="23" fillId="6" borderId="28">
      <alignment horizontal="center"/>
    </xf>
    <xf numFmtId="0" fontId="23" fillId="6" borderId="29">
      <alignment horizontal="center"/>
    </xf>
    <xf numFmtId="0" fontId="23" fillId="6" borderId="3">
      <alignment horizontal="center"/>
    </xf>
    <xf numFmtId="0" fontId="23" fillId="6" borderId="3">
      <alignment horizontal="center"/>
    </xf>
    <xf numFmtId="0" fontId="23" fillId="6" borderId="30">
      <alignment horizontal="center"/>
    </xf>
    <xf numFmtId="0" fontId="22" fillId="0" borderId="0"/>
    <xf numFmtId="0" fontId="23" fillId="6" borderId="21">
      <alignment horizontal="center"/>
    </xf>
    <xf numFmtId="0" fontId="23" fillId="6" borderId="0">
      <alignment horizontal="center"/>
    </xf>
    <xf numFmtId="0" fontId="23" fillId="6" borderId="27">
      <alignment horizontal="center"/>
    </xf>
    <xf numFmtId="0" fontId="39" fillId="0" borderId="0">
      <alignment horizontal="left"/>
    </xf>
    <xf numFmtId="49" fontId="22" fillId="0" borderId="0">
      <alignment horizontal="left"/>
    </xf>
    <xf numFmtId="0" fontId="39" fillId="0" borderId="0">
      <alignment horizontal="left"/>
    </xf>
    <xf numFmtId="15" fontId="75" fillId="15" borderId="0">
      <alignment horizontal="left"/>
    </xf>
    <xf numFmtId="0" fontId="22" fillId="0" borderId="0">
      <alignment horizontal="right"/>
    </xf>
    <xf numFmtId="49" fontId="22" fillId="0" borderId="0">
      <alignment horizontal="left"/>
    </xf>
    <xf numFmtId="49" fontId="22" fillId="0" borderId="0">
      <alignment horizontal="left"/>
    </xf>
    <xf numFmtId="10" fontId="75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1" fillId="0" borderId="0">
      <alignment horizontal="left" vertical="top"/>
      <protection locked="0"/>
    </xf>
    <xf numFmtId="0" fontId="35" fillId="0" borderId="11" applyNumberFormat="0" applyFont="0" applyFill="0" applyAlignment="0" applyProtection="0"/>
    <xf numFmtId="40" fontId="82" fillId="15" borderId="0">
      <alignment horizontal="right"/>
    </xf>
    <xf numFmtId="0" fontId="83" fillId="15" borderId="0">
      <alignment horizontal="right"/>
    </xf>
    <xf numFmtId="0" fontId="84" fillId="15" borderId="14"/>
    <xf numFmtId="0" fontId="84" fillId="0" borderId="0" applyBorder="0">
      <alignment horizontal="centerContinuous"/>
    </xf>
    <xf numFmtId="230" fontId="85" fillId="0" borderId="0" applyFill="0">
      <alignment horizontal="center" vertical="center"/>
    </xf>
    <xf numFmtId="0" fontId="23" fillId="0" borderId="31" applyNumberFormat="0" applyAlignment="0" applyProtection="0"/>
    <xf numFmtId="0" fontId="22" fillId="16" borderId="0" applyNumberFormat="0" applyFont="0" applyBorder="0" applyAlignment="0" applyProtection="0"/>
    <xf numFmtId="0" fontId="2" fillId="17" borderId="32" applyNumberFormat="0" applyFont="0" applyBorder="0" applyAlignment="0" applyProtection="0">
      <alignment horizontal="center"/>
    </xf>
    <xf numFmtId="0" fontId="2" fillId="18" borderId="32" applyNumberFormat="0" applyFont="0" applyBorder="0" applyAlignment="0" applyProtection="0">
      <alignment horizontal="center"/>
    </xf>
    <xf numFmtId="0" fontId="22" fillId="0" borderId="33" applyNumberFormat="0" applyAlignment="0" applyProtection="0"/>
    <xf numFmtId="0" fontId="22" fillId="0" borderId="34" applyNumberFormat="0" applyAlignment="0" applyProtection="0"/>
    <xf numFmtId="0" fontId="23" fillId="0" borderId="35" applyNumberFormat="0" applyAlignment="0" applyProtection="0"/>
    <xf numFmtId="14" fontId="27" fillId="0" borderId="0">
      <alignment horizontal="center" wrapText="1"/>
      <protection locked="0"/>
    </xf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231" fontId="86" fillId="0" borderId="0" applyFont="0" applyFill="0" applyBorder="0" applyAlignment="0" applyProtection="0"/>
    <xf numFmtId="168" fontId="55" fillId="0" borderId="0" applyFont="0" applyFill="0" applyBorder="0" applyAlignment="0" applyProtection="0"/>
    <xf numFmtId="232" fontId="55" fillId="0" borderId="0" applyFont="0" applyFill="0" applyBorder="0" applyAlignment="0" applyProtection="0"/>
    <xf numFmtId="233" fontId="55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171" fontId="75" fillId="0" borderId="0">
      <alignment horizontal="right"/>
    </xf>
    <xf numFmtId="171" fontId="23" fillId="0" borderId="0">
      <alignment horizontal="left" vertical="center"/>
    </xf>
    <xf numFmtId="170" fontId="2" fillId="0" borderId="0"/>
    <xf numFmtId="171" fontId="75" fillId="0" borderId="0">
      <alignment horizontal="right"/>
    </xf>
    <xf numFmtId="171" fontId="75" fillId="0" borderId="0">
      <alignment horizontal="center"/>
    </xf>
    <xf numFmtId="169" fontId="75" fillId="0" borderId="0">
      <alignment horizontal="right"/>
    </xf>
    <xf numFmtId="171" fontId="75" fillId="0" borderId="3">
      <alignment horizontal="right"/>
    </xf>
    <xf numFmtId="171" fontId="75" fillId="0" borderId="3">
      <alignment horizontal="center"/>
    </xf>
    <xf numFmtId="169" fontId="75" fillId="0" borderId="3">
      <alignment horizontal="right"/>
    </xf>
    <xf numFmtId="43" fontId="75" fillId="0" borderId="3">
      <alignment horizontal="center"/>
    </xf>
    <xf numFmtId="234" fontId="75" fillId="0" borderId="12"/>
    <xf numFmtId="235" fontId="75" fillId="0" borderId="12">
      <alignment horizontal="center"/>
    </xf>
    <xf numFmtId="171" fontId="23" fillId="0" borderId="0">
      <alignment horizontal="right" vertical="center"/>
    </xf>
    <xf numFmtId="235" fontId="75" fillId="0" borderId="18">
      <alignment horizontal="center" wrapText="1"/>
    </xf>
    <xf numFmtId="235" fontId="75" fillId="0" borderId="0">
      <alignment horizontal="center"/>
    </xf>
    <xf numFmtId="235" fontId="75" fillId="0" borderId="14">
      <alignment horizontal="center" wrapText="1"/>
    </xf>
    <xf numFmtId="234" fontId="75" fillId="0" borderId="14">
      <alignment wrapText="1"/>
    </xf>
    <xf numFmtId="234" fontId="75" fillId="0" borderId="3"/>
    <xf numFmtId="234" fontId="75" fillId="0" borderId="16">
      <alignment wrapText="1"/>
    </xf>
    <xf numFmtId="236" fontId="23" fillId="0" borderId="0">
      <alignment horizontal="left"/>
    </xf>
    <xf numFmtId="237" fontId="23" fillId="0" borderId="0">
      <alignment horizontal="left"/>
    </xf>
    <xf numFmtId="238" fontId="23" fillId="0" borderId="0">
      <alignment horizontal="left"/>
    </xf>
    <xf numFmtId="171" fontId="22" fillId="0" borderId="0">
      <alignment vertical="top"/>
    </xf>
    <xf numFmtId="239" fontId="23" fillId="0" borderId="0">
      <alignment horizontal="center"/>
    </xf>
    <xf numFmtId="234" fontId="78" fillId="0" borderId="0"/>
    <xf numFmtId="171" fontId="55" fillId="0" borderId="0">
      <alignment horizontal="right"/>
    </xf>
    <xf numFmtId="171" fontId="55" fillId="0" borderId="0">
      <alignment horizontal="center"/>
    </xf>
    <xf numFmtId="235" fontId="22" fillId="0" borderId="0">
      <alignment horizontal="center" vertical="top"/>
    </xf>
    <xf numFmtId="171" fontId="20" fillId="0" borderId="3">
      <alignment horizontal="centerContinuous"/>
    </xf>
    <xf numFmtId="171" fontId="2" fillId="0" borderId="3">
      <alignment horizontal="center"/>
    </xf>
    <xf numFmtId="171" fontId="2" fillId="0" borderId="0"/>
    <xf numFmtId="171" fontId="2" fillId="0" borderId="3"/>
    <xf numFmtId="43" fontId="2" fillId="0" borderId="3"/>
    <xf numFmtId="43" fontId="20" fillId="0" borderId="0">
      <alignment horizontal="right"/>
    </xf>
    <xf numFmtId="169" fontId="23" fillId="0" borderId="0">
      <alignment horizontal="right" vertical="center"/>
    </xf>
    <xf numFmtId="165" fontId="79" fillId="0" borderId="0">
      <alignment horizontal="center" wrapText="1"/>
    </xf>
    <xf numFmtId="2" fontId="79" fillId="0" borderId="0">
      <alignment horizontal="center"/>
    </xf>
    <xf numFmtId="43" fontId="55" fillId="0" borderId="0"/>
    <xf numFmtId="0" fontId="2" fillId="0" borderId="0">
      <alignment horizontal="center"/>
    </xf>
    <xf numFmtId="43" fontId="22" fillId="0" borderId="0">
      <alignment horizontal="center" vertical="top"/>
    </xf>
    <xf numFmtId="234" fontId="22" fillId="0" borderId="0">
      <alignment horizontal="center" vertical="top"/>
    </xf>
    <xf numFmtId="235" fontId="22" fillId="0" borderId="0">
      <alignment horizontal="center" vertical="top" wrapText="1"/>
    </xf>
    <xf numFmtId="43" fontId="22" fillId="0" borderId="0">
      <alignment horizontal="left" vertical="top"/>
    </xf>
    <xf numFmtId="171" fontId="22" fillId="0" borderId="0">
      <alignment horizontal="right" vertical="top"/>
    </xf>
    <xf numFmtId="43" fontId="22" fillId="0" borderId="0">
      <alignment horizontal="center" vertical="top"/>
    </xf>
    <xf numFmtId="43" fontId="23" fillId="0" borderId="0">
      <alignment horizontal="center"/>
    </xf>
    <xf numFmtId="234" fontId="22" fillId="0" borderId="0">
      <alignment horizontal="center" vertical="top"/>
    </xf>
    <xf numFmtId="235" fontId="22" fillId="0" borderId="0">
      <alignment horizontal="center" vertical="top" wrapText="1"/>
    </xf>
    <xf numFmtId="171" fontId="22" fillId="0" borderId="0">
      <alignment horizontal="left" vertical="top"/>
    </xf>
    <xf numFmtId="43" fontId="22" fillId="0" borderId="0">
      <alignment horizontal="left" vertical="top"/>
    </xf>
    <xf numFmtId="171" fontId="2" fillId="0" borderId="0">
      <alignment horizontal="left"/>
    </xf>
    <xf numFmtId="171" fontId="20" fillId="0" borderId="0">
      <alignment horizontal="centerContinuous"/>
    </xf>
    <xf numFmtId="171" fontId="20" fillId="0" borderId="0">
      <alignment horizontal="left"/>
    </xf>
    <xf numFmtId="171" fontId="20" fillId="0" borderId="3">
      <alignment horizontal="left"/>
    </xf>
    <xf numFmtId="43" fontId="55" fillId="0" borderId="0"/>
    <xf numFmtId="43" fontId="55" fillId="0" borderId="3">
      <alignment horizontal="center"/>
    </xf>
    <xf numFmtId="234" fontId="23" fillId="0" borderId="0">
      <alignment horizontal="center"/>
    </xf>
    <xf numFmtId="43" fontId="55" fillId="0" borderId="3"/>
    <xf numFmtId="43" fontId="20" fillId="0" borderId="0"/>
    <xf numFmtId="171" fontId="2" fillId="14" borderId="0">
      <alignment horizontal="center"/>
    </xf>
    <xf numFmtId="171" fontId="2" fillId="14" borderId="0">
      <alignment horizontal="center"/>
    </xf>
    <xf numFmtId="171" fontId="20" fillId="14" borderId="0">
      <alignment horizontal="centerContinuous"/>
    </xf>
    <xf numFmtId="171" fontId="20" fillId="14" borderId="3">
      <alignment horizontal="center" wrapText="1"/>
    </xf>
    <xf numFmtId="171" fontId="2" fillId="19" borderId="0">
      <alignment horizontal="center"/>
    </xf>
    <xf numFmtId="171" fontId="2" fillId="19" borderId="0">
      <alignment horizontal="center"/>
    </xf>
    <xf numFmtId="171" fontId="20" fillId="19" borderId="0">
      <alignment horizontal="centerContinuous"/>
    </xf>
    <xf numFmtId="171" fontId="20" fillId="19" borderId="3">
      <alignment horizontal="centerContinuous"/>
    </xf>
    <xf numFmtId="234" fontId="23" fillId="0" borderId="0">
      <alignment horizontal="center" wrapText="1"/>
    </xf>
    <xf numFmtId="171" fontId="22" fillId="0" borderId="0"/>
    <xf numFmtId="43" fontId="22" fillId="0" borderId="0"/>
    <xf numFmtId="43" fontId="22" fillId="0" borderId="0">
      <alignment horizontal="center"/>
    </xf>
    <xf numFmtId="171" fontId="22" fillId="0" borderId="0"/>
    <xf numFmtId="170" fontId="22" fillId="0" borderId="0"/>
    <xf numFmtId="43" fontId="22" fillId="0" borderId="27"/>
    <xf numFmtId="171" fontId="22" fillId="0" borderId="3"/>
    <xf numFmtId="43" fontId="22" fillId="0" borderId="28"/>
    <xf numFmtId="170" fontId="22" fillId="0" borderId="10"/>
    <xf numFmtId="10" fontId="22" fillId="0" borderId="0"/>
    <xf numFmtId="236" fontId="23" fillId="0" borderId="0">
      <alignment horizontal="center"/>
    </xf>
    <xf numFmtId="43" fontId="22" fillId="0" borderId="0"/>
    <xf numFmtId="240" fontId="23" fillId="0" borderId="0">
      <alignment horizontal="center" vertical="top"/>
    </xf>
    <xf numFmtId="14" fontId="20" fillId="0" borderId="0">
      <alignment horizontal="center"/>
    </xf>
    <xf numFmtId="4" fontId="55" fillId="0" borderId="0">
      <alignment horizontal="right" vertical="top"/>
    </xf>
    <xf numFmtId="171" fontId="55" fillId="0" borderId="0">
      <alignment horizontal="center" vertical="top"/>
    </xf>
    <xf numFmtId="171" fontId="22" fillId="0" borderId="3">
      <alignment horizontal="right" vertical="top"/>
    </xf>
    <xf numFmtId="169" fontId="22" fillId="0" borderId="3">
      <alignment horizontal="center" vertical="top"/>
    </xf>
    <xf numFmtId="43" fontId="22" fillId="0" borderId="3">
      <alignment horizontal="center" vertical="top"/>
    </xf>
    <xf numFmtId="234" fontId="22" fillId="0" borderId="3">
      <alignment horizontal="center" vertical="top"/>
    </xf>
    <xf numFmtId="235" fontId="22" fillId="0" borderId="3">
      <alignment horizontal="center" vertical="top" wrapText="1"/>
    </xf>
    <xf numFmtId="236" fontId="23" fillId="0" borderId="0">
      <alignment horizontal="center" wrapText="1"/>
    </xf>
    <xf numFmtId="171" fontId="22" fillId="0" borderId="3">
      <alignment horizontal="center" vertical="top"/>
    </xf>
    <xf numFmtId="171" fontId="22" fillId="0" borderId="3">
      <alignment horizontal="left" vertical="top"/>
    </xf>
    <xf numFmtId="171" fontId="22" fillId="0" borderId="3">
      <alignment vertical="top"/>
    </xf>
    <xf numFmtId="43" fontId="22" fillId="0" borderId="3">
      <alignment horizontal="left" vertical="top"/>
    </xf>
    <xf numFmtId="235" fontId="22" fillId="0" borderId="3">
      <alignment horizontal="center" vertical="top"/>
    </xf>
    <xf numFmtId="43" fontId="2" fillId="0" borderId="0">
      <alignment horizontal="center"/>
    </xf>
    <xf numFmtId="171" fontId="23" fillId="0" borderId="24">
      <alignment horizontal="right" vertical="center"/>
    </xf>
    <xf numFmtId="238" fontId="23" fillId="0" borderId="24">
      <alignment horizontal="left"/>
    </xf>
    <xf numFmtId="241" fontId="23" fillId="0" borderId="24">
      <alignment horizontal="left"/>
    </xf>
    <xf numFmtId="169" fontId="23" fillId="0" borderId="24">
      <alignment horizontal="right" vertical="center"/>
    </xf>
    <xf numFmtId="171" fontId="23" fillId="0" borderId="0">
      <alignment horizontal="left"/>
    </xf>
    <xf numFmtId="171" fontId="23" fillId="0" borderId="10">
      <alignment horizontal="right" vertical="center"/>
    </xf>
    <xf numFmtId="238" fontId="23" fillId="0" borderId="10">
      <alignment horizontal="left"/>
    </xf>
    <xf numFmtId="241" fontId="23" fillId="0" borderId="10">
      <alignment horizontal="left"/>
    </xf>
    <xf numFmtId="169" fontId="23" fillId="0" borderId="10">
      <alignment horizontal="right"/>
    </xf>
    <xf numFmtId="242" fontId="23" fillId="0" borderId="28">
      <alignment horizontal="left"/>
    </xf>
    <xf numFmtId="171" fontId="23" fillId="0" borderId="10">
      <alignment horizontal="left" vertical="center"/>
    </xf>
    <xf numFmtId="170" fontId="2" fillId="0" borderId="0">
      <alignment horizontal="center"/>
    </xf>
    <xf numFmtId="43" fontId="2" fillId="14" borderId="0">
      <alignment horizontal="center"/>
    </xf>
    <xf numFmtId="43" fontId="2" fillId="19" borderId="0">
      <alignment horizontal="center"/>
    </xf>
    <xf numFmtId="241" fontId="23" fillId="0" borderId="0">
      <alignment horizontal="left"/>
    </xf>
    <xf numFmtId="168" fontId="20" fillId="0" borderId="0" applyFill="0" applyBorder="0" applyAlignment="0" applyProtection="0"/>
    <xf numFmtId="171" fontId="75" fillId="0" borderId="0">
      <alignment horizontal="center"/>
    </xf>
    <xf numFmtId="171" fontId="23" fillId="0" borderId="0">
      <alignment horizontal="right"/>
    </xf>
    <xf numFmtId="242" fontId="23" fillId="0" borderId="27">
      <alignment horizontal="left"/>
    </xf>
    <xf numFmtId="43" fontId="22" fillId="0" borderId="26">
      <alignment horizontal="center"/>
    </xf>
    <xf numFmtId="171" fontId="23" fillId="0" borderId="3">
      <alignment horizontal="right" vertical="center"/>
    </xf>
    <xf numFmtId="243" fontId="23" fillId="0" borderId="27">
      <alignment horizontal="left"/>
    </xf>
    <xf numFmtId="171" fontId="22" fillId="13" borderId="0"/>
    <xf numFmtId="171" fontId="22" fillId="13" borderId="0">
      <alignment horizontal="center" vertical="top"/>
    </xf>
    <xf numFmtId="171" fontId="22" fillId="0" borderId="10"/>
    <xf numFmtId="171" fontId="22" fillId="13" borderId="0">
      <alignment horizontal="center" vertical="top"/>
    </xf>
    <xf numFmtId="171" fontId="22" fillId="13" borderId="0">
      <alignment horizontal="right" vertical="top"/>
    </xf>
    <xf numFmtId="169" fontId="22" fillId="13" borderId="0">
      <alignment horizontal="center" vertical="top"/>
    </xf>
    <xf numFmtId="169" fontId="23" fillId="0" borderId="0">
      <alignment horizontal="right"/>
    </xf>
    <xf numFmtId="43" fontId="22" fillId="13" borderId="0">
      <alignment horizontal="center" vertical="top"/>
    </xf>
    <xf numFmtId="234" fontId="22" fillId="13" borderId="0">
      <alignment horizontal="center" vertical="top"/>
    </xf>
    <xf numFmtId="235" fontId="22" fillId="13" borderId="0">
      <alignment horizontal="center" vertical="top"/>
    </xf>
    <xf numFmtId="235" fontId="22" fillId="13" borderId="0">
      <alignment horizontal="center" vertical="top" wrapText="1"/>
    </xf>
    <xf numFmtId="171" fontId="22" fillId="13" borderId="0">
      <alignment horizontal="left" vertical="top"/>
    </xf>
    <xf numFmtId="43" fontId="22" fillId="13" borderId="0">
      <alignment horizontal="left" vertical="top"/>
    </xf>
    <xf numFmtId="43" fontId="22" fillId="13" borderId="0"/>
    <xf numFmtId="171" fontId="22" fillId="14" borderId="0">
      <alignment horizontal="center" vertical="top"/>
    </xf>
    <xf numFmtId="171" fontId="22" fillId="14" borderId="0">
      <alignment horizontal="right" vertical="top"/>
    </xf>
    <xf numFmtId="169" fontId="22" fillId="14" borderId="0">
      <alignment horizontal="center" vertical="top"/>
    </xf>
    <xf numFmtId="171" fontId="22" fillId="0" borderId="0">
      <alignment horizontal="right"/>
    </xf>
    <xf numFmtId="43" fontId="22" fillId="14" borderId="0">
      <alignment horizontal="center" vertical="top"/>
    </xf>
    <xf numFmtId="234" fontId="22" fillId="14" borderId="0">
      <alignment horizontal="center" vertical="top"/>
    </xf>
    <xf numFmtId="235" fontId="22" fillId="14" borderId="0">
      <alignment horizontal="center" vertical="top"/>
    </xf>
    <xf numFmtId="235" fontId="22" fillId="14" borderId="0">
      <alignment horizontal="center" vertical="top" wrapText="1"/>
    </xf>
    <xf numFmtId="171" fontId="22" fillId="14" borderId="0">
      <alignment horizontal="center" vertical="top"/>
    </xf>
    <xf numFmtId="171" fontId="22" fillId="14" borderId="0">
      <alignment horizontal="left" vertical="top"/>
    </xf>
    <xf numFmtId="171" fontId="22" fillId="14" borderId="0"/>
    <xf numFmtId="43" fontId="22" fillId="14" borderId="0">
      <alignment horizontal="left" vertical="top"/>
    </xf>
    <xf numFmtId="234" fontId="22" fillId="14" borderId="0">
      <alignment horizontal="center" vertical="top"/>
    </xf>
    <xf numFmtId="235" fontId="75" fillId="14" borderId="0">
      <alignment horizontal="center" wrapText="1"/>
    </xf>
    <xf numFmtId="171" fontId="22" fillId="0" borderId="0"/>
    <xf numFmtId="171" fontId="22" fillId="14" borderId="0">
      <alignment horizontal="left" vertical="top"/>
    </xf>
    <xf numFmtId="171" fontId="22" fillId="14" borderId="0">
      <alignment horizontal="right"/>
    </xf>
    <xf numFmtId="171" fontId="22" fillId="14" borderId="0">
      <alignment horizontal="right"/>
    </xf>
    <xf numFmtId="4" fontId="55" fillId="14" borderId="0">
      <alignment horizontal="right" vertical="top"/>
    </xf>
    <xf numFmtId="43" fontId="22" fillId="14" borderId="0">
      <alignment horizontal="center" vertical="top"/>
    </xf>
    <xf numFmtId="235" fontId="22" fillId="14" borderId="0">
      <alignment horizontal="center" vertical="top" wrapText="1"/>
    </xf>
    <xf numFmtId="43" fontId="22" fillId="14" borderId="0">
      <alignment horizontal="left" vertical="top"/>
    </xf>
    <xf numFmtId="171" fontId="23" fillId="6" borderId="9">
      <alignment horizontal="right" wrapText="1"/>
    </xf>
    <xf numFmtId="171" fontId="23" fillId="6" borderId="9">
      <alignment horizontal="center" wrapText="1"/>
    </xf>
    <xf numFmtId="169" fontId="23" fillId="6" borderId="9">
      <alignment horizontal="right" wrapText="1"/>
    </xf>
    <xf numFmtId="43" fontId="23" fillId="6" borderId="9">
      <alignment horizontal="center" wrapText="1"/>
    </xf>
    <xf numFmtId="234" fontId="23" fillId="6" borderId="9">
      <alignment horizontal="center" wrapText="1"/>
    </xf>
    <xf numFmtId="234" fontId="23" fillId="6" borderId="9">
      <alignment horizontal="center" wrapText="1"/>
    </xf>
    <xf numFmtId="206" fontId="24" fillId="0" borderId="0">
      <alignment horizontal="left" vertical="center" wrapText="1"/>
    </xf>
    <xf numFmtId="171" fontId="22" fillId="0" borderId="0">
      <alignment horizontal="right"/>
    </xf>
    <xf numFmtId="171" fontId="22" fillId="0" borderId="0"/>
    <xf numFmtId="169" fontId="22" fillId="0" borderId="0">
      <alignment horizontal="right"/>
    </xf>
    <xf numFmtId="43" fontId="22" fillId="0" borderId="0">
      <alignment horizontal="center"/>
    </xf>
    <xf numFmtId="234" fontId="22" fillId="0" borderId="0"/>
    <xf numFmtId="234" fontId="22" fillId="0" borderId="0">
      <alignment wrapText="1"/>
    </xf>
    <xf numFmtId="169" fontId="22" fillId="0" borderId="0">
      <alignment horizontal="center" vertical="top"/>
    </xf>
    <xf numFmtId="171" fontId="22" fillId="0" borderId="0">
      <alignment horizontal="center" vertical="top"/>
    </xf>
    <xf numFmtId="171" fontId="22" fillId="0" borderId="0">
      <alignment horizontal="center" vertical="top"/>
    </xf>
    <xf numFmtId="171" fontId="22" fillId="0" borderId="0">
      <alignment horizontal="left" vertical="top"/>
    </xf>
    <xf numFmtId="171" fontId="22" fillId="0" borderId="0">
      <alignment horizontal="right" vertical="center" wrapText="1"/>
    </xf>
    <xf numFmtId="171" fontId="22" fillId="0" borderId="0">
      <alignment horizontal="right" vertical="top"/>
    </xf>
    <xf numFmtId="169" fontId="22" fillId="0" borderId="0">
      <alignment horizontal="center" vertical="top"/>
    </xf>
    <xf numFmtId="169" fontId="75" fillId="0" borderId="0">
      <alignment horizontal="right"/>
    </xf>
    <xf numFmtId="43" fontId="75" fillId="0" borderId="0">
      <alignment horizontal="center"/>
    </xf>
    <xf numFmtId="234" fontId="75" fillId="0" borderId="0"/>
    <xf numFmtId="235" fontId="75" fillId="0" borderId="0">
      <alignment horizontal="center"/>
    </xf>
    <xf numFmtId="235" fontId="75" fillId="0" borderId="0">
      <alignment horizontal="center" wrapText="1"/>
    </xf>
    <xf numFmtId="234" fontId="75" fillId="0" borderId="0">
      <alignment wrapText="1"/>
    </xf>
    <xf numFmtId="43" fontId="55" fillId="0" borderId="0">
      <alignment horizontal="center"/>
    </xf>
    <xf numFmtId="43" fontId="55" fillId="0" borderId="0"/>
    <xf numFmtId="171" fontId="22" fillId="0" borderId="0">
      <alignment horizontal="center" vertical="center" wrapText="1"/>
    </xf>
    <xf numFmtId="43" fontId="55" fillId="0" borderId="17">
      <alignment horizontal="center" vertical="center"/>
    </xf>
    <xf numFmtId="43" fontId="55" fillId="0" borderId="12">
      <alignment horizontal="center" vertical="center"/>
    </xf>
    <xf numFmtId="43" fontId="79" fillId="0" borderId="12">
      <alignment horizontal="center" vertical="center"/>
    </xf>
    <xf numFmtId="43" fontId="79" fillId="0" borderId="13">
      <alignment horizontal="center"/>
    </xf>
    <xf numFmtId="43" fontId="79" fillId="0" borderId="0">
      <alignment horizontal="center"/>
    </xf>
    <xf numFmtId="2" fontId="79" fillId="0" borderId="0">
      <alignment horizontal="center"/>
    </xf>
    <xf numFmtId="43" fontId="79" fillId="0" borderId="14">
      <alignment horizontal="center"/>
    </xf>
    <xf numFmtId="43" fontId="79" fillId="0" borderId="0">
      <alignment horizontal="center"/>
    </xf>
    <xf numFmtId="171" fontId="79" fillId="0" borderId="0">
      <alignment horizontal="center" wrapText="1"/>
    </xf>
    <xf numFmtId="171" fontId="79" fillId="0" borderId="3">
      <alignment horizontal="center" wrapText="1"/>
    </xf>
    <xf numFmtId="169" fontId="22" fillId="0" borderId="0">
      <alignment horizontal="right" vertical="center" wrapText="1"/>
    </xf>
    <xf numFmtId="165" fontId="79" fillId="0" borderId="3">
      <alignment horizontal="center" wrapText="1"/>
    </xf>
    <xf numFmtId="43" fontId="87" fillId="0" borderId="0">
      <alignment horizontal="left"/>
    </xf>
    <xf numFmtId="43" fontId="79" fillId="0" borderId="0">
      <alignment horizontal="center" wrapText="1"/>
    </xf>
    <xf numFmtId="43" fontId="79" fillId="0" borderId="0">
      <alignment wrapText="1"/>
    </xf>
    <xf numFmtId="43" fontId="79" fillId="6" borderId="9">
      <alignment horizontal="right" wrapText="1"/>
    </xf>
    <xf numFmtId="43" fontId="79" fillId="6" borderId="9">
      <alignment horizontal="center" wrapText="1"/>
    </xf>
    <xf numFmtId="171" fontId="2" fillId="0" borderId="0"/>
    <xf numFmtId="171" fontId="2" fillId="0" borderId="0">
      <alignment horizontal="center"/>
    </xf>
    <xf numFmtId="171" fontId="2" fillId="0" borderId="0">
      <alignment horizontal="left"/>
    </xf>
    <xf numFmtId="171" fontId="2" fillId="0" borderId="0">
      <alignment horizontal="center"/>
    </xf>
    <xf numFmtId="43" fontId="23" fillId="0" borderId="0">
      <alignment horizontal="center" vertical="center" wrapText="1"/>
    </xf>
    <xf numFmtId="171" fontId="20" fillId="0" borderId="0">
      <alignment horizontal="center"/>
    </xf>
    <xf numFmtId="171" fontId="2" fillId="0" borderId="0"/>
    <xf numFmtId="171" fontId="80" fillId="0" borderId="0">
      <alignment horizontal="left" vertical="center"/>
    </xf>
    <xf numFmtId="171" fontId="23" fillId="0" borderId="27"/>
    <xf numFmtId="171" fontId="23" fillId="0" borderId="0"/>
    <xf numFmtId="43" fontId="23" fillId="0" borderId="0"/>
    <xf numFmtId="43" fontId="23" fillId="0" borderId="0">
      <alignment horizontal="center"/>
    </xf>
    <xf numFmtId="171" fontId="23" fillId="0" borderId="0">
      <alignment horizontal="center"/>
    </xf>
    <xf numFmtId="171" fontId="23" fillId="6" borderId="24">
      <alignment horizontal="center"/>
    </xf>
    <xf numFmtId="49" fontId="22" fillId="0" borderId="0">
      <alignment horizontal="left"/>
    </xf>
    <xf numFmtId="234" fontId="23" fillId="0" borderId="0">
      <alignment horizontal="center" vertical="center" wrapText="1"/>
    </xf>
    <xf numFmtId="49" fontId="22" fillId="0" borderId="13">
      <alignment horizontal="left"/>
    </xf>
    <xf numFmtId="49" fontId="22" fillId="0" borderId="15">
      <alignment horizontal="left"/>
    </xf>
    <xf numFmtId="171" fontId="77" fillId="0" borderId="14"/>
    <xf numFmtId="49" fontId="22" fillId="0" borderId="14">
      <alignment horizontal="left"/>
    </xf>
    <xf numFmtId="171" fontId="2" fillId="0" borderId="0">
      <alignment horizontal="center"/>
    </xf>
    <xf numFmtId="171" fontId="2" fillId="0" borderId="0"/>
    <xf numFmtId="171" fontId="2" fillId="0" borderId="0"/>
    <xf numFmtId="171" fontId="20" fillId="0" borderId="0">
      <alignment horizontal="right"/>
    </xf>
    <xf numFmtId="171" fontId="20" fillId="0" borderId="0">
      <alignment horizontal="center"/>
    </xf>
    <xf numFmtId="171" fontId="20" fillId="0" borderId="3"/>
    <xf numFmtId="171" fontId="23" fillId="0" borderId="0">
      <alignment horizontal="left" vertical="center" wrapText="1"/>
    </xf>
    <xf numFmtId="171" fontId="20" fillId="0" borderId="3">
      <alignment horizontal="center"/>
    </xf>
    <xf numFmtId="171" fontId="20" fillId="0" borderId="3">
      <alignment horizontal="center" wrapText="1"/>
    </xf>
    <xf numFmtId="171" fontId="20" fillId="0" borderId="0"/>
    <xf numFmtId="171" fontId="20" fillId="0" borderId="3">
      <alignment horizontal="center" wrapText="1"/>
    </xf>
    <xf numFmtId="171" fontId="20" fillId="0" borderId="0">
      <alignment horizontal="center"/>
    </xf>
    <xf numFmtId="171" fontId="20" fillId="0" borderId="3">
      <alignment horizontal="center"/>
    </xf>
    <xf numFmtId="171" fontId="20" fillId="0" borderId="0"/>
    <xf numFmtId="171" fontId="20" fillId="0" borderId="3">
      <alignment horizontal="left" wrapText="1"/>
    </xf>
    <xf numFmtId="235" fontId="2" fillId="0" borderId="0">
      <alignment horizontal="center"/>
    </xf>
    <xf numFmtId="235" fontId="2" fillId="0" borderId="0">
      <alignment horizontal="left"/>
    </xf>
    <xf numFmtId="0" fontId="88" fillId="0" borderId="0"/>
    <xf numFmtId="10" fontId="6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26" fontId="6" fillId="0" borderId="0"/>
    <xf numFmtId="0" fontId="89" fillId="6" borderId="0"/>
    <xf numFmtId="0" fontId="54" fillId="0" borderId="0" applyNumberFormat="0" applyFont="0" applyFill="0" applyBorder="0" applyAlignment="0" applyProtection="0">
      <alignment horizontal="left"/>
    </xf>
    <xf numFmtId="15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90" fillId="0" borderId="10">
      <alignment horizontal="center"/>
    </xf>
    <xf numFmtId="3" fontId="54" fillId="0" borderId="0" applyFont="0" applyFill="0" applyBorder="0" applyAlignment="0" applyProtection="0"/>
    <xf numFmtId="0" fontId="54" fillId="20" borderId="0" applyNumberFormat="0" applyFont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244" fontId="91" fillId="0" borderId="0"/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92" fillId="21" borderId="0" applyNumberFormat="0" applyFont="0" applyBorder="0" applyAlignment="0">
      <alignment horizontal="center"/>
    </xf>
    <xf numFmtId="14" fontId="41" fillId="0" borderId="0" applyNumberFormat="0" applyFill="0" applyBorder="0" applyAlignment="0" applyProtection="0">
      <alignment horizontal="left"/>
    </xf>
    <xf numFmtId="49" fontId="2" fillId="0" borderId="0" applyFont="0" applyFill="0" applyBorder="0" applyProtection="0">
      <alignment horizontal="right"/>
    </xf>
    <xf numFmtId="49" fontId="20" fillId="0" borderId="0" applyFill="0" applyBorder="0" applyProtection="0">
      <alignment horizontal="right"/>
    </xf>
    <xf numFmtId="49" fontId="20" fillId="0" borderId="3" applyFill="0" applyProtection="0">
      <alignment horizontal="right"/>
    </xf>
    <xf numFmtId="49" fontId="20" fillId="0" borderId="12" applyFill="0" applyProtection="0">
      <alignment horizontal="right"/>
    </xf>
    <xf numFmtId="0" fontId="64" fillId="0" borderId="0" applyFill="0" applyBorder="0" applyProtection="0">
      <alignment horizontal="left"/>
    </xf>
    <xf numFmtId="0" fontId="13" fillId="22" borderId="0"/>
    <xf numFmtId="0" fontId="92" fillId="1" borderId="8" applyNumberFormat="0" applyFont="0" applyAlignment="0">
      <alignment horizontal="center"/>
    </xf>
    <xf numFmtId="245" fontId="93" fillId="0" borderId="0" applyFont="0" applyFill="0" applyBorder="0" applyAlignment="0" applyProtection="0"/>
    <xf numFmtId="1" fontId="6" fillId="0" borderId="0"/>
    <xf numFmtId="0" fontId="2" fillId="0" borderId="0" applyFont="0" applyFill="0" applyBorder="0" applyAlignment="0" applyProtection="0"/>
    <xf numFmtId="0" fontId="20" fillId="0" borderId="0" applyFill="0" applyBorder="0" applyAlignment="0" applyProtection="0"/>
    <xf numFmtId="42" fontId="21" fillId="0" borderId="0" applyFill="0" applyBorder="0" applyAlignment="0" applyProtection="0"/>
    <xf numFmtId="0" fontId="94" fillId="0" borderId="0" applyNumberFormat="0" applyFill="0" applyBorder="0" applyAlignment="0">
      <alignment horizontal="center"/>
    </xf>
    <xf numFmtId="12" fontId="6" fillId="0" borderId="0" applyFont="0" applyFill="0" applyBorder="0" applyProtection="0">
      <alignment horizontal="right"/>
    </xf>
    <xf numFmtId="0" fontId="6" fillId="23" borderId="0" applyFont="0" applyFill="0" applyBorder="0" applyProtection="0">
      <alignment horizontal="right"/>
    </xf>
    <xf numFmtId="0" fontId="4" fillId="0" borderId="0">
      <alignment vertical="top"/>
    </xf>
    <xf numFmtId="0" fontId="79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3" fillId="0" borderId="0" applyNumberFormat="0" applyFill="0" applyBorder="0" applyProtection="0">
      <alignment horizontal="left"/>
    </xf>
    <xf numFmtId="0" fontId="23" fillId="0" borderId="0" applyFill="0" applyBorder="0" applyProtection="0">
      <alignment horizontal="left" wrapText="1"/>
    </xf>
    <xf numFmtId="0" fontId="23" fillId="0" borderId="0" applyNumberFormat="0" applyFill="0" applyBorder="0" applyProtection="0">
      <alignment horizontal="right" wrapText="1"/>
    </xf>
    <xf numFmtId="1" fontId="22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1" fontId="22" fillId="0" borderId="0" applyFill="0" applyBorder="0" applyProtection="0">
      <alignment horizontal="center"/>
    </xf>
    <xf numFmtId="37" fontId="22" fillId="0" borderId="0" applyFill="0" applyBorder="0" applyProtection="0">
      <alignment horizontal="right"/>
    </xf>
    <xf numFmtId="7" fontId="22" fillId="0" borderId="0" applyFill="0" applyBorder="0" applyProtection="0">
      <alignment horizontal="right"/>
    </xf>
    <xf numFmtId="246" fontId="22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7" fontId="23" fillId="0" borderId="0" applyFill="0" applyBorder="0" applyProtection="0">
      <alignment horizontal="right"/>
    </xf>
    <xf numFmtId="247" fontId="22" fillId="0" borderId="0" applyFill="0" applyBorder="0" applyProtection="0">
      <alignment horizontal="right"/>
    </xf>
    <xf numFmtId="248" fontId="22" fillId="0" borderId="0" applyFill="0" applyBorder="0" applyProtection="0">
      <alignment horizontal="right"/>
    </xf>
    <xf numFmtId="249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250" fontId="22" fillId="0" borderId="0" applyFill="0" applyBorder="0" applyProtection="0">
      <alignment horizontal="left"/>
    </xf>
    <xf numFmtId="251" fontId="22" fillId="0" borderId="0" applyFill="0" applyBorder="0" applyProtection="0">
      <alignment horizontal="left"/>
    </xf>
    <xf numFmtId="247" fontId="23" fillId="0" borderId="0" applyFill="0" applyBorder="0" applyProtection="0">
      <alignment horizontal="right"/>
    </xf>
    <xf numFmtId="1" fontId="23" fillId="0" borderId="0" applyFill="0" applyBorder="0" applyProtection="0">
      <alignment horizontal="left"/>
    </xf>
    <xf numFmtId="246" fontId="23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1" fontId="95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251" fontId="22" fillId="0" borderId="0" applyFill="0" applyBorder="0" applyProtection="0">
      <alignment horizontal="left"/>
    </xf>
    <xf numFmtId="0" fontId="4" fillId="0" borderId="0" applyNumberFormat="0" applyBorder="0" applyAlignment="0"/>
    <xf numFmtId="0" fontId="14" fillId="0" borderId="0"/>
    <xf numFmtId="40" fontId="96" fillId="0" borderId="0" applyBorder="0">
      <alignment horizontal="right"/>
    </xf>
    <xf numFmtId="6" fontId="70" fillId="0" borderId="36" applyFill="0">
      <alignment vertical="center"/>
    </xf>
    <xf numFmtId="0" fontId="15" fillId="0" borderId="0"/>
    <xf numFmtId="0" fontId="97" fillId="0" borderId="0"/>
    <xf numFmtId="0" fontId="2" fillId="0" borderId="0"/>
    <xf numFmtId="49" fontId="4" fillId="0" borderId="0" applyFill="0" applyBorder="0" applyAlignment="0"/>
    <xf numFmtId="0" fontId="26" fillId="0" borderId="0" applyFill="0" applyBorder="0" applyAlignment="0"/>
    <xf numFmtId="200" fontId="6" fillId="0" borderId="0" applyFill="0" applyBorder="0" applyAlignment="0"/>
    <xf numFmtId="0" fontId="16" fillId="0" borderId="0"/>
    <xf numFmtId="0" fontId="17" fillId="0" borderId="0"/>
    <xf numFmtId="0" fontId="18" fillId="0" borderId="0">
      <alignment vertical="top"/>
    </xf>
    <xf numFmtId="252" fontId="70" fillId="0" borderId="0" applyFill="0" applyBorder="0">
      <alignment vertical="center"/>
    </xf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8" fontId="98" fillId="0" borderId="0" applyNumberFormat="0" applyFill="0" applyBorder="0">
      <alignment horizontal="left" vertical="center"/>
    </xf>
    <xf numFmtId="38" fontId="99" fillId="0" borderId="0" applyNumberFormat="0" applyFill="0" applyBorder="0">
      <alignment horizontal="centerContinuous" vertical="center"/>
    </xf>
    <xf numFmtId="0" fontId="19" fillId="0" borderId="0">
      <alignment vertical="top"/>
    </xf>
    <xf numFmtId="0" fontId="10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Fill="0" applyBorder="0" applyAlignment="0" applyProtection="0"/>
    <xf numFmtId="0" fontId="16" fillId="0" borderId="0">
      <alignment wrapText="1"/>
    </xf>
    <xf numFmtId="0" fontId="101" fillId="0" borderId="0">
      <alignment horizontal="left"/>
      <protection locked="0"/>
    </xf>
    <xf numFmtId="5" fontId="86" fillId="0" borderId="0">
      <alignment vertical="center"/>
    </xf>
    <xf numFmtId="222" fontId="26" fillId="0" borderId="0"/>
    <xf numFmtId="253" fontId="27" fillId="0" borderId="0" applyFill="0" applyBorder="0" applyAlignment="0" applyProtection="0"/>
    <xf numFmtId="14" fontId="22" fillId="0" borderId="0" applyFont="0" applyFill="0" applyBorder="0" applyProtection="0"/>
    <xf numFmtId="254" fontId="102" fillId="0" borderId="0" applyFill="0" applyBorder="0">
      <alignment vertical="center"/>
    </xf>
    <xf numFmtId="0" fontId="70" fillId="24" borderId="37" applyNumberFormat="0" applyFont="0" applyBorder="0" applyAlignment="0" applyProtection="0">
      <alignment horizontal="right"/>
    </xf>
    <xf numFmtId="255" fontId="21" fillId="0" borderId="0" applyFont="0" applyFill="0" applyBorder="0" applyAlignment="0" applyProtection="0"/>
    <xf numFmtId="254" fontId="103" fillId="0" borderId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</cellStyleXfs>
  <cellXfs count="240">
    <xf numFmtId="0" fontId="0" fillId="0" borderId="0" xfId="0"/>
    <xf numFmtId="0" fontId="107" fillId="0" borderId="0" xfId="0" applyFont="1"/>
    <xf numFmtId="0" fontId="108" fillId="0" borderId="0" xfId="0" applyFont="1"/>
    <xf numFmtId="0" fontId="109" fillId="0" borderId="0" xfId="0" applyFont="1"/>
    <xf numFmtId="167" fontId="109" fillId="0" borderId="0" xfId="0" applyNumberFormat="1" applyFont="1" applyAlignment="1">
      <alignment horizontal="center"/>
    </xf>
    <xf numFmtId="165" fontId="110" fillId="0" borderId="0" xfId="0" applyNumberFormat="1" applyFont="1"/>
    <xf numFmtId="0" fontId="111" fillId="0" borderId="0" xfId="0" applyFont="1"/>
    <xf numFmtId="0" fontId="107" fillId="0" borderId="0" xfId="0" applyFont="1" applyAlignment="1">
      <alignment horizontal="left"/>
    </xf>
    <xf numFmtId="166" fontId="107" fillId="0" borderId="0" xfId="0" applyNumberFormat="1" applyFont="1"/>
    <xf numFmtId="0" fontId="112" fillId="25" borderId="0" xfId="0" applyFont="1" applyFill="1" applyAlignment="1">
      <alignment horizontal="left"/>
    </xf>
    <xf numFmtId="0" fontId="111" fillId="25" borderId="0" xfId="0" applyFont="1" applyFill="1"/>
    <xf numFmtId="0" fontId="111" fillId="25" borderId="38" xfId="0" applyFont="1" applyFill="1" applyBorder="1" applyAlignment="1">
      <alignment horizontal="centerContinuous"/>
    </xf>
    <xf numFmtId="167" fontId="111" fillId="25" borderId="0" xfId="0" applyNumberFormat="1" applyFont="1" applyFill="1" applyAlignment="1">
      <alignment horizontal="centerContinuous"/>
    </xf>
    <xf numFmtId="168" fontId="107" fillId="0" borderId="0" xfId="541" applyNumberFormat="1" applyFont="1"/>
    <xf numFmtId="167" fontId="111" fillId="25" borderId="0" xfId="0" applyNumberFormat="1" applyFont="1" applyFill="1" applyAlignment="1">
      <alignment horizontal="center"/>
    </xf>
    <xf numFmtId="167" fontId="113" fillId="25" borderId="0" xfId="0" applyNumberFormat="1" applyFont="1" applyFill="1" applyAlignment="1">
      <alignment horizontal="center"/>
    </xf>
    <xf numFmtId="0" fontId="111" fillId="0" borderId="0" xfId="0" applyFont="1" applyAlignment="1">
      <alignment horizontal="left"/>
    </xf>
    <xf numFmtId="168" fontId="114" fillId="0" borderId="0" xfId="541" applyNumberFormat="1" applyFont="1"/>
    <xf numFmtId="0" fontId="114" fillId="0" borderId="0" xfId="0" applyFont="1"/>
    <xf numFmtId="0" fontId="111" fillId="25" borderId="3" xfId="0" applyFont="1" applyFill="1" applyBorder="1"/>
    <xf numFmtId="0" fontId="107" fillId="25" borderId="3" xfId="0" applyFont="1" applyFill="1" applyBorder="1"/>
    <xf numFmtId="0" fontId="114" fillId="26" borderId="0" xfId="0" applyFont="1" applyFill="1" applyAlignment="1">
      <alignment horizontal="left" indent="1"/>
    </xf>
    <xf numFmtId="168" fontId="115" fillId="26" borderId="0" xfId="541" applyNumberFormat="1" applyFont="1" applyFill="1"/>
    <xf numFmtId="43" fontId="109" fillId="0" borderId="0" xfId="161" applyFont="1" applyFill="1" applyBorder="1" applyAlignment="1">
      <alignment horizontal="center"/>
    </xf>
    <xf numFmtId="0" fontId="111" fillId="27" borderId="12" xfId="0" applyFont="1" applyFill="1" applyBorder="1"/>
    <xf numFmtId="168" fontId="114" fillId="27" borderId="3" xfId="541" applyNumberFormat="1" applyFont="1" applyFill="1" applyBorder="1"/>
    <xf numFmtId="226" fontId="107" fillId="27" borderId="0" xfId="0" applyNumberFormat="1" applyFont="1" applyFill="1"/>
    <xf numFmtId="167" fontId="111" fillId="25" borderId="3" xfId="0" applyNumberFormat="1" applyFont="1" applyFill="1" applyBorder="1" applyAlignment="1">
      <alignment horizontal="center"/>
    </xf>
    <xf numFmtId="0" fontId="116" fillId="25" borderId="0" xfId="0" applyFont="1" applyFill="1"/>
    <xf numFmtId="0" fontId="107" fillId="0" borderId="12" xfId="0" applyFont="1" applyBorder="1"/>
    <xf numFmtId="0" fontId="117" fillId="25" borderId="0" xfId="0" applyFont="1" applyFill="1" applyAlignment="1">
      <alignment horizontal="left"/>
    </xf>
    <xf numFmtId="37" fontId="107" fillId="0" borderId="0" xfId="0" applyNumberFormat="1" applyFont="1"/>
    <xf numFmtId="226" fontId="118" fillId="27" borderId="0" xfId="0" applyNumberFormat="1" applyFont="1" applyFill="1"/>
    <xf numFmtId="37" fontId="111" fillId="0" borderId="0" xfId="0" applyNumberFormat="1" applyFont="1"/>
    <xf numFmtId="0" fontId="111" fillId="0" borderId="39" xfId="0" applyFont="1" applyBorder="1"/>
    <xf numFmtId="37" fontId="111" fillId="0" borderId="39" xfId="0" applyNumberFormat="1" applyFont="1" applyBorder="1"/>
    <xf numFmtId="37" fontId="109" fillId="0" borderId="0" xfId="0" applyNumberFormat="1" applyFont="1"/>
    <xf numFmtId="37" fontId="110" fillId="0" borderId="0" xfId="0" applyNumberFormat="1" applyFont="1"/>
    <xf numFmtId="37" fontId="119" fillId="0" borderId="0" xfId="0" applyNumberFormat="1" applyFont="1"/>
    <xf numFmtId="0" fontId="107" fillId="0" borderId="3" xfId="0" applyFont="1" applyBorder="1"/>
    <xf numFmtId="165" fontId="109" fillId="0" borderId="0" xfId="0" applyNumberFormat="1" applyFont="1"/>
    <xf numFmtId="165" fontId="120" fillId="0" borderId="0" xfId="0" applyNumberFormat="1" applyFont="1"/>
    <xf numFmtId="257" fontId="111" fillId="0" borderId="0" xfId="0" applyNumberFormat="1" applyFont="1"/>
    <xf numFmtId="257" fontId="107" fillId="0" borderId="0" xfId="0" applyNumberFormat="1" applyFont="1"/>
    <xf numFmtId="256" fontId="107" fillId="0" borderId="0" xfId="0" applyNumberFormat="1" applyFont="1"/>
    <xf numFmtId="0" fontId="111" fillId="26" borderId="8" xfId="265" applyFont="1" applyFill="1" applyBorder="1" applyAlignment="1">
      <alignment horizontal="left" wrapText="1"/>
    </xf>
    <xf numFmtId="0" fontId="111" fillId="26" borderId="8" xfId="265" applyFont="1" applyFill="1" applyBorder="1" applyAlignment="1">
      <alignment horizontal="center" wrapText="1"/>
    </xf>
    <xf numFmtId="0" fontId="107" fillId="0" borderId="0" xfId="265" applyFont="1" applyAlignment="1">
      <alignment horizontal="center" wrapText="1"/>
    </xf>
    <xf numFmtId="0" fontId="107" fillId="28" borderId="0" xfId="265" applyFont="1" applyFill="1"/>
    <xf numFmtId="0" fontId="107" fillId="0" borderId="0" xfId="265" applyFont="1"/>
    <xf numFmtId="37" fontId="107" fillId="28" borderId="0" xfId="265" applyNumberFormat="1" applyFont="1" applyFill="1"/>
    <xf numFmtId="0" fontId="111" fillId="28" borderId="8" xfId="265" applyFont="1" applyFill="1" applyBorder="1"/>
    <xf numFmtId="37" fontId="111" fillId="28" borderId="8" xfId="265" applyNumberFormat="1" applyFont="1" applyFill="1" applyBorder="1"/>
    <xf numFmtId="257" fontId="111" fillId="28" borderId="8" xfId="265" applyNumberFormat="1" applyFont="1" applyFill="1" applyBorder="1"/>
    <xf numFmtId="0" fontId="111" fillId="0" borderId="0" xfId="265" applyFont="1"/>
    <xf numFmtId="257" fontId="107" fillId="28" borderId="0" xfId="265" applyNumberFormat="1" applyFont="1" applyFill="1"/>
    <xf numFmtId="0" fontId="107" fillId="28" borderId="8" xfId="265" applyFont="1" applyFill="1" applyBorder="1"/>
    <xf numFmtId="37" fontId="111" fillId="28" borderId="0" xfId="265" applyNumberFormat="1" applyFont="1" applyFill="1"/>
    <xf numFmtId="257" fontId="111" fillId="28" borderId="0" xfId="265" applyNumberFormat="1" applyFont="1" applyFill="1"/>
    <xf numFmtId="258" fontId="107" fillId="28" borderId="0" xfId="265" applyNumberFormat="1" applyFont="1" applyFill="1"/>
    <xf numFmtId="0" fontId="107" fillId="26" borderId="11" xfId="0" applyFont="1" applyFill="1" applyBorder="1"/>
    <xf numFmtId="14" fontId="107" fillId="26" borderId="11" xfId="0" applyNumberFormat="1" applyFont="1" applyFill="1" applyBorder="1" applyAlignment="1">
      <alignment horizontal="center"/>
    </xf>
    <xf numFmtId="0" fontId="107" fillId="0" borderId="11" xfId="0" applyFont="1" applyBorder="1"/>
    <xf numFmtId="0" fontId="107" fillId="0" borderId="11" xfId="0" applyFont="1" applyBorder="1" applyAlignment="1">
      <alignment horizontal="center"/>
    </xf>
    <xf numFmtId="15" fontId="107" fillId="0" borderId="11" xfId="0" applyNumberFormat="1" applyFont="1" applyBorder="1" applyAlignment="1">
      <alignment horizontal="center"/>
    </xf>
    <xf numFmtId="10" fontId="107" fillId="0" borderId="11" xfId="0" applyNumberFormat="1" applyFont="1" applyBorder="1" applyAlignment="1">
      <alignment horizontal="center"/>
    </xf>
    <xf numFmtId="10" fontId="107" fillId="0" borderId="0" xfId="0" applyNumberFormat="1" applyFont="1"/>
    <xf numFmtId="15" fontId="107" fillId="0" borderId="0" xfId="0" applyNumberFormat="1" applyFont="1" applyAlignment="1">
      <alignment horizontal="center"/>
    </xf>
    <xf numFmtId="0" fontId="111" fillId="26" borderId="8" xfId="265" applyFont="1" applyFill="1" applyBorder="1" applyAlignment="1">
      <alignment horizontal="right" wrapText="1"/>
    </xf>
    <xf numFmtId="37" fontId="107" fillId="0" borderId="0" xfId="265" applyNumberFormat="1" applyFont="1"/>
    <xf numFmtId="0" fontId="107" fillId="0" borderId="0" xfId="265" applyFont="1" applyAlignment="1">
      <alignment horizontal="left"/>
    </xf>
    <xf numFmtId="0" fontId="114" fillId="28" borderId="0" xfId="265" applyFont="1" applyFill="1"/>
    <xf numFmtId="9" fontId="121" fillId="0" borderId="0" xfId="541" applyFont="1"/>
    <xf numFmtId="168" fontId="121" fillId="0" borderId="0" xfId="541" applyNumberFormat="1" applyFont="1"/>
    <xf numFmtId="37" fontId="110" fillId="29" borderId="0" xfId="0" applyNumberFormat="1" applyFont="1" applyFill="1"/>
    <xf numFmtId="37" fontId="107" fillId="30" borderId="0" xfId="0" applyNumberFormat="1" applyFont="1" applyFill="1"/>
    <xf numFmtId="37" fontId="110" fillId="31" borderId="0" xfId="0" applyNumberFormat="1" applyFont="1" applyFill="1"/>
    <xf numFmtId="37" fontId="107" fillId="31" borderId="0" xfId="0" applyNumberFormat="1" applyFont="1" applyFill="1"/>
    <xf numFmtId="37" fontId="111" fillId="31" borderId="0" xfId="0" applyNumberFormat="1" applyFont="1" applyFill="1"/>
    <xf numFmtId="168" fontId="107" fillId="31" borderId="0" xfId="541" applyNumberFormat="1" applyFont="1" applyFill="1"/>
    <xf numFmtId="256" fontId="107" fillId="31" borderId="0" xfId="0" applyNumberFormat="1" applyFont="1" applyFill="1"/>
    <xf numFmtId="166" fontId="107" fillId="31" borderId="0" xfId="0" applyNumberFormat="1" applyFont="1" applyFill="1"/>
    <xf numFmtId="0" fontId="111" fillId="26" borderId="40" xfId="265" applyFont="1" applyFill="1" applyBorder="1" applyAlignment="1">
      <alignment horizontal="left" wrapText="1"/>
    </xf>
    <xf numFmtId="0" fontId="111" fillId="26" borderId="41" xfId="265" applyFont="1" applyFill="1" applyBorder="1" applyAlignment="1">
      <alignment horizontal="center" wrapText="1"/>
    </xf>
    <xf numFmtId="0" fontId="107" fillId="28" borderId="13" xfId="265" applyFont="1" applyFill="1" applyBorder="1"/>
    <xf numFmtId="0" fontId="107" fillId="28" borderId="14" xfId="265" applyFont="1" applyFill="1" applyBorder="1"/>
    <xf numFmtId="37" fontId="118" fillId="28" borderId="0" xfId="265" applyNumberFormat="1" applyFont="1" applyFill="1"/>
    <xf numFmtId="0" fontId="111" fillId="28" borderId="40" xfId="265" applyFont="1" applyFill="1" applyBorder="1"/>
    <xf numFmtId="257" fontId="111" fillId="28" borderId="41" xfId="265" applyNumberFormat="1" applyFont="1" applyFill="1" applyBorder="1"/>
    <xf numFmtId="257" fontId="107" fillId="28" borderId="14" xfId="265" applyNumberFormat="1" applyFont="1" applyFill="1" applyBorder="1"/>
    <xf numFmtId="0" fontId="107" fillId="28" borderId="40" xfId="265" applyFont="1" applyFill="1" applyBorder="1"/>
    <xf numFmtId="257" fontId="111" fillId="28" borderId="14" xfId="265" applyNumberFormat="1" applyFont="1" applyFill="1" applyBorder="1"/>
    <xf numFmtId="37" fontId="107" fillId="28" borderId="14" xfId="265" applyNumberFormat="1" applyFont="1" applyFill="1" applyBorder="1"/>
    <xf numFmtId="37" fontId="111" fillId="28" borderId="14" xfId="265" applyNumberFormat="1" applyFont="1" applyFill="1" applyBorder="1"/>
    <xf numFmtId="0" fontId="107" fillId="28" borderId="15" xfId="265" applyFont="1" applyFill="1" applyBorder="1"/>
    <xf numFmtId="258" fontId="107" fillId="28" borderId="3" xfId="265" applyNumberFormat="1" applyFont="1" applyFill="1" applyBorder="1"/>
    <xf numFmtId="0" fontId="107" fillId="28" borderId="3" xfId="265" applyFont="1" applyFill="1" applyBorder="1"/>
    <xf numFmtId="0" fontId="107" fillId="28" borderId="16" xfId="265" applyFont="1" applyFill="1" applyBorder="1"/>
    <xf numFmtId="0" fontId="107" fillId="0" borderId="13" xfId="265" applyFont="1" applyBorder="1"/>
    <xf numFmtId="0" fontId="107" fillId="0" borderId="15" xfId="265" applyFont="1" applyBorder="1"/>
    <xf numFmtId="0" fontId="111" fillId="0" borderId="40" xfId="265" applyFont="1" applyBorder="1"/>
    <xf numFmtId="37" fontId="111" fillId="0" borderId="8" xfId="265" applyNumberFormat="1" applyFont="1" applyBorder="1"/>
    <xf numFmtId="37" fontId="111" fillId="0" borderId="41" xfId="265" applyNumberFormat="1" applyFont="1" applyBorder="1"/>
    <xf numFmtId="0" fontId="111" fillId="26" borderId="41" xfId="265" applyFont="1" applyFill="1" applyBorder="1" applyAlignment="1">
      <alignment horizontal="right" wrapText="1"/>
    </xf>
    <xf numFmtId="37" fontId="107" fillId="0" borderId="14" xfId="265" applyNumberFormat="1" applyFont="1" applyBorder="1"/>
    <xf numFmtId="37" fontId="118" fillId="0" borderId="0" xfId="265" applyNumberFormat="1" applyFont="1"/>
    <xf numFmtId="37" fontId="118" fillId="0" borderId="3" xfId="265" applyNumberFormat="1" applyFont="1" applyBorder="1"/>
    <xf numFmtId="258" fontId="107" fillId="0" borderId="0" xfId="265" applyNumberFormat="1" applyFont="1"/>
    <xf numFmtId="15" fontId="122" fillId="0" borderId="56" xfId="0" applyNumberFormat="1" applyFont="1" applyBorder="1" applyAlignment="1">
      <alignment horizontal="left" vertical="center" indent="1"/>
    </xf>
    <xf numFmtId="0" fontId="123" fillId="0" borderId="56" xfId="0" applyFont="1" applyBorder="1" applyAlignment="1">
      <alignment horizontal="right" vertical="center" indent="1"/>
    </xf>
    <xf numFmtId="10" fontId="123" fillId="0" borderId="56" xfId="0" applyNumberFormat="1" applyFont="1" applyBorder="1" applyAlignment="1">
      <alignment horizontal="right" vertical="center" indent="1"/>
    </xf>
    <xf numFmtId="0" fontId="124" fillId="0" borderId="56" xfId="0" applyFont="1" applyBorder="1" applyAlignment="1">
      <alignment horizontal="right" vertical="center" indent="1"/>
    </xf>
    <xf numFmtId="10" fontId="124" fillId="0" borderId="56" xfId="0" applyNumberFormat="1" applyFont="1" applyBorder="1" applyAlignment="1">
      <alignment horizontal="right" vertical="center" indent="1"/>
    </xf>
    <xf numFmtId="37" fontId="118" fillId="31" borderId="0" xfId="265" applyNumberFormat="1" applyFont="1" applyFill="1"/>
    <xf numFmtId="37" fontId="107" fillId="31" borderId="0" xfId="265" applyNumberFormat="1" applyFont="1" applyFill="1"/>
    <xf numFmtId="37" fontId="107" fillId="31" borderId="14" xfId="265" applyNumberFormat="1" applyFont="1" applyFill="1" applyBorder="1"/>
    <xf numFmtId="37" fontId="118" fillId="31" borderId="3" xfId="265" applyNumberFormat="1" applyFont="1" applyFill="1" applyBorder="1"/>
    <xf numFmtId="37" fontId="111" fillId="31" borderId="8" xfId="265" applyNumberFormat="1" applyFont="1" applyFill="1" applyBorder="1"/>
    <xf numFmtId="37" fontId="111" fillId="31" borderId="41" xfId="265" applyNumberFormat="1" applyFont="1" applyFill="1" applyBorder="1"/>
    <xf numFmtId="37" fontId="110" fillId="28" borderId="0" xfId="0" applyNumberFormat="1" applyFont="1" applyFill="1"/>
    <xf numFmtId="37" fontId="109" fillId="28" borderId="0" xfId="0" applyNumberFormat="1" applyFont="1" applyFill="1"/>
    <xf numFmtId="227" fontId="107" fillId="28" borderId="3" xfId="265" applyNumberFormat="1" applyFont="1" applyFill="1" applyBorder="1" applyAlignment="1">
      <alignment horizontal="right"/>
    </xf>
    <xf numFmtId="258" fontId="107" fillId="0" borderId="0" xfId="265" applyNumberFormat="1" applyFont="1" applyAlignment="1">
      <alignment horizontal="right"/>
    </xf>
    <xf numFmtId="37" fontId="111" fillId="0" borderId="0" xfId="265" applyNumberFormat="1" applyFont="1"/>
    <xf numFmtId="0" fontId="111" fillId="0" borderId="42" xfId="265" applyFont="1" applyBorder="1"/>
    <xf numFmtId="0" fontId="107" fillId="0" borderId="43" xfId="265" applyFont="1" applyBorder="1"/>
    <xf numFmtId="0" fontId="107" fillId="0" borderId="44" xfId="265" applyFont="1" applyBorder="1"/>
    <xf numFmtId="37" fontId="118" fillId="28" borderId="45" xfId="265" applyNumberFormat="1" applyFont="1" applyFill="1" applyBorder="1"/>
    <xf numFmtId="0" fontId="107" fillId="0" borderId="46" xfId="265" applyFont="1" applyBorder="1"/>
    <xf numFmtId="257" fontId="107" fillId="28" borderId="47" xfId="265" applyNumberFormat="1" applyFont="1" applyFill="1" applyBorder="1" applyAlignment="1">
      <alignment horizontal="center"/>
    </xf>
    <xf numFmtId="0" fontId="111" fillId="25" borderId="38" xfId="0" applyFont="1" applyFill="1" applyBorder="1" applyAlignment="1">
      <alignment horizontal="center"/>
    </xf>
    <xf numFmtId="257" fontId="107" fillId="0" borderId="47" xfId="265" applyNumberFormat="1" applyFont="1" applyBorder="1" applyAlignment="1">
      <alignment horizontal="center"/>
    </xf>
    <xf numFmtId="37" fontId="109" fillId="32" borderId="0" xfId="0" applyNumberFormat="1" applyFont="1" applyFill="1"/>
    <xf numFmtId="167" fontId="111" fillId="0" borderId="0" xfId="0" applyNumberFormat="1" applyFont="1" applyAlignment="1">
      <alignment horizontal="center"/>
    </xf>
    <xf numFmtId="256" fontId="111" fillId="0" borderId="0" xfId="0" applyNumberFormat="1" applyFont="1"/>
    <xf numFmtId="0" fontId="111" fillId="0" borderId="0" xfId="0" applyFont="1" applyAlignment="1">
      <alignment horizontal="center"/>
    </xf>
    <xf numFmtId="0" fontId="107" fillId="25" borderId="0" xfId="0" applyFont="1" applyFill="1"/>
    <xf numFmtId="226" fontId="118" fillId="0" borderId="0" xfId="0" applyNumberFormat="1" applyFont="1"/>
    <xf numFmtId="168" fontId="114" fillId="0" borderId="0" xfId="541" applyNumberFormat="1" applyFont="1" applyFill="1" applyBorder="1"/>
    <xf numFmtId="0" fontId="111" fillId="0" borderId="0" xfId="0" applyFont="1" applyAlignment="1">
      <alignment horizontal="centerContinuous"/>
    </xf>
    <xf numFmtId="168" fontId="121" fillId="0" borderId="0" xfId="541" applyNumberFormat="1" applyFont="1" applyFill="1" applyBorder="1"/>
    <xf numFmtId="168" fontId="115" fillId="0" borderId="0" xfId="541" applyNumberFormat="1" applyFont="1" applyFill="1" applyBorder="1"/>
    <xf numFmtId="168" fontId="107" fillId="0" borderId="0" xfId="541" applyNumberFormat="1" applyFont="1" applyFill="1" applyBorder="1"/>
    <xf numFmtId="167" fontId="111" fillId="0" borderId="0" xfId="0" applyNumberFormat="1" applyFont="1" applyAlignment="1">
      <alignment horizontal="centerContinuous"/>
    </xf>
    <xf numFmtId="168" fontId="115" fillId="26" borderId="0" xfId="541" applyNumberFormat="1" applyFont="1" applyFill="1" applyBorder="1"/>
    <xf numFmtId="0" fontId="111" fillId="33" borderId="0" xfId="0" applyFont="1" applyFill="1"/>
    <xf numFmtId="0" fontId="107" fillId="33" borderId="0" xfId="0" applyFont="1" applyFill="1"/>
    <xf numFmtId="226" fontId="118" fillId="33" borderId="0" xfId="0" applyNumberFormat="1" applyFont="1" applyFill="1"/>
    <xf numFmtId="226" fontId="107" fillId="33" borderId="0" xfId="0" applyNumberFormat="1" applyFont="1" applyFill="1"/>
    <xf numFmtId="0" fontId="114" fillId="33" borderId="0" xfId="0" applyFont="1" applyFill="1"/>
    <xf numFmtId="168" fontId="114" fillId="33" borderId="0" xfId="541" applyNumberFormat="1" applyFont="1" applyFill="1" applyBorder="1"/>
    <xf numFmtId="168" fontId="111" fillId="0" borderId="0" xfId="541" applyNumberFormat="1" applyFont="1"/>
    <xf numFmtId="0" fontId="0" fillId="25" borderId="0" xfId="0" applyFill="1"/>
    <xf numFmtId="0" fontId="111" fillId="25" borderId="40" xfId="265" applyFont="1" applyFill="1" applyBorder="1" applyAlignment="1">
      <alignment horizontal="left" wrapText="1"/>
    </xf>
    <xf numFmtId="0" fontId="111" fillId="25" borderId="8" xfId="265" applyFont="1" applyFill="1" applyBorder="1" applyAlignment="1">
      <alignment horizontal="right" wrapText="1"/>
    </xf>
    <xf numFmtId="0" fontId="111" fillId="25" borderId="41" xfId="265" applyFont="1" applyFill="1" applyBorder="1" applyAlignment="1">
      <alignment horizontal="center" wrapText="1"/>
    </xf>
    <xf numFmtId="227" fontId="107" fillId="28" borderId="0" xfId="265" applyNumberFormat="1" applyFont="1" applyFill="1" applyAlignment="1">
      <alignment horizontal="right"/>
    </xf>
    <xf numFmtId="0" fontId="111" fillId="25" borderId="8" xfId="265" applyFont="1" applyFill="1" applyBorder="1" applyAlignment="1">
      <alignment horizontal="center" wrapText="1"/>
    </xf>
    <xf numFmtId="0" fontId="125" fillId="0" borderId="0" xfId="265" applyFont="1"/>
    <xf numFmtId="37" fontId="125" fillId="0" borderId="0" xfId="265" applyNumberFormat="1" applyFont="1"/>
    <xf numFmtId="0" fontId="113" fillId="25" borderId="42" xfId="265" applyFont="1" applyFill="1" applyBorder="1"/>
    <xf numFmtId="0" fontId="120" fillId="25" borderId="43" xfId="265" applyFont="1" applyFill="1" applyBorder="1"/>
    <xf numFmtId="43" fontId="111" fillId="0" borderId="0" xfId="161" applyFont="1" applyFill="1" applyBorder="1" applyAlignment="1">
      <alignment horizontal="center"/>
    </xf>
    <xf numFmtId="165" fontId="107" fillId="0" borderId="0" xfId="0" applyNumberFormat="1" applyFont="1"/>
    <xf numFmtId="0" fontId="126" fillId="28" borderId="0" xfId="265" applyFont="1" applyFill="1"/>
    <xf numFmtId="259" fontId="126" fillId="28" borderId="0" xfId="265" applyNumberFormat="1" applyFont="1" applyFill="1" applyAlignment="1">
      <alignment horizontal="right"/>
    </xf>
    <xf numFmtId="0" fontId="107" fillId="28" borderId="12" xfId="265" applyFont="1" applyFill="1" applyBorder="1"/>
    <xf numFmtId="257" fontId="107" fillId="28" borderId="8" xfId="265" applyNumberFormat="1" applyFont="1" applyFill="1" applyBorder="1"/>
    <xf numFmtId="257" fontId="111" fillId="28" borderId="12" xfId="265" applyNumberFormat="1" applyFont="1" applyFill="1" applyBorder="1"/>
    <xf numFmtId="257" fontId="111" fillId="28" borderId="3" xfId="265" applyNumberFormat="1" applyFont="1" applyFill="1" applyBorder="1"/>
    <xf numFmtId="37" fontId="107" fillId="28" borderId="12" xfId="265" applyNumberFormat="1" applyFont="1" applyFill="1" applyBorder="1"/>
    <xf numFmtId="0" fontId="111" fillId="28" borderId="13" xfId="265" applyFont="1" applyFill="1" applyBorder="1"/>
    <xf numFmtId="0" fontId="107" fillId="28" borderId="13" xfId="265" applyFont="1" applyFill="1" applyBorder="1" applyAlignment="1">
      <alignment horizontal="left" indent="1"/>
    </xf>
    <xf numFmtId="165" fontId="111" fillId="28" borderId="0" xfId="265" applyNumberFormat="1" applyFont="1" applyFill="1"/>
    <xf numFmtId="165" fontId="118" fillId="28" borderId="0" xfId="265" applyNumberFormat="1" applyFont="1" applyFill="1"/>
    <xf numFmtId="165" fontId="107" fillId="28" borderId="0" xfId="265" applyNumberFormat="1" applyFont="1" applyFill="1"/>
    <xf numFmtId="37" fontId="111" fillId="0" borderId="12" xfId="265" applyNumberFormat="1" applyFont="1" applyBorder="1"/>
    <xf numFmtId="0" fontId="111" fillId="0" borderId="19" xfId="265" applyFont="1" applyBorder="1"/>
    <xf numFmtId="37" fontId="111" fillId="0" borderId="20" xfId="265" applyNumberFormat="1" applyFont="1" applyBorder="1"/>
    <xf numFmtId="37" fontId="116" fillId="0" borderId="9" xfId="265" applyNumberFormat="1" applyFont="1" applyBorder="1"/>
    <xf numFmtId="0" fontId="126" fillId="0" borderId="0" xfId="265" applyFont="1"/>
    <xf numFmtId="37" fontId="126" fillId="0" borderId="0" xfId="265" applyNumberFormat="1" applyFont="1"/>
    <xf numFmtId="165" fontId="111" fillId="0" borderId="8" xfId="265" applyNumberFormat="1" applyFont="1" applyBorder="1"/>
    <xf numFmtId="165" fontId="111" fillId="28" borderId="8" xfId="265" applyNumberFormat="1" applyFont="1" applyFill="1" applyBorder="1"/>
    <xf numFmtId="165" fontId="107" fillId="0" borderId="0" xfId="265" applyNumberFormat="1" applyFont="1" applyAlignment="1">
      <alignment horizontal="right"/>
    </xf>
    <xf numFmtId="165" fontId="107" fillId="28" borderId="3" xfId="265" applyNumberFormat="1" applyFont="1" applyFill="1" applyBorder="1" applyAlignment="1">
      <alignment horizontal="right"/>
    </xf>
    <xf numFmtId="165" fontId="118" fillId="0" borderId="0" xfId="265" applyNumberFormat="1" applyFont="1"/>
    <xf numFmtId="165" fontId="118" fillId="0" borderId="3" xfId="265" applyNumberFormat="1" applyFont="1" applyBorder="1"/>
    <xf numFmtId="165" fontId="111" fillId="0" borderId="12" xfId="265" applyNumberFormat="1" applyFont="1" applyBorder="1"/>
    <xf numFmtId="165" fontId="116" fillId="0" borderId="9" xfId="265" applyNumberFormat="1" applyFont="1" applyBorder="1"/>
    <xf numFmtId="165" fontId="111" fillId="0" borderId="20" xfId="265" applyNumberFormat="1" applyFont="1" applyBorder="1"/>
    <xf numFmtId="165" fontId="107" fillId="0" borderId="0" xfId="265" applyNumberFormat="1" applyFont="1"/>
    <xf numFmtId="0" fontId="111" fillId="25" borderId="48" xfId="265" applyFont="1" applyFill="1" applyBorder="1" applyAlignment="1">
      <alignment horizontal="left" wrapText="1"/>
    </xf>
    <xf numFmtId="0" fontId="111" fillId="25" borderId="49" xfId="265" applyFont="1" applyFill="1" applyBorder="1" applyAlignment="1">
      <alignment horizontal="center" wrapText="1"/>
    </xf>
    <xf numFmtId="0" fontId="111" fillId="25" borderId="50" xfId="265" applyFont="1" applyFill="1" applyBorder="1" applyAlignment="1">
      <alignment horizontal="center" wrapText="1"/>
    </xf>
    <xf numFmtId="0" fontId="107" fillId="0" borderId="21" xfId="265" applyFont="1" applyBorder="1"/>
    <xf numFmtId="165" fontId="107" fillId="0" borderId="27" xfId="265" applyNumberFormat="1" applyFont="1" applyBorder="1"/>
    <xf numFmtId="0" fontId="107" fillId="0" borderId="29" xfId="265" applyFont="1" applyBorder="1"/>
    <xf numFmtId="0" fontId="111" fillId="0" borderId="51" xfId="265" applyFont="1" applyBorder="1"/>
    <xf numFmtId="165" fontId="111" fillId="0" borderId="52" xfId="265" applyNumberFormat="1" applyFont="1" applyBorder="1"/>
    <xf numFmtId="0" fontId="111" fillId="0" borderId="53" xfId="265" applyFont="1" applyBorder="1"/>
    <xf numFmtId="165" fontId="111" fillId="0" borderId="54" xfId="265" applyNumberFormat="1" applyFont="1" applyBorder="1"/>
    <xf numFmtId="165" fontId="111" fillId="0" borderId="55" xfId="265" applyNumberFormat="1" applyFont="1" applyBorder="1"/>
    <xf numFmtId="165" fontId="111" fillId="0" borderId="0" xfId="265" applyNumberFormat="1" applyFont="1"/>
    <xf numFmtId="37" fontId="111" fillId="0" borderId="52" xfId="265" applyNumberFormat="1" applyFont="1" applyBorder="1"/>
    <xf numFmtId="37" fontId="111" fillId="0" borderId="54" xfId="265" applyNumberFormat="1" applyFont="1" applyBorder="1"/>
    <xf numFmtId="37" fontId="111" fillId="0" borderId="55" xfId="265" applyNumberFormat="1" applyFont="1" applyBorder="1"/>
    <xf numFmtId="0" fontId="114" fillId="26" borderId="0" xfId="0" applyFont="1" applyFill="1"/>
    <xf numFmtId="168" fontId="114" fillId="26" borderId="0" xfId="541" applyNumberFormat="1" applyFont="1" applyFill="1"/>
    <xf numFmtId="9" fontId="109" fillId="0" borderId="0" xfId="541" applyFont="1" applyFill="1" applyBorder="1"/>
    <xf numFmtId="168" fontId="114" fillId="0" borderId="0" xfId="541" applyNumberFormat="1" applyFont="1" applyFill="1"/>
    <xf numFmtId="168" fontId="121" fillId="0" borderId="0" xfId="541" applyNumberFormat="1" applyFont="1" applyFill="1"/>
    <xf numFmtId="168" fontId="107" fillId="0" borderId="0" xfId="541" applyNumberFormat="1" applyFont="1" applyFill="1"/>
    <xf numFmtId="37" fontId="111" fillId="28" borderId="0" xfId="0" applyNumberFormat="1" applyFont="1" applyFill="1"/>
    <xf numFmtId="256" fontId="111" fillId="31" borderId="0" xfId="0" applyNumberFormat="1" applyFont="1" applyFill="1"/>
    <xf numFmtId="37" fontId="109" fillId="31" borderId="0" xfId="0" applyNumberFormat="1" applyFont="1" applyFill="1"/>
    <xf numFmtId="0" fontId="111" fillId="26" borderId="0" xfId="0" applyFont="1" applyFill="1"/>
    <xf numFmtId="0" fontId="111" fillId="34" borderId="0" xfId="0" applyFont="1" applyFill="1"/>
    <xf numFmtId="165" fontId="110" fillId="34" borderId="0" xfId="0" applyNumberFormat="1" applyFont="1" applyFill="1"/>
    <xf numFmtId="0" fontId="107" fillId="34" borderId="0" xfId="0" applyFont="1" applyFill="1"/>
    <xf numFmtId="0" fontId="0" fillId="34" borderId="0" xfId="0" applyFill="1"/>
    <xf numFmtId="0" fontId="0" fillId="26" borderId="0" xfId="0" applyFill="1"/>
    <xf numFmtId="168" fontId="107" fillId="26" borderId="0" xfId="541" applyNumberFormat="1" applyFont="1" applyFill="1"/>
    <xf numFmtId="168" fontId="111" fillId="26" borderId="0" xfId="541" applyNumberFormat="1" applyFont="1" applyFill="1"/>
    <xf numFmtId="0" fontId="107" fillId="0" borderId="12" xfId="265" applyFont="1" applyBorder="1"/>
    <xf numFmtId="0" fontId="107" fillId="0" borderId="3" xfId="265" applyFont="1" applyBorder="1"/>
    <xf numFmtId="257" fontId="111" fillId="0" borderId="8" xfId="265" applyNumberFormat="1" applyFont="1" applyBorder="1"/>
    <xf numFmtId="257" fontId="107" fillId="0" borderId="8" xfId="265" applyNumberFormat="1" applyFont="1" applyBorder="1"/>
    <xf numFmtId="257" fontId="111" fillId="0" borderId="12" xfId="265" applyNumberFormat="1" applyFont="1" applyBorder="1"/>
    <xf numFmtId="257" fontId="111" fillId="0" borderId="3" xfId="265" applyNumberFormat="1" applyFont="1" applyBorder="1"/>
    <xf numFmtId="37" fontId="107" fillId="0" borderId="12" xfId="265" applyNumberFormat="1" applyFont="1" applyBorder="1"/>
    <xf numFmtId="259" fontId="126" fillId="0" borderId="0" xfId="265" applyNumberFormat="1" applyFont="1" applyAlignment="1">
      <alignment horizontal="right"/>
    </xf>
    <xf numFmtId="227" fontId="107" fillId="0" borderId="0" xfId="265" applyNumberFormat="1" applyFont="1" applyAlignment="1">
      <alignment horizontal="right"/>
    </xf>
    <xf numFmtId="0" fontId="107" fillId="0" borderId="0" xfId="265" applyFont="1" applyAlignment="1">
      <alignment horizontal="left" indent="1"/>
    </xf>
    <xf numFmtId="0" fontId="111" fillId="0" borderId="8" xfId="265" applyFont="1" applyBorder="1"/>
    <xf numFmtId="0" fontId="107" fillId="0" borderId="8" xfId="265" applyFont="1" applyBorder="1"/>
    <xf numFmtId="257" fontId="107" fillId="0" borderId="0" xfId="265" applyNumberFormat="1" applyFont="1"/>
    <xf numFmtId="257" fontId="111" fillId="0" borderId="0" xfId="265" applyNumberFormat="1" applyFont="1"/>
    <xf numFmtId="0" fontId="111" fillId="25" borderId="8" xfId="265" applyFont="1" applyFill="1" applyBorder="1" applyAlignment="1">
      <alignment horizontal="left" wrapText="1"/>
    </xf>
    <xf numFmtId="0" fontId="122" fillId="0" borderId="56" xfId="0" applyFont="1" applyBorder="1" applyAlignment="1">
      <alignment horizontal="right" vertical="center" indent="1"/>
    </xf>
  </cellXfs>
  <cellStyles count="894">
    <cellStyle name="$" xfId="1" xr:uid="{F16BC442-F5A5-4E70-9C80-410280C4D54E}"/>
    <cellStyle name="$_TSA Model - 1 8 06 - v2" xfId="2" xr:uid="{9C3A461C-5AE5-4D58-9BA0-BB2FD89911A2}"/>
    <cellStyle name="%" xfId="3" xr:uid="{2B16B026-80AF-46EB-AA58-85A43858C8D7}"/>
    <cellStyle name=";;;" xfId="4" xr:uid="{E57AD8D4-78A2-4D7A-8701-336D9CAE27FC}"/>
    <cellStyle name="_%(SignOnly)" xfId="5" xr:uid="{2B6699A0-527E-40B9-99F6-A8A31960BC08}"/>
    <cellStyle name="_%(SignSpaceOnly)" xfId="6" xr:uid="{95A9D041-2639-4955-B99D-D6D6B6327631}"/>
    <cellStyle name="_0% CADR" xfId="7" xr:uid="{D9FDD8F8-2DE7-4F10-AA14-5744B9259946}"/>
    <cellStyle name="_0% IRR" xfId="8" xr:uid="{AE6216E2-AB16-46B8-99CB-901BEE4301AF}"/>
    <cellStyle name="_1% CADR" xfId="9" xr:uid="{7A9D5D9F-50D8-48F4-BF09-E65ACA7C4693}"/>
    <cellStyle name="_10% CADR" xfId="10" xr:uid="{57FA2470-0AE3-454D-ADF2-310619490708}"/>
    <cellStyle name="_10% CDR" xfId="11" xr:uid="{81451D7A-AAA2-4985-B973-1948233EEC1D}"/>
    <cellStyle name="_11% CADR" xfId="12" xr:uid="{20E0CDCE-AAB3-4DE8-B3AB-614B3A5CDC16}"/>
    <cellStyle name="_12% CADR" xfId="13" xr:uid="{AB9D2897-F1C1-4841-B1A3-760E31A82B3E}"/>
    <cellStyle name="_12% CDR" xfId="14" xr:uid="{C9E073CE-2F84-4881-B8BE-1EF00F450F29}"/>
    <cellStyle name="_13% CADR" xfId="15" xr:uid="{97E344AB-2553-44F0-8A1E-16FA566D45C1}"/>
    <cellStyle name="_14% CADR" xfId="16" xr:uid="{1E1470FB-B437-4E49-8A44-F7788E569373}"/>
    <cellStyle name="_14% CDR" xfId="17" xr:uid="{CE30BD85-9AA2-435B-9356-1F924215FFBA}"/>
    <cellStyle name="_16% CDR" xfId="18" xr:uid="{DD0CAEA6-3359-4536-9813-B5F5BCA8D9BB}"/>
    <cellStyle name="_18% CDR" xfId="19" xr:uid="{EF1E6C2F-DF8C-4845-A494-A97FC912B38C}"/>
    <cellStyle name="_19.6% CDR BBB Break In Yield" xfId="20" xr:uid="{0C003F38-1066-4DEC-B4EE-E22A1A231824}"/>
    <cellStyle name="_2% CADR" xfId="21" xr:uid="{97D6B24A-AC51-4F85-BE23-F9C0D0A2EFF0}"/>
    <cellStyle name="_20% CDR" xfId="22" xr:uid="{F070BA7D-C3D8-4DEF-BFD8-D9F257CBEF30}"/>
    <cellStyle name="_21.5% CDR BBB Break In Yield" xfId="23" xr:uid="{706D95B2-1A92-45F4-8720-FA8E6A374C45}"/>
    <cellStyle name="_3% CADR" xfId="24" xr:uid="{FA5198E9-74C8-43B0-B74F-5DB773A6F7EE}"/>
    <cellStyle name="_3% CDR" xfId="25" xr:uid="{804F1F01-DFB9-426C-848B-C84732725C2B}"/>
    <cellStyle name="_4% CADR" xfId="26" xr:uid="{71DE5023-6662-4FAC-A7B8-7977E789C8A8}"/>
    <cellStyle name="_5% CADR" xfId="27" xr:uid="{07A83C2B-A13D-4FDD-8E63-6B16CA6E33B6}"/>
    <cellStyle name="_5% CDR" xfId="28" xr:uid="{D4B683D3-97C6-40E6-8BB8-9E108D998B29}"/>
    <cellStyle name="_6% CADR" xfId="29" xr:uid="{9F0649B8-F118-4D45-AB57-06A1EED97CC7}"/>
    <cellStyle name="_7% CADR" xfId="30" xr:uid="{2E5A3B9F-E6B1-4D92-BE62-1034E285D175}"/>
    <cellStyle name="_7% CDR" xfId="31" xr:uid="{F828C191-8472-4AC2-AC4D-046C2DBCE60A}"/>
    <cellStyle name="_8% CADR" xfId="32" xr:uid="{22026B65-0B5C-4A0B-8F28-BC46C393EF6E}"/>
    <cellStyle name="_8.0% CDR BB Break In Yield" xfId="33" xr:uid="{AC41D9C9-3296-426C-9A63-0A9D7EFFE736}"/>
    <cellStyle name="_8.1% CDR BB Break In Yield" xfId="34" xr:uid="{7BA72540-764B-43F1-B501-B2210DD40956}"/>
    <cellStyle name="_9% CADR" xfId="35" xr:uid="{3C926C61-0901-48C7-90C5-BE66CFFB65D9}"/>
    <cellStyle name="_Assets" xfId="36" xr:uid="{E633AEE4-3311-4422-80C7-745CEF0A8E66}"/>
    <cellStyle name="_Assets_1" xfId="37" xr:uid="{A7437697-F806-44B8-B6B0-781DE2BBDF95}"/>
    <cellStyle name="_Assets_1_COMPS - B2B Publishers" xfId="38" xr:uid="{3BF88FE9-293C-49BD-B5CF-06F0B404BF52}"/>
    <cellStyle name="_Assets_1_COMPS - Directories" xfId="39" xr:uid="{5C704CC3-05F6-40D4-A95A-5CC8251EA9BB}"/>
    <cellStyle name="_Assets_1_F&amp;W Servicing Model" xfId="40" xr:uid="{5F24F867-CF4F-4296-9CEA-AB4E65611E33}"/>
    <cellStyle name="_Assets_1_F&amp;W Servicing Model v2" xfId="41" xr:uid="{91A58B57-D908-42BA-896C-CB3AF6F5D352}"/>
    <cellStyle name="_Assets_1_S&amp;P Analysis" xfId="42" xr:uid="{6204A64D-9E95-497F-AE3E-E9FE9FDC98D9}"/>
    <cellStyle name="_Assets_1_Univision Annual Model" xfId="43" xr:uid="{2CC8C09C-EA3C-4714-B2A2-20B73A1DDE5F}"/>
    <cellStyle name="_Assets_1_Yell Servicing Model" xfId="44" xr:uid="{99137FC3-3978-436C-8E2F-088CC77F035F}"/>
    <cellStyle name="_Assets_S&amp;P Analysis" xfId="45" xr:uid="{CEC4096A-81FD-40CD-9E86-99A642A8FAA5}"/>
    <cellStyle name="_Assets_S&amp;P Analysis_COMPS - B2B Publishers" xfId="46" xr:uid="{6991685F-4117-41C6-BC92-456B7F93626B}"/>
    <cellStyle name="_Assets_S&amp;P Analysis_COMPS - Directories" xfId="47" xr:uid="{BE706139-B193-4EA8-A280-930125AA8D10}"/>
    <cellStyle name="_Assets_S&amp;P Analysis_F&amp;W Servicing Model" xfId="48" xr:uid="{8747B6CE-E9A9-4BB3-86E3-8725B63090A9}"/>
    <cellStyle name="_Assets_S&amp;P Analysis_F&amp;W Servicing Model v2" xfId="49" xr:uid="{040211F9-0571-458B-A435-19DD31225B2F}"/>
    <cellStyle name="_Assets_S&amp;P Analysis_Univision Annual Model" xfId="50" xr:uid="{82A6BD89-14D4-4FE2-8A29-A96333BF4916}"/>
    <cellStyle name="_Assets_S&amp;P Analysis_Yell Servicing Model" xfId="51" xr:uid="{EB779E2D-2629-4B02-81B1-C46E966F2656}"/>
    <cellStyle name="_Assumptions" xfId="52" xr:uid="{574B8042-35F6-4754-81EE-F2A2F0BB3A35}"/>
    <cellStyle name="_Assumptions_1" xfId="53" xr:uid="{3F719D05-AEB1-46E4-AA05-F641EB7AA534}"/>
    <cellStyle name="_Assumptions_1_COMPS - B2B Publishers" xfId="54" xr:uid="{F81C5E97-22CA-402C-B507-8DF9C4A05E38}"/>
    <cellStyle name="_Assumptions_1_COMPS - Directories" xfId="55" xr:uid="{AB3475ED-C2DB-42CC-B4D0-00167AD0B4C2}"/>
    <cellStyle name="_Assumptions_1_F&amp;W Servicing Model" xfId="56" xr:uid="{202B045B-0831-4CDD-9CBB-5889E77A616A}"/>
    <cellStyle name="_Assumptions_1_F&amp;W Servicing Model v2" xfId="57" xr:uid="{28404A10-0ADD-43AF-A7AF-5514C44A9417}"/>
    <cellStyle name="_Assumptions_1_Univision Annual Model" xfId="58" xr:uid="{16C476D7-D079-436E-A1CE-5C3D185F6CDD}"/>
    <cellStyle name="_Assumptions_1_Yell Servicing Model" xfId="59" xr:uid="{82DC108A-8D97-4CFA-A1C0-57505C89FB0A}"/>
    <cellStyle name="_Blue Mountain TRS (7-5-05)" xfId="60" xr:uid="{185E2B1D-2AEB-4DE3-89A6-65DE56E64C76}"/>
    <cellStyle name="_Book2" xfId="61" xr:uid="{7BE5FDC0-EA27-4A1E-B0C6-FC4EC63D9C0E}"/>
    <cellStyle name="_CDO of CDO" xfId="62" xr:uid="{AD73B18E-126F-4493-A341-52E73856AAAD}"/>
    <cellStyle name="_CLO Portfolio 10_07_2005" xfId="63" xr:uid="{3A90AE42-D048-42C2-9D38-A1C9677A1D54}"/>
    <cellStyle name="_Comma" xfId="64" xr:uid="{5DE9E60F-853C-454D-B987-1F932535C0F0}"/>
    <cellStyle name="_Comma_dcf" xfId="65" xr:uid="{CC8349B1-7DC5-45FD-BD0B-0360625C35CB}"/>
    <cellStyle name="_Currency" xfId="66" xr:uid="{4055CEB3-7A70-4157-A96E-65704866000A}"/>
    <cellStyle name="_Currency_dcf" xfId="67" xr:uid="{2F096A44-545E-4704-91A0-6E11CF19B7A4}"/>
    <cellStyle name="_CurrencySpace" xfId="68" xr:uid="{37B099BE-CFF8-41DC-8B57-5E06ABD916F9}"/>
    <cellStyle name="_CurrencySpace_dcf" xfId="69" xr:uid="{94BD34A7-AF60-4289-B887-D2601409E42C}"/>
    <cellStyle name="_Euro" xfId="70" xr:uid="{66B73EBF-7C4F-4346-B532-7EFEF192000D}"/>
    <cellStyle name="_EV8 Assumption List" xfId="71" xr:uid="{EBF61EC5-2306-4BFD-9951-6C81501B569F}"/>
    <cellStyle name="_Exhibit I Babson Warehouse 2006-II CLO 8 18 06" xfId="72" xr:uid="{74B69B8F-83F0-4478-97D0-7E7B9502E50B}"/>
    <cellStyle name="_First PIK" xfId="73" xr:uid="{22D87DB8-C037-408C-ACC5-31A1FED2C1E6}"/>
    <cellStyle name="_Galaxy VI CLO - WestLB Request" xfId="74" xr:uid="{6CD4B715-564E-4744-9D7C-F70426CB4E86}"/>
    <cellStyle name="_Heading" xfId="75" xr:uid="{AC34B5B6-0749-4DF6-B686-947D721C3535}"/>
    <cellStyle name="_Heading_prestemp" xfId="76" xr:uid="{1858A103-A780-44B4-B99F-97C0F41DA48A}"/>
    <cellStyle name="_Highlight" xfId="77" xr:uid="{99D57686-26EC-41C1-BCEF-78F8070DF50E}"/>
    <cellStyle name="_Model FINAL (2)" xfId="78" xr:uid="{10B766CB-D9A6-4BF6-8A3A-1F0742EC4733}"/>
    <cellStyle name="_Multiple" xfId="79" xr:uid="{55C17429-F9B4-4265-9E97-5C829C5FFBBA}"/>
    <cellStyle name="_Multiple_dcf" xfId="80" xr:uid="{746E064A-3A5A-4892-ADD8-509A25DD5F9D}"/>
    <cellStyle name="_MultipleSpace" xfId="81" xr:uid="{0D0A72AC-35E7-4EBF-8C5E-26945A885EAE}"/>
    <cellStyle name="_MultipleSpace_dcf" xfId="82" xr:uid="{9C3BFDDB-4889-46B4-9204-F4F902F1A722}"/>
    <cellStyle name="_Other Defafult Scenario 1" xfId="83" xr:uid="{4EF784D1-A249-4D84-8F89-F6E06DB19573}"/>
    <cellStyle name="_Other Default Scenario 2" xfId="84" xr:uid="{1C90AD22-35A6-4718-82C3-9F3A3477EE91}"/>
    <cellStyle name="_Percent" xfId="85" xr:uid="{3221820A-BC88-4135-8445-EDDFB3D23915}"/>
    <cellStyle name="_PercentSpace" xfId="86" xr:uid="{684CD393-A7DB-47C1-965C-BD377FD82BE2}"/>
    <cellStyle name="_Port" xfId="87" xr:uid="{69A78EFC-DF2C-4517-91AE-917EECDCEA2E}"/>
    <cellStyle name="_Port For S&amp;P" xfId="88" xr:uid="{CE8DBDD3-F022-4E45-A4F7-8FDB1FA030B0}"/>
    <cellStyle name="_Port_COMPS - B2B Publishers" xfId="89" xr:uid="{E7980BDB-1E1C-4B9B-928C-00EAB3AB0616}"/>
    <cellStyle name="_Port_COMPS - Directories" xfId="90" xr:uid="{10546062-1B8E-478A-87C4-01D49234D2C0}"/>
    <cellStyle name="_Port_F&amp;W Servicing Model" xfId="91" xr:uid="{2F82C4A3-8F77-4465-8A36-FCA125DE3C1D}"/>
    <cellStyle name="_Port_F&amp;W Servicing Model v2" xfId="92" xr:uid="{75D3A17C-3CD0-4F1B-AA9E-D4965BF3B344}"/>
    <cellStyle name="_Port_Univision Annual Model" xfId="93" xr:uid="{723B3A11-9CE5-47C2-A5BF-172D17583F1E}"/>
    <cellStyle name="_Port_Yell Servicing Model" xfId="94" xr:uid="{89DFB307-D9B1-44DB-97F1-2A127461E3B6}"/>
    <cellStyle name="_Pro Forma TTM 9.30.07 (CW NEIRB Acquisition)" xfId="95" xr:uid="{0D74A67F-F71C-4BC7-AF81-6E10410B973C}"/>
    <cellStyle name="_S&amp;P Analysis" xfId="96" xr:uid="{8C03A2A4-58E5-4860-AC33-C3EEF9D93961}"/>
    <cellStyle name="_S&amp;P Analysis_COMPS - B2B Publishers" xfId="97" xr:uid="{3861F34A-058C-4508-8AC0-69A3A404A0F0}"/>
    <cellStyle name="_S&amp;P Analysis_COMPS - Directories" xfId="98" xr:uid="{86A52B19-FAD1-432B-958F-74A2B3A55B25}"/>
    <cellStyle name="_S&amp;P Analysis_F&amp;W Servicing Model" xfId="99" xr:uid="{6A5E8E3B-1008-460D-9110-6B686C4276A1}"/>
    <cellStyle name="_S&amp;P Analysis_F&amp;W Servicing Model v2" xfId="100" xr:uid="{7F71F498-CE98-4551-B304-CC34A20F5FD4}"/>
    <cellStyle name="_S&amp;P Analysis_Univision Annual Model" xfId="101" xr:uid="{E1ABE0DF-E339-4273-A21D-874D688041B8}"/>
    <cellStyle name="_S&amp;P Analysis_Yell Servicing Model" xfId="102" xr:uid="{39EC9500-213F-4635-98B5-7319449C0F43}"/>
    <cellStyle name="_S&amp;P Hypothetical Port Summary" xfId="103" xr:uid="{71608879-64C8-4118-83C6-E70290C043C5}"/>
    <cellStyle name="_S&amp;P Port 80Div_2099WARF" xfId="104" xr:uid="{38E654E0-30ED-4BDF-B33D-868B76ECACA3}"/>
    <cellStyle name="_S&amp;P Stress Scenarios" xfId="105" xr:uid="{83D0365A-1F77-4C2D-AF8F-601C1C94159D}"/>
    <cellStyle name="_Sources and Uses" xfId="106" xr:uid="{49CD8DB8-4E74-434C-813F-FF0F97081331}"/>
    <cellStyle name="_SubHeading" xfId="107" xr:uid="{4D08F558-3515-4ACA-8B0B-56B249675218}"/>
    <cellStyle name="_SubHeading_prestemp" xfId="108" xr:uid="{62751464-7CA7-470A-9180-B762C97DA2E3}"/>
    <cellStyle name="_Table" xfId="109" xr:uid="{EB2171C4-947E-44B9-B1A8-B5F8A1AC465D}"/>
    <cellStyle name="_TableHead" xfId="110" xr:uid="{2AED5385-BD03-426E-A2DB-0512BDA88A9A}"/>
    <cellStyle name="_TableRowHead" xfId="111" xr:uid="{D17578AB-7758-4D39-A9A1-C9070E62ACFF}"/>
    <cellStyle name="_TableSuperHead" xfId="112" xr:uid="{8E582733-8415-4569-BCD4-109664FBF20E}"/>
    <cellStyle name="£Currency [0]" xfId="113" xr:uid="{7AEC8375-04C2-4453-B69B-7FE42C4B6AD2}"/>
    <cellStyle name="£Currency [1]" xfId="114" xr:uid="{849C0AA7-D750-4655-985D-219819D08644}"/>
    <cellStyle name="£Currency [2]" xfId="115" xr:uid="{BDB20FFC-6AAA-4024-A6E6-38AB6D6EE84E}"/>
    <cellStyle name="£Currency [p]" xfId="116" xr:uid="{CD2CA10C-0B0C-48A2-8FA7-4396C476CDD7}"/>
    <cellStyle name="£Currency [p2]" xfId="117" xr:uid="{98CF055C-4F8F-499F-A9C5-74C37B8232D1}"/>
    <cellStyle name="£Pounds" xfId="118" xr:uid="{4869F689-12E4-4C30-B1F4-0F724AE591E3}"/>
    <cellStyle name="Accounting $" xfId="119" xr:uid="{1C985D24-DB06-40C5-B708-5A18DA10DB2E}"/>
    <cellStyle name="Across" xfId="120" xr:uid="{7C2D0D8F-8C4B-41C2-87FA-A62A722EF5C7}"/>
    <cellStyle name="Adjustable" xfId="121" xr:uid="{359D06BD-16C1-43D8-872A-5F1A136E0C79}"/>
    <cellStyle name="AFE" xfId="122" xr:uid="{F5A4A69F-1C4C-486C-AABD-69CE73FD77A6}"/>
    <cellStyle name="Andre's Title" xfId="123" xr:uid="{306ADA86-BAB4-49D4-8A7D-06E275AAC4DC}"/>
    <cellStyle name="args.style" xfId="124" xr:uid="{5723CDBB-9C75-4173-84AB-7F540B2DFED6}"/>
    <cellStyle name="Arial 10" xfId="125" xr:uid="{2F156316-11E3-4052-8E46-8629EA30FE98}"/>
    <cellStyle name="Arial 12" xfId="126" xr:uid="{8A60DAE4-2291-4B47-A809-B0054572B7BB}"/>
    <cellStyle name="Best" xfId="127" xr:uid="{987B5FD0-E994-47BE-BCC7-A14494296513}"/>
    <cellStyle name="Blank [$]" xfId="128" xr:uid="{E1A14374-087C-4EC3-9C70-9A412145602B}"/>
    <cellStyle name="Blank [,]" xfId="129" xr:uid="{A9E74397-D0A9-4701-9A85-3B378A66EA2C}"/>
    <cellStyle name="BlankedZeros" xfId="130" xr:uid="{31F3B215-9059-41F5-878D-07AC5B347DA7}"/>
    <cellStyle name="Blue" xfId="131" xr:uid="{7654BE0A-4EE3-4DD5-8DE5-72DC316316E5}"/>
    <cellStyle name="bluepercent" xfId="132" xr:uid="{F21E24A6-C4B9-4D62-A207-5E45EE07B166}"/>
    <cellStyle name="Body" xfId="133" xr:uid="{6F47FD71-3E37-45D8-BA6A-BFFF76A793CF}"/>
    <cellStyle name="Bold" xfId="134" xr:uid="{847EE3D9-B3A5-458E-9BF5-183E738EAD82}"/>
    <cellStyle name="BoldItalic" xfId="135" xr:uid="{2A755481-E075-4F42-8693-3D94668A5617}"/>
    <cellStyle name="Bottom" xfId="136" xr:uid="{1FD8B5A6-0A66-4A8E-801F-4822ACA9E2FF}"/>
    <cellStyle name="Bottom Edge" xfId="137" xr:uid="{605AE7EA-B6CE-4E9D-9C6B-219BB5E4C97F}"/>
    <cellStyle name="British Pound" xfId="138" xr:uid="{05E6AA9E-E394-4FE2-8C4F-47864DADAADE}"/>
    <cellStyle name="Business Description" xfId="139" xr:uid="{B25C335D-1665-47AA-B47D-AF88F5B55547}"/>
    <cellStyle name="c" xfId="140" xr:uid="{DDA4C285-C644-47FF-80C0-214216B242F4}"/>
    <cellStyle name="Calc Currency (0)" xfId="141" xr:uid="{DDF5B973-2552-419F-A3CA-5F249C5D5759}"/>
    <cellStyle name="Calc Currency (2)" xfId="142" xr:uid="{0AC6B798-25A5-48D7-BD6C-FB72EA3D0BA7}"/>
    <cellStyle name="Calc Percent (0)" xfId="143" xr:uid="{5CB0D5A4-C252-4FCD-9F91-12C1E0892184}"/>
    <cellStyle name="Calc Percent (1)" xfId="144" xr:uid="{5F447E68-DC50-4E66-8BDA-F86D83F94D1A}"/>
    <cellStyle name="Calc Percent (2)" xfId="145" xr:uid="{CF143DE3-4807-4316-817E-A20B6BACFAE8}"/>
    <cellStyle name="Calc Units (0)" xfId="146" xr:uid="{2AAB290B-3693-4D1D-9809-5B8DC98E0A66}"/>
    <cellStyle name="Calc Units (1)" xfId="147" xr:uid="{ED8465E4-6109-43FA-8AC1-4D1ACAFF2AB8}"/>
    <cellStyle name="Calc Units (2)" xfId="148" xr:uid="{6A637221-ABA8-4FDF-B467-ED07EA4E613F}"/>
    <cellStyle name="Case" xfId="149" xr:uid="{21D68310-F342-42E3-98EA-AD5E8B12685C}"/>
    <cellStyle name="cc" xfId="150" xr:uid="{9945A08F-1015-49D8-97F7-ECA8DA6325BA}"/>
    <cellStyle name="Center" xfId="151" xr:uid="{E1AE08C5-FD9E-4F20-9396-442DEE1269AE}"/>
    <cellStyle name="CenterBold" xfId="152" xr:uid="{F4CEDB2C-EB0A-4AB1-A91C-6DD8196427C3}"/>
    <cellStyle name="CenterItalic" xfId="153" xr:uid="{A21B8CE8-0CC2-483D-8C78-D95A6D107F36}"/>
    <cellStyle name="Cents" xfId="154" xr:uid="{F00F2381-7FD1-4D63-B08E-0DFD51A56057}"/>
    <cellStyle name="ChartingText" xfId="155" xr:uid="{5FDD9A5D-5A05-4A91-B1CA-7DF3FF774492}"/>
    <cellStyle name="Co. Names" xfId="156" xr:uid="{6BE9F54E-7CE0-4332-B143-D4AE9F90982C}"/>
    <cellStyle name="Co. Names - Bold" xfId="157" xr:uid="{66FF0A20-C55B-4F98-BF97-BAF0BA40D77D}"/>
    <cellStyle name="Co. Names_Break-Up" xfId="158" xr:uid="{184D094A-BD27-4737-9D6E-D45AD6A04435}"/>
    <cellStyle name="COL HEADINGS" xfId="159" xr:uid="{A4A79147-1739-45ED-9FD5-60DA354C257C}"/>
    <cellStyle name="ColumnHeaderNormal" xfId="160" xr:uid="{933C948F-CDA7-4539-88F9-AF07F10CC8EC}"/>
    <cellStyle name="Comma" xfId="161" builtinId="3"/>
    <cellStyle name="Comma  - Style1" xfId="162" xr:uid="{40DD257E-27C0-41E6-A4A3-7EE4D67AD41F}"/>
    <cellStyle name="Comma  - Style2" xfId="163" xr:uid="{0A646C14-DCF0-4A64-A2A0-F1EB768658CA}"/>
    <cellStyle name="Comma  - Style3" xfId="164" xr:uid="{DA1AD691-A686-44F2-BA61-12D7F37B60A5}"/>
    <cellStyle name="Comma  - Style4" xfId="165" xr:uid="{B251855A-5A10-4CC9-AD5E-0BAFA8D7AD6F}"/>
    <cellStyle name="Comma  - Style5" xfId="166" xr:uid="{2B689D3D-196D-46C0-9575-0EB5900850AA}"/>
    <cellStyle name="Comma  - Style6" xfId="167" xr:uid="{B895577C-7299-4376-9243-8BC4C38EDFF8}"/>
    <cellStyle name="Comma  - Style7" xfId="168" xr:uid="{47A57A83-4FA4-4ED3-A36F-50E3C3FE1501}"/>
    <cellStyle name="Comma  - Style8" xfId="169" xr:uid="{BE068DFB-05E9-4932-83B0-DA6FA437CB99}"/>
    <cellStyle name="Comma [0]; --" xfId="170" xr:uid="{745C052D-229E-4F28-B051-4690AB5FCA89}"/>
    <cellStyle name="Comma [00]" xfId="171" xr:uid="{703F776F-07F3-440F-88D4-F11E4D1C77A4}"/>
    <cellStyle name="Comma [1]" xfId="172" xr:uid="{C38FDC92-14DC-4DC7-98B9-484EA5DF448F}"/>
    <cellStyle name="Comma Cents" xfId="173" xr:uid="{6BC4F3C8-416C-4734-82D3-3A7B44B5A9AC}"/>
    <cellStyle name="Comma0" xfId="174" xr:uid="{9C11AE0B-382B-4272-989D-48AB4DB4814D}"/>
    <cellStyle name="Commas" xfId="175" xr:uid="{C16AAB22-4678-4D57-8293-E05C1F11FB28}"/>
    <cellStyle name="CommasBold" xfId="176" xr:uid="{401FB783-7B28-48B2-8976-0B578B285898}"/>
    <cellStyle name="CompanyTitle" xfId="177" xr:uid="{FBEDED1A-6D56-446B-8B5E-05FEAD56282F}"/>
    <cellStyle name="Copied" xfId="178" xr:uid="{26126323-0E8B-499A-BDA8-600280383EFD}"/>
    <cellStyle name="Currency $" xfId="179" xr:uid="{CB2DA5B3-B341-46C0-AD15-AC9ACF1FD2B0}"/>
    <cellStyle name="Currency [0]; --" xfId="180" xr:uid="{0DA9F22E-034D-497B-9DDF-45FDE89C3D11}"/>
    <cellStyle name="Currency [00]" xfId="181" xr:uid="{F4A2D320-6E41-4D61-9CA4-40CB785116A1}"/>
    <cellStyle name="Currency [1]" xfId="182" xr:uid="{9AEF07FF-B678-4C5B-BE6F-6F4631EF538D}"/>
    <cellStyle name="Currency [2]" xfId="183" xr:uid="{5FC3CD2D-CA3F-48DD-8CCB-525BDE621778}"/>
    <cellStyle name="data" xfId="184" xr:uid="{06E0B6B3-D701-494D-8D9C-750B0617651B}"/>
    <cellStyle name="Date" xfId="185" xr:uid="{9E69CF82-4001-4799-A28E-70EA9B6A0B77}"/>
    <cellStyle name="Date Short" xfId="186" xr:uid="{E2D93B4D-D429-4A33-AF9B-7F3F08F49359}"/>
    <cellStyle name="Date_COMPS - Directories" xfId="187" xr:uid="{4738C311-30B8-44C0-819A-AE1DFFA31605}"/>
    <cellStyle name="DateLeftBold" xfId="188" xr:uid="{863C5A33-CFA8-4B83-9C18-73E6B3A48D37}"/>
    <cellStyle name="Default" xfId="189" xr:uid="{2DED1037-2EAB-4D4D-9CE1-A97A62DD72F6}"/>
    <cellStyle name="DELTA" xfId="190" xr:uid="{7D6FDC21-94D7-4E57-A163-5CFE213D4B6F}"/>
    <cellStyle name="Dollars" xfId="191" xr:uid="{44C8AEA3-043C-49C8-8648-4B7FF3291671}"/>
    <cellStyle name="Dollars []" xfId="192" xr:uid="{298ACEF2-F6F4-4B2C-B79C-4C054365BD91}"/>
    <cellStyle name="Dollars_Pro Forma TTM 9.30.07 (CW NEIRB Acquisition)" xfId="193" xr:uid="{87EDEB1F-D87B-4DA2-9E17-02B7326B4197}"/>
    <cellStyle name="Double" xfId="194" xr:uid="{5841D73D-FF81-4EDD-9A1F-6DBB1A70BAAD}"/>
    <cellStyle name="Double Accounting" xfId="195" xr:uid="{1DDC94F0-2646-4B98-A43C-18199337705F}"/>
    <cellStyle name="Enter Currency (0)" xfId="196" xr:uid="{3A9905FF-076E-40A0-B032-49D744D42273}"/>
    <cellStyle name="Enter Currency (2)" xfId="197" xr:uid="{957BAA62-0392-41DD-8396-CF47992F3010}"/>
    <cellStyle name="Enter Units (0)" xfId="198" xr:uid="{4C0F552B-E056-486E-BBE4-5845EE99B3C1}"/>
    <cellStyle name="Enter Units (1)" xfId="199" xr:uid="{B13FD48E-3E55-410E-8E09-AB861EB1A5EA}"/>
    <cellStyle name="Enter Units (2)" xfId="200" xr:uid="{9C39F0C5-EACA-4D57-8FA3-917F199602AD}"/>
    <cellStyle name="Entered" xfId="201" xr:uid="{2F8DE468-F729-4911-9026-C0673A225566}"/>
    <cellStyle name="Euro" xfId="202" xr:uid="{BB5D9442-830E-4282-9DE8-4B6DEB2D041B}"/>
    <cellStyle name="Fit" xfId="203" xr:uid="{CD75572B-61C4-4E0E-A2B5-18599AE9A972}"/>
    <cellStyle name="Footer" xfId="204" xr:uid="{06B5C778-2C92-4C5B-9FED-0AEAA4E3B9AC}"/>
    <cellStyle name="Footnotes" xfId="205" xr:uid="{429027F6-E1DD-4360-AAC0-5A918A5D30DC}"/>
    <cellStyle name="Grey" xfId="206" xr:uid="{252D65EA-63D9-4E18-9DED-F870910D7987}"/>
    <cellStyle name="GreybarHeader" xfId="207" xr:uid="{3A2B40A9-ED1A-48C5-B663-F6F35E676BC0}"/>
    <cellStyle name="Grouped Head" xfId="208" xr:uid="{1C6C1AB4-6603-49CC-9112-7DC82823E991}"/>
    <cellStyle name="h" xfId="209" xr:uid="{A48F5E43-18D1-43FA-AF29-E51D82B0728C}"/>
    <cellStyle name="HAlignCenter" xfId="210" xr:uid="{A1AFD9F5-0819-4067-A6D2-6E062718FEBA}"/>
    <cellStyle name="HAlignLeft" xfId="211" xr:uid="{41BB8856-91C7-4260-89E1-EBFE532778A0}"/>
    <cellStyle name="HAlignRight" xfId="212" xr:uid="{E70D3BB4-20BB-4EE6-94FF-FAA764141163}"/>
    <cellStyle name="Head 1" xfId="213" xr:uid="{1775E09A-093F-4F91-9128-36FF7A60C9BB}"/>
    <cellStyle name="Header" xfId="214" xr:uid="{67CB84FD-6284-4C50-BE33-CDC60BFA1E7D}"/>
    <cellStyle name="Header1" xfId="215" xr:uid="{A194F160-39E2-4B42-9879-472F36EF777F}"/>
    <cellStyle name="Header2" xfId="216" xr:uid="{478BE303-E45C-435C-B7A2-6A110138A96C}"/>
    <cellStyle name="headers" xfId="217" xr:uid="{54E81922-50BE-4C46-AF94-915D6B6AE78F}"/>
    <cellStyle name="Heading" xfId="218" xr:uid="{CF4E5227-F21A-49C4-A2DD-105C498C5575}"/>
    <cellStyle name="HEADINGS" xfId="219" xr:uid="{01A6352D-AF87-424B-B8CC-3B54A5A1B677}"/>
    <cellStyle name="HEADINGSTOP" xfId="220" xr:uid="{DE1FAE94-553F-45F4-867F-DAFC89EB3F0F}"/>
    <cellStyle name="imput" xfId="221" xr:uid="{376EAF82-6967-4CD6-B3BD-821EB0C6D4F9}"/>
    <cellStyle name="Input [yellow]" xfId="222" xr:uid="{D9BD8C7C-4962-40AE-8443-9095325B14C8}"/>
    <cellStyle name="Invisible" xfId="223" xr:uid="{9A922E49-BEF4-4429-B194-E13ADEA55F1B}"/>
    <cellStyle name="ItalicHeader" xfId="224" xr:uid="{12B72D5F-518F-433D-87B5-D924696A77F5}"/>
    <cellStyle name="Item Descriptions" xfId="225" xr:uid="{B04687BC-A590-4CCA-8CED-A0A304684025}"/>
    <cellStyle name="Item Descriptions - Bold" xfId="226" xr:uid="{827A417D-4871-418F-BE8E-FF26C2EB399F}"/>
    <cellStyle name="Item Descriptions_6079BX" xfId="227" xr:uid="{2BA70EB1-F8C4-4C10-874E-8BFA955C5F6D}"/>
    <cellStyle name="Left" xfId="228" xr:uid="{ABC3B577-E021-4F1F-909C-B36A3F496C06}"/>
    <cellStyle name="LeftBold" xfId="229" xr:uid="{0D91DB45-C85F-4E5D-8212-E346D5349A33}"/>
    <cellStyle name="LeftBoldBottomRule" xfId="230" xr:uid="{EDD36AAC-AC9A-4205-96ED-509266959CA7}"/>
    <cellStyle name="LeftBoldCenterRule" xfId="231" xr:uid="{047591F3-A2C2-491B-BFA1-67D227653E7D}"/>
    <cellStyle name="Line" xfId="232" xr:uid="{F11CA2A3-727C-4DA8-A246-51C21CC4A35F}"/>
    <cellStyle name="Link Currency (0)" xfId="233" xr:uid="{742106C8-6DB1-46F7-92C9-90FB83F5AD7E}"/>
    <cellStyle name="Link Currency (2)" xfId="234" xr:uid="{925E8568-CBB0-42BF-A557-6448C2617BFF}"/>
    <cellStyle name="Link Units (0)" xfId="235" xr:uid="{52736EE8-9FEC-4348-9A20-3F6B6BD4C1C1}"/>
    <cellStyle name="Link Units (1)" xfId="236" xr:uid="{A5084A72-FADE-4451-9568-56CA76A98166}"/>
    <cellStyle name="Link Units (2)" xfId="237" xr:uid="{40529DCA-5C45-4B54-8FC8-85780D6CC128}"/>
    <cellStyle name="locked" xfId="238" xr:uid="{0BA39D91-B3C1-4CFF-98A3-C97A62C07D62}"/>
    <cellStyle name="m&amp;a" xfId="239" xr:uid="{782AED21-F528-4F9B-A574-12B30B2C9AB7}"/>
    <cellStyle name="Map Labels" xfId="240" xr:uid="{7C68D929-0EC5-4861-B00D-D9115BF1C4A9}"/>
    <cellStyle name="Map Legend" xfId="241" xr:uid="{88350332-44D9-4C21-B5F5-3BB105A5AB20}"/>
    <cellStyle name="Merrill" xfId="242" xr:uid="{05163130-C619-411B-BBF9-E4EB0405EF17}"/>
    <cellStyle name="Millares_Inv Detail A7" xfId="243" xr:uid="{2B75B3CA-BAFA-4F1C-9883-07CB6D1A6F2C}"/>
    <cellStyle name="Milliers [0]_r00SC" xfId="244" xr:uid="{106E28AF-6848-4050-BA58-1BAA322C9300}"/>
    <cellStyle name="Milliers_r00SC" xfId="245" xr:uid="{169F6ABA-D895-4C68-8B67-47ED3730C1B8}"/>
    <cellStyle name="Mix" xfId="246" xr:uid="{CB52A902-8A77-4598-934F-F6300272C91D}"/>
    <cellStyle name="mon" xfId="247" xr:uid="{A69F27AF-1AA2-40F0-8E4E-140142181FA0}"/>
    <cellStyle name="Monétaire [0]_r00SC" xfId="248" xr:uid="{55CF6104-F397-43B9-B1C8-C54629411BFD}"/>
    <cellStyle name="Monétaire_r00SC" xfId="249" xr:uid="{DFF2501F-8F4F-4A5A-8CB5-92AE7A695F92}"/>
    <cellStyle name="Money" xfId="250" xr:uid="{BEE4E7E4-C53C-4D09-9267-C92EEC9A4FC6}"/>
    <cellStyle name="Multiple" xfId="251" xr:uid="{90025A77-6860-4DD0-BF3E-24973E2E2828}"/>
    <cellStyle name="Multiple []" xfId="252" xr:uid="{517EF6E9-2163-42A4-97AF-DC6ED7AC9315}"/>
    <cellStyle name="Multiple [0]" xfId="253" xr:uid="{F2A326C7-4FA8-46EC-A4F2-C6668EC5F9E8}"/>
    <cellStyle name="Multiple [0] []" xfId="254" xr:uid="{38BCF48F-F5CD-45AE-8928-E85CCDD96A8D}"/>
    <cellStyle name="Multiple [0]_New MA Public Comps and WACC Model" xfId="255" xr:uid="{E2BD7E8F-E5AB-4EBB-8485-54A9B1A4136B}"/>
    <cellStyle name="Multiple [1]" xfId="256" xr:uid="{2A2D9FDC-20AB-44B1-B971-C3D9805C8A49}"/>
    <cellStyle name="Multiple [1] []" xfId="257" xr:uid="{BE26CE35-6281-46C5-9C12-92225FEA58B8}"/>
    <cellStyle name="Multiple [1]_New MA Public Comps and WACC Model" xfId="258" xr:uid="{F2907558-8ED6-49ED-B8E7-D05E3B47BA6F}"/>
    <cellStyle name="Multiple_CapitalSum" xfId="259" xr:uid="{E0ADE313-A2CD-4864-8FF6-ABE1582EAB40}"/>
    <cellStyle name="N2Style" xfId="260" xr:uid="{B53891B9-4456-40C6-8366-EBC5A119C10B}"/>
    <cellStyle name="NewColumnHeaderNormal" xfId="261" xr:uid="{BFA700B1-45B8-4123-8A88-B1071231643E}"/>
    <cellStyle name="NewSectionHeaderNormal" xfId="262" xr:uid="{11955B0A-0070-4669-8ABF-597E87C7B5A2}"/>
    <cellStyle name="NewTitleNormal" xfId="263" xr:uid="{5D13732D-827D-40E9-A424-2C9F5A461BA0}"/>
    <cellStyle name="Normal" xfId="0" builtinId="0"/>
    <cellStyle name="Normal - Style1" xfId="264" xr:uid="{5CC78426-BF97-4B5A-9CC6-8993E589C1CA}"/>
    <cellStyle name="Normal 2" xfId="265" xr:uid="{6909B372-21AE-4D0B-B700-2477CC05BDE6}"/>
    <cellStyle name="Normal1" xfId="266" xr:uid="{E14F7C78-3ED2-4D9A-88BA-A58A06C940FA}"/>
    <cellStyle name="Normal10" xfId="267" xr:uid="{F281AAB8-9654-4E73-AF31-6E0BC2AD4744}"/>
    <cellStyle name="Normal100" xfId="268" xr:uid="{298FFD89-C137-4532-B6C5-F5A88E0C5823}"/>
    <cellStyle name="Normal101" xfId="269" xr:uid="{7AA92C09-468A-446D-B834-71DBBBAD11C9}"/>
    <cellStyle name="Normal102" xfId="270" xr:uid="{1C13038B-6CB8-4980-A22D-D12D698FC1D6}"/>
    <cellStyle name="Normal103" xfId="271" xr:uid="{B7A096F0-D8EA-4ED4-B30F-31C9ED8AE083}"/>
    <cellStyle name="Normal104" xfId="272" xr:uid="{FF95388A-5FE4-449E-88C9-127671C5FEF5}"/>
    <cellStyle name="Normal105" xfId="273" xr:uid="{561A6601-B47C-420E-A90F-347DC4433D5F}"/>
    <cellStyle name="Normal106" xfId="274" xr:uid="{99AFBE45-5D0C-4941-9F8E-BDBD1B1F54F6}"/>
    <cellStyle name="Normal107" xfId="275" xr:uid="{45F1A9B2-778C-4A29-AB66-72CCAB43B2A9}"/>
    <cellStyle name="Normal108" xfId="276" xr:uid="{E985D3F9-CB01-48FA-B44D-C4A890BDDA9A}"/>
    <cellStyle name="Normal109" xfId="277" xr:uid="{182144B2-11C8-4290-AA26-79BA345F3465}"/>
    <cellStyle name="Normal11" xfId="278" xr:uid="{621215C7-0091-4934-8B67-7F8739A0F5EC}"/>
    <cellStyle name="Normal110" xfId="279" xr:uid="{1E15B9EA-4365-4352-8863-B493409676C6}"/>
    <cellStyle name="Normal111" xfId="280" xr:uid="{19C89EC1-C6AB-4AF6-9AEA-BF21140883DA}"/>
    <cellStyle name="Normal112" xfId="281" xr:uid="{167AED02-C9D4-4ACD-AA0D-07BD9DA1E41F}"/>
    <cellStyle name="Normal113" xfId="282" xr:uid="{E4DC3EA3-975B-4214-9756-96A4DD43FC75}"/>
    <cellStyle name="Normal114" xfId="283" xr:uid="{419B701C-88E9-4F2E-AF0E-A9DEA98E1EFD}"/>
    <cellStyle name="Normal115" xfId="284" xr:uid="{57D718F4-391B-4F89-B4DE-709637A63582}"/>
    <cellStyle name="Normal116" xfId="285" xr:uid="{330C38B2-2FDD-4550-87A4-31B94C8FB54F}"/>
    <cellStyle name="Normal117" xfId="286" xr:uid="{8679501F-9099-4D4B-9A38-7566320C81E8}"/>
    <cellStyle name="Normal118" xfId="287" xr:uid="{FCA33C13-7E03-4BF7-AC4F-2087CC69353E}"/>
    <cellStyle name="Normal119" xfId="288" xr:uid="{A9FBB5D3-E8D6-4F53-B81A-393AD1657C51}"/>
    <cellStyle name="Normal12" xfId="289" xr:uid="{A06D5722-B53D-432F-9272-DD798E109E78}"/>
    <cellStyle name="Normal120" xfId="290" xr:uid="{4D0CF229-1932-4A5A-B8FB-38DD5ACA403D}"/>
    <cellStyle name="Normal121" xfId="291" xr:uid="{43A75142-BA20-4F74-81F5-6D3B2577DCF5}"/>
    <cellStyle name="Normal122" xfId="292" xr:uid="{A7992A94-03DB-4BE7-AF9E-033850873A80}"/>
    <cellStyle name="Normal123" xfId="293" xr:uid="{72647E95-E729-4CA1-A64E-BDBFAEFFB13F}"/>
    <cellStyle name="Normal124" xfId="294" xr:uid="{29B0D531-D4BE-4363-8C82-FAEE943D4164}"/>
    <cellStyle name="Normal125" xfId="295" xr:uid="{A34EBBF4-A9C7-45A1-963B-744E0404973D}"/>
    <cellStyle name="Normal126" xfId="296" xr:uid="{2313F902-3C24-4237-983B-4DD7D9C8FBF0}"/>
    <cellStyle name="Normal127" xfId="297" xr:uid="{F4697BB7-9DC6-4B71-B60A-3C416A2BC9C5}"/>
    <cellStyle name="Normal128" xfId="298" xr:uid="{5DD238A7-DF01-4076-A4C4-D714F27B1B69}"/>
    <cellStyle name="Normal129" xfId="299" xr:uid="{559910DA-093C-4C84-9AB0-35118DE9F9E0}"/>
    <cellStyle name="Normal13" xfId="300" xr:uid="{4637FB6B-B884-47A6-9467-C3F38ED167B8}"/>
    <cellStyle name="Normal130" xfId="301" xr:uid="{A10AFD80-6EF7-4D94-B01A-FA0F9A40AD1D}"/>
    <cellStyle name="Normal131" xfId="302" xr:uid="{86BD588B-759E-4F6E-AB17-EBE26847B43C}"/>
    <cellStyle name="Normal132" xfId="303" xr:uid="{88C4063B-7057-47AB-BC43-009F1BCBA526}"/>
    <cellStyle name="Normal133" xfId="304" xr:uid="{B9BC201A-E5E6-4071-8750-D7E99C4EBAFE}"/>
    <cellStyle name="Normal134" xfId="305" xr:uid="{F751855C-320A-44C9-9CFB-707BC95FD6DC}"/>
    <cellStyle name="Normal135" xfId="306" xr:uid="{C839C2EA-2A20-40B2-8BE8-18DDF4072856}"/>
    <cellStyle name="Normal136" xfId="307" xr:uid="{C4BC6936-8B25-433A-B12F-51DB5DDAF9C4}"/>
    <cellStyle name="Normal137" xfId="308" xr:uid="{BC87AC7B-0F9E-44BD-8EE9-D46F4C7CED3B}"/>
    <cellStyle name="Normal138" xfId="309" xr:uid="{3451E87C-8FDB-4202-9D02-9B2B3952F39D}"/>
    <cellStyle name="Normal139" xfId="310" xr:uid="{2ECA2642-E39B-4277-A9DA-83EDEFF3DEEA}"/>
    <cellStyle name="Normal14" xfId="311" xr:uid="{437686E0-7EDC-4DC9-9216-354A63F79D6D}"/>
    <cellStyle name="Normal140" xfId="312" xr:uid="{7D9F7A78-F5F8-4A00-BF46-A0F2DD8ADAD2}"/>
    <cellStyle name="Normal141" xfId="313" xr:uid="{72B5724E-8408-4D4D-AC19-D2898C65A25C}"/>
    <cellStyle name="Normal142" xfId="314" xr:uid="{44A9D49F-E3BE-452C-9B95-966B62D5ADDE}"/>
    <cellStyle name="Normal143" xfId="315" xr:uid="{E6A75CC6-5013-4119-AA51-1DE45176B3BB}"/>
    <cellStyle name="Normal144" xfId="316" xr:uid="{F2E38B9A-0606-401E-9112-DCE1EA94F873}"/>
    <cellStyle name="Normal145" xfId="317" xr:uid="{F13908CE-EDA1-49CE-AFE0-B085386AEEFF}"/>
    <cellStyle name="Normal146" xfId="318" xr:uid="{6EA679E4-6D6A-48EE-8906-5EF493629430}"/>
    <cellStyle name="Normal147" xfId="319" xr:uid="{3F826CB0-1A9C-43BC-9B0F-6873A598658B}"/>
    <cellStyle name="Normal148" xfId="320" xr:uid="{DFBA275E-9ED7-4522-BBA6-BC2F72667BF6}"/>
    <cellStyle name="Normal149" xfId="321" xr:uid="{B67C98B7-5D69-4168-A83D-2CBC26361CAF}"/>
    <cellStyle name="Normal15" xfId="322" xr:uid="{932B2BAB-7D19-49E6-8C84-B7FDE1FAC700}"/>
    <cellStyle name="Normal150" xfId="323" xr:uid="{5E7E2218-A7E6-4152-A472-DDC9F1AB3186}"/>
    <cellStyle name="Normal151" xfId="324" xr:uid="{5B7F7A5F-8DE8-4CB2-AF05-1614BA44E885}"/>
    <cellStyle name="Normal152" xfId="325" xr:uid="{60D529ED-618E-4150-A2FD-9DCBEF6FB67E}"/>
    <cellStyle name="Normal153" xfId="326" xr:uid="{48AC2673-AFC8-4EAB-82D6-C3B3055D52FD}"/>
    <cellStyle name="Normal154" xfId="327" xr:uid="{5B4C6FC3-AFB9-4403-B12D-90A9908F1455}"/>
    <cellStyle name="Normal155" xfId="328" xr:uid="{70756775-0CFA-42FF-86CA-1391E840507D}"/>
    <cellStyle name="Normal156" xfId="329" xr:uid="{4E95C718-748B-4BAC-9AA5-0130223FB2EC}"/>
    <cellStyle name="Normal157" xfId="330" xr:uid="{5D65B259-704C-417F-9753-93B896171277}"/>
    <cellStyle name="Normal158" xfId="331" xr:uid="{DB7CD3C0-2EAF-4A9B-9630-2B8ED33A66C4}"/>
    <cellStyle name="Normal159" xfId="332" xr:uid="{16E246F7-D8D1-42D4-BAD8-A0FB110098C8}"/>
    <cellStyle name="Normal16" xfId="333" xr:uid="{E2F9E71E-54B5-48CA-A9D2-F4A861D9EF99}"/>
    <cellStyle name="Normal160" xfId="334" xr:uid="{AE7A14A8-91CB-4C32-88A4-A74E85A04744}"/>
    <cellStyle name="Normal161" xfId="335" xr:uid="{0EB393FC-8504-461E-BF31-323B99774466}"/>
    <cellStyle name="Normal162" xfId="336" xr:uid="{9F8F8D42-B53E-47B6-BA0A-DF219B903A12}"/>
    <cellStyle name="Normal163" xfId="337" xr:uid="{8A966CE0-5219-49E1-86E1-228A6089E195}"/>
    <cellStyle name="Normal164" xfId="338" xr:uid="{0308E7EB-991C-4B80-BFE7-2948C09A8625}"/>
    <cellStyle name="Normal165" xfId="339" xr:uid="{7BC340F4-3A09-4DE1-B886-2B1EF046AF99}"/>
    <cellStyle name="Normal166" xfId="340" xr:uid="{519B274A-E425-447C-B1CD-D3B9B7816054}"/>
    <cellStyle name="Normal167" xfId="341" xr:uid="{95770C20-67B8-4242-9F85-BB9B853DFBCB}"/>
    <cellStyle name="Normal168" xfId="342" xr:uid="{F90EB894-C660-4BB2-95F1-D004F3E133E2}"/>
    <cellStyle name="Normal169" xfId="343" xr:uid="{A7F7A34B-C2A4-4BF8-AA9A-A47831A63B49}"/>
    <cellStyle name="Normal17" xfId="344" xr:uid="{419D35E7-6620-4BF5-BE52-99C0ED44BD6B}"/>
    <cellStyle name="Normal170" xfId="345" xr:uid="{1C924F93-426B-4B1C-9385-C9AC3E875E32}"/>
    <cellStyle name="Normal171" xfId="346" xr:uid="{591B0141-B6FE-4D4B-9473-EEBE971E1555}"/>
    <cellStyle name="Normal172" xfId="347" xr:uid="{54EA3B36-96EA-4B03-BE82-D769C2943396}"/>
    <cellStyle name="Normal173" xfId="348" xr:uid="{6B7AFF3B-E9C7-4BB1-8397-985973E35238}"/>
    <cellStyle name="Normal174" xfId="349" xr:uid="{910FA2A4-AA2D-421B-B744-AE76B851D36E}"/>
    <cellStyle name="Normal175" xfId="350" xr:uid="{0BD07AAF-91CB-44F4-8681-B07C431BFF35}"/>
    <cellStyle name="Normal176" xfId="351" xr:uid="{FFCA885C-9C21-453E-851F-21FED07486E2}"/>
    <cellStyle name="Normal177" xfId="352" xr:uid="{02D23449-0AA7-4B24-AD58-87BD9ABCDEB2}"/>
    <cellStyle name="Normal178" xfId="353" xr:uid="{B646A1F0-32CF-4B26-A59C-966D12720041}"/>
    <cellStyle name="Normal179" xfId="354" xr:uid="{3C74DD8B-698C-43F3-98AA-35125A074D79}"/>
    <cellStyle name="Normal18" xfId="355" xr:uid="{FB9C7D69-B32D-4BE0-9B57-353A5FB407CB}"/>
    <cellStyle name="Normal180" xfId="356" xr:uid="{173D0BA4-9E7C-49CA-92C9-05F96CA41DDF}"/>
    <cellStyle name="Normal181" xfId="357" xr:uid="{62A95AAF-653F-4D50-B839-AE8ECFD53916}"/>
    <cellStyle name="Normal182" xfId="358" xr:uid="{428920FA-9DA7-4FCF-A2E2-A92AB33B2FA1}"/>
    <cellStyle name="Normal183" xfId="359" xr:uid="{9E3392AF-DDF2-4D9C-A0CF-F5225B135363}"/>
    <cellStyle name="Normal184" xfId="360" xr:uid="{293966F5-CDC5-4455-9F45-F74DCDC33E28}"/>
    <cellStyle name="Normal185" xfId="361" xr:uid="{B3F9F059-14BF-4FCA-82AF-21D003C967F1}"/>
    <cellStyle name="Normal186" xfId="362" xr:uid="{E4C66C32-480B-4566-AFF0-2C6881D7F3A2}"/>
    <cellStyle name="Normal187" xfId="363" xr:uid="{4FE0F334-C5D7-4AF5-A2C6-74E3643B9048}"/>
    <cellStyle name="Normal188" xfId="364" xr:uid="{C068BE9A-FCBB-44AE-A9D1-B15F35E31D62}"/>
    <cellStyle name="Normal189" xfId="365" xr:uid="{6CE02FD0-9668-4578-A1E5-C1A54512574E}"/>
    <cellStyle name="Normal19" xfId="366" xr:uid="{BA77002E-CB1D-4B9A-8052-B21A29D8686C}"/>
    <cellStyle name="Normal190" xfId="367" xr:uid="{0A560F71-42C7-431C-8FDF-EB72B453FDB9}"/>
    <cellStyle name="Normal191" xfId="368" xr:uid="{0EF8B3B6-2B41-41EC-9687-0F4B9EA39A48}"/>
    <cellStyle name="Normal192" xfId="369" xr:uid="{F34A0D3C-737A-4C0F-A86A-990B1F585D86}"/>
    <cellStyle name="Normal193" xfId="370" xr:uid="{C6F4C0F8-E884-4265-BFE9-CB6FEB881799}"/>
    <cellStyle name="Normal194" xfId="371" xr:uid="{B70B8953-515D-43E9-A519-308AA23B39BC}"/>
    <cellStyle name="Normal195" xfId="372" xr:uid="{212C897D-AE0B-402F-BF7F-D36ED31A6813}"/>
    <cellStyle name="Normal196" xfId="373" xr:uid="{5EC7716D-77B2-4824-84A1-B9C2BF16FA7C}"/>
    <cellStyle name="Normal197" xfId="374" xr:uid="{B4DC8E02-CF6C-40F1-883B-CEC866B4DEF9}"/>
    <cellStyle name="Normal198" xfId="375" xr:uid="{932C8315-7C50-48A5-93E6-0125D9F8D23F}"/>
    <cellStyle name="Normal199" xfId="376" xr:uid="{1C6A9BCA-86A6-462B-917A-28434BFCA61B}"/>
    <cellStyle name="Normal2" xfId="377" xr:uid="{8C436176-1635-45AC-9792-CBAB65206412}"/>
    <cellStyle name="Normal20" xfId="378" xr:uid="{D5C000D8-D70C-4D82-B50C-CBCB01BA20F1}"/>
    <cellStyle name="Normal200" xfId="379" xr:uid="{5FBEF81E-CAA8-4831-8F83-BEF980586426}"/>
    <cellStyle name="Normal201" xfId="380" xr:uid="{FC6B1D18-4158-496B-8D91-A578405C748C}"/>
    <cellStyle name="Normal202" xfId="381" xr:uid="{64E28114-E36F-4897-8A24-427F3E6AC32E}"/>
    <cellStyle name="Normal203" xfId="382" xr:uid="{1484DEC9-8D0F-422D-BB85-395A385F02CA}"/>
    <cellStyle name="Normal204" xfId="383" xr:uid="{7DACB9DD-C12D-4E08-875D-1DBAA9921098}"/>
    <cellStyle name="Normal205" xfId="384" xr:uid="{A4DC4296-A453-43D3-8E17-E303B591A8AD}"/>
    <cellStyle name="Normal206" xfId="385" xr:uid="{C3E7F8B3-1AD0-43F7-8A5C-04B82254A556}"/>
    <cellStyle name="Normal207" xfId="386" xr:uid="{C18E0F56-05B0-4617-8CE6-A779A0B481DF}"/>
    <cellStyle name="Normal208" xfId="387" xr:uid="{5576FCC1-E636-4698-B63A-E960E986D7A0}"/>
    <cellStyle name="Normal209" xfId="388" xr:uid="{E8F2A484-2F6D-4E1D-ADE1-5F934893F28D}"/>
    <cellStyle name="Normal21" xfId="389" xr:uid="{F6F58BDC-F50F-4588-A55B-AB3EE5999122}"/>
    <cellStyle name="Normal210" xfId="390" xr:uid="{7D8A085C-9E79-4EDF-AB19-F948FA4A89FB}"/>
    <cellStyle name="Normal211" xfId="391" xr:uid="{675A62AD-C2B7-4898-8191-F81FA7AE06D5}"/>
    <cellStyle name="Normal212" xfId="392" xr:uid="{7A2428E0-2B41-4D34-9C2A-198EEAC8333D}"/>
    <cellStyle name="Normal213" xfId="393" xr:uid="{ABF4ED0B-8169-45F4-879A-CFC21FFFC387}"/>
    <cellStyle name="Normal214" xfId="394" xr:uid="{6E3C86C4-186B-4759-A2D5-943DC8856FBA}"/>
    <cellStyle name="Normal215" xfId="395" xr:uid="{383202F6-52C9-4DDC-B26D-74C0C395D1FC}"/>
    <cellStyle name="Normal216" xfId="396" xr:uid="{01203269-AB79-43D1-A6CE-F92A538A596E}"/>
    <cellStyle name="Normal217" xfId="397" xr:uid="{D70FC125-06ED-4705-A181-E677E4025B8D}"/>
    <cellStyle name="Normal218" xfId="398" xr:uid="{CFD66477-CD1A-45F4-BD50-E37F95EEA37F}"/>
    <cellStyle name="Normal219" xfId="399" xr:uid="{FB2DCB7A-6F2F-4613-B3D0-894C9910991C}"/>
    <cellStyle name="Normal22" xfId="400" xr:uid="{60A28973-2CE8-4310-9F3C-7C89D7D739EC}"/>
    <cellStyle name="Normal220" xfId="401" xr:uid="{4F7B8EE3-F3BD-435B-89BA-494213513BE8}"/>
    <cellStyle name="Normal221" xfId="402" xr:uid="{4A9D425A-9C13-4D75-9D8D-0A9A4C3F5B83}"/>
    <cellStyle name="Normal222" xfId="403" xr:uid="{0E918667-6D36-4639-A366-024F8AF8E9B5}"/>
    <cellStyle name="Normal223" xfId="404" xr:uid="{9BA91E1A-AD81-4635-85C0-CAAEA8B75862}"/>
    <cellStyle name="Normal224" xfId="405" xr:uid="{7ADED20D-129B-4722-970C-D532AAEACF2C}"/>
    <cellStyle name="Normal225" xfId="406" xr:uid="{4B38CA1E-25D3-467A-A6E4-0735ABE6D412}"/>
    <cellStyle name="Normal226" xfId="407" xr:uid="{0DCD538A-B7BD-4433-ACA6-DB1B126E7FB7}"/>
    <cellStyle name="Normal227" xfId="408" xr:uid="{FA5EA6E4-2E05-4F35-9B10-1B6FD94DAAA3}"/>
    <cellStyle name="Normal228" xfId="409" xr:uid="{2E0D1EAF-209B-44BE-B8B4-3221FE02762D}"/>
    <cellStyle name="Normal229" xfId="410" xr:uid="{A70B855C-5E12-42F0-864A-70728C841A64}"/>
    <cellStyle name="Normal23" xfId="411" xr:uid="{1FA35BEC-F5D6-40C1-BA7E-FE27B878BA0E}"/>
    <cellStyle name="Normal230" xfId="412" xr:uid="{1DBBDDF5-EDC5-4DBE-AC44-8E60323AA044}"/>
    <cellStyle name="Normal231" xfId="413" xr:uid="{F882DB99-4CC4-4D24-8B12-FA2162F73D13}"/>
    <cellStyle name="Normal232" xfId="414" xr:uid="{31EC4A00-95CF-4725-9D40-8DF4B9F36A63}"/>
    <cellStyle name="Normal233" xfId="415" xr:uid="{EF1CC4C8-4FAA-4C40-944A-2826447C24F6}"/>
    <cellStyle name="Normal234" xfId="416" xr:uid="{75C0A1B7-1156-4CE2-8060-9048C41CD97E}"/>
    <cellStyle name="Normal235" xfId="417" xr:uid="{EB4ADC29-222B-4717-B51E-992DB13AD966}"/>
    <cellStyle name="Normal236" xfId="418" xr:uid="{230577FC-F248-492B-B339-A354D2CB354E}"/>
    <cellStyle name="Normal237" xfId="419" xr:uid="{44BED2E0-2717-4D29-92A6-FD0A238E74D6}"/>
    <cellStyle name="Normal238" xfId="420" xr:uid="{289ACBC1-BB8E-4593-8ADA-A20318F2EEC7}"/>
    <cellStyle name="Normal239" xfId="421" xr:uid="{C18AE925-093C-4EC8-BEB3-B573A2ED0FC8}"/>
    <cellStyle name="Normal24" xfId="422" xr:uid="{892F9B4F-EA2E-464D-9737-1EC7038398A5}"/>
    <cellStyle name="Normal240" xfId="423" xr:uid="{E00BA667-35AA-41D9-A6C0-B85A188D1E9F}"/>
    <cellStyle name="Normal241" xfId="424" xr:uid="{FFE6E160-FFB6-41DA-ACBA-812BBDD04F72}"/>
    <cellStyle name="Normal242" xfId="425" xr:uid="{2C7CED7F-A947-4FB0-8FB1-917A9A196A3B}"/>
    <cellStyle name="Normal243" xfId="426" xr:uid="{7AA624E9-6C46-4B70-B29D-34FC5162F6D4}"/>
    <cellStyle name="Normal244" xfId="427" xr:uid="{39D0EFC6-7534-440A-AC34-740AC5817DD4}"/>
    <cellStyle name="Normal245" xfId="428" xr:uid="{B97A3710-815B-48E6-8C6D-B845FD48E83B}"/>
    <cellStyle name="Normal246" xfId="429" xr:uid="{569FE45E-8A4F-46C7-9F08-D3A7D2BD1FEA}"/>
    <cellStyle name="Normal247" xfId="430" xr:uid="{D430E042-45C9-457D-8893-A2AC09ED9997}"/>
    <cellStyle name="Normal248" xfId="431" xr:uid="{C321D106-2A0B-4E31-B3DD-2856923E84BC}"/>
    <cellStyle name="Normal249" xfId="432" xr:uid="{CA87763E-9396-45E5-969B-9A8D2498893D}"/>
    <cellStyle name="Normal25" xfId="433" xr:uid="{9E2B4AC3-6732-41CB-8D70-A42B0FD999BD}"/>
    <cellStyle name="Normal250" xfId="434" xr:uid="{ED200307-091F-427D-B328-60785A8DA1FC}"/>
    <cellStyle name="Normal251" xfId="435" xr:uid="{CE96963E-C493-42EE-808F-230F7CFEE10C}"/>
    <cellStyle name="Normal252" xfId="436" xr:uid="{461B1745-B61E-4F90-8F02-A32AE9205D68}"/>
    <cellStyle name="Normal253" xfId="437" xr:uid="{358D8AE7-BA65-4FA9-B20A-2907F1316074}"/>
    <cellStyle name="Normal26" xfId="438" xr:uid="{C8C6035B-1464-4ADC-98FB-175F3EAED84B}"/>
    <cellStyle name="Normal27" xfId="439" xr:uid="{7ED7E15A-C27B-4AE5-A87C-8B4D8BCB3426}"/>
    <cellStyle name="Normal28" xfId="440" xr:uid="{5146407F-F6F0-4BE1-932D-1CB45AC59332}"/>
    <cellStyle name="Normal29" xfId="441" xr:uid="{14675182-3159-44A0-A29F-F387E49D36DD}"/>
    <cellStyle name="Normal3" xfId="442" xr:uid="{7D7121E5-8AB6-4A4C-B789-A65752B15EE8}"/>
    <cellStyle name="Normal30" xfId="443" xr:uid="{83395A7F-8B6E-45A1-99F4-3E2C0B427258}"/>
    <cellStyle name="Normal31" xfId="444" xr:uid="{6E13144A-88EE-40D6-9E91-2105660DB04C}"/>
    <cellStyle name="Normal32" xfId="445" xr:uid="{A314A48C-A194-4FD2-B482-96A2EF6A6429}"/>
    <cellStyle name="Normal33" xfId="446" xr:uid="{0F36A12D-E6E2-4D53-B231-8D0D433E2717}"/>
    <cellStyle name="Normal34" xfId="447" xr:uid="{2785B9B2-D95A-463B-8F62-95E2433A96FA}"/>
    <cellStyle name="Normal35" xfId="448" xr:uid="{B7C5E1C9-FAA2-4FAC-8D0E-586409ECF551}"/>
    <cellStyle name="Normal36" xfId="449" xr:uid="{D8819DC9-6455-4D16-9EC6-858FDA636049}"/>
    <cellStyle name="Normal37" xfId="450" xr:uid="{07CAEAAC-6F57-4196-A42D-F414E35F1FC7}"/>
    <cellStyle name="Normal38" xfId="451" xr:uid="{D396EBE0-8435-4E1F-BB29-8E68D7264B27}"/>
    <cellStyle name="Normal39" xfId="452" xr:uid="{69024C8A-8D49-438F-AED9-F71608BBA742}"/>
    <cellStyle name="Normal4" xfId="453" xr:uid="{7F798D30-4886-401B-910F-8CE57C2BF3C9}"/>
    <cellStyle name="Normal40" xfId="454" xr:uid="{C33CC065-FA93-48F7-9EDE-9AFBB47795F2}"/>
    <cellStyle name="Normal41" xfId="455" xr:uid="{0DA629B2-68C4-4ED6-B7DC-99DFF82695EE}"/>
    <cellStyle name="Normal42" xfId="456" xr:uid="{FF3E1326-3B63-49A1-8631-D78DF439BD73}"/>
    <cellStyle name="Normal43" xfId="457" xr:uid="{89AEB8DF-7AEF-41E2-BCB1-5B7AF2B2D4E1}"/>
    <cellStyle name="Normal44" xfId="458" xr:uid="{9837CA6A-58C5-4A9A-9CF1-175D768E23AA}"/>
    <cellStyle name="Normal45" xfId="459" xr:uid="{C6EBB31A-D4BE-43B5-BC6C-EFC5A73A8338}"/>
    <cellStyle name="Normal46" xfId="460" xr:uid="{2ACE31D0-29EE-41DC-A682-26E0942D709F}"/>
    <cellStyle name="Normal47" xfId="461" xr:uid="{B11379A0-0CDA-4885-B2E2-2E6795773ECF}"/>
    <cellStyle name="Normal48" xfId="462" xr:uid="{56402E60-A4F9-4776-9313-DE9D292033EC}"/>
    <cellStyle name="Normal49" xfId="463" xr:uid="{59C9DC2E-FD93-4F03-947D-4C8DA34B983A}"/>
    <cellStyle name="Normal5" xfId="464" xr:uid="{72BD9F0C-0248-4CD4-987B-F12E0BFE31D7}"/>
    <cellStyle name="Normal50" xfId="465" xr:uid="{2A3F3418-2EAD-41E2-8149-B3827B7593AC}"/>
    <cellStyle name="Normal51" xfId="466" xr:uid="{FB16C352-9FD1-4434-A9C8-941A4AA34CCF}"/>
    <cellStyle name="Normal52" xfId="467" xr:uid="{9BFF2AD5-D370-4421-A995-1E76AC4FFCAC}"/>
    <cellStyle name="Normal53" xfId="468" xr:uid="{925BF3C4-5B7A-4459-AD3E-4F000AE156E2}"/>
    <cellStyle name="Normal54" xfId="469" xr:uid="{F4CB6B01-40EB-40A3-BDC5-5E2306289073}"/>
    <cellStyle name="Normal55" xfId="470" xr:uid="{52FDF283-9B82-4533-BBC7-65E28258D21D}"/>
    <cellStyle name="Normal56" xfId="471" xr:uid="{142BD469-8878-40A6-83AE-BBDD2A443400}"/>
    <cellStyle name="Normal57" xfId="472" xr:uid="{D153E4D7-2424-4128-A2B9-B91505FCF32F}"/>
    <cellStyle name="Normal58" xfId="473" xr:uid="{DB2AB5F9-04FE-4EED-89C6-D6E9F31707D8}"/>
    <cellStyle name="Normal59" xfId="474" xr:uid="{56DA2C0D-BD91-43B3-912C-024FAFF76D81}"/>
    <cellStyle name="Normal6" xfId="475" xr:uid="{81F1D642-7C07-4828-A775-28309593EB05}"/>
    <cellStyle name="Normal60" xfId="476" xr:uid="{AA149E83-2042-42E8-A612-E15FBEA1636A}"/>
    <cellStyle name="Normal61" xfId="477" xr:uid="{D5782097-2948-4E00-A2EF-6CE2EF9B824A}"/>
    <cellStyle name="Normal62" xfId="478" xr:uid="{B6832162-45CE-41D1-A26B-4C1A01A29028}"/>
    <cellStyle name="Normal63" xfId="479" xr:uid="{E0A8CF2C-2AAD-4045-BBAA-7B3B3C6B23AE}"/>
    <cellStyle name="Normal64" xfId="480" xr:uid="{2EAE01E1-2D5E-4659-8783-13C68FFBDF27}"/>
    <cellStyle name="Normal65" xfId="481" xr:uid="{E7A54C8A-209D-4BA4-9D7F-909088686B89}"/>
    <cellStyle name="Normal66" xfId="482" xr:uid="{6022D217-AAFD-4428-8737-30E07BB3DC85}"/>
    <cellStyle name="Normal67" xfId="483" xr:uid="{2E9916AB-9B5F-4DA0-93BD-7D40BA14FB64}"/>
    <cellStyle name="Normal68" xfId="484" xr:uid="{D26808D1-59C4-4450-A7E9-9CFCBE2E55DA}"/>
    <cellStyle name="Normal69" xfId="485" xr:uid="{15D24832-D2C0-4C8B-A8CB-67D0EC96FAA6}"/>
    <cellStyle name="Normal7" xfId="486" xr:uid="{5AA412A8-1B74-491B-94C6-D37A01F6FBCC}"/>
    <cellStyle name="Normal70" xfId="487" xr:uid="{43755622-DEC8-416F-A41F-BEEFD77A7999}"/>
    <cellStyle name="Normal71" xfId="488" xr:uid="{99ABCBC3-6682-4270-AB1C-8673167E82F7}"/>
    <cellStyle name="Normal72" xfId="489" xr:uid="{0177ED26-148C-4F24-98C3-97F421A145F6}"/>
    <cellStyle name="Normal73" xfId="490" xr:uid="{8C70C8F9-CC6D-4A2E-A225-11443D49D8DB}"/>
    <cellStyle name="Normal74" xfId="491" xr:uid="{081FE156-95F9-40F5-A81B-D12117FE5E9E}"/>
    <cellStyle name="Normal75" xfId="492" xr:uid="{48937E00-B383-47BC-B100-563773BF6380}"/>
    <cellStyle name="Normal76" xfId="493" xr:uid="{8468E058-52DB-4741-9D5E-A23E80916D58}"/>
    <cellStyle name="Normal77" xfId="494" xr:uid="{FB9D657B-74BB-4595-B6EE-AF5B5FB7BD2E}"/>
    <cellStyle name="Normal78" xfId="495" xr:uid="{84C6DFE3-6A6D-4196-BBCD-709EDF899883}"/>
    <cellStyle name="Normal79" xfId="496" xr:uid="{55D13527-9CEE-4616-9A07-59D56780FA66}"/>
    <cellStyle name="Normal8" xfId="497" xr:uid="{7A81B226-F180-427D-AE99-E5A00ACCF7E6}"/>
    <cellStyle name="Normal80" xfId="498" xr:uid="{380CD29D-D85D-4BE1-BF63-C28DDCA8AA39}"/>
    <cellStyle name="Normal81" xfId="499" xr:uid="{0BD5E536-B5AC-4606-9D88-521C1C591E2A}"/>
    <cellStyle name="Normal82" xfId="500" xr:uid="{E92C65DD-4932-41B5-8E60-1A000DA6361A}"/>
    <cellStyle name="Normal83" xfId="501" xr:uid="{09CE2693-5F09-4D1B-802D-6714AA91553D}"/>
    <cellStyle name="Normal84" xfId="502" xr:uid="{5BDC99AF-F26A-4FE7-B8D9-1BA29341BBB7}"/>
    <cellStyle name="Normal85" xfId="503" xr:uid="{ABA64FC6-3CC5-4A61-B6AC-EE330AD53238}"/>
    <cellStyle name="Normal86" xfId="504" xr:uid="{B0954391-4D78-45A4-8FD3-B18DD2D5AA4A}"/>
    <cellStyle name="Normal87" xfId="505" xr:uid="{6F819732-4B27-4F5D-85A6-6FC205C4A03E}"/>
    <cellStyle name="Normal88" xfId="506" xr:uid="{151BBAF1-9DCF-42B7-9A19-204B8B5F1AE2}"/>
    <cellStyle name="Normal89" xfId="507" xr:uid="{A942BBA6-AEEA-461F-B7D8-D7610718CB23}"/>
    <cellStyle name="Normal9" xfId="508" xr:uid="{8927636A-A832-4095-8897-99A815F6B453}"/>
    <cellStyle name="Normal90" xfId="509" xr:uid="{2A1AB278-BFC3-4C17-8915-4E19F170AFDA}"/>
    <cellStyle name="Normal91" xfId="510" xr:uid="{68041EB2-2466-47FF-A2EE-F4AF263BE2DD}"/>
    <cellStyle name="Normal92" xfId="511" xr:uid="{1718F4C8-F248-48F0-9708-B08E660D43D6}"/>
    <cellStyle name="Normal93" xfId="512" xr:uid="{ADC15D66-A41A-4D9D-A428-2797F37A3D31}"/>
    <cellStyle name="Normal94" xfId="513" xr:uid="{1EFB2640-ABD7-423F-984E-0CE2B37667DA}"/>
    <cellStyle name="Normal95" xfId="514" xr:uid="{5B8046F0-3B7B-4E90-941F-C5C91F249EED}"/>
    <cellStyle name="Normal96" xfId="515" xr:uid="{2135FAFB-7804-46CF-8AF2-7F6ECF597C69}"/>
    <cellStyle name="Normal97" xfId="516" xr:uid="{B8705FF8-0CE9-42DE-B1F3-4527C9B76103}"/>
    <cellStyle name="Normal98" xfId="517" xr:uid="{4F8AB8AF-6B6C-4933-8F5A-89486ED56B40}"/>
    <cellStyle name="Normal99" xfId="518" xr:uid="{DA8C4FC1-2FDD-44C3-A1C9-DAE3E458D90B}"/>
    <cellStyle name="NotDeclared_1" xfId="519" xr:uid="{C3565AFF-CC5E-4048-8493-48011D5DDD68}"/>
    <cellStyle name="Numbers" xfId="520" xr:uid="{CF2F2168-129B-4EF5-BAC7-120A5E327BBF}"/>
    <cellStyle name="Numbers - Bold" xfId="521" xr:uid="{400EF875-E99C-4878-93BE-19F1A05FCA76}"/>
    <cellStyle name="Numbers - Bold - Italic" xfId="522" xr:uid="{92A77079-A57B-4D5D-92A9-7BAC5D9907AC}"/>
    <cellStyle name="Numbers - Bold_6079BX" xfId="523" xr:uid="{7D172D22-70FB-4F55-AF7F-88FD0383562D}"/>
    <cellStyle name="Numbers - Large" xfId="524" xr:uid="{3878F33C-65EE-4BCB-B756-3198FF9C9D78}"/>
    <cellStyle name="Numbers_6079BX" xfId="525" xr:uid="{9356188A-15F7-4139-814E-42AE18EFFBCD}"/>
    <cellStyle name="OSW_RowLabels" xfId="526" xr:uid="{2E1F52F7-95E1-4901-AACA-CF04FDB71E63}"/>
    <cellStyle name="Outline" xfId="527" xr:uid="{0C3BF967-D133-4C89-8D6C-56CBC9DE699D}"/>
    <cellStyle name="Output Amounts" xfId="528" xr:uid="{FD36C4A4-090F-4B81-811C-CA3B630D7CD5}"/>
    <cellStyle name="Output Column Headings" xfId="529" xr:uid="{F8452FFE-6243-4170-8212-08E8FCD71E75}"/>
    <cellStyle name="Output Line Items" xfId="530" xr:uid="{7625C46D-6458-4B0C-B902-6B401F70348F}"/>
    <cellStyle name="Output Report Heading" xfId="531" xr:uid="{55A59F3A-8592-4C73-A1BF-048F9BEFBA0F}"/>
    <cellStyle name="Page" xfId="532" xr:uid="{571BA771-B51A-49B4-817D-75CD3625CC6F}"/>
    <cellStyle name="PB Table Heading" xfId="533" xr:uid="{B1DDA8FF-E187-455E-8931-0B26E9226226}"/>
    <cellStyle name="PB Table Highlight1" xfId="534" xr:uid="{6D5702C8-CF2E-47CF-B8C3-E661D3DF1A7C}"/>
    <cellStyle name="PB Table Highlight2" xfId="535" xr:uid="{01682DEF-5C97-41E6-BB2D-9E5CBA3F6519}"/>
    <cellStyle name="PB Table Highlight3" xfId="536" xr:uid="{4BFCC165-BF88-42A6-8208-7B7FC721B6AB}"/>
    <cellStyle name="PB Table Standard Row" xfId="537" xr:uid="{0A5430F3-817B-491A-82E5-2EF3078FFC6A}"/>
    <cellStyle name="PB Table Subtotal Row" xfId="538" xr:uid="{B22933AA-B764-4D62-B693-29BB9125EA12}"/>
    <cellStyle name="PB Table Total Row" xfId="539" xr:uid="{32F0DAC3-65BB-4ABE-886E-D766070FE4DA}"/>
    <cellStyle name="Per cent" xfId="541" builtinId="5"/>
    <cellStyle name="per.style" xfId="540" xr:uid="{849A88D8-4FED-45CE-9DE6-94D3D1466F31}"/>
    <cellStyle name="Percent [0]" xfId="542" xr:uid="{8F7486A9-3656-43F6-A176-BC99D00E5F80}"/>
    <cellStyle name="Percent [00]" xfId="543" xr:uid="{9B633782-770F-4006-87AF-8D85EEAB5016}"/>
    <cellStyle name="Percent [1]" xfId="544" xr:uid="{327CD448-0D4A-45C4-AAAA-3AED91236088}"/>
    <cellStyle name="Percent [1][]" xfId="545" xr:uid="{5BE30A55-EDE9-420E-920E-466944EF2469}"/>
    <cellStyle name="Percent [1]_New MA Public Comps and WACC Model" xfId="546" xr:uid="{B7A8E91C-F963-4C31-832C-AC126F1360B4}"/>
    <cellStyle name="Percent [2]" xfId="547" xr:uid="{B38B1912-45BA-4340-AF70-FE6C2C9808D0}"/>
    <cellStyle name="Percent Comma" xfId="548" xr:uid="{284AC85C-8C43-40B2-A7A6-BBAF3C317440}"/>
    <cellStyle name="Percent1" xfId="549" xr:uid="{9BB7B0FA-A548-42C0-A838-99E229F7CDD4}"/>
    <cellStyle name="Percent10" xfId="550" xr:uid="{80E04E3C-BC2A-47FC-8461-3A1710ECB3A2}"/>
    <cellStyle name="Percent100" xfId="551" xr:uid="{7E15D0D4-88B6-4A96-8AE2-1D62B3F9855C}"/>
    <cellStyle name="Percent101" xfId="552" xr:uid="{B4A98671-4C2D-4184-9B57-CFF228F68D5D}"/>
    <cellStyle name="Percent102" xfId="553" xr:uid="{BED87A7C-8054-45BD-BD25-4A5DC961B411}"/>
    <cellStyle name="Percent103" xfId="554" xr:uid="{B8547B82-3778-49CF-BC6E-B526E649192B}"/>
    <cellStyle name="Percent104" xfId="555" xr:uid="{2E22219D-709A-4FF8-9EC0-AC33D4B5CA40}"/>
    <cellStyle name="Percent105" xfId="556" xr:uid="{66B1D3EF-BDA1-422E-9687-95DF251DF6F1}"/>
    <cellStyle name="Percent106" xfId="557" xr:uid="{A8DBE130-F654-439D-A3C6-63F3086B66CF}"/>
    <cellStyle name="Percent107" xfId="558" xr:uid="{8549DBBD-3F14-407C-8390-8B45C3C2CB74}"/>
    <cellStyle name="Percent108" xfId="559" xr:uid="{4887E0FE-55F2-4617-B29C-FBDD279EE5AF}"/>
    <cellStyle name="Percent109" xfId="560" xr:uid="{51EDE289-92AF-421E-9213-36E957A65926}"/>
    <cellStyle name="Percent11" xfId="561" xr:uid="{410EE184-D926-47ED-8473-1A5A6F20A224}"/>
    <cellStyle name="Percent110" xfId="562" xr:uid="{92EFBD1F-7333-46A1-813B-F76893F0C3E8}"/>
    <cellStyle name="Percent111" xfId="563" xr:uid="{9C063CD0-5E68-4568-AB07-45409866FE14}"/>
    <cellStyle name="Percent112" xfId="564" xr:uid="{6C5D7907-75A0-42A3-A05A-3B2DE448F0D8}"/>
    <cellStyle name="Percent113" xfId="565" xr:uid="{956173B5-1F73-419C-8F05-FC6A60053A79}"/>
    <cellStyle name="Percent114" xfId="566" xr:uid="{D131905B-A3C5-4E3D-9492-C0CF61E1FD31}"/>
    <cellStyle name="Percent115" xfId="567" xr:uid="{52F0D894-13A1-4592-87C2-C5FF84980AC5}"/>
    <cellStyle name="Percent116" xfId="568" xr:uid="{EDE38481-2F6B-48D8-9E14-C471039EA212}"/>
    <cellStyle name="Percent117" xfId="569" xr:uid="{BB841CC3-862B-44F9-BDA8-76F52D2BC451}"/>
    <cellStyle name="Percent118" xfId="570" xr:uid="{53AC9029-29BE-4135-B9C5-26ED312455E7}"/>
    <cellStyle name="Percent119" xfId="571" xr:uid="{75D42CE7-8C66-4583-B6D5-EE34FBB30D6C}"/>
    <cellStyle name="Percent12" xfId="572" xr:uid="{96045C4B-338A-49FD-939E-6C8498E13AF6}"/>
    <cellStyle name="Percent120" xfId="573" xr:uid="{D2A451D5-02BE-4200-B71C-ED520C2AE20E}"/>
    <cellStyle name="Percent121" xfId="574" xr:uid="{97110ADC-8DC4-4861-9690-9F13A6B3EFCD}"/>
    <cellStyle name="Percent122" xfId="575" xr:uid="{8D9CCCFA-99D8-4B60-B774-9219C6F04539}"/>
    <cellStyle name="Percent123" xfId="576" xr:uid="{CF3D38A8-937A-4C67-B8A2-F23F564EADF4}"/>
    <cellStyle name="Percent124" xfId="577" xr:uid="{8A270DFC-10B6-406E-9136-C04CD2943D3C}"/>
    <cellStyle name="Percent125" xfId="578" xr:uid="{6EDF8E5B-D0C0-4015-BF6C-AFF8D4B06BFB}"/>
    <cellStyle name="Percent126" xfId="579" xr:uid="{25943939-AFE9-4FC7-8A80-6B6222A73387}"/>
    <cellStyle name="Percent127" xfId="580" xr:uid="{4143FB52-1D17-4173-89EA-615DC9B57AF1}"/>
    <cellStyle name="Percent128" xfId="581" xr:uid="{18FC85D4-B542-4992-80D5-DBB7430F275D}"/>
    <cellStyle name="Percent129" xfId="582" xr:uid="{872DB4E3-4E87-44CB-9DB6-73880D7823B5}"/>
    <cellStyle name="Percent13" xfId="583" xr:uid="{85EB8358-A148-4B2D-8346-C5963CE85490}"/>
    <cellStyle name="Percent130" xfId="584" xr:uid="{6A4F4A43-788E-4EB8-B6A1-B7C06664B07D}"/>
    <cellStyle name="Percent131" xfId="585" xr:uid="{7C98CD6E-F91B-4A95-845A-1D3005073493}"/>
    <cellStyle name="Percent132" xfId="586" xr:uid="{95514609-EF52-4FC3-A926-1F1B1653406B}"/>
    <cellStyle name="Percent133" xfId="587" xr:uid="{7D2C9639-9825-430F-A6DE-B3FD0A2E362C}"/>
    <cellStyle name="Percent134" xfId="588" xr:uid="{C2D01630-D812-4053-8595-66E0F71659FD}"/>
    <cellStyle name="Percent135" xfId="589" xr:uid="{EC226336-8021-4D28-8D3E-34D2A4D1E4FC}"/>
    <cellStyle name="Percent136" xfId="590" xr:uid="{8F28DBC4-757E-4544-8097-146CBBC2702A}"/>
    <cellStyle name="Percent137" xfId="591" xr:uid="{B81D6AEB-B8AC-460C-BB00-15AE0392B89F}"/>
    <cellStyle name="Percent138" xfId="592" xr:uid="{8565AFB0-C3CD-43E9-8B42-FA7F9F72BE8A}"/>
    <cellStyle name="Percent139" xfId="593" xr:uid="{B861C58F-BB55-4F1A-AAD2-C2B955D34796}"/>
    <cellStyle name="Percent14" xfId="594" xr:uid="{DA3E596C-3F3E-4CEB-ADB2-5579A8D612B4}"/>
    <cellStyle name="Percent140" xfId="595" xr:uid="{D44075B4-48C9-4F35-9C8C-5FF34E31CBAD}"/>
    <cellStyle name="Percent141" xfId="596" xr:uid="{4EB60E54-CACE-4A76-8DF0-DEA6E5FBF58E}"/>
    <cellStyle name="Percent142" xfId="597" xr:uid="{A2D21869-D34C-4413-BCF1-6E1F3E43932A}"/>
    <cellStyle name="Percent143" xfId="598" xr:uid="{DAD9C9AC-40EB-4A07-BE51-3E6844560305}"/>
    <cellStyle name="Percent144" xfId="599" xr:uid="{89D86125-BB9D-490E-A50F-A4CEB6B9B41B}"/>
    <cellStyle name="Percent145" xfId="600" xr:uid="{6282C217-F3A6-4BDD-A766-A1C1921BFC48}"/>
    <cellStyle name="Percent146" xfId="601" xr:uid="{CBD040EA-B883-437D-AE1E-6F920E3EB448}"/>
    <cellStyle name="Percent147" xfId="602" xr:uid="{D5049765-246B-4FD3-896F-0D4A9FBD1993}"/>
    <cellStyle name="Percent148" xfId="603" xr:uid="{96FE35D4-0EDB-429E-B05F-F570675F8D00}"/>
    <cellStyle name="Percent149" xfId="604" xr:uid="{C4B80400-7F54-4296-ADA8-493FD90D02F7}"/>
    <cellStyle name="Percent15" xfId="605" xr:uid="{C9E608E3-456C-4BF9-AA62-C13132B7259A}"/>
    <cellStyle name="Percent150" xfId="606" xr:uid="{40F69104-B4B9-48DF-A39A-544A8AD3E22C}"/>
    <cellStyle name="Percent151" xfId="607" xr:uid="{B3A6BC21-BBEF-4430-B1C7-A89623BE2E75}"/>
    <cellStyle name="Percent152" xfId="608" xr:uid="{7ABA4993-D920-4C06-963F-7323712D652F}"/>
    <cellStyle name="Percent153" xfId="609" xr:uid="{F5376527-AD76-43BD-A79C-E1F97E4D2BE5}"/>
    <cellStyle name="Percent154" xfId="610" xr:uid="{3B40A04A-14A1-4BBD-8B7B-C76DA256C59D}"/>
    <cellStyle name="Percent155" xfId="611" xr:uid="{CD52746A-8720-4D29-B49C-74A4CCA3E413}"/>
    <cellStyle name="Percent156" xfId="612" xr:uid="{53E3A5E2-FCA2-48D7-8881-087432A9087A}"/>
    <cellStyle name="Percent157" xfId="613" xr:uid="{FEA5E35D-60C8-4C47-A96B-214F1572C18C}"/>
    <cellStyle name="Percent158" xfId="614" xr:uid="{6866F7EE-A8C3-4932-8A87-657F64487E88}"/>
    <cellStyle name="Percent159" xfId="615" xr:uid="{716A61A0-EBF8-4BBF-8954-0E62B9155208}"/>
    <cellStyle name="Percent16" xfId="616" xr:uid="{F194F9B2-8AE7-4839-A883-48E2B484C991}"/>
    <cellStyle name="Percent160" xfId="617" xr:uid="{97626EA7-B6AE-4505-9C71-F50500C970E8}"/>
    <cellStyle name="Percent161" xfId="618" xr:uid="{C0066BB6-1324-4C5B-A38C-B22EFDDCF4CA}"/>
    <cellStyle name="Percent162" xfId="619" xr:uid="{7B8B3B59-1306-45D2-9B5F-71282B9136E5}"/>
    <cellStyle name="Percent163" xfId="620" xr:uid="{90945016-2FED-4359-8403-2790B219CB71}"/>
    <cellStyle name="Percent164" xfId="621" xr:uid="{F1B711AD-5F66-4863-9EFD-9AF0C4E37F1E}"/>
    <cellStyle name="Percent165" xfId="622" xr:uid="{E813AC52-7DE3-4B23-A974-02068A7F4C99}"/>
    <cellStyle name="Percent166" xfId="623" xr:uid="{B5C7DE35-5D17-4E4A-A26C-37FFB2735CFA}"/>
    <cellStyle name="Percent167" xfId="624" xr:uid="{9D5B841B-525C-41CB-9566-FDC532B459B6}"/>
    <cellStyle name="Percent168" xfId="625" xr:uid="{A9B113A9-193A-4083-9164-C4D592B40797}"/>
    <cellStyle name="Percent169" xfId="626" xr:uid="{737F5178-0A55-4C4A-A89C-32CC53901C7A}"/>
    <cellStyle name="Percent17" xfId="627" xr:uid="{7C0F9931-AF45-442A-BC8D-621C9199EBED}"/>
    <cellStyle name="Percent170" xfId="628" xr:uid="{A44D0D60-991D-4FA7-81E7-34D579B63294}"/>
    <cellStyle name="Percent171" xfId="629" xr:uid="{B115017A-E3E0-43F9-95C5-9F54B9332F92}"/>
    <cellStyle name="Percent172" xfId="630" xr:uid="{92D50066-40E5-4E9A-8300-D6370D0E2FC1}"/>
    <cellStyle name="Percent173" xfId="631" xr:uid="{BE0BEE75-EB44-4DFC-BD30-E65672EE122A}"/>
    <cellStyle name="Percent174" xfId="632" xr:uid="{D090C9F7-C38A-4D48-9A90-29778AB323DA}"/>
    <cellStyle name="Percent175" xfId="633" xr:uid="{26CCC258-0942-4110-B878-F0BA24DCBDE2}"/>
    <cellStyle name="Percent176" xfId="634" xr:uid="{137C4067-B518-4CD3-AD9B-01C5772D0DBE}"/>
    <cellStyle name="Percent177" xfId="635" xr:uid="{1EDEB187-A2F4-49D1-8532-83B8472EA664}"/>
    <cellStyle name="Percent178" xfId="636" xr:uid="{7A49169F-4F70-47A7-8BE2-19207CF7FFAA}"/>
    <cellStyle name="Percent179" xfId="637" xr:uid="{A7B181A5-78AE-4541-9940-CB80C977F6D3}"/>
    <cellStyle name="Percent18" xfId="638" xr:uid="{FC5BAD26-44DD-4F7F-A173-8289C240DB17}"/>
    <cellStyle name="Percent180" xfId="639" xr:uid="{F3C96DFB-1A39-43A0-B0CE-C97A6D4D687D}"/>
    <cellStyle name="Percent181" xfId="640" xr:uid="{62C4FF38-1290-4E97-B0BC-1F4C4AB058FB}"/>
    <cellStyle name="Percent182" xfId="641" xr:uid="{20ACECB4-A586-4005-8B34-BE10B94DF59F}"/>
    <cellStyle name="Percent183" xfId="642" xr:uid="{7D7B4587-6FF9-4137-97FD-26ED1F0D0779}"/>
    <cellStyle name="Percent184" xfId="643" xr:uid="{B26573F2-1B21-4596-9EEB-2B223551225C}"/>
    <cellStyle name="Percent185" xfId="644" xr:uid="{846B4CC5-EA15-4ADB-95F7-06A3DA0DAC16}"/>
    <cellStyle name="Percent186" xfId="645" xr:uid="{18DDA093-D90C-47A5-A79C-A1F8212BA5D3}"/>
    <cellStyle name="Percent187" xfId="646" xr:uid="{9777CC31-9895-4E40-B524-C298CEC056AA}"/>
    <cellStyle name="Percent188" xfId="647" xr:uid="{F3DB5C80-3724-4869-86C0-CA520EB95150}"/>
    <cellStyle name="Percent189" xfId="648" xr:uid="{05535668-BFF0-4455-8572-343CCFDC060A}"/>
    <cellStyle name="Percent19" xfId="649" xr:uid="{AA303AEC-A579-467A-A77D-F10FD8912F9D}"/>
    <cellStyle name="Percent190" xfId="650" xr:uid="{1EEB93B6-E9F4-4B73-B6F4-63EA22713FF3}"/>
    <cellStyle name="Percent191" xfId="651" xr:uid="{2355A9B6-328A-4E09-BE87-C18E2465E6F1}"/>
    <cellStyle name="Percent192" xfId="652" xr:uid="{9E1B3FF6-382C-47D1-B6DE-879F388B6D3D}"/>
    <cellStyle name="Percent193" xfId="653" xr:uid="{E4502490-1C9E-4468-9BA6-68CAB1C3ABB3}"/>
    <cellStyle name="Percent194" xfId="654" xr:uid="{3BFD8624-4B54-4297-A01C-9C985C91E607}"/>
    <cellStyle name="Percent195" xfId="655" xr:uid="{00831917-9980-4EFE-8D4C-1FE41842481F}"/>
    <cellStyle name="Percent196" xfId="656" xr:uid="{87666A81-8CAA-4037-B241-D87601BCC435}"/>
    <cellStyle name="Percent197" xfId="657" xr:uid="{19E9793F-BBC6-476B-92F0-D0E7419A5410}"/>
    <cellStyle name="Percent198" xfId="658" xr:uid="{D557A677-410C-4463-9E56-C88E724E7C3E}"/>
    <cellStyle name="Percent199" xfId="659" xr:uid="{C380B658-58AA-43BB-B7DB-60CA56ACB62F}"/>
    <cellStyle name="Percent1Bold" xfId="660" xr:uid="{029C1613-97D1-447E-B337-BABE89A0F483}"/>
    <cellStyle name="Percent2" xfId="661" xr:uid="{0AE8E43E-309F-455A-BA03-0D24F288C022}"/>
    <cellStyle name="Percent20" xfId="662" xr:uid="{28C487E8-1094-40FC-8756-93C999158BBB}"/>
    <cellStyle name="Percent200" xfId="663" xr:uid="{37DD565D-F4F6-4066-8351-50FEA4F7D70B}"/>
    <cellStyle name="Percent201" xfId="664" xr:uid="{11FA2ED0-86B7-4B48-992B-C8567F45EE8B}"/>
    <cellStyle name="Percent202" xfId="665" xr:uid="{83C96858-F728-42AF-85B0-0C0E81A2C8D7}"/>
    <cellStyle name="Percent203" xfId="666" xr:uid="{1B1E23C4-9AA6-4EF7-9299-E24B719CD529}"/>
    <cellStyle name="Percent204" xfId="667" xr:uid="{1CC6B547-FD6F-473A-A20B-FE8D49E41040}"/>
    <cellStyle name="Percent205" xfId="668" xr:uid="{663D55F2-EDF6-46AD-848D-FA22203DB3AC}"/>
    <cellStyle name="Percent206" xfId="669" xr:uid="{991F8EB8-E3A3-4591-9801-8C13508666D7}"/>
    <cellStyle name="Percent207" xfId="670" xr:uid="{B3E4D08E-BBA1-4ED1-A935-866C99A7D7BF}"/>
    <cellStyle name="Percent208" xfId="671" xr:uid="{4BDED181-51D8-4641-8D33-C2C262F50158}"/>
    <cellStyle name="Percent209" xfId="672" xr:uid="{B0CB278B-7934-4B6F-823E-F20ED5D401C2}"/>
    <cellStyle name="Percent21" xfId="673" xr:uid="{8E14C7EB-A088-4584-A039-6B0777AA8F12}"/>
    <cellStyle name="Percent210" xfId="674" xr:uid="{2F3F0177-B64F-4927-93F2-61D758D5AD2C}"/>
    <cellStyle name="Percent211" xfId="675" xr:uid="{CD82D1FD-E60F-4917-81C6-0C12E70CB9D3}"/>
    <cellStyle name="Percent212" xfId="676" xr:uid="{40C43959-2DA7-45A3-AA09-01C8B14E17E9}"/>
    <cellStyle name="Percent213" xfId="677" xr:uid="{C918FB56-D06F-4197-B00A-F9A46D66D303}"/>
    <cellStyle name="Percent214" xfId="678" xr:uid="{831FB2E7-513C-43FF-9FEE-75E7ABD0B0BC}"/>
    <cellStyle name="Percent215" xfId="679" xr:uid="{879D7103-B1D3-41B7-B666-B7433858735A}"/>
    <cellStyle name="Percent216" xfId="680" xr:uid="{639FCB02-9905-424E-A5C3-F86B8EA966C6}"/>
    <cellStyle name="Percent217" xfId="681" xr:uid="{AC251F39-5165-40B2-BA11-AFEE0CEFF4EE}"/>
    <cellStyle name="Percent218" xfId="682" xr:uid="{6D7B29E0-E7AF-43CA-BA41-DAEC70E54B88}"/>
    <cellStyle name="Percent219" xfId="683" xr:uid="{31D04D6D-3F1D-4BD6-B8D5-C64861B99207}"/>
    <cellStyle name="Percent22" xfId="684" xr:uid="{20290A81-F262-41AA-9817-E2ADB0F5A42F}"/>
    <cellStyle name="Percent220" xfId="685" xr:uid="{580750F2-5BE4-4E0F-818C-87560FFCDFDF}"/>
    <cellStyle name="Percent221" xfId="686" xr:uid="{051A5991-9843-4716-954F-2A40F3A0E1BC}"/>
    <cellStyle name="Percent222" xfId="687" xr:uid="{A1BB6FAF-A0EF-412B-9CAA-742AF59575C1}"/>
    <cellStyle name="Percent223" xfId="688" xr:uid="{5A57C852-EFE7-4AE8-900B-E6F98B8EDEFC}"/>
    <cellStyle name="Percent224" xfId="689" xr:uid="{8DE9FE6F-D13F-4A36-A054-27A62921AD03}"/>
    <cellStyle name="Percent225" xfId="690" xr:uid="{AC5C062B-2F1A-449A-AD76-7C591DB9F585}"/>
    <cellStyle name="Percent226" xfId="691" xr:uid="{5A5B11D3-6EEF-4D98-A1D1-09B8777AE8E6}"/>
    <cellStyle name="Percent227" xfId="692" xr:uid="{12DADC28-D551-4022-A41E-C187255D9FCA}"/>
    <cellStyle name="Percent228" xfId="693" xr:uid="{0D2F29CA-64DA-4495-8F8C-D64B31EB1835}"/>
    <cellStyle name="Percent229" xfId="694" xr:uid="{A2B0CDC2-387D-4CAB-8F21-FF2D2BA4A135}"/>
    <cellStyle name="Percent23" xfId="695" xr:uid="{5938352E-C4B5-48B2-BDD7-1B08CFAF4164}"/>
    <cellStyle name="Percent230" xfId="696" xr:uid="{61182599-83A6-47EF-8B69-69B91B15EA9C}"/>
    <cellStyle name="Percent231" xfId="697" xr:uid="{62430D0C-D018-439F-A647-C6ABE59F5299}"/>
    <cellStyle name="Percent232" xfId="698" xr:uid="{03A21217-D4E3-4FD3-AE2F-9CD4C37B2035}"/>
    <cellStyle name="Percent233" xfId="699" xr:uid="{620AF641-DDC2-409D-825B-AFD3CDA2BEA2}"/>
    <cellStyle name="Percent234" xfId="700" xr:uid="{E93C5C7E-22ED-45E9-A626-AAE7D1AD5EF7}"/>
    <cellStyle name="Percent235" xfId="701" xr:uid="{4358DCCF-1D6F-4985-ADC4-99BF5F6EDA7F}"/>
    <cellStyle name="Percent236" xfId="702" xr:uid="{3EA7CDE4-8FF6-43CA-B889-A628FC99E58F}"/>
    <cellStyle name="Percent24" xfId="703" xr:uid="{B07794BE-B02D-41AE-BC8D-D62E1E57B84D}"/>
    <cellStyle name="Percent25" xfId="704" xr:uid="{7CB1E51E-5213-4857-B112-69A5BDBAC80A}"/>
    <cellStyle name="Percent26" xfId="705" xr:uid="{9D114847-55F5-4AC0-A256-5FA0301B1E7A}"/>
    <cellStyle name="Percent27" xfId="706" xr:uid="{10D686D6-EA77-4723-9F05-5C22F9ECBBD6}"/>
    <cellStyle name="Percent28" xfId="707" xr:uid="{A76AA047-248E-4FE7-9EB6-C2FEF9DBC129}"/>
    <cellStyle name="Percent29" xfId="708" xr:uid="{BAF26C22-8412-4AE0-80A2-0BFDB82AA3ED}"/>
    <cellStyle name="Percent3" xfId="709" xr:uid="{E71429B5-2871-4362-954A-60DF081AB71A}"/>
    <cellStyle name="Percent30" xfId="710" xr:uid="{E51FF0C9-D9F2-45C7-9691-0FC1E3E39239}"/>
    <cellStyle name="Percent31" xfId="711" xr:uid="{CFDE5D69-5D01-41C4-9DC6-2DA325337A46}"/>
    <cellStyle name="Percent32" xfId="712" xr:uid="{C35AD2E3-3F40-4A4E-88D8-0F576FEB7A79}"/>
    <cellStyle name="Percent33" xfId="713" xr:uid="{DFA033AD-A11E-451C-9821-172B0C3AC26B}"/>
    <cellStyle name="Percent34" xfId="714" xr:uid="{BFD0CE09-F81C-4B24-97D2-D68BD3A962FB}"/>
    <cellStyle name="Percent35" xfId="715" xr:uid="{1F85402C-90AC-47EC-B1BE-ADB5BA3BB8F4}"/>
    <cellStyle name="Percent36" xfId="716" xr:uid="{87AA649D-EC59-400D-B3F7-584B18396A8D}"/>
    <cellStyle name="Percent37" xfId="717" xr:uid="{00AC31C2-2C54-46EB-AB87-75F06A2BFC33}"/>
    <cellStyle name="Percent38" xfId="718" xr:uid="{53ECEF21-A2EB-4B44-A4BB-1726B9723AA8}"/>
    <cellStyle name="Percent39" xfId="719" xr:uid="{AD31F650-DB55-419C-B992-73DCA37B2665}"/>
    <cellStyle name="Percent4" xfId="720" xr:uid="{227D8AC2-76E8-49BE-B963-0A2C475C3698}"/>
    <cellStyle name="Percent40" xfId="721" xr:uid="{14A69B0F-A8B2-4BC4-9C77-4D0F83E61E97}"/>
    <cellStyle name="Percent41" xfId="722" xr:uid="{2D25CF16-9D7A-40CB-BF4F-3BA397DA622B}"/>
    <cellStyle name="Percent42" xfId="723" xr:uid="{1209CF9B-E17B-4EBD-9F1C-D236D4960328}"/>
    <cellStyle name="Percent43" xfId="724" xr:uid="{F73F57F5-7BF6-4883-AF2A-7B53DA4BB1F5}"/>
    <cellStyle name="Percent44" xfId="725" xr:uid="{03442B37-0D6C-4F2F-B478-FD1AA21A8BDE}"/>
    <cellStyle name="Percent45" xfId="726" xr:uid="{D5805DE8-A742-4A04-AA22-20E39D4DF70C}"/>
    <cellStyle name="Percent46" xfId="727" xr:uid="{83327874-C052-4908-9829-73C90CB1DD3F}"/>
    <cellStyle name="Percent47" xfId="728" xr:uid="{A632EA66-BFF1-4F23-874C-1F656FF2CCD0}"/>
    <cellStyle name="Percent48" xfId="729" xr:uid="{59B4F79D-31AA-43AB-BA89-7F193CA20DB3}"/>
    <cellStyle name="Percent49" xfId="730" xr:uid="{F966648A-C116-4720-BA0C-D9302CAD80FC}"/>
    <cellStyle name="Percent5" xfId="731" xr:uid="{D81ECBFE-3391-4A46-A940-2C6D4D3AA7CE}"/>
    <cellStyle name="Percent50" xfId="732" xr:uid="{AE7477EB-86D9-40CC-88CB-1331C334EC63}"/>
    <cellStyle name="Percent51" xfId="733" xr:uid="{EFB22D8A-90F3-4B2D-BF98-F78E1207AFD4}"/>
    <cellStyle name="Percent52" xfId="734" xr:uid="{18E6A984-1D3E-43AA-9756-34A8E4D50D45}"/>
    <cellStyle name="Percent53" xfId="735" xr:uid="{B8F59E2D-F15F-4607-9FA8-604059905D46}"/>
    <cellStyle name="Percent54" xfId="736" xr:uid="{02E4E5C6-6E84-4AB1-A004-B5D2C667A187}"/>
    <cellStyle name="Percent55" xfId="737" xr:uid="{E987D7A6-07D5-46E4-BC51-E5FC634002A8}"/>
    <cellStyle name="Percent56" xfId="738" xr:uid="{694EF396-B728-4CAA-B029-51A70CD8677B}"/>
    <cellStyle name="Percent57" xfId="739" xr:uid="{7F370A74-700A-434D-B0D6-B0F91CBD76E5}"/>
    <cellStyle name="Percent58" xfId="740" xr:uid="{847B48BA-9604-426A-8C47-93AE34E8DAFA}"/>
    <cellStyle name="Percent59" xfId="741" xr:uid="{AB4F9E06-A012-46DF-A681-D8E058709C57}"/>
    <cellStyle name="Percent6" xfId="742" xr:uid="{63707377-1DDD-475E-812A-BEB740589887}"/>
    <cellStyle name="Percent60" xfId="743" xr:uid="{51202D39-73E4-47DA-B9AB-9798452E0886}"/>
    <cellStyle name="Percent61" xfId="744" xr:uid="{7EF3F2C5-1709-414E-98F4-3A816C4380C3}"/>
    <cellStyle name="Percent62" xfId="745" xr:uid="{3325FBC1-DC89-4264-98CF-99F0CDFFFECF}"/>
    <cellStyle name="Percent63" xfId="746" xr:uid="{BE2873C8-5FDA-48A4-B262-8E86FC6B8870}"/>
    <cellStyle name="Percent64" xfId="747" xr:uid="{2AF07826-213C-4B77-A7ED-DDF949E14C4C}"/>
    <cellStyle name="Percent65" xfId="748" xr:uid="{D4BAD089-82D2-41CE-BC1C-9B72E533ADBC}"/>
    <cellStyle name="Percent66" xfId="749" xr:uid="{6C5CC384-9F8A-4DE6-99E8-8F14B88F2182}"/>
    <cellStyle name="Percent67" xfId="750" xr:uid="{9F6C2B1E-CDCA-4153-8F8E-A80EC0DCB405}"/>
    <cellStyle name="Percent68" xfId="751" xr:uid="{92EF68D1-C6A8-4F7F-8D2E-933E0C15B27E}"/>
    <cellStyle name="Percent69" xfId="752" xr:uid="{5B3D0B68-EF67-419E-AB2D-40975B9B4AEA}"/>
    <cellStyle name="Percent7" xfId="753" xr:uid="{7F2439CA-D0DA-4CAB-ADC6-FFA2B461BDEC}"/>
    <cellStyle name="Percent70" xfId="754" xr:uid="{2D3FD7F6-A64B-4D8A-BF4C-B8E0E0FEE25F}"/>
    <cellStyle name="Percent71" xfId="755" xr:uid="{D288C2AD-AB97-41B7-A25D-75E54A58F701}"/>
    <cellStyle name="Percent72" xfId="756" xr:uid="{3D279414-076D-4E64-BDF1-FACF4D037515}"/>
    <cellStyle name="Percent73" xfId="757" xr:uid="{CF5EC856-42F6-416E-A36F-7AAF86EA3E2C}"/>
    <cellStyle name="Percent74" xfId="758" xr:uid="{9536F6D9-CE94-4C06-931A-3CF9FBE12AB4}"/>
    <cellStyle name="Percent75" xfId="759" xr:uid="{D679CCD6-B5CA-4935-B803-503983097E29}"/>
    <cellStyle name="Percent76" xfId="760" xr:uid="{43D05A2C-8ADA-4442-AF71-003FC87350EA}"/>
    <cellStyle name="Percent77" xfId="761" xr:uid="{EAA8C16B-A50E-4199-8FA9-577D1D5C5115}"/>
    <cellStyle name="Percent78" xfId="762" xr:uid="{00668729-E411-4963-89C2-2A834712B299}"/>
    <cellStyle name="Percent79" xfId="763" xr:uid="{0F2B37F8-91B8-41FC-8161-93D61A0B23B6}"/>
    <cellStyle name="Percent8" xfId="764" xr:uid="{F749DFF7-DAD3-4AB8-B0D6-05A02EE01CBC}"/>
    <cellStyle name="Percent80" xfId="765" xr:uid="{6DF30842-69ED-4245-A0E8-6C800A4505FF}"/>
    <cellStyle name="Percent81" xfId="766" xr:uid="{1238926C-6807-40AB-88DE-69DFA4B97A80}"/>
    <cellStyle name="Percent82" xfId="767" xr:uid="{2C995E9B-40CF-494D-B9FF-47F20E69054B}"/>
    <cellStyle name="Percent83" xfId="768" xr:uid="{1F6F10E3-0AB7-4D3B-AC6B-6309FC7D5B37}"/>
    <cellStyle name="Percent84" xfId="769" xr:uid="{BC5A327C-BB37-42C2-B7C5-DAE98CA576AE}"/>
    <cellStyle name="Percent85" xfId="770" xr:uid="{450D8E17-613A-495E-A063-DB13D0C8189C}"/>
    <cellStyle name="Percent86" xfId="771" xr:uid="{41D81F47-0E67-4B4B-A4BC-554A3D17E157}"/>
    <cellStyle name="Percent87" xfId="772" xr:uid="{9953CA53-1B30-43DE-87D5-E3C197F971D2}"/>
    <cellStyle name="Percent88" xfId="773" xr:uid="{21DCB4DD-049D-4D78-ADF6-8F08BB11201C}"/>
    <cellStyle name="Percent89" xfId="774" xr:uid="{5F7D2A34-0880-4A20-90FE-F1D56E91F344}"/>
    <cellStyle name="Percent9" xfId="775" xr:uid="{70E15C2E-B8BA-49AC-91E2-6E0026B67675}"/>
    <cellStyle name="Percent90" xfId="776" xr:uid="{FAEF6406-BF09-4FD4-B88C-5C4FBA38CA64}"/>
    <cellStyle name="Percent91" xfId="777" xr:uid="{A9504E2D-C5A0-4C86-96CB-19BAAE7CC688}"/>
    <cellStyle name="Percent92" xfId="778" xr:uid="{44A799C1-057F-4920-BFE2-0D08C252BB4A}"/>
    <cellStyle name="Percent93" xfId="779" xr:uid="{B159F0D7-C495-452B-8185-3DD4B534E0EB}"/>
    <cellStyle name="Percent94" xfId="780" xr:uid="{1BD45FEC-1521-4F13-B2BE-289278AD13CE}"/>
    <cellStyle name="Percent95" xfId="781" xr:uid="{DD91AF12-4FB0-4792-B05E-2455C2AFA12B}"/>
    <cellStyle name="Percent96" xfId="782" xr:uid="{B9DF8092-4206-4726-8268-B7AD08C2AB42}"/>
    <cellStyle name="Percent97" xfId="783" xr:uid="{B2CB0CB4-D955-4296-BBBB-4BD372A69464}"/>
    <cellStyle name="Percent98" xfId="784" xr:uid="{9F2C8196-B7A3-4176-B553-D89665312ED6}"/>
    <cellStyle name="Percent99" xfId="785" xr:uid="{C7307585-4EDD-41CF-A7D8-9BC28BE4DC19}"/>
    <cellStyle name="Percentage" xfId="786" xr:uid="{D4B83514-5EF5-4B6E-A471-5925A491BD17}"/>
    <cellStyle name="PercentStyle" xfId="787" xr:uid="{D10C1F5E-8BDF-433B-A25F-01666033C487}"/>
    <cellStyle name="PrePop Currency (0)" xfId="788" xr:uid="{BFC906E5-632E-4D5E-9013-8949CE1C2A7B}"/>
    <cellStyle name="PrePop Currency (2)" xfId="789" xr:uid="{C55AFD73-BDA3-4C98-B331-4E97A07DEE32}"/>
    <cellStyle name="PrePop Units (0)" xfId="790" xr:uid="{09CDF1D6-6804-4EE8-9403-CD7B8CD25985}"/>
    <cellStyle name="PrePop Units (1)" xfId="791" xr:uid="{AC470724-96FC-41B7-9B9F-734D1016D735}"/>
    <cellStyle name="PrePop Units (2)" xfId="792" xr:uid="{9D2CF9F3-51F5-41AB-B36E-01626F908AF5}"/>
    <cellStyle name="Price" xfId="793" xr:uid="{C5A50BBA-16BA-4C92-A2AA-13A8480995AD}"/>
    <cellStyle name="Product Header" xfId="794" xr:uid="{1D9DEC3B-6568-45B9-9041-2FE3006F6EA0}"/>
    <cellStyle name="PSChar" xfId="795" xr:uid="{67FFC906-81AC-4130-93D0-7C6FAF76B4C6}"/>
    <cellStyle name="PSDate" xfId="796" xr:uid="{83074A47-4C82-46FB-94C8-8AA1DF0D3F66}"/>
    <cellStyle name="PSDec" xfId="797" xr:uid="{B4430118-D42F-4F07-9CD0-262A931202B2}"/>
    <cellStyle name="PSHeading" xfId="798" xr:uid="{EFF4DEB0-B102-4CEE-8397-CB42A95529DF}"/>
    <cellStyle name="PSInt" xfId="799" xr:uid="{E14023B9-12C8-4B07-8E3D-44FD0E454179}"/>
    <cellStyle name="PSSpacer" xfId="800" xr:uid="{A9F1329B-7D6C-49A0-B2B8-34B11BF914DC}"/>
    <cellStyle name="r" xfId="801" xr:uid="{D44BC9E0-B6C4-4643-99FE-33C2AF82EAAC}"/>
    <cellStyle name="r_F&amp;W Servicing Model" xfId="802" xr:uid="{FF3FBAE9-3992-4ECA-88AF-5E70439E489C}"/>
    <cellStyle name="r_F&amp;W Servicing Model v2" xfId="803" xr:uid="{633EF87E-5D70-420A-B9B3-BA2DCF25C964}"/>
    <cellStyle name="r_Yell Servicing Model" xfId="804" xr:uid="{8F07D8A3-D522-4F7E-9E38-2F92E29A53A9}"/>
    <cellStyle name="rate" xfId="805" xr:uid="{32551348-0A3A-4EBA-9082-8D05A29310CD}"/>
    <cellStyle name="Ratio" xfId="806" xr:uid="{07A9047C-526D-4A83-8129-BD27347389CF}"/>
    <cellStyle name="Ratio Comma" xfId="807" xr:uid="{995D57F6-53BB-4D3C-9D15-035540B92CDF}"/>
    <cellStyle name="Ratio_Private" xfId="808" xr:uid="{964CDB8B-FF7A-4A03-A8CC-9870D07562E9}"/>
    <cellStyle name="regstoresfromspecstores" xfId="809" xr:uid="{72F2D493-C6FE-4972-A6A5-0669A645A87F}"/>
    <cellStyle name="RevList" xfId="810" xr:uid="{55BB8756-C6F8-4BA4-A8B1-DCD358186D76}"/>
    <cellStyle name="Right" xfId="811" xr:uid="{0A419169-CA00-439F-8EAE-9420F0831CE6}"/>
    <cellStyle name="RightBold" xfId="812" xr:uid="{AF6479BB-2267-41BC-A461-ABD6CC1EA0EE}"/>
    <cellStyle name="RightBoldBottomRule" xfId="813" xr:uid="{B2CA9CB8-799F-4E72-A09A-449CA373E239}"/>
    <cellStyle name="RightBoldCenterRule" xfId="814" xr:uid="{6DA40261-F624-40B9-88F0-2C4DB66DA592}"/>
    <cellStyle name="Section" xfId="815" xr:uid="{7575E43E-2110-4857-9E73-424367AE3593}"/>
    <cellStyle name="SectionHeaderNormal" xfId="816" xr:uid="{1ECEAC77-EE0C-4FD1-8A94-85437D88D291}"/>
    <cellStyle name="SHADEDSTORES" xfId="817" xr:uid="{0153C737-B8D6-4A7A-861E-0061CA76DF5B}"/>
    <cellStyle name="Short $" xfId="818" xr:uid="{CD5ECC41-5273-4087-BB23-98F3A4733B0D}"/>
    <cellStyle name="ShOut" xfId="819" xr:uid="{04D6DAD3-5D64-469B-B22C-60EB320B3B6B}"/>
    <cellStyle name="Simple" xfId="820" xr:uid="{8838A83C-04E4-4505-9355-FEE1ABE9476F}"/>
    <cellStyle name="SimpleBold" xfId="821" xr:uid="{EDCFF8B2-0FDD-41A5-B7FF-DE5BC14F5D5D}"/>
    <cellStyle name="Single Accounting" xfId="822" xr:uid="{F2EA5068-C680-40B8-B020-9C26FFC815D7}"/>
    <cellStyle name="specstores" xfId="823" xr:uid="{FC4554C7-A5CF-4D6C-93BF-500B2646E4B9}"/>
    <cellStyle name="Stock Comma" xfId="824" xr:uid="{7D6B65AA-BD56-40A4-AFB4-D686B6A24094}"/>
    <cellStyle name="Stock Price" xfId="825" xr:uid="{2B06DB4E-9254-45F3-93B4-383567FDBC93}"/>
    <cellStyle name="Style 1" xfId="826" xr:uid="{E5FF5F7C-5906-4B2A-96BF-DBC7A4CC355A}"/>
    <cellStyle name="Style 21" xfId="827" xr:uid="{267FFC59-15E9-4684-9A9D-4A4D35F65295}"/>
    <cellStyle name="Style 22" xfId="828" xr:uid="{C49E8451-9C52-4430-9C2F-F74E98B620A8}"/>
    <cellStyle name="Style 23" xfId="829" xr:uid="{750760E9-B844-4CFA-BBB4-EE90F7299555}"/>
    <cellStyle name="Style 24" xfId="830" xr:uid="{AB08852A-F223-4F06-B91B-8A9B04E34E07}"/>
    <cellStyle name="Style 25" xfId="831" xr:uid="{C30A6A91-0B76-46F9-9F13-CCBE873F566B}"/>
    <cellStyle name="Style 26" xfId="832" xr:uid="{9DA4298A-4274-4424-9C1A-B780A1425DA2}"/>
    <cellStyle name="Style 27" xfId="833" xr:uid="{005B4F94-6C01-483A-9545-37F169FE4C6A}"/>
    <cellStyle name="Style 28" xfId="834" xr:uid="{F8A49440-E13A-4B93-A76F-8859FB281C3F}"/>
    <cellStyle name="Style 29" xfId="835" xr:uid="{F0585D9C-1C1B-46CA-AA2D-7A310BF103EC}"/>
    <cellStyle name="Style 30" xfId="836" xr:uid="{860D97B3-E6B0-4770-B447-18840B8AF3BA}"/>
    <cellStyle name="Style 31" xfId="837" xr:uid="{B5EAAE04-D74A-486A-B29F-FA6DB73A4EE7}"/>
    <cellStyle name="Style 32" xfId="838" xr:uid="{A221C1B1-4F18-4476-BD92-B33BEF37521A}"/>
    <cellStyle name="Style 33" xfId="839" xr:uid="{6B687416-8040-486C-A661-746C1F290AF2}"/>
    <cellStyle name="Style 34" xfId="840" xr:uid="{14E6D395-23D4-4851-A3B4-AAACEB750749}"/>
    <cellStyle name="Style 35" xfId="841" xr:uid="{DA39CDC8-1EAD-4DA6-872F-165E0DD78E54}"/>
    <cellStyle name="Style 36" xfId="842" xr:uid="{D6398CFA-D480-4628-B598-82DACA2736D8}"/>
    <cellStyle name="Style 37" xfId="843" xr:uid="{53FEC1AF-C063-48E5-8FA8-31F21A7395C7}"/>
    <cellStyle name="Style 38" xfId="844" xr:uid="{1EF0E1A7-BD60-4AEC-ADEE-8C91A0ED460F}"/>
    <cellStyle name="Style 39" xfId="845" xr:uid="{8C116473-A429-48D1-89C4-F4B17A11C4C4}"/>
    <cellStyle name="Style 40" xfId="846" xr:uid="{E8AB2D78-B4A4-4735-91B7-08BD98C5C4EB}"/>
    <cellStyle name="Style 41" xfId="847" xr:uid="{16C89A29-2DC5-4447-9D65-878253AACBA4}"/>
    <cellStyle name="Style 42" xfId="848" xr:uid="{442635E9-968C-49C3-82E0-D7A092E04E02}"/>
    <cellStyle name="Style 43" xfId="849" xr:uid="{D3D2A735-728C-4EA0-A36C-08F4A083481A}"/>
    <cellStyle name="Style 44" xfId="850" xr:uid="{4DEB8DC4-26F4-4021-AB43-A99C0F5B544E}"/>
    <cellStyle name="Style 45" xfId="851" xr:uid="{F19E1287-BC27-4A66-8D75-A1CB5BEF9FB9}"/>
    <cellStyle name="Style 46" xfId="852" xr:uid="{66C757C0-7194-4C39-979F-3A88DB59CF70}"/>
    <cellStyle name="Style 47" xfId="853" xr:uid="{66B73CE5-A78F-488C-91B3-C5D3D2709D1A}"/>
    <cellStyle name="Style 48" xfId="854" xr:uid="{D61AEE88-115B-4F74-B87C-0D988B2CC4F1}"/>
    <cellStyle name="STYLE1" xfId="855" xr:uid="{BCFED33C-AD04-432C-A726-FF1E15CFB5BB}"/>
    <cellStyle name="SubScript" xfId="856" xr:uid="{AFB64DB0-4E20-4DD9-9FBD-5060E181FB00}"/>
    <cellStyle name="Subtotal" xfId="857" xr:uid="{99272CBB-F6BE-47BF-BC7F-81947398E374}"/>
    <cellStyle name="Sum" xfId="858" xr:uid="{F480DC6A-6144-448C-99D7-38F0BCFBC7B3}"/>
    <cellStyle name="SuperScript" xfId="859" xr:uid="{9F101615-B8B4-460E-9F89-6405BFB9BE7F}"/>
    <cellStyle name="Table_Title" xfId="860" xr:uid="{61F3B19C-5259-4A86-B798-5498E7BD7BB3}"/>
    <cellStyle name="Test" xfId="861" xr:uid="{0AAFFFEA-5BAB-48A2-B9BA-BAD79CF9F75A}"/>
    <cellStyle name="Text Indent A" xfId="862" xr:uid="{246EBDD4-E2FA-4608-AE2E-A405A95F8F74}"/>
    <cellStyle name="Text Indent B" xfId="863" xr:uid="{1E6553AB-7FDE-4BE7-931E-C8ED615756A0}"/>
    <cellStyle name="Text Indent C" xfId="864" xr:uid="{036283C4-2D22-4F14-B38C-74ED99BA521A}"/>
    <cellStyle name="TextBold" xfId="865" xr:uid="{D516A0F7-7A1F-4086-AD4E-68C67F155227}"/>
    <cellStyle name="TextItalic" xfId="866" xr:uid="{3411197B-50D7-4057-8DF9-8C81E147643F}"/>
    <cellStyle name="TextNormal" xfId="867" xr:uid="{3C20382A-3B74-43BA-9CA7-BA44C545C5C7}"/>
    <cellStyle name="Time" xfId="868" xr:uid="{5B2BA2EF-B0D2-4D91-8CE0-5685E46054D3}"/>
    <cellStyle name="Times 10" xfId="869" xr:uid="{4699BC49-D765-4C8B-8472-1DED2EA22C94}"/>
    <cellStyle name="Times 12" xfId="870" xr:uid="{68F4E90B-47E7-4473-846B-E057DE8872B2}"/>
    <cellStyle name="Title - PROJECT" xfId="871" xr:uid="{09E6E3B5-9081-4FBA-A291-85D5991B5D39}"/>
    <cellStyle name="Title - Underline" xfId="872" xr:uid="{65CA8AB3-184A-4072-A561-B34C6AA7695B}"/>
    <cellStyle name="Title1" xfId="873" xr:uid="{ADD4FAFC-90F7-4E69-9CF8-EEDFED6E2019}"/>
    <cellStyle name="Title2" xfId="874" xr:uid="{7E6AAB72-EEAE-4307-85D2-7D3148A2109A}"/>
    <cellStyle name="TitleNormal" xfId="875" xr:uid="{5B42B8DA-7419-4108-B6A1-D3649D3583F8}"/>
    <cellStyle name="Titles - Col. Headings" xfId="876" xr:uid="{2867704C-7C48-4A15-8BD8-F4CC9F59DC4E}"/>
    <cellStyle name="Titles - Other" xfId="877" xr:uid="{4BD26075-E280-4F94-BB3C-676E254D7066}"/>
    <cellStyle name="Top Edge" xfId="878" xr:uid="{93E5FB52-806B-4F89-AE82-455793899432}"/>
    <cellStyle name="Total" xfId="879" builtinId="25" customBuiltin="1"/>
    <cellStyle name="ubordinated Debt" xfId="880" xr:uid="{23E3F1AE-BC08-47D6-ABF2-141165763956}"/>
    <cellStyle name="wheat merger's and acquisitions" xfId="881" xr:uid="{7C0CD300-3D65-4504-A588-F9D3E3F5DA56}"/>
    <cellStyle name="x" xfId="882" xr:uid="{23D8F8BC-031D-4F42-8A06-BB5196218771}"/>
    <cellStyle name="x_TSA Model - 1 8 06 - v2" xfId="883" xr:uid="{4D73B770-12D2-400F-B6FA-632BB32CC246}"/>
    <cellStyle name="Y2K Compliant Date Fmt" xfId="884" xr:uid="{779EE8ED-1C7D-4817-98A4-3873A9914F58}"/>
    <cellStyle name="Years" xfId="885" xr:uid="{56ACD52C-1A22-48CE-9273-B766FB6F73EB}"/>
    <cellStyle name="yellow" xfId="886" xr:uid="{F815C395-3813-4633-AD40-838465950EE4}"/>
    <cellStyle name="Yen" xfId="887" xr:uid="{FF43A8A4-748E-4230-A9AE-E8B02BFF6CAC}"/>
    <cellStyle name="YYYY" xfId="888" xr:uid="{87D276E9-903A-431E-931C-0162F686087A}"/>
    <cellStyle name="桁区切り [0.00]_Appendix" xfId="889" xr:uid="{5E6C30A6-D928-4E63-A94E-0B3AE2CC67D7}"/>
    <cellStyle name="桁区切り_Appendix" xfId="890" xr:uid="{D46CB1C9-2DBC-4E2B-8016-4EA720AF2612}"/>
    <cellStyle name="標準_Appendix" xfId="891" xr:uid="{57AB587F-690C-4861-B5B7-33D4B45166A2}"/>
    <cellStyle name="通貨 [0.00]_Appendix" xfId="892" xr:uid="{F9B6E3A2-143D-4B3C-9FA5-75CDE68DD373}"/>
    <cellStyle name="通貨_Appendix" xfId="893" xr:uid="{117696CD-24B0-4F9D-8664-3A70825E51D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customXml" Target="../customXml/item2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Capitalisation!$B$872:$B$877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20174</c:v>
                </c:pt>
                <c:pt idx="4">
                  <c:v>2018</c:v>
                </c:pt>
                <c:pt idx="5">
                  <c:v>2019+</c:v>
                </c:pt>
              </c:strCache>
            </c:strRef>
          </c:cat>
          <c:val>
            <c:numRef>
              <c:f>Capitalisation!$C$872:$C$877</c:f>
              <c:numCache>
                <c:formatCode>#,##0_);\(#,##0\)</c:formatCode>
                <c:ptCount val="6"/>
                <c:pt idx="0">
                  <c:v>1074</c:v>
                </c:pt>
                <c:pt idx="1">
                  <c:v>409.67599999999999</c:v>
                </c:pt>
                <c:pt idx="2">
                  <c:v>619.67399999999998</c:v>
                </c:pt>
                <c:pt idx="3">
                  <c:v>596.62099999999998</c:v>
                </c:pt>
                <c:pt idx="4">
                  <c:v>2071.7289999999998</c:v>
                </c:pt>
                <c:pt idx="5">
                  <c:v>1749.645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B-478B-BD11-71D8418B7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0550143"/>
        <c:axId val="1"/>
      </c:barChart>
      <c:catAx>
        <c:axId val="175055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55014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619</xdr:row>
      <xdr:rowOff>85725</xdr:rowOff>
    </xdr:from>
    <xdr:to>
      <xdr:col>11</xdr:col>
      <xdr:colOff>180975</xdr:colOff>
      <xdr:row>636</xdr:row>
      <xdr:rowOff>76200</xdr:rowOff>
    </xdr:to>
    <xdr:graphicFrame macro="">
      <xdr:nvGraphicFramePr>
        <xdr:cNvPr id="3961" name="Chart 1">
          <a:extLst>
            <a:ext uri="{FF2B5EF4-FFF2-40B4-BE49-F238E27FC236}">
              <a16:creationId xmlns:a16="http://schemas.microsoft.com/office/drawing/2014/main" id="{79385920-A66F-C5F9-A9C7-57D52B500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WCMP%20II/PORTFOLIO%20COMPANIES/Jobson%20Medical%20Information/Bank%20Correspondence/JMI%20Model%20(Wx%20Model%20-%20BMO%20Adjusted%205-18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nbk7h1e\Local%20Settings\Temporary%20Internet%20Files\OLK61\Bank%20Austria\Returns@@@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eals%20-%20In%20Process/TruCom/BridgeCom%20Budget%20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eals%20-%20In%20Process/Crescent%20Publishing%20Company,%20LLC/R0%20-%20Aug%202,%202001/CrescentPublishing%20Model%208-01%20R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Credit%20Derivatives%20Group/Emerging/CBO/MFS/Jersey%20Street%20CLO/Warehouse/Warehouse%20Report/versions/August/Jersey%20Street%20CLO%208.7.06%20Committe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smarimow/My%20Documents/Companies/Univision/Model/Bank%20Model%20-%20Financing/Company%20Materials/Company%20Materials/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smarimow/My%20Documents/Companies/Univision/Model/Bank%20Model%20-%20Financing/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EMcKee/Local%20Settings/Temporary%20Internet%20Files/OLK12/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Beckett/Deals%20in%20process/UniFocus%20R6/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CRothbard/Local%20Settings/Temporary%20Internet%20Files/OLK146/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Documents%20and%20Settings/jorr/Local%20Settings/Temporary%20Internet%20Files/OLK27/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il-my.sharepoint.com/WCMP%20II/PORTFOLIO%20COMPANIES/Jobson%20Medical%20Information/Corporate%20Development/JMI_WMI%20Combination/2005.11/Oct%202005/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  <sheetName val="IncSt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  <sheetName val="TRANSA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2AD3-367E-46F8-AA68-1E980C9DB61F}">
  <dimension ref="A3:K879"/>
  <sheetViews>
    <sheetView showGridLines="0" tabSelected="1" zoomScaleNormal="100" workbookViewId="0">
      <selection activeCell="H19" sqref="H19"/>
    </sheetView>
  </sheetViews>
  <sheetFormatPr defaultRowHeight="12.75"/>
  <cols>
    <col min="1" max="1" width="9.140625" style="49"/>
    <col min="2" max="2" width="50.7109375" style="49" customWidth="1"/>
    <col min="3" max="6" width="13.7109375" style="49" customWidth="1"/>
    <col min="7" max="7" width="9.140625" style="49"/>
    <col min="8" max="8" width="38.85546875" style="49" bestFit="1" customWidth="1"/>
    <col min="9" max="16384" width="9.140625" style="49"/>
  </cols>
  <sheetData>
    <row r="3" spans="1:9" ht="13.5" thickBot="1">
      <c r="A3" s="54" t="s">
        <v>0</v>
      </c>
    </row>
    <row r="4" spans="1:9">
      <c r="B4" s="238" t="s">
        <v>1</v>
      </c>
      <c r="C4" s="157" t="s">
        <v>2</v>
      </c>
      <c r="D4" s="157" t="s">
        <v>3</v>
      </c>
      <c r="E4" s="157" t="s">
        <v>4</v>
      </c>
      <c r="F4" s="157" t="s">
        <v>5</v>
      </c>
      <c r="H4" s="160" t="s">
        <v>6</v>
      </c>
      <c r="I4" s="161"/>
    </row>
    <row r="5" spans="1:9" ht="13.5" thickBot="1">
      <c r="E5" s="224"/>
      <c r="H5" s="128" t="s">
        <v>7</v>
      </c>
      <c r="I5" s="131">
        <v>1.5</v>
      </c>
    </row>
    <row r="6" spans="1:9">
      <c r="B6" s="54" t="s">
        <v>8</v>
      </c>
      <c r="C6" s="203">
        <f>SUM(C7:C9)</f>
        <v>759029</v>
      </c>
      <c r="D6" s="203">
        <f>SUM(D7:D9)</f>
        <v>17074.596715234053</v>
      </c>
    </row>
    <row r="7" spans="1:9">
      <c r="B7" s="233" t="s">
        <v>9</v>
      </c>
      <c r="C7" s="186">
        <v>546345</v>
      </c>
      <c r="D7" s="69">
        <f>+C7/$C$28</f>
        <v>12290.20306521167</v>
      </c>
    </row>
    <row r="8" spans="1:9">
      <c r="B8" s="233" t="s">
        <v>10</v>
      </c>
      <c r="C8" s="186">
        <v>207996</v>
      </c>
      <c r="D8" s="69">
        <f>+C8/$C$28</f>
        <v>4678.9356116588724</v>
      </c>
    </row>
    <row r="9" spans="1:9">
      <c r="B9" s="233" t="s">
        <v>11</v>
      </c>
      <c r="C9" s="186">
        <v>4688</v>
      </c>
      <c r="D9" s="69">
        <f>+C9/$C$28</f>
        <v>105.45803836351081</v>
      </c>
    </row>
    <row r="10" spans="1:9">
      <c r="C10" s="191"/>
    </row>
    <row r="11" spans="1:9">
      <c r="B11" s="54" t="s">
        <v>12</v>
      </c>
      <c r="C11" s="203">
        <f>SUM(C12:C13)</f>
        <v>602002</v>
      </c>
      <c r="D11" s="203">
        <f>SUM(D12:D13)</f>
        <v>13542.224831678803</v>
      </c>
    </row>
    <row r="12" spans="1:9">
      <c r="B12" s="233" t="s">
        <v>9</v>
      </c>
      <c r="C12" s="186">
        <v>226305</v>
      </c>
      <c r="D12" s="69">
        <f>+C12/$C$28</f>
        <v>5090.8023404126097</v>
      </c>
    </row>
    <row r="13" spans="1:9">
      <c r="B13" s="233" t="s">
        <v>10</v>
      </c>
      <c r="C13" s="186">
        <v>375697</v>
      </c>
      <c r="D13" s="69">
        <f>+C13/$C$28</f>
        <v>8451.4224912661939</v>
      </c>
    </row>
    <row r="14" spans="1:9">
      <c r="C14" s="186"/>
      <c r="D14" s="69"/>
    </row>
    <row r="15" spans="1:9">
      <c r="B15" s="54" t="s">
        <v>13</v>
      </c>
      <c r="C15" s="203">
        <f>SUM(C16:C17)</f>
        <v>23468</v>
      </c>
      <c r="D15" s="203">
        <f>SUM(D16:D17)</f>
        <v>527.92006064737018</v>
      </c>
    </row>
    <row r="16" spans="1:9">
      <c r="B16" s="233" t="s">
        <v>14</v>
      </c>
      <c r="C16" s="186">
        <v>7141</v>
      </c>
      <c r="D16" s="69">
        <f>+C16/$C$28</f>
        <v>160.63904691847924</v>
      </c>
    </row>
    <row r="17" spans="2:6">
      <c r="B17" s="233" t="s">
        <v>15</v>
      </c>
      <c r="C17" s="186">
        <v>16327</v>
      </c>
      <c r="D17" s="69">
        <f>+C17/$C$28</f>
        <v>367.28101372889097</v>
      </c>
    </row>
    <row r="18" spans="2:6">
      <c r="C18" s="105"/>
      <c r="D18" s="69"/>
    </row>
    <row r="19" spans="2:6">
      <c r="C19" s="105"/>
      <c r="D19" s="69"/>
      <c r="E19" s="225"/>
    </row>
    <row r="20" spans="2:6">
      <c r="B20" s="234" t="s">
        <v>16</v>
      </c>
      <c r="C20" s="182">
        <f>SUM(C6,C11,C15)</f>
        <v>1384499</v>
      </c>
      <c r="D20" s="182">
        <f>+C20/$C28</f>
        <v>31144.741607560227</v>
      </c>
      <c r="E20" s="226">
        <f>+C20/C27</f>
        <v>5.9009768904876783</v>
      </c>
      <c r="F20" s="226">
        <f>+D20/D27</f>
        <v>5.5027837057045019</v>
      </c>
    </row>
    <row r="21" spans="2:6">
      <c r="B21" s="49" t="s">
        <v>17</v>
      </c>
      <c r="C21" s="191">
        <f>Model!BI$56</f>
        <v>898265</v>
      </c>
      <c r="D21" s="191">
        <f>+C21/$C28</f>
        <v>20206.754443387166</v>
      </c>
      <c r="E21" s="227"/>
      <c r="F21" s="236"/>
    </row>
    <row r="22" spans="2:6">
      <c r="B22" s="234" t="s">
        <v>18</v>
      </c>
      <c r="C22" s="182">
        <f>+C20-C21</f>
        <v>486234</v>
      </c>
      <c r="D22" s="182">
        <f>+D20-D21</f>
        <v>10937.987164173061</v>
      </c>
      <c r="E22" s="226">
        <f>+C22/C27</f>
        <v>2.0724143515953322</v>
      </c>
      <c r="F22" s="226">
        <f>+D22/D27</f>
        <v>1.9325694943510416</v>
      </c>
    </row>
    <row r="23" spans="2:6">
      <c r="C23" s="203"/>
      <c r="D23" s="203"/>
      <c r="E23" s="228"/>
      <c r="F23" s="237"/>
    </row>
    <row r="24" spans="2:6">
      <c r="B24" s="49" t="s">
        <v>19</v>
      </c>
      <c r="C24" s="191">
        <f>Model!BI$60</f>
        <v>469141.1</v>
      </c>
      <c r="D24" s="191">
        <f>+C24/$C28</f>
        <v>10553.476988417162</v>
      </c>
      <c r="E24" s="229"/>
      <c r="F24" s="237"/>
    </row>
    <row r="25" spans="2:6">
      <c r="B25" s="235" t="s">
        <v>20</v>
      </c>
      <c r="C25" s="182">
        <f>+C24+C22</f>
        <v>955375.1</v>
      </c>
      <c r="D25" s="182">
        <f>+D24+D22</f>
        <v>21491.464152590223</v>
      </c>
      <c r="E25" s="226">
        <f>+C25/C27</f>
        <v>4.0719757737978535</v>
      </c>
      <c r="F25" s="226">
        <f>+D25/D27</f>
        <v>3.7972021165171004</v>
      </c>
    </row>
    <row r="26" spans="2:6">
      <c r="C26" s="203"/>
      <c r="D26" s="191"/>
      <c r="E26" s="230"/>
      <c r="F26" s="69"/>
    </row>
    <row r="27" spans="2:6">
      <c r="B27" s="49" t="s">
        <v>21</v>
      </c>
      <c r="C27" s="203">
        <f>Model!BI$44</f>
        <v>234622</v>
      </c>
      <c r="D27" s="203">
        <f>+C27/C29</f>
        <v>5659.8156993293769</v>
      </c>
    </row>
    <row r="28" spans="2:6">
      <c r="B28" s="49" t="s">
        <v>22</v>
      </c>
      <c r="C28" s="184">
        <f>Model!BI$95</f>
        <v>44.453699999999998</v>
      </c>
      <c r="D28" s="123"/>
      <c r="E28" s="123"/>
      <c r="F28" s="123"/>
    </row>
    <row r="29" spans="2:6">
      <c r="B29" s="49" t="s">
        <v>23</v>
      </c>
      <c r="C29" s="184">
        <f>AVERAGE(Model!$BF$96:$BI$96)</f>
        <v>41.454000000000001</v>
      </c>
    </row>
    <row r="30" spans="2:6">
      <c r="B30" s="180" t="s">
        <v>24</v>
      </c>
      <c r="C30" s="231">
        <f>C20-Model!$BI$55</f>
        <v>0</v>
      </c>
    </row>
    <row r="31" spans="2:6">
      <c r="C31" s="232"/>
    </row>
    <row r="32" spans="2:6" ht="13.5" thickBot="1"/>
    <row r="33" spans="2:4">
      <c r="B33" s="192" t="s">
        <v>25</v>
      </c>
      <c r="C33" s="193" t="s">
        <v>2</v>
      </c>
      <c r="D33" s="194" t="s">
        <v>26</v>
      </c>
    </row>
    <row r="34" spans="2:4">
      <c r="B34" s="195" t="s">
        <v>27</v>
      </c>
      <c r="C34" s="191">
        <f>C21</f>
        <v>898265</v>
      </c>
      <c r="D34" s="196">
        <f>C34/$C$28</f>
        <v>20206.754443387166</v>
      </c>
    </row>
    <row r="35" spans="2:4" ht="13.5" thickBot="1">
      <c r="B35" s="200" t="s">
        <v>28</v>
      </c>
      <c r="C35" s="201">
        <f>SUM(C34:C34)</f>
        <v>898265</v>
      </c>
      <c r="D35" s="202">
        <f>SUM(D34:D34)</f>
        <v>20206.754443387166</v>
      </c>
    </row>
    <row r="36" spans="2:4">
      <c r="B36" s="54"/>
      <c r="C36" s="203"/>
      <c r="D36" s="203"/>
    </row>
    <row r="38" spans="2:4">
      <c r="B38" s="54"/>
      <c r="C38" s="123"/>
      <c r="D38" s="123"/>
    </row>
    <row r="39" spans="2:4" ht="13.5" thickBot="1">
      <c r="B39" s="54"/>
      <c r="C39" s="123"/>
      <c r="D39" s="123"/>
    </row>
    <row r="40" spans="2:4">
      <c r="B40" s="192" t="s">
        <v>29</v>
      </c>
      <c r="C40" s="193" t="s">
        <v>30</v>
      </c>
      <c r="D40" s="194" t="s">
        <v>31</v>
      </c>
    </row>
    <row r="41" spans="2:4">
      <c r="B41" s="195" t="s">
        <v>32</v>
      </c>
      <c r="C41" s="69">
        <f>Model!$BI$53</f>
        <v>766170</v>
      </c>
      <c r="D41" s="196">
        <f t="shared" ref="D41:D46" si="0">C41/$C$28</f>
        <v>17235.235762152533</v>
      </c>
    </row>
    <row r="42" spans="2:4">
      <c r="B42" s="195" t="s">
        <v>33</v>
      </c>
      <c r="C42" s="105">
        <v>180601</v>
      </c>
      <c r="D42" s="196">
        <f t="shared" si="0"/>
        <v>4062.6764476297813</v>
      </c>
    </row>
    <row r="43" spans="2:4">
      <c r="B43" s="195" t="s">
        <v>34</v>
      </c>
      <c r="C43" s="105">
        <v>146917</v>
      </c>
      <c r="D43" s="196">
        <f t="shared" si="0"/>
        <v>3304.9442453609036</v>
      </c>
    </row>
    <row r="44" spans="2:4">
      <c r="B44" s="195" t="s">
        <v>35</v>
      </c>
      <c r="C44" s="105">
        <v>87374</v>
      </c>
      <c r="D44" s="196">
        <f t="shared" si="0"/>
        <v>1965.5056834414233</v>
      </c>
    </row>
    <row r="45" spans="2:4">
      <c r="B45" s="195" t="s">
        <v>36</v>
      </c>
      <c r="C45" s="105">
        <v>64503</v>
      </c>
      <c r="D45" s="196">
        <f t="shared" si="0"/>
        <v>1451.0153260583484</v>
      </c>
    </row>
    <row r="46" spans="2:4">
      <c r="B46" s="197" t="s">
        <v>37</v>
      </c>
      <c r="C46" s="106">
        <v>138934</v>
      </c>
      <c r="D46" s="196">
        <f t="shared" si="0"/>
        <v>3125.3641429172376</v>
      </c>
    </row>
    <row r="47" spans="2:4" ht="13.5" thickBot="1">
      <c r="B47" s="200" t="s">
        <v>28</v>
      </c>
      <c r="C47" s="205">
        <f>SUM(C41:C46)</f>
        <v>1384499</v>
      </c>
      <c r="D47" s="206">
        <f>SUM(D41:D46)</f>
        <v>31144.741607560227</v>
      </c>
    </row>
    <row r="48" spans="2:4">
      <c r="B48" s="180" t="s">
        <v>24</v>
      </c>
      <c r="C48" s="181">
        <f>C47-C20</f>
        <v>0</v>
      </c>
      <c r="D48" s="123"/>
    </row>
    <row r="49" spans="1:9">
      <c r="B49" s="180"/>
      <c r="C49" s="181"/>
      <c r="D49" s="123"/>
    </row>
    <row r="50" spans="1:9">
      <c r="B50" s="180"/>
      <c r="C50" s="181"/>
      <c r="D50" s="123"/>
    </row>
    <row r="51" spans="1:9">
      <c r="B51" s="180"/>
      <c r="C51" s="181"/>
      <c r="D51" s="123"/>
    </row>
    <row r="52" spans="1:9">
      <c r="B52" s="54"/>
      <c r="C52" s="123"/>
      <c r="D52" s="123"/>
    </row>
    <row r="53" spans="1:9" ht="13.5" thickBot="1">
      <c r="A53" s="54" t="s">
        <v>38</v>
      </c>
    </row>
    <row r="54" spans="1:9">
      <c r="B54" s="153" t="s">
        <v>39</v>
      </c>
      <c r="C54" s="157" t="s">
        <v>2</v>
      </c>
      <c r="D54" s="157" t="s">
        <v>3</v>
      </c>
      <c r="E54" s="157" t="s">
        <v>4</v>
      </c>
      <c r="F54" s="155" t="s">
        <v>5</v>
      </c>
      <c r="H54" s="160" t="s">
        <v>6</v>
      </c>
      <c r="I54" s="161"/>
    </row>
    <row r="55" spans="1:9" ht="13.5" thickBot="1">
      <c r="B55" s="84"/>
      <c r="C55" s="48"/>
      <c r="D55" s="48"/>
      <c r="E55" s="166"/>
      <c r="F55" s="85"/>
      <c r="H55" s="128" t="s">
        <v>7</v>
      </c>
      <c r="I55" s="131">
        <v>1.2</v>
      </c>
    </row>
    <row r="56" spans="1:9">
      <c r="B56" s="171" t="s">
        <v>8</v>
      </c>
      <c r="C56" s="173">
        <f>SUM(C57:C59)</f>
        <v>748278</v>
      </c>
      <c r="D56" s="173">
        <f>SUM(D57:D59)</f>
        <v>17418.543857239627</v>
      </c>
      <c r="E56" s="48"/>
      <c r="F56" s="85"/>
    </row>
    <row r="57" spans="1:9">
      <c r="B57" s="172" t="s">
        <v>9</v>
      </c>
      <c r="C57" s="174">
        <v>504342</v>
      </c>
      <c r="D57" s="50">
        <f>+C57/$C$78</f>
        <v>11740.159734815066</v>
      </c>
      <c r="E57" s="48"/>
      <c r="F57" s="85"/>
    </row>
    <row r="58" spans="1:9">
      <c r="B58" s="172" t="s">
        <v>10</v>
      </c>
      <c r="C58" s="174">
        <v>240032</v>
      </c>
      <c r="D58" s="50">
        <f>+C58/$C$78</f>
        <v>5587.5061396178189</v>
      </c>
      <c r="E58" s="48"/>
      <c r="F58" s="85"/>
    </row>
    <row r="59" spans="1:9">
      <c r="B59" s="172" t="s">
        <v>11</v>
      </c>
      <c r="C59" s="174">
        <v>3904</v>
      </c>
      <c r="D59" s="50">
        <f>+C59/$C$78</f>
        <v>90.877982806742295</v>
      </c>
      <c r="E59" s="48"/>
      <c r="F59" s="85"/>
    </row>
    <row r="60" spans="1:9">
      <c r="B60" s="84"/>
      <c r="C60" s="175"/>
      <c r="D60" s="48"/>
      <c r="E60" s="48"/>
      <c r="F60" s="85"/>
    </row>
    <row r="61" spans="1:9">
      <c r="B61" s="171" t="s">
        <v>12</v>
      </c>
      <c r="C61" s="173">
        <f>SUM(C62:C63)</f>
        <v>586223</v>
      </c>
      <c r="D61" s="173">
        <f>SUM(D62:D63)</f>
        <v>13646.199722058627</v>
      </c>
      <c r="E61" s="48"/>
      <c r="F61" s="85"/>
    </row>
    <row r="62" spans="1:9">
      <c r="B62" s="172" t="s">
        <v>9</v>
      </c>
      <c r="C62" s="174">
        <v>263917</v>
      </c>
      <c r="D62" s="50">
        <f>+C62/$C$78</f>
        <v>6143.5052736698271</v>
      </c>
      <c r="E62" s="48"/>
      <c r="F62" s="85"/>
    </row>
    <row r="63" spans="1:9">
      <c r="B63" s="172" t="s">
        <v>10</v>
      </c>
      <c r="C63" s="174">
        <v>322306</v>
      </c>
      <c r="D63" s="50">
        <f>+C63/$C$78</f>
        <v>7502.694448388801</v>
      </c>
      <c r="E63" s="48"/>
      <c r="F63" s="85"/>
    </row>
    <row r="64" spans="1:9">
      <c r="B64" s="84"/>
      <c r="C64" s="174"/>
      <c r="D64" s="50"/>
      <c r="E64" s="48"/>
      <c r="F64" s="85"/>
    </row>
    <row r="65" spans="2:6">
      <c r="B65" s="171" t="s">
        <v>13</v>
      </c>
      <c r="C65" s="173">
        <f>SUM(C66:C67)</f>
        <v>20767</v>
      </c>
      <c r="D65" s="173">
        <f>SUM(D66:D67)</f>
        <v>483.41779430010683</v>
      </c>
      <c r="E65" s="48"/>
      <c r="F65" s="85"/>
    </row>
    <row r="66" spans="2:6">
      <c r="B66" s="172" t="s">
        <v>14</v>
      </c>
      <c r="C66" s="174">
        <v>5451</v>
      </c>
      <c r="D66" s="50">
        <f>+C66/$C$78</f>
        <v>126.88931462078695</v>
      </c>
      <c r="E66" s="48"/>
      <c r="F66" s="85"/>
    </row>
    <row r="67" spans="2:6">
      <c r="B67" s="172" t="s">
        <v>15</v>
      </c>
      <c r="C67" s="174">
        <v>15316</v>
      </c>
      <c r="D67" s="50">
        <f>+C67/$C$78</f>
        <v>356.5284796793199</v>
      </c>
      <c r="E67" s="48"/>
      <c r="F67" s="85"/>
    </row>
    <row r="68" spans="2:6">
      <c r="B68" s="84"/>
      <c r="C68" s="86"/>
      <c r="D68" s="50"/>
      <c r="E68" s="48"/>
      <c r="F68" s="85"/>
    </row>
    <row r="69" spans="2:6">
      <c r="B69" s="84"/>
      <c r="C69" s="86"/>
      <c r="D69" s="50"/>
      <c r="E69" s="96"/>
      <c r="F69" s="85"/>
    </row>
    <row r="70" spans="2:6">
      <c r="B70" s="87" t="s">
        <v>16</v>
      </c>
      <c r="C70" s="182">
        <f>SUM(C56,C61,C65)</f>
        <v>1355268</v>
      </c>
      <c r="D70" s="183">
        <f>+C70/$C78</f>
        <v>31548.161373598363</v>
      </c>
      <c r="E70" s="53">
        <f>+C70/C77</f>
        <v>6.3818762302106782</v>
      </c>
      <c r="F70" s="88">
        <f>+D70/D77</f>
        <v>5.9025302318864901</v>
      </c>
    </row>
    <row r="71" spans="2:6">
      <c r="B71" s="84" t="s">
        <v>17</v>
      </c>
      <c r="C71" s="175">
        <f>Model!BH$56</f>
        <v>821118</v>
      </c>
      <c r="D71" s="175">
        <f>+C71/$C78</f>
        <v>19114.125893008866</v>
      </c>
      <c r="E71" s="167"/>
      <c r="F71" s="89"/>
    </row>
    <row r="72" spans="2:6">
      <c r="B72" s="87" t="s">
        <v>18</v>
      </c>
      <c r="C72" s="183">
        <f>+C70-C71</f>
        <v>534150</v>
      </c>
      <c r="D72" s="183">
        <f>+D70-D71</f>
        <v>12434.035480589497</v>
      </c>
      <c r="E72" s="53">
        <f>+C72/C77</f>
        <v>2.5152805115792845</v>
      </c>
      <c r="F72" s="88">
        <f>+D72/D77</f>
        <v>2.3263565017119632</v>
      </c>
    </row>
    <row r="73" spans="2:6">
      <c r="B73" s="84"/>
      <c r="C73" s="173"/>
      <c r="D73" s="173"/>
      <c r="E73" s="168"/>
      <c r="F73" s="91"/>
    </row>
    <row r="74" spans="2:6">
      <c r="B74" s="84" t="s">
        <v>19</v>
      </c>
      <c r="C74" s="175">
        <f>Model!BH$60</f>
        <v>566773.21</v>
      </c>
      <c r="D74" s="175">
        <f>+C74/$C78</f>
        <v>13193.444168468784</v>
      </c>
      <c r="E74" s="169"/>
      <c r="F74" s="91"/>
    </row>
    <row r="75" spans="2:6">
      <c r="B75" s="90" t="s">
        <v>20</v>
      </c>
      <c r="C75" s="183">
        <f>+C74+C72</f>
        <v>1100923.21</v>
      </c>
      <c r="D75" s="183">
        <f>+D74+D72</f>
        <v>25627.479649058281</v>
      </c>
      <c r="E75" s="53">
        <f>+C75/C77</f>
        <v>5.1841817745170982</v>
      </c>
      <c r="F75" s="88">
        <f>+D75/D77</f>
        <v>4.7947952213219223</v>
      </c>
    </row>
    <row r="76" spans="2:6">
      <c r="B76" s="84"/>
      <c r="C76" s="173"/>
      <c r="D76" s="175"/>
      <c r="E76" s="170"/>
      <c r="F76" s="92"/>
    </row>
    <row r="77" spans="2:6">
      <c r="B77" s="84" t="s">
        <v>21</v>
      </c>
      <c r="C77" s="173">
        <f>Model!BH$44</f>
        <v>212362</v>
      </c>
      <c r="D77" s="173">
        <f>+C77/C79</f>
        <v>5344.8538396584117</v>
      </c>
      <c r="E77" s="48"/>
      <c r="F77" s="85"/>
    </row>
    <row r="78" spans="2:6">
      <c r="B78" s="84" t="s">
        <v>22</v>
      </c>
      <c r="C78" s="184">
        <f>Model!BH$95</f>
        <v>42.9587</v>
      </c>
      <c r="D78" s="57"/>
      <c r="E78" s="57"/>
      <c r="F78" s="93"/>
    </row>
    <row r="79" spans="2:6">
      <c r="B79" s="94" t="s">
        <v>23</v>
      </c>
      <c r="C79" s="185">
        <f>AVERAGE(Model!$BE$96:$BH$96)</f>
        <v>39.732050000000001</v>
      </c>
      <c r="D79" s="96"/>
      <c r="E79" s="96"/>
      <c r="F79" s="97"/>
    </row>
    <row r="80" spans="2:6">
      <c r="B80" s="164" t="s">
        <v>24</v>
      </c>
      <c r="C80" s="165">
        <f>C70-Model!$BH$55</f>
        <v>0</v>
      </c>
      <c r="D80" s="48"/>
      <c r="E80" s="48"/>
    </row>
    <row r="81" spans="2:5">
      <c r="B81" s="48"/>
      <c r="C81" s="156"/>
      <c r="D81" s="48"/>
      <c r="E81" s="48"/>
    </row>
    <row r="82" spans="2:5" ht="13.5" thickBot="1"/>
    <row r="83" spans="2:5">
      <c r="B83" s="192" t="s">
        <v>25</v>
      </c>
      <c r="C83" s="193" t="s">
        <v>2</v>
      </c>
      <c r="D83" s="194" t="s">
        <v>26</v>
      </c>
    </row>
    <row r="84" spans="2:5">
      <c r="B84" s="195" t="s">
        <v>27</v>
      </c>
      <c r="C84" s="191">
        <f>C71</f>
        <v>821118</v>
      </c>
      <c r="D84" s="196">
        <f>C84/$C$78</f>
        <v>19114.125893008866</v>
      </c>
    </row>
    <row r="85" spans="2:5" ht="13.5" thickBot="1">
      <c r="B85" s="200" t="s">
        <v>28</v>
      </c>
      <c r="C85" s="201">
        <f>SUM(C84:C84)</f>
        <v>821118</v>
      </c>
      <c r="D85" s="202">
        <f>SUM(D84:D84)</f>
        <v>19114.125893008866</v>
      </c>
    </row>
    <row r="86" spans="2:5">
      <c r="B86" s="54"/>
      <c r="C86" s="203"/>
      <c r="D86" s="203"/>
    </row>
    <row r="87" spans="2:5" ht="13.5" thickBot="1"/>
    <row r="88" spans="2:5">
      <c r="B88" s="192" t="s">
        <v>40</v>
      </c>
      <c r="C88" s="193" t="s">
        <v>2</v>
      </c>
      <c r="D88" s="194" t="s">
        <v>26</v>
      </c>
    </row>
    <row r="89" spans="2:5">
      <c r="B89" s="195" t="s">
        <v>32</v>
      </c>
      <c r="C89" s="186">
        <f>280512+562286</f>
        <v>842798</v>
      </c>
      <c r="D89" s="196">
        <f>C89/$C$78</f>
        <v>19618.796658185653</v>
      </c>
    </row>
    <row r="90" spans="2:5">
      <c r="B90" s="195" t="s">
        <v>41</v>
      </c>
      <c r="C90" s="186">
        <v>539256</v>
      </c>
      <c r="D90" s="196">
        <f>C90/$C$78</f>
        <v>12552.893825930487</v>
      </c>
    </row>
    <row r="91" spans="2:5">
      <c r="B91" s="197" t="s">
        <v>42</v>
      </c>
      <c r="C91" s="187">
        <v>184210</v>
      </c>
      <c r="D91" s="196">
        <f>C91/$C$78</f>
        <v>4288.0720319748971</v>
      </c>
    </row>
    <row r="92" spans="2:5" ht="13.5" thickBot="1">
      <c r="B92" s="198" t="s">
        <v>28</v>
      </c>
      <c r="C92" s="188">
        <f>SUM(C89:C91)</f>
        <v>1566264</v>
      </c>
      <c r="D92" s="199">
        <f>SUM(D89:D91)</f>
        <v>36459.762516091032</v>
      </c>
    </row>
    <row r="93" spans="2:5" ht="13.5" thickBot="1">
      <c r="B93" s="177" t="s">
        <v>43</v>
      </c>
      <c r="C93" s="189">
        <v>1334501</v>
      </c>
      <c r="D93" s="190">
        <f>C93/$C$78</f>
        <v>31064.743579298254</v>
      </c>
    </row>
    <row r="94" spans="2:5">
      <c r="B94" s="180" t="s">
        <v>24</v>
      </c>
      <c r="C94" s="181">
        <f>C93-C56-C61</f>
        <v>0</v>
      </c>
      <c r="D94" s="123"/>
    </row>
    <row r="95" spans="2:5">
      <c r="B95" s="180"/>
      <c r="C95" s="181"/>
      <c r="D95" s="123"/>
    </row>
    <row r="96" spans="2:5" ht="13.5" thickBot="1">
      <c r="B96" s="180"/>
      <c r="C96" s="181"/>
      <c r="D96" s="123"/>
    </row>
    <row r="97" spans="2:4">
      <c r="B97" s="192" t="s">
        <v>44</v>
      </c>
      <c r="C97" s="193" t="s">
        <v>2</v>
      </c>
      <c r="D97" s="194" t="s">
        <v>26</v>
      </c>
    </row>
    <row r="98" spans="2:4">
      <c r="B98" s="195" t="s">
        <v>32</v>
      </c>
      <c r="C98" s="105">
        <f>2206+4674</f>
        <v>6880</v>
      </c>
      <c r="D98" s="196">
        <f>C98/$C$78</f>
        <v>160.15382215942287</v>
      </c>
    </row>
    <row r="99" spans="2:4">
      <c r="B99" s="195" t="s">
        <v>41</v>
      </c>
      <c r="C99" s="105">
        <v>13189</v>
      </c>
      <c r="D99" s="196">
        <f>C99/$C$78</f>
        <v>307.01580820648667</v>
      </c>
    </row>
    <row r="100" spans="2:4">
      <c r="B100" s="197" t="s">
        <v>42</v>
      </c>
      <c r="C100" s="106">
        <v>5923</v>
      </c>
      <c r="D100" s="196">
        <f>C100/$C$78</f>
        <v>137.87661172242176</v>
      </c>
    </row>
    <row r="101" spans="2:4" ht="13.5" thickBot="1">
      <c r="B101" s="198" t="s">
        <v>28</v>
      </c>
      <c r="C101" s="176">
        <f>SUM(C98:C100)</f>
        <v>25992</v>
      </c>
      <c r="D101" s="204">
        <f>SUM(D98:D100)</f>
        <v>605.04624208833127</v>
      </c>
    </row>
    <row r="102" spans="2:4" ht="13.5" thickBot="1">
      <c r="B102" s="177" t="s">
        <v>43</v>
      </c>
      <c r="C102" s="179">
        <v>20767</v>
      </c>
      <c r="D102" s="178">
        <f>C102/$C$78</f>
        <v>483.41779430010683</v>
      </c>
    </row>
    <row r="103" spans="2:4">
      <c r="B103" s="180" t="s">
        <v>24</v>
      </c>
      <c r="C103" s="181">
        <f>C102-C65</f>
        <v>0</v>
      </c>
      <c r="D103" s="123"/>
    </row>
    <row r="104" spans="2:4">
      <c r="B104" s="54"/>
      <c r="C104" s="123"/>
      <c r="D104" s="123"/>
    </row>
    <row r="105" spans="2:4" ht="13.5" thickBot="1">
      <c r="B105" s="54"/>
      <c r="C105" s="123"/>
      <c r="D105" s="123"/>
    </row>
    <row r="106" spans="2:4">
      <c r="B106" s="192" t="s">
        <v>29</v>
      </c>
      <c r="C106" s="193" t="s">
        <v>30</v>
      </c>
      <c r="D106" s="194" t="s">
        <v>31</v>
      </c>
    </row>
    <row r="107" spans="2:4">
      <c r="B107" s="195" t="s">
        <v>32</v>
      </c>
      <c r="C107" s="69">
        <f>Model!$BH$53</f>
        <v>753729</v>
      </c>
      <c r="D107" s="196">
        <f t="shared" ref="D107:D112" si="1">C107/$C$78</f>
        <v>17545.433171860415</v>
      </c>
    </row>
    <row r="108" spans="2:4">
      <c r="B108" s="195" t="s">
        <v>33</v>
      </c>
      <c r="C108" s="105">
        <v>179857</v>
      </c>
      <c r="D108" s="196">
        <f t="shared" si="1"/>
        <v>4186.7421500185064</v>
      </c>
    </row>
    <row r="109" spans="2:4">
      <c r="B109" s="195" t="s">
        <v>34</v>
      </c>
      <c r="C109" s="105">
        <v>132645</v>
      </c>
      <c r="D109" s="196">
        <f t="shared" si="1"/>
        <v>3087.7331017931174</v>
      </c>
    </row>
    <row r="110" spans="2:4">
      <c r="B110" s="195" t="s">
        <v>35</v>
      </c>
      <c r="C110" s="105">
        <v>42165</v>
      </c>
      <c r="D110" s="196">
        <f t="shared" si="1"/>
        <v>981.52411502210259</v>
      </c>
    </row>
    <row r="111" spans="2:4">
      <c r="B111" s="195" t="s">
        <v>36</v>
      </c>
      <c r="C111" s="105">
        <v>95050</v>
      </c>
      <c r="D111" s="196">
        <f t="shared" si="1"/>
        <v>2212.5902320135388</v>
      </c>
    </row>
    <row r="112" spans="2:4">
      <c r="B112" s="197" t="s">
        <v>37</v>
      </c>
      <c r="C112" s="106">
        <v>151822</v>
      </c>
      <c r="D112" s="196">
        <f t="shared" si="1"/>
        <v>3534.1386028906832</v>
      </c>
    </row>
    <row r="113" spans="1:9" ht="13.5" thickBot="1">
      <c r="B113" s="200" t="s">
        <v>28</v>
      </c>
      <c r="C113" s="205">
        <f>SUM(C107:C112)</f>
        <v>1355268</v>
      </c>
      <c r="D113" s="206">
        <f>SUM(D107:D112)</f>
        <v>31548.161373598363</v>
      </c>
    </row>
    <row r="114" spans="1:9">
      <c r="B114" s="180" t="s">
        <v>24</v>
      </c>
      <c r="C114" s="181">
        <f>C113-C70</f>
        <v>0</v>
      </c>
      <c r="D114" s="123"/>
    </row>
    <row r="115" spans="1:9">
      <c r="B115" s="54"/>
      <c r="C115" s="123"/>
      <c r="D115" s="123"/>
    </row>
    <row r="116" spans="1:9">
      <c r="B116" s="54"/>
      <c r="C116" s="123"/>
      <c r="D116" s="123"/>
    </row>
    <row r="120" spans="1:9" ht="13.5" thickBot="1">
      <c r="A120" s="54" t="s">
        <v>45</v>
      </c>
    </row>
    <row r="121" spans="1:9">
      <c r="B121" s="153" t="s">
        <v>46</v>
      </c>
      <c r="C121" s="154" t="s">
        <v>30</v>
      </c>
      <c r="D121" s="154" t="s">
        <v>31</v>
      </c>
      <c r="E121" s="155" t="s">
        <v>47</v>
      </c>
      <c r="H121" s="160" t="s">
        <v>6</v>
      </c>
      <c r="I121" s="161"/>
    </row>
    <row r="122" spans="1:9">
      <c r="B122" s="84"/>
      <c r="C122" s="48"/>
      <c r="D122" s="48"/>
      <c r="E122" s="85"/>
      <c r="H122" s="126" t="s">
        <v>48</v>
      </c>
      <c r="I122" s="127"/>
    </row>
    <row r="123" spans="1:9" ht="13.5" thickBot="1">
      <c r="B123" s="84" t="s">
        <v>49</v>
      </c>
      <c r="C123" s="86">
        <f>14806+5992</f>
        <v>20798</v>
      </c>
      <c r="D123" s="50">
        <f>+C123/$C135</f>
        <v>500.12985389032639</v>
      </c>
      <c r="E123" s="85"/>
      <c r="H123" s="128" t="s">
        <v>7</v>
      </c>
      <c r="I123" s="131">
        <v>1.4</v>
      </c>
    </row>
    <row r="124" spans="1:9">
      <c r="B124" s="84" t="s">
        <v>9</v>
      </c>
      <c r="C124" s="86">
        <f>475520+212256</f>
        <v>687776</v>
      </c>
      <c r="D124" s="50">
        <f>+C124/$C135</f>
        <v>16538.960976501254</v>
      </c>
      <c r="E124" s="85"/>
    </row>
    <row r="125" spans="1:9">
      <c r="B125" s="84" t="s">
        <v>50</v>
      </c>
      <c r="C125" s="86">
        <f>2634</f>
        <v>2634</v>
      </c>
      <c r="D125" s="50">
        <f>+C125/$C135</f>
        <v>63.339842059194133</v>
      </c>
      <c r="E125" s="85"/>
    </row>
    <row r="126" spans="1:9">
      <c r="B126" s="84" t="s">
        <v>51</v>
      </c>
      <c r="C126" s="86">
        <f>227282+271896</f>
        <v>499178</v>
      </c>
      <c r="D126" s="50">
        <f>+C126/$C135</f>
        <v>12003.741715802737</v>
      </c>
      <c r="E126" s="85"/>
    </row>
    <row r="127" spans="1:9">
      <c r="B127" s="87" t="s">
        <v>16</v>
      </c>
      <c r="C127" s="101">
        <f>SUM(C123:C126)</f>
        <v>1210386</v>
      </c>
      <c r="D127" s="52">
        <f>+C127/$C135</f>
        <v>29106.172388253512</v>
      </c>
      <c r="E127" s="88">
        <f>+C127/C134</f>
        <v>7.0274447418382806</v>
      </c>
    </row>
    <row r="128" spans="1:9">
      <c r="B128" s="84" t="s">
        <v>17</v>
      </c>
      <c r="C128" s="50">
        <f>Model!BG$56</f>
        <v>863544</v>
      </c>
      <c r="D128" s="50">
        <f>+C128/$C135</f>
        <v>20765.657012591018</v>
      </c>
      <c r="E128" s="89"/>
    </row>
    <row r="129" spans="2:5">
      <c r="B129" s="90" t="s">
        <v>18</v>
      </c>
      <c r="C129" s="52">
        <f>+C127-C128</f>
        <v>346842</v>
      </c>
      <c r="D129" s="52">
        <f>+D127-D128</f>
        <v>8340.5153756624932</v>
      </c>
      <c r="E129" s="88">
        <f>+C129/C134</f>
        <v>2.0137484977095514</v>
      </c>
    </row>
    <row r="130" spans="2:5">
      <c r="B130" s="84"/>
      <c r="C130" s="57"/>
      <c r="D130" s="57"/>
      <c r="E130" s="91"/>
    </row>
    <row r="131" spans="2:5">
      <c r="B131" s="84" t="s">
        <v>19</v>
      </c>
      <c r="C131" s="50">
        <f>Model!BG$60</f>
        <v>488634</v>
      </c>
      <c r="D131" s="50">
        <f>+C131/$C135</f>
        <v>11750.189971432144</v>
      </c>
      <c r="E131" s="91"/>
    </row>
    <row r="132" spans="2:5">
      <c r="B132" s="90" t="s">
        <v>20</v>
      </c>
      <c r="C132" s="52">
        <f>+C131+C129</f>
        <v>835476</v>
      </c>
      <c r="D132" s="52">
        <f>+D131+D129</f>
        <v>20090.705347094638</v>
      </c>
      <c r="E132" s="88">
        <f>+C132/C134</f>
        <v>4.8507347434058881</v>
      </c>
    </row>
    <row r="133" spans="2:5">
      <c r="B133" s="84"/>
      <c r="C133" s="57"/>
      <c r="D133" s="50"/>
      <c r="E133" s="92"/>
    </row>
    <row r="134" spans="2:5">
      <c r="B134" s="84" t="s">
        <v>21</v>
      </c>
      <c r="C134" s="57">
        <f>Model!BG$44</f>
        <v>172237</v>
      </c>
      <c r="D134" s="57">
        <f>+C134/C136</f>
        <v>4550.1981202762954</v>
      </c>
      <c r="E134" s="85"/>
    </row>
    <row r="135" spans="2:5">
      <c r="B135" s="84" t="s">
        <v>22</v>
      </c>
      <c r="C135" s="122">
        <f>Model!BG$95</f>
        <v>41.5852</v>
      </c>
      <c r="D135" s="57"/>
      <c r="E135" s="93"/>
    </row>
    <row r="136" spans="2:5">
      <c r="B136" s="94" t="s">
        <v>23</v>
      </c>
      <c r="C136" s="121">
        <f>AVERAGE(Model!$BD$96:$BG$96)</f>
        <v>37.8526375</v>
      </c>
      <c r="D136" s="96"/>
      <c r="E136" s="97"/>
    </row>
    <row r="137" spans="2:5">
      <c r="B137" s="48"/>
      <c r="C137" s="156"/>
      <c r="D137" s="48"/>
      <c r="E137" s="48"/>
    </row>
    <row r="139" spans="2:5">
      <c r="B139" s="153" t="s">
        <v>25</v>
      </c>
      <c r="C139" s="157" t="s">
        <v>30</v>
      </c>
      <c r="D139" s="155" t="s">
        <v>31</v>
      </c>
    </row>
    <row r="140" spans="2:5">
      <c r="B140" s="98" t="s">
        <v>27</v>
      </c>
      <c r="C140" s="69">
        <f>C128</f>
        <v>863544</v>
      </c>
      <c r="D140" s="104">
        <f>C140/$C135</f>
        <v>20765.657012591018</v>
      </c>
    </row>
    <row r="141" spans="2:5">
      <c r="B141" s="100" t="s">
        <v>28</v>
      </c>
      <c r="C141" s="101">
        <f>SUM(C140:C140)</f>
        <v>863544</v>
      </c>
      <c r="D141" s="102">
        <f>SUM(D140:D140)</f>
        <v>20765.657012591018</v>
      </c>
    </row>
    <row r="143" spans="2:5">
      <c r="B143" s="153" t="s">
        <v>29</v>
      </c>
      <c r="C143" s="157" t="s">
        <v>30</v>
      </c>
      <c r="D143" s="155" t="s">
        <v>31</v>
      </c>
    </row>
    <row r="144" spans="2:5">
      <c r="B144" s="98" t="s">
        <v>32</v>
      </c>
      <c r="C144" s="69">
        <f>Model!BG$53</f>
        <v>711428</v>
      </c>
      <c r="D144" s="104">
        <f>C144/$C135</f>
        <v>17107.721016130738</v>
      </c>
    </row>
    <row r="145" spans="1:9">
      <c r="B145" s="98" t="s">
        <v>33</v>
      </c>
      <c r="C145" s="105">
        <v>115946</v>
      </c>
      <c r="D145" s="104">
        <f>C145/$C135</f>
        <v>2788.1554014408971</v>
      </c>
    </row>
    <row r="146" spans="1:9">
      <c r="B146" s="98" t="s">
        <v>34</v>
      </c>
      <c r="C146" s="105">
        <v>60910</v>
      </c>
      <c r="D146" s="104">
        <f>C146/$C135</f>
        <v>1464.7037888479556</v>
      </c>
    </row>
    <row r="147" spans="1:9">
      <c r="B147" s="98" t="s">
        <v>35</v>
      </c>
      <c r="C147" s="105">
        <v>72475</v>
      </c>
      <c r="D147" s="104">
        <f>C147/$C135</f>
        <v>1742.8075372969229</v>
      </c>
    </row>
    <row r="148" spans="1:9">
      <c r="B148" s="98" t="s">
        <v>36</v>
      </c>
      <c r="C148" s="105">
        <v>137623</v>
      </c>
      <c r="D148" s="104">
        <f>C148/$C135</f>
        <v>3309.4225830343489</v>
      </c>
    </row>
    <row r="149" spans="1:9">
      <c r="B149" s="99" t="s">
        <v>37</v>
      </c>
      <c r="C149" s="106">
        <v>112004</v>
      </c>
      <c r="D149" s="104">
        <f>C149/$C135</f>
        <v>2693.3620615026498</v>
      </c>
    </row>
    <row r="150" spans="1:9">
      <c r="B150" s="100" t="s">
        <v>28</v>
      </c>
      <c r="C150" s="101">
        <f>SUM(C144:C149)</f>
        <v>1210386</v>
      </c>
      <c r="D150" s="102">
        <f>SUM(D144:D149)</f>
        <v>29106.172388253512</v>
      </c>
    </row>
    <row r="151" spans="1:9">
      <c r="B151" s="158" t="s">
        <v>24</v>
      </c>
      <c r="C151" s="159">
        <f>C150-C127</f>
        <v>0</v>
      </c>
      <c r="D151" s="123"/>
    </row>
    <row r="152" spans="1:9">
      <c r="B152" s="54"/>
      <c r="C152" s="123"/>
      <c r="D152" s="123"/>
    </row>
    <row r="153" spans="1:9">
      <c r="B153" s="54"/>
      <c r="C153" s="123"/>
      <c r="D153" s="123"/>
    </row>
    <row r="156" spans="1:9">
      <c r="A156" s="54" t="s">
        <v>52</v>
      </c>
    </row>
    <row r="157" spans="1:9">
      <c r="B157" s="82" t="s">
        <v>53</v>
      </c>
      <c r="C157" s="68" t="s">
        <v>30</v>
      </c>
      <c r="D157" s="68" t="s">
        <v>31</v>
      </c>
      <c r="E157" s="83" t="s">
        <v>47</v>
      </c>
    </row>
    <row r="158" spans="1:9" ht="13.5" thickBot="1">
      <c r="B158" s="84"/>
      <c r="C158" s="48"/>
      <c r="D158" s="48"/>
      <c r="E158" s="85"/>
    </row>
    <row r="159" spans="1:9">
      <c r="B159" s="84" t="s">
        <v>49</v>
      </c>
      <c r="C159" s="86">
        <f>14839+6037</f>
        <v>20876</v>
      </c>
      <c r="D159" s="50">
        <f>+C159/$C171</f>
        <v>524.00650615474206</v>
      </c>
      <c r="E159" s="85"/>
      <c r="H159" s="124" t="s">
        <v>6</v>
      </c>
      <c r="I159" s="125"/>
    </row>
    <row r="160" spans="1:9">
      <c r="B160" s="84" t="s">
        <v>9</v>
      </c>
      <c r="C160" s="86">
        <f>396413+196149</f>
        <v>592562</v>
      </c>
      <c r="D160" s="50">
        <f>+C160/$C171</f>
        <v>14873.842848249966</v>
      </c>
      <c r="E160" s="85"/>
      <c r="H160" s="126" t="s">
        <v>48</v>
      </c>
      <c r="I160" s="127"/>
    </row>
    <row r="161" spans="2:9" ht="13.5" thickBot="1">
      <c r="B161" s="84" t="s">
        <v>50</v>
      </c>
      <c r="C161" s="86">
        <v>2012</v>
      </c>
      <c r="D161" s="50">
        <f>+C161/$C171</f>
        <v>50.50302214903914</v>
      </c>
      <c r="E161" s="85"/>
      <c r="H161" s="128" t="s">
        <v>7</v>
      </c>
      <c r="I161" s="131" t="s">
        <v>54</v>
      </c>
    </row>
    <row r="162" spans="2:9">
      <c r="B162" s="84" t="s">
        <v>51</v>
      </c>
      <c r="C162" s="86">
        <f>202572+235588</f>
        <v>438160</v>
      </c>
      <c r="D162" s="50">
        <f>+C162/$C171</f>
        <v>10998.212815518384</v>
      </c>
      <c r="E162" s="85"/>
    </row>
    <row r="163" spans="2:9">
      <c r="B163" s="87" t="s">
        <v>16</v>
      </c>
      <c r="C163" s="101">
        <f>SUM(C159:C162)</f>
        <v>1053610</v>
      </c>
      <c r="D163" s="52">
        <f>+C163/$C171</f>
        <v>26446.565192072132</v>
      </c>
      <c r="E163" s="88">
        <f>+C163/C170</f>
        <v>7.1307908361815171</v>
      </c>
    </row>
    <row r="164" spans="2:9">
      <c r="B164" s="84" t="s">
        <v>17</v>
      </c>
      <c r="C164" s="50">
        <f>Model!BF$56</f>
        <v>743243</v>
      </c>
      <c r="D164" s="50">
        <f>+C164/$C171</f>
        <v>18656.072411092595</v>
      </c>
      <c r="E164" s="89"/>
    </row>
    <row r="165" spans="2:9">
      <c r="B165" s="90" t="s">
        <v>18</v>
      </c>
      <c r="C165" s="52">
        <f>+C163-C164</f>
        <v>310367</v>
      </c>
      <c r="D165" s="52">
        <f>+D163-D164</f>
        <v>7790.4927809795372</v>
      </c>
      <c r="E165" s="88">
        <f>+C165/C170</f>
        <v>2.1005515887787216</v>
      </c>
    </row>
    <row r="166" spans="2:9">
      <c r="B166" s="84"/>
      <c r="C166" s="57"/>
      <c r="D166" s="57"/>
      <c r="E166" s="91"/>
    </row>
    <row r="167" spans="2:9">
      <c r="B167" s="84" t="s">
        <v>19</v>
      </c>
      <c r="C167" s="50">
        <f>Model!BF$60</f>
        <v>390528.3</v>
      </c>
      <c r="D167" s="50">
        <f>+C167/$C171</f>
        <v>9802.6140083134196</v>
      </c>
      <c r="E167" s="91"/>
    </row>
    <row r="168" spans="2:9">
      <c r="B168" s="90" t="s">
        <v>20</v>
      </c>
      <c r="C168" s="52">
        <f>+C167+C165</f>
        <v>700895.3</v>
      </c>
      <c r="D168" s="52">
        <f>+D167+D165</f>
        <v>17593.106789292957</v>
      </c>
      <c r="E168" s="88">
        <f>+C168/C170</f>
        <v>4.7436316875909448</v>
      </c>
    </row>
    <row r="169" spans="2:9">
      <c r="B169" s="84"/>
      <c r="C169" s="57"/>
      <c r="D169" s="50"/>
      <c r="E169" s="92"/>
    </row>
    <row r="170" spans="2:9">
      <c r="B170" s="84" t="s">
        <v>21</v>
      </c>
      <c r="C170" s="57">
        <f>Model!BF$44</f>
        <v>147755</v>
      </c>
      <c r="D170" s="57">
        <f>+C170/C172</f>
        <v>3782.324662226159</v>
      </c>
      <c r="E170" s="85"/>
    </row>
    <row r="171" spans="2:9">
      <c r="B171" s="84" t="s">
        <v>22</v>
      </c>
      <c r="C171" s="122">
        <f>Model!BF$95</f>
        <v>39.839199999999998</v>
      </c>
      <c r="D171" s="57"/>
      <c r="E171" s="93"/>
    </row>
    <row r="172" spans="2:9">
      <c r="B172" s="94" t="s">
        <v>23</v>
      </c>
      <c r="C172" s="121">
        <f>Model!BF$96</f>
        <v>39.064599999999999</v>
      </c>
      <c r="D172" s="96"/>
      <c r="E172" s="97"/>
    </row>
    <row r="174" spans="2:9">
      <c r="B174" s="82" t="s">
        <v>25</v>
      </c>
      <c r="C174" s="68" t="s">
        <v>30</v>
      </c>
      <c r="D174" s="103" t="s">
        <v>31</v>
      </c>
    </row>
    <row r="175" spans="2:9">
      <c r="B175" s="98" t="s">
        <v>27</v>
      </c>
      <c r="C175" s="69">
        <f>C164</f>
        <v>743243</v>
      </c>
      <c r="D175" s="104">
        <f>C175/$C171</f>
        <v>18656.072411092595</v>
      </c>
    </row>
    <row r="176" spans="2:9">
      <c r="B176" s="100" t="s">
        <v>28</v>
      </c>
      <c r="C176" s="101">
        <f>SUM(C175:C175)</f>
        <v>743243</v>
      </c>
      <c r="D176" s="102">
        <f>SUM(D175:D175)</f>
        <v>18656.072411092595</v>
      </c>
    </row>
    <row r="178" spans="1:5">
      <c r="B178" s="82" t="s">
        <v>29</v>
      </c>
      <c r="C178" s="68" t="s">
        <v>30</v>
      </c>
      <c r="D178" s="103" t="s">
        <v>31</v>
      </c>
    </row>
    <row r="179" spans="1:5">
      <c r="B179" s="98" t="s">
        <v>32</v>
      </c>
      <c r="C179" s="69">
        <f>Model!BF$53</f>
        <v>607034</v>
      </c>
      <c r="D179" s="104">
        <f>C179/$C171</f>
        <v>15237.103154681821</v>
      </c>
    </row>
    <row r="180" spans="1:5">
      <c r="B180" s="98" t="s">
        <v>33</v>
      </c>
      <c r="C180" s="105">
        <v>112884</v>
      </c>
      <c r="D180" s="104">
        <f>C180/$C171</f>
        <v>2833.490632342015</v>
      </c>
    </row>
    <row r="181" spans="1:5">
      <c r="B181" s="98" t="s">
        <v>34</v>
      </c>
      <c r="C181" s="105">
        <v>45784</v>
      </c>
      <c r="D181" s="104">
        <f>C181/$C171</f>
        <v>1149.2198638526879</v>
      </c>
    </row>
    <row r="182" spans="1:5">
      <c r="B182" s="98" t="s">
        <v>35</v>
      </c>
      <c r="C182" s="105">
        <v>79675</v>
      </c>
      <c r="D182" s="104">
        <f>C182/$C171</f>
        <v>1999.9146569208217</v>
      </c>
    </row>
    <row r="183" spans="1:5">
      <c r="B183" s="98" t="s">
        <v>36</v>
      </c>
      <c r="C183" s="105">
        <v>95313</v>
      </c>
      <c r="D183" s="104">
        <f>C183/$C171</f>
        <v>2392.4426193297054</v>
      </c>
    </row>
    <row r="184" spans="1:5">
      <c r="B184" s="99" t="s">
        <v>37</v>
      </c>
      <c r="C184" s="106">
        <v>112920</v>
      </c>
      <c r="D184" s="104">
        <f>C184/$C171</f>
        <v>2834.3942649450792</v>
      </c>
    </row>
    <row r="185" spans="1:5">
      <c r="B185" s="100" t="s">
        <v>28</v>
      </c>
      <c r="C185" s="101">
        <f>SUM(C179:C184)</f>
        <v>1053610</v>
      </c>
      <c r="D185" s="102">
        <f>SUM(D179:D184)</f>
        <v>26446.565192072128</v>
      </c>
    </row>
    <row r="186" spans="1:5">
      <c r="B186" s="54"/>
      <c r="C186" s="123"/>
      <c r="D186" s="123"/>
    </row>
    <row r="187" spans="1:5">
      <c r="B187" s="54"/>
      <c r="C187" s="123"/>
      <c r="D187" s="123"/>
    </row>
    <row r="188" spans="1:5">
      <c r="B188" s="54"/>
      <c r="C188" s="123"/>
      <c r="D188" s="123"/>
    </row>
    <row r="189" spans="1:5">
      <c r="B189" s="54"/>
      <c r="C189" s="123"/>
      <c r="D189" s="123"/>
    </row>
    <row r="190" spans="1:5">
      <c r="A190" s="54" t="s">
        <v>55</v>
      </c>
    </row>
    <row r="191" spans="1:5">
      <c r="B191" s="82" t="s">
        <v>56</v>
      </c>
      <c r="C191" s="68" t="s">
        <v>30</v>
      </c>
      <c r="D191" s="68" t="s">
        <v>31</v>
      </c>
      <c r="E191" s="83" t="s">
        <v>47</v>
      </c>
    </row>
    <row r="192" spans="1:5" ht="13.5" thickBot="1">
      <c r="B192" s="84"/>
      <c r="C192" s="48"/>
      <c r="D192" s="48"/>
      <c r="E192" s="85"/>
    </row>
    <row r="193" spans="2:9">
      <c r="B193" s="84" t="s">
        <v>49</v>
      </c>
      <c r="C193" s="86">
        <f>5542+12968</f>
        <v>18510</v>
      </c>
      <c r="D193" s="50">
        <f>+C193/$C205</f>
        <v>483.41603551841212</v>
      </c>
      <c r="E193" s="85"/>
      <c r="H193" s="124" t="s">
        <v>6</v>
      </c>
      <c r="I193" s="125"/>
    </row>
    <row r="194" spans="2:9">
      <c r="B194" s="84" t="s">
        <v>9</v>
      </c>
      <c r="C194" s="86">
        <f>406671+124494</f>
        <v>531165</v>
      </c>
      <c r="D194" s="50">
        <f>+C194/$C205</f>
        <v>13872.159832854531</v>
      </c>
      <c r="E194" s="85"/>
      <c r="H194" s="126" t="s">
        <v>48</v>
      </c>
      <c r="I194" s="127"/>
    </row>
    <row r="195" spans="2:9" ht="13.5" thickBot="1">
      <c r="B195" s="84" t="s">
        <v>50</v>
      </c>
      <c r="C195" s="86">
        <v>1989</v>
      </c>
      <c r="D195" s="50">
        <f>+C195/$C205</f>
        <v>51.945677722642991</v>
      </c>
      <c r="E195" s="85"/>
      <c r="H195" s="128" t="s">
        <v>7</v>
      </c>
      <c r="I195" s="131" t="s">
        <v>57</v>
      </c>
    </row>
    <row r="196" spans="2:9">
      <c r="B196" s="84" t="s">
        <v>51</v>
      </c>
      <c r="C196" s="86">
        <f>261551+131156</f>
        <v>392707</v>
      </c>
      <c r="D196" s="50">
        <f>+C196/$C205</f>
        <v>10256.124314442413</v>
      </c>
      <c r="E196" s="85"/>
    </row>
    <row r="197" spans="2:9">
      <c r="B197" s="87" t="s">
        <v>16</v>
      </c>
      <c r="C197" s="101">
        <f>SUM(C193:C196)</f>
        <v>944371</v>
      </c>
      <c r="D197" s="52">
        <f>+C197/$C205</f>
        <v>24663.645860537999</v>
      </c>
      <c r="E197" s="88">
        <f>+C197/C204</f>
        <v>7.0542831958886101</v>
      </c>
    </row>
    <row r="198" spans="2:9">
      <c r="B198" s="84" t="s">
        <v>17</v>
      </c>
      <c r="C198" s="50">
        <f>Model!BE$56</f>
        <v>712930</v>
      </c>
      <c r="D198" s="50">
        <f>+C198/$C205</f>
        <v>18619.221728910943</v>
      </c>
      <c r="E198" s="89"/>
    </row>
    <row r="199" spans="2:9">
      <c r="B199" s="90" t="s">
        <v>18</v>
      </c>
      <c r="C199" s="52">
        <f>+C197-C198</f>
        <v>231441</v>
      </c>
      <c r="D199" s="52">
        <f>+D197-D198</f>
        <v>6044.4241316270563</v>
      </c>
      <c r="E199" s="88">
        <f>+C199/C204</f>
        <v>1.7288230548583721</v>
      </c>
    </row>
    <row r="200" spans="2:9">
      <c r="B200" s="84"/>
      <c r="C200" s="57"/>
      <c r="D200" s="57"/>
      <c r="E200" s="91"/>
    </row>
    <row r="201" spans="2:9">
      <c r="B201" s="84" t="s">
        <v>19</v>
      </c>
      <c r="C201" s="50">
        <f>Model!BE$60</f>
        <v>414872.92</v>
      </c>
      <c r="D201" s="50">
        <f>+C201/$C205</f>
        <v>10835.020109689214</v>
      </c>
      <c r="E201" s="91"/>
    </row>
    <row r="202" spans="2:9">
      <c r="B202" s="90" t="s">
        <v>20</v>
      </c>
      <c r="C202" s="52">
        <f>+C201+C199</f>
        <v>646313.91999999993</v>
      </c>
      <c r="D202" s="52">
        <f>+D201+D199</f>
        <v>16879.444241316269</v>
      </c>
      <c r="E202" s="88">
        <f>+C202/C204</f>
        <v>4.8278498864587061</v>
      </c>
    </row>
    <row r="203" spans="2:9">
      <c r="B203" s="84"/>
      <c r="C203" s="57"/>
      <c r="D203" s="50"/>
      <c r="E203" s="92"/>
    </row>
    <row r="204" spans="2:9">
      <c r="B204" s="84" t="s">
        <v>21</v>
      </c>
      <c r="C204" s="57">
        <f>Model!BE$44</f>
        <v>133872</v>
      </c>
      <c r="D204" s="57">
        <f>+C204/C206</f>
        <v>3636.590831918506</v>
      </c>
      <c r="E204" s="85"/>
    </row>
    <row r="205" spans="2:9">
      <c r="B205" s="84" t="s">
        <v>22</v>
      </c>
      <c r="C205" s="122">
        <f>Model!BE$95</f>
        <v>38.29</v>
      </c>
      <c r="D205" s="57"/>
      <c r="E205" s="93"/>
    </row>
    <row r="206" spans="2:9">
      <c r="B206" s="94" t="s">
        <v>23</v>
      </c>
      <c r="C206" s="121">
        <f>Model!BE$96</f>
        <v>36.8125</v>
      </c>
      <c r="D206" s="96"/>
      <c r="E206" s="97"/>
    </row>
    <row r="208" spans="2:9">
      <c r="B208" s="82" t="s">
        <v>25</v>
      </c>
      <c r="C208" s="68" t="s">
        <v>30</v>
      </c>
      <c r="D208" s="103" t="s">
        <v>31</v>
      </c>
    </row>
    <row r="209" spans="1:9">
      <c r="B209" s="98" t="s">
        <v>27</v>
      </c>
      <c r="C209" s="69">
        <f>C198</f>
        <v>712930</v>
      </c>
      <c r="D209" s="104">
        <f>C209/$C205</f>
        <v>18619.221728910943</v>
      </c>
    </row>
    <row r="210" spans="1:9">
      <c r="B210" s="100" t="s">
        <v>28</v>
      </c>
      <c r="C210" s="101">
        <f>SUM(C209:C209)</f>
        <v>712930</v>
      </c>
      <c r="D210" s="102">
        <f>SUM(D209:D209)</f>
        <v>18619.221728910943</v>
      </c>
    </row>
    <row r="212" spans="1:9">
      <c r="B212" s="82" t="s">
        <v>29</v>
      </c>
      <c r="C212" s="68" t="s">
        <v>30</v>
      </c>
      <c r="D212" s="103" t="s">
        <v>31</v>
      </c>
    </row>
    <row r="213" spans="1:9">
      <c r="B213" s="98" t="s">
        <v>32</v>
      </c>
      <c r="C213" s="69">
        <f>Model!BE$53</f>
        <v>545358</v>
      </c>
      <c r="D213" s="104">
        <f>C213/$C205</f>
        <v>14242.831026377644</v>
      </c>
    </row>
    <row r="214" spans="1:9">
      <c r="B214" s="98" t="s">
        <v>33</v>
      </c>
      <c r="C214" s="105">
        <v>86986</v>
      </c>
      <c r="D214" s="104">
        <f>C214/$C205</f>
        <v>2271.7680856620527</v>
      </c>
    </row>
    <row r="215" spans="1:9">
      <c r="B215" s="98" t="s">
        <v>34</v>
      </c>
      <c r="C215" s="105">
        <v>46542</v>
      </c>
      <c r="D215" s="104">
        <f>C215/$C205</f>
        <v>1215.5131888221467</v>
      </c>
    </row>
    <row r="216" spans="1:9">
      <c r="B216" s="98" t="s">
        <v>35</v>
      </c>
      <c r="C216" s="105">
        <v>91864</v>
      </c>
      <c r="D216" s="104">
        <f>C216/$C205</f>
        <v>2399.1642726560458</v>
      </c>
    </row>
    <row r="217" spans="1:9">
      <c r="B217" s="98" t="s">
        <v>36</v>
      </c>
      <c r="C217" s="105">
        <v>80314</v>
      </c>
      <c r="D217" s="104">
        <f>C217/$C205</f>
        <v>2097.5189344476366</v>
      </c>
    </row>
    <row r="218" spans="1:9">
      <c r="B218" s="99" t="s">
        <v>37</v>
      </c>
      <c r="C218" s="106">
        <v>93307</v>
      </c>
      <c r="D218" s="104">
        <f>C218/$C205</f>
        <v>2436.8503525724732</v>
      </c>
    </row>
    <row r="219" spans="1:9">
      <c r="B219" s="100" t="s">
        <v>28</v>
      </c>
      <c r="C219" s="101">
        <f>SUM(C213:C218)</f>
        <v>944371</v>
      </c>
      <c r="D219" s="102">
        <f>SUM(D213:D218)</f>
        <v>24663.645860538003</v>
      </c>
    </row>
    <row r="220" spans="1:9">
      <c r="A220" s="54" t="s">
        <v>58</v>
      </c>
    </row>
    <row r="221" spans="1:9">
      <c r="B221" s="82" t="s">
        <v>59</v>
      </c>
      <c r="C221" s="68" t="s">
        <v>30</v>
      </c>
      <c r="D221" s="68" t="s">
        <v>31</v>
      </c>
      <c r="E221" s="83" t="s">
        <v>47</v>
      </c>
    </row>
    <row r="222" spans="1:9" ht="13.5" thickBot="1">
      <c r="B222" s="84"/>
      <c r="C222" s="48"/>
      <c r="D222" s="48"/>
      <c r="E222" s="85"/>
    </row>
    <row r="223" spans="1:9">
      <c r="B223" s="84" t="s">
        <v>49</v>
      </c>
      <c r="C223" s="86">
        <f>4318+12162</f>
        <v>16480</v>
      </c>
      <c r="D223" s="50">
        <f>+C223/$C235</f>
        <v>482.42853588208607</v>
      </c>
      <c r="E223" s="85"/>
      <c r="H223" s="124" t="s">
        <v>6</v>
      </c>
      <c r="I223" s="125"/>
    </row>
    <row r="224" spans="1:9">
      <c r="B224" s="84" t="s">
        <v>9</v>
      </c>
      <c r="C224" s="86">
        <f>307325+110526</f>
        <v>417851</v>
      </c>
      <c r="D224" s="50">
        <f>+C224/$C235</f>
        <v>12231.993091436016</v>
      </c>
      <c r="E224" s="85"/>
      <c r="H224" s="126" t="s">
        <v>48</v>
      </c>
      <c r="I224" s="127"/>
    </row>
    <row r="225" spans="2:9" ht="13.5" thickBot="1">
      <c r="B225" s="84" t="s">
        <v>50</v>
      </c>
      <c r="C225" s="86">
        <f>2603</f>
        <v>2603</v>
      </c>
      <c r="D225" s="50">
        <f>+C225/$C235</f>
        <v>76.199118865356184</v>
      </c>
      <c r="E225" s="85"/>
      <c r="H225" s="128" t="s">
        <v>7</v>
      </c>
      <c r="I225" s="131" t="s">
        <v>60</v>
      </c>
    </row>
    <row r="226" spans="2:9">
      <c r="B226" s="84" t="s">
        <v>51</v>
      </c>
      <c r="C226" s="86">
        <f>155139+227899</f>
        <v>383038</v>
      </c>
      <c r="D226" s="50">
        <f>+C226/$C235</f>
        <v>11212.892082961316</v>
      </c>
      <c r="E226" s="85"/>
    </row>
    <row r="227" spans="2:9">
      <c r="B227" s="87" t="s">
        <v>16</v>
      </c>
      <c r="C227" s="101">
        <f>SUM(C223:C226)</f>
        <v>819972</v>
      </c>
      <c r="D227" s="52">
        <f>+C227/$C235</f>
        <v>24003.512829144773</v>
      </c>
      <c r="E227" s="88">
        <f>+C227/C234</f>
        <v>3.9255837111437724</v>
      </c>
    </row>
    <row r="228" spans="2:9">
      <c r="B228" s="84" t="s">
        <v>17</v>
      </c>
      <c r="C228" s="50">
        <f>Model!BC$56</f>
        <v>686308</v>
      </c>
      <c r="D228" s="50">
        <f>+C228/$C235</f>
        <v>20090.689539087543</v>
      </c>
      <c r="E228" s="89"/>
    </row>
    <row r="229" spans="2:9">
      <c r="B229" s="90" t="s">
        <v>18</v>
      </c>
      <c r="C229" s="52">
        <f>+C227-C228</f>
        <v>133664</v>
      </c>
      <c r="D229" s="52">
        <f>+D227-D228</f>
        <v>3912.8232900572293</v>
      </c>
      <c r="E229" s="88">
        <f>+C229/C234</f>
        <v>0.63991114472972388</v>
      </c>
    </row>
    <row r="230" spans="2:9">
      <c r="B230" s="84"/>
      <c r="C230" s="57"/>
      <c r="D230" s="57"/>
      <c r="E230" s="91"/>
    </row>
    <row r="231" spans="2:9">
      <c r="B231" s="84" t="s">
        <v>19</v>
      </c>
      <c r="C231" s="50">
        <f>Model!BC$60</f>
        <v>417662.4</v>
      </c>
      <c r="D231" s="50">
        <f>+C231/$C235</f>
        <v>12226.472094963483</v>
      </c>
      <c r="E231" s="91"/>
    </row>
    <row r="232" spans="2:9">
      <c r="B232" s="90" t="s">
        <v>20</v>
      </c>
      <c r="C232" s="52">
        <f>+C231+C229</f>
        <v>551326.4</v>
      </c>
      <c r="D232" s="52">
        <f>+D231+D229</f>
        <v>16139.295385020712</v>
      </c>
      <c r="E232" s="88">
        <f>+C232/C234</f>
        <v>2.6394534634884312</v>
      </c>
    </row>
    <row r="233" spans="2:9">
      <c r="B233" s="84"/>
      <c r="C233" s="57"/>
      <c r="D233" s="50"/>
      <c r="E233" s="92"/>
    </row>
    <row r="234" spans="2:9">
      <c r="B234" s="84" t="s">
        <v>21</v>
      </c>
      <c r="C234" s="57">
        <f>Model!BC$44</f>
        <v>208879</v>
      </c>
      <c r="D234" s="57">
        <f>+C234/C236</f>
        <v>6490.7705418660271</v>
      </c>
      <c r="E234" s="85"/>
    </row>
    <row r="235" spans="2:9">
      <c r="B235" s="84" t="s">
        <v>22</v>
      </c>
      <c r="C235" s="122">
        <f>Model!BC$95</f>
        <v>34.160499999999999</v>
      </c>
      <c r="D235" s="57"/>
      <c r="E235" s="93"/>
    </row>
    <row r="236" spans="2:9">
      <c r="B236" s="94" t="s">
        <v>23</v>
      </c>
      <c r="C236" s="121">
        <f>Model!BC$96</f>
        <v>32.180925000000002</v>
      </c>
      <c r="D236" s="96"/>
      <c r="E236" s="97"/>
    </row>
    <row r="238" spans="2:9">
      <c r="B238" s="82" t="s">
        <v>25</v>
      </c>
      <c r="C238" s="68" t="s">
        <v>30</v>
      </c>
      <c r="D238" s="103" t="s">
        <v>31</v>
      </c>
    </row>
    <row r="239" spans="2:9">
      <c r="B239" s="98" t="s">
        <v>27</v>
      </c>
      <c r="C239" s="69">
        <f>C228</f>
        <v>686308</v>
      </c>
      <c r="D239" s="104">
        <f>C239/$C235</f>
        <v>20090.689539087543</v>
      </c>
    </row>
    <row r="240" spans="2:9">
      <c r="B240" s="100" t="s">
        <v>28</v>
      </c>
      <c r="C240" s="101">
        <f>SUM(C239:C239)</f>
        <v>686308</v>
      </c>
      <c r="D240" s="102">
        <f>SUM(D239:D239)</f>
        <v>20090.689539087543</v>
      </c>
    </row>
    <row r="242" spans="1:9">
      <c r="B242" s="82" t="s">
        <v>29</v>
      </c>
      <c r="C242" s="68" t="s">
        <v>30</v>
      </c>
      <c r="D242" s="103" t="s">
        <v>31</v>
      </c>
    </row>
    <row r="243" spans="1:9">
      <c r="B243" s="98" t="s">
        <v>32</v>
      </c>
      <c r="C243" s="69">
        <f>Model!BC$53</f>
        <v>469385</v>
      </c>
      <c r="D243" s="104">
        <f>C243/$C235</f>
        <v>13740.577567658553</v>
      </c>
    </row>
    <row r="244" spans="1:9">
      <c r="B244" s="98" t="s">
        <v>33</v>
      </c>
      <c r="C244" s="105">
        <v>81370</v>
      </c>
      <c r="D244" s="104">
        <f>C244/$C235</f>
        <v>2381.9908959177997</v>
      </c>
    </row>
    <row r="245" spans="1:9">
      <c r="B245" s="98" t="s">
        <v>34</v>
      </c>
      <c r="C245" s="105">
        <v>36537</v>
      </c>
      <c r="D245" s="104">
        <f>C245/$C235</f>
        <v>1069.5686538545981</v>
      </c>
    </row>
    <row r="246" spans="1:9">
      <c r="B246" s="98" t="s">
        <v>35</v>
      </c>
      <c r="C246" s="105">
        <v>51711</v>
      </c>
      <c r="D246" s="104">
        <f>C246/$C235</f>
        <v>1513.7658992110771</v>
      </c>
    </row>
    <row r="247" spans="1:9">
      <c r="B247" s="98" t="s">
        <v>36</v>
      </c>
      <c r="C247" s="105">
        <v>77691</v>
      </c>
      <c r="D247" s="104">
        <f>C247/$C235</f>
        <v>2274.2934090543172</v>
      </c>
    </row>
    <row r="248" spans="1:9">
      <c r="B248" s="99" t="s">
        <v>37</v>
      </c>
      <c r="C248" s="106">
        <v>103278</v>
      </c>
      <c r="D248" s="104">
        <f>C248/$C235</f>
        <v>3023.3164034484275</v>
      </c>
    </row>
    <row r="249" spans="1:9">
      <c r="B249" s="100" t="s">
        <v>28</v>
      </c>
      <c r="C249" s="101">
        <f>SUM(C243:C248)</f>
        <v>819972</v>
      </c>
      <c r="D249" s="102">
        <f>SUM(D243:D248)</f>
        <v>24003.512829144773</v>
      </c>
    </row>
    <row r="250" spans="1:9">
      <c r="A250" s="54" t="s">
        <v>61</v>
      </c>
    </row>
    <row r="251" spans="1:9">
      <c r="B251" s="82" t="s">
        <v>62</v>
      </c>
      <c r="C251" s="68" t="s">
        <v>30</v>
      </c>
      <c r="D251" s="68" t="s">
        <v>31</v>
      </c>
      <c r="E251" s="83" t="s">
        <v>47</v>
      </c>
    </row>
    <row r="252" spans="1:9" ht="13.5" thickBot="1">
      <c r="B252" s="84"/>
      <c r="C252" s="48"/>
      <c r="D252" s="48"/>
      <c r="E252" s="85"/>
    </row>
    <row r="253" spans="1:9">
      <c r="B253" s="84" t="s">
        <v>49</v>
      </c>
      <c r="C253" s="86">
        <f>4071+11777</f>
        <v>15848</v>
      </c>
      <c r="D253" s="50">
        <f>+C253/$C265</f>
        <v>485.41280610135232</v>
      </c>
      <c r="E253" s="85"/>
      <c r="H253" s="124" t="s">
        <v>6</v>
      </c>
      <c r="I253" s="125"/>
    </row>
    <row r="254" spans="1:9">
      <c r="B254" s="84" t="s">
        <v>9</v>
      </c>
      <c r="C254" s="86">
        <f>295924+93155</f>
        <v>389079</v>
      </c>
      <c r="D254" s="50">
        <f>+C254/$C265</f>
        <v>11917.209060140589</v>
      </c>
      <c r="E254" s="85"/>
      <c r="H254" s="126" t="s">
        <v>48</v>
      </c>
      <c r="I254" s="127"/>
    </row>
    <row r="255" spans="1:9" ht="13.5" thickBot="1">
      <c r="B255" s="84" t="s">
        <v>50</v>
      </c>
      <c r="C255" s="86">
        <v>4501</v>
      </c>
      <c r="D255" s="50">
        <f>+C255/$C265</f>
        <v>137.86238265157664</v>
      </c>
      <c r="E255" s="85"/>
      <c r="H255" s="128" t="s">
        <v>7</v>
      </c>
      <c r="I255" s="131" t="s">
        <v>63</v>
      </c>
    </row>
    <row r="256" spans="1:9">
      <c r="B256" s="84" t="s">
        <v>51</v>
      </c>
      <c r="C256" s="86">
        <f>149557+198018</f>
        <v>347575</v>
      </c>
      <c r="D256" s="50">
        <f>+C256/$C265</f>
        <v>10645.971484141692</v>
      </c>
      <c r="E256" s="85"/>
    </row>
    <row r="257" spans="2:5">
      <c r="B257" s="87" t="s">
        <v>16</v>
      </c>
      <c r="C257" s="101">
        <f>SUM(C253:C256)</f>
        <v>757003</v>
      </c>
      <c r="D257" s="52">
        <f>+C257/$C265</f>
        <v>23186.455733035211</v>
      </c>
      <c r="E257" s="88">
        <f>+C257/C264</f>
        <v>2.6154507920603933</v>
      </c>
    </row>
    <row r="258" spans="2:5">
      <c r="B258" s="84" t="s">
        <v>17</v>
      </c>
      <c r="C258" s="50">
        <f>Model!BB$56</f>
        <v>580463</v>
      </c>
      <c r="D258" s="50">
        <f>+C258/$C265</f>
        <v>17779.16290181785</v>
      </c>
      <c r="E258" s="89"/>
    </row>
    <row r="259" spans="2:5">
      <c r="B259" s="90" t="s">
        <v>18</v>
      </c>
      <c r="C259" s="52">
        <f>+C257-C258</f>
        <v>176540</v>
      </c>
      <c r="D259" s="52">
        <f>+D257-D258</f>
        <v>5407.2928312173608</v>
      </c>
      <c r="E259" s="88">
        <f>+C259/C264</f>
        <v>0.60994696563995365</v>
      </c>
    </row>
    <row r="260" spans="2:5">
      <c r="B260" s="84"/>
      <c r="C260" s="57"/>
      <c r="D260" s="57"/>
      <c r="E260" s="91"/>
    </row>
    <row r="261" spans="2:5">
      <c r="B261" s="84" t="s">
        <v>19</v>
      </c>
      <c r="C261" s="50">
        <f>Model!BB$60</f>
        <v>477260</v>
      </c>
      <c r="D261" s="50">
        <f>+C261/$C265</f>
        <v>14618.129469960335</v>
      </c>
      <c r="E261" s="91"/>
    </row>
    <row r="262" spans="2:5">
      <c r="B262" s="90" t="s">
        <v>20</v>
      </c>
      <c r="C262" s="52">
        <f>+C261+C259</f>
        <v>653800</v>
      </c>
      <c r="D262" s="52">
        <f>+D261+D259</f>
        <v>20025.422301177696</v>
      </c>
      <c r="E262" s="88">
        <f>+C262/C264</f>
        <v>2.2588836871836508</v>
      </c>
    </row>
    <row r="263" spans="2:5">
      <c r="B263" s="84"/>
      <c r="C263" s="57"/>
      <c r="D263" s="50"/>
      <c r="E263" s="92"/>
    </row>
    <row r="264" spans="2:5">
      <c r="B264" s="84" t="s">
        <v>21</v>
      </c>
      <c r="C264" s="57">
        <f>Model!BB$44</f>
        <v>289435</v>
      </c>
      <c r="D264" s="57">
        <f>+C264/C266</f>
        <v>8947.3733020903546</v>
      </c>
      <c r="E264" s="85"/>
    </row>
    <row r="265" spans="2:5">
      <c r="B265" s="84" t="s">
        <v>22</v>
      </c>
      <c r="C265" s="122">
        <f>Model!BB$95</f>
        <v>32.648499999999999</v>
      </c>
      <c r="D265" s="57"/>
      <c r="E265" s="93"/>
    </row>
    <row r="266" spans="2:5">
      <c r="B266" s="94" t="s">
        <v>23</v>
      </c>
      <c r="C266" s="121">
        <f>Model!BB$96</f>
        <v>32.348599999999998</v>
      </c>
      <c r="D266" s="96"/>
      <c r="E266" s="97"/>
    </row>
    <row r="268" spans="2:5">
      <c r="B268" s="82" t="s">
        <v>25</v>
      </c>
      <c r="C268" s="68" t="s">
        <v>30</v>
      </c>
      <c r="D268" s="103" t="s">
        <v>31</v>
      </c>
    </row>
    <row r="269" spans="2:5">
      <c r="B269" s="98" t="s">
        <v>27</v>
      </c>
      <c r="C269" s="69">
        <f>C258</f>
        <v>580463</v>
      </c>
      <c r="D269" s="104">
        <f>C269/$C265</f>
        <v>17779.16290181785</v>
      </c>
    </row>
    <row r="270" spans="2:5">
      <c r="B270" s="100" t="s">
        <v>28</v>
      </c>
      <c r="C270" s="101">
        <f>SUM(C269:C269)</f>
        <v>580463</v>
      </c>
      <c r="D270" s="102">
        <f>SUM(D269:D269)</f>
        <v>17779.16290181785</v>
      </c>
    </row>
    <row r="272" spans="2:5">
      <c r="B272" s="82" t="s">
        <v>29</v>
      </c>
      <c r="C272" s="68" t="s">
        <v>30</v>
      </c>
      <c r="D272" s="103" t="s">
        <v>31</v>
      </c>
    </row>
    <row r="273" spans="1:9">
      <c r="B273" s="98" t="s">
        <v>32</v>
      </c>
      <c r="C273" s="69">
        <f>Model!BB$53</f>
        <v>454053</v>
      </c>
      <c r="D273" s="104">
        <f>C273/$C265</f>
        <v>13907.315803176256</v>
      </c>
    </row>
    <row r="274" spans="1:9">
      <c r="B274" s="98" t="s">
        <v>33</v>
      </c>
      <c r="C274" s="105">
        <v>72609</v>
      </c>
      <c r="D274" s="104">
        <f>C274/$C265</f>
        <v>2223.9612845919414</v>
      </c>
    </row>
    <row r="275" spans="1:9">
      <c r="B275" s="98" t="s">
        <v>34</v>
      </c>
      <c r="C275" s="105">
        <v>17370</v>
      </c>
      <c r="D275" s="104">
        <f>C275/$C265</f>
        <v>532.03056801997036</v>
      </c>
    </row>
    <row r="276" spans="1:9">
      <c r="B276" s="98" t="s">
        <v>35</v>
      </c>
      <c r="C276" s="105">
        <v>27990</v>
      </c>
      <c r="D276" s="104">
        <f>C276/$C265</f>
        <v>857.3135059803667</v>
      </c>
    </row>
    <row r="277" spans="1:9">
      <c r="B277" s="98" t="s">
        <v>36</v>
      </c>
      <c r="C277" s="105">
        <v>96450</v>
      </c>
      <c r="D277" s="104">
        <f>C277/$C265</f>
        <v>2954.1939139623569</v>
      </c>
    </row>
    <row r="278" spans="1:9">
      <c r="B278" s="99" t="s">
        <v>37</v>
      </c>
      <c r="C278" s="69">
        <v>88531</v>
      </c>
      <c r="D278" s="104">
        <f>C278/$C265</f>
        <v>2711.6406573043173</v>
      </c>
    </row>
    <row r="279" spans="1:9">
      <c r="B279" s="100" t="s">
        <v>28</v>
      </c>
      <c r="C279" s="101">
        <f>SUM(C273:C278)</f>
        <v>757003</v>
      </c>
      <c r="D279" s="102">
        <f>SUM(D273:D278)</f>
        <v>23186.455733035211</v>
      </c>
    </row>
    <row r="281" spans="1:9">
      <c r="A281" s="54" t="s">
        <v>64</v>
      </c>
    </row>
    <row r="282" spans="1:9">
      <c r="B282" s="82" t="s">
        <v>65</v>
      </c>
      <c r="C282" s="68" t="s">
        <v>30</v>
      </c>
      <c r="D282" s="68" t="s">
        <v>31</v>
      </c>
      <c r="E282" s="83" t="s">
        <v>47</v>
      </c>
    </row>
    <row r="283" spans="1:9" ht="13.5" thickBot="1">
      <c r="B283" s="84"/>
      <c r="C283" s="48"/>
      <c r="D283" s="48"/>
      <c r="E283" s="85"/>
    </row>
    <row r="284" spans="1:9">
      <c r="B284" s="84" t="s">
        <v>49</v>
      </c>
      <c r="C284" s="86">
        <f>2791+7645</f>
        <v>10436</v>
      </c>
      <c r="D284" s="50">
        <f>+C284/$C296</f>
        <v>321.72242962707202</v>
      </c>
      <c r="E284" s="85"/>
      <c r="H284" s="124" t="s">
        <v>6</v>
      </c>
      <c r="I284" s="125"/>
    </row>
    <row r="285" spans="1:9">
      <c r="B285" s="84" t="s">
        <v>9</v>
      </c>
      <c r="C285" s="86">
        <f>250612+92482</f>
        <v>343094</v>
      </c>
      <c r="D285" s="50">
        <f>+C285/$C296</f>
        <v>10576.948569420339</v>
      </c>
      <c r="E285" s="85"/>
      <c r="H285" s="126" t="s">
        <v>48</v>
      </c>
      <c r="I285" s="127"/>
    </row>
    <row r="286" spans="1:9" ht="13.5" thickBot="1">
      <c r="B286" s="84" t="s">
        <v>50</v>
      </c>
      <c r="C286" s="86">
        <v>4372</v>
      </c>
      <c r="D286" s="50">
        <f>+C286/$C296</f>
        <v>134.7806115685664</v>
      </c>
      <c r="E286" s="85"/>
      <c r="H286" s="128" t="s">
        <v>7</v>
      </c>
      <c r="I286" s="131"/>
    </row>
    <row r="287" spans="1:9">
      <c r="B287" s="84" t="s">
        <v>51</v>
      </c>
      <c r="C287" s="86">
        <f>162550+175136</f>
        <v>337686</v>
      </c>
      <c r="D287" s="50">
        <f>+C287/$C296</f>
        <v>10410.230008724362</v>
      </c>
      <c r="E287" s="85"/>
    </row>
    <row r="288" spans="1:9">
      <c r="B288" s="87" t="s">
        <v>16</v>
      </c>
      <c r="C288" s="52">
        <f>SUM(C284:C287)</f>
        <v>695588</v>
      </c>
      <c r="D288" s="52">
        <f>+C288/$C296</f>
        <v>21443.681619340339</v>
      </c>
      <c r="E288" s="88">
        <f>+C288/C295</f>
        <v>2.0529236072579597</v>
      </c>
    </row>
    <row r="289" spans="2:5">
      <c r="B289" s="84" t="s">
        <v>17</v>
      </c>
      <c r="C289" s="50">
        <f>Model!BA$56</f>
        <v>542020</v>
      </c>
      <c r="D289" s="50">
        <f>+C289/$C296</f>
        <v>16709.46639579011</v>
      </c>
      <c r="E289" s="89"/>
    </row>
    <row r="290" spans="2:5">
      <c r="B290" s="90" t="s">
        <v>18</v>
      </c>
      <c r="C290" s="52">
        <f>+C288-C289</f>
        <v>153568</v>
      </c>
      <c r="D290" s="52">
        <f>+D288-D289</f>
        <v>4734.215223550229</v>
      </c>
      <c r="E290" s="88">
        <f>+C290/C295</f>
        <v>0.4532329087324542</v>
      </c>
    </row>
    <row r="291" spans="2:5">
      <c r="B291" s="84"/>
      <c r="C291" s="57"/>
      <c r="D291" s="57"/>
      <c r="E291" s="91"/>
    </row>
    <row r="292" spans="2:5">
      <c r="B292" s="84" t="s">
        <v>19</v>
      </c>
      <c r="C292" s="50">
        <f>Model!BA$60</f>
        <v>504972</v>
      </c>
      <c r="D292" s="50">
        <f>+C292/$C296</f>
        <v>15567.34560498676</v>
      </c>
      <c r="E292" s="91"/>
    </row>
    <row r="293" spans="2:5">
      <c r="B293" s="90" t="s">
        <v>20</v>
      </c>
      <c r="C293" s="52">
        <f>+C292+C290</f>
        <v>658540</v>
      </c>
      <c r="D293" s="52">
        <f>+D292+D290</f>
        <v>20301.560828536989</v>
      </c>
      <c r="E293" s="88">
        <f>+C293/C295</f>
        <v>1.9435819944042405</v>
      </c>
    </row>
    <row r="294" spans="2:5">
      <c r="B294" s="84"/>
      <c r="C294" s="57"/>
      <c r="D294" s="50"/>
      <c r="E294" s="92"/>
    </row>
    <row r="295" spans="2:5">
      <c r="B295" s="84" t="s">
        <v>21</v>
      </c>
      <c r="C295" s="57">
        <f>Model!BA$44</f>
        <v>338828</v>
      </c>
      <c r="D295" s="57">
        <f>+C295/C297</f>
        <v>12638.26152474664</v>
      </c>
      <c r="E295" s="85"/>
    </row>
    <row r="296" spans="2:5">
      <c r="B296" s="84" t="s">
        <v>22</v>
      </c>
      <c r="C296" s="122">
        <f>Model!BA$95</f>
        <v>32.437899999999999</v>
      </c>
      <c r="D296" s="57"/>
      <c r="E296" s="93"/>
    </row>
    <row r="297" spans="2:5">
      <c r="B297" s="94" t="s">
        <v>23</v>
      </c>
      <c r="C297" s="121">
        <f>Model!BA$96</f>
        <v>26.809699999999999</v>
      </c>
      <c r="D297" s="96"/>
      <c r="E297" s="97"/>
    </row>
    <row r="299" spans="2:5">
      <c r="B299" s="82" t="s">
        <v>25</v>
      </c>
      <c r="C299" s="68" t="s">
        <v>30</v>
      </c>
      <c r="D299" s="103" t="s">
        <v>31</v>
      </c>
    </row>
    <row r="300" spans="2:5">
      <c r="B300" s="98" t="s">
        <v>27</v>
      </c>
      <c r="C300" s="69">
        <f>C289</f>
        <v>542020</v>
      </c>
      <c r="D300" s="104">
        <f>C300/$C296</f>
        <v>16709.46639579011</v>
      </c>
    </row>
    <row r="301" spans="2:5">
      <c r="B301" s="100" t="s">
        <v>28</v>
      </c>
      <c r="C301" s="101">
        <f>SUM(C300:C300)</f>
        <v>542020</v>
      </c>
      <c r="D301" s="102">
        <f>SUM(D300:D300)</f>
        <v>16709.46639579011</v>
      </c>
    </row>
    <row r="303" spans="2:5">
      <c r="B303" s="82" t="s">
        <v>29</v>
      </c>
      <c r="C303" s="68" t="s">
        <v>30</v>
      </c>
      <c r="D303" s="103" t="s">
        <v>31</v>
      </c>
    </row>
    <row r="304" spans="2:5">
      <c r="B304" s="98" t="s">
        <v>32</v>
      </c>
      <c r="C304" s="69">
        <f>Model!BA$53</f>
        <v>420325</v>
      </c>
      <c r="D304" s="104">
        <f>C304/$C296</f>
        <v>12957.836358087299</v>
      </c>
    </row>
    <row r="305" spans="1:9">
      <c r="B305" s="98" t="s">
        <v>33</v>
      </c>
      <c r="C305" s="105">
        <v>56970</v>
      </c>
      <c r="D305" s="104">
        <f>C305/$C296</f>
        <v>1756.2789206452946</v>
      </c>
    </row>
    <row r="306" spans="1:9">
      <c r="B306" s="98" t="s">
        <v>34</v>
      </c>
      <c r="C306" s="105">
        <v>32122</v>
      </c>
      <c r="D306" s="104">
        <f>C306/$C296</f>
        <v>990.26139176703794</v>
      </c>
    </row>
    <row r="307" spans="1:9">
      <c r="B307" s="98" t="s">
        <v>35</v>
      </c>
      <c r="C307" s="105">
        <v>19182</v>
      </c>
      <c r="D307" s="104">
        <f>C307/$C296</f>
        <v>591.34530903665154</v>
      </c>
    </row>
    <row r="308" spans="1:9">
      <c r="B308" s="98" t="s">
        <v>36</v>
      </c>
      <c r="C308" s="105">
        <v>79977</v>
      </c>
      <c r="D308" s="104">
        <f>C308/$C296</f>
        <v>2465.5418507363302</v>
      </c>
    </row>
    <row r="309" spans="1:9">
      <c r="B309" s="99" t="s">
        <v>37</v>
      </c>
      <c r="C309" s="106">
        <v>87012</v>
      </c>
      <c r="D309" s="104">
        <f>C309/$C296</f>
        <v>2682.4177890677265</v>
      </c>
    </row>
    <row r="310" spans="1:9">
      <c r="B310" s="100" t="s">
        <v>28</v>
      </c>
      <c r="C310" s="101">
        <f>SUM(C304:C309)</f>
        <v>695588</v>
      </c>
      <c r="D310" s="102">
        <f>SUM(D304:D309)</f>
        <v>21443.681619340339</v>
      </c>
    </row>
    <row r="311" spans="1:9">
      <c r="A311" s="54" t="s">
        <v>66</v>
      </c>
    </row>
    <row r="312" spans="1:9">
      <c r="B312" s="82" t="s">
        <v>67</v>
      </c>
      <c r="C312" s="68" t="s">
        <v>30</v>
      </c>
      <c r="D312" s="68" t="s">
        <v>31</v>
      </c>
      <c r="E312" s="83" t="s">
        <v>47</v>
      </c>
    </row>
    <row r="313" spans="1:9" ht="13.5" thickBot="1">
      <c r="B313" s="84"/>
      <c r="C313" s="48"/>
      <c r="D313" s="48"/>
      <c r="E313" s="85"/>
    </row>
    <row r="314" spans="1:9">
      <c r="B314" s="84" t="s">
        <v>49</v>
      </c>
      <c r="C314" s="86">
        <f>1928+6467</f>
        <v>8395</v>
      </c>
      <c r="D314" s="50">
        <f>+C314/$C326</f>
        <v>284.80024968789013</v>
      </c>
      <c r="E314" s="85"/>
      <c r="H314" s="124" t="s">
        <v>6</v>
      </c>
      <c r="I314" s="125"/>
    </row>
    <row r="315" spans="1:9">
      <c r="B315" s="84" t="s">
        <v>9</v>
      </c>
      <c r="C315" s="86">
        <f>233655+79651</f>
        <v>313306</v>
      </c>
      <c r="D315" s="50">
        <f>+C315/$C326</f>
        <v>10628.901373283396</v>
      </c>
      <c r="E315" s="85"/>
      <c r="H315" s="126" t="s">
        <v>48</v>
      </c>
      <c r="I315" s="127">
        <v>329163</v>
      </c>
    </row>
    <row r="316" spans="1:9" ht="13.5" thickBot="1">
      <c r="B316" s="84" t="s">
        <v>50</v>
      </c>
      <c r="C316" s="86">
        <v>3087</v>
      </c>
      <c r="D316" s="50">
        <f>+C316/$C326</f>
        <v>104.72642892037128</v>
      </c>
      <c r="E316" s="85"/>
      <c r="H316" s="128" t="s">
        <v>7</v>
      </c>
      <c r="I316" s="131"/>
    </row>
    <row r="317" spans="1:9">
      <c r="B317" s="84" t="s">
        <v>51</v>
      </c>
      <c r="C317" s="86">
        <f>122760+161275</f>
        <v>284035</v>
      </c>
      <c r="D317" s="50">
        <f>+C317/$C326</f>
        <v>9635.8831352114194</v>
      </c>
      <c r="E317" s="85"/>
    </row>
    <row r="318" spans="1:9">
      <c r="B318" s="87" t="s">
        <v>16</v>
      </c>
      <c r="C318" s="52">
        <f>SUM(C314:C317)</f>
        <v>608823</v>
      </c>
      <c r="D318" s="52">
        <f>+C318/$C326</f>
        <v>20654.311187103078</v>
      </c>
      <c r="E318" s="88">
        <f>+C318/C325</f>
        <v>1.6920351178515745</v>
      </c>
    </row>
    <row r="319" spans="1:9">
      <c r="B319" s="84" t="s">
        <v>17</v>
      </c>
      <c r="C319" s="50">
        <f>Model!AZ$56</f>
        <v>766686</v>
      </c>
      <c r="D319" s="50">
        <f>+C319/$C326</f>
        <v>26009.811105683111</v>
      </c>
      <c r="E319" s="89"/>
    </row>
    <row r="320" spans="1:9">
      <c r="B320" s="90" t="s">
        <v>18</v>
      </c>
      <c r="C320" s="52">
        <f>+C318-C319</f>
        <v>-157863</v>
      </c>
      <c r="D320" s="52">
        <f>+D318-D319</f>
        <v>-5355.4999185800334</v>
      </c>
      <c r="E320" s="88">
        <f>+C320/C325</f>
        <v>-0.43873135510551198</v>
      </c>
    </row>
    <row r="321" spans="2:5">
      <c r="B321" s="84"/>
      <c r="C321" s="57"/>
      <c r="D321" s="57"/>
      <c r="E321" s="91"/>
    </row>
    <row r="322" spans="2:5">
      <c r="B322" s="84" t="s">
        <v>19</v>
      </c>
      <c r="C322" s="50">
        <f>Model!AZ$60</f>
        <v>444132</v>
      </c>
      <c r="D322" s="50">
        <f>+C322/$C326</f>
        <v>15067.171470444553</v>
      </c>
      <c r="E322" s="91"/>
    </row>
    <row r="323" spans="2:5">
      <c r="B323" s="90" t="s">
        <v>20</v>
      </c>
      <c r="C323" s="52">
        <f>+C322+C320</f>
        <v>286269</v>
      </c>
      <c r="D323" s="52">
        <f>+D322+D320</f>
        <v>9711.6715518645196</v>
      </c>
      <c r="E323" s="88">
        <f>+C323/C325</f>
        <v>0.79559609468146308</v>
      </c>
    </row>
    <row r="324" spans="2:5">
      <c r="B324" s="84"/>
      <c r="C324" s="57"/>
      <c r="D324" s="50"/>
      <c r="E324" s="92"/>
    </row>
    <row r="325" spans="2:5">
      <c r="B325" s="84" t="s">
        <v>21</v>
      </c>
      <c r="C325" s="57">
        <f>Model!AZ$44</f>
        <v>359817</v>
      </c>
      <c r="D325" s="57">
        <f>+C325/C327</f>
        <v>12603.135573629237</v>
      </c>
      <c r="E325" s="85"/>
    </row>
    <row r="326" spans="2:5">
      <c r="B326" s="84" t="s">
        <v>22</v>
      </c>
      <c r="C326" s="122">
        <f>Model!AZ$95</f>
        <v>29.476800000000001</v>
      </c>
      <c r="D326" s="57"/>
      <c r="E326" s="93"/>
    </row>
    <row r="327" spans="2:5">
      <c r="B327" s="94" t="s">
        <v>23</v>
      </c>
      <c r="C327" s="121">
        <f>Model!AZ$96</f>
        <v>28.549800000000001</v>
      </c>
      <c r="D327" s="96"/>
      <c r="E327" s="97"/>
    </row>
    <row r="329" spans="2:5">
      <c r="B329" s="82" t="s">
        <v>25</v>
      </c>
      <c r="C329" s="68" t="s">
        <v>30</v>
      </c>
      <c r="D329" s="103" t="s">
        <v>31</v>
      </c>
    </row>
    <row r="330" spans="2:5">
      <c r="B330" s="98" t="s">
        <v>27</v>
      </c>
      <c r="C330" s="69">
        <f>C319</f>
        <v>766686</v>
      </c>
      <c r="D330" s="104">
        <f>C330/$C326</f>
        <v>26009.811105683111</v>
      </c>
    </row>
    <row r="331" spans="2:5">
      <c r="B331" s="100" t="s">
        <v>28</v>
      </c>
      <c r="C331" s="101">
        <f>SUM(C330:C330)</f>
        <v>766686</v>
      </c>
      <c r="D331" s="102">
        <f>SUM(D330:D330)</f>
        <v>26009.811105683111</v>
      </c>
    </row>
    <row r="333" spans="2:5">
      <c r="B333" s="82" t="s">
        <v>29</v>
      </c>
      <c r="C333" s="68" t="s">
        <v>30</v>
      </c>
      <c r="D333" s="103" t="s">
        <v>31</v>
      </c>
    </row>
    <row r="334" spans="2:5">
      <c r="B334" s="98" t="s">
        <v>32</v>
      </c>
      <c r="C334" s="69">
        <f>Model!AZ$53</f>
        <v>521829</v>
      </c>
      <c r="D334" s="104">
        <f>C334/$C326</f>
        <v>17703.041035661943</v>
      </c>
    </row>
    <row r="335" spans="2:5">
      <c r="B335" s="98" t="s">
        <v>33</v>
      </c>
      <c r="C335" s="105">
        <v>98770</v>
      </c>
      <c r="D335" s="104">
        <f>C335/$C326</f>
        <v>3350.7707756608588</v>
      </c>
    </row>
    <row r="336" spans="2:5">
      <c r="B336" s="98" t="s">
        <v>34</v>
      </c>
      <c r="C336" s="105">
        <v>23862</v>
      </c>
      <c r="D336" s="104">
        <f>C336/$C326</f>
        <v>809.51799381208275</v>
      </c>
    </row>
    <row r="337" spans="1:9">
      <c r="B337" s="98" t="s">
        <v>35</v>
      </c>
      <c r="C337" s="105">
        <v>27207</v>
      </c>
      <c r="D337" s="104">
        <f>C337/$C326</f>
        <v>922.99706888128969</v>
      </c>
    </row>
    <row r="338" spans="1:9">
      <c r="B338" s="98" t="s">
        <v>36</v>
      </c>
      <c r="C338" s="105">
        <v>35866</v>
      </c>
      <c r="D338" s="104">
        <f>C338/$C326</f>
        <v>1216.7535146284536</v>
      </c>
    </row>
    <row r="339" spans="1:9">
      <c r="B339" s="99" t="s">
        <v>37</v>
      </c>
      <c r="C339" s="106">
        <v>61688</v>
      </c>
      <c r="D339" s="104">
        <f>C339/$C326</f>
        <v>2092.7644791836292</v>
      </c>
    </row>
    <row r="340" spans="1:9">
      <c r="B340" s="100" t="s">
        <v>28</v>
      </c>
      <c r="C340" s="101">
        <f>SUM(C334:C339)</f>
        <v>769222</v>
      </c>
      <c r="D340" s="102">
        <f>SUM(D334:D339)</f>
        <v>26095.844867828255</v>
      </c>
    </row>
    <row r="341" spans="1:9">
      <c r="A341" s="54" t="s">
        <v>68</v>
      </c>
    </row>
    <row r="342" spans="1:9">
      <c r="B342" s="82" t="s">
        <v>69</v>
      </c>
      <c r="C342" s="68" t="s">
        <v>30</v>
      </c>
      <c r="D342" s="68" t="s">
        <v>31</v>
      </c>
      <c r="E342" s="83" t="s">
        <v>47</v>
      </c>
    </row>
    <row r="343" spans="1:9" ht="13.5" thickBot="1">
      <c r="B343" s="84"/>
      <c r="C343" s="48"/>
      <c r="D343" s="48"/>
      <c r="E343" s="85"/>
    </row>
    <row r="344" spans="1:9">
      <c r="B344" s="84" t="s">
        <v>49</v>
      </c>
      <c r="C344" s="86">
        <f>1894+5711</f>
        <v>7605</v>
      </c>
      <c r="D344" s="50">
        <f t="shared" ref="D344:D349" si="2">+C344/$C$356</f>
        <v>275.3888214951748</v>
      </c>
      <c r="E344" s="85"/>
      <c r="H344" s="124" t="s">
        <v>6</v>
      </c>
      <c r="I344" s="125"/>
    </row>
    <row r="345" spans="1:9">
      <c r="B345" s="84" t="s">
        <v>9</v>
      </c>
      <c r="C345" s="86">
        <f>199668+70388</f>
        <v>270056</v>
      </c>
      <c r="D345" s="50">
        <f t="shared" si="2"/>
        <v>9779.1457695859208</v>
      </c>
      <c r="E345" s="85"/>
      <c r="H345" s="126" t="s">
        <v>48</v>
      </c>
      <c r="I345" s="127"/>
    </row>
    <row r="346" spans="1:9" ht="13.5" thickBot="1">
      <c r="B346" s="84" t="s">
        <v>50</v>
      </c>
      <c r="C346" s="86">
        <v>4378</v>
      </c>
      <c r="D346" s="50">
        <f t="shared" si="2"/>
        <v>158.5341565425214</v>
      </c>
      <c r="E346" s="85"/>
      <c r="H346" s="128" t="s">
        <v>7</v>
      </c>
      <c r="I346" s="129">
        <v>0.2</v>
      </c>
    </row>
    <row r="347" spans="1:9">
      <c r="B347" s="84" t="s">
        <v>51</v>
      </c>
      <c r="C347" s="86">
        <f>69787+171787</f>
        <v>241574</v>
      </c>
      <c r="D347" s="50">
        <f t="shared" si="2"/>
        <v>8747.7684633629669</v>
      </c>
      <c r="E347" s="85"/>
    </row>
    <row r="348" spans="1:9">
      <c r="B348" s="87" t="s">
        <v>16</v>
      </c>
      <c r="C348" s="52">
        <f>SUM(C344:C347)</f>
        <v>523613</v>
      </c>
      <c r="D348" s="52">
        <f t="shared" si="2"/>
        <v>18960.837210986581</v>
      </c>
      <c r="E348" s="88">
        <f>+C348/C355</f>
        <v>1.6709639307137008</v>
      </c>
    </row>
    <row r="349" spans="1:9">
      <c r="B349" s="84" t="s">
        <v>17</v>
      </c>
      <c r="C349" s="50">
        <f>Model!AY$56</f>
        <v>490207</v>
      </c>
      <c r="D349" s="50">
        <f t="shared" si="2"/>
        <v>17751.15424308812</v>
      </c>
      <c r="E349" s="89"/>
    </row>
    <row r="350" spans="1:9">
      <c r="B350" s="90" t="s">
        <v>18</v>
      </c>
      <c r="C350" s="52">
        <f>+C348-C349</f>
        <v>33406</v>
      </c>
      <c r="D350" s="52">
        <f>+D348-D349</f>
        <v>1209.6829678984614</v>
      </c>
      <c r="E350" s="88">
        <f>+C350/C355</f>
        <v>0.10660587317240383</v>
      </c>
    </row>
    <row r="351" spans="1:9">
      <c r="B351" s="84"/>
      <c r="C351" s="57"/>
      <c r="D351" s="57"/>
      <c r="E351" s="91"/>
    </row>
    <row r="352" spans="1:9">
      <c r="B352" s="84" t="s">
        <v>19</v>
      </c>
      <c r="C352" s="50">
        <f>Model!AY$60</f>
        <v>376675.42</v>
      </c>
      <c r="D352" s="50">
        <f>+C352/$C$356</f>
        <v>13639.999999999998</v>
      </c>
      <c r="E352" s="91"/>
    </row>
    <row r="353" spans="2:5">
      <c r="B353" s="90" t="s">
        <v>20</v>
      </c>
      <c r="C353" s="52">
        <f>+C352+C350</f>
        <v>410081.42</v>
      </c>
      <c r="D353" s="52">
        <f>+D352+D350</f>
        <v>14849.68296789846</v>
      </c>
      <c r="E353" s="88">
        <f>+C353/C355</f>
        <v>1.3086597572555609</v>
      </c>
    </row>
    <row r="354" spans="2:5">
      <c r="B354" s="84"/>
      <c r="C354" s="57"/>
      <c r="D354" s="50"/>
      <c r="E354" s="92"/>
    </row>
    <row r="355" spans="2:5">
      <c r="B355" s="84" t="s">
        <v>21</v>
      </c>
      <c r="C355" s="57">
        <f>Model!AY$44</f>
        <v>313359.84600000002</v>
      </c>
      <c r="D355" s="57">
        <f>+C355/C357</f>
        <v>13694.500637323099</v>
      </c>
      <c r="E355" s="85"/>
    </row>
    <row r="356" spans="2:5">
      <c r="B356" s="84" t="s">
        <v>22</v>
      </c>
      <c r="C356" s="122">
        <f>Model!AY$95</f>
        <v>27.615500000000001</v>
      </c>
      <c r="D356" s="57"/>
      <c r="E356" s="93"/>
    </row>
    <row r="357" spans="2:5">
      <c r="B357" s="94" t="s">
        <v>23</v>
      </c>
      <c r="C357" s="121">
        <f>Model!AY$96</f>
        <v>22.882166666666667</v>
      </c>
      <c r="D357" s="96"/>
      <c r="E357" s="97"/>
    </row>
    <row r="359" spans="2:5">
      <c r="B359" s="82" t="s">
        <v>25</v>
      </c>
      <c r="C359" s="68" t="s">
        <v>30</v>
      </c>
      <c r="D359" s="103" t="s">
        <v>31</v>
      </c>
    </row>
    <row r="360" spans="2:5">
      <c r="B360" s="98" t="s">
        <v>27</v>
      </c>
      <c r="C360" s="69">
        <f>C349</f>
        <v>490207</v>
      </c>
      <c r="D360" s="104">
        <f>C360/$C$356</f>
        <v>17751.15424308812</v>
      </c>
    </row>
    <row r="361" spans="2:5">
      <c r="B361" s="100" t="s">
        <v>28</v>
      </c>
      <c r="C361" s="101">
        <f>SUM(C360:C360)</f>
        <v>490207</v>
      </c>
      <c r="D361" s="102">
        <f>SUM(D360:D360)</f>
        <v>17751.15424308812</v>
      </c>
    </row>
    <row r="363" spans="2:5">
      <c r="B363" s="82" t="s">
        <v>29</v>
      </c>
      <c r="C363" s="68" t="s">
        <v>30</v>
      </c>
      <c r="D363" s="103" t="s">
        <v>31</v>
      </c>
    </row>
    <row r="364" spans="2:5">
      <c r="B364" s="98" t="s">
        <v>32</v>
      </c>
      <c r="C364" s="69">
        <f>Model!AY$53</f>
        <v>275727</v>
      </c>
      <c r="D364" s="104">
        <f t="shared" ref="D364:D369" si="3">C364/$C$356</f>
        <v>9984.5014575148016</v>
      </c>
    </row>
    <row r="365" spans="2:5">
      <c r="B365" s="98" t="s">
        <v>33</v>
      </c>
      <c r="C365" s="105">
        <v>99901</v>
      </c>
      <c r="D365" s="104">
        <f t="shared" si="3"/>
        <v>3617.5698430229399</v>
      </c>
    </row>
    <row r="366" spans="2:5">
      <c r="B366" s="98" t="s">
        <v>34</v>
      </c>
      <c r="C366" s="105">
        <v>24769</v>
      </c>
      <c r="D366" s="104">
        <f t="shared" si="3"/>
        <v>896.92382900907091</v>
      </c>
    </row>
    <row r="367" spans="2:5">
      <c r="B367" s="98" t="s">
        <v>35</v>
      </c>
      <c r="C367" s="105">
        <v>27960</v>
      </c>
      <c r="D367" s="104">
        <f t="shared" si="3"/>
        <v>1012.4748782386703</v>
      </c>
    </row>
    <row r="368" spans="2:5">
      <c r="B368" s="98" t="s">
        <v>36</v>
      </c>
      <c r="C368" s="105">
        <v>25954</v>
      </c>
      <c r="D368" s="104">
        <f t="shared" si="3"/>
        <v>939.83451322626786</v>
      </c>
    </row>
    <row r="369" spans="1:9">
      <c r="B369" s="99" t="s">
        <v>37</v>
      </c>
      <c r="C369" s="106">
        <v>69302</v>
      </c>
      <c r="D369" s="104">
        <f t="shared" si="3"/>
        <v>2509.5326899748329</v>
      </c>
    </row>
    <row r="370" spans="1:9">
      <c r="B370" s="100" t="s">
        <v>28</v>
      </c>
      <c r="C370" s="101">
        <f>SUM(C364:C369)</f>
        <v>523613</v>
      </c>
      <c r="D370" s="102">
        <f>SUM(D364:D369)</f>
        <v>18960.837210986585</v>
      </c>
    </row>
    <row r="371" spans="1:9">
      <c r="B371" s="54"/>
      <c r="C371" s="123"/>
      <c r="D371" s="123"/>
    </row>
    <row r="372" spans="1:9">
      <c r="B372" s="54"/>
      <c r="C372" s="123"/>
      <c r="D372" s="123"/>
    </row>
    <row r="373" spans="1:9">
      <c r="A373" s="54" t="s">
        <v>70</v>
      </c>
    </row>
    <row r="374" spans="1:9">
      <c r="B374" s="82" t="s">
        <v>71</v>
      </c>
      <c r="C374" s="68" t="s">
        <v>30</v>
      </c>
      <c r="D374" s="68" t="s">
        <v>31</v>
      </c>
      <c r="E374" s="83" t="s">
        <v>47</v>
      </c>
    </row>
    <row r="375" spans="1:9" ht="13.5" thickBot="1">
      <c r="B375" s="84"/>
      <c r="C375" s="48"/>
      <c r="D375" s="48"/>
      <c r="E375" s="85"/>
    </row>
    <row r="376" spans="1:9">
      <c r="B376" s="84" t="s">
        <v>49</v>
      </c>
      <c r="C376" s="86">
        <f>1783+5154</f>
        <v>6937</v>
      </c>
      <c r="D376" s="50">
        <f t="shared" ref="D376:D381" si="4">+C376/$C$388</f>
        <v>266.38079999999997</v>
      </c>
      <c r="E376" s="85"/>
      <c r="H376" s="124" t="s">
        <v>6</v>
      </c>
      <c r="I376" s="125"/>
    </row>
    <row r="377" spans="1:9">
      <c r="B377" s="84" t="s">
        <v>9</v>
      </c>
      <c r="C377" s="86">
        <f>164431+66703</f>
        <v>231134</v>
      </c>
      <c r="D377" s="50">
        <f t="shared" si="4"/>
        <v>8875.5455999999995</v>
      </c>
      <c r="E377" s="85"/>
      <c r="H377" s="126" t="s">
        <v>48</v>
      </c>
      <c r="I377" s="127"/>
    </row>
    <row r="378" spans="1:9" ht="13.5" thickBot="1">
      <c r="B378" s="84" t="s">
        <v>50</v>
      </c>
      <c r="C378" s="86">
        <v>4252</v>
      </c>
      <c r="D378" s="50">
        <f t="shared" si="4"/>
        <v>163.27679999999998</v>
      </c>
      <c r="E378" s="85"/>
      <c r="H378" s="128" t="s">
        <v>7</v>
      </c>
      <c r="I378" s="129" t="s">
        <v>72</v>
      </c>
    </row>
    <row r="379" spans="1:9">
      <c r="B379" s="84" t="s">
        <v>51</v>
      </c>
      <c r="C379" s="86">
        <f>64407+122245</f>
        <v>186652</v>
      </c>
      <c r="D379" s="50">
        <f t="shared" si="4"/>
        <v>7167.4367999999995</v>
      </c>
      <c r="E379" s="85"/>
    </row>
    <row r="380" spans="1:9">
      <c r="B380" s="87" t="s">
        <v>16</v>
      </c>
      <c r="C380" s="52">
        <f>SUM(C376:C379)</f>
        <v>428975</v>
      </c>
      <c r="D380" s="52">
        <f t="shared" si="4"/>
        <v>16472.64</v>
      </c>
      <c r="E380" s="88">
        <f>+C380/C387</f>
        <v>1.7145293298144555</v>
      </c>
    </row>
    <row r="381" spans="1:9">
      <c r="B381" s="84" t="s">
        <v>17</v>
      </c>
      <c r="C381" s="50">
        <f>Model!AX$56</f>
        <v>356783</v>
      </c>
      <c r="D381" s="50">
        <f t="shared" si="4"/>
        <v>13700.467199999999</v>
      </c>
      <c r="E381" s="89"/>
    </row>
    <row r="382" spans="1:9">
      <c r="B382" s="90" t="s">
        <v>18</v>
      </c>
      <c r="C382" s="52">
        <f>+C380-C381</f>
        <v>72192</v>
      </c>
      <c r="D382" s="52">
        <f>+D380-D381</f>
        <v>2772.1728000000003</v>
      </c>
      <c r="E382" s="88">
        <f>+C382/C387</f>
        <v>0.2885373305623059</v>
      </c>
    </row>
    <row r="383" spans="1:9">
      <c r="B383" s="84"/>
      <c r="C383" s="57"/>
      <c r="D383" s="57"/>
      <c r="E383" s="91"/>
    </row>
    <row r="384" spans="1:9">
      <c r="B384" s="84" t="s">
        <v>19</v>
      </c>
      <c r="C384" s="50">
        <f>Model!AX$60</f>
        <v>334381</v>
      </c>
      <c r="D384" s="50">
        <f>+C384/$C$388</f>
        <v>12840.230399999999</v>
      </c>
      <c r="E384" s="91"/>
    </row>
    <row r="385" spans="2:5">
      <c r="B385" s="90" t="s">
        <v>20</v>
      </c>
      <c r="C385" s="52">
        <f>+C384+C382</f>
        <v>406573</v>
      </c>
      <c r="D385" s="52">
        <f>+D384+D382</f>
        <v>15612.403199999999</v>
      </c>
      <c r="E385" s="88">
        <f>+C385/C387</f>
        <v>1.6249929091687223</v>
      </c>
    </row>
    <row r="386" spans="2:5">
      <c r="B386" s="84"/>
      <c r="C386" s="57"/>
      <c r="D386" s="50"/>
      <c r="E386" s="92"/>
    </row>
    <row r="387" spans="2:5">
      <c r="B387" s="84" t="s">
        <v>21</v>
      </c>
      <c r="C387" s="57">
        <f>Model!AX$44</f>
        <v>250199.86100000003</v>
      </c>
      <c r="D387" s="57">
        <f>+C387/C389</f>
        <v>12059.633300200001</v>
      </c>
      <c r="E387" s="85"/>
    </row>
    <row r="388" spans="2:5">
      <c r="B388" s="84" t="s">
        <v>22</v>
      </c>
      <c r="C388" s="122">
        <f>Model!AX$95</f>
        <v>26.041666666666668</v>
      </c>
      <c r="D388" s="57"/>
      <c r="E388" s="93"/>
    </row>
    <row r="389" spans="2:5">
      <c r="B389" s="94" t="s">
        <v>23</v>
      </c>
      <c r="C389" s="121">
        <f>Model!AX$96</f>
        <v>20.74688796680498</v>
      </c>
      <c r="D389" s="96"/>
      <c r="E389" s="97"/>
    </row>
    <row r="391" spans="2:5">
      <c r="B391" s="82" t="s">
        <v>25</v>
      </c>
      <c r="C391" s="68" t="s">
        <v>30</v>
      </c>
      <c r="D391" s="103" t="s">
        <v>31</v>
      </c>
    </row>
    <row r="392" spans="2:5">
      <c r="B392" s="98" t="s">
        <v>27</v>
      </c>
      <c r="C392" s="69">
        <f>C381</f>
        <v>356783</v>
      </c>
      <c r="D392" s="104">
        <f>C392/$C$388</f>
        <v>13700.467199999999</v>
      </c>
    </row>
    <row r="393" spans="2:5">
      <c r="B393" s="100" t="s">
        <v>28</v>
      </c>
      <c r="C393" s="101">
        <f>SUM(C392:C392)</f>
        <v>356783</v>
      </c>
      <c r="D393" s="102">
        <f>SUM(D392:D392)</f>
        <v>13700.467199999999</v>
      </c>
    </row>
    <row r="395" spans="2:5">
      <c r="B395" s="82" t="s">
        <v>29</v>
      </c>
      <c r="C395" s="68" t="s">
        <v>30</v>
      </c>
      <c r="D395" s="103" t="s">
        <v>31</v>
      </c>
    </row>
    <row r="396" spans="2:5">
      <c r="B396" s="98" t="s">
        <v>32</v>
      </c>
      <c r="C396" s="69">
        <f>Model!AX$53</f>
        <v>234873</v>
      </c>
      <c r="D396" s="104">
        <f>C396/$C$388</f>
        <v>9019.1232</v>
      </c>
    </row>
    <row r="397" spans="2:5">
      <c r="B397" s="98" t="s">
        <v>33</v>
      </c>
      <c r="C397" s="105">
        <v>97449</v>
      </c>
      <c r="D397" s="104">
        <f>C397/$C$420</f>
        <v>5080.4963244877745</v>
      </c>
    </row>
    <row r="398" spans="2:5">
      <c r="B398" s="98" t="s">
        <v>34</v>
      </c>
      <c r="C398" s="105">
        <v>18968</v>
      </c>
      <c r="D398" s="104">
        <f>C398/$C$420</f>
        <v>988.89526093530048</v>
      </c>
    </row>
    <row r="399" spans="2:5">
      <c r="B399" s="98" t="s">
        <v>35</v>
      </c>
      <c r="C399" s="105">
        <v>31246</v>
      </c>
      <c r="D399" s="104">
        <f>C399/$C$420</f>
        <v>1629.0078723737031</v>
      </c>
    </row>
    <row r="400" spans="2:5">
      <c r="B400" s="98" t="s">
        <v>36</v>
      </c>
      <c r="C400" s="105">
        <v>10588</v>
      </c>
      <c r="D400" s="104">
        <f>C400/$C$420</f>
        <v>552.00458787341643</v>
      </c>
    </row>
    <row r="401" spans="1:9">
      <c r="B401" s="99" t="s">
        <v>37</v>
      </c>
      <c r="C401" s="106">
        <v>35851</v>
      </c>
      <c r="D401" s="104">
        <f>C401/$C$420</f>
        <v>1869.0892028569938</v>
      </c>
    </row>
    <row r="402" spans="1:9">
      <c r="B402" s="100" t="s">
        <v>28</v>
      </c>
      <c r="C402" s="101">
        <f>SUM(C396:C401)</f>
        <v>428975</v>
      </c>
      <c r="D402" s="102">
        <f>SUM(D396:D401)</f>
        <v>19138.616448527187</v>
      </c>
    </row>
    <row r="403" spans="1:9">
      <c r="B403" s="54"/>
      <c r="C403" s="123"/>
      <c r="D403" s="123"/>
    </row>
    <row r="404" spans="1:9">
      <c r="B404" s="54"/>
      <c r="C404" s="123"/>
      <c r="D404" s="123"/>
    </row>
    <row r="405" spans="1:9">
      <c r="A405" s="54" t="s">
        <v>73</v>
      </c>
    </row>
    <row r="406" spans="1:9">
      <c r="B406" s="82" t="s">
        <v>74</v>
      </c>
      <c r="C406" s="68" t="s">
        <v>30</v>
      </c>
      <c r="D406" s="68" t="s">
        <v>31</v>
      </c>
      <c r="E406" s="83" t="s">
        <v>47</v>
      </c>
    </row>
    <row r="407" spans="1:9" ht="13.5" thickBot="1">
      <c r="B407" s="84"/>
      <c r="C407" s="48"/>
      <c r="D407" s="48"/>
      <c r="E407" s="85"/>
    </row>
    <row r="408" spans="1:9">
      <c r="B408" s="84" t="s">
        <v>49</v>
      </c>
      <c r="C408" s="86">
        <f>1416+4320</f>
        <v>5736</v>
      </c>
      <c r="D408" s="50">
        <f t="shared" ref="D408:D413" si="5">+C408/$C$420</f>
        <v>299.0459308690892</v>
      </c>
      <c r="E408" s="85"/>
      <c r="H408" s="124" t="s">
        <v>6</v>
      </c>
      <c r="I408" s="125"/>
    </row>
    <row r="409" spans="1:9">
      <c r="B409" s="84" t="s">
        <v>9</v>
      </c>
      <c r="C409" s="86">
        <f>139613+52463</f>
        <v>192076</v>
      </c>
      <c r="D409" s="50">
        <f t="shared" si="5"/>
        <v>10013.867890099576</v>
      </c>
      <c r="E409" s="85"/>
      <c r="H409" s="126" t="s">
        <v>48</v>
      </c>
      <c r="I409" s="127"/>
    </row>
    <row r="410" spans="1:9" ht="13.5" thickBot="1">
      <c r="B410" s="84" t="s">
        <v>50</v>
      </c>
      <c r="C410" s="86">
        <v>3448</v>
      </c>
      <c r="D410" s="50">
        <f t="shared" si="5"/>
        <v>179.76122204264635</v>
      </c>
      <c r="E410" s="85"/>
      <c r="H410" s="128" t="s">
        <v>7</v>
      </c>
      <c r="I410" s="129" t="s">
        <v>72</v>
      </c>
    </row>
    <row r="411" spans="1:9">
      <c r="B411" s="84" t="s">
        <v>51</v>
      </c>
      <c r="C411" s="86">
        <f>56657+102797</f>
        <v>159454</v>
      </c>
      <c r="D411" s="50">
        <f t="shared" si="5"/>
        <v>8313.1223606694111</v>
      </c>
      <c r="E411" s="85"/>
    </row>
    <row r="412" spans="1:9">
      <c r="B412" s="87" t="s">
        <v>16</v>
      </c>
      <c r="C412" s="52">
        <f>SUM(C408:C411)</f>
        <v>360714</v>
      </c>
      <c r="D412" s="52">
        <f t="shared" si="5"/>
        <v>18805.797403680725</v>
      </c>
      <c r="E412" s="88">
        <f>+C412/C419</f>
        <v>1.747784739750974</v>
      </c>
    </row>
    <row r="413" spans="1:9">
      <c r="B413" s="84" t="s">
        <v>17</v>
      </c>
      <c r="C413" s="50">
        <f>Model!AW56</f>
        <v>287703</v>
      </c>
      <c r="D413" s="50">
        <f t="shared" si="5"/>
        <v>14999.374380897763</v>
      </c>
      <c r="E413" s="89"/>
    </row>
    <row r="414" spans="1:9">
      <c r="B414" s="90" t="s">
        <v>18</v>
      </c>
      <c r="C414" s="52">
        <f>+C412-C413</f>
        <v>73011</v>
      </c>
      <c r="D414" s="52">
        <f>+D412-D413</f>
        <v>3806.4230227829612</v>
      </c>
      <c r="E414" s="88">
        <f>+C414/C419</f>
        <v>0.35376367879804604</v>
      </c>
    </row>
    <row r="415" spans="1:9">
      <c r="B415" s="84"/>
      <c r="C415" s="57"/>
      <c r="D415" s="57"/>
      <c r="E415" s="91"/>
    </row>
    <row r="416" spans="1:9">
      <c r="B416" s="84" t="s">
        <v>19</v>
      </c>
      <c r="C416" s="50">
        <f>Model!AW60</f>
        <v>194310</v>
      </c>
      <c r="D416" s="50">
        <f>+C416/$C$420</f>
        <v>10130.337312965956</v>
      </c>
      <c r="E416" s="91"/>
    </row>
    <row r="417" spans="2:5">
      <c r="B417" s="90" t="s">
        <v>20</v>
      </c>
      <c r="C417" s="52">
        <f>+C416+C414</f>
        <v>267321</v>
      </c>
      <c r="D417" s="52">
        <f>+D416+D414</f>
        <v>13936.760335748917</v>
      </c>
      <c r="E417" s="88">
        <f>+C417/C419</f>
        <v>1.2952631847252121</v>
      </c>
    </row>
    <row r="418" spans="2:5">
      <c r="B418" s="84"/>
      <c r="C418" s="57"/>
      <c r="D418" s="50"/>
      <c r="E418" s="92"/>
    </row>
    <row r="419" spans="2:5">
      <c r="B419" s="84" t="s">
        <v>21</v>
      </c>
      <c r="C419" s="57">
        <f>Model!AW44</f>
        <v>206383.53899999999</v>
      </c>
      <c r="D419" s="57">
        <f>+C419/C421</f>
        <v>10950.181138081973</v>
      </c>
      <c r="E419" s="85"/>
    </row>
    <row r="420" spans="2:5">
      <c r="B420" s="84" t="s">
        <v>22</v>
      </c>
      <c r="C420" s="122">
        <f>Model!AW95</f>
        <v>19.181000000000001</v>
      </c>
      <c r="D420" s="57"/>
      <c r="E420" s="93"/>
    </row>
    <row r="421" spans="2:5">
      <c r="B421" s="94" t="s">
        <v>23</v>
      </c>
      <c r="C421" s="121">
        <f>Model!AW96</f>
        <v>18.8475</v>
      </c>
      <c r="D421" s="96"/>
      <c r="E421" s="97"/>
    </row>
    <row r="423" spans="2:5">
      <c r="B423" s="82" t="s">
        <v>25</v>
      </c>
      <c r="C423" s="68" t="s">
        <v>30</v>
      </c>
      <c r="D423" s="103" t="s">
        <v>31</v>
      </c>
    </row>
    <row r="424" spans="2:5">
      <c r="B424" s="98" t="s">
        <v>27</v>
      </c>
      <c r="C424" s="69">
        <f>C413</f>
        <v>287703</v>
      </c>
      <c r="D424" s="104">
        <f>C424/$C$420</f>
        <v>14999.374380897763</v>
      </c>
    </row>
    <row r="425" spans="2:5">
      <c r="B425" s="100" t="s">
        <v>28</v>
      </c>
      <c r="C425" s="101">
        <f>SUM(C424:C424)</f>
        <v>287703</v>
      </c>
      <c r="D425" s="102">
        <f>SUM(D424:D424)</f>
        <v>14999.374380897763</v>
      </c>
    </row>
    <row r="427" spans="2:5">
      <c r="B427" s="82" t="s">
        <v>29</v>
      </c>
      <c r="C427" s="68" t="s">
        <v>30</v>
      </c>
      <c r="D427" s="103" t="s">
        <v>31</v>
      </c>
    </row>
    <row r="428" spans="2:5">
      <c r="B428" s="98" t="s">
        <v>32</v>
      </c>
      <c r="C428" s="69">
        <f>Model!AW53</f>
        <v>201134</v>
      </c>
      <c r="D428" s="104">
        <f t="shared" ref="D428:D433" si="6">C428/$C$420</f>
        <v>10486.106042437828</v>
      </c>
    </row>
    <row r="429" spans="2:5">
      <c r="B429" s="98" t="s">
        <v>33</v>
      </c>
      <c r="C429" s="105">
        <v>72381</v>
      </c>
      <c r="D429" s="104">
        <f t="shared" si="6"/>
        <v>3773.5780199155411</v>
      </c>
    </row>
    <row r="430" spans="2:5">
      <c r="B430" s="98" t="s">
        <v>34</v>
      </c>
      <c r="C430" s="105">
        <v>27576</v>
      </c>
      <c r="D430" s="104">
        <f t="shared" si="6"/>
        <v>1437.6726969396798</v>
      </c>
    </row>
    <row r="431" spans="2:5">
      <c r="B431" s="98" t="s">
        <v>35</v>
      </c>
      <c r="C431" s="105">
        <v>20781</v>
      </c>
      <c r="D431" s="104">
        <f t="shared" si="6"/>
        <v>1083.4158802982117</v>
      </c>
    </row>
    <row r="432" spans="2:5">
      <c r="B432" s="98" t="s">
        <v>36</v>
      </c>
      <c r="C432" s="105">
        <v>8847</v>
      </c>
      <c r="D432" s="104">
        <f t="shared" si="6"/>
        <v>461.23768312392468</v>
      </c>
    </row>
    <row r="433" spans="1:9">
      <c r="B433" s="99" t="s">
        <v>37</v>
      </c>
      <c r="C433" s="106">
        <v>29995</v>
      </c>
      <c r="D433" s="104">
        <f t="shared" si="6"/>
        <v>1563.7870809655387</v>
      </c>
    </row>
    <row r="434" spans="1:9">
      <c r="B434" s="100" t="s">
        <v>28</v>
      </c>
      <c r="C434" s="101">
        <f>SUM(C428:C433)</f>
        <v>360714</v>
      </c>
      <c r="D434" s="102">
        <f>SUM(D428:D433)</f>
        <v>18805.797403680725</v>
      </c>
    </row>
    <row r="435" spans="1:9">
      <c r="B435" s="54"/>
      <c r="C435" s="123"/>
      <c r="D435" s="123"/>
    </row>
    <row r="436" spans="1:9">
      <c r="B436" s="54"/>
      <c r="C436" s="123"/>
      <c r="D436" s="123"/>
    </row>
    <row r="437" spans="1:9">
      <c r="A437" s="54" t="s">
        <v>75</v>
      </c>
    </row>
    <row r="438" spans="1:9">
      <c r="B438" s="82" t="s">
        <v>76</v>
      </c>
      <c r="C438" s="68" t="s">
        <v>30</v>
      </c>
      <c r="D438" s="68" t="s">
        <v>31</v>
      </c>
      <c r="E438" s="83" t="s">
        <v>47</v>
      </c>
    </row>
    <row r="439" spans="1:9" ht="13.5" thickBot="1">
      <c r="B439" s="84"/>
      <c r="C439" s="48"/>
      <c r="D439" s="48"/>
      <c r="E439" s="85"/>
    </row>
    <row r="440" spans="1:9">
      <c r="B440" s="84" t="s">
        <v>49</v>
      </c>
      <c r="C440" s="86">
        <f>1230+3804</f>
        <v>5034</v>
      </c>
      <c r="D440" s="50">
        <f t="shared" ref="D440:D445" si="7">+C440/$C$452</f>
        <v>269.33468874561942</v>
      </c>
      <c r="E440" s="85"/>
      <c r="H440" s="124" t="s">
        <v>6</v>
      </c>
      <c r="I440" s="125"/>
    </row>
    <row r="441" spans="1:9">
      <c r="B441" s="84" t="s">
        <v>9</v>
      </c>
      <c r="C441" s="86">
        <f>153659+40511</f>
        <v>194170</v>
      </c>
      <c r="D441" s="50">
        <f t="shared" si="7"/>
        <v>10388.700141783258</v>
      </c>
      <c r="E441" s="85"/>
      <c r="H441" s="126" t="s">
        <v>48</v>
      </c>
      <c r="I441" s="127">
        <v>233542</v>
      </c>
    </row>
    <row r="442" spans="1:9" ht="13.5" thickBot="1">
      <c r="B442" s="84" t="s">
        <v>50</v>
      </c>
      <c r="C442" s="86">
        <v>2908</v>
      </c>
      <c r="D442" s="50">
        <f t="shared" si="7"/>
        <v>155.58706294641664</v>
      </c>
      <c r="E442" s="85"/>
      <c r="H442" s="128" t="s">
        <v>7</v>
      </c>
      <c r="I442" s="129" t="s">
        <v>72</v>
      </c>
    </row>
    <row r="443" spans="1:9">
      <c r="B443" s="84" t="s">
        <v>51</v>
      </c>
      <c r="C443" s="86">
        <f>68155+108283</f>
        <v>176438</v>
      </c>
      <c r="D443" s="50">
        <f t="shared" si="7"/>
        <v>9439.9828790027022</v>
      </c>
      <c r="E443" s="85"/>
    </row>
    <row r="444" spans="1:9">
      <c r="B444" s="87" t="s">
        <v>16</v>
      </c>
      <c r="C444" s="52">
        <f>SUM(C440:C443)</f>
        <v>378550</v>
      </c>
      <c r="D444" s="52">
        <f t="shared" si="7"/>
        <v>20253.604772477996</v>
      </c>
      <c r="E444" s="88">
        <f>+C444/C451</f>
        <v>2.2773075372833533</v>
      </c>
    </row>
    <row r="445" spans="1:9">
      <c r="B445" s="84" t="s">
        <v>17</v>
      </c>
      <c r="C445" s="50">
        <f>Model!AV56</f>
        <v>282577</v>
      </c>
      <c r="D445" s="50">
        <f t="shared" si="7"/>
        <v>15118.750167197239</v>
      </c>
      <c r="E445" s="89"/>
    </row>
    <row r="446" spans="1:9">
      <c r="B446" s="90" t="s">
        <v>18</v>
      </c>
      <c r="C446" s="52">
        <f>+C444-C445</f>
        <v>95973</v>
      </c>
      <c r="D446" s="52">
        <f>+D444-D445</f>
        <v>5134.8546052807578</v>
      </c>
      <c r="E446" s="88">
        <f>+C446/C451</f>
        <v>0.5773610785251494</v>
      </c>
    </row>
    <row r="447" spans="1:9">
      <c r="B447" s="84"/>
      <c r="C447" s="57"/>
      <c r="D447" s="57"/>
      <c r="E447" s="91"/>
    </row>
    <row r="448" spans="1:9">
      <c r="B448" s="84" t="s">
        <v>19</v>
      </c>
      <c r="C448" s="50">
        <f>Model!AV60</f>
        <v>191897</v>
      </c>
      <c r="D448" s="50">
        <f>+C448/$C$452</f>
        <v>10267.087557850246</v>
      </c>
      <c r="E448" s="91"/>
    </row>
    <row r="449" spans="2:5">
      <c r="B449" s="90" t="s">
        <v>20</v>
      </c>
      <c r="C449" s="52">
        <f>+C448+C446</f>
        <v>287870</v>
      </c>
      <c r="D449" s="52">
        <f>+D448+D446</f>
        <v>15401.942163131003</v>
      </c>
      <c r="E449" s="88">
        <f>+C449/C451</f>
        <v>1.7317884579520775</v>
      </c>
    </row>
    <row r="450" spans="2:5">
      <c r="B450" s="84"/>
      <c r="C450" s="57"/>
      <c r="D450" s="50"/>
      <c r="E450" s="92"/>
    </row>
    <row r="451" spans="2:5">
      <c r="B451" s="84" t="s">
        <v>21</v>
      </c>
      <c r="C451" s="57">
        <f>Model!AV44</f>
        <v>166227</v>
      </c>
      <c r="D451" s="57">
        <f>+C451/C453</f>
        <v>9705.689334683655</v>
      </c>
      <c r="E451" s="85"/>
    </row>
    <row r="452" spans="2:5">
      <c r="B452" s="84" t="s">
        <v>22</v>
      </c>
      <c r="C452" s="122">
        <f>Model!AV95</f>
        <v>18.6905</v>
      </c>
      <c r="D452" s="57"/>
      <c r="E452" s="93"/>
    </row>
    <row r="453" spans="2:5">
      <c r="B453" s="94" t="s">
        <v>23</v>
      </c>
      <c r="C453" s="121">
        <f>Model!AV96</f>
        <v>17.126758777038269</v>
      </c>
      <c r="D453" s="96"/>
      <c r="E453" s="97"/>
    </row>
    <row r="455" spans="2:5">
      <c r="B455" s="82" t="s">
        <v>25</v>
      </c>
      <c r="C455" s="68" t="s">
        <v>30</v>
      </c>
      <c r="D455" s="103" t="s">
        <v>31</v>
      </c>
    </row>
    <row r="456" spans="2:5">
      <c r="B456" s="98" t="s">
        <v>27</v>
      </c>
      <c r="C456" s="69">
        <f>C445</f>
        <v>282577</v>
      </c>
      <c r="D456" s="104">
        <f>C456/$C$452</f>
        <v>15118.750167197239</v>
      </c>
    </row>
    <row r="457" spans="2:5">
      <c r="B457" s="100" t="s">
        <v>28</v>
      </c>
      <c r="C457" s="101">
        <f>SUM(C456:C456)</f>
        <v>282577</v>
      </c>
      <c r="D457" s="102">
        <f>SUM(D456:D456)</f>
        <v>15118.750167197239</v>
      </c>
    </row>
    <row r="459" spans="2:5">
      <c r="B459" s="82" t="s">
        <v>29</v>
      </c>
      <c r="C459" s="68" t="s">
        <v>30</v>
      </c>
      <c r="D459" s="103" t="s">
        <v>31</v>
      </c>
    </row>
    <row r="460" spans="2:5">
      <c r="B460" s="98" t="s">
        <v>32</v>
      </c>
      <c r="C460" s="69">
        <f>Model!AV53</f>
        <v>225952</v>
      </c>
      <c r="D460" s="104">
        <f t="shared" ref="D460:D465" si="8">C460/$C$452</f>
        <v>12089.136192183194</v>
      </c>
    </row>
    <row r="461" spans="2:5">
      <c r="B461" s="98" t="s">
        <v>33</v>
      </c>
      <c r="C461" s="105">
        <v>56147</v>
      </c>
      <c r="D461" s="104">
        <f t="shared" si="8"/>
        <v>3004.0394853000189</v>
      </c>
    </row>
    <row r="462" spans="2:5">
      <c r="B462" s="98" t="s">
        <v>34</v>
      </c>
      <c r="C462" s="105">
        <v>39003</v>
      </c>
      <c r="D462" s="104">
        <f t="shared" si="8"/>
        <v>2086.7820550547071</v>
      </c>
    </row>
    <row r="463" spans="2:5">
      <c r="B463" s="98" t="s">
        <v>35</v>
      </c>
      <c r="C463" s="105">
        <v>24793</v>
      </c>
      <c r="D463" s="104">
        <f t="shared" si="8"/>
        <v>1326.5027687862819</v>
      </c>
    </row>
    <row r="464" spans="2:5">
      <c r="B464" s="98" t="s">
        <v>36</v>
      </c>
      <c r="C464" s="105">
        <v>3600</v>
      </c>
      <c r="D464" s="104">
        <f t="shared" si="8"/>
        <v>192.61121960354191</v>
      </c>
    </row>
    <row r="465" spans="1:7">
      <c r="B465" s="99" t="s">
        <v>37</v>
      </c>
      <c r="C465" s="106">
        <v>29055</v>
      </c>
      <c r="D465" s="104">
        <f t="shared" si="8"/>
        <v>1554.5330515502528</v>
      </c>
    </row>
    <row r="466" spans="1:7">
      <c r="B466" s="100" t="s">
        <v>28</v>
      </c>
      <c r="C466" s="101">
        <f>SUM(C460:C465)</f>
        <v>378550</v>
      </c>
      <c r="D466" s="102">
        <f>SUM(D460:D465)</f>
        <v>20253.604772478</v>
      </c>
    </row>
    <row r="467" spans="1:7">
      <c r="B467" s="54"/>
      <c r="C467" s="123"/>
      <c r="D467" s="123"/>
    </row>
    <row r="468" spans="1:7">
      <c r="B468" s="54"/>
      <c r="C468" s="123"/>
      <c r="D468" s="123"/>
    </row>
    <row r="469" spans="1:7">
      <c r="A469" s="54" t="s">
        <v>77</v>
      </c>
    </row>
    <row r="470" spans="1:7">
      <c r="B470" s="82" t="s">
        <v>78</v>
      </c>
      <c r="C470" s="68" t="s">
        <v>30</v>
      </c>
      <c r="D470" s="68" t="s">
        <v>31</v>
      </c>
      <c r="E470" s="83" t="s">
        <v>47</v>
      </c>
    </row>
    <row r="471" spans="1:7">
      <c r="B471" s="84"/>
      <c r="C471" s="48"/>
      <c r="D471" s="48"/>
      <c r="E471" s="85"/>
    </row>
    <row r="472" spans="1:7">
      <c r="B472" s="84" t="s">
        <v>49</v>
      </c>
      <c r="C472" s="86">
        <f>1171.021+3430.16</f>
        <v>4601.1809999999996</v>
      </c>
      <c r="D472" s="50">
        <f t="shared" ref="D472:D477" si="9">+C472/$C$484</f>
        <v>248.50293806303873</v>
      </c>
      <c r="E472" s="85"/>
    </row>
    <row r="473" spans="1:7">
      <c r="B473" s="84" t="s">
        <v>9</v>
      </c>
      <c r="C473" s="86">
        <f>123483.439+58048.366</f>
        <v>181531.80499999999</v>
      </c>
      <c r="D473" s="50">
        <f t="shared" si="9"/>
        <v>9804.2626217891939</v>
      </c>
      <c r="E473" s="85"/>
    </row>
    <row r="474" spans="1:7">
      <c r="B474" s="84" t="s">
        <v>50</v>
      </c>
      <c r="C474" s="86">
        <v>1180.972</v>
      </c>
      <c r="D474" s="50">
        <f t="shared" si="9"/>
        <v>63.782540128324229</v>
      </c>
      <c r="E474" s="85"/>
    </row>
    <row r="475" spans="1:7">
      <c r="B475" s="84" t="s">
        <v>51</v>
      </c>
      <c r="C475" s="86">
        <f>82804.795+104114.431</f>
        <v>186919.226</v>
      </c>
      <c r="D475" s="50">
        <f t="shared" si="9"/>
        <v>10095.229212123832</v>
      </c>
      <c r="E475" s="85"/>
    </row>
    <row r="476" spans="1:7">
      <c r="B476" s="87" t="s">
        <v>16</v>
      </c>
      <c r="C476" s="52">
        <f>SUM(C472:C475)</f>
        <v>374233.18400000001</v>
      </c>
      <c r="D476" s="52">
        <f t="shared" si="9"/>
        <v>20211.77731210439</v>
      </c>
      <c r="E476" s="88">
        <f>+C476/C483</f>
        <v>2.7723020087206578</v>
      </c>
    </row>
    <row r="477" spans="1:7">
      <c r="B477" s="84" t="s">
        <v>17</v>
      </c>
      <c r="C477" s="50">
        <f>Model!AU56</f>
        <v>266543.76399999997</v>
      </c>
      <c r="D477" s="50">
        <f t="shared" si="9"/>
        <v>14395.632007604398</v>
      </c>
      <c r="E477" s="89"/>
      <c r="G477" s="50"/>
    </row>
    <row r="478" spans="1:7">
      <c r="B478" s="90" t="s">
        <v>18</v>
      </c>
      <c r="C478" s="52">
        <f>+C476-C477</f>
        <v>107689.42000000004</v>
      </c>
      <c r="D478" s="52">
        <f>+D476-D477</f>
        <v>5816.1453044999926</v>
      </c>
      <c r="E478" s="88">
        <f>+C478/C483</f>
        <v>0.79775821105154232</v>
      </c>
    </row>
    <row r="479" spans="1:7">
      <c r="B479" s="84"/>
      <c r="C479" s="57"/>
      <c r="D479" s="57"/>
      <c r="E479" s="91"/>
    </row>
    <row r="480" spans="1:7">
      <c r="B480" s="84" t="s">
        <v>19</v>
      </c>
      <c r="C480" s="50">
        <f>Model!AU60</f>
        <v>161029.5</v>
      </c>
      <c r="D480" s="50">
        <f>+C480/$C$484</f>
        <v>8696.9636414698962</v>
      </c>
      <c r="E480" s="91"/>
    </row>
    <row r="481" spans="2:5">
      <c r="B481" s="90" t="s">
        <v>20</v>
      </c>
      <c r="C481" s="52">
        <f>+C480+C478</f>
        <v>268718.92000000004</v>
      </c>
      <c r="D481" s="52">
        <f>+D480+D478</f>
        <v>14513.108945969889</v>
      </c>
      <c r="E481" s="88">
        <f>+C481/C483</f>
        <v>1.9906572520764108</v>
      </c>
    </row>
    <row r="482" spans="2:5">
      <c r="B482" s="84"/>
      <c r="C482" s="57"/>
      <c r="D482" s="50"/>
      <c r="E482" s="92"/>
    </row>
    <row r="483" spans="2:5">
      <c r="B483" s="84" t="s">
        <v>21</v>
      </c>
      <c r="C483" s="57">
        <f>Model!AU44</f>
        <v>134990.049</v>
      </c>
      <c r="D483" s="57">
        <f>+C483/C485</f>
        <v>8555.2702896215451</v>
      </c>
      <c r="E483" s="85"/>
    </row>
    <row r="484" spans="2:5">
      <c r="B484" s="84" t="s">
        <v>22</v>
      </c>
      <c r="C484" s="122">
        <f>Model!AU95</f>
        <v>18.515599999999999</v>
      </c>
      <c r="D484" s="57"/>
      <c r="E484" s="93"/>
    </row>
    <row r="485" spans="2:5">
      <c r="B485" s="94" t="s">
        <v>23</v>
      </c>
      <c r="C485" s="121">
        <f>Model!AU96</f>
        <v>15.77858377703827</v>
      </c>
      <c r="D485" s="96"/>
      <c r="E485" s="97"/>
    </row>
    <row r="487" spans="2:5">
      <c r="B487" s="82" t="s">
        <v>25</v>
      </c>
      <c r="C487" s="68" t="s">
        <v>30</v>
      </c>
      <c r="D487" s="103" t="s">
        <v>31</v>
      </c>
    </row>
    <row r="488" spans="2:5">
      <c r="B488" s="98" t="s">
        <v>27</v>
      </c>
      <c r="C488" s="69">
        <f>C477</f>
        <v>266543.76399999997</v>
      </c>
      <c r="D488" s="104">
        <f>C488/$C$484</f>
        <v>14395.632007604398</v>
      </c>
    </row>
    <row r="489" spans="2:5">
      <c r="B489" s="100" t="s">
        <v>28</v>
      </c>
      <c r="C489" s="101">
        <f>SUM(C488:C488)</f>
        <v>266543.76399999997</v>
      </c>
      <c r="D489" s="102">
        <f>SUM(D488:D488)</f>
        <v>14395.632007604398</v>
      </c>
    </row>
    <row r="491" spans="2:5">
      <c r="B491" s="82" t="s">
        <v>29</v>
      </c>
      <c r="C491" s="68" t="s">
        <v>30</v>
      </c>
      <c r="D491" s="103" t="s">
        <v>31</v>
      </c>
    </row>
    <row r="492" spans="2:5">
      <c r="B492" s="98" t="s">
        <v>32</v>
      </c>
      <c r="C492" s="69">
        <f>Model!AU53</f>
        <v>208640.22700000001</v>
      </c>
      <c r="D492" s="104">
        <f t="shared" ref="D492:D497" si="10">C492/$C$484</f>
        <v>11268.348149668389</v>
      </c>
    </row>
    <row r="493" spans="2:5">
      <c r="B493" s="98" t="s">
        <v>33</v>
      </c>
      <c r="C493" s="105">
        <v>48366.222000000002</v>
      </c>
      <c r="D493" s="104">
        <f t="shared" si="10"/>
        <v>2612.1876687765994</v>
      </c>
    </row>
    <row r="494" spans="2:5">
      <c r="B494" s="98" t="s">
        <v>34</v>
      </c>
      <c r="C494" s="105">
        <v>49879.127</v>
      </c>
      <c r="D494" s="104">
        <f t="shared" si="10"/>
        <v>2693.8974162327986</v>
      </c>
    </row>
    <row r="495" spans="2:5">
      <c r="B495" s="98" t="s">
        <v>35</v>
      </c>
      <c r="C495" s="105">
        <v>27194.011999999999</v>
      </c>
      <c r="D495" s="104">
        <f t="shared" si="10"/>
        <v>1468.7081163991445</v>
      </c>
    </row>
    <row r="496" spans="2:5">
      <c r="B496" s="98" t="s">
        <v>36</v>
      </c>
      <c r="C496" s="105">
        <v>4240.2120000000004</v>
      </c>
      <c r="D496" s="104">
        <f t="shared" si="10"/>
        <v>229.00753958823915</v>
      </c>
    </row>
    <row r="497" spans="1:5">
      <c r="B497" s="99" t="s">
        <v>37</v>
      </c>
      <c r="C497" s="106">
        <v>35913.383999999998</v>
      </c>
      <c r="D497" s="104">
        <f t="shared" si="10"/>
        <v>1939.6284214392188</v>
      </c>
    </row>
    <row r="498" spans="1:5">
      <c r="B498" s="100" t="s">
        <v>28</v>
      </c>
      <c r="C498" s="101">
        <f>SUM(C492:C497)</f>
        <v>374233.18400000001</v>
      </c>
      <c r="D498" s="102">
        <f>SUM(D492:D497)</f>
        <v>20211.77731210439</v>
      </c>
    </row>
    <row r="501" spans="1:5">
      <c r="A501" s="54" t="s">
        <v>79</v>
      </c>
    </row>
    <row r="502" spans="1:5">
      <c r="B502" s="82" t="s">
        <v>80</v>
      </c>
      <c r="C502" s="68" t="s">
        <v>30</v>
      </c>
      <c r="D502" s="68" t="s">
        <v>31</v>
      </c>
      <c r="E502" s="83" t="s">
        <v>47</v>
      </c>
    </row>
    <row r="503" spans="1:5">
      <c r="B503" s="84"/>
      <c r="C503" s="48"/>
      <c r="D503" s="48"/>
      <c r="E503" s="85"/>
    </row>
    <row r="504" spans="1:5">
      <c r="B504" s="84" t="s">
        <v>49</v>
      </c>
      <c r="C504" s="86">
        <f>1263.614+3144.579</f>
        <v>4408.1930000000002</v>
      </c>
      <c r="D504" s="50">
        <f t="shared" ref="D504:D509" si="11">+C504/$C$516</f>
        <v>264.93239930000004</v>
      </c>
      <c r="E504" s="85"/>
    </row>
    <row r="505" spans="1:5">
      <c r="B505" s="84" t="s">
        <v>9</v>
      </c>
      <c r="C505" s="86">
        <f>119353.753+52971.861</f>
        <v>172325.614</v>
      </c>
      <c r="D505" s="50">
        <f t="shared" si="11"/>
        <v>10356.769401400001</v>
      </c>
      <c r="E505" s="85"/>
    </row>
    <row r="506" spans="1:5">
      <c r="B506" s="84" t="s">
        <v>50</v>
      </c>
      <c r="C506" s="86">
        <v>336.16899999999998</v>
      </c>
      <c r="D506" s="50">
        <f t="shared" si="11"/>
        <v>20.203756899999998</v>
      </c>
      <c r="E506" s="85"/>
    </row>
    <row r="507" spans="1:5">
      <c r="B507" s="84" t="s">
        <v>51</v>
      </c>
      <c r="C507" s="50">
        <f>70647.759+96570.117</f>
        <v>167217.87599999999</v>
      </c>
      <c r="D507" s="50">
        <f t="shared" si="11"/>
        <v>10049.7943476</v>
      </c>
      <c r="E507" s="85"/>
    </row>
    <row r="508" spans="1:5">
      <c r="B508" s="87" t="s">
        <v>16</v>
      </c>
      <c r="C508" s="52">
        <f>SUM(C504:C507)</f>
        <v>344287.85199999996</v>
      </c>
      <c r="D508" s="52">
        <f t="shared" si="11"/>
        <v>20691.699905199999</v>
      </c>
      <c r="E508" s="88">
        <f>+C508/C515</f>
        <v>3.5411663906951931</v>
      </c>
    </row>
    <row r="509" spans="1:5">
      <c r="B509" s="84" t="s">
        <v>17</v>
      </c>
      <c r="C509" s="50">
        <f>Model!AT56</f>
        <v>243597.755</v>
      </c>
      <c r="D509" s="50">
        <f t="shared" si="11"/>
        <v>14640.2250755</v>
      </c>
      <c r="E509" s="89"/>
    </row>
    <row r="510" spans="1:5">
      <c r="B510" s="90" t="s">
        <v>18</v>
      </c>
      <c r="C510" s="52">
        <f>+C508-C509</f>
        <v>100690.09699999995</v>
      </c>
      <c r="D510" s="52">
        <f>+D508-D509</f>
        <v>6051.4748296999987</v>
      </c>
      <c r="E510" s="88">
        <f>+C510/C515</f>
        <v>1.0356461469695968</v>
      </c>
    </row>
    <row r="511" spans="1:5">
      <c r="B511" s="84"/>
      <c r="C511" s="57"/>
      <c r="D511" s="57"/>
      <c r="E511" s="91"/>
    </row>
    <row r="512" spans="1:5">
      <c r="B512" s="84" t="s">
        <v>19</v>
      </c>
      <c r="C512" s="50">
        <f>Model!AT60</f>
        <v>53640</v>
      </c>
      <c r="D512" s="50">
        <f>+C512/$C$516</f>
        <v>3223.7640000000001</v>
      </c>
      <c r="E512" s="91"/>
    </row>
    <row r="513" spans="2:5">
      <c r="B513" s="90" t="s">
        <v>20</v>
      </c>
      <c r="C513" s="52">
        <f>+C512+C510</f>
        <v>154330.09699999995</v>
      </c>
      <c r="D513" s="52">
        <f>+D512+D510</f>
        <v>9275.2388296999998</v>
      </c>
      <c r="E513" s="88">
        <f>+C513/C515</f>
        <v>1.587359383708749</v>
      </c>
    </row>
    <row r="514" spans="2:5">
      <c r="B514" s="84"/>
      <c r="C514" s="57"/>
      <c r="D514" s="50"/>
      <c r="E514" s="92"/>
    </row>
    <row r="515" spans="2:5">
      <c r="B515" s="84" t="s">
        <v>21</v>
      </c>
      <c r="C515" s="57">
        <f>Model!AT44</f>
        <v>97224.421000000002</v>
      </c>
      <c r="D515" s="57">
        <f>+C515/C517</f>
        <v>6183.4731756000001</v>
      </c>
      <c r="E515" s="85"/>
    </row>
    <row r="516" spans="2:5">
      <c r="B516" s="84" t="s">
        <v>22</v>
      </c>
      <c r="C516" s="122">
        <f>Model!AT95</f>
        <v>16.638935108153078</v>
      </c>
      <c r="D516" s="57"/>
      <c r="E516" s="93"/>
    </row>
    <row r="517" spans="2:5">
      <c r="B517" s="94" t="s">
        <v>23</v>
      </c>
      <c r="C517" s="121">
        <f>Model!AT96</f>
        <v>15.723270440251572</v>
      </c>
      <c r="D517" s="96"/>
      <c r="E517" s="97"/>
    </row>
    <row r="519" spans="2:5">
      <c r="B519" s="82" t="s">
        <v>25</v>
      </c>
      <c r="C519" s="68" t="s">
        <v>30</v>
      </c>
      <c r="D519" s="103" t="s">
        <v>31</v>
      </c>
    </row>
    <row r="520" spans="2:5">
      <c r="B520" s="98" t="s">
        <v>27</v>
      </c>
      <c r="C520" s="105">
        <f>C509</f>
        <v>243597.755</v>
      </c>
      <c r="D520" s="104">
        <f>C520/$C$516</f>
        <v>14640.2250755</v>
      </c>
    </row>
    <row r="521" spans="2:5">
      <c r="B521" s="100" t="s">
        <v>28</v>
      </c>
      <c r="C521" s="101">
        <f>SUM(C520:C520)</f>
        <v>243597.755</v>
      </c>
      <c r="D521" s="102">
        <f>SUM(D520:D520)</f>
        <v>14640.2250755</v>
      </c>
    </row>
    <row r="523" spans="2:5">
      <c r="B523" s="82" t="s">
        <v>29</v>
      </c>
      <c r="C523" s="68" t="s">
        <v>30</v>
      </c>
      <c r="D523" s="103" t="s">
        <v>31</v>
      </c>
    </row>
    <row r="524" spans="2:5">
      <c r="B524" s="98" t="s">
        <v>32</v>
      </c>
      <c r="C524" s="69">
        <f>Model!AT53</f>
        <v>191601.29499999998</v>
      </c>
      <c r="D524" s="104">
        <f t="shared" ref="D524:D529" si="12">C524/$C$516</f>
        <v>11515.2378295</v>
      </c>
    </row>
    <row r="525" spans="2:5">
      <c r="B525" s="98" t="s">
        <v>33</v>
      </c>
      <c r="C525" s="105">
        <v>44723.667000000001</v>
      </c>
      <c r="D525" s="104">
        <f t="shared" si="12"/>
        <v>2687.8923867000003</v>
      </c>
    </row>
    <row r="526" spans="2:5">
      <c r="B526" s="98" t="s">
        <v>34</v>
      </c>
      <c r="C526" s="105">
        <v>47051.05</v>
      </c>
      <c r="D526" s="104">
        <f t="shared" si="12"/>
        <v>2827.7681050000001</v>
      </c>
    </row>
    <row r="527" spans="2:5">
      <c r="B527" s="98" t="s">
        <v>35</v>
      </c>
      <c r="C527" s="105">
        <v>20203.955000000002</v>
      </c>
      <c r="D527" s="104">
        <f t="shared" si="12"/>
        <v>1214.2576955000002</v>
      </c>
    </row>
    <row r="528" spans="2:5">
      <c r="B528" s="98" t="s">
        <v>36</v>
      </c>
      <c r="C528" s="105">
        <v>10005.915999999999</v>
      </c>
      <c r="D528" s="104">
        <f t="shared" si="12"/>
        <v>601.35555160000001</v>
      </c>
    </row>
    <row r="529" spans="1:5">
      <c r="B529" s="99" t="s">
        <v>37</v>
      </c>
      <c r="C529" s="106">
        <v>30701.969000000001</v>
      </c>
      <c r="D529" s="104">
        <f t="shared" si="12"/>
        <v>1845.1883369000002</v>
      </c>
    </row>
    <row r="530" spans="1:5">
      <c r="B530" s="100" t="s">
        <v>28</v>
      </c>
      <c r="C530" s="101">
        <f>SUM(C524:C529)</f>
        <v>344287.85200000001</v>
      </c>
      <c r="D530" s="102">
        <f>SUM(D524:D529)</f>
        <v>20691.699905199999</v>
      </c>
    </row>
    <row r="533" spans="1:5">
      <c r="A533" s="54" t="s">
        <v>81</v>
      </c>
    </row>
    <row r="534" spans="1:5">
      <c r="B534" s="82" t="s">
        <v>82</v>
      </c>
      <c r="C534" s="68" t="s">
        <v>30</v>
      </c>
      <c r="D534" s="68" t="s">
        <v>31</v>
      </c>
      <c r="E534" s="83" t="s">
        <v>47</v>
      </c>
    </row>
    <row r="535" spans="1:5">
      <c r="B535" s="84"/>
      <c r="C535" s="48"/>
      <c r="D535" s="48"/>
      <c r="E535" s="85"/>
    </row>
    <row r="536" spans="1:5">
      <c r="B536" s="84" t="s">
        <v>49</v>
      </c>
      <c r="C536" s="86">
        <f>973.599+2907.193</f>
        <v>3880.7920000000004</v>
      </c>
      <c r="D536" s="50">
        <f>+C536/$C$550</f>
        <v>264.68367207747923</v>
      </c>
      <c r="E536" s="85"/>
    </row>
    <row r="537" spans="1:5">
      <c r="B537" s="84" t="s">
        <v>9</v>
      </c>
      <c r="C537" s="86">
        <f>106929.448+52023.396</f>
        <v>158952.84400000001</v>
      </c>
      <c r="D537" s="50">
        <f>+C537/$C$550</f>
        <v>10841.143363797572</v>
      </c>
      <c r="E537" s="85"/>
    </row>
    <row r="538" spans="1:5">
      <c r="B538" s="84" t="s">
        <v>83</v>
      </c>
      <c r="C538" s="50">
        <f>D538*$C$550</f>
        <v>10996.5</v>
      </c>
      <c r="D538" s="86">
        <v>750</v>
      </c>
      <c r="E538" s="85"/>
    </row>
    <row r="539" spans="1:5">
      <c r="B539" s="84" t="s">
        <v>84</v>
      </c>
      <c r="C539" s="50">
        <f>D539*$C$550</f>
        <v>10996.5</v>
      </c>
      <c r="D539" s="105">
        <v>750</v>
      </c>
      <c r="E539" s="85"/>
    </row>
    <row r="540" spans="1:5">
      <c r="B540" s="84" t="s">
        <v>50</v>
      </c>
      <c r="C540" s="86">
        <v>286.613</v>
      </c>
      <c r="D540" s="50">
        <f>+C540/$C$550</f>
        <v>19.548015277588323</v>
      </c>
      <c r="E540" s="85"/>
    </row>
    <row r="541" spans="1:5">
      <c r="B541" s="84" t="s">
        <v>85</v>
      </c>
      <c r="C541" s="50">
        <f>Model!AS55-SUM(Capitalisation!C536:C540)</f>
        <v>127239.35599999997</v>
      </c>
      <c r="D541" s="50">
        <f>+C541/$C$550</f>
        <v>8678.1718728686374</v>
      </c>
      <c r="E541" s="85"/>
    </row>
    <row r="542" spans="1:5">
      <c r="B542" s="87" t="s">
        <v>16</v>
      </c>
      <c r="C542" s="52">
        <f>SUM(C536:C541)</f>
        <v>312352.60499999998</v>
      </c>
      <c r="D542" s="52">
        <f>+C542/$C$550</f>
        <v>21303.546924021277</v>
      </c>
      <c r="E542" s="88">
        <f>+C542/C549</f>
        <v>4.7225086294866596</v>
      </c>
    </row>
    <row r="543" spans="1:5">
      <c r="B543" s="84" t="s">
        <v>17</v>
      </c>
      <c r="C543" s="50">
        <f>Model!AS56</f>
        <v>217267.24300000002</v>
      </c>
      <c r="D543" s="50">
        <f>+C543/$C$550</f>
        <v>14818.39060155504</v>
      </c>
      <c r="E543" s="89"/>
    </row>
    <row r="544" spans="1:5">
      <c r="B544" s="90" t="s">
        <v>18</v>
      </c>
      <c r="C544" s="52">
        <f>+C542-C543</f>
        <v>95085.361999999965</v>
      </c>
      <c r="D544" s="52">
        <f>+D542-D543</f>
        <v>6485.1563224662368</v>
      </c>
      <c r="E544" s="88">
        <f>+C544/C549</f>
        <v>1.4376106854715129</v>
      </c>
    </row>
    <row r="545" spans="2:5">
      <c r="B545" s="84"/>
      <c r="C545" s="57"/>
      <c r="D545" s="57"/>
      <c r="E545" s="91"/>
    </row>
    <row r="546" spans="2:5">
      <c r="B546" s="84" t="s">
        <v>19</v>
      </c>
      <c r="C546" s="50">
        <f>Model!AS60</f>
        <v>98450.4</v>
      </c>
      <c r="D546" s="50">
        <f>+C546/$C$550</f>
        <v>6714.6637566498421</v>
      </c>
      <c r="E546" s="91"/>
    </row>
    <row r="547" spans="2:5">
      <c r="B547" s="90" t="s">
        <v>20</v>
      </c>
      <c r="C547" s="52">
        <f>+C546+C544</f>
        <v>193535.76199999996</v>
      </c>
      <c r="D547" s="52">
        <f>+D546+D544</f>
        <v>13199.820079116078</v>
      </c>
      <c r="E547" s="88">
        <f>+C547/C549</f>
        <v>2.9260979147565496</v>
      </c>
    </row>
    <row r="548" spans="2:5">
      <c r="B548" s="84"/>
      <c r="C548" s="57"/>
      <c r="D548" s="50"/>
      <c r="E548" s="92"/>
    </row>
    <row r="549" spans="2:5">
      <c r="B549" s="84" t="s">
        <v>21</v>
      </c>
      <c r="C549" s="57">
        <f>Model!AS44</f>
        <v>66141.245999999999</v>
      </c>
      <c r="D549" s="57">
        <f>+C549/C551</f>
        <v>4731.1673187934102</v>
      </c>
      <c r="E549" s="85"/>
    </row>
    <row r="550" spans="2:5">
      <c r="B550" s="84" t="s">
        <v>22</v>
      </c>
      <c r="C550" s="107">
        <f>Model!AS95</f>
        <v>14.662000000000001</v>
      </c>
      <c r="D550" s="57"/>
      <c r="E550" s="93"/>
    </row>
    <row r="551" spans="2:5">
      <c r="B551" s="94" t="s">
        <v>23</v>
      </c>
      <c r="C551" s="95">
        <f>Model!AS96</f>
        <v>13.979900000000001</v>
      </c>
      <c r="D551" s="96"/>
      <c r="E551" s="97"/>
    </row>
    <row r="553" spans="2:5">
      <c r="B553" s="82" t="s">
        <v>25</v>
      </c>
      <c r="C553" s="68" t="s">
        <v>30</v>
      </c>
      <c r="D553" s="103" t="s">
        <v>31</v>
      </c>
    </row>
    <row r="554" spans="2:5">
      <c r="B554" s="98" t="s">
        <v>27</v>
      </c>
      <c r="C554" s="105">
        <f>C543</f>
        <v>217267.24300000002</v>
      </c>
      <c r="D554" s="104">
        <f>C554/$C$550</f>
        <v>14818.39060155504</v>
      </c>
    </row>
    <row r="555" spans="2:5">
      <c r="B555" s="100" t="s">
        <v>28</v>
      </c>
      <c r="C555" s="101">
        <f>SUM(C554:C554)</f>
        <v>217267.24300000002</v>
      </c>
      <c r="D555" s="102">
        <f>SUM(D554:D554)</f>
        <v>14818.39060155504</v>
      </c>
    </row>
    <row r="557" spans="2:5">
      <c r="B557" s="82" t="s">
        <v>29</v>
      </c>
      <c r="C557" s="68" t="s">
        <v>30</v>
      </c>
      <c r="D557" s="103" t="s">
        <v>31</v>
      </c>
    </row>
    <row r="558" spans="2:5">
      <c r="B558" s="98" t="s">
        <v>32</v>
      </c>
      <c r="C558" s="69">
        <f>Model!AS53</f>
        <v>164129.35499999998</v>
      </c>
      <c r="D558" s="104">
        <f t="shared" ref="D558:D563" si="13">C558/$C$550</f>
        <v>11194.199631700994</v>
      </c>
    </row>
    <row r="559" spans="2:5">
      <c r="B559" s="98" t="s">
        <v>33</v>
      </c>
      <c r="C559" s="105">
        <v>54343.103999999999</v>
      </c>
      <c r="D559" s="104">
        <f t="shared" si="13"/>
        <v>3706.3909425726365</v>
      </c>
    </row>
    <row r="560" spans="2:5">
      <c r="B560" s="98" t="s">
        <v>34</v>
      </c>
      <c r="C560" s="105">
        <v>40511.337</v>
      </c>
      <c r="D560" s="104">
        <f t="shared" si="13"/>
        <v>2763.0157550129584</v>
      </c>
    </row>
    <row r="561" spans="1:11">
      <c r="B561" s="98" t="s">
        <v>35</v>
      </c>
      <c r="C561" s="105">
        <v>18216.788</v>
      </c>
      <c r="D561" s="104">
        <f t="shared" si="13"/>
        <v>1242.4490519710816</v>
      </c>
    </row>
    <row r="562" spans="1:11">
      <c r="B562" s="98" t="s">
        <v>36</v>
      </c>
      <c r="C562" s="105">
        <v>9817.6869999999999</v>
      </c>
      <c r="D562" s="104">
        <f t="shared" si="13"/>
        <v>669.60080480152772</v>
      </c>
    </row>
    <row r="563" spans="1:11">
      <c r="B563" s="99" t="s">
        <v>37</v>
      </c>
      <c r="C563" s="106">
        <v>25334.333999999999</v>
      </c>
      <c r="D563" s="104">
        <f t="shared" si="13"/>
        <v>1727.8907379620787</v>
      </c>
    </row>
    <row r="564" spans="1:11">
      <c r="B564" s="100" t="s">
        <v>28</v>
      </c>
      <c r="C564" s="101">
        <f>SUM(C558:C563)</f>
        <v>312352.60499999992</v>
      </c>
      <c r="D564" s="102">
        <f>SUM(D558:D563)</f>
        <v>21303.546924021277</v>
      </c>
    </row>
    <row r="568" spans="1:11">
      <c r="A568" s="54" t="s">
        <v>86</v>
      </c>
    </row>
    <row r="569" spans="1:11">
      <c r="B569" s="82" t="s">
        <v>87</v>
      </c>
      <c r="C569" s="68" t="s">
        <v>30</v>
      </c>
      <c r="D569" s="68" t="s">
        <v>31</v>
      </c>
      <c r="E569" s="83" t="s">
        <v>47</v>
      </c>
    </row>
    <row r="570" spans="1:11" s="47" customFormat="1" ht="27.75" customHeight="1">
      <c r="A570" s="49"/>
      <c r="B570" s="84"/>
      <c r="C570" s="48"/>
      <c r="D570" s="48"/>
      <c r="E570" s="85"/>
      <c r="F570" s="49"/>
      <c r="G570" s="49"/>
      <c r="H570" s="49"/>
      <c r="I570" s="49"/>
      <c r="J570" s="49"/>
      <c r="K570" s="49"/>
    </row>
    <row r="571" spans="1:11">
      <c r="B571" s="84" t="s">
        <v>49</v>
      </c>
      <c r="C571" s="86">
        <f>779.752+2649.349</f>
        <v>3429.1010000000001</v>
      </c>
      <c r="D571" s="50">
        <f>+C571/$C$585</f>
        <v>257.86979801170116</v>
      </c>
      <c r="E571" s="85"/>
    </row>
    <row r="572" spans="1:11">
      <c r="B572" s="84" t="s">
        <v>9</v>
      </c>
      <c r="C572" s="86">
        <f>82989.77+58534.119</f>
        <v>141523.889</v>
      </c>
      <c r="D572" s="50">
        <f>+C572/$C$585</f>
        <v>10642.654348839656</v>
      </c>
      <c r="E572" s="85"/>
    </row>
    <row r="573" spans="1:11">
      <c r="B573" s="84" t="s">
        <v>83</v>
      </c>
      <c r="C573" s="50">
        <f>D573*$C$585</f>
        <v>9973.35</v>
      </c>
      <c r="D573" s="86">
        <v>750</v>
      </c>
      <c r="E573" s="85"/>
    </row>
    <row r="574" spans="1:11">
      <c r="B574" s="84" t="s">
        <v>84</v>
      </c>
      <c r="C574" s="50">
        <f>D574*$C$585</f>
        <v>9973.35</v>
      </c>
      <c r="D574" s="105">
        <v>750</v>
      </c>
      <c r="E574" s="85"/>
    </row>
    <row r="575" spans="1:11" s="54" customFormat="1">
      <c r="A575" s="49"/>
      <c r="B575" s="84" t="s">
        <v>50</v>
      </c>
      <c r="C575" s="86">
        <v>251.01300000000001</v>
      </c>
      <c r="D575" s="50">
        <f>+C575/$C$585</f>
        <v>18.876280286964761</v>
      </c>
      <c r="E575" s="85"/>
      <c r="F575" s="49"/>
      <c r="G575" s="49"/>
      <c r="H575" s="49"/>
      <c r="I575" s="49"/>
      <c r="J575" s="49"/>
      <c r="K575" s="49"/>
    </row>
    <row r="576" spans="1:11">
      <c r="B576" s="84" t="s">
        <v>85</v>
      </c>
      <c r="C576" s="50">
        <f>Model!AR55-SUM(Capitalisation!C571:C575)</f>
        <v>121138.93700000001</v>
      </c>
      <c r="D576" s="50">
        <f>+C576/$C$585</f>
        <v>9109.6976191550475</v>
      </c>
      <c r="E576" s="85"/>
    </row>
    <row r="577" spans="2:5">
      <c r="B577" s="87" t="s">
        <v>16</v>
      </c>
      <c r="C577" s="52">
        <f>SUM(C571:C576)</f>
        <v>286289.64</v>
      </c>
      <c r="D577" s="52">
        <f>+C577/$C$621</f>
        <v>32217.330242398326</v>
      </c>
      <c r="E577" s="88">
        <f>+C577/C584</f>
        <v>5.4856418236788071</v>
      </c>
    </row>
    <row r="578" spans="2:5">
      <c r="B578" s="84" t="s">
        <v>17</v>
      </c>
      <c r="C578" s="50">
        <f>Model!AR56</f>
        <v>197094.62299999999</v>
      </c>
      <c r="D578" s="50">
        <f>+C578/$C$585</f>
        <v>14821.596279083757</v>
      </c>
      <c r="E578" s="89"/>
    </row>
    <row r="579" spans="2:5">
      <c r="B579" s="90" t="s">
        <v>18</v>
      </c>
      <c r="C579" s="52">
        <f>+C577-C578</f>
        <v>89195.017000000022</v>
      </c>
      <c r="D579" s="52">
        <f>+D577-D578</f>
        <v>17395.733963314568</v>
      </c>
      <c r="E579" s="88">
        <f>+C579/C584</f>
        <v>1.7090800621319804</v>
      </c>
    </row>
    <row r="580" spans="2:5">
      <c r="B580" s="84"/>
      <c r="C580" s="57"/>
      <c r="D580" s="57"/>
      <c r="E580" s="91"/>
    </row>
    <row r="581" spans="2:5">
      <c r="B581" s="84" t="s">
        <v>19</v>
      </c>
      <c r="C581" s="50">
        <f>Model!AR60</f>
        <v>72085.2</v>
      </c>
      <c r="D581" s="50">
        <f>+C581/$C$585</f>
        <v>5420.8365293507195</v>
      </c>
      <c r="E581" s="91"/>
    </row>
    <row r="582" spans="2:5">
      <c r="B582" s="90" t="s">
        <v>20</v>
      </c>
      <c r="C582" s="52">
        <f>+C581+C579</f>
        <v>161280.217</v>
      </c>
      <c r="D582" s="52">
        <f>+D581+D579</f>
        <v>22816.570492665287</v>
      </c>
      <c r="E582" s="88">
        <f>+C582/C584</f>
        <v>3.0903161696916235</v>
      </c>
    </row>
    <row r="583" spans="2:5">
      <c r="B583" s="84"/>
      <c r="C583" s="57"/>
      <c r="D583" s="50"/>
      <c r="E583" s="92"/>
    </row>
    <row r="584" spans="2:5">
      <c r="B584" s="84" t="s">
        <v>21</v>
      </c>
      <c r="C584" s="57">
        <f>Model!AR44</f>
        <v>52188.904999999999</v>
      </c>
      <c r="D584" s="57">
        <f>+C584/C586</f>
        <v>5333.0851865571549</v>
      </c>
      <c r="E584" s="85"/>
    </row>
    <row r="585" spans="2:5">
      <c r="B585" s="84" t="s">
        <v>22</v>
      </c>
      <c r="C585" s="107">
        <f>Model!AR95</f>
        <v>13.297800000000001</v>
      </c>
      <c r="D585" s="57"/>
      <c r="E585" s="93"/>
    </row>
    <row r="586" spans="2:5">
      <c r="B586" s="94" t="s">
        <v>23</v>
      </c>
      <c r="C586" s="95">
        <f>Model!AR96</f>
        <v>9.7858750000000008</v>
      </c>
      <c r="D586" s="96"/>
      <c r="E586" s="97"/>
    </row>
    <row r="588" spans="2:5">
      <c r="B588" s="82" t="s">
        <v>25</v>
      </c>
      <c r="C588" s="68" t="s">
        <v>30</v>
      </c>
      <c r="D588" s="103" t="s">
        <v>31</v>
      </c>
    </row>
    <row r="589" spans="2:5">
      <c r="B589" s="98" t="s">
        <v>27</v>
      </c>
      <c r="C589" s="105">
        <f>C578</f>
        <v>197094.62299999999</v>
      </c>
      <c r="D589" s="104">
        <f>C589/$C$585</f>
        <v>14821.596279083757</v>
      </c>
    </row>
    <row r="590" spans="2:5">
      <c r="B590" s="100" t="s">
        <v>28</v>
      </c>
      <c r="C590" s="101">
        <f>SUM(C589:C589)</f>
        <v>197094.62299999999</v>
      </c>
      <c r="D590" s="102">
        <f>SUM(D589:D589)</f>
        <v>14821.596279083757</v>
      </c>
    </row>
    <row r="592" spans="2:5">
      <c r="B592" s="82" t="s">
        <v>29</v>
      </c>
      <c r="C592" s="68" t="s">
        <v>30</v>
      </c>
      <c r="D592" s="103" t="s">
        <v>31</v>
      </c>
    </row>
    <row r="593" spans="1:11">
      <c r="B593" s="98" t="s">
        <v>32</v>
      </c>
      <c r="C593" s="69">
        <f>Model!AR53</f>
        <v>123510.52899999999</v>
      </c>
      <c r="D593" s="104">
        <f t="shared" ref="D593:D598" si="14">C593/$C$585</f>
        <v>9288.0423077501528</v>
      </c>
    </row>
    <row r="594" spans="1:11">
      <c r="B594" s="98" t="s">
        <v>33</v>
      </c>
      <c r="C594" s="105">
        <v>67093.824999999997</v>
      </c>
      <c r="D594" s="104">
        <f t="shared" si="14"/>
        <v>5045.4830874279951</v>
      </c>
    </row>
    <row r="595" spans="1:11">
      <c r="B595" s="98" t="s">
        <v>34</v>
      </c>
      <c r="C595" s="105">
        <v>29903.368999999999</v>
      </c>
      <c r="D595" s="104">
        <f t="shared" si="14"/>
        <v>2248.7455819759657</v>
      </c>
    </row>
    <row r="596" spans="1:11">
      <c r="B596" s="98" t="s">
        <v>35</v>
      </c>
      <c r="C596" s="105">
        <v>31350.875</v>
      </c>
      <c r="D596" s="104">
        <f t="shared" si="14"/>
        <v>2357.5986253365218</v>
      </c>
    </row>
    <row r="597" spans="1:11">
      <c r="B597" s="98" t="s">
        <v>36</v>
      </c>
      <c r="C597" s="105">
        <v>11179.314</v>
      </c>
      <c r="D597" s="104">
        <f t="shared" si="14"/>
        <v>840.68898614808461</v>
      </c>
    </row>
    <row r="598" spans="1:11">
      <c r="B598" s="99" t="s">
        <v>37</v>
      </c>
      <c r="C598" s="106">
        <v>23251.727999999999</v>
      </c>
      <c r="D598" s="104">
        <f t="shared" si="14"/>
        <v>1748.5394576546496</v>
      </c>
    </row>
    <row r="599" spans="1:11">
      <c r="B599" s="100" t="s">
        <v>28</v>
      </c>
      <c r="C599" s="101">
        <f>SUM(C593:C598)</f>
        <v>286289.64</v>
      </c>
      <c r="D599" s="102">
        <f>SUM(D593:D598)</f>
        <v>21529.098046293373</v>
      </c>
    </row>
    <row r="602" spans="1:11">
      <c r="K602" s="47"/>
    </row>
    <row r="604" spans="1:11">
      <c r="A604" s="54" t="s">
        <v>88</v>
      </c>
    </row>
    <row r="605" spans="1:11">
      <c r="B605" s="82" t="s">
        <v>89</v>
      </c>
      <c r="C605" s="68" t="s">
        <v>30</v>
      </c>
      <c r="D605" s="68" t="s">
        <v>31</v>
      </c>
      <c r="E605" s="83" t="s">
        <v>47</v>
      </c>
    </row>
    <row r="606" spans="1:11">
      <c r="B606" s="84"/>
      <c r="C606" s="48"/>
      <c r="D606" s="48"/>
      <c r="E606" s="85"/>
    </row>
    <row r="607" spans="1:11">
      <c r="B607" s="84" t="s">
        <v>49</v>
      </c>
      <c r="C607" s="86">
        <f>656.919+2122.152</f>
        <v>2779.0709999999999</v>
      </c>
      <c r="D607" s="50">
        <f>+C607/$C$621</f>
        <v>312.7400913776417</v>
      </c>
      <c r="E607" s="85"/>
      <c r="K607" s="54"/>
    </row>
    <row r="608" spans="1:11">
      <c r="B608" s="84" t="s">
        <v>9</v>
      </c>
      <c r="C608" s="86">
        <f>65734.072+43503.59</f>
        <v>109237.662</v>
      </c>
      <c r="D608" s="50">
        <f>+C608/$C$621</f>
        <v>12292.955594067203</v>
      </c>
      <c r="E608" s="85"/>
    </row>
    <row r="609" spans="2:5">
      <c r="B609" s="84" t="s">
        <v>83</v>
      </c>
      <c r="C609" s="50">
        <f>D609*$C$621</f>
        <v>6664.6500000000005</v>
      </c>
      <c r="D609" s="86">
        <v>750</v>
      </c>
      <c r="E609" s="85"/>
    </row>
    <row r="610" spans="2:5">
      <c r="B610" s="84" t="s">
        <v>84</v>
      </c>
      <c r="C610" s="50">
        <f>D610*$C$621</f>
        <v>6664.6500000000005</v>
      </c>
      <c r="D610" s="105">
        <v>750</v>
      </c>
      <c r="E610" s="85"/>
    </row>
    <row r="611" spans="2:5">
      <c r="B611" s="84" t="s">
        <v>50</v>
      </c>
      <c r="C611" s="86">
        <v>164.56100000000001</v>
      </c>
      <c r="D611" s="50">
        <f>+C611/$C$621</f>
        <v>18.518714411109361</v>
      </c>
      <c r="E611" s="85"/>
    </row>
    <row r="612" spans="2:5">
      <c r="B612" s="84" t="s">
        <v>85</v>
      </c>
      <c r="C612" s="50">
        <f>Model!AQ55-SUM(Capitalisation!C607:C611)</f>
        <v>82942.542000000016</v>
      </c>
      <c r="D612" s="50">
        <f>+C612/$C$621</f>
        <v>9333.8594674889173</v>
      </c>
      <c r="E612" s="85"/>
    </row>
    <row r="613" spans="2:5">
      <c r="B613" s="87" t="s">
        <v>16</v>
      </c>
      <c r="C613" s="52">
        <f>SUM(C607:C612)</f>
        <v>208453.136</v>
      </c>
      <c r="D613" s="52">
        <f>+C613/$C$621</f>
        <v>23458.073867344869</v>
      </c>
      <c r="E613" s="88">
        <f>+C613/C620</f>
        <v>5.7403270954123009</v>
      </c>
    </row>
    <row r="614" spans="2:5">
      <c r="B614" s="84" t="s">
        <v>17</v>
      </c>
      <c r="C614" s="50">
        <f>Model!AQ56</f>
        <v>129694.08500000001</v>
      </c>
      <c r="D614" s="50">
        <f>+C614/$C$621</f>
        <v>14594.999549863835</v>
      </c>
      <c r="E614" s="89"/>
    </row>
    <row r="615" spans="2:5">
      <c r="B615" s="90" t="s">
        <v>18</v>
      </c>
      <c r="C615" s="52">
        <f>+C613-C614</f>
        <v>78759.050999999992</v>
      </c>
      <c r="D615" s="52">
        <f>+D613-D614</f>
        <v>8863.0743174810341</v>
      </c>
      <c r="E615" s="88">
        <f>+C615/C620</f>
        <v>2.1688458285619614</v>
      </c>
    </row>
    <row r="616" spans="2:5">
      <c r="B616" s="84"/>
      <c r="C616" s="57"/>
      <c r="D616" s="57"/>
      <c r="E616" s="91"/>
    </row>
    <row r="617" spans="2:5">
      <c r="B617" s="84" t="s">
        <v>19</v>
      </c>
      <c r="C617" s="50">
        <f>Model!AQ60</f>
        <v>79728.63</v>
      </c>
      <c r="D617" s="50">
        <f>+C617/$C$621</f>
        <v>8972.184960950688</v>
      </c>
      <c r="E617" s="91"/>
    </row>
    <row r="618" spans="2:5">
      <c r="B618" s="90" t="s">
        <v>20</v>
      </c>
      <c r="C618" s="52">
        <f>+C617+C615</f>
        <v>158487.68099999998</v>
      </c>
      <c r="D618" s="52">
        <f>+D617+D615</f>
        <v>17835.259278431724</v>
      </c>
      <c r="E618" s="88">
        <f>+C618/C620</f>
        <v>4.3643916661122395</v>
      </c>
    </row>
    <row r="619" spans="2:5">
      <c r="B619" s="84"/>
      <c r="C619" s="57"/>
      <c r="D619" s="50"/>
      <c r="E619" s="92"/>
    </row>
    <row r="620" spans="2:5">
      <c r="B620" s="84" t="s">
        <v>21</v>
      </c>
      <c r="C620" s="57">
        <f>Model!AQ44</f>
        <v>36313.808000000005</v>
      </c>
      <c r="D620" s="57">
        <f>+C620/C622</f>
        <v>4363.9978488744155</v>
      </c>
      <c r="E620" s="85"/>
    </row>
    <row r="621" spans="2:5">
      <c r="B621" s="84" t="s">
        <v>22</v>
      </c>
      <c r="C621" s="107">
        <f>Model!AQ95</f>
        <v>8.8862000000000005</v>
      </c>
      <c r="D621" s="57"/>
      <c r="E621" s="93"/>
    </row>
    <row r="622" spans="2:5">
      <c r="B622" s="94" t="s">
        <v>23</v>
      </c>
      <c r="C622" s="95">
        <f>Model!AQ96</f>
        <v>8.3212250000000001</v>
      </c>
      <c r="D622" s="96"/>
      <c r="E622" s="97"/>
    </row>
    <row r="624" spans="2:5">
      <c r="B624" s="82" t="s">
        <v>25</v>
      </c>
      <c r="C624" s="68" t="s">
        <v>30</v>
      </c>
      <c r="D624" s="103" t="s">
        <v>31</v>
      </c>
    </row>
    <row r="625" spans="1:5">
      <c r="B625" s="98" t="s">
        <v>27</v>
      </c>
      <c r="C625" s="105">
        <f>C614</f>
        <v>129694.08500000001</v>
      </c>
      <c r="D625" s="104">
        <f>C625/$C$621</f>
        <v>14594.999549863835</v>
      </c>
    </row>
    <row r="626" spans="1:5">
      <c r="B626" s="100" t="s">
        <v>28</v>
      </c>
      <c r="C626" s="101">
        <f>SUM(C625:C625)</f>
        <v>129694.08500000001</v>
      </c>
      <c r="D626" s="102">
        <f>SUM(D625:D625)</f>
        <v>14594.999549863835</v>
      </c>
    </row>
    <row r="628" spans="1:5">
      <c r="B628" s="82" t="s">
        <v>29</v>
      </c>
      <c r="C628" s="68" t="s">
        <v>30</v>
      </c>
      <c r="D628" s="103" t="s">
        <v>31</v>
      </c>
    </row>
    <row r="629" spans="1:5">
      <c r="B629" s="98" t="s">
        <v>32</v>
      </c>
      <c r="C629" s="69">
        <f>Model!AQ53</f>
        <v>84780.353999999992</v>
      </c>
      <c r="D629" s="104">
        <f t="shared" ref="D629:D634" si="15">C629/$C$621</f>
        <v>9540.6758794535326</v>
      </c>
    </row>
    <row r="630" spans="1:5">
      <c r="B630" s="98" t="s">
        <v>33</v>
      </c>
      <c r="C630" s="105">
        <v>56296.972000000002</v>
      </c>
      <c r="D630" s="104">
        <f t="shared" si="15"/>
        <v>6335.3257860502799</v>
      </c>
    </row>
    <row r="631" spans="1:5">
      <c r="B631" s="98" t="s">
        <v>34</v>
      </c>
      <c r="C631" s="105">
        <v>15290.004999999999</v>
      </c>
      <c r="D631" s="104">
        <f t="shared" si="15"/>
        <v>1720.6460579325244</v>
      </c>
    </row>
    <row r="632" spans="1:5">
      <c r="B632" s="98" t="s">
        <v>35</v>
      </c>
      <c r="C632" s="105">
        <v>24604.859</v>
      </c>
      <c r="D632" s="104">
        <f t="shared" si="15"/>
        <v>2768.884224978056</v>
      </c>
    </row>
    <row r="633" spans="1:5">
      <c r="B633" s="98" t="s">
        <v>36</v>
      </c>
      <c r="C633" s="105">
        <v>9154.0519999999997</v>
      </c>
      <c r="D633" s="104">
        <f t="shared" si="15"/>
        <v>1030.142468096599</v>
      </c>
    </row>
    <row r="634" spans="1:5">
      <c r="B634" s="99" t="s">
        <v>37</v>
      </c>
      <c r="C634" s="106">
        <v>18326.894</v>
      </c>
      <c r="D634" s="104">
        <f t="shared" si="15"/>
        <v>2062.3994508338769</v>
      </c>
    </row>
    <row r="635" spans="1:5">
      <c r="B635" s="100" t="s">
        <v>28</v>
      </c>
      <c r="C635" s="101">
        <f>SUM(C629:C634)</f>
        <v>208453.136</v>
      </c>
      <c r="D635" s="102">
        <f>SUM(D629:D634)</f>
        <v>23458.073867344869</v>
      </c>
    </row>
    <row r="637" spans="1:5">
      <c r="A637" s="54" t="s">
        <v>90</v>
      </c>
    </row>
    <row r="638" spans="1:5">
      <c r="B638" s="82" t="s">
        <v>91</v>
      </c>
      <c r="C638" s="68" t="s">
        <v>30</v>
      </c>
      <c r="D638" s="68" t="s">
        <v>31</v>
      </c>
      <c r="E638" s="83" t="s">
        <v>47</v>
      </c>
    </row>
    <row r="639" spans="1:5">
      <c r="B639" s="84"/>
      <c r="C639" s="48"/>
      <c r="D639" s="48"/>
      <c r="E639" s="85"/>
    </row>
    <row r="640" spans="1:5">
      <c r="B640" s="84" t="s">
        <v>49</v>
      </c>
      <c r="C640" s="86">
        <f>678.187+2091.561</f>
        <v>2769.748</v>
      </c>
      <c r="D640" s="50">
        <f>+C640/$C$654</f>
        <v>318.08397262161793</v>
      </c>
      <c r="E640" s="85"/>
    </row>
    <row r="641" spans="2:5">
      <c r="B641" s="84" t="s">
        <v>9</v>
      </c>
      <c r="C641" s="86">
        <f>67080.768+44773.716</f>
        <v>111854.484</v>
      </c>
      <c r="D641" s="50">
        <f>+C641/$C$654</f>
        <v>12845.615783912905</v>
      </c>
      <c r="E641" s="85"/>
    </row>
    <row r="642" spans="2:5">
      <c r="B642" s="84" t="s">
        <v>83</v>
      </c>
      <c r="C642" s="50">
        <f>D642*$C$654</f>
        <v>6530.7</v>
      </c>
      <c r="D642" s="86">
        <v>750</v>
      </c>
      <c r="E642" s="85"/>
    </row>
    <row r="643" spans="2:5">
      <c r="B643" s="84" t="s">
        <v>84</v>
      </c>
      <c r="C643" s="50">
        <f>D643*$C$654</f>
        <v>6530.7</v>
      </c>
      <c r="D643" s="105">
        <v>750</v>
      </c>
      <c r="E643" s="85"/>
    </row>
    <row r="644" spans="2:5">
      <c r="B644" s="84" t="s">
        <v>50</v>
      </c>
      <c r="C644" s="86">
        <v>250.99</v>
      </c>
      <c r="D644" s="50">
        <f>+C644/$C$654</f>
        <v>28.824245486701276</v>
      </c>
      <c r="E644" s="85"/>
    </row>
    <row r="645" spans="2:5">
      <c r="B645" s="84" t="s">
        <v>85</v>
      </c>
      <c r="C645" s="50">
        <f>Model!AP55-SUM(Capitalisation!C640:C644)</f>
        <v>86570.872999999992</v>
      </c>
      <c r="D645" s="50">
        <f>+C645/$C$654</f>
        <v>9941.9901006017735</v>
      </c>
      <c r="E645" s="85"/>
    </row>
    <row r="646" spans="2:5">
      <c r="B646" s="87" t="s">
        <v>16</v>
      </c>
      <c r="C646" s="52">
        <f>SUM(C640:C645)</f>
        <v>214507.495</v>
      </c>
      <c r="D646" s="52">
        <f>+C646/$C$654</f>
        <v>24634.514102622998</v>
      </c>
      <c r="E646" s="88">
        <f>+C646/C653</f>
        <v>6.3577278979830458</v>
      </c>
    </row>
    <row r="647" spans="2:5">
      <c r="B647" s="84" t="s">
        <v>17</v>
      </c>
      <c r="C647" s="50">
        <f>Model!AP56</f>
        <v>128755.48499999999</v>
      </c>
      <c r="D647" s="50">
        <f>+C647/$C$654</f>
        <v>14786.564036014515</v>
      </c>
      <c r="E647" s="89"/>
    </row>
    <row r="648" spans="2:5">
      <c r="B648" s="90" t="s">
        <v>18</v>
      </c>
      <c r="C648" s="52">
        <f>+C646-C647</f>
        <v>85752.010000000009</v>
      </c>
      <c r="D648" s="52">
        <f>+D646-D647</f>
        <v>9847.9500666084823</v>
      </c>
      <c r="E648" s="88">
        <f>+C648/C653</f>
        <v>2.5415799400627992</v>
      </c>
    </row>
    <row r="649" spans="2:5">
      <c r="B649" s="84"/>
      <c r="C649" s="57"/>
      <c r="D649" s="57"/>
      <c r="E649" s="91"/>
    </row>
    <row r="650" spans="2:5">
      <c r="B650" s="84" t="s">
        <v>19</v>
      </c>
      <c r="C650" s="50">
        <f>Model!AP60</f>
        <v>46483.01</v>
      </c>
      <c r="D650" s="50">
        <f>+C650/$C$654</f>
        <v>5338.2114474711752</v>
      </c>
      <c r="E650" s="91"/>
    </row>
    <row r="651" spans="2:5">
      <c r="B651" s="90" t="s">
        <v>20</v>
      </c>
      <c r="C651" s="52">
        <f>+C650+C648</f>
        <v>132235.02000000002</v>
      </c>
      <c r="D651" s="52">
        <f>+D650+D648</f>
        <v>15186.161514079657</v>
      </c>
      <c r="E651" s="88">
        <f>+C651/C653</f>
        <v>3.9192769266376737</v>
      </c>
    </row>
    <row r="652" spans="2:5">
      <c r="B652" s="84"/>
      <c r="C652" s="57"/>
      <c r="D652" s="50"/>
      <c r="E652" s="92"/>
    </row>
    <row r="653" spans="2:5">
      <c r="B653" s="84" t="s">
        <v>21</v>
      </c>
      <c r="C653" s="57">
        <f>Model!AP44</f>
        <v>33739.647000000004</v>
      </c>
      <c r="D653" s="57">
        <f>+C653/C655</f>
        <v>4017.9639641785361</v>
      </c>
      <c r="E653" s="85"/>
    </row>
    <row r="654" spans="2:5">
      <c r="B654" s="84" t="s">
        <v>22</v>
      </c>
      <c r="C654" s="107">
        <f>Model!AP95</f>
        <v>8.7075999999999993</v>
      </c>
      <c r="D654" s="57"/>
      <c r="E654" s="93"/>
    </row>
    <row r="655" spans="2:5">
      <c r="B655" s="94" t="s">
        <v>23</v>
      </c>
      <c r="C655" s="95">
        <f>Model!AP96</f>
        <v>8.3971999999999998</v>
      </c>
      <c r="D655" s="96"/>
      <c r="E655" s="97"/>
    </row>
    <row r="657" spans="1:5">
      <c r="B657" s="82" t="s">
        <v>25</v>
      </c>
      <c r="C657" s="68" t="s">
        <v>30</v>
      </c>
      <c r="D657" s="103" t="s">
        <v>31</v>
      </c>
    </row>
    <row r="658" spans="1:5">
      <c r="B658" s="98" t="s">
        <v>27</v>
      </c>
      <c r="C658" s="105">
        <f>C647</f>
        <v>128755.48499999999</v>
      </c>
      <c r="D658" s="104">
        <f>C658/$C$654</f>
        <v>14786.564036014515</v>
      </c>
    </row>
    <row r="659" spans="1:5">
      <c r="B659" s="100" t="s">
        <v>28</v>
      </c>
      <c r="C659" s="101">
        <f>SUM(C658:C658)</f>
        <v>128755.48499999999</v>
      </c>
      <c r="D659" s="102">
        <f>SUM(D658:D658)</f>
        <v>14786.564036014515</v>
      </c>
    </row>
    <row r="661" spans="1:5">
      <c r="B661" s="82" t="s">
        <v>29</v>
      </c>
      <c r="C661" s="68" t="s">
        <v>30</v>
      </c>
      <c r="D661" s="103" t="s">
        <v>31</v>
      </c>
    </row>
    <row r="662" spans="1:5">
      <c r="B662" s="98" t="s">
        <v>32</v>
      </c>
      <c r="C662" s="69">
        <f>Model!AP53</f>
        <v>90487.940999999992</v>
      </c>
      <c r="D662" s="104">
        <f t="shared" ref="D662:D667" si="16">C662/$C$654</f>
        <v>10391.834833938168</v>
      </c>
    </row>
    <row r="663" spans="1:5">
      <c r="B663" s="98" t="s">
        <v>33</v>
      </c>
      <c r="C663" s="105">
        <v>57635.199999999997</v>
      </c>
      <c r="D663" s="104">
        <f t="shared" si="16"/>
        <v>6618.9535578115674</v>
      </c>
    </row>
    <row r="664" spans="1:5">
      <c r="B664" s="98" t="s">
        <v>34</v>
      </c>
      <c r="C664" s="105">
        <v>12812.851000000001</v>
      </c>
      <c r="D664" s="104">
        <f t="shared" si="16"/>
        <v>1471.4560843401168</v>
      </c>
    </row>
    <row r="665" spans="1:5">
      <c r="B665" s="98" t="s">
        <v>35</v>
      </c>
      <c r="C665" s="105">
        <v>26922.808000000001</v>
      </c>
      <c r="D665" s="104">
        <f t="shared" si="16"/>
        <v>3091.8746841839315</v>
      </c>
    </row>
    <row r="666" spans="1:5">
      <c r="B666" s="98" t="s">
        <v>36</v>
      </c>
      <c r="C666" s="105">
        <v>12481.233</v>
      </c>
      <c r="D666" s="104">
        <f t="shared" si="16"/>
        <v>1433.3723414029125</v>
      </c>
    </row>
    <row r="667" spans="1:5">
      <c r="B667" s="99" t="s">
        <v>37</v>
      </c>
      <c r="C667" s="106">
        <v>14167.361999999999</v>
      </c>
      <c r="D667" s="104">
        <f t="shared" si="16"/>
        <v>1627.0111167256191</v>
      </c>
    </row>
    <row r="668" spans="1:5">
      <c r="B668" s="100" t="s">
        <v>28</v>
      </c>
      <c r="C668" s="101">
        <f>SUM(C662:C667)</f>
        <v>214507.39499999999</v>
      </c>
      <c r="D668" s="102">
        <f>SUM(D662:D667)</f>
        <v>24634.502618402312</v>
      </c>
    </row>
    <row r="669" spans="1:5">
      <c r="A669" s="54" t="s">
        <v>92</v>
      </c>
    </row>
    <row r="670" spans="1:5">
      <c r="B670" s="82" t="s">
        <v>93</v>
      </c>
      <c r="C670" s="68" t="s">
        <v>30</v>
      </c>
      <c r="D670" s="68" t="s">
        <v>31</v>
      </c>
      <c r="E670" s="83" t="s">
        <v>47</v>
      </c>
    </row>
    <row r="671" spans="1:5">
      <c r="B671" s="84"/>
      <c r="C671" s="48"/>
      <c r="D671" s="48"/>
      <c r="E671" s="85"/>
    </row>
    <row r="672" spans="1:5">
      <c r="B672" s="84" t="s">
        <v>49</v>
      </c>
      <c r="C672" s="113"/>
      <c r="D672" s="114"/>
      <c r="E672" s="85"/>
    </row>
    <row r="673" spans="2:5">
      <c r="B673" s="84" t="s">
        <v>9</v>
      </c>
      <c r="C673" s="113"/>
      <c r="D673" s="114"/>
      <c r="E673" s="85"/>
    </row>
    <row r="674" spans="2:5">
      <c r="B674" s="84" t="s">
        <v>83</v>
      </c>
      <c r="C674" s="114"/>
      <c r="D674" s="113"/>
      <c r="E674" s="85"/>
    </row>
    <row r="675" spans="2:5">
      <c r="B675" s="84" t="s">
        <v>84</v>
      </c>
      <c r="C675" s="114"/>
      <c r="D675" s="113"/>
      <c r="E675" s="85"/>
    </row>
    <row r="676" spans="2:5">
      <c r="B676" s="84" t="s">
        <v>50</v>
      </c>
      <c r="C676" s="113"/>
      <c r="D676" s="114"/>
      <c r="E676" s="85"/>
    </row>
    <row r="677" spans="2:5">
      <c r="B677" s="84" t="s">
        <v>85</v>
      </c>
      <c r="C677" s="114"/>
      <c r="D677" s="114"/>
      <c r="E677" s="85"/>
    </row>
    <row r="678" spans="2:5">
      <c r="B678" s="87" t="s">
        <v>16</v>
      </c>
      <c r="C678" s="52">
        <f>Model!L55</f>
        <v>181807.24400000001</v>
      </c>
      <c r="D678" s="52">
        <f>+C678/$C$686</f>
        <v>24439.085385525326</v>
      </c>
      <c r="E678" s="88" t="e">
        <f>+C678/C685</f>
        <v>#REF!</v>
      </c>
    </row>
    <row r="679" spans="2:5">
      <c r="B679" s="84" t="s">
        <v>17</v>
      </c>
      <c r="C679" s="50">
        <f>Model!AN56</f>
        <v>109333.073</v>
      </c>
      <c r="D679" s="50">
        <f>+C679/$C$686</f>
        <v>14696.885821056028</v>
      </c>
      <c r="E679" s="89"/>
    </row>
    <row r="680" spans="2:5">
      <c r="B680" s="90" t="s">
        <v>18</v>
      </c>
      <c r="C680" s="52">
        <f>+C678-C679</f>
        <v>72474.171000000002</v>
      </c>
      <c r="D680" s="52">
        <f>+D678-D679</f>
        <v>9742.1995644692979</v>
      </c>
      <c r="E680" s="88" t="e">
        <f>+C680/C685</f>
        <v>#REF!</v>
      </c>
    </row>
    <row r="681" spans="2:5">
      <c r="B681" s="84"/>
      <c r="C681" s="57"/>
      <c r="D681" s="57"/>
      <c r="E681" s="91"/>
    </row>
    <row r="682" spans="2:5">
      <c r="B682" s="84" t="s">
        <v>19</v>
      </c>
      <c r="C682" s="50">
        <f>Model!AN60</f>
        <v>56703</v>
      </c>
      <c r="D682" s="50">
        <f>+C682/$C$686</f>
        <v>7622.1905581245301</v>
      </c>
      <c r="E682" s="91"/>
    </row>
    <row r="683" spans="2:5">
      <c r="B683" s="90" t="s">
        <v>20</v>
      </c>
      <c r="C683" s="52">
        <f>+C682+C680</f>
        <v>129177.171</v>
      </c>
      <c r="D683" s="52">
        <f>+D682+D680</f>
        <v>17364.390122593828</v>
      </c>
      <c r="E683" s="88" t="e">
        <f>+C683/C685</f>
        <v>#REF!</v>
      </c>
    </row>
    <row r="684" spans="2:5">
      <c r="B684" s="84"/>
      <c r="C684" s="57"/>
      <c r="D684" s="50"/>
      <c r="E684" s="92"/>
    </row>
    <row r="685" spans="2:5">
      <c r="B685" s="84" t="s">
        <v>21</v>
      </c>
      <c r="C685" s="57" t="e">
        <f>Model!#REF!</f>
        <v>#REF!</v>
      </c>
      <c r="D685" s="57" t="e">
        <f>+C685/C687</f>
        <v>#REF!</v>
      </c>
      <c r="E685" s="85"/>
    </row>
    <row r="686" spans="2:5">
      <c r="B686" s="84" t="s">
        <v>22</v>
      </c>
      <c r="C686" s="107">
        <f>Model!AN95</f>
        <v>7.4391999999999996</v>
      </c>
      <c r="D686" s="57"/>
      <c r="E686" s="93"/>
    </row>
    <row r="687" spans="2:5">
      <c r="B687" s="94" t="s">
        <v>23</v>
      </c>
      <c r="C687" s="95">
        <f>Model!AN96</f>
        <v>7.8632999999999997</v>
      </c>
      <c r="D687" s="96"/>
      <c r="E687" s="97"/>
    </row>
    <row r="689" spans="1:10">
      <c r="B689" s="82" t="s">
        <v>25</v>
      </c>
      <c r="C689" s="68" t="s">
        <v>30</v>
      </c>
      <c r="D689" s="103" t="s">
        <v>31</v>
      </c>
    </row>
    <row r="690" spans="1:10">
      <c r="B690" s="98" t="s">
        <v>27</v>
      </c>
      <c r="C690" s="105">
        <f>C679</f>
        <v>109333.073</v>
      </c>
      <c r="D690" s="104">
        <f>C690/$C$686</f>
        <v>14696.885821056028</v>
      </c>
    </row>
    <row r="691" spans="1:10">
      <c r="B691" s="100" t="s">
        <v>28</v>
      </c>
      <c r="C691" s="101">
        <f>SUM(C690:C690)</f>
        <v>109333.073</v>
      </c>
      <c r="D691" s="102">
        <f>SUM(D690:D690)</f>
        <v>14696.885821056028</v>
      </c>
    </row>
    <row r="693" spans="1:10">
      <c r="B693" s="82" t="s">
        <v>29</v>
      </c>
      <c r="C693" s="68" t="s">
        <v>30</v>
      </c>
      <c r="D693" s="103" t="s">
        <v>31</v>
      </c>
    </row>
    <row r="694" spans="1:10">
      <c r="B694" s="98" t="s">
        <v>32</v>
      </c>
      <c r="C694" s="114"/>
      <c r="D694" s="115"/>
    </row>
    <row r="695" spans="1:10">
      <c r="B695" s="98" t="s">
        <v>33</v>
      </c>
      <c r="C695" s="113"/>
      <c r="D695" s="115"/>
    </row>
    <row r="696" spans="1:10">
      <c r="B696" s="98" t="s">
        <v>34</v>
      </c>
      <c r="C696" s="113"/>
      <c r="D696" s="115"/>
      <c r="J696" s="47"/>
    </row>
    <row r="697" spans="1:10">
      <c r="B697" s="98" t="s">
        <v>35</v>
      </c>
      <c r="C697" s="113"/>
      <c r="D697" s="115"/>
    </row>
    <row r="698" spans="1:10">
      <c r="B698" s="98" t="s">
        <v>36</v>
      </c>
      <c r="C698" s="113"/>
      <c r="D698" s="115"/>
    </row>
    <row r="699" spans="1:10">
      <c r="B699" s="99" t="s">
        <v>37</v>
      </c>
      <c r="C699" s="116"/>
      <c r="D699" s="115"/>
    </row>
    <row r="700" spans="1:10">
      <c r="B700" s="100" t="s">
        <v>28</v>
      </c>
      <c r="C700" s="117"/>
      <c r="D700" s="118"/>
    </row>
    <row r="701" spans="1:10">
      <c r="A701" s="54" t="s">
        <v>94</v>
      </c>
      <c r="J701" s="54"/>
    </row>
    <row r="702" spans="1:10">
      <c r="B702" s="82" t="s">
        <v>95</v>
      </c>
      <c r="C702" s="68" t="s">
        <v>30</v>
      </c>
      <c r="D702" s="68" t="s">
        <v>31</v>
      </c>
      <c r="E702" s="83" t="s">
        <v>47</v>
      </c>
    </row>
    <row r="703" spans="1:10">
      <c r="B703" s="84"/>
      <c r="C703" s="48"/>
      <c r="D703" s="48"/>
      <c r="E703" s="85"/>
    </row>
    <row r="704" spans="1:10">
      <c r="B704" s="84" t="s">
        <v>49</v>
      </c>
      <c r="C704" s="86">
        <f>552.645+2100.833</f>
        <v>2653.4780000000001</v>
      </c>
      <c r="D704" s="50">
        <f>+C704/$C$718</f>
        <v>343.68360381830666</v>
      </c>
      <c r="E704" s="85"/>
    </row>
    <row r="705" spans="2:5">
      <c r="B705" s="84" t="s">
        <v>9</v>
      </c>
      <c r="C705" s="86">
        <f>57104.187+45021.933</f>
        <v>102126.12</v>
      </c>
      <c r="D705" s="50">
        <f>+C705/$C$718</f>
        <v>13227.572629424792</v>
      </c>
      <c r="E705" s="85"/>
    </row>
    <row r="706" spans="2:5">
      <c r="B706" s="84" t="s">
        <v>83</v>
      </c>
      <c r="C706" s="50">
        <f>D706*$C$718</f>
        <v>5790.5249999999996</v>
      </c>
      <c r="D706" s="86">
        <v>750</v>
      </c>
      <c r="E706" s="85"/>
    </row>
    <row r="707" spans="2:5">
      <c r="B707" s="84" t="s">
        <v>84</v>
      </c>
      <c r="C707" s="50">
        <f>D707*$C$718</f>
        <v>5790.5249999999996</v>
      </c>
      <c r="D707" s="105">
        <v>750</v>
      </c>
      <c r="E707" s="85"/>
    </row>
    <row r="708" spans="2:5">
      <c r="B708" s="84" t="s">
        <v>50</v>
      </c>
      <c r="C708" s="86">
        <v>176.92400000000001</v>
      </c>
      <c r="D708" s="50">
        <f>+C708/$C$718</f>
        <v>22.915538746486718</v>
      </c>
      <c r="E708" s="85"/>
    </row>
    <row r="709" spans="2:5">
      <c r="B709" s="84" t="s">
        <v>85</v>
      </c>
      <c r="C709" s="50">
        <f>Model!AM55-SUM(Capitalisation!C704:C708)</f>
        <v>72334.135000000009</v>
      </c>
      <c r="D709" s="50">
        <f>+C709/$C$718</f>
        <v>9368.8570984496237</v>
      </c>
      <c r="E709" s="85"/>
    </row>
    <row r="710" spans="2:5">
      <c r="B710" s="87" t="s">
        <v>16</v>
      </c>
      <c r="C710" s="52">
        <f>SUM(C704:C709)</f>
        <v>188871.70699999999</v>
      </c>
      <c r="D710" s="52">
        <f>SUM(D704:D709)</f>
        <v>24463.028870439208</v>
      </c>
      <c r="E710" s="88">
        <f>+C710/C717</f>
        <v>9.0327293952736287</v>
      </c>
    </row>
    <row r="711" spans="2:5">
      <c r="B711" s="84" t="s">
        <v>17</v>
      </c>
      <c r="C711" s="50">
        <f>Model!AM56</f>
        <v>106636.859</v>
      </c>
      <c r="D711" s="50">
        <f>+C711/$C$718</f>
        <v>13811.812270908078</v>
      </c>
      <c r="E711" s="89"/>
    </row>
    <row r="712" spans="2:5">
      <c r="B712" s="90" t="s">
        <v>18</v>
      </c>
      <c r="C712" s="52">
        <f>+C710-C711</f>
        <v>82234.847999999998</v>
      </c>
      <c r="D712" s="52">
        <f>+D710-D711</f>
        <v>10651.21659953113</v>
      </c>
      <c r="E712" s="88">
        <f>+C712/C717</f>
        <v>3.9328554850486888</v>
      </c>
    </row>
    <row r="713" spans="2:5">
      <c r="B713" s="84"/>
      <c r="C713" s="57"/>
      <c r="D713" s="57"/>
      <c r="E713" s="91"/>
    </row>
    <row r="714" spans="2:5">
      <c r="B714" s="84" t="s">
        <v>19</v>
      </c>
      <c r="C714" s="50">
        <f>Model!AM60</f>
        <v>36379.938399999999</v>
      </c>
      <c r="D714" s="50">
        <f>+C714/$C$718</f>
        <v>4712</v>
      </c>
      <c r="E714" s="91"/>
    </row>
    <row r="715" spans="2:5">
      <c r="B715" s="90" t="s">
        <v>20</v>
      </c>
      <c r="C715" s="52">
        <f>+C714+C712</f>
        <v>118614.7864</v>
      </c>
      <c r="D715" s="52">
        <f>+D714+D712</f>
        <v>15363.21659953113</v>
      </c>
      <c r="E715" s="88">
        <f>+C715/C717</f>
        <v>5.6727144835376677</v>
      </c>
    </row>
    <row r="716" spans="2:5">
      <c r="B716" s="84"/>
      <c r="C716" s="57"/>
      <c r="D716" s="50"/>
      <c r="E716" s="92"/>
    </row>
    <row r="717" spans="2:5">
      <c r="B717" s="84" t="s">
        <v>21</v>
      </c>
      <c r="C717" s="57">
        <f>Model!AM44</f>
        <v>20909.705000000002</v>
      </c>
      <c r="D717" s="57">
        <f>+C717/C719</f>
        <v>3082.0271505217856</v>
      </c>
      <c r="E717" s="85"/>
    </row>
    <row r="718" spans="2:5">
      <c r="B718" s="84" t="s">
        <v>22</v>
      </c>
      <c r="C718" s="107">
        <f>Model!AM95</f>
        <v>7.7206999999999999</v>
      </c>
      <c r="D718" s="57"/>
      <c r="E718" s="93"/>
    </row>
    <row r="719" spans="2:5">
      <c r="B719" s="94" t="s">
        <v>23</v>
      </c>
      <c r="C719" s="95">
        <f>Model!AM96</f>
        <v>6.7843999999999998</v>
      </c>
      <c r="D719" s="96"/>
      <c r="E719" s="97"/>
    </row>
    <row r="721" spans="1:5">
      <c r="B721" s="82" t="s">
        <v>25</v>
      </c>
      <c r="C721" s="68" t="s">
        <v>30</v>
      </c>
      <c r="D721" s="103" t="s">
        <v>31</v>
      </c>
    </row>
    <row r="722" spans="1:5">
      <c r="B722" s="98" t="s">
        <v>27</v>
      </c>
      <c r="C722" s="105">
        <f>C711</f>
        <v>106636.859</v>
      </c>
      <c r="D722" s="104">
        <f>C722/$C$718</f>
        <v>13811.812270908078</v>
      </c>
    </row>
    <row r="723" spans="1:5">
      <c r="B723" s="100" t="s">
        <v>28</v>
      </c>
      <c r="C723" s="101">
        <f>SUM(C722:C722)</f>
        <v>106636.859</v>
      </c>
      <c r="D723" s="102">
        <f>SUM(D722:D722)</f>
        <v>13811.812270908078</v>
      </c>
    </row>
    <row r="725" spans="1:5">
      <c r="B725" s="82" t="s">
        <v>29</v>
      </c>
      <c r="C725" s="68" t="s">
        <v>30</v>
      </c>
      <c r="D725" s="103" t="s">
        <v>31</v>
      </c>
    </row>
    <row r="726" spans="1:5">
      <c r="B726" s="98" t="s">
        <v>32</v>
      </c>
      <c r="C726" s="69">
        <f>Model!AM53</f>
        <v>75445.84599999999</v>
      </c>
      <c r="D726" s="104">
        <f t="shared" ref="D726:D731" si="17">C726/$C$718</f>
        <v>9771.8919268978188</v>
      </c>
    </row>
    <row r="727" spans="1:5">
      <c r="B727" s="98" t="s">
        <v>33</v>
      </c>
      <c r="C727" s="105">
        <v>29349.760999999999</v>
      </c>
      <c r="D727" s="104">
        <f t="shared" si="17"/>
        <v>3801.437822995324</v>
      </c>
    </row>
    <row r="728" spans="1:5">
      <c r="B728" s="98" t="s">
        <v>34</v>
      </c>
      <c r="C728" s="105">
        <v>28144.401999999998</v>
      </c>
      <c r="D728" s="104">
        <f t="shared" si="17"/>
        <v>3645.3173935005893</v>
      </c>
    </row>
    <row r="729" spans="1:5">
      <c r="B729" s="98" t="s">
        <v>35</v>
      </c>
      <c r="C729" s="105">
        <v>10971.901</v>
      </c>
      <c r="D729" s="104">
        <f t="shared" si="17"/>
        <v>1421.1018430971285</v>
      </c>
    </row>
    <row r="730" spans="1:5">
      <c r="B730" s="98" t="s">
        <v>36</v>
      </c>
      <c r="C730" s="105">
        <v>26538.406999999999</v>
      </c>
      <c r="D730" s="104">
        <f t="shared" si="17"/>
        <v>3437.3058142396412</v>
      </c>
    </row>
    <row r="731" spans="1:5">
      <c r="B731" s="99" t="s">
        <v>37</v>
      </c>
      <c r="C731" s="106">
        <v>18421.39</v>
      </c>
      <c r="D731" s="104">
        <f t="shared" si="17"/>
        <v>2385.974069708705</v>
      </c>
    </row>
    <row r="732" spans="1:5">
      <c r="B732" s="100" t="s">
        <v>28</v>
      </c>
      <c r="C732" s="101">
        <f>SUM(C726:C731)</f>
        <v>188871.70699999999</v>
      </c>
      <c r="D732" s="102">
        <f>SUM(D726:D731)</f>
        <v>24463.028870439204</v>
      </c>
    </row>
    <row r="733" spans="1:5">
      <c r="A733" s="54" t="s">
        <v>96</v>
      </c>
    </row>
    <row r="734" spans="1:5">
      <c r="B734" s="82" t="s">
        <v>97</v>
      </c>
      <c r="C734" s="68" t="s">
        <v>30</v>
      </c>
      <c r="D734" s="68" t="s">
        <v>31</v>
      </c>
      <c r="E734" s="83" t="s">
        <v>47</v>
      </c>
    </row>
    <row r="735" spans="1:5">
      <c r="B735" s="84"/>
      <c r="C735" s="48"/>
      <c r="D735" s="48"/>
      <c r="E735" s="85"/>
    </row>
    <row r="736" spans="1:5">
      <c r="B736" s="84" t="s">
        <v>49</v>
      </c>
      <c r="C736" s="86">
        <f>512.09+1973.895</f>
        <v>2485.9850000000001</v>
      </c>
      <c r="D736" s="50">
        <f>+C736/$C$750</f>
        <v>362.76393935414205</v>
      </c>
      <c r="E736" s="85"/>
    </row>
    <row r="737" spans="2:5">
      <c r="B737" s="84" t="s">
        <v>9</v>
      </c>
      <c r="C737" s="86">
        <f>56805.383+37868.645</f>
        <v>94674.027999999991</v>
      </c>
      <c r="D737" s="50">
        <f>+C737/$C$750</f>
        <v>13815.177224240831</v>
      </c>
      <c r="E737" s="85"/>
    </row>
    <row r="738" spans="2:5">
      <c r="B738" s="84" t="s">
        <v>83</v>
      </c>
      <c r="C738" s="50">
        <f>D738*$C$750</f>
        <v>5139.6750000000002</v>
      </c>
      <c r="D738" s="86">
        <v>750</v>
      </c>
      <c r="E738" s="85"/>
    </row>
    <row r="739" spans="2:5">
      <c r="B739" s="84" t="s">
        <v>84</v>
      </c>
      <c r="C739" s="50">
        <f>D739*$C$750</f>
        <v>5139.6750000000002</v>
      </c>
      <c r="D739" s="105">
        <v>750</v>
      </c>
      <c r="E739" s="85"/>
    </row>
    <row r="740" spans="2:5">
      <c r="B740" s="84" t="s">
        <v>50</v>
      </c>
      <c r="C740" s="86">
        <v>120.57</v>
      </c>
      <c r="D740" s="50">
        <f>+C740/$C$750</f>
        <v>17.594011294488464</v>
      </c>
      <c r="E740" s="85"/>
    </row>
    <row r="741" spans="2:5">
      <c r="B741" s="84" t="s">
        <v>85</v>
      </c>
      <c r="C741" s="50">
        <f>Model!AL55-SUM(Capitalisation!C736:C740)</f>
        <v>67623.504000000001</v>
      </c>
      <c r="D741" s="50">
        <f>+C741/$C$750</f>
        <v>9867.8667425469503</v>
      </c>
      <c r="E741" s="85"/>
    </row>
    <row r="742" spans="2:5">
      <c r="B742" s="87" t="s">
        <v>16</v>
      </c>
      <c r="C742" s="52">
        <f>SUM(C736:C741)</f>
        <v>175183.43700000001</v>
      </c>
      <c r="D742" s="52">
        <f>SUM(D736:D741)</f>
        <v>25563.401917436411</v>
      </c>
      <c r="E742" s="88">
        <f>+C742/C749</f>
        <v>11.832319971318771</v>
      </c>
    </row>
    <row r="743" spans="2:5">
      <c r="B743" s="84" t="s">
        <v>17</v>
      </c>
      <c r="C743" s="50">
        <f>Model!AL56</f>
        <v>101169.16699999999</v>
      </c>
      <c r="D743" s="50">
        <f>+C743/$C$750</f>
        <v>14762.971442746864</v>
      </c>
      <c r="E743" s="89"/>
    </row>
    <row r="744" spans="2:5">
      <c r="B744" s="90" t="s">
        <v>18</v>
      </c>
      <c r="C744" s="52">
        <f>+C742-C743</f>
        <v>74014.270000000019</v>
      </c>
      <c r="D744" s="52">
        <f>+D742-D743</f>
        <v>10800.430474689547</v>
      </c>
      <c r="E744" s="88">
        <f>+C744/C749</f>
        <v>4.9991057378534016</v>
      </c>
    </row>
    <row r="745" spans="2:5">
      <c r="B745" s="84"/>
      <c r="C745" s="57"/>
      <c r="D745" s="57"/>
      <c r="E745" s="91"/>
    </row>
    <row r="746" spans="2:5">
      <c r="B746" s="84" t="s">
        <v>19</v>
      </c>
      <c r="C746" s="50">
        <f>Model!AL60</f>
        <v>45646.164900000003</v>
      </c>
      <c r="D746" s="50">
        <f>+C746/$C$750</f>
        <v>6660.8537845291776</v>
      </c>
      <c r="E746" s="91"/>
    </row>
    <row r="747" spans="2:5">
      <c r="B747" s="90" t="s">
        <v>20</v>
      </c>
      <c r="C747" s="52">
        <f>+C746+C744</f>
        <v>119660.43490000002</v>
      </c>
      <c r="D747" s="52">
        <f>+D746+D744</f>
        <v>17461.284259218723</v>
      </c>
      <c r="E747" s="88">
        <f>+C747/C749</f>
        <v>8.0821599227098151</v>
      </c>
    </row>
    <row r="748" spans="2:5">
      <c r="B748" s="84"/>
      <c r="C748" s="57"/>
      <c r="D748" s="50"/>
      <c r="E748" s="92"/>
    </row>
    <row r="749" spans="2:5">
      <c r="B749" s="84" t="s">
        <v>21</v>
      </c>
      <c r="C749" s="57">
        <f>Model!AL44</f>
        <v>14805.502</v>
      </c>
      <c r="D749" s="57">
        <f>+C749/C751</f>
        <v>2422.6634485579875</v>
      </c>
      <c r="E749" s="85"/>
    </row>
    <row r="750" spans="2:5">
      <c r="B750" s="84" t="s">
        <v>22</v>
      </c>
      <c r="C750" s="107">
        <f>Model!AL95</f>
        <v>6.8529</v>
      </c>
      <c r="D750" s="57"/>
      <c r="E750" s="93"/>
    </row>
    <row r="751" spans="2:5">
      <c r="B751" s="94" t="s">
        <v>23</v>
      </c>
      <c r="C751" s="95">
        <f>AVERAGE(Model!AI96:AL96)</f>
        <v>6.1112499999999992</v>
      </c>
      <c r="D751" s="96"/>
      <c r="E751" s="97"/>
    </row>
    <row r="753" spans="1:9">
      <c r="B753" s="82" t="s">
        <v>25</v>
      </c>
      <c r="C753" s="68" t="s">
        <v>30</v>
      </c>
      <c r="D753" s="103" t="s">
        <v>31</v>
      </c>
    </row>
    <row r="754" spans="1:9">
      <c r="B754" s="98" t="s">
        <v>27</v>
      </c>
      <c r="C754" s="105">
        <f>C743</f>
        <v>101169.16699999999</v>
      </c>
      <c r="D754" s="104">
        <f>C754/$C$750</f>
        <v>14762.971442746864</v>
      </c>
    </row>
    <row r="755" spans="1:9">
      <c r="B755" s="100" t="s">
        <v>28</v>
      </c>
      <c r="C755" s="101">
        <f>SUM(C754:C754)</f>
        <v>101169.16699999999</v>
      </c>
      <c r="D755" s="102">
        <f>SUM(D754:D754)</f>
        <v>14762.971442746864</v>
      </c>
    </row>
    <row r="756" spans="1:9">
      <c r="G756" s="47"/>
      <c r="H756" s="47"/>
      <c r="I756" s="47"/>
    </row>
    <row r="757" spans="1:9">
      <c r="B757" s="82" t="s">
        <v>29</v>
      </c>
      <c r="C757" s="68" t="s">
        <v>30</v>
      </c>
      <c r="D757" s="103" t="s">
        <v>31</v>
      </c>
    </row>
    <row r="758" spans="1:9">
      <c r="B758" s="98" t="s">
        <v>32</v>
      </c>
      <c r="C758" s="69">
        <f>Model!AL53</f>
        <v>67987.214000000007</v>
      </c>
      <c r="D758" s="104">
        <f t="shared" ref="D758:D763" si="18">C758/$C$750</f>
        <v>9920.9406236775685</v>
      </c>
    </row>
    <row r="759" spans="1:9">
      <c r="B759" s="98" t="s">
        <v>33</v>
      </c>
      <c r="C759" s="105">
        <v>28243.612000000001</v>
      </c>
      <c r="D759" s="104">
        <f t="shared" si="18"/>
        <v>4121.4102058982326</v>
      </c>
    </row>
    <row r="760" spans="1:9">
      <c r="B760" s="98" t="s">
        <v>34</v>
      </c>
      <c r="C760" s="105">
        <v>26892.15</v>
      </c>
      <c r="D760" s="104">
        <f t="shared" si="18"/>
        <v>3924.1999737337478</v>
      </c>
    </row>
    <row r="761" spans="1:9">
      <c r="B761" s="98" t="s">
        <v>35</v>
      </c>
      <c r="C761" s="105">
        <v>10333.141</v>
      </c>
      <c r="D761" s="104">
        <f t="shared" si="18"/>
        <v>1507.8493776357454</v>
      </c>
      <c r="G761" s="54"/>
      <c r="H761" s="54"/>
      <c r="I761" s="54"/>
    </row>
    <row r="762" spans="1:9">
      <c r="B762" s="98" t="s">
        <v>36</v>
      </c>
      <c r="C762" s="105">
        <v>24269.276999999998</v>
      </c>
      <c r="D762" s="104">
        <f t="shared" si="18"/>
        <v>3541.4608413956134</v>
      </c>
    </row>
    <row r="763" spans="1:9">
      <c r="B763" s="99" t="s">
        <v>37</v>
      </c>
      <c r="C763" s="106">
        <v>17458.043000000001</v>
      </c>
      <c r="D763" s="104">
        <f t="shared" si="18"/>
        <v>2547.540895095507</v>
      </c>
    </row>
    <row r="764" spans="1:9">
      <c r="B764" s="100" t="s">
        <v>28</v>
      </c>
      <c r="C764" s="101">
        <f>SUM(C758:C763)</f>
        <v>175183.43700000001</v>
      </c>
      <c r="D764" s="102">
        <f>SUM(D758:D763)</f>
        <v>25563.401917436411</v>
      </c>
    </row>
    <row r="766" spans="1:9">
      <c r="A766" s="54" t="s">
        <v>98</v>
      </c>
    </row>
    <row r="767" spans="1:9">
      <c r="B767" s="82" t="s">
        <v>99</v>
      </c>
      <c r="C767" s="68" t="s">
        <v>30</v>
      </c>
      <c r="D767" s="68" t="s">
        <v>31</v>
      </c>
      <c r="E767" s="83" t="s">
        <v>47</v>
      </c>
    </row>
    <row r="768" spans="1:9">
      <c r="B768" s="84"/>
      <c r="C768" s="48"/>
      <c r="D768" s="48"/>
      <c r="E768" s="85"/>
    </row>
    <row r="769" spans="2:5">
      <c r="B769" s="84" t="s">
        <v>49</v>
      </c>
      <c r="C769" s="86">
        <f>316.918+1085.795</f>
        <v>1402.7130000000002</v>
      </c>
      <c r="D769" s="50">
        <f>+C769/$C$784</f>
        <v>235.79763986013987</v>
      </c>
      <c r="E769" s="85"/>
    </row>
    <row r="770" spans="2:5">
      <c r="B770" s="84" t="s">
        <v>9</v>
      </c>
      <c r="C770" s="86">
        <f>15694.128+17076.248</f>
        <v>32770.376000000004</v>
      </c>
      <c r="D770" s="50">
        <f>+C770/$C$784</f>
        <v>5508.7372243141481</v>
      </c>
      <c r="E770" s="85"/>
    </row>
    <row r="771" spans="2:5">
      <c r="B771" s="84" t="s">
        <v>83</v>
      </c>
      <c r="C771" s="50">
        <f>D771*$C$784</f>
        <v>4461.6000000000004</v>
      </c>
      <c r="D771" s="86">
        <v>750</v>
      </c>
      <c r="E771" s="85"/>
    </row>
    <row r="772" spans="2:5">
      <c r="B772" s="84" t="s">
        <v>84</v>
      </c>
      <c r="C772" s="50">
        <f>D772*$C$784</f>
        <v>4461.6000000000004</v>
      </c>
      <c r="D772" s="86">
        <v>750</v>
      </c>
      <c r="E772" s="85"/>
    </row>
    <row r="773" spans="2:5">
      <c r="B773" s="84" t="s">
        <v>100</v>
      </c>
      <c r="C773" s="50">
        <f>D773*$C$784</f>
        <v>4461.6000000000004</v>
      </c>
      <c r="D773" s="86">
        <v>750</v>
      </c>
      <c r="E773" s="85"/>
    </row>
    <row r="774" spans="2:5">
      <c r="B774" s="84" t="s">
        <v>50</v>
      </c>
      <c r="C774" s="86">
        <v>125.967</v>
      </c>
      <c r="D774" s="50">
        <f>+C774/$C$784</f>
        <v>21.175194997310381</v>
      </c>
      <c r="E774" s="85"/>
    </row>
    <row r="775" spans="2:5">
      <c r="B775" s="84" t="s">
        <v>85</v>
      </c>
      <c r="C775" s="50">
        <f>Model!AJ55-SUM(Capitalisation!C769:C774)</f>
        <v>12612.235000000001</v>
      </c>
      <c r="D775" s="50">
        <f>+C775/$C$784</f>
        <v>2120.1309507799892</v>
      </c>
      <c r="E775" s="85"/>
    </row>
    <row r="776" spans="2:5">
      <c r="B776" s="87" t="s">
        <v>16</v>
      </c>
      <c r="C776" s="52">
        <f>SUM(C769:C775)</f>
        <v>60296.091</v>
      </c>
      <c r="D776" s="52">
        <f>SUM(D769:D775)</f>
        <v>10135.841009951588</v>
      </c>
      <c r="E776" s="88">
        <f>+C776/C783</f>
        <v>5.6370710908794965</v>
      </c>
    </row>
    <row r="777" spans="2:5">
      <c r="B777" s="84" t="s">
        <v>17</v>
      </c>
      <c r="C777" s="50">
        <f>Model!AJ56</f>
        <v>37816.36</v>
      </c>
      <c r="D777" s="50">
        <f>+C777/$C$784</f>
        <v>6356.9728348574499</v>
      </c>
      <c r="E777" s="89"/>
    </row>
    <row r="778" spans="2:5">
      <c r="B778" s="90" t="s">
        <v>18</v>
      </c>
      <c r="C778" s="52">
        <f>+C776-C777</f>
        <v>22479.731</v>
      </c>
      <c r="D778" s="52">
        <f>+D776-D777</f>
        <v>3778.8681750941378</v>
      </c>
      <c r="E778" s="88">
        <f>+C778/C783</f>
        <v>2.1016261526945028</v>
      </c>
    </row>
    <row r="779" spans="2:5">
      <c r="B779" s="84"/>
      <c r="C779" s="57"/>
      <c r="D779" s="57"/>
      <c r="E779" s="91"/>
    </row>
    <row r="780" spans="2:5">
      <c r="B780" s="84" t="s">
        <v>19</v>
      </c>
      <c r="C780" s="50">
        <f>Model!AJ60</f>
        <v>33601</v>
      </c>
      <c r="D780" s="50">
        <f>+C780/$C$784</f>
        <v>5648.3660570199027</v>
      </c>
      <c r="E780" s="91"/>
    </row>
    <row r="781" spans="2:5">
      <c r="B781" s="90" t="s">
        <v>20</v>
      </c>
      <c r="C781" s="52">
        <f>+C780+C778</f>
        <v>56080.731</v>
      </c>
      <c r="D781" s="52">
        <f>+D780+D778</f>
        <v>9427.2342321140404</v>
      </c>
      <c r="E781" s="88">
        <f>+C781/C783</f>
        <v>5.2429778155185813</v>
      </c>
    </row>
    <row r="782" spans="2:5">
      <c r="B782" s="84"/>
      <c r="C782" s="57"/>
      <c r="D782" s="50"/>
      <c r="E782" s="92"/>
    </row>
    <row r="783" spans="2:5">
      <c r="B783" s="84" t="s">
        <v>21</v>
      </c>
      <c r="C783" s="57">
        <f>Model!AJ44</f>
        <v>10696.351000000001</v>
      </c>
      <c r="D783" s="57">
        <f>+C783/C785</f>
        <v>1883.7407652005459</v>
      </c>
      <c r="E783" s="85"/>
    </row>
    <row r="784" spans="2:5">
      <c r="B784" s="84" t="s">
        <v>22</v>
      </c>
      <c r="C784" s="107">
        <f>Model!AJ95</f>
        <v>5.9488000000000003</v>
      </c>
      <c r="D784" s="57"/>
      <c r="E784" s="93"/>
    </row>
    <row r="785" spans="1:6">
      <c r="B785" s="94" t="s">
        <v>23</v>
      </c>
      <c r="C785" s="95">
        <f>AVERAGE(Model!AG96:AJ96)</f>
        <v>5.6782500000000002</v>
      </c>
      <c r="D785" s="96"/>
      <c r="E785" s="97"/>
    </row>
    <row r="787" spans="1:6">
      <c r="B787" s="82" t="s">
        <v>25</v>
      </c>
      <c r="C787" s="68" t="s">
        <v>30</v>
      </c>
      <c r="D787" s="103" t="s">
        <v>31</v>
      </c>
    </row>
    <row r="788" spans="1:6">
      <c r="B788" s="98" t="s">
        <v>27</v>
      </c>
      <c r="C788" s="105">
        <f>C777</f>
        <v>37816.36</v>
      </c>
      <c r="D788" s="104">
        <f>C788/$C$784</f>
        <v>6356.9728348574499</v>
      </c>
      <c r="F788" s="47"/>
    </row>
    <row r="789" spans="1:6">
      <c r="B789" s="100" t="s">
        <v>28</v>
      </c>
      <c r="C789" s="101">
        <f>SUM(C788:C788)</f>
        <v>37816.36</v>
      </c>
      <c r="D789" s="102">
        <f>SUM(D788:D788)</f>
        <v>6356.9728348574499</v>
      </c>
    </row>
    <row r="791" spans="1:6">
      <c r="B791" s="82" t="s">
        <v>29</v>
      </c>
      <c r="C791" s="68" t="s">
        <v>30</v>
      </c>
      <c r="D791" s="103" t="s">
        <v>31</v>
      </c>
    </row>
    <row r="792" spans="1:6">
      <c r="B792" s="98" t="s">
        <v>32</v>
      </c>
      <c r="C792" s="69">
        <f>Model!AJ53</f>
        <v>21285.767</v>
      </c>
      <c r="D792" s="104">
        <f t="shared" ref="D792:D797" si="19">C792/$C$784</f>
        <v>3578.1614779451315</v>
      </c>
    </row>
    <row r="793" spans="1:6">
      <c r="B793" s="98" t="s">
        <v>33</v>
      </c>
      <c r="C793" s="105">
        <v>14905.218000000001</v>
      </c>
      <c r="D793" s="104">
        <f t="shared" si="19"/>
        <v>2505.5839833243681</v>
      </c>
      <c r="F793" s="54"/>
    </row>
    <row r="794" spans="1:6">
      <c r="B794" s="98" t="s">
        <v>34</v>
      </c>
      <c r="C794" s="105">
        <v>2990.2139999999999</v>
      </c>
      <c r="D794" s="104">
        <f t="shared" si="19"/>
        <v>502.65835126412048</v>
      </c>
    </row>
    <row r="795" spans="1:6">
      <c r="B795" s="98" t="s">
        <v>35</v>
      </c>
      <c r="C795" s="105">
        <v>9580.1200000000008</v>
      </c>
      <c r="D795" s="104">
        <f t="shared" si="19"/>
        <v>1610.4289940828403</v>
      </c>
    </row>
    <row r="796" spans="1:6">
      <c r="B796" s="98" t="s">
        <v>36</v>
      </c>
      <c r="C796" s="105">
        <v>4960.5339999999997</v>
      </c>
      <c r="D796" s="104">
        <f t="shared" si="19"/>
        <v>833.87136901559973</v>
      </c>
    </row>
    <row r="797" spans="1:6">
      <c r="B797" s="99" t="s">
        <v>37</v>
      </c>
      <c r="C797" s="106">
        <v>6574.2380000000003</v>
      </c>
      <c r="D797" s="104">
        <f t="shared" si="19"/>
        <v>1105.1368343195265</v>
      </c>
    </row>
    <row r="798" spans="1:6">
      <c r="B798" s="100" t="s">
        <v>28</v>
      </c>
      <c r="C798" s="101">
        <f>SUM(C792:C797)</f>
        <v>60296.091</v>
      </c>
      <c r="D798" s="102">
        <f>SUM(D792:D797)</f>
        <v>10135.841009951588</v>
      </c>
    </row>
    <row r="800" spans="1:6">
      <c r="A800" s="54" t="s">
        <v>101</v>
      </c>
    </row>
    <row r="801" spans="2:5">
      <c r="B801" s="82" t="s">
        <v>102</v>
      </c>
      <c r="C801" s="68" t="s">
        <v>30</v>
      </c>
      <c r="D801" s="68" t="s">
        <v>31</v>
      </c>
      <c r="E801" s="83" t="s">
        <v>47</v>
      </c>
    </row>
    <row r="802" spans="2:5">
      <c r="B802" s="84"/>
      <c r="C802" s="48"/>
      <c r="D802" s="48"/>
      <c r="E802" s="85"/>
    </row>
    <row r="803" spans="2:5">
      <c r="B803" s="84" t="s">
        <v>49</v>
      </c>
      <c r="C803" s="86">
        <f>287.46+1095.8</f>
        <v>1383.26</v>
      </c>
      <c r="D803" s="50">
        <f>+C803/$C$818</f>
        <v>244.80744726037094</v>
      </c>
      <c r="E803" s="85"/>
    </row>
    <row r="804" spans="2:5">
      <c r="B804" s="84" t="s">
        <v>9</v>
      </c>
      <c r="C804" s="86">
        <f>13888.435+17453.081</f>
        <v>31341.515999999996</v>
      </c>
      <c r="D804" s="50">
        <f>+C804/$C$818</f>
        <v>5546.7782811836323</v>
      </c>
      <c r="E804" s="85"/>
    </row>
    <row r="805" spans="2:5">
      <c r="B805" s="84" t="s">
        <v>83</v>
      </c>
      <c r="C805" s="50">
        <f>D805*$C$818</f>
        <v>4237.8</v>
      </c>
      <c r="D805" s="86">
        <v>750</v>
      </c>
      <c r="E805" s="85"/>
    </row>
    <row r="806" spans="2:5">
      <c r="B806" s="84" t="s">
        <v>84</v>
      </c>
      <c r="C806" s="50">
        <f>D806*$C$818</f>
        <v>4237.8</v>
      </c>
      <c r="D806" s="86">
        <v>750</v>
      </c>
      <c r="E806" s="85"/>
    </row>
    <row r="807" spans="2:5">
      <c r="B807" s="84" t="s">
        <v>100</v>
      </c>
      <c r="C807" s="50">
        <f>D807*$C$818</f>
        <v>4237.8</v>
      </c>
      <c r="D807" s="86">
        <v>750</v>
      </c>
      <c r="E807" s="85"/>
    </row>
    <row r="808" spans="2:5">
      <c r="B808" s="84" t="s">
        <v>50</v>
      </c>
      <c r="C808" s="86">
        <v>107.148</v>
      </c>
      <c r="D808" s="50">
        <f>+C808/$C$818</f>
        <v>18.962905281042048</v>
      </c>
      <c r="E808" s="85"/>
    </row>
    <row r="809" spans="2:5">
      <c r="B809" s="84" t="s">
        <v>85</v>
      </c>
      <c r="C809" s="50">
        <f>Model!AI55-SUM(Capitalisation!C803:C808)</f>
        <v>12173.066999999995</v>
      </c>
      <c r="D809" s="50">
        <f>+C809/$C$818</f>
        <v>2154.3726107886159</v>
      </c>
      <c r="E809" s="85"/>
    </row>
    <row r="810" spans="2:5">
      <c r="B810" s="87" t="s">
        <v>16</v>
      </c>
      <c r="C810" s="52">
        <f>SUM(C803:C809)</f>
        <v>57718.390999999996</v>
      </c>
      <c r="D810" s="52">
        <f>SUM(D803:D809)</f>
        <v>10214.921244513662</v>
      </c>
      <c r="E810" s="88">
        <f>+C810/C817</f>
        <v>5.0408956240889218</v>
      </c>
    </row>
    <row r="811" spans="2:5">
      <c r="B811" s="84" t="s">
        <v>17</v>
      </c>
      <c r="C811" s="50">
        <f>Model!AI56</f>
        <v>33780.735999999997</v>
      </c>
      <c r="D811" s="50">
        <f>+C811/$C$818</f>
        <v>5978.4680730567743</v>
      </c>
      <c r="E811" s="89"/>
    </row>
    <row r="812" spans="2:5">
      <c r="B812" s="90" t="s">
        <v>18</v>
      </c>
      <c r="C812" s="52">
        <f>+C810-C811</f>
        <v>23937.654999999999</v>
      </c>
      <c r="D812" s="52">
        <f>+D810-D811</f>
        <v>4236.4531714568875</v>
      </c>
      <c r="E812" s="88">
        <f>+C812/C817</f>
        <v>2.0906199609834983</v>
      </c>
    </row>
    <row r="813" spans="2:5">
      <c r="B813" s="84"/>
      <c r="C813" s="57"/>
      <c r="D813" s="57"/>
      <c r="E813" s="91"/>
    </row>
    <row r="814" spans="2:5">
      <c r="B814" s="84" t="s">
        <v>19</v>
      </c>
      <c r="C814" s="50">
        <f>Model!AI60</f>
        <v>47953.831180000001</v>
      </c>
      <c r="D814" s="50">
        <f>+C814/$C$818</f>
        <v>8486.8029130681007</v>
      </c>
      <c r="E814" s="91"/>
    </row>
    <row r="815" spans="2:5">
      <c r="B815" s="90" t="s">
        <v>20</v>
      </c>
      <c r="C815" s="52">
        <f>+C814+C812</f>
        <v>71891.486180000007</v>
      </c>
      <c r="D815" s="52">
        <f>+D814+D812</f>
        <v>12723.256084524988</v>
      </c>
      <c r="E815" s="88">
        <f>+C815/C817</f>
        <v>6.2787176117575987</v>
      </c>
    </row>
    <row r="816" spans="2:5">
      <c r="B816" s="84"/>
      <c r="C816" s="57"/>
      <c r="D816" s="50"/>
      <c r="E816" s="92"/>
    </row>
    <row r="817" spans="2:5">
      <c r="B817" s="84" t="s">
        <v>21</v>
      </c>
      <c r="C817" s="57">
        <f>Model!AI44</f>
        <v>11450.026999999998</v>
      </c>
      <c r="D817" s="57">
        <f>+C817/C819</f>
        <v>2043.4617409539101</v>
      </c>
      <c r="E817" s="85"/>
    </row>
    <row r="818" spans="2:5">
      <c r="B818" s="84" t="s">
        <v>22</v>
      </c>
      <c r="C818" s="59">
        <f>Model!AI95</f>
        <v>5.6504000000000003</v>
      </c>
      <c r="D818" s="57"/>
      <c r="E818" s="93"/>
    </row>
    <row r="819" spans="2:5">
      <c r="B819" s="94" t="s">
        <v>23</v>
      </c>
      <c r="C819" s="95">
        <f>AVERAGE(Model!AF96:AI96)</f>
        <v>5.603250000000001</v>
      </c>
      <c r="D819" s="96"/>
      <c r="E819" s="97"/>
    </row>
    <row r="821" spans="2:5">
      <c r="B821" s="82" t="s">
        <v>25</v>
      </c>
      <c r="C821" s="68" t="s">
        <v>30</v>
      </c>
      <c r="D821" s="103" t="s">
        <v>31</v>
      </c>
    </row>
    <row r="822" spans="2:5">
      <c r="B822" s="98" t="s">
        <v>27</v>
      </c>
      <c r="C822" s="105">
        <f>C811</f>
        <v>33780.735999999997</v>
      </c>
      <c r="D822" s="104">
        <f>C822/$C$818</f>
        <v>5978.4680730567743</v>
      </c>
    </row>
    <row r="823" spans="2:5">
      <c r="B823" s="100" t="s">
        <v>28</v>
      </c>
      <c r="C823" s="101">
        <f>SUM(C822:C822)</f>
        <v>33780.735999999997</v>
      </c>
      <c r="D823" s="102">
        <f>SUM(D822:D822)</f>
        <v>5978.4680730567743</v>
      </c>
    </row>
    <row r="825" spans="2:5">
      <c r="B825" s="82" t="s">
        <v>29</v>
      </c>
      <c r="C825" s="68" t="s">
        <v>30</v>
      </c>
      <c r="D825" s="103" t="s">
        <v>31</v>
      </c>
    </row>
    <row r="826" spans="2:5">
      <c r="B826" s="98" t="s">
        <v>32</v>
      </c>
      <c r="C826" s="69">
        <f>Model!AI53</f>
        <v>19255.760999999999</v>
      </c>
      <c r="D826" s="104">
        <f t="shared" ref="D826:D831" si="20">C826/$C$818</f>
        <v>3407.8580277502474</v>
      </c>
    </row>
    <row r="827" spans="2:5">
      <c r="B827" s="98" t="s">
        <v>33</v>
      </c>
      <c r="C827" s="105">
        <v>14283.282999999999</v>
      </c>
      <c r="D827" s="104">
        <f t="shared" si="20"/>
        <v>2527.8357284440035</v>
      </c>
    </row>
    <row r="828" spans="2:5">
      <c r="B828" s="98" t="s">
        <v>34</v>
      </c>
      <c r="C828" s="105">
        <v>3318.4009999999998</v>
      </c>
      <c r="D828" s="104">
        <f t="shared" si="20"/>
        <v>587.28603284723204</v>
      </c>
    </row>
    <row r="829" spans="2:5">
      <c r="B829" s="98" t="s">
        <v>35</v>
      </c>
      <c r="C829" s="105">
        <v>9252.1010000000006</v>
      </c>
      <c r="D829" s="104">
        <f t="shared" si="20"/>
        <v>1637.4240761715985</v>
      </c>
    </row>
    <row r="830" spans="2:5">
      <c r="B830" s="98" t="s">
        <v>36</v>
      </c>
      <c r="C830" s="105">
        <v>1322.0340000000001</v>
      </c>
      <c r="D830" s="104">
        <f t="shared" si="20"/>
        <v>233.97175421209118</v>
      </c>
    </row>
    <row r="831" spans="2:5">
      <c r="B831" s="99" t="s">
        <v>37</v>
      </c>
      <c r="C831" s="106">
        <v>10286.811</v>
      </c>
      <c r="D831" s="104">
        <f t="shared" si="20"/>
        <v>1820.5456250884893</v>
      </c>
    </row>
    <row r="832" spans="2:5">
      <c r="B832" s="100" t="s">
        <v>28</v>
      </c>
      <c r="C832" s="101">
        <f>SUM(C826:C831)</f>
        <v>57718.390999999996</v>
      </c>
      <c r="D832" s="102">
        <f>SUM(D826:D831)</f>
        <v>10214.921244513662</v>
      </c>
    </row>
    <row r="852" spans="1:5">
      <c r="A852" s="47"/>
      <c r="B852" s="45" t="s">
        <v>103</v>
      </c>
      <c r="C852" s="68" t="s">
        <v>30</v>
      </c>
      <c r="D852" s="68" t="s">
        <v>31</v>
      </c>
      <c r="E852" s="46" t="s">
        <v>47</v>
      </c>
    </row>
    <row r="853" spans="1:5">
      <c r="B853" s="48"/>
      <c r="C853" s="48"/>
      <c r="D853" s="48"/>
      <c r="E853" s="48"/>
    </row>
    <row r="854" spans="1:5">
      <c r="B854" s="48" t="s">
        <v>104</v>
      </c>
      <c r="C854" s="50">
        <v>904.16300000000001</v>
      </c>
      <c r="D854" s="50">
        <f>+C854/$C$865</f>
        <v>387.22184154175591</v>
      </c>
      <c r="E854" s="48"/>
    </row>
    <row r="855" spans="1:5">
      <c r="B855" s="48" t="s">
        <v>105</v>
      </c>
      <c r="C855" s="50">
        <f>3914.699+38.134+0.502+149.298+11</f>
        <v>4113.6329999999998</v>
      </c>
      <c r="D855" s="50">
        <f>+C855/$C$865</f>
        <v>1761.7271948608136</v>
      </c>
      <c r="E855" s="48"/>
    </row>
    <row r="856" spans="1:5">
      <c r="B856" s="48" t="s">
        <v>106</v>
      </c>
      <c r="C856" s="50">
        <f>700*C865</f>
        <v>1634.5</v>
      </c>
      <c r="D856" s="50">
        <f>+C856/$C$865</f>
        <v>700</v>
      </c>
      <c r="E856" s="48"/>
    </row>
    <row r="857" spans="1:5">
      <c r="A857" s="54"/>
      <c r="B857" s="51" t="s">
        <v>16</v>
      </c>
      <c r="C857" s="52">
        <f>SUM(C854:C856)</f>
        <v>6652.2960000000003</v>
      </c>
      <c r="D857" s="52">
        <f>SUM(D854:D856)</f>
        <v>2848.9490364025696</v>
      </c>
      <c r="E857" s="53" t="e">
        <f>+C857/C864</f>
        <v>#REF!</v>
      </c>
    </row>
    <row r="858" spans="1:5">
      <c r="B858" s="48" t="s">
        <v>17</v>
      </c>
      <c r="C858" s="50">
        <f>+Model!F56</f>
        <v>9908</v>
      </c>
      <c r="D858" s="50">
        <f>+C858/$C$865</f>
        <v>4243.2548179871519</v>
      </c>
      <c r="E858" s="55"/>
    </row>
    <row r="859" spans="1:5">
      <c r="B859" s="56" t="s">
        <v>18</v>
      </c>
      <c r="C859" s="52">
        <f>+C857-C858</f>
        <v>-3255.7039999999997</v>
      </c>
      <c r="D859" s="52">
        <f>+D857-D858</f>
        <v>-1394.3057815845823</v>
      </c>
      <c r="E859" s="53" t="e">
        <f>+C859/C864</f>
        <v>#REF!</v>
      </c>
    </row>
    <row r="860" spans="1:5">
      <c r="B860" s="48"/>
      <c r="C860" s="57"/>
      <c r="D860" s="57"/>
      <c r="E860" s="58"/>
    </row>
    <row r="861" spans="1:5">
      <c r="B861" s="48" t="s">
        <v>19</v>
      </c>
      <c r="C861" s="50">
        <f>+Model!F60</f>
        <v>31445</v>
      </c>
      <c r="D861" s="50">
        <f>+C861/$C$865</f>
        <v>13466.809421841543</v>
      </c>
      <c r="E861" s="58"/>
    </row>
    <row r="862" spans="1:5">
      <c r="B862" s="56" t="s">
        <v>20</v>
      </c>
      <c r="C862" s="52">
        <f>+C861+C859</f>
        <v>28189.296000000002</v>
      </c>
      <c r="D862" s="52">
        <f>+D861+D859</f>
        <v>12072.50364025696</v>
      </c>
      <c r="E862" s="53" t="e">
        <f>+C862/C864</f>
        <v>#REF!</v>
      </c>
    </row>
    <row r="863" spans="1:5">
      <c r="B863" s="48"/>
      <c r="C863" s="57"/>
      <c r="D863" s="50"/>
      <c r="E863" s="50"/>
    </row>
    <row r="864" spans="1:5">
      <c r="B864" s="48" t="s">
        <v>21</v>
      </c>
      <c r="C864" s="57" t="e">
        <f>+Model!#REF!</f>
        <v>#REF!</v>
      </c>
      <c r="D864" s="57" t="e">
        <f>+C864/$C$866</f>
        <v>#REF!</v>
      </c>
      <c r="E864" s="48"/>
    </row>
    <row r="865" spans="2:5">
      <c r="B865" s="48" t="s">
        <v>22</v>
      </c>
      <c r="C865" s="59">
        <f>+Model!F95</f>
        <v>2.335</v>
      </c>
      <c r="D865" s="57"/>
      <c r="E865" s="57"/>
    </row>
    <row r="866" spans="2:5">
      <c r="B866" s="48" t="s">
        <v>23</v>
      </c>
      <c r="C866" s="59">
        <f>+Model!F96</f>
        <v>2.1880000000000002</v>
      </c>
      <c r="D866" s="48"/>
      <c r="E866" s="48"/>
    </row>
    <row r="867" spans="2:5">
      <c r="B867" s="48"/>
      <c r="C867" s="48"/>
      <c r="D867" s="48"/>
      <c r="E867" s="48"/>
    </row>
    <row r="868" spans="2:5">
      <c r="B868" s="71" t="s">
        <v>107</v>
      </c>
      <c r="C868" s="48"/>
      <c r="D868" s="48"/>
      <c r="E868" s="48"/>
    </row>
    <row r="870" spans="2:5">
      <c r="C870" s="69"/>
    </row>
    <row r="871" spans="2:5">
      <c r="B871" s="49" t="s">
        <v>29</v>
      </c>
    </row>
    <row r="872" spans="2:5">
      <c r="B872" s="70">
        <v>2014</v>
      </c>
      <c r="C872" s="69">
        <f>904+170</f>
        <v>1074</v>
      </c>
    </row>
    <row r="873" spans="2:5">
      <c r="B873" s="70">
        <v>2015</v>
      </c>
      <c r="C873" s="69">
        <v>409.67599999999999</v>
      </c>
    </row>
    <row r="874" spans="2:5">
      <c r="B874" s="70">
        <v>2016</v>
      </c>
      <c r="C874" s="69">
        <v>619.67399999999998</v>
      </c>
    </row>
    <row r="875" spans="2:5">
      <c r="B875" s="70">
        <v>20174</v>
      </c>
      <c r="C875" s="69">
        <v>596.62099999999998</v>
      </c>
    </row>
    <row r="876" spans="2:5">
      <c r="B876" s="70">
        <v>2018</v>
      </c>
      <c r="C876" s="69">
        <v>2071.7289999999998</v>
      </c>
    </row>
    <row r="877" spans="2:5">
      <c r="B877" s="70" t="s">
        <v>108</v>
      </c>
      <c r="C877" s="69">
        <v>1749.645</v>
      </c>
    </row>
    <row r="878" spans="2:5">
      <c r="C878" s="69">
        <f>SUM(C872:C877)</f>
        <v>6521.3449999999993</v>
      </c>
    </row>
    <row r="879" spans="2:5">
      <c r="C879" s="69">
        <f>+C878-C857</f>
        <v>-130.95100000000093</v>
      </c>
    </row>
  </sheetData>
  <pageMargins left="0.7" right="0.7" top="0.75" bottom="0.75" header="0.3" footer="0.3"/>
  <pageSetup orientation="portrait" horizontalDpi="90" verticalDpi="90" r:id="rId1"/>
  <ignoredErrors>
    <ignoredError sqref="D71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A07A-DD91-4D2C-8DDF-BA570DD34F21}">
  <sheetPr>
    <pageSetUpPr fitToPage="1"/>
  </sheetPr>
  <dimension ref="B2:CM145"/>
  <sheetViews>
    <sheetView showGridLines="0" zoomScale="85" zoomScaleNormal="85" zoomScaleSheetLayoutView="100" workbookViewId="0">
      <pane xSplit="3" ySplit="6" topLeftCell="R7" activePane="bottomRight" state="frozen"/>
      <selection pane="bottomRight" activeCell="BJ2" sqref="BJ2"/>
      <selection pane="bottomLeft" activeCell="H19" sqref="H19"/>
      <selection pane="topRight" activeCell="H19" sqref="H19"/>
    </sheetView>
  </sheetViews>
  <sheetFormatPr defaultRowHeight="13.5" customHeight="1" outlineLevelRow="1" outlineLevelCol="1"/>
  <cols>
    <col min="1" max="1" width="2.7109375" style="1" customWidth="1"/>
    <col min="2" max="2" width="50.7109375" style="1" customWidth="1"/>
    <col min="3" max="3" width="1.7109375" style="1" customWidth="1"/>
    <col min="4" max="4" width="11.42578125" style="1" hidden="1" customWidth="1" outlineLevel="1"/>
    <col min="5" max="5" width="12.42578125" style="1" hidden="1" customWidth="1" outlineLevel="1"/>
    <col min="6" max="15" width="11.42578125" style="1" hidden="1" customWidth="1" outlineLevel="1"/>
    <col min="16" max="17" width="12.7109375" style="1" hidden="1" customWidth="1" outlineLevel="1"/>
    <col min="18" max="18" width="12.7109375" style="1" customWidth="1" collapsed="1"/>
    <col min="19" max="21" width="12.7109375" style="1" customWidth="1"/>
    <col min="22" max="23" width="12.7109375" style="1" hidden="1" customWidth="1" outlineLevel="1"/>
    <col min="24" max="24" width="12.7109375" style="1" customWidth="1" collapsed="1"/>
    <col min="25" max="28" width="12.7109375" style="1" hidden="1" customWidth="1" outlineLevel="1"/>
    <col min="29" max="29" width="12.7109375" style="1" hidden="1" customWidth="1" outlineLevel="1" collapsed="1"/>
    <col min="30" max="44" width="12.7109375" style="1" hidden="1" customWidth="1" outlineLevel="1"/>
    <col min="45" max="45" width="12.7109375" style="1" hidden="1" customWidth="1" outlineLevel="1" collapsed="1"/>
    <col min="46" max="48" width="12.7109375" style="1" hidden="1" customWidth="1" outlineLevel="1"/>
    <col min="49" max="49" width="12.7109375" style="1" hidden="1" customWidth="1" outlineLevel="1" collapsed="1"/>
    <col min="50" max="55" width="12.7109375" style="1" hidden="1" customWidth="1" outlineLevel="1"/>
    <col min="56" max="57" width="12.7109375" style="1" customWidth="1" collapsed="1"/>
    <col min="58" max="60" width="12.7109375" style="1" customWidth="1"/>
    <col min="61" max="61" width="12.7109375" style="1" customWidth="1" collapsed="1"/>
    <col min="62" max="65" width="12.7109375" style="1" customWidth="1"/>
    <col min="66" max="66" width="12.7109375" style="1" customWidth="1" collapsed="1"/>
    <col min="67" max="69" width="12.7109375" style="1" customWidth="1"/>
    <col min="70" max="70" width="12.7109375" style="1" customWidth="1" collapsed="1"/>
    <col min="71" max="76" width="12.7109375" style="1" hidden="1" customWidth="1" outlineLevel="1"/>
    <col min="77" max="77" width="12.7109375" style="1" hidden="1" customWidth="1" outlineLevel="1" collapsed="1"/>
    <col min="78" max="90" width="12.7109375" style="1" hidden="1" customWidth="1" outlineLevel="1"/>
    <col min="91" max="91" width="12.7109375" style="1" customWidth="1" collapsed="1"/>
    <col min="92" max="95" width="12.7109375" style="1" customWidth="1"/>
    <col min="96" max="16384" width="9.140625" style="1"/>
  </cols>
  <sheetData>
    <row r="2" spans="2:90" s="2" customFormat="1" ht="24.75" customHeight="1">
      <c r="B2" s="9" t="s">
        <v>109</v>
      </c>
      <c r="C2" s="1"/>
      <c r="D2" s="11" t="s">
        <v>110</v>
      </c>
      <c r="E2" s="11" t="s">
        <v>110</v>
      </c>
      <c r="F2" s="11" t="s">
        <v>110</v>
      </c>
      <c r="G2" s="11" t="s">
        <v>110</v>
      </c>
      <c r="H2" s="11" t="s">
        <v>110</v>
      </c>
      <c r="I2" s="11" t="s">
        <v>110</v>
      </c>
      <c r="J2" s="11" t="s">
        <v>110</v>
      </c>
      <c r="K2" s="11" t="s">
        <v>110</v>
      </c>
      <c r="L2" s="11" t="s">
        <v>110</v>
      </c>
      <c r="M2" s="11" t="s">
        <v>110</v>
      </c>
      <c r="N2" s="130" t="s">
        <v>110</v>
      </c>
      <c r="O2" s="130" t="s">
        <v>110</v>
      </c>
      <c r="P2" s="130" t="s">
        <v>110</v>
      </c>
      <c r="Q2" s="130" t="s">
        <v>110</v>
      </c>
      <c r="R2" s="130" t="s">
        <v>110</v>
      </c>
      <c r="S2" s="130" t="s">
        <v>110</v>
      </c>
      <c r="T2" s="130" t="s">
        <v>110</v>
      </c>
      <c r="U2" s="130" t="s">
        <v>111</v>
      </c>
      <c r="V2" s="11" t="s">
        <v>110</v>
      </c>
      <c r="W2" s="11" t="s">
        <v>110</v>
      </c>
      <c r="X2" s="1"/>
      <c r="Y2" s="11" t="s">
        <v>112</v>
      </c>
      <c r="Z2" s="11" t="s">
        <v>112</v>
      </c>
      <c r="AA2" s="11" t="s">
        <v>112</v>
      </c>
      <c r="AB2" s="11" t="s">
        <v>112</v>
      </c>
      <c r="AC2" s="11" t="s">
        <v>112</v>
      </c>
      <c r="AD2" s="11" t="s">
        <v>112</v>
      </c>
      <c r="AE2" s="11" t="s">
        <v>112</v>
      </c>
      <c r="AF2" s="11" t="s">
        <v>112</v>
      </c>
      <c r="AG2" s="11" t="s">
        <v>112</v>
      </c>
      <c r="AH2" s="11" t="s">
        <v>112</v>
      </c>
      <c r="AI2" s="11" t="s">
        <v>112</v>
      </c>
      <c r="AJ2" s="11" t="s">
        <v>112</v>
      </c>
      <c r="AK2" s="11" t="s">
        <v>112</v>
      </c>
      <c r="AL2" s="11" t="s">
        <v>112</v>
      </c>
      <c r="AM2" s="11" t="s">
        <v>112</v>
      </c>
      <c r="AN2" s="11" t="s">
        <v>112</v>
      </c>
      <c r="AO2" s="11" t="s">
        <v>112</v>
      </c>
      <c r="AP2" s="11" t="s">
        <v>112</v>
      </c>
      <c r="AQ2" s="11" t="s">
        <v>112</v>
      </c>
      <c r="AR2" s="11" t="s">
        <v>112</v>
      </c>
      <c r="AS2" s="11" t="s">
        <v>112</v>
      </c>
      <c r="AT2" s="11" t="s">
        <v>112</v>
      </c>
      <c r="AU2" s="11" t="s">
        <v>112</v>
      </c>
      <c r="AV2" s="11" t="s">
        <v>112</v>
      </c>
      <c r="AW2" s="11" t="s">
        <v>112</v>
      </c>
      <c r="AX2" s="11" t="s">
        <v>112</v>
      </c>
      <c r="AY2" s="130" t="s">
        <v>112</v>
      </c>
      <c r="AZ2" s="11" t="s">
        <v>112</v>
      </c>
      <c r="BA2" s="11" t="s">
        <v>112</v>
      </c>
      <c r="BB2" s="11" t="s">
        <v>112</v>
      </c>
      <c r="BC2" s="130" t="s">
        <v>112</v>
      </c>
      <c r="BD2" s="11" t="s">
        <v>112</v>
      </c>
      <c r="BE2" s="11" t="s">
        <v>112</v>
      </c>
      <c r="BF2" s="11" t="s">
        <v>112</v>
      </c>
      <c r="BG2" s="130" t="s">
        <v>112</v>
      </c>
      <c r="BH2" s="11" t="s">
        <v>112</v>
      </c>
      <c r="BI2" s="11" t="s">
        <v>112</v>
      </c>
      <c r="BJ2" s="135"/>
      <c r="BK2" s="130" t="s">
        <v>113</v>
      </c>
      <c r="BL2" s="130" t="s">
        <v>113</v>
      </c>
      <c r="BM2" s="135"/>
      <c r="BN2" s="11" t="s">
        <v>112</v>
      </c>
      <c r="BO2" s="11" t="s">
        <v>112</v>
      </c>
      <c r="BP2" s="11" t="s">
        <v>112</v>
      </c>
      <c r="BQ2" s="11" t="s">
        <v>112</v>
      </c>
      <c r="BR2" s="11" t="s">
        <v>112</v>
      </c>
      <c r="BS2" s="11" t="s">
        <v>114</v>
      </c>
      <c r="BT2" s="11" t="s">
        <v>115</v>
      </c>
      <c r="BU2" s="11" t="s">
        <v>114</v>
      </c>
      <c r="BV2" s="11" t="s">
        <v>115</v>
      </c>
      <c r="BW2" s="11" t="s">
        <v>114</v>
      </c>
      <c r="BX2" s="11" t="s">
        <v>115</v>
      </c>
      <c r="BY2" s="11" t="s">
        <v>114</v>
      </c>
      <c r="BZ2" s="11" t="s">
        <v>115</v>
      </c>
      <c r="CA2" s="11" t="s">
        <v>114</v>
      </c>
      <c r="CB2" s="11" t="s">
        <v>115</v>
      </c>
      <c r="CC2" s="11" t="s">
        <v>114</v>
      </c>
      <c r="CD2" s="11" t="s">
        <v>115</v>
      </c>
      <c r="CE2" s="11" t="s">
        <v>114</v>
      </c>
      <c r="CF2" s="11" t="s">
        <v>115</v>
      </c>
      <c r="CG2" s="11" t="s">
        <v>114</v>
      </c>
      <c r="CI2" s="11" t="s">
        <v>114</v>
      </c>
      <c r="CJ2" s="11" t="s">
        <v>115</v>
      </c>
      <c r="CK2" s="11" t="s">
        <v>114</v>
      </c>
    </row>
    <row r="3" spans="2:90" s="2" customFormat="1" ht="13.5" customHeight="1">
      <c r="B3" s="10" t="s">
        <v>30</v>
      </c>
      <c r="C3" s="1"/>
      <c r="D3" s="12">
        <v>41274</v>
      </c>
      <c r="E3" s="12">
        <f t="shared" ref="E3:N3" si="0">D3+365</f>
        <v>41639</v>
      </c>
      <c r="F3" s="12">
        <f t="shared" si="0"/>
        <v>42004</v>
      </c>
      <c r="G3" s="12">
        <f t="shared" si="0"/>
        <v>42369</v>
      </c>
      <c r="H3" s="12">
        <f t="shared" si="0"/>
        <v>42734</v>
      </c>
      <c r="I3" s="12">
        <f t="shared" si="0"/>
        <v>43099</v>
      </c>
      <c r="J3" s="12">
        <f t="shared" si="0"/>
        <v>43464</v>
      </c>
      <c r="K3" s="12">
        <f t="shared" si="0"/>
        <v>43829</v>
      </c>
      <c r="L3" s="12">
        <f t="shared" si="0"/>
        <v>44194</v>
      </c>
      <c r="M3" s="12">
        <f t="shared" si="0"/>
        <v>44559</v>
      </c>
      <c r="N3" s="14">
        <f t="shared" si="0"/>
        <v>44924</v>
      </c>
      <c r="O3" s="14">
        <f>N3</f>
        <v>44924</v>
      </c>
      <c r="P3" s="14">
        <f>N3+365</f>
        <v>45289</v>
      </c>
      <c r="Q3" s="14">
        <f>O3+365</f>
        <v>45289</v>
      </c>
      <c r="R3" s="14">
        <f>P3+365</f>
        <v>45654</v>
      </c>
      <c r="S3" s="14">
        <f>Q3+365</f>
        <v>45654</v>
      </c>
      <c r="T3" s="14">
        <f>R3+365</f>
        <v>46019</v>
      </c>
      <c r="U3" s="14">
        <f>BI3</f>
        <v>46111</v>
      </c>
      <c r="V3" s="12">
        <f>G3+366</f>
        <v>42735</v>
      </c>
      <c r="W3" s="12">
        <f>V3+365</f>
        <v>43100</v>
      </c>
      <c r="X3" s="1"/>
      <c r="Y3" s="12">
        <v>42825</v>
      </c>
      <c r="Z3" s="12">
        <f t="shared" ref="Z3:AM3" si="1">EDATE(Y3,3)</f>
        <v>42916</v>
      </c>
      <c r="AA3" s="12">
        <f t="shared" si="1"/>
        <v>43008</v>
      </c>
      <c r="AB3" s="12">
        <f t="shared" si="1"/>
        <v>43099</v>
      </c>
      <c r="AC3" s="12">
        <f t="shared" si="1"/>
        <v>43189</v>
      </c>
      <c r="AD3" s="12">
        <f t="shared" si="1"/>
        <v>43281</v>
      </c>
      <c r="AE3" s="12">
        <f t="shared" si="1"/>
        <v>43373</v>
      </c>
      <c r="AF3" s="12">
        <f t="shared" si="1"/>
        <v>43464</v>
      </c>
      <c r="AG3" s="12">
        <f t="shared" si="1"/>
        <v>43554</v>
      </c>
      <c r="AH3" s="12">
        <f t="shared" si="1"/>
        <v>43646</v>
      </c>
      <c r="AI3" s="12">
        <f t="shared" si="1"/>
        <v>43738</v>
      </c>
      <c r="AJ3" s="12">
        <f>EDATE(AI3,3)</f>
        <v>43829</v>
      </c>
      <c r="AK3" s="12">
        <f t="shared" si="1"/>
        <v>43920</v>
      </c>
      <c r="AL3" s="12">
        <f t="shared" si="1"/>
        <v>44012</v>
      </c>
      <c r="AM3" s="12">
        <f t="shared" si="1"/>
        <v>44104</v>
      </c>
      <c r="AN3" s="12">
        <f t="shared" ref="AN3:BI3" si="2">EDATE(AM3,3)</f>
        <v>44195</v>
      </c>
      <c r="AO3" s="12">
        <f t="shared" si="2"/>
        <v>44285</v>
      </c>
      <c r="AP3" s="12">
        <f t="shared" si="2"/>
        <v>44377</v>
      </c>
      <c r="AQ3" s="12">
        <f t="shared" si="2"/>
        <v>44469</v>
      </c>
      <c r="AR3" s="12">
        <f t="shared" si="2"/>
        <v>44560</v>
      </c>
      <c r="AS3" s="12">
        <f t="shared" si="2"/>
        <v>44650</v>
      </c>
      <c r="AT3" s="12">
        <f t="shared" si="2"/>
        <v>44742</v>
      </c>
      <c r="AU3" s="12">
        <f t="shared" si="2"/>
        <v>44834</v>
      </c>
      <c r="AV3" s="12">
        <f t="shared" si="2"/>
        <v>44925</v>
      </c>
      <c r="AW3" s="12">
        <f t="shared" si="2"/>
        <v>45015</v>
      </c>
      <c r="AX3" s="12">
        <f t="shared" si="2"/>
        <v>45107</v>
      </c>
      <c r="AY3" s="14">
        <f t="shared" si="2"/>
        <v>45199</v>
      </c>
      <c r="AZ3" s="12">
        <f t="shared" si="2"/>
        <v>45290</v>
      </c>
      <c r="BA3" s="12">
        <f t="shared" si="2"/>
        <v>45381</v>
      </c>
      <c r="BB3" s="12">
        <f t="shared" si="2"/>
        <v>45473</v>
      </c>
      <c r="BC3" s="14">
        <f t="shared" si="2"/>
        <v>45565</v>
      </c>
      <c r="BD3" s="12">
        <f t="shared" si="2"/>
        <v>45656</v>
      </c>
      <c r="BE3" s="12">
        <f t="shared" si="2"/>
        <v>45746</v>
      </c>
      <c r="BF3" s="12">
        <f t="shared" si="2"/>
        <v>45838</v>
      </c>
      <c r="BG3" s="14">
        <f t="shared" si="2"/>
        <v>45930</v>
      </c>
      <c r="BH3" s="12">
        <f t="shared" si="2"/>
        <v>46021</v>
      </c>
      <c r="BI3" s="12">
        <f t="shared" si="2"/>
        <v>46111</v>
      </c>
      <c r="BJ3" s="133"/>
      <c r="BK3" s="14">
        <v>45565</v>
      </c>
      <c r="BL3" s="14">
        <v>45930</v>
      </c>
      <c r="BM3" s="133"/>
      <c r="BN3" s="12">
        <v>45381</v>
      </c>
      <c r="BO3" s="12">
        <f>EDATE(BN3,3)</f>
        <v>45473</v>
      </c>
      <c r="BP3" s="12">
        <f>EDATE(BO3,3)</f>
        <v>45565</v>
      </c>
      <c r="BQ3" s="12">
        <f>EDATE(BP3,3)</f>
        <v>45656</v>
      </c>
      <c r="BR3" s="12">
        <v>45746</v>
      </c>
      <c r="BS3" s="12">
        <v>42156</v>
      </c>
      <c r="BT3" s="12">
        <v>42369</v>
      </c>
      <c r="BU3" s="12">
        <v>42522</v>
      </c>
      <c r="BV3" s="12">
        <v>42735</v>
      </c>
      <c r="BW3" s="12">
        <v>43983</v>
      </c>
      <c r="BX3" s="12">
        <v>44196</v>
      </c>
      <c r="BY3" s="12">
        <v>44348</v>
      </c>
      <c r="BZ3" s="12">
        <v>44561</v>
      </c>
      <c r="CA3" s="12">
        <v>44713</v>
      </c>
      <c r="CB3" s="12">
        <v>44926</v>
      </c>
      <c r="CC3" s="12">
        <v>45078</v>
      </c>
      <c r="CD3" s="12">
        <v>45291</v>
      </c>
      <c r="CE3" s="12">
        <v>45444</v>
      </c>
      <c r="CF3" s="12">
        <v>45657</v>
      </c>
      <c r="CG3" s="12">
        <v>45809</v>
      </c>
      <c r="CI3" s="12">
        <v>45078</v>
      </c>
      <c r="CJ3" s="12">
        <v>45291</v>
      </c>
      <c r="CK3" s="12">
        <v>45444</v>
      </c>
    </row>
    <row r="4" spans="2:90" s="6" customFormat="1" ht="13.5" customHeight="1">
      <c r="B4" s="10"/>
      <c r="C4" s="1"/>
      <c r="D4" s="14" t="s">
        <v>116</v>
      </c>
      <c r="E4" s="14" t="s">
        <v>116</v>
      </c>
      <c r="F4" s="14" t="s">
        <v>116</v>
      </c>
      <c r="G4" s="14" t="s">
        <v>116</v>
      </c>
      <c r="H4" s="14" t="s">
        <v>116</v>
      </c>
      <c r="I4" s="14" t="s">
        <v>116</v>
      </c>
      <c r="J4" s="14" t="s">
        <v>116</v>
      </c>
      <c r="K4" s="14" t="s">
        <v>116</v>
      </c>
      <c r="L4" s="14" t="s">
        <v>116</v>
      </c>
      <c r="M4" s="14" t="s">
        <v>116</v>
      </c>
      <c r="N4" s="14" t="s">
        <v>116</v>
      </c>
      <c r="O4" s="14" t="s">
        <v>116</v>
      </c>
      <c r="P4" s="14" t="s">
        <v>116</v>
      </c>
      <c r="Q4" s="14" t="s">
        <v>116</v>
      </c>
      <c r="R4" s="14" t="s">
        <v>116</v>
      </c>
      <c r="S4" s="14" t="s">
        <v>116</v>
      </c>
      <c r="T4" s="14" t="s">
        <v>116</v>
      </c>
      <c r="U4" s="14" t="s">
        <v>116</v>
      </c>
      <c r="V4" s="15" t="s">
        <v>117</v>
      </c>
      <c r="W4" s="15" t="s">
        <v>117</v>
      </c>
      <c r="X4" s="1"/>
      <c r="Y4" s="14" t="s">
        <v>116</v>
      </c>
      <c r="Z4" s="14" t="s">
        <v>116</v>
      </c>
      <c r="AA4" s="14" t="s">
        <v>116</v>
      </c>
      <c r="AB4" s="14" t="s">
        <v>116</v>
      </c>
      <c r="AC4" s="14" t="s">
        <v>116</v>
      </c>
      <c r="AD4" s="14" t="s">
        <v>116</v>
      </c>
      <c r="AE4" s="14" t="s">
        <v>116</v>
      </c>
      <c r="AF4" s="14" t="s">
        <v>116</v>
      </c>
      <c r="AG4" s="14" t="s">
        <v>116</v>
      </c>
      <c r="AH4" s="14" t="s">
        <v>116</v>
      </c>
      <c r="AI4" s="14" t="s">
        <v>116</v>
      </c>
      <c r="AJ4" s="14" t="s">
        <v>116</v>
      </c>
      <c r="AK4" s="14" t="s">
        <v>116</v>
      </c>
      <c r="AL4" s="14" t="s">
        <v>116</v>
      </c>
      <c r="AM4" s="14" t="s">
        <v>116</v>
      </c>
      <c r="AN4" s="14" t="s">
        <v>116</v>
      </c>
      <c r="AO4" s="14" t="s">
        <v>116</v>
      </c>
      <c r="AP4" s="14" t="s">
        <v>116</v>
      </c>
      <c r="AQ4" s="14" t="s">
        <v>116</v>
      </c>
      <c r="AR4" s="14" t="s">
        <v>116</v>
      </c>
      <c r="AS4" s="14" t="s">
        <v>116</v>
      </c>
      <c r="AT4" s="14" t="s">
        <v>116</v>
      </c>
      <c r="AU4" s="14" t="s">
        <v>116</v>
      </c>
      <c r="AV4" s="14" t="s">
        <v>116</v>
      </c>
      <c r="AW4" s="14" t="s">
        <v>116</v>
      </c>
      <c r="AX4" s="14" t="s">
        <v>116</v>
      </c>
      <c r="AY4" s="14" t="s">
        <v>116</v>
      </c>
      <c r="AZ4" s="14" t="s">
        <v>116</v>
      </c>
      <c r="BA4" s="14" t="s">
        <v>116</v>
      </c>
      <c r="BB4" s="14" t="s">
        <v>116</v>
      </c>
      <c r="BC4" s="14" t="s">
        <v>116</v>
      </c>
      <c r="BD4" s="14" t="s">
        <v>116</v>
      </c>
      <c r="BE4" s="14" t="s">
        <v>116</v>
      </c>
      <c r="BF4" s="14" t="s">
        <v>116</v>
      </c>
      <c r="BG4" s="14" t="s">
        <v>116</v>
      </c>
      <c r="BH4" s="14" t="s">
        <v>116</v>
      </c>
      <c r="BI4" s="14" t="s">
        <v>116</v>
      </c>
      <c r="BJ4" s="133"/>
      <c r="BK4" s="14" t="s">
        <v>116</v>
      </c>
      <c r="BL4" s="14" t="s">
        <v>116</v>
      </c>
      <c r="BM4" s="133"/>
      <c r="BN4" s="14" t="s">
        <v>116</v>
      </c>
      <c r="BO4" s="14" t="s">
        <v>116</v>
      </c>
      <c r="BP4" s="14" t="s">
        <v>116</v>
      </c>
      <c r="BQ4" s="14" t="s">
        <v>116</v>
      </c>
      <c r="BR4" s="14" t="s">
        <v>116</v>
      </c>
      <c r="BS4" s="14" t="s">
        <v>116</v>
      </c>
      <c r="BT4" s="14" t="s">
        <v>116</v>
      </c>
      <c r="BU4" s="14" t="s">
        <v>116</v>
      </c>
      <c r="BV4" s="14" t="s">
        <v>116</v>
      </c>
      <c r="BW4" s="14" t="s">
        <v>116</v>
      </c>
      <c r="BX4" s="14" t="s">
        <v>116</v>
      </c>
      <c r="BY4" s="14" t="s">
        <v>116</v>
      </c>
      <c r="BZ4" s="14" t="s">
        <v>116</v>
      </c>
      <c r="CA4" s="14" t="s">
        <v>116</v>
      </c>
      <c r="CB4" s="14" t="s">
        <v>116</v>
      </c>
      <c r="CC4" s="14" t="s">
        <v>116</v>
      </c>
      <c r="CD4" s="14" t="s">
        <v>116</v>
      </c>
      <c r="CE4" s="14" t="s">
        <v>116</v>
      </c>
      <c r="CF4" s="14" t="s">
        <v>116</v>
      </c>
      <c r="CG4" s="14" t="s">
        <v>116</v>
      </c>
      <c r="CI4" s="14" t="s">
        <v>118</v>
      </c>
      <c r="CJ4" s="14" t="s">
        <v>118</v>
      </c>
      <c r="CK4" s="14" t="s">
        <v>118</v>
      </c>
    </row>
    <row r="5" spans="2:90" s="3" customFormat="1" ht="13.5" customHeight="1">
      <c r="C5" s="1"/>
      <c r="D5" s="4" t="s">
        <v>119</v>
      </c>
      <c r="E5" s="4" t="s">
        <v>119</v>
      </c>
      <c r="F5" s="4" t="s">
        <v>119</v>
      </c>
      <c r="G5" s="4" t="s">
        <v>119</v>
      </c>
      <c r="H5" s="4" t="s">
        <v>119</v>
      </c>
      <c r="I5" s="4" t="s">
        <v>119</v>
      </c>
      <c r="J5" s="4" t="s">
        <v>119</v>
      </c>
      <c r="K5" s="4" t="s">
        <v>119</v>
      </c>
      <c r="L5" s="4" t="s">
        <v>119</v>
      </c>
      <c r="M5" s="4" t="s">
        <v>119</v>
      </c>
      <c r="N5" s="4" t="s">
        <v>119</v>
      </c>
      <c r="O5" s="4" t="s">
        <v>119</v>
      </c>
      <c r="P5" s="4" t="s">
        <v>119</v>
      </c>
      <c r="Q5" s="4" t="s">
        <v>119</v>
      </c>
      <c r="R5" s="4" t="s">
        <v>119</v>
      </c>
      <c r="S5" s="4" t="s">
        <v>119</v>
      </c>
      <c r="T5" s="4" t="s">
        <v>119</v>
      </c>
      <c r="U5" s="4" t="s">
        <v>119</v>
      </c>
      <c r="V5" s="23"/>
      <c r="W5" s="23"/>
      <c r="X5" s="1"/>
      <c r="Y5" s="23" t="s">
        <v>120</v>
      </c>
      <c r="Z5" s="23" t="s">
        <v>121</v>
      </c>
      <c r="AA5" s="23" t="s">
        <v>122</v>
      </c>
      <c r="AB5" s="162" t="s">
        <v>123</v>
      </c>
      <c r="AC5" s="23" t="s">
        <v>120</v>
      </c>
      <c r="AD5" s="23" t="s">
        <v>121</v>
      </c>
      <c r="AE5" s="23" t="s">
        <v>122</v>
      </c>
      <c r="AF5" s="162" t="s">
        <v>123</v>
      </c>
      <c r="AG5" s="23" t="s">
        <v>120</v>
      </c>
      <c r="AH5" s="23" t="s">
        <v>121</v>
      </c>
      <c r="AI5" s="23" t="s">
        <v>122</v>
      </c>
      <c r="AJ5" s="162" t="s">
        <v>123</v>
      </c>
      <c r="AK5" s="23" t="s">
        <v>120</v>
      </c>
      <c r="AL5" s="23" t="s">
        <v>121</v>
      </c>
      <c r="AM5" s="23" t="s">
        <v>122</v>
      </c>
      <c r="AN5" s="162" t="s">
        <v>123</v>
      </c>
      <c r="AO5" s="23" t="s">
        <v>120</v>
      </c>
      <c r="AP5" s="23" t="s">
        <v>121</v>
      </c>
      <c r="AQ5" s="23" t="s">
        <v>122</v>
      </c>
      <c r="AR5" s="162" t="s">
        <v>123</v>
      </c>
      <c r="AS5" s="23" t="s">
        <v>120</v>
      </c>
      <c r="AT5" s="23" t="s">
        <v>121</v>
      </c>
      <c r="AU5" s="23" t="s">
        <v>122</v>
      </c>
      <c r="AV5" s="162" t="s">
        <v>123</v>
      </c>
      <c r="AW5" s="23" t="s">
        <v>120</v>
      </c>
      <c r="AX5" s="23" t="s">
        <v>121</v>
      </c>
      <c r="AY5" s="23" t="s">
        <v>122</v>
      </c>
      <c r="AZ5" s="162" t="s">
        <v>123</v>
      </c>
      <c r="BA5" s="23" t="s">
        <v>120</v>
      </c>
      <c r="BB5" s="23" t="s">
        <v>121</v>
      </c>
      <c r="BC5" s="23" t="s">
        <v>122</v>
      </c>
      <c r="BD5" s="162" t="s">
        <v>123</v>
      </c>
      <c r="BE5" s="23" t="s">
        <v>120</v>
      </c>
      <c r="BF5" s="23" t="s">
        <v>121</v>
      </c>
      <c r="BG5" s="23" t="s">
        <v>122</v>
      </c>
      <c r="BH5" s="162" t="s">
        <v>123</v>
      </c>
      <c r="BI5" s="23" t="s">
        <v>120</v>
      </c>
      <c r="BJ5" s="162"/>
      <c r="BK5" s="23" t="s">
        <v>113</v>
      </c>
      <c r="BL5" s="23" t="s">
        <v>113</v>
      </c>
      <c r="BM5" s="23"/>
      <c r="BN5" s="23"/>
      <c r="BO5" s="23"/>
      <c r="BP5" s="23"/>
      <c r="BQ5" s="23"/>
      <c r="BR5" s="23"/>
      <c r="BS5" s="23" t="s">
        <v>124</v>
      </c>
      <c r="BT5" s="23" t="s">
        <v>124</v>
      </c>
      <c r="BU5" s="23" t="s">
        <v>124</v>
      </c>
      <c r="BV5" s="23" t="s">
        <v>124</v>
      </c>
      <c r="BW5" s="23" t="s">
        <v>124</v>
      </c>
      <c r="BX5" s="23" t="s">
        <v>124</v>
      </c>
      <c r="BY5" s="23" t="s">
        <v>124</v>
      </c>
      <c r="BZ5" s="23" t="s">
        <v>124</v>
      </c>
      <c r="CA5" s="23" t="s">
        <v>124</v>
      </c>
      <c r="CB5" s="23" t="s">
        <v>124</v>
      </c>
      <c r="CC5" s="23" t="s">
        <v>124</v>
      </c>
      <c r="CD5" s="23" t="s">
        <v>124</v>
      </c>
      <c r="CE5" s="23" t="s">
        <v>124</v>
      </c>
      <c r="CF5" s="23" t="s">
        <v>124</v>
      </c>
      <c r="CG5" s="23" t="s">
        <v>124</v>
      </c>
      <c r="CI5" s="23"/>
      <c r="CJ5" s="23"/>
      <c r="CK5" s="23"/>
    </row>
    <row r="6" spans="2:90" ht="13.5" customHeight="1">
      <c r="B6" s="19" t="s">
        <v>125</v>
      </c>
      <c r="C6" s="3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15" t="s">
        <v>118</v>
      </c>
      <c r="P6" s="20"/>
      <c r="Q6" s="15" t="s">
        <v>118</v>
      </c>
      <c r="R6" s="20"/>
      <c r="S6" s="15" t="s">
        <v>118</v>
      </c>
      <c r="T6" s="15"/>
      <c r="U6" s="15"/>
      <c r="V6" s="20"/>
      <c r="W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K6" s="20"/>
      <c r="BL6" s="20"/>
      <c r="BN6" s="15" t="s">
        <v>118</v>
      </c>
      <c r="BO6" s="15" t="s">
        <v>118</v>
      </c>
      <c r="BP6" s="15" t="s">
        <v>118</v>
      </c>
      <c r="BQ6" s="15" t="s">
        <v>118</v>
      </c>
      <c r="BR6" s="15" t="s">
        <v>118</v>
      </c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I6" s="20"/>
      <c r="CJ6" s="20"/>
      <c r="CK6" s="20"/>
    </row>
    <row r="7" spans="2:90" ht="13.5" customHeight="1">
      <c r="B7" s="6" t="s">
        <v>126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I7" s="5"/>
      <c r="CJ7" s="5"/>
      <c r="CK7" s="5"/>
    </row>
    <row r="8" spans="2:90" s="6" customFormat="1" ht="16.5" customHeight="1">
      <c r="B8" s="1" t="s">
        <v>127</v>
      </c>
      <c r="C8" s="40"/>
      <c r="D8" s="37">
        <v>63225</v>
      </c>
      <c r="E8" s="37">
        <v>65458</v>
      </c>
      <c r="F8" s="37">
        <v>68343</v>
      </c>
      <c r="G8" s="37">
        <v>62397</v>
      </c>
      <c r="H8" s="37">
        <v>67273.472999999998</v>
      </c>
      <c r="I8" s="37">
        <v>97574.115999999995</v>
      </c>
      <c r="J8" s="37">
        <v>153250.03700000001</v>
      </c>
      <c r="K8" s="37">
        <v>153426.364</v>
      </c>
      <c r="L8" s="37">
        <v>115839.989</v>
      </c>
      <c r="M8" s="37">
        <v>229549.23800000001</v>
      </c>
      <c r="N8" s="37">
        <v>713727</v>
      </c>
      <c r="O8" s="37">
        <v>1353617</v>
      </c>
      <c r="P8" s="37">
        <v>1051742</v>
      </c>
      <c r="Q8" s="37">
        <v>1518495</v>
      </c>
      <c r="R8" s="37">
        <v>1291970</v>
      </c>
      <c r="S8" s="37">
        <v>1691087</v>
      </c>
      <c r="T8" s="37">
        <v>1419042</v>
      </c>
      <c r="U8" s="31">
        <f>BG8+BF8+BH8+BI8</f>
        <v>1558911</v>
      </c>
      <c r="V8" s="33"/>
      <c r="W8" s="33"/>
      <c r="X8" s="36"/>
      <c r="Y8" s="37">
        <v>21706.751</v>
      </c>
      <c r="Z8" s="37">
        <f>44766.375-Y8</f>
        <v>23059.624</v>
      </c>
      <c r="AA8" s="37">
        <f>70993.13-Z8-Y8</f>
        <v>26226.755000000008</v>
      </c>
      <c r="AB8" s="31">
        <f>I8-AA8-Z8-Y8</f>
        <v>26580.985999999994</v>
      </c>
      <c r="AC8" s="37">
        <v>25753.227999999999</v>
      </c>
      <c r="AD8" s="37">
        <f>61647.231-AC8</f>
        <v>35894.002999999997</v>
      </c>
      <c r="AE8" s="37">
        <f>111704.372-AD8-AC8</f>
        <v>50057.141000000003</v>
      </c>
      <c r="AF8" s="31">
        <f>J8-AE8-AD8-AC8</f>
        <v>41545.665000000008</v>
      </c>
      <c r="AG8" s="37">
        <v>35505.985000000001</v>
      </c>
      <c r="AH8" s="37">
        <f>75465.13-AG8</f>
        <v>39959.145000000004</v>
      </c>
      <c r="AI8" s="37">
        <f>115889.709-AH8-AG8</f>
        <v>40424.578999999998</v>
      </c>
      <c r="AJ8" s="31">
        <f>K8-AI8-AH8-AG8</f>
        <v>37536.654999999999</v>
      </c>
      <c r="AK8" s="37">
        <v>29045.338</v>
      </c>
      <c r="AL8" s="37">
        <f>48227.598-AK8</f>
        <v>19182.259999999998</v>
      </c>
      <c r="AM8" s="37">
        <f>81690.069-AL8-AK8</f>
        <v>33462.471000000005</v>
      </c>
      <c r="AN8" s="31">
        <f>L8-AM8-AL8-AK8</f>
        <v>34149.919999999998</v>
      </c>
      <c r="AO8" s="37">
        <v>33280.593000000001</v>
      </c>
      <c r="AP8" s="37">
        <f>82076.796-AO8</f>
        <v>48796.203000000001</v>
      </c>
      <c r="AQ8" s="37">
        <f>146275.599-AP8-AO8</f>
        <v>64198.802999999978</v>
      </c>
      <c r="AR8" s="31">
        <f>M8-AQ8-AP8-AO8</f>
        <v>83273.639000000025</v>
      </c>
      <c r="AS8" s="37">
        <v>113178.053</v>
      </c>
      <c r="AT8" s="37">
        <f>310142.923-AS8</f>
        <v>196964.87</v>
      </c>
      <c r="AU8" s="37">
        <f>528048.25-AT8-AS8</f>
        <v>217905.32699999999</v>
      </c>
      <c r="AV8" s="31">
        <f>N8-AU8-AT8-AS8</f>
        <v>185678.75</v>
      </c>
      <c r="AW8" s="37">
        <v>253773</v>
      </c>
      <c r="AX8" s="37">
        <v>282047</v>
      </c>
      <c r="AY8" s="37">
        <f>1056315-AX8-AW8</f>
        <v>520495</v>
      </c>
      <c r="AZ8" s="31">
        <f>Q8-AY8-AX8-AW8</f>
        <v>462180</v>
      </c>
      <c r="BA8" s="37">
        <v>258566</v>
      </c>
      <c r="BB8" s="37">
        <v>288610</v>
      </c>
      <c r="BC8" s="37">
        <f>948415-BB8-BA8</f>
        <v>401239</v>
      </c>
      <c r="BD8" s="31">
        <f>R8-BC8-BB8-BA8</f>
        <v>343555</v>
      </c>
      <c r="BE8" s="37">
        <v>264705</v>
      </c>
      <c r="BF8" s="37">
        <v>308079</v>
      </c>
      <c r="BG8" s="37">
        <v>390749</v>
      </c>
      <c r="BH8" s="31">
        <f>T8-BG8-BF8-BE8</f>
        <v>455509</v>
      </c>
      <c r="BI8" s="37">
        <v>404574</v>
      </c>
      <c r="BJ8" s="37"/>
      <c r="BK8" s="37">
        <v>1264180</v>
      </c>
      <c r="BL8" s="37">
        <v>1023611</v>
      </c>
      <c r="BM8" s="37"/>
      <c r="BN8" s="37">
        <v>357090</v>
      </c>
      <c r="BO8" s="37">
        <v>389765</v>
      </c>
      <c r="BP8" s="37">
        <v>417656</v>
      </c>
      <c r="BQ8" s="31">
        <f>S8-BN8-BO8-BP8</f>
        <v>526576</v>
      </c>
      <c r="BR8" s="37">
        <v>346406</v>
      </c>
      <c r="BS8" s="37">
        <v>29443</v>
      </c>
      <c r="BT8" s="31">
        <f>G8-BS8</f>
        <v>32954</v>
      </c>
      <c r="BU8" s="37">
        <v>28996</v>
      </c>
      <c r="BV8" s="31">
        <f>H8-BU8</f>
        <v>38277.472999999998</v>
      </c>
      <c r="BW8" s="37">
        <v>48227.597999999998</v>
      </c>
      <c r="BX8" s="31">
        <f>L8-BW8</f>
        <v>67612.391000000003</v>
      </c>
      <c r="BY8" s="37">
        <f>82076.796</f>
        <v>82076.796000000002</v>
      </c>
      <c r="BZ8" s="31">
        <f>M8-BY8</f>
        <v>147472.44200000001</v>
      </c>
      <c r="CA8" s="37">
        <v>310142.92300000001</v>
      </c>
      <c r="CB8" s="31">
        <f>N8-CA8</f>
        <v>403584.07699999999</v>
      </c>
      <c r="CC8" s="37">
        <v>307307</v>
      </c>
      <c r="CD8" s="31">
        <f>P8-CC8</f>
        <v>744435</v>
      </c>
      <c r="CE8" s="37">
        <v>568908</v>
      </c>
      <c r="CF8" s="31">
        <f>R8-CE8</f>
        <v>723062</v>
      </c>
      <c r="CG8" s="37">
        <v>588686</v>
      </c>
      <c r="CI8" s="37">
        <v>55715</v>
      </c>
      <c r="CJ8" s="31">
        <f>Q8-CI8</f>
        <v>1462780</v>
      </c>
      <c r="CK8" s="37">
        <v>768305</v>
      </c>
      <c r="CL8" s="33"/>
    </row>
    <row r="9" spans="2:90" s="6" customFormat="1" ht="16.5" customHeight="1">
      <c r="B9" s="1" t="s">
        <v>128</v>
      </c>
      <c r="C9" s="40"/>
      <c r="D9" s="37">
        <v>22172</v>
      </c>
      <c r="E9" s="37">
        <v>25114</v>
      </c>
      <c r="F9" s="37">
        <v>26829</v>
      </c>
      <c r="G9" s="37">
        <v>35868</v>
      </c>
      <c r="H9" s="37">
        <v>42703.574999999997</v>
      </c>
      <c r="I9" s="37">
        <v>55556.629000000001</v>
      </c>
      <c r="J9" s="37">
        <v>65716.103000000003</v>
      </c>
      <c r="K9" s="37">
        <v>74447.600999999995</v>
      </c>
      <c r="L9" s="37">
        <v>98338.398000000001</v>
      </c>
      <c r="M9" s="37">
        <v>139014.96400000001</v>
      </c>
      <c r="N9" s="37">
        <v>312873</v>
      </c>
      <c r="O9" s="37">
        <v>589035</v>
      </c>
      <c r="P9" s="37">
        <v>739103</v>
      </c>
      <c r="Q9" s="37">
        <v>1067110</v>
      </c>
      <c r="R9" s="37">
        <v>971573</v>
      </c>
      <c r="S9" s="37">
        <v>1271711</v>
      </c>
      <c r="T9" s="37">
        <v>1444986</v>
      </c>
      <c r="U9" s="31">
        <f>BG9+BF9+BH9+BI9</f>
        <v>1559576</v>
      </c>
      <c r="V9" s="33"/>
      <c r="W9" s="33"/>
      <c r="X9" s="36"/>
      <c r="Y9" s="37">
        <v>12165.689</v>
      </c>
      <c r="Z9" s="37">
        <f>25936.526-Y9</f>
        <v>13770.837000000001</v>
      </c>
      <c r="AA9" s="37">
        <f>38317.951-Z9-Y9</f>
        <v>12381.425000000001</v>
      </c>
      <c r="AB9" s="31">
        <f>I9-AA9-Z9-Y9</f>
        <v>17238.678</v>
      </c>
      <c r="AC9" s="37">
        <v>14500.697</v>
      </c>
      <c r="AD9" s="37">
        <f>30978.781-AC9</f>
        <v>16478.083999999999</v>
      </c>
      <c r="AE9" s="37">
        <f>46354.832-AD9-AC9</f>
        <v>15376.051000000003</v>
      </c>
      <c r="AF9" s="31">
        <f>J9-AE9-AD9-AC9</f>
        <v>19361.270999999993</v>
      </c>
      <c r="AG9" s="37">
        <v>16272.41</v>
      </c>
      <c r="AH9" s="37">
        <f>34500.939-AG9</f>
        <v>18228.528999999999</v>
      </c>
      <c r="AI9" s="37">
        <f>51563.928-AH9-AG9</f>
        <v>17062.989000000005</v>
      </c>
      <c r="AJ9" s="31">
        <f>K9-AI9-AH9-AG9</f>
        <v>22883.672999999999</v>
      </c>
      <c r="AK9" s="37">
        <v>17854.572</v>
      </c>
      <c r="AL9" s="37">
        <f>30904.898-AK9</f>
        <v>13050.326000000001</v>
      </c>
      <c r="AM9" s="37">
        <f>57973.607-AL9-AK9</f>
        <v>27068.709000000003</v>
      </c>
      <c r="AN9" s="31">
        <f>L9-AM9-AL9-AK9</f>
        <v>40364.790999999997</v>
      </c>
      <c r="AO9" s="37">
        <v>30610.845000000001</v>
      </c>
      <c r="AP9" s="37">
        <f>57579.073-AO9</f>
        <v>26968.227999999996</v>
      </c>
      <c r="AQ9" s="37">
        <f>90847.275-AP9-AO9</f>
        <v>33268.201999999997</v>
      </c>
      <c r="AR9" s="31">
        <f>M9-AQ9-AP9-AO9</f>
        <v>48167.689000000013</v>
      </c>
      <c r="AS9" s="37">
        <v>50194.506999999998</v>
      </c>
      <c r="AT9" s="37">
        <f>114997.673-AS9</f>
        <v>64803.165999999997</v>
      </c>
      <c r="AU9" s="37">
        <f>199588.174-AT9-AS9</f>
        <v>84590.501000000004</v>
      </c>
      <c r="AV9" s="31">
        <f>N9-AU9-AT9-AS9</f>
        <v>113284.82600000002</v>
      </c>
      <c r="AW9" s="37">
        <v>196083</v>
      </c>
      <c r="AX9" s="37">
        <v>232543</v>
      </c>
      <c r="AY9" s="37">
        <f>733428-AX9-AW9</f>
        <v>304802</v>
      </c>
      <c r="AZ9" s="31">
        <f>Q9-AY9-AX9-AW9</f>
        <v>333682</v>
      </c>
      <c r="BA9" s="37">
        <v>211002</v>
      </c>
      <c r="BB9" s="37">
        <v>182446</v>
      </c>
      <c r="BC9" s="37">
        <f>668056-BB9-BA9</f>
        <v>274608</v>
      </c>
      <c r="BD9" s="31">
        <f>R9-BC9-BB9-BA9</f>
        <v>303517</v>
      </c>
      <c r="BE9" s="37">
        <v>236908</v>
      </c>
      <c r="BF9" s="37">
        <v>325057</v>
      </c>
      <c r="BG9" s="37">
        <v>343285</v>
      </c>
      <c r="BH9" s="31">
        <f>T9-BG9-BF9-BE9</f>
        <v>539736</v>
      </c>
      <c r="BI9" s="37">
        <v>351498</v>
      </c>
      <c r="BJ9" s="37"/>
      <c r="BK9" s="37">
        <v>890479</v>
      </c>
      <c r="BL9" s="37">
        <v>962719</v>
      </c>
      <c r="BM9" s="37"/>
      <c r="BN9" s="37">
        <v>291402</v>
      </c>
      <c r="BO9" s="37">
        <v>246392</v>
      </c>
      <c r="BP9" s="37">
        <v>293510</v>
      </c>
      <c r="BQ9" s="31">
        <f>S9-BN9-BO9-BP9</f>
        <v>440407</v>
      </c>
      <c r="BR9" s="37">
        <v>310030</v>
      </c>
      <c r="BS9" s="37">
        <v>16257</v>
      </c>
      <c r="BT9" s="31">
        <f>G9-BS9</f>
        <v>19611</v>
      </c>
      <c r="BU9" s="37">
        <v>19920</v>
      </c>
      <c r="BV9" s="31">
        <f>H9-BU9</f>
        <v>22783.574999999997</v>
      </c>
      <c r="BW9" s="37">
        <v>30904.898000000001</v>
      </c>
      <c r="BX9" s="31">
        <f>L9-BW9</f>
        <v>67433.5</v>
      </c>
      <c r="BY9" s="37">
        <f>57579.073</f>
        <v>57579.072999999997</v>
      </c>
      <c r="BZ9" s="31">
        <f>M9-BY9</f>
        <v>81435.891000000003</v>
      </c>
      <c r="CA9" s="37">
        <v>114997.673</v>
      </c>
      <c r="CB9" s="31">
        <f>N9-CA9</f>
        <v>197875.32699999999</v>
      </c>
      <c r="CC9" s="37">
        <v>247251</v>
      </c>
      <c r="CD9" s="31">
        <f>P9-CC9</f>
        <v>491852</v>
      </c>
      <c r="CE9" s="37">
        <v>411183</v>
      </c>
      <c r="CF9" s="31">
        <f>R9-CE9</f>
        <v>560390</v>
      </c>
      <c r="CG9" s="37">
        <v>576196</v>
      </c>
      <c r="CI9" s="37">
        <v>445107</v>
      </c>
      <c r="CJ9" s="31">
        <f>Q9-CI9</f>
        <v>622003</v>
      </c>
      <c r="CK9" s="37">
        <v>555299</v>
      </c>
    </row>
    <row r="10" spans="2:90" s="6" customFormat="1" ht="16.5" customHeight="1">
      <c r="B10" s="1" t="s">
        <v>129</v>
      </c>
      <c r="C10" s="40"/>
      <c r="D10" s="37">
        <v>11194</v>
      </c>
      <c r="E10" s="37">
        <v>11806</v>
      </c>
      <c r="F10" s="37">
        <v>12941</v>
      </c>
      <c r="G10" s="37">
        <v>14651</v>
      </c>
      <c r="H10" s="37">
        <v>17997.169999999998</v>
      </c>
      <c r="I10" s="37">
        <v>23360.880000000001</v>
      </c>
      <c r="J10" s="37">
        <v>30244.191999999999</v>
      </c>
      <c r="K10" s="37">
        <v>36310.762999999999</v>
      </c>
      <c r="L10" s="37">
        <v>47170.722999999998</v>
      </c>
      <c r="M10" s="37">
        <v>76889.131999999998</v>
      </c>
      <c r="N10" s="37">
        <v>153713</v>
      </c>
      <c r="O10" s="37">
        <v>291269</v>
      </c>
      <c r="P10" s="37">
        <v>297189</v>
      </c>
      <c r="Q10" s="37">
        <v>429079</v>
      </c>
      <c r="R10" s="37">
        <v>485412</v>
      </c>
      <c r="S10" s="37">
        <v>635365</v>
      </c>
      <c r="T10" s="37">
        <v>597907</v>
      </c>
      <c r="U10" s="31">
        <f>BG10+BF10+BH10+BI10</f>
        <v>615784</v>
      </c>
      <c r="V10" s="33"/>
      <c r="W10" s="33"/>
      <c r="X10" s="36"/>
      <c r="Y10" s="37">
        <v>5085.7280000000001</v>
      </c>
      <c r="Z10" s="37">
        <f>10900.311-Y10</f>
        <v>5814.5829999999996</v>
      </c>
      <c r="AA10" s="37">
        <f>17034.106-Z10-Y10</f>
        <v>6133.795000000001</v>
      </c>
      <c r="AB10" s="31">
        <f>I10-AA10-Z10-Y10</f>
        <v>6326.7740000000003</v>
      </c>
      <c r="AC10" s="37">
        <v>6173.9809999999998</v>
      </c>
      <c r="AD10" s="37">
        <f>13734.803-AC10</f>
        <v>7560.8220000000001</v>
      </c>
      <c r="AE10" s="37">
        <f>22125.788-AD10-AC10</f>
        <v>8390.9850000000006</v>
      </c>
      <c r="AF10" s="31">
        <f>J10-AE10-AD10-AC10</f>
        <v>8118.4039999999986</v>
      </c>
      <c r="AG10" s="37">
        <v>7886.1989999999996</v>
      </c>
      <c r="AH10" s="37">
        <f>17602.89-AG10</f>
        <v>9716.6909999999989</v>
      </c>
      <c r="AI10" s="37">
        <f>26769.357-AH10-AG10</f>
        <v>9166.4670000000006</v>
      </c>
      <c r="AJ10" s="31">
        <f>K10-AI10-AH10-AG10</f>
        <v>9541.405999999999</v>
      </c>
      <c r="AK10" s="37">
        <v>9028.1260000000002</v>
      </c>
      <c r="AL10" s="37">
        <f>18168.213-AK10</f>
        <v>9140.0869999999995</v>
      </c>
      <c r="AM10" s="37">
        <f>32219.42-AL10-AK10</f>
        <v>14051.206999999999</v>
      </c>
      <c r="AN10" s="31">
        <f>L10-AM10-AL10-AK10</f>
        <v>14951.303000000004</v>
      </c>
      <c r="AO10" s="37">
        <v>15105.576999999999</v>
      </c>
      <c r="AP10" s="37">
        <f>31855.798-AO10</f>
        <v>16750.220999999998</v>
      </c>
      <c r="AQ10" s="37">
        <f>52304.98-AP10-AO10</f>
        <v>20449.182000000008</v>
      </c>
      <c r="AR10" s="31">
        <f>M10-AQ10-AP10-AO10</f>
        <v>24584.151999999995</v>
      </c>
      <c r="AS10" s="37">
        <v>32558.289000000001</v>
      </c>
      <c r="AT10" s="37">
        <f>70240.258-AS10</f>
        <v>37681.968999999997</v>
      </c>
      <c r="AU10" s="37">
        <f>109212.105-AT10-AS10</f>
        <v>38971.846999999994</v>
      </c>
      <c r="AV10" s="31">
        <f>N10-AU10-AT10-AS10</f>
        <v>44500.895000000004</v>
      </c>
      <c r="AW10" s="37">
        <v>81504</v>
      </c>
      <c r="AX10" s="37">
        <v>94599</v>
      </c>
      <c r="AY10" s="37">
        <f>303150-AX10-AW10</f>
        <v>127047</v>
      </c>
      <c r="AZ10" s="31">
        <f>Q10-AY10-AX10-AW10</f>
        <v>125929</v>
      </c>
      <c r="BA10" s="37">
        <v>86490</v>
      </c>
      <c r="BB10" s="37">
        <v>113384</v>
      </c>
      <c r="BC10" s="37">
        <f>344026-BB10-BA10</f>
        <v>144152</v>
      </c>
      <c r="BD10" s="31">
        <f>R10-BC10-BB10-BA10</f>
        <v>141386</v>
      </c>
      <c r="BE10" s="37">
        <v>125545</v>
      </c>
      <c r="BF10" s="37">
        <v>140988</v>
      </c>
      <c r="BG10" s="37">
        <v>140857</v>
      </c>
      <c r="BH10" s="31">
        <f>T10-BG10-BF10-BE10</f>
        <v>190517</v>
      </c>
      <c r="BI10" s="37">
        <v>143422</v>
      </c>
      <c r="BJ10" s="37"/>
      <c r="BK10" s="37">
        <v>458566</v>
      </c>
      <c r="BL10" s="37">
        <v>435498</v>
      </c>
      <c r="BM10" s="37"/>
      <c r="BN10" s="37">
        <v>119446</v>
      </c>
      <c r="BO10" s="37">
        <v>153124</v>
      </c>
      <c r="BP10" s="37">
        <v>157829</v>
      </c>
      <c r="BQ10" s="31">
        <f>S10-BN10-BO10-BP10</f>
        <v>204966</v>
      </c>
      <c r="BR10" s="37">
        <v>164294</v>
      </c>
      <c r="BS10" s="37">
        <v>6510</v>
      </c>
      <c r="BT10" s="31">
        <f>G10-BS10</f>
        <v>8141</v>
      </c>
      <c r="BU10" s="37">
        <v>8425</v>
      </c>
      <c r="BV10" s="31">
        <f>H10-BU10</f>
        <v>9572.1699999999983</v>
      </c>
      <c r="BW10" s="37">
        <v>18168.213</v>
      </c>
      <c r="BX10" s="31">
        <f>L10-BW10</f>
        <v>29002.51</v>
      </c>
      <c r="BY10" s="37">
        <f>31855.798</f>
        <v>31855.797999999999</v>
      </c>
      <c r="BZ10" s="31">
        <f>M10-BY10</f>
        <v>45033.334000000003</v>
      </c>
      <c r="CA10" s="37">
        <v>70240.258000000002</v>
      </c>
      <c r="CB10" s="31">
        <f>N10-CA10</f>
        <v>83472.741999999998</v>
      </c>
      <c r="CC10" s="37">
        <v>103353</v>
      </c>
      <c r="CD10" s="31">
        <f>P10-CC10</f>
        <v>193836</v>
      </c>
      <c r="CE10" s="37">
        <v>207143</v>
      </c>
      <c r="CF10" s="31">
        <f>R10-CE10</f>
        <v>278269</v>
      </c>
      <c r="CG10" s="37">
        <v>274074</v>
      </c>
      <c r="CI10" s="37">
        <v>182953</v>
      </c>
      <c r="CJ10" s="31">
        <f>Q10-CI10</f>
        <v>246126</v>
      </c>
      <c r="CK10" s="37">
        <v>279745</v>
      </c>
    </row>
    <row r="11" spans="2:90" s="6" customFormat="1" ht="16.5" customHeight="1">
      <c r="B11" s="1" t="s">
        <v>130</v>
      </c>
      <c r="C11" s="40"/>
      <c r="D11" s="37">
        <v>12985</v>
      </c>
      <c r="E11" s="37">
        <v>13834</v>
      </c>
      <c r="F11" s="37">
        <v>16838</v>
      </c>
      <c r="G11" s="37">
        <v>21514</v>
      </c>
      <c r="H11" s="37">
        <v>24235.787</v>
      </c>
      <c r="I11" s="37">
        <v>29699.776000000002</v>
      </c>
      <c r="J11" s="37">
        <v>43227.186999999998</v>
      </c>
      <c r="K11" s="37">
        <v>47843.542999999998</v>
      </c>
      <c r="L11" s="37">
        <v>45183.224000000002</v>
      </c>
      <c r="M11" s="37">
        <v>73513.573000000004</v>
      </c>
      <c r="N11" s="37">
        <v>168699</v>
      </c>
      <c r="O11" s="37">
        <v>317826</v>
      </c>
      <c r="P11" s="37">
        <v>388576</v>
      </c>
      <c r="Q11" s="37">
        <v>561022</v>
      </c>
      <c r="R11" s="37">
        <v>710437</v>
      </c>
      <c r="S11" s="37">
        <v>929906</v>
      </c>
      <c r="T11" s="37">
        <v>923792</v>
      </c>
      <c r="U11" s="31">
        <f>BG11+BF11+BH11+BI11</f>
        <v>982056</v>
      </c>
      <c r="V11" s="33"/>
      <c r="W11" s="33"/>
      <c r="X11" s="36"/>
      <c r="Y11" s="37">
        <v>6839.52</v>
      </c>
      <c r="Z11" s="37">
        <f>14096.285-Y11</f>
        <v>7256.7649999999994</v>
      </c>
      <c r="AA11" s="37">
        <f>21544.943-Z11-Y11</f>
        <v>7448.6579999999994</v>
      </c>
      <c r="AB11" s="31">
        <f>I11-AA11-Z11-Y11</f>
        <v>8154.8330000000024</v>
      </c>
      <c r="AC11" s="37">
        <v>8405.3580000000002</v>
      </c>
      <c r="AD11" s="37">
        <f>17865.292-AC11</f>
        <v>9459.9340000000011</v>
      </c>
      <c r="AE11" s="37">
        <f>30424.138-AD11-AC11</f>
        <v>12558.845999999998</v>
      </c>
      <c r="AF11" s="31">
        <f>J11-AE11-AD11-AC11</f>
        <v>12803.048999999999</v>
      </c>
      <c r="AG11" s="37">
        <v>12149.960999999999</v>
      </c>
      <c r="AH11" s="37">
        <f>24643.626-AG11</f>
        <v>12493.665000000001</v>
      </c>
      <c r="AI11" s="37">
        <f>36596.155-AH11-AG11</f>
        <v>11952.528999999999</v>
      </c>
      <c r="AJ11" s="31">
        <f>K11-AI11-AH11-AG11</f>
        <v>11247.387999999995</v>
      </c>
      <c r="AK11" s="37">
        <v>10945.379000000001</v>
      </c>
      <c r="AL11" s="37">
        <f>21200.874-AK11</f>
        <v>10255.494999999999</v>
      </c>
      <c r="AM11" s="37">
        <f>32785.443-AL11-AK11</f>
        <v>11584.569</v>
      </c>
      <c r="AN11" s="31">
        <f>L11-AM11-AL11-AK11</f>
        <v>12397.780999999999</v>
      </c>
      <c r="AO11" s="37">
        <v>14095.293</v>
      </c>
      <c r="AP11" s="37">
        <f>29611.25-AO11</f>
        <v>15515.957</v>
      </c>
      <c r="AQ11" s="37">
        <f>47600.715-AP11-AO11</f>
        <v>17989.464999999997</v>
      </c>
      <c r="AR11" s="31">
        <f>M11-AQ11-AP11-AO11</f>
        <v>25912.858000000007</v>
      </c>
      <c r="AS11" s="37">
        <v>27471.108</v>
      </c>
      <c r="AT11" s="37">
        <f>63841.977-AS11</f>
        <v>36370.868999999999</v>
      </c>
      <c r="AU11" s="37">
        <f>111649.534-AT11-AS11</f>
        <v>47807.557000000008</v>
      </c>
      <c r="AV11" s="31">
        <f>N11-AU11-AT11-AS11</f>
        <v>57049.465999999993</v>
      </c>
      <c r="AW11" s="37">
        <v>86708</v>
      </c>
      <c r="AX11" s="37">
        <v>120107</v>
      </c>
      <c r="AY11" s="37">
        <f>378450-AX11-AW11</f>
        <v>171635</v>
      </c>
      <c r="AZ11" s="31">
        <f>Q11-AY11-AX11-AW11</f>
        <v>182572</v>
      </c>
      <c r="BA11" s="37">
        <v>139382</v>
      </c>
      <c r="BB11" s="37">
        <v>156197</v>
      </c>
      <c r="BC11" s="37">
        <f>503349-BB11-BA11</f>
        <v>207770</v>
      </c>
      <c r="BD11" s="31">
        <f>R11-BC11-BB11-BA11</f>
        <v>207088</v>
      </c>
      <c r="BE11" s="37">
        <v>187607</v>
      </c>
      <c r="BF11" s="37">
        <v>201398</v>
      </c>
      <c r="BG11" s="37">
        <v>225849</v>
      </c>
      <c r="BH11" s="31">
        <f>T11-BG11-BF11-BE11</f>
        <v>308938</v>
      </c>
      <c r="BI11" s="37">
        <v>245871</v>
      </c>
      <c r="BJ11" s="37"/>
      <c r="BK11" s="37">
        <v>670934</v>
      </c>
      <c r="BL11" s="37">
        <v>656161</v>
      </c>
      <c r="BM11" s="37"/>
      <c r="BN11" s="37">
        <v>192492</v>
      </c>
      <c r="BO11" s="37">
        <v>210942</v>
      </c>
      <c r="BP11" s="37">
        <v>224796</v>
      </c>
      <c r="BQ11" s="31">
        <f>S11-BN11-BO11-BP11</f>
        <v>301676</v>
      </c>
      <c r="BR11" s="37">
        <v>245512</v>
      </c>
      <c r="BS11" s="37">
        <v>9973</v>
      </c>
      <c r="BT11" s="31">
        <f>G11-BS11</f>
        <v>11541</v>
      </c>
      <c r="BU11" s="37">
        <v>11993</v>
      </c>
      <c r="BV11" s="31">
        <f>H11-BU11</f>
        <v>12242.787</v>
      </c>
      <c r="BW11" s="37">
        <v>21200.874</v>
      </c>
      <c r="BX11" s="31">
        <f>L11-BW11</f>
        <v>23982.350000000002</v>
      </c>
      <c r="BY11" s="37">
        <f>29611.25</f>
        <v>29611.25</v>
      </c>
      <c r="BZ11" s="31">
        <f>M11-BY11</f>
        <v>43902.323000000004</v>
      </c>
      <c r="CA11" s="37">
        <v>63841.976999999999</v>
      </c>
      <c r="CB11" s="31">
        <f>N11-CA11</f>
        <v>104857.023</v>
      </c>
      <c r="CC11" s="37">
        <v>118506</v>
      </c>
      <c r="CD11" s="31">
        <f>P11-CC11</f>
        <v>270070</v>
      </c>
      <c r="CE11" s="37">
        <v>307294</v>
      </c>
      <c r="CF11" s="31">
        <f>R11-CE11</f>
        <v>403143</v>
      </c>
      <c r="CG11" s="37">
        <v>400275</v>
      </c>
      <c r="CI11" s="37">
        <v>214103</v>
      </c>
      <c r="CJ11" s="31">
        <f>Q11-CI11</f>
        <v>346919</v>
      </c>
      <c r="CK11" s="37">
        <v>414997</v>
      </c>
    </row>
    <row r="12" spans="2:90" s="6" customFormat="1" ht="16.5" customHeight="1">
      <c r="B12" s="1" t="s">
        <v>131</v>
      </c>
      <c r="C12" s="40"/>
      <c r="D12" s="37">
        <v>7008</v>
      </c>
      <c r="E12" s="37">
        <v>7265</v>
      </c>
      <c r="F12" s="37">
        <v>8514</v>
      </c>
      <c r="G12" s="37">
        <v>9880</v>
      </c>
      <c r="H12" s="37">
        <v>9581.51</v>
      </c>
      <c r="I12" s="37">
        <v>11107.986999999999</v>
      </c>
      <c r="J12" s="37">
        <v>13837.305</v>
      </c>
      <c r="K12" s="37">
        <v>17014.195</v>
      </c>
      <c r="L12" s="37">
        <v>18365.73</v>
      </c>
      <c r="M12" s="37">
        <v>25364.621999999999</v>
      </c>
      <c r="N12" s="37">
        <v>56527</v>
      </c>
      <c r="O12" s="37">
        <v>106791</v>
      </c>
      <c r="P12" s="37">
        <v>116697</v>
      </c>
      <c r="Q12" s="37">
        <v>168486</v>
      </c>
      <c r="R12" s="37">
        <v>166325</v>
      </c>
      <c r="S12" s="37">
        <v>217706</v>
      </c>
      <c r="T12" s="37">
        <v>217750</v>
      </c>
      <c r="U12" s="31">
        <f>BG12+BF12+BH12+BI12</f>
        <v>230369</v>
      </c>
      <c r="V12" s="33"/>
      <c r="W12" s="33"/>
      <c r="X12" s="36"/>
      <c r="Y12" s="37">
        <v>2373.2730000000001</v>
      </c>
      <c r="Z12" s="37">
        <f>5057.218-Y12</f>
        <v>2683.9449999999997</v>
      </c>
      <c r="AA12" s="37">
        <f>7899.816-Z12-Y12</f>
        <v>2842.598</v>
      </c>
      <c r="AB12" s="31">
        <f>I12-AA12-Z12-Y12</f>
        <v>3208.1709999999994</v>
      </c>
      <c r="AC12" s="37">
        <v>2645.087</v>
      </c>
      <c r="AD12" s="37">
        <f>5882.612-AC12</f>
        <v>3237.5250000000001</v>
      </c>
      <c r="AE12" s="37">
        <f>9555.058-AD12-AC12</f>
        <v>3672.4460000000013</v>
      </c>
      <c r="AF12" s="31">
        <f>J12-AE12-AD12-AC12</f>
        <v>4282.2469999999994</v>
      </c>
      <c r="AG12" s="37">
        <v>3580.0010000000002</v>
      </c>
      <c r="AH12" s="37">
        <f>7892.198-AG12</f>
        <v>4312.1970000000001</v>
      </c>
      <c r="AI12" s="37">
        <f>12208.894-AH12-AG12</f>
        <v>4316.6959999999999</v>
      </c>
      <c r="AJ12" s="31">
        <f>K12-AI12-AH12-AG12</f>
        <v>4805.3009999999995</v>
      </c>
      <c r="AK12" s="37">
        <v>3825.7289999999998</v>
      </c>
      <c r="AL12" s="37">
        <f>7625.018-AK12</f>
        <v>3799.2890000000002</v>
      </c>
      <c r="AM12" s="37">
        <f>11943.176-AL12-AK12</f>
        <v>4318.1579999999994</v>
      </c>
      <c r="AN12" s="31">
        <f>L12-AM12-AL12-AK12</f>
        <v>6422.5540000000001</v>
      </c>
      <c r="AO12" s="37">
        <v>4584.1369999999997</v>
      </c>
      <c r="AP12" s="37">
        <f>10263.258-AO12</f>
        <v>5679.1210000000001</v>
      </c>
      <c r="AQ12" s="37">
        <f>16332.193-AP12-AO12</f>
        <v>6068.9350000000004</v>
      </c>
      <c r="AR12" s="31">
        <f>M12-AQ12-AP12-AO12</f>
        <v>9032.4290000000001</v>
      </c>
      <c r="AS12" s="37">
        <v>9527.5360000000001</v>
      </c>
      <c r="AT12" s="37">
        <f>22832.153-AS12</f>
        <v>13304.616999999998</v>
      </c>
      <c r="AU12" s="37">
        <f>37428.86-AT12-AS12</f>
        <v>14596.707000000002</v>
      </c>
      <c r="AV12" s="31">
        <f>N12-AU12-AT12-AS12</f>
        <v>19098.14</v>
      </c>
      <c r="AW12" s="37">
        <v>26204</v>
      </c>
      <c r="AX12" s="37">
        <v>36307</v>
      </c>
      <c r="AY12" s="37">
        <f>110914-AX12-AW12</f>
        <v>48403</v>
      </c>
      <c r="AZ12" s="31">
        <f>Q12-AY12-AX12-AW12</f>
        <v>57572</v>
      </c>
      <c r="BA12" s="37">
        <v>30042</v>
      </c>
      <c r="BB12" s="37">
        <v>35894</v>
      </c>
      <c r="BC12" s="37">
        <f>112056-BB12-BA12</f>
        <v>46120</v>
      </c>
      <c r="BD12" s="31">
        <f>R12-BC12-BB12-BA12</f>
        <v>54269</v>
      </c>
      <c r="BE12" s="37">
        <v>40111</v>
      </c>
      <c r="BF12" s="37">
        <v>49493</v>
      </c>
      <c r="BG12" s="37">
        <v>52923</v>
      </c>
      <c r="BH12" s="31">
        <f>T12-BG12-BF12-BE12</f>
        <v>75223</v>
      </c>
      <c r="BI12" s="37">
        <v>52730</v>
      </c>
      <c r="BJ12" s="37"/>
      <c r="BK12" s="37">
        <v>149364</v>
      </c>
      <c r="BL12" s="37">
        <v>151841</v>
      </c>
      <c r="BM12" s="37"/>
      <c r="BN12" s="37">
        <v>41489</v>
      </c>
      <c r="BO12" s="37">
        <v>48475</v>
      </c>
      <c r="BP12" s="37">
        <v>49970</v>
      </c>
      <c r="BQ12" s="31">
        <f>S12-BN12-BO12-BP12</f>
        <v>77772</v>
      </c>
      <c r="BR12" s="37">
        <v>52491</v>
      </c>
      <c r="BS12" s="37">
        <v>4618</v>
      </c>
      <c r="BT12" s="31">
        <f>G12-BS12</f>
        <v>5262</v>
      </c>
      <c r="BU12" s="37">
        <v>4616</v>
      </c>
      <c r="BV12" s="31">
        <f>H12-BU12</f>
        <v>4965.51</v>
      </c>
      <c r="BW12" s="37">
        <v>7625.018</v>
      </c>
      <c r="BX12" s="31">
        <f>L12-BW12</f>
        <v>10740.712</v>
      </c>
      <c r="BY12" s="37">
        <f>10263.258</f>
        <v>10263.258</v>
      </c>
      <c r="BZ12" s="31">
        <f>M12-BY12</f>
        <v>15101.364</v>
      </c>
      <c r="CA12" s="37">
        <v>22832.152999999998</v>
      </c>
      <c r="CB12" s="31">
        <f>N12-CA12</f>
        <v>33694.847000000002</v>
      </c>
      <c r="CC12" s="37">
        <v>35744</v>
      </c>
      <c r="CD12" s="31">
        <f>P12-CC12</f>
        <v>80953</v>
      </c>
      <c r="CE12" s="37">
        <v>68461</v>
      </c>
      <c r="CF12" s="31">
        <f>R12-CE12</f>
        <v>97864</v>
      </c>
      <c r="CG12" s="37">
        <v>92013</v>
      </c>
      <c r="CI12" s="37">
        <v>64713</v>
      </c>
      <c r="CJ12" s="31">
        <f>Q12-CI12</f>
        <v>103773</v>
      </c>
      <c r="CK12" s="37">
        <v>92456</v>
      </c>
    </row>
    <row r="13" spans="2:90" s="6" customFormat="1" ht="16.5" customHeight="1">
      <c r="B13" s="6" t="s">
        <v>132</v>
      </c>
      <c r="C13" s="40"/>
      <c r="D13" s="33">
        <f t="shared" ref="D13:J13" si="3">SUM(D8:D12)</f>
        <v>116584</v>
      </c>
      <c r="E13" s="33">
        <f t="shared" si="3"/>
        <v>123477</v>
      </c>
      <c r="F13" s="33">
        <f t="shared" si="3"/>
        <v>133465</v>
      </c>
      <c r="G13" s="33">
        <f t="shared" si="3"/>
        <v>144310</v>
      </c>
      <c r="H13" s="33">
        <f t="shared" si="3"/>
        <v>161791.51500000001</v>
      </c>
      <c r="I13" s="33">
        <f t="shared" si="3"/>
        <v>217299.38800000001</v>
      </c>
      <c r="J13" s="33">
        <f t="shared" si="3"/>
        <v>306274.82400000002</v>
      </c>
      <c r="K13" s="33">
        <f t="shared" ref="K13:P13" si="4">SUM(K8:K12)</f>
        <v>329042.46600000001</v>
      </c>
      <c r="L13" s="33">
        <f t="shared" si="4"/>
        <v>324898.06399999995</v>
      </c>
      <c r="M13" s="33">
        <f t="shared" si="4"/>
        <v>544331.52899999998</v>
      </c>
      <c r="N13" s="33">
        <f t="shared" si="4"/>
        <v>1405539</v>
      </c>
      <c r="O13" s="33">
        <f t="shared" si="4"/>
        <v>2658538</v>
      </c>
      <c r="P13" s="33">
        <f t="shared" si="4"/>
        <v>2593307</v>
      </c>
      <c r="Q13" s="33">
        <f>SUM(Q8:Q12)</f>
        <v>3744192</v>
      </c>
      <c r="R13" s="33">
        <f>SUM(R8:R12)</f>
        <v>3625717</v>
      </c>
      <c r="S13" s="33">
        <f>SUM(S8:S12)</f>
        <v>4745775</v>
      </c>
      <c r="T13" s="33">
        <f>SUM(T8:T12)</f>
        <v>4603477</v>
      </c>
      <c r="U13" s="33">
        <f>SUM(U8:U12)</f>
        <v>4946696</v>
      </c>
      <c r="V13" s="33"/>
      <c r="W13" s="33"/>
      <c r="X13" s="36"/>
      <c r="Y13" s="33">
        <f t="shared" ref="Y13:AI13" si="5">SUM(Y8:Y12)</f>
        <v>48170.96100000001</v>
      </c>
      <c r="Z13" s="33">
        <f t="shared" si="5"/>
        <v>52585.754000000001</v>
      </c>
      <c r="AA13" s="33">
        <f t="shared" si="5"/>
        <v>55033.231</v>
      </c>
      <c r="AB13" s="33">
        <f t="shared" si="5"/>
        <v>61509.441999999995</v>
      </c>
      <c r="AC13" s="33">
        <f t="shared" si="5"/>
        <v>57478.351000000002</v>
      </c>
      <c r="AD13" s="33">
        <f t="shared" si="5"/>
        <v>72630.367999999988</v>
      </c>
      <c r="AE13" s="33">
        <f t="shared" si="5"/>
        <v>90055.469000000012</v>
      </c>
      <c r="AF13" s="33">
        <f t="shared" si="5"/>
        <v>86110.635999999999</v>
      </c>
      <c r="AG13" s="33">
        <f t="shared" si="5"/>
        <v>75394.556000000011</v>
      </c>
      <c r="AH13" s="33">
        <f t="shared" si="5"/>
        <v>84710.226999999999</v>
      </c>
      <c r="AI13" s="33">
        <f t="shared" si="5"/>
        <v>82923.259999999995</v>
      </c>
      <c r="AJ13" s="33">
        <f t="shared" ref="AJ13:AQ13" si="6">SUM(AJ8:AJ12)</f>
        <v>86014.422999999981</v>
      </c>
      <c r="AK13" s="33">
        <f t="shared" si="6"/>
        <v>70699.144000000015</v>
      </c>
      <c r="AL13" s="33">
        <f t="shared" si="6"/>
        <v>55427.456999999988</v>
      </c>
      <c r="AM13" s="33">
        <f t="shared" si="6"/>
        <v>90485.114000000001</v>
      </c>
      <c r="AN13" s="33">
        <f t="shared" si="6"/>
        <v>108286.349</v>
      </c>
      <c r="AO13" s="33">
        <f t="shared" si="6"/>
        <v>97676.445000000007</v>
      </c>
      <c r="AP13" s="33">
        <f t="shared" si="6"/>
        <v>113709.73</v>
      </c>
      <c r="AQ13" s="33">
        <f t="shared" si="6"/>
        <v>141974.58699999997</v>
      </c>
      <c r="AR13" s="33">
        <f t="shared" ref="AR13:BB13" si="7">SUM(AR8:AR12)</f>
        <v>190970.76700000005</v>
      </c>
      <c r="AS13" s="33">
        <f t="shared" si="7"/>
        <v>232929.49299999999</v>
      </c>
      <c r="AT13" s="33">
        <f t="shared" si="7"/>
        <v>349125.49100000004</v>
      </c>
      <c r="AU13" s="33">
        <f t="shared" si="7"/>
        <v>403871.93900000001</v>
      </c>
      <c r="AV13" s="33">
        <f t="shared" si="7"/>
        <v>419612.07700000005</v>
      </c>
      <c r="AW13" s="33">
        <f t="shared" si="7"/>
        <v>644272</v>
      </c>
      <c r="AX13" s="33">
        <f t="shared" si="7"/>
        <v>765603</v>
      </c>
      <c r="AY13" s="33">
        <f t="shared" si="7"/>
        <v>1172382</v>
      </c>
      <c r="AZ13" s="33">
        <f t="shared" si="7"/>
        <v>1161935</v>
      </c>
      <c r="BA13" s="33">
        <f t="shared" si="7"/>
        <v>725482</v>
      </c>
      <c r="BB13" s="33">
        <f t="shared" si="7"/>
        <v>776531</v>
      </c>
      <c r="BC13" s="33">
        <f t="shared" ref="BC13:BH13" si="8">SUM(BC8:BC12)</f>
        <v>1073889</v>
      </c>
      <c r="BD13" s="33">
        <f t="shared" si="8"/>
        <v>1049815</v>
      </c>
      <c r="BE13" s="33">
        <f t="shared" si="8"/>
        <v>854876</v>
      </c>
      <c r="BF13" s="33">
        <f t="shared" si="8"/>
        <v>1025015</v>
      </c>
      <c r="BG13" s="33">
        <f t="shared" si="8"/>
        <v>1153663</v>
      </c>
      <c r="BH13" s="33">
        <f t="shared" si="8"/>
        <v>1569923</v>
      </c>
      <c r="BI13" s="33">
        <f>SUM(BI8:BI12)</f>
        <v>1198095</v>
      </c>
      <c r="BJ13" s="33"/>
      <c r="BK13" s="33">
        <f>SUM(BK8:BK12)</f>
        <v>3433523</v>
      </c>
      <c r="BL13" s="33">
        <f>SUM(BL8:BL12)</f>
        <v>3229830</v>
      </c>
      <c r="BM13" s="33"/>
      <c r="BN13" s="33">
        <f>SUM(BN8:BN12)</f>
        <v>1001919</v>
      </c>
      <c r="BO13" s="33">
        <f>SUM(BO8:BO12)</f>
        <v>1048698</v>
      </c>
      <c r="BP13" s="33">
        <f>SUM(BP8:BP12)</f>
        <v>1143761</v>
      </c>
      <c r="BQ13" s="33">
        <f>SUM(BQ8:BQ12)</f>
        <v>1551397</v>
      </c>
      <c r="BR13" s="33">
        <f>SUM(BR8:BR12)</f>
        <v>1118733</v>
      </c>
      <c r="BS13" s="33">
        <f t="shared" ref="BS13:BX13" si="9">SUM(BS8:BS12)</f>
        <v>66801</v>
      </c>
      <c r="BT13" s="33">
        <f t="shared" si="9"/>
        <v>77509</v>
      </c>
      <c r="BU13" s="33">
        <f t="shared" si="9"/>
        <v>73950</v>
      </c>
      <c r="BV13" s="33">
        <f t="shared" si="9"/>
        <v>87841.514999999985</v>
      </c>
      <c r="BW13" s="33">
        <f t="shared" si="9"/>
        <v>126126.601</v>
      </c>
      <c r="BX13" s="33">
        <f t="shared" si="9"/>
        <v>198771.46300000002</v>
      </c>
      <c r="BY13" s="33">
        <f t="shared" ref="BY13:CD13" si="10">SUM(BY8:BY12)</f>
        <v>211386.17500000002</v>
      </c>
      <c r="BZ13" s="33">
        <f t="shared" si="10"/>
        <v>332945.35399999999</v>
      </c>
      <c r="CA13" s="33">
        <f t="shared" si="10"/>
        <v>582054.98400000005</v>
      </c>
      <c r="CB13" s="33">
        <f t="shared" si="10"/>
        <v>823484.01599999995</v>
      </c>
      <c r="CC13" s="33">
        <f t="shared" si="10"/>
        <v>812161</v>
      </c>
      <c r="CD13" s="33">
        <f t="shared" si="10"/>
        <v>1781146</v>
      </c>
      <c r="CE13" s="33">
        <f>SUM(CE8:CE12)</f>
        <v>1562989</v>
      </c>
      <c r="CF13" s="33">
        <f>SUM(CF8:CF12)</f>
        <v>2062728</v>
      </c>
      <c r="CG13" s="33">
        <f>SUM(CG8:CG12)</f>
        <v>1931244</v>
      </c>
      <c r="CI13" s="33">
        <f>SUM(CI8:CI12)</f>
        <v>962591</v>
      </c>
      <c r="CJ13" s="33">
        <f>SUM(CJ8:CJ12)</f>
        <v>2781601</v>
      </c>
      <c r="CK13" s="33">
        <f>SUM(CK8:CK12)</f>
        <v>2110802</v>
      </c>
    </row>
    <row r="14" spans="2:90" s="6" customFormat="1" ht="16.5" customHeight="1">
      <c r="B14" s="1"/>
      <c r="C14" s="40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V14" s="33"/>
      <c r="W14" s="33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209"/>
      <c r="BK14" s="36"/>
      <c r="BL14" s="36"/>
      <c r="BM14" s="36"/>
      <c r="BN14" s="36"/>
      <c r="BO14" s="36"/>
      <c r="BP14" s="36"/>
      <c r="BQ14" s="33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I14" s="36"/>
      <c r="CJ14" s="36"/>
      <c r="CK14" s="36"/>
    </row>
    <row r="15" spans="2:90" ht="13.5" customHeight="1">
      <c r="B15" s="6" t="s">
        <v>133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163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I15" s="5"/>
      <c r="CJ15" s="5"/>
      <c r="CK15" s="5"/>
    </row>
    <row r="16" spans="2:90" s="6" customFormat="1" ht="16.5" customHeight="1">
      <c r="B16" s="1" t="s">
        <v>127</v>
      </c>
      <c r="C16" s="40"/>
      <c r="D16" s="37">
        <v>1674</v>
      </c>
      <c r="E16" s="37">
        <v>453</v>
      </c>
      <c r="F16" s="37">
        <v>618</v>
      </c>
      <c r="G16" s="37">
        <v>3277</v>
      </c>
      <c r="H16" s="37">
        <v>3393.549</v>
      </c>
      <c r="I16" s="37">
        <v>6048.8950000000004</v>
      </c>
      <c r="J16" s="37">
        <v>7069.308</v>
      </c>
      <c r="K16" s="37">
        <v>3842.4879999999998</v>
      </c>
      <c r="L16" s="37">
        <v>329.86099999999999</v>
      </c>
      <c r="M16" s="37">
        <v>3439.3760000000002</v>
      </c>
      <c r="N16" s="37">
        <v>49727</v>
      </c>
      <c r="O16" s="37">
        <v>78106</v>
      </c>
      <c r="P16" s="37">
        <v>75417</v>
      </c>
      <c r="Q16" s="37">
        <v>108886</v>
      </c>
      <c r="R16" s="37">
        <v>36628</v>
      </c>
      <c r="S16" s="37">
        <v>50560</v>
      </c>
      <c r="T16" s="37">
        <v>49495</v>
      </c>
      <c r="U16" s="31">
        <f>BG16+BF16+BH16+BI16</f>
        <v>58190</v>
      </c>
      <c r="V16" s="33"/>
      <c r="W16" s="33"/>
      <c r="X16" s="36"/>
      <c r="Y16" s="37">
        <v>1576.47</v>
      </c>
      <c r="Z16" s="37">
        <f>3328.217-Y16</f>
        <v>1751.7470000000001</v>
      </c>
      <c r="AA16" s="37">
        <f>5014.777-Z16-Y16</f>
        <v>1686.5599999999997</v>
      </c>
      <c r="AB16" s="31">
        <f>I16-AA16-Z16-Y16</f>
        <v>1034.1180000000006</v>
      </c>
      <c r="AC16" s="37">
        <v>917.00800000000004</v>
      </c>
      <c r="AD16" s="37">
        <f>2486.617-AC16</f>
        <v>1569.6090000000002</v>
      </c>
      <c r="AE16" s="37">
        <f>3843.024-AD16-AC16</f>
        <v>1356.4069999999999</v>
      </c>
      <c r="AF16" s="31">
        <f>J16-AE16-AD16-AC16</f>
        <v>3226.2839999999997</v>
      </c>
      <c r="AG16" s="37">
        <v>594.48500000000001</v>
      </c>
      <c r="AH16" s="37">
        <f>2294.591-AG16</f>
        <v>1700.1059999999998</v>
      </c>
      <c r="AI16" s="37">
        <f>3446.398-AH16-AG16</f>
        <v>1151.8070000000002</v>
      </c>
      <c r="AJ16" s="31">
        <f>K16-AI16-AH16-AG16</f>
        <v>396.0899999999998</v>
      </c>
      <c r="AK16" s="37">
        <v>-1957.239</v>
      </c>
      <c r="AL16" s="37">
        <f>-1608.476-AK16</f>
        <v>348.76299999999992</v>
      </c>
      <c r="AM16" s="37">
        <f>-890.364-AL16-AK16</f>
        <v>718.11200000000008</v>
      </c>
      <c r="AN16" s="31">
        <f>L16-AM16-AL16-AK16</f>
        <v>1220.2249999999999</v>
      </c>
      <c r="AO16" s="37">
        <v>-310.57100000000003</v>
      </c>
      <c r="AP16" s="37">
        <f>2196.575-AO16</f>
        <v>2507.1459999999997</v>
      </c>
      <c r="AQ16" s="37">
        <f>5552.116-AP16-AO16</f>
        <v>3355.5410000000002</v>
      </c>
      <c r="AR16" s="31">
        <f>M16-AQ16-AP16-AO16</f>
        <v>-2112.7399999999998</v>
      </c>
      <c r="AS16" s="37">
        <v>4204.5919999999996</v>
      </c>
      <c r="AT16" s="37">
        <f>18060.696-AS16</f>
        <v>13856.103999999999</v>
      </c>
      <c r="AU16" s="37">
        <f>33221.418-AT16-AS16</f>
        <v>15160.721999999998</v>
      </c>
      <c r="AV16" s="31">
        <f>N16-AU16-AT16-AS16</f>
        <v>16505.582000000006</v>
      </c>
      <c r="AW16" s="37">
        <v>15632</v>
      </c>
      <c r="AX16" s="37">
        <v>13758</v>
      </c>
      <c r="AY16" s="37">
        <f>78810-AX16-AW16</f>
        <v>49420</v>
      </c>
      <c r="AZ16" s="31">
        <f>Q16-AY16-AX16-AW16</f>
        <v>30076</v>
      </c>
      <c r="BA16" s="37">
        <v>4003</v>
      </c>
      <c r="BB16" s="37">
        <v>10225</v>
      </c>
      <c r="BC16" s="37">
        <f>29706-BB16-BA16</f>
        <v>15478</v>
      </c>
      <c r="BD16" s="31">
        <f>R16-BC16-BB16-BA16</f>
        <v>6922</v>
      </c>
      <c r="BE16" s="37">
        <v>4852</v>
      </c>
      <c r="BF16" s="37">
        <v>12103</v>
      </c>
      <c r="BG16" s="37">
        <v>18589</v>
      </c>
      <c r="BH16" s="31">
        <f>T16-BG16-BF16-BE16</f>
        <v>13951</v>
      </c>
      <c r="BI16" s="37">
        <v>13547</v>
      </c>
      <c r="BJ16" s="37"/>
      <c r="BK16" s="37">
        <v>39596</v>
      </c>
      <c r="BL16" s="37">
        <v>37129</v>
      </c>
      <c r="BM16" s="37"/>
      <c r="BN16" s="37">
        <v>5528</v>
      </c>
      <c r="BO16" s="37">
        <v>13809</v>
      </c>
      <c r="BP16" s="37">
        <v>18336</v>
      </c>
      <c r="BQ16" s="31">
        <f>S16-BN16-BO16-BP16</f>
        <v>12887</v>
      </c>
      <c r="BR16" s="37">
        <v>6350</v>
      </c>
      <c r="BS16" s="37">
        <v>1503</v>
      </c>
      <c r="BT16" s="31">
        <f>G16-BS16</f>
        <v>1774</v>
      </c>
      <c r="BU16" s="37">
        <v>1125</v>
      </c>
      <c r="BV16" s="31">
        <f>H16-BU16</f>
        <v>2268.549</v>
      </c>
      <c r="BW16" s="37">
        <v>-1608.4760000000001</v>
      </c>
      <c r="BX16" s="31">
        <f>L16-BW16</f>
        <v>1938.337</v>
      </c>
      <c r="BY16" s="37">
        <f>2196.575</f>
        <v>2196.5749999999998</v>
      </c>
      <c r="BZ16" s="31">
        <f>M16-BY16</f>
        <v>1242.8010000000004</v>
      </c>
      <c r="CA16" s="37">
        <v>18060.696</v>
      </c>
      <c r="CB16" s="31">
        <f>N16-CA16</f>
        <v>31666.304</v>
      </c>
      <c r="CC16" s="37">
        <v>21657</v>
      </c>
      <c r="CD16" s="31">
        <f>P16-CC16</f>
        <v>53760</v>
      </c>
      <c r="CE16" s="37">
        <v>14564</v>
      </c>
      <c r="CF16" s="31">
        <f>R16-CE16</f>
        <v>22064</v>
      </c>
      <c r="CG16" s="37">
        <v>17246</v>
      </c>
      <c r="CI16" s="37">
        <v>30704</v>
      </c>
      <c r="CJ16" s="31">
        <f>Q16-CI16</f>
        <v>78182</v>
      </c>
      <c r="CK16" s="37">
        <v>19669</v>
      </c>
    </row>
    <row r="17" spans="2:89" s="6" customFormat="1" ht="16.5" customHeight="1">
      <c r="B17" s="1" t="s">
        <v>128</v>
      </c>
      <c r="C17" s="40"/>
      <c r="D17" s="37">
        <v>1649</v>
      </c>
      <c r="E17" s="37">
        <v>1705</v>
      </c>
      <c r="F17" s="37">
        <v>1618</v>
      </c>
      <c r="G17" s="37">
        <v>2529</v>
      </c>
      <c r="H17" s="37">
        <v>2915.2910000000002</v>
      </c>
      <c r="I17" s="37">
        <v>3940.78</v>
      </c>
      <c r="J17" s="37">
        <v>5033.674</v>
      </c>
      <c r="K17" s="37">
        <v>5917.5590000000002</v>
      </c>
      <c r="L17" s="37">
        <v>10178.502</v>
      </c>
      <c r="M17" s="37">
        <v>18553.981</v>
      </c>
      <c r="N17" s="37">
        <v>39861</v>
      </c>
      <c r="O17" s="37">
        <v>47807</v>
      </c>
      <c r="P17" s="37">
        <v>76416</v>
      </c>
      <c r="Q17" s="37">
        <v>110329</v>
      </c>
      <c r="R17" s="37">
        <v>33235</v>
      </c>
      <c r="S17" s="37">
        <v>43502</v>
      </c>
      <c r="T17" s="37">
        <v>52735</v>
      </c>
      <c r="U17" s="31">
        <f>BG17+BF17+BH17+BI17</f>
        <v>49290</v>
      </c>
      <c r="V17" s="33"/>
      <c r="W17" s="33"/>
      <c r="X17" s="36"/>
      <c r="Y17" s="37">
        <v>798.68899999999996</v>
      </c>
      <c r="Z17" s="37">
        <f>1676.912-Y17</f>
        <v>878.22300000000007</v>
      </c>
      <c r="AA17" s="37">
        <f>2660.983-Z17-Y17</f>
        <v>984.07100000000025</v>
      </c>
      <c r="AB17" s="31">
        <f>I17-AA17-Z17-Y17</f>
        <v>1279.797</v>
      </c>
      <c r="AC17" s="37">
        <v>989.85699999999997</v>
      </c>
      <c r="AD17" s="37">
        <f>2277.998-AC17</f>
        <v>1288.1410000000001</v>
      </c>
      <c r="AE17" s="37">
        <f>3513.38-AD17-AC17</f>
        <v>1235.3820000000001</v>
      </c>
      <c r="AF17" s="31">
        <f>J17-AE17-AD17-AC17</f>
        <v>1520.2939999999999</v>
      </c>
      <c r="AG17" s="37">
        <v>1209.4770000000001</v>
      </c>
      <c r="AH17" s="37">
        <f>2796.337-AG17</f>
        <v>1586.86</v>
      </c>
      <c r="AI17" s="37">
        <f>4088.696-AH17-AG17</f>
        <v>1292.3590000000002</v>
      </c>
      <c r="AJ17" s="31">
        <f>K17-AI17-AH17-AG17</f>
        <v>1828.8630000000001</v>
      </c>
      <c r="AK17" s="37">
        <v>1562.4449999999999</v>
      </c>
      <c r="AL17" s="37">
        <f>2962.411-AK17</f>
        <v>1399.9660000000001</v>
      </c>
      <c r="AM17" s="37">
        <f>5937.128-AL17-AK17</f>
        <v>2974.7169999999996</v>
      </c>
      <c r="AN17" s="31">
        <f>L17-AM17-AL17-AK17</f>
        <v>4241.3740000000007</v>
      </c>
      <c r="AO17" s="37">
        <v>3056.5250000000001</v>
      </c>
      <c r="AP17" s="37">
        <f>6390.94-AO17</f>
        <v>3334.4149999999995</v>
      </c>
      <c r="AQ17" s="37">
        <f>10260.536-AP17-AO17</f>
        <v>3869.5960000000009</v>
      </c>
      <c r="AR17" s="31">
        <f>M17-AQ17-AP17-AO17</f>
        <v>8293.4449999999997</v>
      </c>
      <c r="AS17" s="37">
        <v>6035.2389999999996</v>
      </c>
      <c r="AT17" s="37">
        <f>14219.273-AS17</f>
        <v>8184.0339999999997</v>
      </c>
      <c r="AU17" s="37">
        <f>24028.789-AT17-AS17</f>
        <v>9809.5160000000014</v>
      </c>
      <c r="AV17" s="31">
        <f>N17-AU17-AT17-AS17</f>
        <v>15832.210999999998</v>
      </c>
      <c r="AW17" s="37">
        <v>16813</v>
      </c>
      <c r="AX17" s="37">
        <v>31348</v>
      </c>
      <c r="AY17" s="37">
        <f>91282-AX17-AW17</f>
        <v>43121</v>
      </c>
      <c r="AZ17" s="31">
        <f>Q17-AY17-AX17-AW17</f>
        <v>19047</v>
      </c>
      <c r="BA17" s="37">
        <v>14664</v>
      </c>
      <c r="BB17" s="37">
        <v>7526</v>
      </c>
      <c r="BC17" s="37">
        <f>32944-BB17-BA17</f>
        <v>10754</v>
      </c>
      <c r="BD17" s="31">
        <f>R17-BC17-BB17-BA17</f>
        <v>291</v>
      </c>
      <c r="BE17" s="37">
        <v>6480</v>
      </c>
      <c r="BF17" s="37">
        <v>15872</v>
      </c>
      <c r="BG17" s="37">
        <v>9837</v>
      </c>
      <c r="BH17" s="31">
        <f>T17-BG17-BF17-BE17</f>
        <v>20546</v>
      </c>
      <c r="BI17" s="37">
        <v>3035</v>
      </c>
      <c r="BJ17" s="37"/>
      <c r="BK17" s="37">
        <v>43912</v>
      </c>
      <c r="BL17" s="37">
        <v>34284</v>
      </c>
      <c r="BM17" s="37"/>
      <c r="BN17" s="37">
        <v>20252</v>
      </c>
      <c r="BO17" s="37">
        <v>10164</v>
      </c>
      <c r="BP17" s="37">
        <v>11469</v>
      </c>
      <c r="BQ17" s="31">
        <f>S17-BN17-BO17-BP17</f>
        <v>1617</v>
      </c>
      <c r="BR17" s="37">
        <v>8480</v>
      </c>
      <c r="BS17" s="37">
        <v>1071</v>
      </c>
      <c r="BT17" s="31">
        <f>G17-BS17</f>
        <v>1458</v>
      </c>
      <c r="BU17" s="37">
        <v>1370</v>
      </c>
      <c r="BV17" s="31">
        <f>H17-BU17</f>
        <v>1545.2910000000002</v>
      </c>
      <c r="BW17" s="37">
        <v>2962.4110000000001</v>
      </c>
      <c r="BX17" s="31">
        <f>L17-BW17</f>
        <v>7216.0910000000003</v>
      </c>
      <c r="BY17" s="37">
        <f>6390.94</f>
        <v>6390.94</v>
      </c>
      <c r="BZ17" s="31">
        <f>M17-BY17</f>
        <v>12163.041000000001</v>
      </c>
      <c r="CA17" s="37">
        <v>14219.272999999999</v>
      </c>
      <c r="CB17" s="31">
        <f>N17-CA17</f>
        <v>25641.726999999999</v>
      </c>
      <c r="CC17" s="37">
        <v>33543</v>
      </c>
      <c r="CD17" s="31">
        <f>P17-CC17</f>
        <v>42873</v>
      </c>
      <c r="CE17" s="37">
        <v>23423</v>
      </c>
      <c r="CF17" s="31">
        <f>R17-CE17</f>
        <v>9812</v>
      </c>
      <c r="CG17" s="37">
        <v>22741</v>
      </c>
      <c r="CI17" s="37">
        <v>49574</v>
      </c>
      <c r="CJ17" s="31">
        <f>Q17-CI17</f>
        <v>60755</v>
      </c>
      <c r="CK17" s="37">
        <v>31633</v>
      </c>
    </row>
    <row r="18" spans="2:89" s="6" customFormat="1" ht="16.5" customHeight="1">
      <c r="B18" s="1" t="s">
        <v>129</v>
      </c>
      <c r="C18" s="40"/>
      <c r="D18" s="37">
        <v>743</v>
      </c>
      <c r="E18" s="37">
        <v>1157</v>
      </c>
      <c r="F18" s="37">
        <v>954</v>
      </c>
      <c r="G18" s="37">
        <v>1292</v>
      </c>
      <c r="H18" s="37">
        <v>1571.9259999999999</v>
      </c>
      <c r="I18" s="37">
        <v>1784.9939999999999</v>
      </c>
      <c r="J18" s="37">
        <v>2791.5459999999998</v>
      </c>
      <c r="K18" s="37">
        <v>2759.1849999999999</v>
      </c>
      <c r="L18" s="37">
        <v>5047.1639999999998</v>
      </c>
      <c r="M18" s="37">
        <v>7131.1229999999996</v>
      </c>
      <c r="N18" s="37">
        <v>9789</v>
      </c>
      <c r="O18" s="37">
        <v>11071</v>
      </c>
      <c r="P18" s="37">
        <v>12175</v>
      </c>
      <c r="Q18" s="37">
        <v>17578</v>
      </c>
      <c r="R18" s="37">
        <v>10098</v>
      </c>
      <c r="S18" s="37">
        <v>13217</v>
      </c>
      <c r="T18" s="37">
        <v>13113</v>
      </c>
      <c r="U18" s="31">
        <f>BG18+BF18+BH18+BI18</f>
        <v>11095</v>
      </c>
      <c r="V18" s="33"/>
      <c r="W18" s="33"/>
      <c r="X18" s="36"/>
      <c r="Y18" s="37">
        <v>435.89</v>
      </c>
      <c r="Z18" s="37">
        <f>807.479-Y18</f>
        <v>371.58900000000006</v>
      </c>
      <c r="AA18" s="37">
        <f>1329.221-Z18-Y18</f>
        <v>521.74199999999996</v>
      </c>
      <c r="AB18" s="31">
        <f>I18-AA18-Z18-Y18</f>
        <v>455.77299999999991</v>
      </c>
      <c r="AC18" s="37">
        <v>522.33399999999995</v>
      </c>
      <c r="AD18" s="37">
        <f>1203.676-AC18</f>
        <v>681.34199999999998</v>
      </c>
      <c r="AE18" s="37">
        <f>2640.988-AD18-AC18</f>
        <v>1437.3119999999999</v>
      </c>
      <c r="AF18" s="31">
        <f>J18-AE18-AD18-AC18</f>
        <v>150.55799999999999</v>
      </c>
      <c r="AG18" s="37">
        <v>663.14700000000005</v>
      </c>
      <c r="AH18" s="37">
        <f>1370.553-AG18</f>
        <v>707.40600000000006</v>
      </c>
      <c r="AI18" s="37">
        <f>2139.414-AH18-AG18</f>
        <v>768.86100000000022</v>
      </c>
      <c r="AJ18" s="31">
        <f>K18-AI18-AH18-AG18</f>
        <v>619.77099999999962</v>
      </c>
      <c r="AK18" s="37">
        <v>791.70100000000002</v>
      </c>
      <c r="AL18" s="37">
        <f>1610.986-AK18</f>
        <v>819.28500000000008</v>
      </c>
      <c r="AM18" s="37">
        <f>3610.968-AL18-AK18</f>
        <v>1999.982</v>
      </c>
      <c r="AN18" s="31">
        <f>L18-AM18-AL18-AK18</f>
        <v>1436.1959999999999</v>
      </c>
      <c r="AO18" s="37">
        <v>1709.3240000000001</v>
      </c>
      <c r="AP18" s="37">
        <f>2816.317-AO18</f>
        <v>1106.9929999999999</v>
      </c>
      <c r="AQ18" s="37">
        <f>4107.18-AP18-AO18</f>
        <v>1290.8630000000003</v>
      </c>
      <c r="AR18" s="31">
        <f>M18-AQ18-AP18-AO18</f>
        <v>3023.9429999999998</v>
      </c>
      <c r="AS18" s="37">
        <v>2875.79</v>
      </c>
      <c r="AT18" s="37">
        <f>5005.57-AS18</f>
        <v>2129.7799999999997</v>
      </c>
      <c r="AU18" s="37">
        <f>7089.788-AT18-AS18</f>
        <v>2084.2179999999998</v>
      </c>
      <c r="AV18" s="31">
        <f>N18-AU18-AT18-AS18</f>
        <v>2699.2120000000004</v>
      </c>
      <c r="AW18" s="37">
        <v>2110</v>
      </c>
      <c r="AX18" s="37">
        <v>6504</v>
      </c>
      <c r="AY18" s="37">
        <f>12158-AX18-AW18</f>
        <v>3544</v>
      </c>
      <c r="AZ18" s="31">
        <f>Q18-AY18-AX18-AW18</f>
        <v>5420</v>
      </c>
      <c r="BA18" s="37">
        <v>3388</v>
      </c>
      <c r="BB18" s="37">
        <v>730</v>
      </c>
      <c r="BC18" s="37">
        <f>3646-BB18-BA18</f>
        <v>-472</v>
      </c>
      <c r="BD18" s="31">
        <f>R18-BC18-BB18-BA18</f>
        <v>6452</v>
      </c>
      <c r="BE18" s="37">
        <v>2610</v>
      </c>
      <c r="BF18" s="37">
        <v>3895</v>
      </c>
      <c r="BG18" s="37">
        <v>3100</v>
      </c>
      <c r="BH18" s="31">
        <f>T18-BG18-BF18-BE18</f>
        <v>3508</v>
      </c>
      <c r="BI18" s="37">
        <v>592</v>
      </c>
      <c r="BJ18" s="37"/>
      <c r="BK18" s="37">
        <v>26214</v>
      </c>
      <c r="BL18" s="37">
        <v>10262</v>
      </c>
      <c r="BM18" s="37"/>
      <c r="BN18" s="37">
        <v>4679</v>
      </c>
      <c r="BO18" s="37">
        <v>20847</v>
      </c>
      <c r="BP18" s="37">
        <v>-1530</v>
      </c>
      <c r="BQ18" s="31">
        <f>S18-BN18-BO18-BP18</f>
        <v>-10779</v>
      </c>
      <c r="BR18" s="37">
        <v>3416</v>
      </c>
      <c r="BS18" s="37">
        <v>470</v>
      </c>
      <c r="BT18" s="31">
        <f>G18-BS18</f>
        <v>822</v>
      </c>
      <c r="BU18" s="37">
        <v>681</v>
      </c>
      <c r="BV18" s="31">
        <f>H18-BU18</f>
        <v>890.92599999999993</v>
      </c>
      <c r="BW18" s="37">
        <v>1610.9860000000001</v>
      </c>
      <c r="BX18" s="31">
        <f>L18-BW18</f>
        <v>3436.1779999999999</v>
      </c>
      <c r="BY18" s="37">
        <f>2816.317</f>
        <v>2816.317</v>
      </c>
      <c r="BZ18" s="31">
        <f>M18-BY18</f>
        <v>4314.8059999999996</v>
      </c>
      <c r="CA18" s="37">
        <v>5005.57</v>
      </c>
      <c r="CB18" s="31">
        <f>N18-CA18</f>
        <v>4783.43</v>
      </c>
      <c r="CC18" s="37">
        <v>6728</v>
      </c>
      <c r="CD18" s="31">
        <f>P18-CC18</f>
        <v>5447</v>
      </c>
      <c r="CE18" s="37">
        <v>4403</v>
      </c>
      <c r="CF18" s="31">
        <f>R18-CE18</f>
        <v>5695</v>
      </c>
      <c r="CG18" s="37">
        <v>6662</v>
      </c>
      <c r="CI18" s="37">
        <v>8791</v>
      </c>
      <c r="CJ18" s="31">
        <f>Q18-CI18</f>
        <v>8787</v>
      </c>
      <c r="CK18" s="37">
        <v>25807</v>
      </c>
    </row>
    <row r="19" spans="2:89" s="6" customFormat="1" ht="16.5" customHeight="1">
      <c r="B19" s="1" t="s">
        <v>130</v>
      </c>
      <c r="C19" s="40"/>
      <c r="D19" s="37">
        <v>2825</v>
      </c>
      <c r="E19" s="37">
        <v>3313</v>
      </c>
      <c r="F19" s="37">
        <v>3044</v>
      </c>
      <c r="G19" s="37">
        <v>3382</v>
      </c>
      <c r="H19" s="37">
        <v>3984.558</v>
      </c>
      <c r="I19" s="37">
        <v>4236.0050000000001</v>
      </c>
      <c r="J19" s="37">
        <v>6038.6270000000004</v>
      </c>
      <c r="K19" s="37">
        <v>4575.8559999999998</v>
      </c>
      <c r="L19" s="37">
        <v>6269.4040000000005</v>
      </c>
      <c r="M19" s="37">
        <v>13487.672</v>
      </c>
      <c r="N19" s="37">
        <v>69108</v>
      </c>
      <c r="O19" s="37">
        <v>125026</v>
      </c>
      <c r="P19" s="37">
        <v>95956</v>
      </c>
      <c r="Q19" s="37">
        <v>138540</v>
      </c>
      <c r="R19" s="37">
        <v>19228</v>
      </c>
      <c r="S19" s="37">
        <v>25168</v>
      </c>
      <c r="T19" s="37">
        <v>37862</v>
      </c>
      <c r="U19" s="31">
        <f>BG19+BF19+BH19+BI19</f>
        <v>49935</v>
      </c>
      <c r="V19" s="33"/>
      <c r="W19" s="33"/>
      <c r="X19" s="36"/>
      <c r="Y19" s="37">
        <v>1171.9349999999999</v>
      </c>
      <c r="Z19" s="37">
        <f>2249.02-Y19</f>
        <v>1077.085</v>
      </c>
      <c r="AA19" s="37">
        <f>3408.338-Z19-Y19</f>
        <v>1159.3180000000002</v>
      </c>
      <c r="AB19" s="31">
        <f>I19-AA19-Z19-Y19</f>
        <v>827.66699999999992</v>
      </c>
      <c r="AC19" s="37">
        <v>1618.9490000000001</v>
      </c>
      <c r="AD19" s="37">
        <f>3167.2-AC19</f>
        <v>1548.2509999999997</v>
      </c>
      <c r="AE19" s="37">
        <f>4577.795-AD19-AC19</f>
        <v>1410.5950000000003</v>
      </c>
      <c r="AF19" s="31">
        <f>J19-AE19-AD19-AC19</f>
        <v>1460.8320000000003</v>
      </c>
      <c r="AG19" s="37">
        <v>1584.1310000000001</v>
      </c>
      <c r="AH19" s="37">
        <f>2888.95-AG19</f>
        <v>1304.8189999999997</v>
      </c>
      <c r="AI19" s="37">
        <f>4112.097-AH19-AG19</f>
        <v>1223.1470000000002</v>
      </c>
      <c r="AJ19" s="31">
        <f>K19-AI19-AH19-AG19</f>
        <v>463.75900000000001</v>
      </c>
      <c r="AK19" s="37">
        <v>1674.4970000000001</v>
      </c>
      <c r="AL19" s="37">
        <f>3044.416-AK19</f>
        <v>1369.9190000000001</v>
      </c>
      <c r="AM19" s="37">
        <f>5146.49-AL19-AK19</f>
        <v>2102.0739999999996</v>
      </c>
      <c r="AN19" s="31">
        <f>L19-AM19-AL19-AK19</f>
        <v>1122.9140000000009</v>
      </c>
      <c r="AO19" s="37">
        <v>1649.76</v>
      </c>
      <c r="AP19" s="37">
        <f>4378.401-AO19</f>
        <v>2728.6409999999996</v>
      </c>
      <c r="AQ19" s="37">
        <f>8626.036-AP19-AO19</f>
        <v>4247.6350000000002</v>
      </c>
      <c r="AR19" s="31">
        <f>M19-AQ19-AP19-AO19</f>
        <v>4861.6360000000004</v>
      </c>
      <c r="AS19" s="37">
        <v>9496.2569999999996</v>
      </c>
      <c r="AT19" s="37">
        <f>24237.42-AS19</f>
        <v>14741.162999999999</v>
      </c>
      <c r="AU19" s="37">
        <f>45782.457-AT19-AS19</f>
        <v>21545.037000000004</v>
      </c>
      <c r="AV19" s="31">
        <f>N19-AU19-AT19-AS19</f>
        <v>23325.542999999998</v>
      </c>
      <c r="AW19" s="37">
        <v>26217</v>
      </c>
      <c r="AX19" s="37">
        <v>24868</v>
      </c>
      <c r="AY19" s="37">
        <f>106531-AX19-AW19</f>
        <v>55446</v>
      </c>
      <c r="AZ19" s="31">
        <f>Q19-AY19-AX19-AW19</f>
        <v>32009</v>
      </c>
      <c r="BA19" s="37">
        <v>11699</v>
      </c>
      <c r="BB19" s="37">
        <v>6786</v>
      </c>
      <c r="BC19" s="37">
        <f>17242-BB19-BA19</f>
        <v>-1243</v>
      </c>
      <c r="BD19" s="31">
        <f>R19-BC19-BB19-BA19</f>
        <v>1986</v>
      </c>
      <c r="BE19" s="37">
        <v>8923</v>
      </c>
      <c r="BF19" s="37">
        <v>8000</v>
      </c>
      <c r="BG19" s="37">
        <v>6293</v>
      </c>
      <c r="BH19" s="31">
        <f>T19-BG19-BF19-BE19</f>
        <v>14646</v>
      </c>
      <c r="BI19" s="37">
        <v>20996</v>
      </c>
      <c r="BJ19" s="37"/>
      <c r="BK19" s="37">
        <v>22983</v>
      </c>
      <c r="BL19" s="37">
        <v>25062</v>
      </c>
      <c r="BM19" s="37"/>
      <c r="BN19" s="37">
        <v>16157</v>
      </c>
      <c r="BO19" s="37">
        <v>9163</v>
      </c>
      <c r="BP19" s="37">
        <v>-5281</v>
      </c>
      <c r="BQ19" s="31">
        <f>S19-BN19-BO19-BP19</f>
        <v>5129</v>
      </c>
      <c r="BR19" s="37">
        <v>11677</v>
      </c>
      <c r="BS19" s="37">
        <v>1463</v>
      </c>
      <c r="BT19" s="31">
        <f>G19-BS19</f>
        <v>1919</v>
      </c>
      <c r="BU19" s="37">
        <v>2157</v>
      </c>
      <c r="BV19" s="31">
        <f>H19-BU19</f>
        <v>1827.558</v>
      </c>
      <c r="BW19" s="37">
        <v>3044.4160000000002</v>
      </c>
      <c r="BX19" s="31">
        <f>L19-BW19</f>
        <v>3224.9880000000003</v>
      </c>
      <c r="BY19" s="37">
        <f>4378.401</f>
        <v>4378.4009999999998</v>
      </c>
      <c r="BZ19" s="31">
        <f>M19-BY19</f>
        <v>9109.2710000000006</v>
      </c>
      <c r="CA19" s="37">
        <v>24237.42</v>
      </c>
      <c r="CB19" s="31">
        <f>N19-CA19</f>
        <v>44870.58</v>
      </c>
      <c r="CC19" s="37">
        <v>30836</v>
      </c>
      <c r="CD19" s="31">
        <f>P19-CC19</f>
        <v>65120</v>
      </c>
      <c r="CE19" s="37">
        <v>19468</v>
      </c>
      <c r="CF19" s="31">
        <f>R19-CE19</f>
        <v>-240</v>
      </c>
      <c r="CG19" s="37">
        <v>17459</v>
      </c>
      <c r="CI19" s="37">
        <v>53289</v>
      </c>
      <c r="CJ19" s="31">
        <f>Q19-CI19</f>
        <v>85251</v>
      </c>
      <c r="CK19" s="37">
        <v>26291</v>
      </c>
    </row>
    <row r="20" spans="2:89" s="6" customFormat="1" ht="16.5" customHeight="1">
      <c r="B20" s="1" t="s">
        <v>131</v>
      </c>
      <c r="C20" s="40"/>
      <c r="D20" s="37">
        <v>138</v>
      </c>
      <c r="E20" s="37">
        <v>131</v>
      </c>
      <c r="F20" s="37">
        <v>80</v>
      </c>
      <c r="G20" s="37">
        <v>207</v>
      </c>
      <c r="H20" s="37">
        <v>70.063000000000002</v>
      </c>
      <c r="I20" s="37">
        <v>185.12100000000001</v>
      </c>
      <c r="J20" s="37">
        <v>73.930999999999997</v>
      </c>
      <c r="K20" s="37">
        <v>390.82799999999997</v>
      </c>
      <c r="L20" s="37">
        <v>511.90100000000001</v>
      </c>
      <c r="M20" s="37">
        <v>723.37800000000004</v>
      </c>
      <c r="N20" s="37">
        <v>2056</v>
      </c>
      <c r="O20" s="37">
        <v>-565</v>
      </c>
      <c r="P20" s="37">
        <v>-864</v>
      </c>
      <c r="Q20" s="37">
        <v>-1247</v>
      </c>
      <c r="R20" s="37">
        <v>-256</v>
      </c>
      <c r="S20" s="37">
        <v>-333</v>
      </c>
      <c r="T20" s="37">
        <v>-1010</v>
      </c>
      <c r="U20" s="31">
        <f>BG20+BF20+BH20+BI20</f>
        <v>-4131</v>
      </c>
      <c r="V20" s="33"/>
      <c r="W20" s="33"/>
      <c r="X20" s="36"/>
      <c r="Y20" s="37">
        <v>-18.943000000000001</v>
      </c>
      <c r="Z20" s="37">
        <f>39.073-Y20</f>
        <v>58.016000000000005</v>
      </c>
      <c r="AA20" s="37">
        <f>107.522-Z20-Y20</f>
        <v>68.448999999999998</v>
      </c>
      <c r="AB20" s="31">
        <f>I20-AA20-Z20-Y20</f>
        <v>77.599000000000004</v>
      </c>
      <c r="AC20" s="37">
        <v>-57.354999999999997</v>
      </c>
      <c r="AD20" s="37">
        <f>-44.972-AC20</f>
        <v>12.382999999999996</v>
      </c>
      <c r="AE20" s="37">
        <f>-54.408-AD20-AC20</f>
        <v>-9.4359999999999999</v>
      </c>
      <c r="AF20" s="31">
        <f>J20-AE20-AD20-AC20</f>
        <v>128.339</v>
      </c>
      <c r="AG20" s="37">
        <v>-124.809</v>
      </c>
      <c r="AH20" s="37">
        <f>-36.135-AG20</f>
        <v>88.674000000000007</v>
      </c>
      <c r="AI20" s="37">
        <f>99.751-AH20-AG20</f>
        <v>135.886</v>
      </c>
      <c r="AJ20" s="31">
        <f>K20-AI20-AH20-AG20</f>
        <v>291.077</v>
      </c>
      <c r="AK20" s="37">
        <v>41.935000000000002</v>
      </c>
      <c r="AL20" s="37">
        <f>56.213-AK20</f>
        <v>14.277999999999999</v>
      </c>
      <c r="AM20" s="37">
        <f>155.275-AL20-AK20</f>
        <v>99.062000000000012</v>
      </c>
      <c r="AN20" s="31">
        <f>L20-AM20-AL20-AK20</f>
        <v>356.62599999999998</v>
      </c>
      <c r="AO20" s="37">
        <v>-55.917000000000002</v>
      </c>
      <c r="AP20" s="37">
        <f>48.091-AO20</f>
        <v>104.00800000000001</v>
      </c>
      <c r="AQ20" s="37">
        <f>283.327-AP20-AO20</f>
        <v>235.23599999999999</v>
      </c>
      <c r="AR20" s="31">
        <f>M20-AQ20-AP20-AO20</f>
        <v>440.05100000000004</v>
      </c>
      <c r="AS20" s="37">
        <v>-45.155000000000001</v>
      </c>
      <c r="AT20" s="37">
        <f>415.158-AS20</f>
        <v>460.31299999999999</v>
      </c>
      <c r="AU20" s="37">
        <f>1098.523-AT20-AS20</f>
        <v>683.3649999999999</v>
      </c>
      <c r="AV20" s="31">
        <f>N20-AU20-AT20-AS20</f>
        <v>957.4770000000002</v>
      </c>
      <c r="AW20" s="37">
        <v>-777</v>
      </c>
      <c r="AX20" s="37">
        <v>-16</v>
      </c>
      <c r="AY20" s="37">
        <f>-84-AX20-AW20</f>
        <v>709</v>
      </c>
      <c r="AZ20" s="31">
        <f>Q20-AY20-AX20-AW20</f>
        <v>-1163</v>
      </c>
      <c r="BA20" s="37">
        <v>-824</v>
      </c>
      <c r="BB20" s="37">
        <v>-576</v>
      </c>
      <c r="BC20" s="37">
        <f>-1632-BB20-BA20</f>
        <v>-232</v>
      </c>
      <c r="BD20" s="31">
        <f>R20-BC20-BB20-BA20</f>
        <v>1376</v>
      </c>
      <c r="BE20" s="37">
        <v>-1001</v>
      </c>
      <c r="BF20" s="37">
        <v>248</v>
      </c>
      <c r="BG20" s="37">
        <v>-213</v>
      </c>
      <c r="BH20" s="31">
        <f>T20-BG20-BF20-BE20</f>
        <v>-44</v>
      </c>
      <c r="BI20" s="37">
        <v>-4122</v>
      </c>
      <c r="BJ20" s="37"/>
      <c r="BK20" s="37">
        <v>-2175</v>
      </c>
      <c r="BL20" s="37">
        <v>-1087</v>
      </c>
      <c r="BM20" s="37"/>
      <c r="BN20" s="37">
        <v>-1138</v>
      </c>
      <c r="BO20" s="37">
        <v>-778</v>
      </c>
      <c r="BP20" s="37">
        <v>-42</v>
      </c>
      <c r="BQ20" s="31">
        <f>S20-BN20-BO20-BP20</f>
        <v>1625</v>
      </c>
      <c r="BR20" s="37">
        <v>-1310</v>
      </c>
      <c r="BS20" s="37">
        <v>-32</v>
      </c>
      <c r="BT20" s="31">
        <f>G20-BS20</f>
        <v>239</v>
      </c>
      <c r="BU20" s="37">
        <v>63</v>
      </c>
      <c r="BV20" s="31">
        <f>H20-BU20</f>
        <v>7.0630000000000024</v>
      </c>
      <c r="BW20" s="37">
        <v>56.213000000000001</v>
      </c>
      <c r="BX20" s="31">
        <f>L20-BW20</f>
        <v>455.68799999999999</v>
      </c>
      <c r="BY20" s="37">
        <f>48.091</f>
        <v>48.091000000000001</v>
      </c>
      <c r="BZ20" s="31">
        <f>M20-BY20</f>
        <v>675.28700000000003</v>
      </c>
      <c r="CA20" s="37">
        <v>415.15800000000002</v>
      </c>
      <c r="CB20" s="31">
        <f>N20-CA20</f>
        <v>1640.8420000000001</v>
      </c>
      <c r="CC20" s="37">
        <v>657</v>
      </c>
      <c r="CD20" s="31">
        <f>P20-CC20</f>
        <v>-1521</v>
      </c>
      <c r="CE20" s="37">
        <v>-1469</v>
      </c>
      <c r="CF20" s="31">
        <f>R20-CE20</f>
        <v>1213</v>
      </c>
      <c r="CG20" s="37">
        <v>-813</v>
      </c>
      <c r="CI20" s="37">
        <v>-858</v>
      </c>
      <c r="CJ20" s="31">
        <f>Q20-CI20</f>
        <v>-389</v>
      </c>
      <c r="CK20" s="37">
        <v>-1984</v>
      </c>
    </row>
    <row r="21" spans="2:89" s="6" customFormat="1" ht="16.5" customHeight="1">
      <c r="B21" s="6" t="s">
        <v>134</v>
      </c>
      <c r="C21" s="40"/>
      <c r="D21" s="33">
        <f t="shared" ref="D21:J21" si="11">SUM(D16:D20)</f>
        <v>7029</v>
      </c>
      <c r="E21" s="33">
        <f t="shared" si="11"/>
        <v>6759</v>
      </c>
      <c r="F21" s="33">
        <f t="shared" si="11"/>
        <v>6314</v>
      </c>
      <c r="G21" s="33">
        <f t="shared" si="11"/>
        <v>10687</v>
      </c>
      <c r="H21" s="33">
        <f t="shared" si="11"/>
        <v>11935.387000000001</v>
      </c>
      <c r="I21" s="33">
        <f t="shared" si="11"/>
        <v>16195.795000000002</v>
      </c>
      <c r="J21" s="33">
        <f t="shared" si="11"/>
        <v>21007.085999999999</v>
      </c>
      <c r="K21" s="33">
        <f t="shared" ref="K21:P21" si="12">SUM(K16:K20)</f>
        <v>17485.916000000001</v>
      </c>
      <c r="L21" s="33">
        <f t="shared" si="12"/>
        <v>22336.832000000006</v>
      </c>
      <c r="M21" s="33">
        <f t="shared" si="12"/>
        <v>43335.53</v>
      </c>
      <c r="N21" s="33">
        <f t="shared" si="12"/>
        <v>170541</v>
      </c>
      <c r="O21" s="33">
        <f t="shared" si="12"/>
        <v>261445</v>
      </c>
      <c r="P21" s="33">
        <f t="shared" si="12"/>
        <v>259100</v>
      </c>
      <c r="Q21" s="33">
        <f>SUM(Q16:Q20)</f>
        <v>374086</v>
      </c>
      <c r="R21" s="33">
        <f>SUM(R16:R20)</f>
        <v>98933</v>
      </c>
      <c r="S21" s="33">
        <f>SUM(S16:S20)</f>
        <v>132114</v>
      </c>
      <c r="T21" s="33">
        <f>SUM(T16:T20)</f>
        <v>152195</v>
      </c>
      <c r="U21" s="33">
        <f>SUM(U16:U20)</f>
        <v>164379</v>
      </c>
      <c r="V21" s="33"/>
      <c r="W21" s="33"/>
      <c r="X21" s="36"/>
      <c r="Y21" s="33">
        <f t="shared" ref="Y21:AI21" si="13">SUM(Y16:Y20)</f>
        <v>3964.0409999999997</v>
      </c>
      <c r="Z21" s="33">
        <f t="shared" si="13"/>
        <v>4136.66</v>
      </c>
      <c r="AA21" s="33">
        <f t="shared" si="13"/>
        <v>4420.1399999999994</v>
      </c>
      <c r="AB21" s="33">
        <f t="shared" si="13"/>
        <v>3674.9540000000011</v>
      </c>
      <c r="AC21" s="33">
        <f t="shared" si="13"/>
        <v>3990.7930000000001</v>
      </c>
      <c r="AD21" s="33">
        <f t="shared" si="13"/>
        <v>5099.7259999999997</v>
      </c>
      <c r="AE21" s="33">
        <f t="shared" si="13"/>
        <v>5430.26</v>
      </c>
      <c r="AF21" s="33">
        <f t="shared" si="13"/>
        <v>6486.3069999999998</v>
      </c>
      <c r="AG21" s="33">
        <f t="shared" si="13"/>
        <v>3926.4309999999996</v>
      </c>
      <c r="AH21" s="33">
        <f t="shared" si="13"/>
        <v>5387.8649999999989</v>
      </c>
      <c r="AI21" s="33">
        <f t="shared" si="13"/>
        <v>4572.0600000000013</v>
      </c>
      <c r="AJ21" s="33">
        <f t="shared" ref="AJ21:AQ21" si="14">SUM(AJ16:AJ20)</f>
        <v>3599.5599999999995</v>
      </c>
      <c r="AK21" s="33">
        <f t="shared" si="14"/>
        <v>2113.3389999999999</v>
      </c>
      <c r="AL21" s="33">
        <f t="shared" si="14"/>
        <v>3952.2109999999998</v>
      </c>
      <c r="AM21" s="33">
        <f t="shared" si="14"/>
        <v>7893.9469999999992</v>
      </c>
      <c r="AN21" s="33">
        <f t="shared" si="14"/>
        <v>8377.3350000000009</v>
      </c>
      <c r="AO21" s="33">
        <f t="shared" si="14"/>
        <v>6049.1210000000001</v>
      </c>
      <c r="AP21" s="33">
        <f t="shared" si="14"/>
        <v>9781.2029999999995</v>
      </c>
      <c r="AQ21" s="33">
        <f t="shared" si="14"/>
        <v>12998.871000000001</v>
      </c>
      <c r="AR21" s="33">
        <f t="shared" ref="AR21:BA21" si="15">SUM(AR16:AR20)</f>
        <v>14506.334999999999</v>
      </c>
      <c r="AS21" s="33">
        <f t="shared" si="15"/>
        <v>22566.722999999998</v>
      </c>
      <c r="AT21" s="33">
        <f t="shared" si="15"/>
        <v>39371.394</v>
      </c>
      <c r="AU21" s="33">
        <f t="shared" si="15"/>
        <v>49282.858</v>
      </c>
      <c r="AV21" s="33">
        <f t="shared" si="15"/>
        <v>59320.025000000001</v>
      </c>
      <c r="AW21" s="33">
        <f t="shared" si="15"/>
        <v>59995</v>
      </c>
      <c r="AX21" s="33">
        <f t="shared" si="15"/>
        <v>76462</v>
      </c>
      <c r="AY21" s="33">
        <f t="shared" si="15"/>
        <v>152240</v>
      </c>
      <c r="AZ21" s="33">
        <f t="shared" si="15"/>
        <v>85389</v>
      </c>
      <c r="BA21" s="33">
        <f t="shared" si="15"/>
        <v>32930</v>
      </c>
      <c r="BB21" s="33">
        <f t="shared" ref="BB21:BG21" si="16">SUM(BB16:BB20)</f>
        <v>24691</v>
      </c>
      <c r="BC21" s="33">
        <f t="shared" si="16"/>
        <v>24285</v>
      </c>
      <c r="BD21" s="33">
        <f t="shared" si="16"/>
        <v>17027</v>
      </c>
      <c r="BE21" s="33">
        <f t="shared" si="16"/>
        <v>21864</v>
      </c>
      <c r="BF21" s="33">
        <f t="shared" si="16"/>
        <v>40118</v>
      </c>
      <c r="BG21" s="33">
        <f t="shared" si="16"/>
        <v>37606</v>
      </c>
      <c r="BH21" s="33">
        <f>SUM(BH16:BH20)</f>
        <v>52607</v>
      </c>
      <c r="BI21" s="33">
        <f>SUM(BI16:BI20)</f>
        <v>34048</v>
      </c>
      <c r="BJ21" s="33"/>
      <c r="BK21" s="33">
        <f>SUM(BK16:BK20)</f>
        <v>130530</v>
      </c>
      <c r="BL21" s="33">
        <f>SUM(BL16:BL20)</f>
        <v>105650</v>
      </c>
      <c r="BM21" s="33"/>
      <c r="BN21" s="33">
        <f>SUM(BN16:BN20)</f>
        <v>45478</v>
      </c>
      <c r="BO21" s="33">
        <f>SUM(BO16:BO20)</f>
        <v>53205</v>
      </c>
      <c r="BP21" s="33">
        <f>SUM(BP16:BP20)</f>
        <v>22952</v>
      </c>
      <c r="BQ21" s="33">
        <f>SUM(BQ16:BQ20)</f>
        <v>10479</v>
      </c>
      <c r="BR21" s="33">
        <f>SUM(BR16:BR20)</f>
        <v>28613</v>
      </c>
      <c r="BS21" s="33">
        <f t="shared" ref="BS21:BX21" si="17">SUM(BS16:BS20)</f>
        <v>4475</v>
      </c>
      <c r="BT21" s="33">
        <f t="shared" si="17"/>
        <v>6212</v>
      </c>
      <c r="BU21" s="33">
        <f t="shared" si="17"/>
        <v>5396</v>
      </c>
      <c r="BV21" s="33">
        <f t="shared" si="17"/>
        <v>6539.3869999999997</v>
      </c>
      <c r="BW21" s="33">
        <f t="shared" si="17"/>
        <v>6065.55</v>
      </c>
      <c r="BX21" s="33">
        <f t="shared" si="17"/>
        <v>16271.282000000001</v>
      </c>
      <c r="BY21" s="33">
        <f t="shared" ref="BY21:CD21" si="18">SUM(BY16:BY20)</f>
        <v>15830.323999999999</v>
      </c>
      <c r="BZ21" s="33">
        <f t="shared" si="18"/>
        <v>27505.206000000002</v>
      </c>
      <c r="CA21" s="33">
        <f t="shared" si="18"/>
        <v>61938.116999999998</v>
      </c>
      <c r="CB21" s="33">
        <f t="shared" si="18"/>
        <v>108602.883</v>
      </c>
      <c r="CC21" s="33">
        <f t="shared" si="18"/>
        <v>93421</v>
      </c>
      <c r="CD21" s="33">
        <f t="shared" si="18"/>
        <v>165679</v>
      </c>
      <c r="CE21" s="33">
        <f>SUM(CE16:CE20)</f>
        <v>60389</v>
      </c>
      <c r="CF21" s="33">
        <f>SUM(CF16:CF20)</f>
        <v>38544</v>
      </c>
      <c r="CG21" s="33">
        <f>SUM(CG16:CG20)</f>
        <v>63295</v>
      </c>
      <c r="CI21" s="33">
        <f>SUM(CI16:CI20)</f>
        <v>141500</v>
      </c>
      <c r="CJ21" s="33">
        <f>SUM(CJ16:CJ20)</f>
        <v>232586</v>
      </c>
      <c r="CK21" s="33">
        <f>SUM(CK16:CK20)</f>
        <v>101416</v>
      </c>
    </row>
    <row r="22" spans="2:89" s="6" customFormat="1" ht="16.5" customHeight="1">
      <c r="C22" s="40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3"/>
      <c r="W22" s="33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I22" s="36"/>
      <c r="CJ22" s="36"/>
      <c r="CK22" s="36"/>
    </row>
    <row r="23" spans="2:89" ht="13.5" customHeight="1">
      <c r="B23" s="6" t="s">
        <v>135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I23" s="5"/>
      <c r="CJ23" s="5"/>
      <c r="CK23" s="5"/>
    </row>
    <row r="24" spans="2:89" s="6" customFormat="1" ht="16.5" customHeight="1">
      <c r="B24" s="1" t="s">
        <v>127</v>
      </c>
      <c r="C24" s="40"/>
      <c r="D24" s="17">
        <f t="shared" ref="D24:F29" si="19">+D16/D8</f>
        <v>2.6476868327402134E-2</v>
      </c>
      <c r="E24" s="17">
        <f t="shared" si="19"/>
        <v>6.9204680864065511E-3</v>
      </c>
      <c r="F24" s="17">
        <f t="shared" si="19"/>
        <v>9.0426232386637984E-3</v>
      </c>
      <c r="G24" s="17">
        <f t="shared" ref="G24:J29" si="20">+G16/G8</f>
        <v>5.2518550571341568E-2</v>
      </c>
      <c r="H24" s="17">
        <f t="shared" si="20"/>
        <v>5.0444088117763741E-2</v>
      </c>
      <c r="I24" s="17">
        <f t="shared" si="20"/>
        <v>6.1992823998528471E-2</v>
      </c>
      <c r="J24" s="17">
        <f t="shared" si="20"/>
        <v>4.6129241717572961E-2</v>
      </c>
      <c r="K24" s="17">
        <f t="shared" ref="K24:L29" si="21">+K16/K8</f>
        <v>2.504450929958817E-2</v>
      </c>
      <c r="L24" s="17">
        <f t="shared" si="21"/>
        <v>2.847557245538067E-3</v>
      </c>
      <c r="M24" s="17">
        <f t="shared" ref="M24:N29" si="22">+M16/M8</f>
        <v>1.4983173239721231E-2</v>
      </c>
      <c r="N24" s="17">
        <f t="shared" si="22"/>
        <v>6.9672297671238448E-2</v>
      </c>
      <c r="O24" s="17">
        <f t="shared" ref="O24:P29" si="23">+O16/O8</f>
        <v>5.7701698486351753E-2</v>
      </c>
      <c r="P24" s="17">
        <f t="shared" si="23"/>
        <v>7.1706749373895873E-2</v>
      </c>
      <c r="Q24" s="17">
        <f t="shared" ref="Q24:R29" si="24">+Q16/Q8</f>
        <v>7.1706525210817287E-2</v>
      </c>
      <c r="R24" s="17">
        <f t="shared" si="24"/>
        <v>2.8350503494663188E-2</v>
      </c>
      <c r="S24" s="17">
        <f t="shared" ref="S24:T29" si="25">+S16/S8</f>
        <v>2.9897929556551496E-2</v>
      </c>
      <c r="T24" s="17">
        <f t="shared" si="25"/>
        <v>3.4879164957767279E-2</v>
      </c>
      <c r="U24" s="210">
        <f t="shared" ref="U24:U29" si="26">+U16/U8</f>
        <v>3.7327339405520903E-2</v>
      </c>
      <c r="V24" s="72"/>
      <c r="W24" s="72"/>
      <c r="X24" s="36"/>
      <c r="Y24" s="17">
        <f t="shared" ref="Y24:Z29" si="27">+Y16/Y8</f>
        <v>7.2625792777555709E-2</v>
      </c>
      <c r="Z24" s="17">
        <f t="shared" si="27"/>
        <v>7.596598279312794E-2</v>
      </c>
      <c r="AA24" s="17">
        <f t="shared" ref="AA24:AI24" si="28">+AA16/AA8</f>
        <v>6.4306850008702912E-2</v>
      </c>
      <c r="AB24" s="17">
        <f t="shared" si="28"/>
        <v>3.8904425893004906E-2</v>
      </c>
      <c r="AC24" s="17">
        <f t="shared" si="28"/>
        <v>3.5607497436826174E-2</v>
      </c>
      <c r="AD24" s="17">
        <f t="shared" si="28"/>
        <v>4.3729003978742638E-2</v>
      </c>
      <c r="AE24" s="17">
        <f t="shared" si="28"/>
        <v>2.7097172808970449E-2</v>
      </c>
      <c r="AF24" s="17">
        <f t="shared" si="28"/>
        <v>7.7656333097568642E-2</v>
      </c>
      <c r="AG24" s="17">
        <f t="shared" si="28"/>
        <v>1.6743233570340323E-2</v>
      </c>
      <c r="AH24" s="17">
        <f t="shared" si="28"/>
        <v>4.2546105528534196E-2</v>
      </c>
      <c r="AI24" s="17">
        <f t="shared" si="28"/>
        <v>2.8492739528592253E-2</v>
      </c>
      <c r="AJ24" s="17">
        <f t="shared" ref="AJ24:AL29" si="29">+AJ16/AJ8</f>
        <v>1.0552085687976187E-2</v>
      </c>
      <c r="AK24" s="17">
        <f t="shared" ref="AK24:AP24" si="30">+AK16/AK8</f>
        <v>-6.7385650667931632E-2</v>
      </c>
      <c r="AL24" s="17">
        <f t="shared" si="30"/>
        <v>1.8181538567405505E-2</v>
      </c>
      <c r="AM24" s="17">
        <f t="shared" si="30"/>
        <v>2.1460220316664599E-2</v>
      </c>
      <c r="AN24" s="17">
        <f t="shared" si="30"/>
        <v>3.5731416061882425E-2</v>
      </c>
      <c r="AO24" s="17">
        <f t="shared" si="30"/>
        <v>-9.3318950176158218E-3</v>
      </c>
      <c r="AP24" s="17">
        <f t="shared" si="30"/>
        <v>5.1379940361343274E-2</v>
      </c>
      <c r="AQ24" s="17">
        <f t="shared" ref="AQ24:AQ29" si="31">+AQ16/AQ8</f>
        <v>5.2267968298412064E-2</v>
      </c>
      <c r="AR24" s="17">
        <f t="shared" ref="AR24:AU29" si="32">+AR16/AR8</f>
        <v>-2.5371054097924065E-2</v>
      </c>
      <c r="AS24" s="17">
        <f t="shared" si="32"/>
        <v>3.7150241487190094E-2</v>
      </c>
      <c r="AT24" s="17">
        <f t="shared" si="32"/>
        <v>7.034809811516135E-2</v>
      </c>
      <c r="AU24" s="17">
        <f t="shared" si="32"/>
        <v>6.9574811266546036E-2</v>
      </c>
      <c r="AV24" s="17">
        <f t="shared" ref="AV24:AY29" si="33">+AV16/AV8</f>
        <v>8.8893220145008542E-2</v>
      </c>
      <c r="AW24" s="17">
        <f t="shared" si="33"/>
        <v>6.1598357587292582E-2</v>
      </c>
      <c r="AX24" s="17">
        <f t="shared" si="33"/>
        <v>4.877910419185455E-2</v>
      </c>
      <c r="AY24" s="17">
        <f t="shared" si="33"/>
        <v>9.4948078271645267E-2</v>
      </c>
      <c r="AZ24" s="17">
        <f t="shared" ref="AZ24:BC29" si="34">+AZ16/AZ8</f>
        <v>6.5074213509887929E-2</v>
      </c>
      <c r="BA24" s="17">
        <f t="shared" si="34"/>
        <v>1.5481540496430312E-2</v>
      </c>
      <c r="BB24" s="17">
        <f t="shared" si="34"/>
        <v>3.5428432833235164E-2</v>
      </c>
      <c r="BC24" s="17">
        <f t="shared" si="34"/>
        <v>3.8575512350494341E-2</v>
      </c>
      <c r="BD24" s="17">
        <f t="shared" ref="BD24:BG29" si="35">+BD16/BD8</f>
        <v>2.0148156772569165E-2</v>
      </c>
      <c r="BE24" s="17">
        <f t="shared" si="35"/>
        <v>1.8329838877240701E-2</v>
      </c>
      <c r="BF24" s="17">
        <f t="shared" si="35"/>
        <v>3.928537810107148E-2</v>
      </c>
      <c r="BG24" s="17">
        <f t="shared" si="35"/>
        <v>4.757273850988742E-2</v>
      </c>
      <c r="BH24" s="17">
        <f t="shared" ref="BH24:BI29" si="36">+BH16/BH8</f>
        <v>3.0627276299699895E-2</v>
      </c>
      <c r="BI24" s="17">
        <f t="shared" si="36"/>
        <v>3.3484603558310719E-2</v>
      </c>
      <c r="BJ24" s="138"/>
      <c r="BK24" s="17">
        <f t="shared" ref="BK24:BL29" si="37">+BK16/BK8</f>
        <v>3.1321489028461137E-2</v>
      </c>
      <c r="BL24" s="17">
        <f t="shared" si="37"/>
        <v>3.6272568387795752E-2</v>
      </c>
      <c r="BM24" s="138"/>
      <c r="BN24" s="17">
        <f t="shared" ref="BN24:BO29" si="38">+BN16/BN8</f>
        <v>1.5480691142289059E-2</v>
      </c>
      <c r="BO24" s="17">
        <f t="shared" si="38"/>
        <v>3.5429040575731534E-2</v>
      </c>
      <c r="BP24" s="17">
        <f t="shared" ref="BP24:BR29" si="39">+BP16/BP8</f>
        <v>4.3902158714348653E-2</v>
      </c>
      <c r="BQ24" s="17">
        <f t="shared" si="39"/>
        <v>2.4473200449697669E-2</v>
      </c>
      <c r="BR24" s="17">
        <f t="shared" si="39"/>
        <v>1.8331091262853413E-2</v>
      </c>
      <c r="BS24" s="17">
        <f t="shared" ref="BS24:BT29" si="40">+BS16/BS8</f>
        <v>5.1047787249940565E-2</v>
      </c>
      <c r="BT24" s="17">
        <f t="shared" si="40"/>
        <v>5.3832615160526794E-2</v>
      </c>
      <c r="BU24" s="17">
        <f t="shared" ref="BU24:BV29" si="41">+BU16/BU8</f>
        <v>3.8798454959304729E-2</v>
      </c>
      <c r="BV24" s="17">
        <f t="shared" si="41"/>
        <v>5.9265902950280967E-2</v>
      </c>
      <c r="BW24" s="17">
        <f t="shared" ref="BW24:BX29" si="42">+BW16/BW8</f>
        <v>-3.3351775056265506E-2</v>
      </c>
      <c r="BX24" s="17">
        <f t="shared" si="42"/>
        <v>2.866836938217434E-2</v>
      </c>
      <c r="BY24" s="17">
        <f t="shared" ref="BY24:BZ29" si="43">+BY16/BY8</f>
        <v>2.6762435999572884E-2</v>
      </c>
      <c r="BZ24" s="17">
        <f t="shared" si="43"/>
        <v>8.4273440050582488E-3</v>
      </c>
      <c r="CA24" s="17">
        <f t="shared" ref="CA24:CB29" si="44">+CA16/CA8</f>
        <v>5.8233461609568951E-2</v>
      </c>
      <c r="CB24" s="17">
        <f t="shared" si="44"/>
        <v>7.8462718934275505E-2</v>
      </c>
      <c r="CC24" s="17">
        <f t="shared" ref="CC24:CD29" si="45">+CC16/CC8</f>
        <v>7.047350044092715E-2</v>
      </c>
      <c r="CD24" s="17">
        <f t="shared" si="45"/>
        <v>7.2215841544258391E-2</v>
      </c>
      <c r="CE24" s="17">
        <f t="shared" ref="CE24:CF29" si="46">+CE16/CE8</f>
        <v>2.559992125264542E-2</v>
      </c>
      <c r="CF24" s="17">
        <f t="shared" si="46"/>
        <v>3.0514672324088391E-2</v>
      </c>
      <c r="CG24" s="17">
        <f t="shared" ref="CG24:CG29" si="47">+CG16/CG8</f>
        <v>2.9295753593596586E-2</v>
      </c>
      <c r="CI24" s="17">
        <f t="shared" ref="CI24:CJ29" si="48">+CI16/CI8</f>
        <v>0.55109037063627386</v>
      </c>
      <c r="CJ24" s="17">
        <f t="shared" si="48"/>
        <v>5.3447545085385365E-2</v>
      </c>
      <c r="CK24" s="17">
        <f t="shared" ref="CK24:CK29" si="49">+CK16/CK8</f>
        <v>2.56005102140426E-2</v>
      </c>
    </row>
    <row r="25" spans="2:89" s="6" customFormat="1" ht="16.5" customHeight="1">
      <c r="B25" s="1" t="s">
        <v>128</v>
      </c>
      <c r="C25" s="40"/>
      <c r="D25" s="17">
        <f t="shared" si="19"/>
        <v>7.4373083167959583E-2</v>
      </c>
      <c r="E25" s="17">
        <f t="shared" si="19"/>
        <v>6.7890419686230788E-2</v>
      </c>
      <c r="F25" s="17">
        <f t="shared" si="19"/>
        <v>6.0307875806030788E-2</v>
      </c>
      <c r="G25" s="17">
        <f t="shared" si="20"/>
        <v>7.0508531281365E-2</v>
      </c>
      <c r="H25" s="17">
        <f t="shared" si="20"/>
        <v>6.8268078258084952E-2</v>
      </c>
      <c r="I25" s="17">
        <f t="shared" si="20"/>
        <v>7.0932669438961107E-2</v>
      </c>
      <c r="J25" s="17">
        <f t="shared" si="20"/>
        <v>7.6597268709010333E-2</v>
      </c>
      <c r="K25" s="17">
        <f t="shared" si="21"/>
        <v>7.9486228172752013E-2</v>
      </c>
      <c r="L25" s="17">
        <f t="shared" si="21"/>
        <v>0.10350485880398418</v>
      </c>
      <c r="M25" s="17">
        <f t="shared" si="22"/>
        <v>0.13346750929633733</v>
      </c>
      <c r="N25" s="17">
        <f t="shared" si="22"/>
        <v>0.12740313162209588</v>
      </c>
      <c r="O25" s="17">
        <f t="shared" si="23"/>
        <v>8.1161560858013529E-2</v>
      </c>
      <c r="P25" s="17">
        <f t="shared" si="23"/>
        <v>0.10339019054177835</v>
      </c>
      <c r="Q25" s="17">
        <f t="shared" si="24"/>
        <v>0.10339046583763624</v>
      </c>
      <c r="R25" s="17">
        <f t="shared" si="24"/>
        <v>3.4207414162394388E-2</v>
      </c>
      <c r="S25" s="17">
        <f t="shared" si="25"/>
        <v>3.4207457511966161E-2</v>
      </c>
      <c r="T25" s="17">
        <f t="shared" si="25"/>
        <v>3.6495163274938305E-2</v>
      </c>
      <c r="U25" s="210">
        <f t="shared" si="26"/>
        <v>3.1604743853457608E-2</v>
      </c>
      <c r="V25" s="72"/>
      <c r="W25" s="72"/>
      <c r="X25" s="36"/>
      <c r="Y25" s="17">
        <f t="shared" si="27"/>
        <v>6.5650946691140952E-2</v>
      </c>
      <c r="Z25" s="17">
        <f t="shared" si="27"/>
        <v>6.377411917663392E-2</v>
      </c>
      <c r="AA25" s="17">
        <f t="shared" ref="AA25:AI25" si="50">+AA17/AA9</f>
        <v>7.9479623710517991E-2</v>
      </c>
      <c r="AB25" s="17">
        <f t="shared" si="50"/>
        <v>7.4239857603929954E-2</v>
      </c>
      <c r="AC25" s="17">
        <f t="shared" si="50"/>
        <v>6.8262718681729576E-2</v>
      </c>
      <c r="AD25" s="17">
        <f t="shared" si="50"/>
        <v>7.8172984189181227E-2</v>
      </c>
      <c r="AE25" s="17">
        <f t="shared" si="50"/>
        <v>8.0344556609496146E-2</v>
      </c>
      <c r="AF25" s="17">
        <f t="shared" si="50"/>
        <v>7.8522427582362775E-2</v>
      </c>
      <c r="AG25" s="17">
        <f t="shared" si="50"/>
        <v>7.4326851400622285E-2</v>
      </c>
      <c r="AH25" s="17">
        <f t="shared" si="50"/>
        <v>8.705365090073916E-2</v>
      </c>
      <c r="AI25" s="17">
        <f t="shared" si="50"/>
        <v>7.5740481342395513E-2</v>
      </c>
      <c r="AJ25" s="17">
        <f t="shared" si="29"/>
        <v>7.9919993612913465E-2</v>
      </c>
      <c r="AK25" s="17">
        <f t="shared" si="29"/>
        <v>8.7509518570369538E-2</v>
      </c>
      <c r="AL25" s="17">
        <f t="shared" si="29"/>
        <v>0.10727440831746272</v>
      </c>
      <c r="AM25" s="17">
        <f t="shared" ref="AM25:AP29" si="51">+AM17/AM9</f>
        <v>0.10989504523470253</v>
      </c>
      <c r="AN25" s="17">
        <f t="shared" si="51"/>
        <v>0.10507607979439311</v>
      </c>
      <c r="AO25" s="17">
        <f t="shared" si="51"/>
        <v>9.9851049521827967E-2</v>
      </c>
      <c r="AP25" s="17">
        <f t="shared" si="51"/>
        <v>0.1236423468386577</v>
      </c>
      <c r="AQ25" s="17">
        <f t="shared" si="31"/>
        <v>0.11631515282972014</v>
      </c>
      <c r="AR25" s="17">
        <f t="shared" si="32"/>
        <v>0.17217859465917074</v>
      </c>
      <c r="AS25" s="17">
        <f t="shared" si="32"/>
        <v>0.12023704107702463</v>
      </c>
      <c r="AT25" s="17">
        <f t="shared" si="32"/>
        <v>0.12629065067592532</v>
      </c>
      <c r="AU25" s="17">
        <f t="shared" si="32"/>
        <v>0.11596474644357528</v>
      </c>
      <c r="AV25" s="17">
        <f t="shared" si="33"/>
        <v>0.13975579571442334</v>
      </c>
      <c r="AW25" s="17">
        <f t="shared" si="33"/>
        <v>8.574430215775973E-2</v>
      </c>
      <c r="AX25" s="17">
        <f t="shared" si="33"/>
        <v>0.13480517581694568</v>
      </c>
      <c r="AY25" s="17">
        <f t="shared" si="33"/>
        <v>0.1414721688177899</v>
      </c>
      <c r="AZ25" s="17">
        <f t="shared" si="34"/>
        <v>5.7081292967555937E-2</v>
      </c>
      <c r="BA25" s="17">
        <f t="shared" si="34"/>
        <v>6.9496971592686321E-2</v>
      </c>
      <c r="BB25" s="17">
        <f t="shared" si="34"/>
        <v>4.1250561810069829E-2</v>
      </c>
      <c r="BC25" s="17">
        <f t="shared" si="34"/>
        <v>3.9161277165996621E-2</v>
      </c>
      <c r="BD25" s="17">
        <f t="shared" si="35"/>
        <v>9.5876013534661978E-4</v>
      </c>
      <c r="BE25" s="17">
        <f t="shared" si="35"/>
        <v>2.7352389957282997E-2</v>
      </c>
      <c r="BF25" s="17">
        <f t="shared" si="35"/>
        <v>4.8828359333901436E-2</v>
      </c>
      <c r="BG25" s="17">
        <f t="shared" si="35"/>
        <v>2.8655490336018177E-2</v>
      </c>
      <c r="BH25" s="17">
        <f t="shared" si="36"/>
        <v>3.8066758563445831E-2</v>
      </c>
      <c r="BI25" s="17">
        <f t="shared" si="36"/>
        <v>8.6344730268735521E-3</v>
      </c>
      <c r="BJ25" s="138"/>
      <c r="BK25" s="17">
        <f t="shared" si="37"/>
        <v>4.9312785590676478E-2</v>
      </c>
      <c r="BL25" s="17">
        <f t="shared" si="37"/>
        <v>3.5611637455997026E-2</v>
      </c>
      <c r="BM25" s="138"/>
      <c r="BN25" s="17">
        <f t="shared" si="38"/>
        <v>6.9498493490092725E-2</v>
      </c>
      <c r="BO25" s="17">
        <f t="shared" si="38"/>
        <v>4.1251339329198999E-2</v>
      </c>
      <c r="BP25" s="17">
        <f t="shared" si="39"/>
        <v>3.9075329631017681E-2</v>
      </c>
      <c r="BQ25" s="17">
        <f t="shared" si="39"/>
        <v>3.6716037665159729E-3</v>
      </c>
      <c r="BR25" s="17">
        <f t="shared" si="39"/>
        <v>2.7352191723381609E-2</v>
      </c>
      <c r="BS25" s="17">
        <f t="shared" si="40"/>
        <v>6.5879313526480895E-2</v>
      </c>
      <c r="BT25" s="17">
        <f t="shared" si="40"/>
        <v>7.4346030289123455E-2</v>
      </c>
      <c r="BU25" s="17">
        <f t="shared" si="41"/>
        <v>6.877510040160642E-2</v>
      </c>
      <c r="BV25" s="17">
        <f t="shared" si="41"/>
        <v>6.7824781668372955E-2</v>
      </c>
      <c r="BW25" s="17">
        <f t="shared" si="42"/>
        <v>9.5855711932781654E-2</v>
      </c>
      <c r="BX25" s="17">
        <f t="shared" si="42"/>
        <v>0.10701047698844048</v>
      </c>
      <c r="BY25" s="17">
        <f t="shared" si="43"/>
        <v>0.11099414539028789</v>
      </c>
      <c r="BZ25" s="17">
        <f t="shared" si="43"/>
        <v>0.14935725330247815</v>
      </c>
      <c r="CA25" s="17">
        <f t="shared" si="44"/>
        <v>0.12364835417147962</v>
      </c>
      <c r="CB25" s="17">
        <f t="shared" si="44"/>
        <v>0.12958526658556072</v>
      </c>
      <c r="CC25" s="17">
        <f t="shared" si="45"/>
        <v>0.13566375869056141</v>
      </c>
      <c r="CD25" s="17">
        <f t="shared" si="45"/>
        <v>8.7166464708896177E-2</v>
      </c>
      <c r="CE25" s="17">
        <f t="shared" si="46"/>
        <v>5.6964903704676509E-2</v>
      </c>
      <c r="CF25" s="17">
        <f t="shared" si="46"/>
        <v>1.7509234640161315E-2</v>
      </c>
      <c r="CG25" s="17">
        <f t="shared" si="47"/>
        <v>3.9467472873813775E-2</v>
      </c>
      <c r="CI25" s="17">
        <f t="shared" si="48"/>
        <v>0.11137546702253616</v>
      </c>
      <c r="CJ25" s="17">
        <f t="shared" si="48"/>
        <v>9.7676377766666725E-2</v>
      </c>
      <c r="CK25" s="17">
        <f t="shared" si="49"/>
        <v>5.6965706763383334E-2</v>
      </c>
    </row>
    <row r="26" spans="2:89" s="6" customFormat="1" ht="16.5" customHeight="1">
      <c r="B26" s="1" t="s">
        <v>129</v>
      </c>
      <c r="C26" s="40"/>
      <c r="D26" s="17">
        <f t="shared" si="19"/>
        <v>6.637484366624978E-2</v>
      </c>
      <c r="E26" s="17">
        <f t="shared" si="19"/>
        <v>9.8001016432322549E-2</v>
      </c>
      <c r="F26" s="17">
        <f t="shared" si="19"/>
        <v>7.371918707982382E-2</v>
      </c>
      <c r="G26" s="17">
        <f t="shared" si="20"/>
        <v>8.8185106818647191E-2</v>
      </c>
      <c r="H26" s="17">
        <f t="shared" si="20"/>
        <v>8.7342954475620335E-2</v>
      </c>
      <c r="I26" s="17">
        <f t="shared" si="20"/>
        <v>7.6409535942139159E-2</v>
      </c>
      <c r="J26" s="17">
        <f t="shared" si="20"/>
        <v>9.2300234041630208E-2</v>
      </c>
      <c r="K26" s="17">
        <f t="shared" si="21"/>
        <v>7.5988075491556048E-2</v>
      </c>
      <c r="L26" s="17">
        <f t="shared" si="21"/>
        <v>0.10699780878915084</v>
      </c>
      <c r="M26" s="17">
        <f t="shared" si="22"/>
        <v>9.2745526116746899E-2</v>
      </c>
      <c r="N26" s="17">
        <f t="shared" si="22"/>
        <v>6.3683618171527456E-2</v>
      </c>
      <c r="O26" s="17">
        <f t="shared" si="23"/>
        <v>3.8009537575231143E-2</v>
      </c>
      <c r="P26" s="17">
        <f t="shared" si="23"/>
        <v>4.0967195959473603E-2</v>
      </c>
      <c r="Q26" s="17">
        <f t="shared" si="24"/>
        <v>4.0966814968805276E-2</v>
      </c>
      <c r="R26" s="17">
        <f t="shared" si="24"/>
        <v>2.0802946775110628E-2</v>
      </c>
      <c r="S26" s="17">
        <f t="shared" si="25"/>
        <v>2.0802216049042675E-2</v>
      </c>
      <c r="T26" s="17">
        <f t="shared" si="25"/>
        <v>2.1931504397841136E-2</v>
      </c>
      <c r="U26" s="210">
        <f t="shared" si="26"/>
        <v>1.8017681524690476E-2</v>
      </c>
      <c r="V26" s="72"/>
      <c r="W26" s="72"/>
      <c r="X26" s="36"/>
      <c r="Y26" s="17">
        <f t="shared" si="27"/>
        <v>8.5708476741186312E-2</v>
      </c>
      <c r="Z26" s="17">
        <f t="shared" si="27"/>
        <v>6.3906388471881834E-2</v>
      </c>
      <c r="AA26" s="17">
        <f t="shared" ref="AA26:AI26" si="52">+AA18/AA10</f>
        <v>8.5060227803504987E-2</v>
      </c>
      <c r="AB26" s="17">
        <f t="shared" si="52"/>
        <v>7.2038767308584106E-2</v>
      </c>
      <c r="AC26" s="17">
        <f t="shared" si="52"/>
        <v>8.4602463143310602E-2</v>
      </c>
      <c r="AD26" s="17">
        <f t="shared" si="52"/>
        <v>9.0114804977554031E-2</v>
      </c>
      <c r="AE26" s="17">
        <f t="shared" si="52"/>
        <v>0.17129240488452785</v>
      </c>
      <c r="AF26" s="17">
        <f t="shared" si="52"/>
        <v>1.8545270720698306E-2</v>
      </c>
      <c r="AG26" s="17">
        <f t="shared" si="52"/>
        <v>8.4089559495011484E-2</v>
      </c>
      <c r="AH26" s="17">
        <f t="shared" si="52"/>
        <v>7.2803179600956766E-2</v>
      </c>
      <c r="AI26" s="17">
        <f t="shared" si="52"/>
        <v>8.3877572460578337E-2</v>
      </c>
      <c r="AJ26" s="17">
        <f t="shared" si="29"/>
        <v>6.4955940455735731E-2</v>
      </c>
      <c r="AK26" s="17">
        <f t="shared" si="29"/>
        <v>8.7692728258334005E-2</v>
      </c>
      <c r="AL26" s="17">
        <f t="shared" si="29"/>
        <v>8.963645532039248E-2</v>
      </c>
      <c r="AM26" s="17">
        <f t="shared" si="51"/>
        <v>0.142335245648292</v>
      </c>
      <c r="AN26" s="17">
        <f t="shared" si="51"/>
        <v>9.6058249906379373E-2</v>
      </c>
      <c r="AO26" s="17">
        <f t="shared" si="51"/>
        <v>0.11315847120570105</v>
      </c>
      <c r="AP26" s="17">
        <f t="shared" si="51"/>
        <v>6.6088262357851882E-2</v>
      </c>
      <c r="AQ26" s="17">
        <f t="shared" si="31"/>
        <v>6.3125410101978641E-2</v>
      </c>
      <c r="AR26" s="17">
        <f t="shared" si="32"/>
        <v>0.12300375461394807</v>
      </c>
      <c r="AS26" s="17">
        <f t="shared" si="32"/>
        <v>8.8327430228289941E-2</v>
      </c>
      <c r="AT26" s="17">
        <f t="shared" si="32"/>
        <v>5.6519870285971517E-2</v>
      </c>
      <c r="AU26" s="17">
        <f t="shared" si="32"/>
        <v>5.3480092950175036E-2</v>
      </c>
      <c r="AV26" s="17">
        <f t="shared" si="33"/>
        <v>6.0655229518417557E-2</v>
      </c>
      <c r="AW26" s="17">
        <f t="shared" si="33"/>
        <v>2.5888299960738125E-2</v>
      </c>
      <c r="AX26" s="17">
        <f t="shared" si="33"/>
        <v>6.875336948593537E-2</v>
      </c>
      <c r="AY26" s="17">
        <f t="shared" si="33"/>
        <v>2.7895188394846001E-2</v>
      </c>
      <c r="AZ26" s="17">
        <f t="shared" si="34"/>
        <v>4.3040125785164654E-2</v>
      </c>
      <c r="BA26" s="17">
        <f t="shared" si="34"/>
        <v>3.9172158631055616E-2</v>
      </c>
      <c r="BB26" s="17">
        <f t="shared" si="34"/>
        <v>6.4382981725816697E-3</v>
      </c>
      <c r="BC26" s="17">
        <f t="shared" si="34"/>
        <v>-3.2743215494755538E-3</v>
      </c>
      <c r="BD26" s="17">
        <f t="shared" si="35"/>
        <v>4.5633938296578164E-2</v>
      </c>
      <c r="BE26" s="17">
        <f t="shared" si="35"/>
        <v>2.0789358397387391E-2</v>
      </c>
      <c r="BF26" s="17">
        <f t="shared" si="35"/>
        <v>2.7626464663659318E-2</v>
      </c>
      <c r="BG26" s="17">
        <f t="shared" si="35"/>
        <v>2.2008135910888349E-2</v>
      </c>
      <c r="BH26" s="17">
        <f t="shared" si="36"/>
        <v>1.8413055002965615E-2</v>
      </c>
      <c r="BI26" s="17">
        <f t="shared" si="36"/>
        <v>4.127679156614745E-3</v>
      </c>
      <c r="BJ26" s="138"/>
      <c r="BK26" s="17">
        <f t="shared" si="37"/>
        <v>5.7165162702860657E-2</v>
      </c>
      <c r="BL26" s="17">
        <f t="shared" si="37"/>
        <v>2.3563828077281641E-2</v>
      </c>
      <c r="BM26" s="138"/>
      <c r="BN26" s="17">
        <f t="shared" si="38"/>
        <v>3.917251310215495E-2</v>
      </c>
      <c r="BO26" s="17">
        <f t="shared" si="38"/>
        <v>0.13614456257673518</v>
      </c>
      <c r="BP26" s="17">
        <f t="shared" si="39"/>
        <v>-9.6940359503006421E-3</v>
      </c>
      <c r="BQ26" s="17">
        <f t="shared" si="39"/>
        <v>-5.2589209917742456E-2</v>
      </c>
      <c r="BR26" s="17">
        <f t="shared" si="39"/>
        <v>2.0791994838521188E-2</v>
      </c>
      <c r="BS26" s="17">
        <f t="shared" si="40"/>
        <v>7.2196620583717355E-2</v>
      </c>
      <c r="BT26" s="17">
        <f t="shared" si="40"/>
        <v>0.10097039675715513</v>
      </c>
      <c r="BU26" s="17">
        <f t="shared" si="41"/>
        <v>8.0830860534124624E-2</v>
      </c>
      <c r="BV26" s="17">
        <f t="shared" si="41"/>
        <v>9.3074611086096479E-2</v>
      </c>
      <c r="BW26" s="17">
        <f t="shared" si="42"/>
        <v>8.8670580865603019E-2</v>
      </c>
      <c r="BX26" s="17">
        <f t="shared" si="42"/>
        <v>0.11847864202098371</v>
      </c>
      <c r="BY26" s="17">
        <f t="shared" si="43"/>
        <v>8.8408301684986826E-2</v>
      </c>
      <c r="BZ26" s="17">
        <f t="shared" si="43"/>
        <v>9.581360331882155E-2</v>
      </c>
      <c r="CA26" s="17">
        <f t="shared" si="44"/>
        <v>7.1263548035373103E-2</v>
      </c>
      <c r="CB26" s="17">
        <f t="shared" si="44"/>
        <v>5.7305293744873032E-2</v>
      </c>
      <c r="CC26" s="17">
        <f t="shared" si="45"/>
        <v>6.5097287935521955E-2</v>
      </c>
      <c r="CD26" s="17">
        <f t="shared" si="45"/>
        <v>2.8101075135681709E-2</v>
      </c>
      <c r="CE26" s="17">
        <f t="shared" si="46"/>
        <v>2.1255847409760407E-2</v>
      </c>
      <c r="CF26" s="17">
        <f t="shared" si="46"/>
        <v>2.0465808264664768E-2</v>
      </c>
      <c r="CG26" s="17">
        <f t="shared" si="47"/>
        <v>2.4307303866838884E-2</v>
      </c>
      <c r="CI26" s="17">
        <f t="shared" si="48"/>
        <v>4.8050592228605159E-2</v>
      </c>
      <c r="CJ26" s="17">
        <f t="shared" si="48"/>
        <v>3.5701226201214013E-2</v>
      </c>
      <c r="CK26" s="17">
        <f t="shared" si="49"/>
        <v>9.2251872240790719E-2</v>
      </c>
    </row>
    <row r="27" spans="2:89" s="6" customFormat="1" ht="16.5" customHeight="1">
      <c r="B27" s="1" t="s">
        <v>130</v>
      </c>
      <c r="C27" s="40"/>
      <c r="D27" s="17">
        <f t="shared" si="19"/>
        <v>0.21755872160184828</v>
      </c>
      <c r="E27" s="17">
        <f t="shared" si="19"/>
        <v>0.23948243458146595</v>
      </c>
      <c r="F27" s="17">
        <f t="shared" si="19"/>
        <v>0.18078156550659225</v>
      </c>
      <c r="G27" s="17">
        <f t="shared" si="20"/>
        <v>0.15719996281491122</v>
      </c>
      <c r="H27" s="17">
        <f t="shared" si="20"/>
        <v>0.16440803015804686</v>
      </c>
      <c r="I27" s="17">
        <f t="shared" si="20"/>
        <v>0.14262750668557231</v>
      </c>
      <c r="J27" s="17">
        <f t="shared" si="20"/>
        <v>0.13969511825971931</v>
      </c>
      <c r="K27" s="17">
        <f t="shared" si="21"/>
        <v>9.5642080687878828E-2</v>
      </c>
      <c r="L27" s="17">
        <f t="shared" si="21"/>
        <v>0.13875512734549442</v>
      </c>
      <c r="M27" s="17">
        <f t="shared" si="22"/>
        <v>0.18347186035971888</v>
      </c>
      <c r="N27" s="17">
        <f t="shared" si="22"/>
        <v>0.40965269503672219</v>
      </c>
      <c r="O27" s="17">
        <f t="shared" si="23"/>
        <v>0.39337876699829466</v>
      </c>
      <c r="P27" s="17">
        <f t="shared" si="23"/>
        <v>0.2469426830272585</v>
      </c>
      <c r="Q27" s="17">
        <f t="shared" si="24"/>
        <v>0.24694218765039516</v>
      </c>
      <c r="R27" s="17">
        <f t="shared" si="24"/>
        <v>2.7065031804368297E-2</v>
      </c>
      <c r="S27" s="17">
        <f t="shared" si="25"/>
        <v>2.7065101203777586E-2</v>
      </c>
      <c r="T27" s="17">
        <f t="shared" si="25"/>
        <v>4.0985416630583506E-2</v>
      </c>
      <c r="U27" s="210">
        <f t="shared" si="26"/>
        <v>5.0847405850582859E-2</v>
      </c>
      <c r="V27" s="72"/>
      <c r="W27" s="72"/>
      <c r="X27" s="36"/>
      <c r="Y27" s="17">
        <f t="shared" si="27"/>
        <v>0.17134755070531263</v>
      </c>
      <c r="Z27" s="17">
        <f t="shared" si="27"/>
        <v>0.14842495244092926</v>
      </c>
      <c r="AA27" s="17">
        <f t="shared" ref="AA27:AI27" si="53">+AA19/AA11</f>
        <v>0.15564119066817142</v>
      </c>
      <c r="AB27" s="17">
        <f t="shared" si="53"/>
        <v>0.10149404653657526</v>
      </c>
      <c r="AC27" s="17">
        <f t="shared" si="53"/>
        <v>0.19260916667677927</v>
      </c>
      <c r="AD27" s="17">
        <f t="shared" si="53"/>
        <v>0.16366403824804693</v>
      </c>
      <c r="AE27" s="17">
        <f t="shared" si="53"/>
        <v>0.11231883884872866</v>
      </c>
      <c r="AF27" s="17">
        <f t="shared" si="53"/>
        <v>0.11410032094698695</v>
      </c>
      <c r="AG27" s="17">
        <f t="shared" si="53"/>
        <v>0.13038157077212018</v>
      </c>
      <c r="AH27" s="17">
        <f t="shared" si="53"/>
        <v>0.10443844940615901</v>
      </c>
      <c r="AI27" s="17">
        <f t="shared" si="53"/>
        <v>0.10233374041594046</v>
      </c>
      <c r="AJ27" s="17">
        <f t="shared" si="29"/>
        <v>4.1232595514620836E-2</v>
      </c>
      <c r="AK27" s="17">
        <f t="shared" si="29"/>
        <v>0.15298666222521851</v>
      </c>
      <c r="AL27" s="17">
        <f t="shared" si="29"/>
        <v>0.1335790227580434</v>
      </c>
      <c r="AM27" s="17">
        <f t="shared" si="51"/>
        <v>0.18145465748445191</v>
      </c>
      <c r="AN27" s="17">
        <f t="shared" si="51"/>
        <v>9.0573788970784441E-2</v>
      </c>
      <c r="AO27" s="17">
        <f t="shared" si="51"/>
        <v>0.11704332786838841</v>
      </c>
      <c r="AP27" s="17">
        <f t="shared" si="51"/>
        <v>0.17586030948654985</v>
      </c>
      <c r="AQ27" s="17">
        <f t="shared" si="31"/>
        <v>0.23611791679185573</v>
      </c>
      <c r="AR27" s="17">
        <f t="shared" si="32"/>
        <v>0.18761481269260222</v>
      </c>
      <c r="AS27" s="17">
        <f t="shared" si="32"/>
        <v>0.34568161575426809</v>
      </c>
      <c r="AT27" s="17">
        <f t="shared" si="32"/>
        <v>0.40530136907094516</v>
      </c>
      <c r="AU27" s="17">
        <f t="shared" si="32"/>
        <v>0.45066174370717166</v>
      </c>
      <c r="AV27" s="17">
        <f t="shared" si="33"/>
        <v>0.40886522934325098</v>
      </c>
      <c r="AW27" s="17">
        <f t="shared" si="33"/>
        <v>0.30235964386215802</v>
      </c>
      <c r="AX27" s="17">
        <f t="shared" si="33"/>
        <v>0.2070487148958845</v>
      </c>
      <c r="AY27" s="17">
        <f t="shared" si="33"/>
        <v>0.32304599877647333</v>
      </c>
      <c r="AZ27" s="17">
        <f t="shared" si="34"/>
        <v>0.17532261244878733</v>
      </c>
      <c r="BA27" s="17">
        <f t="shared" si="34"/>
        <v>8.3934797893558705E-2</v>
      </c>
      <c r="BB27" s="17">
        <f t="shared" si="34"/>
        <v>4.3445136590331439E-2</v>
      </c>
      <c r="BC27" s="17">
        <f t="shared" si="34"/>
        <v>-5.9825768879048944E-3</v>
      </c>
      <c r="BD27" s="17">
        <f t="shared" si="35"/>
        <v>9.5901259367998145E-3</v>
      </c>
      <c r="BE27" s="17">
        <f t="shared" si="35"/>
        <v>4.7562191176235426E-2</v>
      </c>
      <c r="BF27" s="17">
        <f t="shared" si="35"/>
        <v>3.9722340837545556E-2</v>
      </c>
      <c r="BG27" s="17">
        <f t="shared" si="35"/>
        <v>2.7863749673454386E-2</v>
      </c>
      <c r="BH27" s="17">
        <f t="shared" si="36"/>
        <v>4.7407570451029009E-2</v>
      </c>
      <c r="BI27" s="17">
        <f t="shared" si="36"/>
        <v>8.5394373472267984E-2</v>
      </c>
      <c r="BJ27" s="138"/>
      <c r="BK27" s="17">
        <f t="shared" si="37"/>
        <v>3.4255232258314526E-2</v>
      </c>
      <c r="BL27" s="17">
        <f t="shared" si="37"/>
        <v>3.8194894240895144E-2</v>
      </c>
      <c r="BM27" s="138"/>
      <c r="BN27" s="17">
        <f t="shared" si="38"/>
        <v>8.3935955779980462E-2</v>
      </c>
      <c r="BO27" s="17">
        <f t="shared" si="38"/>
        <v>4.343848071981872E-2</v>
      </c>
      <c r="BP27" s="17">
        <f t="shared" si="39"/>
        <v>-2.3492410896991049E-2</v>
      </c>
      <c r="BQ27" s="17">
        <f t="shared" si="39"/>
        <v>1.7001683925801189E-2</v>
      </c>
      <c r="BR27" s="17">
        <f t="shared" si="39"/>
        <v>4.7561829971651079E-2</v>
      </c>
      <c r="BS27" s="17">
        <f t="shared" si="40"/>
        <v>0.14669607941441892</v>
      </c>
      <c r="BT27" s="17">
        <f t="shared" si="40"/>
        <v>0.16627675244779483</v>
      </c>
      <c r="BU27" s="17">
        <f t="shared" si="41"/>
        <v>0.17985491536729759</v>
      </c>
      <c r="BV27" s="17">
        <f t="shared" si="41"/>
        <v>0.14927630448851228</v>
      </c>
      <c r="BW27" s="17">
        <f t="shared" si="42"/>
        <v>0.14359860824605628</v>
      </c>
      <c r="BX27" s="17">
        <f t="shared" si="42"/>
        <v>0.13447339397515257</v>
      </c>
      <c r="BY27" s="17">
        <f t="shared" si="43"/>
        <v>0.14786275486512726</v>
      </c>
      <c r="BZ27" s="17">
        <f t="shared" si="43"/>
        <v>0.20748949890419238</v>
      </c>
      <c r="CA27" s="17">
        <f t="shared" si="44"/>
        <v>0.37964707765863825</v>
      </c>
      <c r="CB27" s="17">
        <f t="shared" si="44"/>
        <v>0.42792155180678743</v>
      </c>
      <c r="CC27" s="17">
        <f t="shared" si="45"/>
        <v>0.26020623428349621</v>
      </c>
      <c r="CD27" s="17">
        <f t="shared" si="45"/>
        <v>0.24112267189987782</v>
      </c>
      <c r="CE27" s="17">
        <f t="shared" si="46"/>
        <v>6.3353010472056076E-2</v>
      </c>
      <c r="CF27" s="17">
        <f t="shared" si="46"/>
        <v>-5.9532225537836452E-4</v>
      </c>
      <c r="CG27" s="17">
        <f t="shared" si="47"/>
        <v>4.3617512959840107E-2</v>
      </c>
      <c r="CI27" s="17">
        <f t="shared" si="48"/>
        <v>0.24889422380816709</v>
      </c>
      <c r="CJ27" s="17">
        <f t="shared" si="48"/>
        <v>0.24573747762445988</v>
      </c>
      <c r="CK27" s="17">
        <f t="shared" si="49"/>
        <v>6.3352265197097815E-2</v>
      </c>
    </row>
    <row r="28" spans="2:89" s="6" customFormat="1" ht="16.5" customHeight="1">
      <c r="B28" s="1" t="s">
        <v>131</v>
      </c>
      <c r="C28" s="40"/>
      <c r="D28" s="17">
        <f t="shared" si="19"/>
        <v>1.9691780821917807E-2</v>
      </c>
      <c r="E28" s="17">
        <f t="shared" si="19"/>
        <v>1.8031658637302134E-2</v>
      </c>
      <c r="F28" s="17">
        <f t="shared" si="19"/>
        <v>9.3962884660559083E-3</v>
      </c>
      <c r="G28" s="17">
        <f t="shared" si="20"/>
        <v>2.0951417004048584E-2</v>
      </c>
      <c r="H28" s="17">
        <f t="shared" si="20"/>
        <v>7.3123129861577141E-3</v>
      </c>
      <c r="I28" s="17">
        <f t="shared" si="20"/>
        <v>1.6665575859964549E-2</v>
      </c>
      <c r="J28" s="17">
        <f t="shared" si="20"/>
        <v>5.3428756538935864E-3</v>
      </c>
      <c r="K28" s="17">
        <f t="shared" si="21"/>
        <v>2.2970701816924045E-2</v>
      </c>
      <c r="L28" s="17">
        <f t="shared" si="21"/>
        <v>2.7872619275139079E-2</v>
      </c>
      <c r="M28" s="17">
        <f t="shared" si="22"/>
        <v>2.8519171308762262E-2</v>
      </c>
      <c r="N28" s="17">
        <f t="shared" si="22"/>
        <v>3.6371999221610912E-2</v>
      </c>
      <c r="O28" s="17">
        <f t="shared" si="23"/>
        <v>-5.290708018465976E-3</v>
      </c>
      <c r="P28" s="17">
        <f t="shared" si="23"/>
        <v>-7.4037893004961566E-3</v>
      </c>
      <c r="Q28" s="17">
        <f t="shared" si="24"/>
        <v>-7.4012084090072762E-3</v>
      </c>
      <c r="R28" s="17">
        <f t="shared" si="24"/>
        <v>-1.539155268300015E-3</v>
      </c>
      <c r="S28" s="17">
        <f t="shared" si="25"/>
        <v>-1.5295857716369782E-3</v>
      </c>
      <c r="T28" s="17">
        <f t="shared" si="25"/>
        <v>-4.6383467278989666E-3</v>
      </c>
      <c r="U28" s="210">
        <f t="shared" si="26"/>
        <v>-1.7932100239181487E-2</v>
      </c>
      <c r="V28" s="72"/>
      <c r="W28" s="72"/>
      <c r="X28" s="36"/>
      <c r="Y28" s="17">
        <f t="shared" si="27"/>
        <v>-7.9818040318159773E-3</v>
      </c>
      <c r="Z28" s="17">
        <f t="shared" si="27"/>
        <v>2.161594220447886E-2</v>
      </c>
      <c r="AA28" s="17">
        <f t="shared" ref="AA28:AI28" si="54">+AA20/AA12</f>
        <v>2.4079732695231615E-2</v>
      </c>
      <c r="AB28" s="17">
        <f t="shared" si="54"/>
        <v>2.4187925144887858E-2</v>
      </c>
      <c r="AC28" s="17">
        <f t="shared" si="54"/>
        <v>-2.1683596796627104E-2</v>
      </c>
      <c r="AD28" s="17">
        <f t="shared" si="54"/>
        <v>3.824835329456914E-3</v>
      </c>
      <c r="AE28" s="17">
        <f t="shared" si="54"/>
        <v>-2.5694046964883886E-3</v>
      </c>
      <c r="AF28" s="17">
        <f t="shared" si="54"/>
        <v>2.9970013406512987E-2</v>
      </c>
      <c r="AG28" s="17">
        <f t="shared" si="54"/>
        <v>-3.4862839423787866E-2</v>
      </c>
      <c r="AH28" s="17">
        <f t="shared" si="54"/>
        <v>2.0563531768145103E-2</v>
      </c>
      <c r="AI28" s="17">
        <f t="shared" si="54"/>
        <v>3.1479168326887047E-2</v>
      </c>
      <c r="AJ28" s="17">
        <f t="shared" si="29"/>
        <v>6.0574145095177188E-2</v>
      </c>
      <c r="AK28" s="17">
        <f t="shared" si="29"/>
        <v>1.0961309596158014E-2</v>
      </c>
      <c r="AL28" s="17">
        <f t="shared" si="29"/>
        <v>3.7580715760238293E-3</v>
      </c>
      <c r="AM28" s="17">
        <f t="shared" si="51"/>
        <v>2.2940800220834907E-2</v>
      </c>
      <c r="AN28" s="17">
        <f t="shared" si="51"/>
        <v>5.5527131418435717E-2</v>
      </c>
      <c r="AO28" s="17">
        <f t="shared" si="51"/>
        <v>-1.2197933875012898E-2</v>
      </c>
      <c r="AP28" s="17">
        <f t="shared" si="51"/>
        <v>1.8314101777370126E-2</v>
      </c>
      <c r="AQ28" s="17">
        <f t="shared" si="31"/>
        <v>3.8760672177243612E-2</v>
      </c>
      <c r="AR28" s="17">
        <f t="shared" si="32"/>
        <v>4.8719010135590331E-2</v>
      </c>
      <c r="AS28" s="17">
        <f t="shared" si="32"/>
        <v>-4.7394205595234695E-3</v>
      </c>
      <c r="AT28" s="17">
        <f t="shared" si="32"/>
        <v>3.4597989555054463E-2</v>
      </c>
      <c r="AU28" s="17">
        <f t="shared" si="32"/>
        <v>4.6816381256402542E-2</v>
      </c>
      <c r="AV28" s="17">
        <f t="shared" si="33"/>
        <v>5.013456807835738E-2</v>
      </c>
      <c r="AW28" s="17">
        <f t="shared" si="33"/>
        <v>-2.9651961532590445E-2</v>
      </c>
      <c r="AX28" s="17">
        <f t="shared" si="33"/>
        <v>-4.4068636901974827E-4</v>
      </c>
      <c r="AY28" s="17">
        <f t="shared" si="33"/>
        <v>1.4647852405842612E-2</v>
      </c>
      <c r="AZ28" s="17">
        <f t="shared" si="34"/>
        <v>-2.0200792051691795E-2</v>
      </c>
      <c r="BA28" s="17">
        <f t="shared" si="34"/>
        <v>-2.7428267092736835E-2</v>
      </c>
      <c r="BB28" s="17">
        <f t="shared" si="34"/>
        <v>-1.6047250236808381E-2</v>
      </c>
      <c r="BC28" s="17">
        <f t="shared" si="34"/>
        <v>-5.0303555941023414E-3</v>
      </c>
      <c r="BD28" s="17">
        <f t="shared" si="35"/>
        <v>2.5355175146031805E-2</v>
      </c>
      <c r="BE28" s="17">
        <f t="shared" si="35"/>
        <v>-2.4955747799855401E-2</v>
      </c>
      <c r="BF28" s="17">
        <f t="shared" si="35"/>
        <v>5.0108096094397189E-3</v>
      </c>
      <c r="BG28" s="17">
        <f t="shared" si="35"/>
        <v>-4.0247151522022559E-3</v>
      </c>
      <c r="BH28" s="17">
        <f t="shared" si="36"/>
        <v>-5.8492748228600297E-4</v>
      </c>
      <c r="BI28" s="17">
        <f t="shared" si="36"/>
        <v>-7.8171818699032808E-2</v>
      </c>
      <c r="BJ28" s="138"/>
      <c r="BK28" s="17">
        <f t="shared" si="37"/>
        <v>-1.4561741785169117E-2</v>
      </c>
      <c r="BL28" s="17">
        <f t="shared" si="37"/>
        <v>-7.1588042755250554E-3</v>
      </c>
      <c r="BM28" s="138"/>
      <c r="BN28" s="17">
        <f t="shared" si="38"/>
        <v>-2.7428957072959097E-2</v>
      </c>
      <c r="BO28" s="17">
        <f t="shared" si="38"/>
        <v>-1.6049510056730273E-2</v>
      </c>
      <c r="BP28" s="17">
        <f t="shared" si="39"/>
        <v>-8.4050430258154896E-4</v>
      </c>
      <c r="BQ28" s="17">
        <f t="shared" si="39"/>
        <v>2.0894409298976496E-2</v>
      </c>
      <c r="BR28" s="17">
        <f t="shared" si="39"/>
        <v>-2.4956659236821551E-2</v>
      </c>
      <c r="BS28" s="17">
        <f t="shared" si="40"/>
        <v>-6.9294066695539192E-3</v>
      </c>
      <c r="BT28" s="17">
        <f t="shared" si="40"/>
        <v>4.5419992398327634E-2</v>
      </c>
      <c r="BU28" s="17">
        <f t="shared" si="41"/>
        <v>1.3648180242634315E-2</v>
      </c>
      <c r="BV28" s="17">
        <f t="shared" si="41"/>
        <v>1.4224117965727593E-3</v>
      </c>
      <c r="BW28" s="17">
        <f t="shared" si="42"/>
        <v>7.372179318134069E-3</v>
      </c>
      <c r="BX28" s="17">
        <f t="shared" si="42"/>
        <v>4.2426237664691134E-2</v>
      </c>
      <c r="BY28" s="17">
        <f t="shared" si="43"/>
        <v>4.6857440395632654E-3</v>
      </c>
      <c r="BZ28" s="17">
        <f t="shared" si="43"/>
        <v>4.4716954044680998E-2</v>
      </c>
      <c r="CA28" s="17">
        <f t="shared" si="44"/>
        <v>1.818304213360869E-2</v>
      </c>
      <c r="CB28" s="17">
        <f t="shared" si="44"/>
        <v>4.8697119770272294E-2</v>
      </c>
      <c r="CC28" s="17">
        <f t="shared" si="45"/>
        <v>1.8380707251566698E-2</v>
      </c>
      <c r="CD28" s="17">
        <f t="shared" si="45"/>
        <v>-1.8788679851271726E-2</v>
      </c>
      <c r="CE28" s="17">
        <f t="shared" si="46"/>
        <v>-2.1457472137421305E-2</v>
      </c>
      <c r="CF28" s="17">
        <f t="shared" si="46"/>
        <v>1.2394751900596747E-2</v>
      </c>
      <c r="CG28" s="17">
        <f t="shared" si="47"/>
        <v>-8.8357079977829222E-3</v>
      </c>
      <c r="CI28" s="17">
        <f t="shared" si="48"/>
        <v>-1.3258541560428353E-2</v>
      </c>
      <c r="CJ28" s="17">
        <f t="shared" si="48"/>
        <v>-3.7485665828298305E-3</v>
      </c>
      <c r="CK28" s="17">
        <f t="shared" si="49"/>
        <v>-2.1458856104525397E-2</v>
      </c>
    </row>
    <row r="29" spans="2:89" s="6" customFormat="1" ht="16.5" customHeight="1">
      <c r="B29" s="6" t="s">
        <v>134</v>
      </c>
      <c r="C29" s="40"/>
      <c r="D29" s="73">
        <f t="shared" si="19"/>
        <v>6.0291292115556165E-2</v>
      </c>
      <c r="E29" s="73">
        <f t="shared" si="19"/>
        <v>5.4738939235647127E-2</v>
      </c>
      <c r="F29" s="73">
        <f t="shared" si="19"/>
        <v>4.7308283070467916E-2</v>
      </c>
      <c r="G29" s="73">
        <f t="shared" si="20"/>
        <v>7.4055851985309409E-2</v>
      </c>
      <c r="H29" s="73">
        <f t="shared" si="20"/>
        <v>7.3770166501005943E-2</v>
      </c>
      <c r="I29" s="73">
        <f t="shared" si="20"/>
        <v>7.4532170334506431E-2</v>
      </c>
      <c r="J29" s="73">
        <f t="shared" si="20"/>
        <v>6.8589006845694897E-2</v>
      </c>
      <c r="K29" s="73">
        <f t="shared" si="21"/>
        <v>5.3141821517955677E-2</v>
      </c>
      <c r="L29" s="73">
        <f t="shared" si="21"/>
        <v>6.8750277317749756E-2</v>
      </c>
      <c r="M29" s="73">
        <f t="shared" si="22"/>
        <v>7.961238269554656E-2</v>
      </c>
      <c r="N29" s="73">
        <f t="shared" si="22"/>
        <v>0.1213349469491775</v>
      </c>
      <c r="O29" s="73">
        <f t="shared" si="23"/>
        <v>9.8341644919124727E-2</v>
      </c>
      <c r="P29" s="73">
        <f t="shared" si="23"/>
        <v>9.991104022778638E-2</v>
      </c>
      <c r="Q29" s="73">
        <f t="shared" si="24"/>
        <v>9.9911008837153648E-2</v>
      </c>
      <c r="R29" s="73">
        <f t="shared" si="24"/>
        <v>2.7286464994372147E-2</v>
      </c>
      <c r="S29" s="73">
        <f t="shared" si="25"/>
        <v>2.7838235061712787E-2</v>
      </c>
      <c r="T29" s="73">
        <f t="shared" si="25"/>
        <v>3.3060879852337702E-2</v>
      </c>
      <c r="U29" s="211">
        <f t="shared" si="26"/>
        <v>3.3230059013127144E-2</v>
      </c>
      <c r="V29" s="72"/>
      <c r="W29" s="72"/>
      <c r="X29" s="36"/>
      <c r="Y29" s="73">
        <f t="shared" si="27"/>
        <v>8.2291092345033331E-2</v>
      </c>
      <c r="Z29" s="73">
        <f t="shared" si="27"/>
        <v>7.8665031597721313E-2</v>
      </c>
      <c r="AA29" s="73">
        <f t="shared" ref="AA29:AI29" si="55">+AA21/AA13</f>
        <v>8.0317653891700438E-2</v>
      </c>
      <c r="AB29" s="73">
        <f t="shared" si="55"/>
        <v>5.9746176855254213E-2</v>
      </c>
      <c r="AC29" s="73">
        <f t="shared" si="55"/>
        <v>6.9431236814709599E-2</v>
      </c>
      <c r="AD29" s="73">
        <f t="shared" si="55"/>
        <v>7.0214789494113541E-2</v>
      </c>
      <c r="AE29" s="73">
        <f t="shared" si="55"/>
        <v>6.0299058572444941E-2</v>
      </c>
      <c r="AF29" s="73">
        <f t="shared" si="55"/>
        <v>7.5325271084979564E-2</v>
      </c>
      <c r="AG29" s="73">
        <f t="shared" si="55"/>
        <v>5.207844184399732E-2</v>
      </c>
      <c r="AH29" s="73">
        <f t="shared" si="55"/>
        <v>6.3603477299145936E-2</v>
      </c>
      <c r="AI29" s="73">
        <f t="shared" si="55"/>
        <v>5.5136037825816324E-2</v>
      </c>
      <c r="AJ29" s="73">
        <f t="shared" si="29"/>
        <v>4.1848330482900528E-2</v>
      </c>
      <c r="AK29" s="73">
        <f t="shared" si="29"/>
        <v>2.9892002652818533E-2</v>
      </c>
      <c r="AL29" s="73">
        <f>+AL21/AL13</f>
        <v>7.1304209392106882E-2</v>
      </c>
      <c r="AM29" s="73">
        <f t="shared" si="51"/>
        <v>8.724028352332075E-2</v>
      </c>
      <c r="AN29" s="73">
        <f t="shared" si="51"/>
        <v>7.7362798518583367E-2</v>
      </c>
      <c r="AO29" s="73">
        <f t="shared" si="51"/>
        <v>6.193019207445561E-2</v>
      </c>
      <c r="AP29" s="73">
        <f>+AP21/AP13</f>
        <v>8.6019050436580938E-2</v>
      </c>
      <c r="AQ29" s="73">
        <f t="shared" si="31"/>
        <v>9.1557730680350585E-2</v>
      </c>
      <c r="AR29" s="73">
        <f t="shared" si="32"/>
        <v>7.5961023919435766E-2</v>
      </c>
      <c r="AS29" s="73">
        <f t="shared" si="32"/>
        <v>9.6882205466355426E-2</v>
      </c>
      <c r="AT29" s="73">
        <f>+AT21/AT13</f>
        <v>0.11277146760962234</v>
      </c>
      <c r="AU29" s="73">
        <f t="shared" si="32"/>
        <v>0.12202595238982424</v>
      </c>
      <c r="AV29" s="73">
        <f t="shared" si="33"/>
        <v>0.14136872662032554</v>
      </c>
      <c r="AW29" s="73">
        <f t="shared" si="33"/>
        <v>9.3120607445302608E-2</v>
      </c>
      <c r="AX29" s="73">
        <f>+AX21/AX13</f>
        <v>9.9871604473859163E-2</v>
      </c>
      <c r="AY29" s="73">
        <f>+AY21/AY13</f>
        <v>0.12985528607569888</v>
      </c>
      <c r="AZ29" s="73">
        <f t="shared" si="34"/>
        <v>7.348862027566086E-2</v>
      </c>
      <c r="BA29" s="73">
        <f t="shared" si="34"/>
        <v>4.5390512790117465E-2</v>
      </c>
      <c r="BB29" s="73">
        <f>+BB21/BB13</f>
        <v>3.1796541284250079E-2</v>
      </c>
      <c r="BC29" s="73">
        <f>+BC21/BC13</f>
        <v>2.2614069051829378E-2</v>
      </c>
      <c r="BD29" s="73">
        <f t="shared" si="35"/>
        <v>1.6219048118001744E-2</v>
      </c>
      <c r="BE29" s="73">
        <f t="shared" si="35"/>
        <v>2.5575639040047914E-2</v>
      </c>
      <c r="BF29" s="73">
        <f>+BF21/BF13</f>
        <v>3.913893943015468E-2</v>
      </c>
      <c r="BG29" s="73">
        <f>+BG21/BG13</f>
        <v>3.2597040903626105E-2</v>
      </c>
      <c r="BH29" s="73">
        <f t="shared" si="36"/>
        <v>3.350928676119784E-2</v>
      </c>
      <c r="BI29" s="73">
        <f t="shared" si="36"/>
        <v>2.8418447618928384E-2</v>
      </c>
      <c r="BJ29" s="140"/>
      <c r="BK29" s="73">
        <f t="shared" si="37"/>
        <v>3.8016346475617024E-2</v>
      </c>
      <c r="BL29" s="73">
        <f t="shared" si="37"/>
        <v>3.2710699943959899E-2</v>
      </c>
      <c r="BM29" s="140"/>
      <c r="BN29" s="73">
        <f t="shared" si="38"/>
        <v>4.5390894872739215E-2</v>
      </c>
      <c r="BO29" s="73">
        <f>+BO21/BO13</f>
        <v>5.0734339151977025E-2</v>
      </c>
      <c r="BP29" s="73">
        <f t="shared" si="39"/>
        <v>2.0067129409028633E-2</v>
      </c>
      <c r="BQ29" s="73">
        <f t="shared" si="39"/>
        <v>6.754557344122749E-3</v>
      </c>
      <c r="BR29" s="73">
        <f t="shared" si="39"/>
        <v>2.5576254566549838E-2</v>
      </c>
      <c r="BS29" s="73">
        <f t="shared" si="40"/>
        <v>6.6990015119534133E-2</v>
      </c>
      <c r="BT29" s="73">
        <f t="shared" si="40"/>
        <v>8.0145531486666061E-2</v>
      </c>
      <c r="BU29" s="73">
        <f t="shared" si="41"/>
        <v>7.2968221771467209E-2</v>
      </c>
      <c r="BV29" s="73">
        <f t="shared" si="41"/>
        <v>7.4445289337279771E-2</v>
      </c>
      <c r="BW29" s="73">
        <f t="shared" si="42"/>
        <v>4.8090965362651769E-2</v>
      </c>
      <c r="BX29" s="73">
        <f t="shared" si="42"/>
        <v>8.1859245559811569E-2</v>
      </c>
      <c r="BY29" s="73">
        <f t="shared" si="43"/>
        <v>7.4888170903324197E-2</v>
      </c>
      <c r="BZ29" s="73">
        <f t="shared" si="43"/>
        <v>8.2611772981820916E-2</v>
      </c>
      <c r="CA29" s="73">
        <f t="shared" si="44"/>
        <v>0.10641282817363522</v>
      </c>
      <c r="CB29" s="73">
        <f t="shared" si="44"/>
        <v>0.13188219915612789</v>
      </c>
      <c r="CC29" s="73">
        <f t="shared" si="45"/>
        <v>0.11502768539735347</v>
      </c>
      <c r="CD29" s="73">
        <f t="shared" si="45"/>
        <v>9.3018202887354545E-2</v>
      </c>
      <c r="CE29" s="73">
        <f t="shared" si="46"/>
        <v>3.8636868205726337E-2</v>
      </c>
      <c r="CF29" s="73">
        <f t="shared" si="46"/>
        <v>1.8685934354893134E-2</v>
      </c>
      <c r="CG29" s="73">
        <f t="shared" si="47"/>
        <v>3.2774211855156575E-2</v>
      </c>
      <c r="CI29" s="73">
        <f t="shared" si="48"/>
        <v>0.14699908891730756</v>
      </c>
      <c r="CJ29" s="73">
        <f t="shared" si="48"/>
        <v>8.3615874455035072E-2</v>
      </c>
      <c r="CK29" s="73">
        <f t="shared" si="49"/>
        <v>4.8046192868871643E-2</v>
      </c>
    </row>
    <row r="30" spans="2:89" s="6" customFormat="1" ht="16.5" customHeight="1">
      <c r="C30" s="40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3"/>
      <c r="W30" s="33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7"/>
      <c r="BM30" s="37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I30" s="36"/>
      <c r="CJ30" s="36"/>
      <c r="CK30" s="36"/>
    </row>
    <row r="31" spans="2:89" s="6" customFormat="1" ht="16.5" customHeight="1">
      <c r="B31" s="6" t="s">
        <v>136</v>
      </c>
      <c r="C31" s="40"/>
      <c r="D31" s="36">
        <v>65666</v>
      </c>
      <c r="E31" s="36">
        <v>66182</v>
      </c>
      <c r="F31" s="36">
        <v>68622</v>
      </c>
      <c r="G31" s="36">
        <v>69491</v>
      </c>
      <c r="H31" s="36">
        <v>70432.243000000002</v>
      </c>
      <c r="I31" s="36">
        <v>98866.748999999996</v>
      </c>
      <c r="J31" s="36">
        <v>143248.30799999999</v>
      </c>
      <c r="K31" s="36">
        <v>153516.00700000001</v>
      </c>
      <c r="L31" s="36">
        <v>183777.27600000001</v>
      </c>
      <c r="M31" s="36">
        <v>346688.70199999999</v>
      </c>
      <c r="N31" s="36">
        <v>901857</v>
      </c>
      <c r="O31" s="36">
        <v>1715942</v>
      </c>
      <c r="P31" s="36">
        <v>1604647</v>
      </c>
      <c r="Q31" s="36">
        <v>2316773</v>
      </c>
      <c r="R31" s="36">
        <v>2317907</v>
      </c>
      <c r="S31" s="36">
        <v>3033955</v>
      </c>
      <c r="T31" s="36">
        <v>2757295</v>
      </c>
      <c r="U31" s="33">
        <f>BG31+BF31+BH31+BI31</f>
        <v>2957018</v>
      </c>
      <c r="V31" s="33"/>
      <c r="W31" s="33"/>
      <c r="X31" s="36"/>
      <c r="Y31" s="36">
        <v>22274.111000000001</v>
      </c>
      <c r="Z31" s="36">
        <v>23059.286</v>
      </c>
      <c r="AA31" s="36">
        <v>25874.940999999999</v>
      </c>
      <c r="AB31" s="33">
        <f>I31-AA31-Z31-Y31</f>
        <v>27658.410999999989</v>
      </c>
      <c r="AC31" s="36">
        <v>24587.937000000002</v>
      </c>
      <c r="AD31" s="36">
        <v>33272.370000000003</v>
      </c>
      <c r="AE31" s="36">
        <v>45553.375</v>
      </c>
      <c r="AF31" s="33">
        <f>J31-AE31-AD31-AC31</f>
        <v>39834.625999999989</v>
      </c>
      <c r="AG31" s="36">
        <v>34261.701999999997</v>
      </c>
      <c r="AH31" s="36">
        <v>40487.809000000001</v>
      </c>
      <c r="AI31" s="36">
        <v>39364.506999999998</v>
      </c>
      <c r="AJ31" s="33">
        <f>K31-AI31-AH31-AG31</f>
        <v>39401.989000000023</v>
      </c>
      <c r="AK31" s="36">
        <v>39435.731</v>
      </c>
      <c r="AL31" s="36">
        <v>34530.995999999999</v>
      </c>
      <c r="AM31" s="36">
        <v>51753.061000000002</v>
      </c>
      <c r="AN31" s="33">
        <f>L31-AM31-AL31-AK31</f>
        <v>58057.488000000027</v>
      </c>
      <c r="AO31" s="36">
        <v>57304.999000000003</v>
      </c>
      <c r="AP31" s="36">
        <v>74654.635999999999</v>
      </c>
      <c r="AQ31" s="36">
        <v>91650.156000000003</v>
      </c>
      <c r="AR31" s="33">
        <f>M31-AQ31-AP31-AO31</f>
        <v>123078.91099999996</v>
      </c>
      <c r="AS31" s="36">
        <v>152105.04699999999</v>
      </c>
      <c r="AT31" s="36">
        <v>233773.06200000001</v>
      </c>
      <c r="AU31" s="36">
        <v>260994.128</v>
      </c>
      <c r="AV31" s="33">
        <f>N31-AU31-AT31-AS31</f>
        <v>254984.76299999995</v>
      </c>
      <c r="AW31" s="36">
        <v>386677</v>
      </c>
      <c r="AX31" s="36">
        <v>467136</v>
      </c>
      <c r="AY31" s="36">
        <v>628852</v>
      </c>
      <c r="AZ31" s="33">
        <f>Q31-AY31-AX31-AW31</f>
        <v>834108</v>
      </c>
      <c r="BA31" s="36">
        <v>450415</v>
      </c>
      <c r="BB31" s="36">
        <v>521453</v>
      </c>
      <c r="BC31" s="36">
        <v>560733</v>
      </c>
      <c r="BD31" s="33">
        <f>R31-BC31-BB31-BA31</f>
        <v>785306</v>
      </c>
      <c r="BE31" s="36">
        <v>538320</v>
      </c>
      <c r="BF31" s="36">
        <v>606756</v>
      </c>
      <c r="BG31" s="36">
        <v>688860</v>
      </c>
      <c r="BH31" s="33">
        <f>T31-BG31-BF31-BE31</f>
        <v>923359</v>
      </c>
      <c r="BI31" s="36">
        <v>738043</v>
      </c>
      <c r="BJ31" s="36"/>
      <c r="BK31" s="36">
        <v>2213367</v>
      </c>
      <c r="BL31" s="36">
        <v>1954626</v>
      </c>
      <c r="BM31" s="36"/>
      <c r="BN31" s="36">
        <v>622041</v>
      </c>
      <c r="BO31" s="36">
        <v>704216</v>
      </c>
      <c r="BP31" s="36">
        <v>747418</v>
      </c>
      <c r="BQ31" s="33">
        <f t="shared" ref="BQ31:BQ36" si="56">S31-BN31-BO31-BP31</f>
        <v>960280</v>
      </c>
      <c r="BR31" s="36">
        <v>704473</v>
      </c>
      <c r="BS31" s="36">
        <v>32128</v>
      </c>
      <c r="BT31" s="33">
        <f>G31-BS31</f>
        <v>37363</v>
      </c>
      <c r="BU31" s="36">
        <v>31122</v>
      </c>
      <c r="BV31" s="33">
        <f>H31-BU31</f>
        <v>39310.243000000002</v>
      </c>
      <c r="BW31" s="36">
        <v>73966.726999999999</v>
      </c>
      <c r="BX31" s="33">
        <f>L31-BW31</f>
        <v>109810.54900000001</v>
      </c>
      <c r="BY31" s="36">
        <v>131959.63500000001</v>
      </c>
      <c r="BZ31" s="33">
        <f>M31-BY31</f>
        <v>214729.06699999998</v>
      </c>
      <c r="CA31" s="36">
        <v>385878.109</v>
      </c>
      <c r="CB31" s="33">
        <f>N31-CA31</f>
        <v>515978.891</v>
      </c>
      <c r="CC31" s="36">
        <v>490302</v>
      </c>
      <c r="CD31" s="33">
        <f>P31-CC31</f>
        <v>1114345</v>
      </c>
      <c r="CE31" s="36">
        <v>1009725</v>
      </c>
      <c r="CF31" s="33">
        <f>R31-CE31</f>
        <v>1308182</v>
      </c>
      <c r="CG31" s="36">
        <v>1177413</v>
      </c>
      <c r="CH31" s="36"/>
      <c r="CI31" s="36">
        <v>886314</v>
      </c>
      <c r="CJ31" s="33">
        <f>Q31-CI31</f>
        <v>1430459</v>
      </c>
      <c r="CK31" s="36">
        <v>1363623</v>
      </c>
    </row>
    <row r="32" spans="2:89" s="18" customFormat="1" ht="13.5" customHeight="1">
      <c r="B32" s="21" t="s">
        <v>137</v>
      </c>
      <c r="D32" s="22"/>
      <c r="E32" s="22">
        <f t="shared" ref="E32:J32" si="57">+E31/D31-1</f>
        <v>7.8579477964242361E-3</v>
      </c>
      <c r="F32" s="22">
        <f t="shared" si="57"/>
        <v>3.6868030582333455E-2</v>
      </c>
      <c r="G32" s="22">
        <f t="shared" si="57"/>
        <v>1.2663577278423821E-2</v>
      </c>
      <c r="H32" s="22">
        <f t="shared" si="57"/>
        <v>1.3544818753507659E-2</v>
      </c>
      <c r="I32" s="22">
        <f t="shared" si="57"/>
        <v>0.40371433293697589</v>
      </c>
      <c r="J32" s="22">
        <f t="shared" si="57"/>
        <v>0.44890278530347949</v>
      </c>
      <c r="K32" s="22">
        <f t="shared" ref="K32:P32" si="58">+K31/J31-1</f>
        <v>7.1677628471535026E-2</v>
      </c>
      <c r="L32" s="22">
        <f t="shared" si="58"/>
        <v>0.1971212617587168</v>
      </c>
      <c r="M32" s="22">
        <f t="shared" si="58"/>
        <v>0.8864612075325351</v>
      </c>
      <c r="N32" s="22">
        <f t="shared" si="58"/>
        <v>1.6013452264158294</v>
      </c>
      <c r="O32" s="22">
        <f>+O31/M31-1</f>
        <v>3.949518083805339</v>
      </c>
      <c r="P32" s="22">
        <f t="shared" si="58"/>
        <v>-6.4859418325328044E-2</v>
      </c>
      <c r="Q32" s="22">
        <f>+Q31/O31-1</f>
        <v>0.35014645017139268</v>
      </c>
      <c r="R32" s="22">
        <f>+R31/P31-1</f>
        <v>0.4444965154329894</v>
      </c>
      <c r="S32" s="22">
        <f>+S31/Q31-1</f>
        <v>0.30956075541280903</v>
      </c>
      <c r="T32" s="22">
        <f>+T31/S31-1</f>
        <v>-9.118790489641404E-2</v>
      </c>
      <c r="U32" s="208"/>
      <c r="V32" s="22">
        <f>+V31/G31-1</f>
        <v>-1</v>
      </c>
      <c r="W32" s="22" t="e">
        <f>+W31/V31-1</f>
        <v>#DIV/0!</v>
      </c>
      <c r="Y32" s="22"/>
      <c r="Z32" s="22"/>
      <c r="AA32" s="22"/>
      <c r="AB32" s="22"/>
      <c r="AC32" s="22">
        <f>+AC31/Y31-1</f>
        <v>0.10387961162625081</v>
      </c>
      <c r="AD32" s="22">
        <f t="shared" ref="AD32:AM32" si="59">+AD31/Z31-1</f>
        <v>0.44290547417643378</v>
      </c>
      <c r="AE32" s="22">
        <f t="shared" si="59"/>
        <v>0.76052092254046122</v>
      </c>
      <c r="AF32" s="22">
        <f t="shared" si="59"/>
        <v>0.44023552184541637</v>
      </c>
      <c r="AG32" s="22">
        <f t="shared" si="59"/>
        <v>0.39343540696399204</v>
      </c>
      <c r="AH32" s="22">
        <f t="shared" si="59"/>
        <v>0.21685978486053137</v>
      </c>
      <c r="AI32" s="22">
        <f t="shared" si="59"/>
        <v>-0.13585970304066386</v>
      </c>
      <c r="AJ32" s="22">
        <f>+AJ31/AF31-1</f>
        <v>-1.0860827462016776E-2</v>
      </c>
      <c r="AK32" s="22">
        <f>+AK31/AG31-1</f>
        <v>0.15101494374097357</v>
      </c>
      <c r="AL32" s="22">
        <f t="shared" si="59"/>
        <v>-0.14712608923836812</v>
      </c>
      <c r="AM32" s="22">
        <f t="shared" si="59"/>
        <v>0.31471381059084536</v>
      </c>
      <c r="AN32" s="22">
        <f t="shared" ref="AN32:BC32" si="60">+AN31/AJ31-1</f>
        <v>0.47346592071785998</v>
      </c>
      <c r="AO32" s="22">
        <f t="shared" si="60"/>
        <v>0.45312379273507064</v>
      </c>
      <c r="AP32" s="22">
        <f t="shared" si="60"/>
        <v>1.1619601125898598</v>
      </c>
      <c r="AQ32" s="22">
        <f t="shared" si="60"/>
        <v>0.77091275818448701</v>
      </c>
      <c r="AR32" s="22">
        <f t="shared" si="60"/>
        <v>1.1199489547325903</v>
      </c>
      <c r="AS32" s="22">
        <f t="shared" si="60"/>
        <v>1.6543067734806169</v>
      </c>
      <c r="AT32" s="22">
        <f t="shared" si="60"/>
        <v>2.1313937690353217</v>
      </c>
      <c r="AU32" s="22">
        <f t="shared" si="60"/>
        <v>1.8477215903484114</v>
      </c>
      <c r="AV32" s="22">
        <f t="shared" si="60"/>
        <v>1.0717177372490729</v>
      </c>
      <c r="AW32" s="22">
        <f t="shared" si="60"/>
        <v>1.5421707407249938</v>
      </c>
      <c r="AX32" s="22">
        <f t="shared" si="60"/>
        <v>0.99824563191117366</v>
      </c>
      <c r="AY32" s="22">
        <f t="shared" si="60"/>
        <v>1.4094488439985131</v>
      </c>
      <c r="AZ32" s="22">
        <f>+AZ31/AV31-1</f>
        <v>2.2712072289590108</v>
      </c>
      <c r="BA32" s="22">
        <f t="shared" si="60"/>
        <v>0.16483525009245437</v>
      </c>
      <c r="BB32" s="22">
        <f t="shared" si="60"/>
        <v>0.11627663036032332</v>
      </c>
      <c r="BC32" s="22">
        <f t="shared" si="60"/>
        <v>-0.10832278501141768</v>
      </c>
      <c r="BD32" s="22">
        <f>+BD31/AZ31-1</f>
        <v>-5.8508010953018053E-2</v>
      </c>
      <c r="BE32" s="22">
        <f>+BE31/BN31-1</f>
        <v>-0.13459080671531298</v>
      </c>
      <c r="BF32" s="22">
        <f>+BF31/BB31-1</f>
        <v>0.16358713057552654</v>
      </c>
      <c r="BG32" s="22">
        <f>+BG31/BC31-1</f>
        <v>0.22849912525212535</v>
      </c>
      <c r="BH32" s="22">
        <f>+BH31/BD31-1</f>
        <v>0.17579516774352921</v>
      </c>
      <c r="BI32" s="22">
        <f>+BI31/BR31-1</f>
        <v>4.7652642471748274E-2</v>
      </c>
      <c r="BJ32" s="141"/>
      <c r="BK32" s="144"/>
      <c r="BL32" s="22">
        <f>BL31/BK31-1</f>
        <v>-0.11689927608028849</v>
      </c>
      <c r="BM32" s="141"/>
      <c r="BN32" s="22">
        <f>+BN31/AW31-1</f>
        <v>0.60868373345195081</v>
      </c>
      <c r="BO32" s="22">
        <f>+BO31/AX31-1</f>
        <v>0.50751815317166726</v>
      </c>
      <c r="BP32" s="22">
        <f>+BP31/AY31-1</f>
        <v>0.18854356827997676</v>
      </c>
      <c r="BQ32" s="22">
        <f>+BQ31/AZ31-1</f>
        <v>0.15126578332781837</v>
      </c>
      <c r="BR32" s="22">
        <f>+BR31/BA31-1</f>
        <v>0.56405315098298225</v>
      </c>
      <c r="BS32" s="22"/>
      <c r="BT32" s="22"/>
      <c r="BU32" s="22">
        <f>+BU31/BS31-1</f>
        <v>-3.1312250996015978E-2</v>
      </c>
      <c r="BV32" s="22">
        <f>+BV31/BT31-1</f>
        <v>5.2116880336161575E-2</v>
      </c>
      <c r="BW32" s="75"/>
      <c r="BX32" s="75"/>
      <c r="BY32" s="22">
        <f>+BY31/BW31-1</f>
        <v>0.78404047809226451</v>
      </c>
      <c r="BZ32" s="75"/>
      <c r="CA32" s="22">
        <f>+CA31/BY31-1</f>
        <v>1.9242132186861531</v>
      </c>
      <c r="CB32" s="75"/>
      <c r="CC32" s="22">
        <f>+CC31/CA31-1</f>
        <v>0.27061366935432973</v>
      </c>
      <c r="CD32" s="22">
        <f>+CD31/CB31-1</f>
        <v>1.1596716831580616</v>
      </c>
      <c r="CE32" s="22">
        <f>+CE31/CC31-1</f>
        <v>1.0593940061431524</v>
      </c>
      <c r="CF32" s="22">
        <f>+CF31/CJ31-1</f>
        <v>-8.5480954015459409E-2</v>
      </c>
      <c r="CG32" s="22">
        <f>+CG31/CE31-1</f>
        <v>0.16607294065215772</v>
      </c>
      <c r="CI32" s="22">
        <f>+CI31/CE31-1</f>
        <v>-0.1222223872836663</v>
      </c>
      <c r="CJ32" s="22">
        <f>+CJ31/CB31-1</f>
        <v>1.7723207769753513</v>
      </c>
      <c r="CK32" s="22">
        <f>+CK31/CI31-1</f>
        <v>0.53853261936514607</v>
      </c>
    </row>
    <row r="33" spans="2:89" s="6" customFormat="1" ht="13.5" customHeight="1">
      <c r="B33" s="6" t="s">
        <v>138</v>
      </c>
      <c r="D33" s="36">
        <v>3811</v>
      </c>
      <c r="E33" s="36">
        <v>3727</v>
      </c>
      <c r="F33" s="36">
        <v>3329</v>
      </c>
      <c r="G33" s="36">
        <v>6677</v>
      </c>
      <c r="H33" s="36">
        <v>6948.7420000000002</v>
      </c>
      <c r="I33" s="36">
        <v>10426.629999999999</v>
      </c>
      <c r="J33" s="36">
        <v>12963.431</v>
      </c>
      <c r="K33" s="36">
        <v>10373.674000000001</v>
      </c>
      <c r="L33" s="36">
        <v>16831.917000000001</v>
      </c>
      <c r="M33" s="120">
        <v>34674.985000000001</v>
      </c>
      <c r="N33" s="120">
        <v>149346</v>
      </c>
      <c r="O33" s="120">
        <v>240746</v>
      </c>
      <c r="P33" s="120">
        <v>222656</v>
      </c>
      <c r="Q33" s="120">
        <v>321467</v>
      </c>
      <c r="R33" s="120">
        <v>87366</v>
      </c>
      <c r="S33" s="36">
        <v>114356</v>
      </c>
      <c r="T33" s="36">
        <v>117608</v>
      </c>
      <c r="U33" s="33">
        <f>BG33+BF33+BH33+BI33</f>
        <v>130556</v>
      </c>
      <c r="V33" s="33"/>
      <c r="W33" s="33"/>
      <c r="X33" s="33"/>
      <c r="Y33" s="36">
        <v>2604.5909999999999</v>
      </c>
      <c r="Z33" s="36">
        <v>2711.7579999999998</v>
      </c>
      <c r="AA33" s="36">
        <v>2842.2240000000002</v>
      </c>
      <c r="AB33" s="33">
        <f>I33-AA33-Z33-Y33</f>
        <v>2268.0569999999993</v>
      </c>
      <c r="AC33" s="36">
        <v>2132.4059999999999</v>
      </c>
      <c r="AD33" s="36">
        <v>2861.4760000000001</v>
      </c>
      <c r="AE33" s="36">
        <v>3439.0729999999999</v>
      </c>
      <c r="AF33" s="33">
        <f>J33-AE33-AD33-AC33</f>
        <v>4530.4759999999997</v>
      </c>
      <c r="AG33" s="36">
        <v>1944.846</v>
      </c>
      <c r="AH33" s="36">
        <v>3450.31</v>
      </c>
      <c r="AI33" s="36">
        <v>2893.6819999999998</v>
      </c>
      <c r="AJ33" s="33">
        <f>K33-AI33-AH33-AG33</f>
        <v>2084.8360000000011</v>
      </c>
      <c r="AK33" s="36">
        <v>1060.5239999999999</v>
      </c>
      <c r="AL33" s="36">
        <v>3532.6619999999998</v>
      </c>
      <c r="AM33" s="36">
        <v>6419.9960000000001</v>
      </c>
      <c r="AN33" s="33">
        <f>L33-AM33-AL33-AK33</f>
        <v>5818.7350000000024</v>
      </c>
      <c r="AO33" s="36">
        <v>5173.7430000000004</v>
      </c>
      <c r="AP33" s="36">
        <v>8181.4219999999996</v>
      </c>
      <c r="AQ33" s="36">
        <v>11021.514999999999</v>
      </c>
      <c r="AR33" s="33">
        <f>M33-AQ33-AP33-AO33</f>
        <v>10298.305000000002</v>
      </c>
      <c r="AS33" s="36">
        <v>19335.686000000002</v>
      </c>
      <c r="AT33" s="36">
        <v>34279.745999999999</v>
      </c>
      <c r="AU33" s="36">
        <v>43946.036999999997</v>
      </c>
      <c r="AV33" s="33">
        <f>N33-AU33-AT33-AS33</f>
        <v>51784.531000000003</v>
      </c>
      <c r="AW33" s="36">
        <v>52455</v>
      </c>
      <c r="AX33" s="36">
        <v>59902</v>
      </c>
      <c r="AY33" s="36">
        <v>110545</v>
      </c>
      <c r="AZ33" s="33">
        <f>Q33-AY33-AX33-AW33</f>
        <v>98565</v>
      </c>
      <c r="BA33" s="36">
        <v>26574</v>
      </c>
      <c r="BB33" s="36">
        <v>21477</v>
      </c>
      <c r="BC33" s="36">
        <v>12188</v>
      </c>
      <c r="BD33" s="33">
        <f>R33-BC33-BB33-BA33</f>
        <v>27127</v>
      </c>
      <c r="BE33" s="36">
        <v>17485</v>
      </c>
      <c r="BF33" s="36">
        <v>28190</v>
      </c>
      <c r="BG33" s="36">
        <v>30879</v>
      </c>
      <c r="BH33" s="33">
        <f>T33-BG33-BF33-BE33</f>
        <v>41054</v>
      </c>
      <c r="BI33" s="36">
        <v>30433</v>
      </c>
      <c r="BJ33" s="36"/>
      <c r="BK33" s="36">
        <v>110599</v>
      </c>
      <c r="BL33" s="36">
        <v>81111</v>
      </c>
      <c r="BM33" s="36"/>
      <c r="BN33" s="36">
        <v>36698</v>
      </c>
      <c r="BO33" s="36">
        <v>50099</v>
      </c>
      <c r="BP33" s="36">
        <v>16245</v>
      </c>
      <c r="BQ33" s="33">
        <f t="shared" si="56"/>
        <v>11314</v>
      </c>
      <c r="BR33" s="36">
        <v>22883</v>
      </c>
      <c r="BS33" s="36">
        <v>2490</v>
      </c>
      <c r="BT33" s="33">
        <f>G33-BS33</f>
        <v>4187</v>
      </c>
      <c r="BU33" s="36">
        <v>2755</v>
      </c>
      <c r="BV33" s="33">
        <f>H33-BU33</f>
        <v>4193.7420000000002</v>
      </c>
      <c r="BW33" s="36">
        <v>4593.1859999999997</v>
      </c>
      <c r="BX33" s="33">
        <f>L33-BW33</f>
        <v>12238.731000000002</v>
      </c>
      <c r="BY33" s="36">
        <v>13355.165000000001</v>
      </c>
      <c r="BZ33" s="33">
        <f>M33-BY33</f>
        <v>21319.82</v>
      </c>
      <c r="CA33" s="36">
        <v>53615.432000000001</v>
      </c>
      <c r="CB33" s="33">
        <f>N33-CA33</f>
        <v>95730.567999999999</v>
      </c>
      <c r="CC33" s="36">
        <v>75796</v>
      </c>
      <c r="CD33" s="33">
        <f>P33-CC33</f>
        <v>146860</v>
      </c>
      <c r="CE33" s="36">
        <v>50284</v>
      </c>
      <c r="CF33" s="33">
        <f>R33-CE33</f>
        <v>37082</v>
      </c>
      <c r="CG33" s="36">
        <v>46726</v>
      </c>
      <c r="CH33" s="36"/>
      <c r="CI33" s="36">
        <v>116767</v>
      </c>
      <c r="CJ33" s="33">
        <f>Q33-CI33</f>
        <v>204700</v>
      </c>
      <c r="CK33" s="36">
        <v>87769</v>
      </c>
    </row>
    <row r="34" spans="2:89" s="18" customFormat="1" ht="13.5" customHeight="1">
      <c r="B34" s="21" t="s">
        <v>139</v>
      </c>
      <c r="D34" s="22">
        <f t="shared" ref="D34:W34" si="61">+D33/D31</f>
        <v>5.8036122194133948E-2</v>
      </c>
      <c r="E34" s="22">
        <f t="shared" si="61"/>
        <v>5.6314405729654592E-2</v>
      </c>
      <c r="F34" s="22">
        <f t="shared" si="61"/>
        <v>4.8512138964180586E-2</v>
      </c>
      <c r="G34" s="22">
        <f t="shared" si="61"/>
        <v>9.6084385028277042E-2</v>
      </c>
      <c r="H34" s="22">
        <f t="shared" si="61"/>
        <v>9.865853626158122E-2</v>
      </c>
      <c r="I34" s="22">
        <f t="shared" si="61"/>
        <v>0.10546144285577752</v>
      </c>
      <c r="J34" s="22">
        <f t="shared" si="61"/>
        <v>9.0496224220672827E-2</v>
      </c>
      <c r="K34" s="22">
        <f t="shared" si="61"/>
        <v>6.7573891496539515E-2</v>
      </c>
      <c r="L34" s="22">
        <f t="shared" ref="L34:T34" si="62">+L33/L31</f>
        <v>9.1588673890236574E-2</v>
      </c>
      <c r="M34" s="22">
        <f t="shared" si="62"/>
        <v>0.10001763772503899</v>
      </c>
      <c r="N34" s="22">
        <f t="shared" si="62"/>
        <v>0.16559831547573506</v>
      </c>
      <c r="O34" s="22">
        <f t="shared" si="62"/>
        <v>0.1402996138564124</v>
      </c>
      <c r="P34" s="22">
        <f t="shared" si="62"/>
        <v>0.13875699764496491</v>
      </c>
      <c r="Q34" s="22">
        <f t="shared" si="62"/>
        <v>0.13875636499562105</v>
      </c>
      <c r="R34" s="22">
        <f t="shared" si="62"/>
        <v>3.7691762439131513E-2</v>
      </c>
      <c r="S34" s="22">
        <f t="shared" si="62"/>
        <v>3.7692055419411299E-2</v>
      </c>
      <c r="T34" s="22">
        <f t="shared" si="62"/>
        <v>4.2653397623395393E-2</v>
      </c>
      <c r="U34" s="208">
        <f>+U33/U31</f>
        <v>4.4151236143980185E-2</v>
      </c>
      <c r="V34" s="22" t="e">
        <f t="shared" si="61"/>
        <v>#DIV/0!</v>
      </c>
      <c r="W34" s="22" t="e">
        <f t="shared" si="61"/>
        <v>#DIV/0!</v>
      </c>
      <c r="Y34" s="22">
        <f t="shared" ref="Y34:AI34" si="63">+Y33/Y31</f>
        <v>0.11693355573203347</v>
      </c>
      <c r="Z34" s="22">
        <f t="shared" si="63"/>
        <v>0.11759939141220591</v>
      </c>
      <c r="AA34" s="22">
        <f t="shared" si="63"/>
        <v>0.10984465626414376</v>
      </c>
      <c r="AB34" s="22">
        <f t="shared" si="63"/>
        <v>8.2002433183887544E-2</v>
      </c>
      <c r="AC34" s="22">
        <f t="shared" si="63"/>
        <v>8.6725698052667041E-2</v>
      </c>
      <c r="AD34" s="22">
        <f t="shared" si="63"/>
        <v>8.6001568268205722E-2</v>
      </c>
      <c r="AE34" s="22">
        <f t="shared" si="63"/>
        <v>7.5495459996103464E-2</v>
      </c>
      <c r="AF34" s="22">
        <f t="shared" si="63"/>
        <v>0.11373210834212429</v>
      </c>
      <c r="AG34" s="22">
        <f t="shared" si="63"/>
        <v>5.6764430441896906E-2</v>
      </c>
      <c r="AH34" s="22">
        <f t="shared" si="63"/>
        <v>8.521849132414154E-2</v>
      </c>
      <c r="AI34" s="22">
        <f t="shared" si="63"/>
        <v>7.3509926086461591E-2</v>
      </c>
      <c r="AJ34" s="22">
        <f t="shared" ref="AJ34:AQ34" si="64">+AJ33/AJ31</f>
        <v>5.2911948176017201E-2</v>
      </c>
      <c r="AK34" s="22">
        <f t="shared" si="64"/>
        <v>2.6892464602722842E-2</v>
      </c>
      <c r="AL34" s="22">
        <f t="shared" si="64"/>
        <v>0.10230408645033001</v>
      </c>
      <c r="AM34" s="22">
        <f t="shared" si="64"/>
        <v>0.12405055615937384</v>
      </c>
      <c r="AN34" s="22">
        <f t="shared" si="64"/>
        <v>0.10022367829624319</v>
      </c>
      <c r="AO34" s="22">
        <f t="shared" si="64"/>
        <v>9.0284322315405674E-2</v>
      </c>
      <c r="AP34" s="22">
        <f t="shared" si="64"/>
        <v>0.10959027380429529</v>
      </c>
      <c r="AQ34" s="22">
        <f t="shared" si="64"/>
        <v>0.12025636923083906</v>
      </c>
      <c r="AR34" s="22">
        <f t="shared" ref="AR34:AW34" si="65">+AR33/AR31</f>
        <v>8.3672376659231287E-2</v>
      </c>
      <c r="AS34" s="22">
        <f t="shared" si="65"/>
        <v>0.12712060764163863</v>
      </c>
      <c r="AT34" s="22">
        <f t="shared" si="65"/>
        <v>0.14663685245308544</v>
      </c>
      <c r="AU34" s="22">
        <f t="shared" si="65"/>
        <v>0.16837940890378958</v>
      </c>
      <c r="AV34" s="22">
        <f t="shared" si="65"/>
        <v>0.20308872730563909</v>
      </c>
      <c r="AW34" s="22">
        <f t="shared" si="65"/>
        <v>0.13565585747277442</v>
      </c>
      <c r="AX34" s="22">
        <f t="shared" ref="AX34:BC34" si="66">+AX33/AX31</f>
        <v>0.12823246335114399</v>
      </c>
      <c r="AY34" s="22">
        <f t="shared" si="66"/>
        <v>0.17578857982482365</v>
      </c>
      <c r="AZ34" s="22">
        <f t="shared" si="66"/>
        <v>0.11816815088693551</v>
      </c>
      <c r="BA34" s="22">
        <f t="shared" si="66"/>
        <v>5.8998923215257043E-2</v>
      </c>
      <c r="BB34" s="22">
        <f t="shared" si="66"/>
        <v>4.1186837548158703E-2</v>
      </c>
      <c r="BC34" s="22">
        <f t="shared" si="66"/>
        <v>2.1735835058753452E-2</v>
      </c>
      <c r="BD34" s="22">
        <f t="shared" ref="BD34:BI34" si="67">+BD33/BD31</f>
        <v>3.4543222641874635E-2</v>
      </c>
      <c r="BE34" s="22">
        <f t="shared" si="67"/>
        <v>3.2480680636052903E-2</v>
      </c>
      <c r="BF34" s="22">
        <f t="shared" si="67"/>
        <v>4.6460191576185486E-2</v>
      </c>
      <c r="BG34" s="22">
        <f t="shared" si="67"/>
        <v>4.4826234648549776E-2</v>
      </c>
      <c r="BH34" s="22">
        <f t="shared" si="67"/>
        <v>4.446157994886063E-2</v>
      </c>
      <c r="BI34" s="22">
        <f t="shared" si="67"/>
        <v>4.123472480600724E-2</v>
      </c>
      <c r="BJ34" s="141"/>
      <c r="BK34" s="144"/>
      <c r="BL34" s="22">
        <f>BL33/BK33-1</f>
        <v>-0.26662085552310599</v>
      </c>
      <c r="BM34" s="141"/>
      <c r="BN34" s="22">
        <f>+BN33/BN31</f>
        <v>5.899611118881231E-2</v>
      </c>
      <c r="BO34" s="22">
        <f>+BO33/BO31</f>
        <v>7.1141524759448807E-2</v>
      </c>
      <c r="BP34" s="22">
        <f>+BP33/BP31</f>
        <v>2.1734825760150279E-2</v>
      </c>
      <c r="BQ34" s="22">
        <f>+BQ33/BQ31</f>
        <v>1.1781980255758736E-2</v>
      </c>
      <c r="BR34" s="22">
        <f>+BR33/BR31</f>
        <v>3.2482437226125059E-2</v>
      </c>
      <c r="BS34" s="22">
        <f t="shared" ref="BS34:BX34" si="68">+BS33/BS31</f>
        <v>7.7502490039840638E-2</v>
      </c>
      <c r="BT34" s="22">
        <f t="shared" si="68"/>
        <v>0.11206273586168135</v>
      </c>
      <c r="BU34" s="22">
        <f t="shared" si="68"/>
        <v>8.8522588522588527E-2</v>
      </c>
      <c r="BV34" s="22">
        <f t="shared" si="68"/>
        <v>0.10668318687320248</v>
      </c>
      <c r="BW34" s="22">
        <f t="shared" si="68"/>
        <v>6.2098002524837957E-2</v>
      </c>
      <c r="BX34" s="22">
        <f t="shared" si="68"/>
        <v>0.11145314463367267</v>
      </c>
      <c r="BY34" s="22">
        <f t="shared" ref="BY34:CD34" si="69">+BY33/BY31</f>
        <v>0.10120644089383848</v>
      </c>
      <c r="BZ34" s="22">
        <f t="shared" si="69"/>
        <v>9.928707043653294E-2</v>
      </c>
      <c r="CA34" s="22">
        <f t="shared" si="69"/>
        <v>0.13894395859600317</v>
      </c>
      <c r="CB34" s="22">
        <f t="shared" si="69"/>
        <v>0.1855319464997261</v>
      </c>
      <c r="CC34" s="22">
        <f t="shared" si="69"/>
        <v>0.15459043609856782</v>
      </c>
      <c r="CD34" s="22">
        <f t="shared" si="69"/>
        <v>0.1317904239710323</v>
      </c>
      <c r="CE34" s="22">
        <f>+CE33/CE31</f>
        <v>4.9799697937557258E-2</v>
      </c>
      <c r="CF34" s="22">
        <f>+CF33/CF31</f>
        <v>2.8346208707962655E-2</v>
      </c>
      <c r="CG34" s="22">
        <f>+CG33/CG31</f>
        <v>3.9685310082358524E-2</v>
      </c>
      <c r="CI34" s="22">
        <f>+CI33/CI31</f>
        <v>0.13174450589745845</v>
      </c>
      <c r="CJ34" s="22">
        <f>+CJ33/CJ31</f>
        <v>0.14310092075340852</v>
      </c>
      <c r="CK34" s="22">
        <f>+CK33/CK31</f>
        <v>6.4364564106061575E-2</v>
      </c>
    </row>
    <row r="35" spans="2:89" s="6" customFormat="1" ht="13.5" customHeight="1">
      <c r="B35" s="6" t="s">
        <v>140</v>
      </c>
      <c r="D35" s="36"/>
      <c r="E35" s="36"/>
      <c r="F35" s="36"/>
      <c r="G35" s="36"/>
      <c r="H35" s="36">
        <v>1428.3109999999999</v>
      </c>
      <c r="I35" s="36">
        <v>1579.49</v>
      </c>
      <c r="J35" s="36">
        <v>2113.2959999999998</v>
      </c>
      <c r="K35" s="36">
        <v>2765.2550000000001</v>
      </c>
      <c r="L35" s="36">
        <v>4063.5590000000002</v>
      </c>
      <c r="M35" s="36">
        <v>5285.5129999999999</v>
      </c>
      <c r="N35" s="36">
        <v>8260</v>
      </c>
      <c r="O35" s="36">
        <v>25457</v>
      </c>
      <c r="P35" s="36">
        <v>30612</v>
      </c>
      <c r="Q35" s="36">
        <v>44197</v>
      </c>
      <c r="R35" s="36">
        <v>58268</v>
      </c>
      <c r="S35" s="36">
        <v>76268</v>
      </c>
      <c r="T35" s="36">
        <v>74392</v>
      </c>
      <c r="U35" s="33">
        <f>BG35+BF35+BH35+BI35</f>
        <v>79278</v>
      </c>
      <c r="V35" s="33"/>
      <c r="W35" s="33"/>
      <c r="X35" s="33"/>
      <c r="Y35" s="36">
        <v>378.93400000000003</v>
      </c>
      <c r="Z35" s="36">
        <f>769.774-Y35</f>
        <v>390.84</v>
      </c>
      <c r="AA35" s="36">
        <f>1164.154-Z35-Y35</f>
        <v>394.38000000000005</v>
      </c>
      <c r="AB35" s="33">
        <f>I35-AA35-Z35-Y35</f>
        <v>415.33599999999996</v>
      </c>
      <c r="AC35" s="36">
        <v>446.43099999999998</v>
      </c>
      <c r="AD35" s="36">
        <f>962.39-AC35</f>
        <v>515.95900000000006</v>
      </c>
      <c r="AE35" s="36">
        <f>1540.756-AD35-AC35</f>
        <v>578.36599999999999</v>
      </c>
      <c r="AF35" s="33">
        <f>J35-AE35-AD35-AC35</f>
        <v>572.53999999999974</v>
      </c>
      <c r="AG35" s="36">
        <v>643.71500000000003</v>
      </c>
      <c r="AH35" s="36">
        <f>1331.263-AG35</f>
        <v>687.54799999999989</v>
      </c>
      <c r="AI35" s="36">
        <f>2049.401-AH35-AG35</f>
        <v>718.13800000000003</v>
      </c>
      <c r="AJ35" s="33">
        <f>K35-AI35-AH35-AG35</f>
        <v>715.85400000000038</v>
      </c>
      <c r="AK35" s="36">
        <v>895.99400000000003</v>
      </c>
      <c r="AL35" s="36">
        <v>1016.824</v>
      </c>
      <c r="AM35" s="36">
        <v>1068.3610000000001</v>
      </c>
      <c r="AN35" s="33">
        <f>L35-AM35-AL35-AK35</f>
        <v>1082.3800000000001</v>
      </c>
      <c r="AO35" s="36">
        <v>1129.6500000000001</v>
      </c>
      <c r="AP35" s="36">
        <v>1210.8989999999999</v>
      </c>
      <c r="AQ35" s="36">
        <v>1349.258</v>
      </c>
      <c r="AR35" s="33">
        <f>M35-AQ35-AP35-AO35</f>
        <v>1595.7060000000001</v>
      </c>
      <c r="AS35" s="36">
        <v>1780.528</v>
      </c>
      <c r="AT35" s="36">
        <v>1940.2260000000001</v>
      </c>
      <c r="AU35" s="36">
        <v>2184.1990000000001</v>
      </c>
      <c r="AV35" s="33">
        <f>N35-AU35-AT35-AS35</f>
        <v>2355.0469999999987</v>
      </c>
      <c r="AW35" s="36">
        <v>13446</v>
      </c>
      <c r="AX35" s="36">
        <v>12913</v>
      </c>
      <c r="AY35" s="36">
        <v>3346</v>
      </c>
      <c r="AZ35" s="33">
        <f>Q35-AY35-AX35-AW35</f>
        <v>14492</v>
      </c>
      <c r="BA35" s="36">
        <v>13106</v>
      </c>
      <c r="BB35" s="36">
        <v>18966</v>
      </c>
      <c r="BC35" s="36">
        <v>18387</v>
      </c>
      <c r="BD35" s="33">
        <f>R35-BC35-BB35-BA35</f>
        <v>7809</v>
      </c>
      <c r="BE35" s="36">
        <v>15193</v>
      </c>
      <c r="BF35" s="36">
        <v>16665</v>
      </c>
      <c r="BG35" s="36">
        <v>18745</v>
      </c>
      <c r="BH35" s="33">
        <f>T35-BG35-BF35-BE35</f>
        <v>23789</v>
      </c>
      <c r="BI35" s="36">
        <v>20079</v>
      </c>
      <c r="BJ35" s="36"/>
      <c r="BK35" s="36">
        <v>49606</v>
      </c>
      <c r="BL35" s="36">
        <v>53974</v>
      </c>
      <c r="BM35" s="36"/>
      <c r="BN35" s="36">
        <v>11858</v>
      </c>
      <c r="BO35" s="36">
        <v>17414</v>
      </c>
      <c r="BP35" s="36">
        <v>17370</v>
      </c>
      <c r="BQ35" s="33">
        <f t="shared" si="56"/>
        <v>29626</v>
      </c>
      <c r="BR35" s="36">
        <v>19882</v>
      </c>
      <c r="BS35" s="36">
        <v>568.40099999999995</v>
      </c>
      <c r="BT35" s="31"/>
      <c r="BU35" s="36">
        <v>697.34699999999998</v>
      </c>
      <c r="BV35" s="33">
        <f>H35-BU35</f>
        <v>730.96399999999994</v>
      </c>
      <c r="BW35" s="36">
        <v>1912.818</v>
      </c>
      <c r="BX35" s="33">
        <f>L35-BW35</f>
        <v>2150.741</v>
      </c>
      <c r="BY35" s="36">
        <v>2340.549</v>
      </c>
      <c r="BZ35" s="33">
        <f>M35-BY35</f>
        <v>2944.9639999999999</v>
      </c>
      <c r="CA35" s="36">
        <v>3720.7539999999999</v>
      </c>
      <c r="CB35" s="33">
        <f>N35-CA35</f>
        <v>4539.2460000000001</v>
      </c>
      <c r="CC35" s="36">
        <v>5118</v>
      </c>
      <c r="CD35" s="33">
        <f>P35-CC35</f>
        <v>25494</v>
      </c>
      <c r="CE35" s="36">
        <v>33174</v>
      </c>
      <c r="CF35" s="33">
        <f>R35-CE35</f>
        <v>25094</v>
      </c>
      <c r="CG35" s="36">
        <v>32770</v>
      </c>
      <c r="CH35" s="36"/>
      <c r="CI35" s="36">
        <v>26963</v>
      </c>
      <c r="CJ35" s="33">
        <f>Q35-CI35</f>
        <v>17234</v>
      </c>
      <c r="CK35" s="36">
        <v>29985</v>
      </c>
    </row>
    <row r="36" spans="2:89" s="6" customFormat="1" ht="13.5" customHeight="1">
      <c r="B36" s="6" t="s">
        <v>141</v>
      </c>
      <c r="D36" s="36"/>
      <c r="E36" s="36"/>
      <c r="F36" s="36"/>
      <c r="G36" s="36"/>
      <c r="H36" s="36">
        <f>-1807.742+1864.258-2235.378</f>
        <v>-2178.8620000000001</v>
      </c>
      <c r="I36" s="36">
        <f>-2508.489+2239.369-2691.404</f>
        <v>-2960.5239999999999</v>
      </c>
      <c r="J36" s="36">
        <f>7275.918-5637.086-3175.787</f>
        <v>-1536.9550000000004</v>
      </c>
      <c r="K36" s="36">
        <f>4086.379-3626.01-2902.947</f>
        <v>-2442.5780000000004</v>
      </c>
      <c r="L36" s="36">
        <f>12342.768-4878.475-2966.673</f>
        <v>4497.62</v>
      </c>
      <c r="M36" s="36">
        <f>30422.344-12314.28-5879.657</f>
        <v>12228.406999999999</v>
      </c>
      <c r="N36" s="36">
        <f>36082-15045-12416</f>
        <v>8621</v>
      </c>
      <c r="O36" s="36">
        <f>73325-30260-16157</f>
        <v>26908</v>
      </c>
      <c r="P36" s="36">
        <f>64942-30720-38273</f>
        <v>-4051</v>
      </c>
      <c r="Q36" s="36">
        <f>93764-55258-44353</f>
        <v>-5847</v>
      </c>
      <c r="R36" s="36">
        <f>69329-57949-20615</f>
        <v>-9235</v>
      </c>
      <c r="S36" s="36">
        <f>90746-75851-26983</f>
        <v>-12088</v>
      </c>
      <c r="T36" s="36">
        <f>89403-52600-16441</f>
        <v>20362</v>
      </c>
      <c r="U36" s="33">
        <f>BG36+BF36+BH36+BI36</f>
        <v>24788</v>
      </c>
      <c r="V36" s="33"/>
      <c r="W36" s="33"/>
      <c r="X36" s="33"/>
      <c r="Y36" s="36">
        <f>-747.773+701.997-615.381</f>
        <v>-661.15700000000004</v>
      </c>
      <c r="Z36" s="36">
        <f>-327.401+146.521-685.8</f>
        <v>-866.68</v>
      </c>
      <c r="AA36" s="36">
        <f>-413.466+326.706-685.424</f>
        <v>-772.18399999999997</v>
      </c>
      <c r="AB36" s="33">
        <f>I36-AA36-Z36-Y36</f>
        <v>-660.50300000000027</v>
      </c>
      <c r="AC36" s="36">
        <f>-616.567+570.02-795.066</f>
        <v>-841.61300000000006</v>
      </c>
      <c r="AD36" s="36">
        <f>-1182.042+1859.496-920.138</f>
        <v>-242.68399999999986</v>
      </c>
      <c r="AE36" s="36">
        <f>-2733.757+4771.926-712.894</f>
        <v>1325.2750000000003</v>
      </c>
      <c r="AF36" s="33">
        <f>J36-AE36-AD36-AC36</f>
        <v>-1777.9330000000007</v>
      </c>
      <c r="AG36" s="36">
        <f>-924.618+1109.753-779.731</f>
        <v>-594.59600000000012</v>
      </c>
      <c r="AH36" s="36">
        <f>-1030.045+905.51-794.367</f>
        <v>-918.90200000000004</v>
      </c>
      <c r="AI36" s="36">
        <f>-952.255+985.474-733.016</f>
        <v>-699.79699999999991</v>
      </c>
      <c r="AJ36" s="33">
        <f>K36-AI36-AH36-AG36</f>
        <v>-229.28300000000024</v>
      </c>
      <c r="AK36" s="36">
        <f>-1194.826+2974.263-441.042</f>
        <v>1338.395</v>
      </c>
      <c r="AL36" s="36">
        <f>-968.469+2677.523-231.381</f>
        <v>1477.673</v>
      </c>
      <c r="AM36" s="36">
        <f>-1366.953+3853.362-958.54</f>
        <v>1527.8690000000001</v>
      </c>
      <c r="AN36" s="33">
        <f>L36-AM36-AL36-AK36</f>
        <v>153.68299999999977</v>
      </c>
      <c r="AO36" s="36">
        <f>-1907.956+4992.94-985.257</f>
        <v>2099.7269999999994</v>
      </c>
      <c r="AP36" s="36">
        <f>-1521.476+2347.805-953.147</f>
        <v>-126.81800000000032</v>
      </c>
      <c r="AQ36" s="36">
        <f>-1700.121+2283.821-1364.086</f>
        <v>-780.38600000000019</v>
      </c>
      <c r="AR36" s="33">
        <f>M36-AQ36-AP36-AO36</f>
        <v>11035.884000000002</v>
      </c>
      <c r="AS36" s="36">
        <f>-3669.155+6850.833-1942.431</f>
        <v>1239.2469999999994</v>
      </c>
      <c r="AT36" s="36">
        <f>-4811.662+11524.462-2584.094</f>
        <v>4128.7059999999992</v>
      </c>
      <c r="AU36" s="36">
        <f>-3683.503+9843.317-2934.035</f>
        <v>3225.7789999999986</v>
      </c>
      <c r="AV36" s="33">
        <f>N36-AU36-AT36-AS36</f>
        <v>27.268000000002758</v>
      </c>
      <c r="AW36" s="36">
        <f>-4959+6962-5392</f>
        <v>-3389</v>
      </c>
      <c r="AX36" s="36">
        <f>-20349+40453-8754</f>
        <v>11350</v>
      </c>
      <c r="AY36" s="36">
        <f>-11293+21324-11406</f>
        <v>-1375</v>
      </c>
      <c r="AZ36" s="33">
        <f>Q36-AY36-AX36-AW36</f>
        <v>-12433</v>
      </c>
      <c r="BA36" s="36">
        <f>-8355+15579-5381</f>
        <v>1843</v>
      </c>
      <c r="BB36" s="36">
        <f>-9285+7282-3668</f>
        <v>-5671</v>
      </c>
      <c r="BC36" s="36">
        <f>-8966+14936-4585</f>
        <v>1385</v>
      </c>
      <c r="BD36" s="33">
        <f>R36-BC36-BB36-BA36</f>
        <v>-6792</v>
      </c>
      <c r="BE36" s="36">
        <f>21671-12959-2394</f>
        <v>6318</v>
      </c>
      <c r="BF36" s="36">
        <f>18994-11708-3486</f>
        <v>3800</v>
      </c>
      <c r="BG36" s="36">
        <f>20765-9708-4239</f>
        <v>6818</v>
      </c>
      <c r="BH36" s="33">
        <f>T36-BG36-BF36-BE36</f>
        <v>3426</v>
      </c>
      <c r="BI36" s="36">
        <f>28954-15720-2490</f>
        <v>10744</v>
      </c>
      <c r="BJ36" s="36"/>
      <c r="BK36" s="36">
        <f>-59934+55002-19905</f>
        <v>-24837</v>
      </c>
      <c r="BL36" s="36">
        <f>-37062+65881-10715</f>
        <v>18104</v>
      </c>
      <c r="BM36" s="36"/>
      <c r="BN36" s="36">
        <f>21516-11539-7431</f>
        <v>2546</v>
      </c>
      <c r="BO36" s="36">
        <f>-9835+32401+4954</f>
        <v>27520</v>
      </c>
      <c r="BP36" s="36">
        <f>19909-11952-6111</f>
        <v>1846</v>
      </c>
      <c r="BQ36" s="33">
        <f t="shared" si="56"/>
        <v>-44000</v>
      </c>
      <c r="BR36" s="36">
        <f>28360-16959-3133</f>
        <v>8268</v>
      </c>
      <c r="BS36" s="36">
        <f>-988.769+1152.559-797.775</f>
        <v>-633.98500000000001</v>
      </c>
      <c r="BT36" s="31"/>
      <c r="BU36" s="36">
        <f>-516.137+458.802-1143.482</f>
        <v>-1200.817</v>
      </c>
      <c r="BV36" s="33">
        <f>H36-BU36</f>
        <v>-978.04500000000007</v>
      </c>
      <c r="BW36" s="36">
        <f>-2163.295+5651.786-672.423</f>
        <v>2816.0680000000002</v>
      </c>
      <c r="BX36" s="33">
        <f>L36-BW36</f>
        <v>1681.5519999999997</v>
      </c>
      <c r="BY36" s="36">
        <f>-3429.432+7340.745-1938.404</f>
        <v>1972.9090000000001</v>
      </c>
      <c r="BZ36" s="33">
        <f>M36-BY36</f>
        <v>10255.498</v>
      </c>
      <c r="CA36" s="36">
        <f>-8480.817+18375.295-4526.525</f>
        <v>5367.9529999999995</v>
      </c>
      <c r="CB36" s="33">
        <f>N36-CA36</f>
        <v>3253.0470000000005</v>
      </c>
      <c r="CC36" s="36">
        <f>-14823+27193-9641</f>
        <v>2729</v>
      </c>
      <c r="CD36" s="33">
        <f>P36-CC36</f>
        <v>-6780</v>
      </c>
      <c r="CE36" s="36">
        <f>-18342+24170-9501</f>
        <v>-3673</v>
      </c>
      <c r="CF36" s="33">
        <f>R36-CE36</f>
        <v>-5562</v>
      </c>
      <c r="CG36" s="36">
        <f>25445-41967+6024</f>
        <v>-10498</v>
      </c>
      <c r="CI36" s="36">
        <f>-25725+48000-14599</f>
        <v>7676</v>
      </c>
      <c r="CJ36" s="33">
        <f>Q36-CI36</f>
        <v>-13523</v>
      </c>
      <c r="CK36" s="36">
        <f>44633-32643+12831</f>
        <v>24821</v>
      </c>
    </row>
    <row r="37" spans="2:89" s="6" customFormat="1" ht="13.5" customHeight="1">
      <c r="B37" s="6" t="s">
        <v>142</v>
      </c>
      <c r="D37" s="36">
        <v>4410</v>
      </c>
      <c r="E37" s="36">
        <v>4962</v>
      </c>
      <c r="F37" s="36">
        <v>4339</v>
      </c>
      <c r="G37" s="36">
        <v>8236</v>
      </c>
      <c r="H37" s="33">
        <f t="shared" ref="H37:M37" si="70">+H33+H35+H36</f>
        <v>6198.1909999999998</v>
      </c>
      <c r="I37" s="33">
        <f t="shared" si="70"/>
        <v>9045.5959999999995</v>
      </c>
      <c r="J37" s="33">
        <f t="shared" si="70"/>
        <v>13539.772000000001</v>
      </c>
      <c r="K37" s="33">
        <f t="shared" si="70"/>
        <v>10696.350999999999</v>
      </c>
      <c r="L37" s="33">
        <f t="shared" si="70"/>
        <v>25393.096000000001</v>
      </c>
      <c r="M37" s="33">
        <f t="shared" si="70"/>
        <v>52188.904999999999</v>
      </c>
      <c r="N37" s="33">
        <f t="shared" ref="N37:T37" si="71">+N33+N35+N36</f>
        <v>166227</v>
      </c>
      <c r="O37" s="33">
        <f t="shared" si="71"/>
        <v>293111</v>
      </c>
      <c r="P37" s="33">
        <f t="shared" si="71"/>
        <v>249217</v>
      </c>
      <c r="Q37" s="33">
        <f t="shared" si="71"/>
        <v>359817</v>
      </c>
      <c r="R37" s="33">
        <f t="shared" si="71"/>
        <v>136399</v>
      </c>
      <c r="S37" s="33">
        <f t="shared" si="71"/>
        <v>178536</v>
      </c>
      <c r="T37" s="33">
        <f t="shared" si="71"/>
        <v>212362</v>
      </c>
      <c r="U37" s="33">
        <f>+U33+U35+U36</f>
        <v>234622</v>
      </c>
      <c r="V37" s="33"/>
      <c r="W37" s="33"/>
      <c r="X37" s="33"/>
      <c r="Y37" s="33">
        <f t="shared" ref="Y37:AJ37" si="72">+Y33+Y35+Y36</f>
        <v>2322.3679999999999</v>
      </c>
      <c r="Z37" s="33">
        <f t="shared" si="72"/>
        <v>2235.9180000000001</v>
      </c>
      <c r="AA37" s="33">
        <f t="shared" si="72"/>
        <v>2464.42</v>
      </c>
      <c r="AB37" s="33">
        <f t="shared" si="72"/>
        <v>2022.889999999999</v>
      </c>
      <c r="AC37" s="33">
        <f t="shared" si="72"/>
        <v>1737.2239999999999</v>
      </c>
      <c r="AD37" s="33">
        <f t="shared" si="72"/>
        <v>3134.7510000000007</v>
      </c>
      <c r="AE37" s="33">
        <f t="shared" si="72"/>
        <v>5342.7139999999999</v>
      </c>
      <c r="AF37" s="33">
        <f t="shared" si="72"/>
        <v>3325.0829999999987</v>
      </c>
      <c r="AG37" s="33">
        <f t="shared" si="72"/>
        <v>1993.9650000000001</v>
      </c>
      <c r="AH37" s="33">
        <f t="shared" si="72"/>
        <v>3218.9560000000001</v>
      </c>
      <c r="AI37" s="33">
        <f t="shared" si="72"/>
        <v>2912.0229999999997</v>
      </c>
      <c r="AJ37" s="33">
        <f t="shared" si="72"/>
        <v>2571.4070000000011</v>
      </c>
      <c r="AK37" s="33">
        <f t="shared" ref="AK37:AQ37" si="73">+AK33+AK35+AK36</f>
        <v>3294.913</v>
      </c>
      <c r="AL37" s="33">
        <f t="shared" si="73"/>
        <v>6027.1589999999997</v>
      </c>
      <c r="AM37" s="33">
        <f t="shared" si="73"/>
        <v>9016.2260000000006</v>
      </c>
      <c r="AN37" s="33">
        <f t="shared" si="73"/>
        <v>7054.7980000000025</v>
      </c>
      <c r="AO37" s="33">
        <f t="shared" si="73"/>
        <v>8403.119999999999</v>
      </c>
      <c r="AP37" s="33">
        <f t="shared" si="73"/>
        <v>9265.5029999999988</v>
      </c>
      <c r="AQ37" s="33">
        <f t="shared" si="73"/>
        <v>11590.386999999999</v>
      </c>
      <c r="AR37" s="33">
        <f t="shared" ref="AR37:BA37" si="74">+AR33+AR35+AR36</f>
        <v>22929.895000000004</v>
      </c>
      <c r="AS37" s="33">
        <f t="shared" si="74"/>
        <v>22355.460999999999</v>
      </c>
      <c r="AT37" s="33">
        <f t="shared" si="74"/>
        <v>40348.678</v>
      </c>
      <c r="AU37" s="33">
        <f t="shared" si="74"/>
        <v>49356.014999999999</v>
      </c>
      <c r="AV37" s="33">
        <f t="shared" si="74"/>
        <v>54166.846000000005</v>
      </c>
      <c r="AW37" s="33">
        <f t="shared" si="74"/>
        <v>62512</v>
      </c>
      <c r="AX37" s="33">
        <f t="shared" si="74"/>
        <v>84165</v>
      </c>
      <c r="AY37" s="33">
        <f t="shared" si="74"/>
        <v>112516</v>
      </c>
      <c r="AZ37" s="33">
        <f t="shared" si="74"/>
        <v>100624</v>
      </c>
      <c r="BA37" s="33">
        <f t="shared" si="74"/>
        <v>41523</v>
      </c>
      <c r="BB37" s="33">
        <f t="shared" ref="BB37:BG37" si="75">+BB33+BB35+BB36</f>
        <v>34772</v>
      </c>
      <c r="BC37" s="33">
        <f t="shared" si="75"/>
        <v>31960</v>
      </c>
      <c r="BD37" s="33">
        <f t="shared" si="75"/>
        <v>28144</v>
      </c>
      <c r="BE37" s="33">
        <f t="shared" si="75"/>
        <v>38996</v>
      </c>
      <c r="BF37" s="33">
        <f t="shared" si="75"/>
        <v>48655</v>
      </c>
      <c r="BG37" s="33">
        <f t="shared" si="75"/>
        <v>56442</v>
      </c>
      <c r="BH37" s="33">
        <f>+BH33+BH35+BH36</f>
        <v>68269</v>
      </c>
      <c r="BI37" s="33">
        <f>+BI33+BI35+BI36</f>
        <v>61256</v>
      </c>
      <c r="BJ37" s="33"/>
      <c r="BK37" s="33">
        <f>+BK33+BK35+BK36</f>
        <v>135368</v>
      </c>
      <c r="BL37" s="33">
        <f>+BL33+BL35+BL36</f>
        <v>153189</v>
      </c>
      <c r="BM37" s="33"/>
      <c r="BN37" s="33">
        <f>+BN33+BN35+BN36</f>
        <v>51102</v>
      </c>
      <c r="BO37" s="33">
        <f>+BO33+BO35+BO36</f>
        <v>95033</v>
      </c>
      <c r="BP37" s="33">
        <f>+BP33+BP35+BP36</f>
        <v>35461</v>
      </c>
      <c r="BQ37" s="33">
        <f>+BQ33+BQ35+BQ36</f>
        <v>-3060</v>
      </c>
      <c r="BR37" s="33">
        <f>+BR33+BR35+BR36</f>
        <v>51033</v>
      </c>
      <c r="BS37" s="33">
        <f t="shared" ref="BS37:BX37" si="76">+BS33+BS35+BS36</f>
        <v>2424.4159999999997</v>
      </c>
      <c r="BT37" s="33">
        <f t="shared" si="76"/>
        <v>4187</v>
      </c>
      <c r="BU37" s="33">
        <f t="shared" si="76"/>
        <v>2251.5299999999997</v>
      </c>
      <c r="BV37" s="33">
        <f t="shared" si="76"/>
        <v>3946.6610000000001</v>
      </c>
      <c r="BW37" s="33">
        <f t="shared" si="76"/>
        <v>9322.0720000000001</v>
      </c>
      <c r="BX37" s="33">
        <f t="shared" si="76"/>
        <v>16071.024000000001</v>
      </c>
      <c r="BY37" s="33">
        <f t="shared" ref="BY37:CD37" si="77">+BY33+BY35+BY36</f>
        <v>17668.623</v>
      </c>
      <c r="BZ37" s="33">
        <f t="shared" si="77"/>
        <v>34520.281999999999</v>
      </c>
      <c r="CA37" s="33">
        <f t="shared" si="77"/>
        <v>62704.139000000003</v>
      </c>
      <c r="CB37" s="33">
        <f t="shared" si="77"/>
        <v>103522.861</v>
      </c>
      <c r="CC37" s="33">
        <f t="shared" si="77"/>
        <v>83643</v>
      </c>
      <c r="CD37" s="33">
        <f t="shared" si="77"/>
        <v>165574</v>
      </c>
      <c r="CE37" s="33">
        <f>+CE33+CE35+CE36</f>
        <v>79785</v>
      </c>
      <c r="CF37" s="33">
        <f>+CF33+CF35+CF36</f>
        <v>56614</v>
      </c>
      <c r="CG37" s="33">
        <f>+CG33+CG35+CG36</f>
        <v>68998</v>
      </c>
      <c r="CI37" s="33">
        <f>+CI33+CI35+CI36</f>
        <v>151406</v>
      </c>
      <c r="CJ37" s="33">
        <f>+CJ33+CJ35+CJ36</f>
        <v>208411</v>
      </c>
      <c r="CK37" s="33">
        <f>+CK33+CK35+CK36</f>
        <v>142575</v>
      </c>
    </row>
    <row r="38" spans="2:89" s="18" customFormat="1" ht="13.5" customHeight="1">
      <c r="B38" s="21" t="s">
        <v>137</v>
      </c>
      <c r="D38" s="22"/>
      <c r="E38" s="22">
        <f t="shared" ref="E38:P38" si="78">+E37/D37-1</f>
        <v>0.12517006802721098</v>
      </c>
      <c r="F38" s="22">
        <f t="shared" si="78"/>
        <v>-0.1255542120112858</v>
      </c>
      <c r="G38" s="22">
        <f t="shared" si="78"/>
        <v>0.89813321041714689</v>
      </c>
      <c r="H38" s="22">
        <f t="shared" si="78"/>
        <v>-0.24742702768334146</v>
      </c>
      <c r="I38" s="22">
        <f t="shared" si="78"/>
        <v>0.4593929099635683</v>
      </c>
      <c r="J38" s="22">
        <f t="shared" si="78"/>
        <v>0.49683580827620433</v>
      </c>
      <c r="K38" s="22">
        <f t="shared" si="78"/>
        <v>-0.21000508723485167</v>
      </c>
      <c r="L38" s="22">
        <f t="shared" si="78"/>
        <v>1.3739961413008981</v>
      </c>
      <c r="M38" s="22">
        <f t="shared" si="78"/>
        <v>1.0552399360834142</v>
      </c>
      <c r="N38" s="22">
        <f t="shared" si="78"/>
        <v>2.1851022741327877</v>
      </c>
      <c r="O38" s="22">
        <f>+O37/M37-1</f>
        <v>4.6163469994244943</v>
      </c>
      <c r="P38" s="22">
        <f t="shared" si="78"/>
        <v>-0.14975214168011441</v>
      </c>
      <c r="Q38" s="22">
        <f>+Q37/O37-1</f>
        <v>0.22757931295652489</v>
      </c>
      <c r="R38" s="22">
        <f>+R37/P37-1</f>
        <v>-0.45268982453042927</v>
      </c>
      <c r="S38" s="22">
        <f>+S37/Q37-1</f>
        <v>-0.50381443900649492</v>
      </c>
      <c r="T38" s="22">
        <f>+T37/S37-1</f>
        <v>0.18946318949679619</v>
      </c>
      <c r="U38" s="208"/>
      <c r="V38" s="22" t="e">
        <f>+V37/V31</f>
        <v>#DIV/0!</v>
      </c>
      <c r="W38" s="22" t="e">
        <f>+W37/W31</f>
        <v>#DIV/0!</v>
      </c>
      <c r="Y38" s="22"/>
      <c r="Z38" s="22"/>
      <c r="AA38" s="22"/>
      <c r="AB38" s="22"/>
      <c r="AC38" s="22">
        <f t="shared" ref="AC38:AM38" si="79">+AC37/Y37-1</f>
        <v>-0.25196006834403506</v>
      </c>
      <c r="AD38" s="22">
        <f t="shared" si="79"/>
        <v>0.4019973004376729</v>
      </c>
      <c r="AE38" s="22">
        <f t="shared" si="79"/>
        <v>1.167939718067537</v>
      </c>
      <c r="AF38" s="22">
        <f t="shared" si="79"/>
        <v>0.64372902135064214</v>
      </c>
      <c r="AG38" s="22">
        <f t="shared" si="79"/>
        <v>0.14778808029361801</v>
      </c>
      <c r="AH38" s="22">
        <f t="shared" si="79"/>
        <v>2.6861782642385146E-2</v>
      </c>
      <c r="AI38" s="22">
        <f t="shared" si="79"/>
        <v>-0.45495435465944845</v>
      </c>
      <c r="AJ38" s="22">
        <f>+AJ37/AF37-1</f>
        <v>-0.2266638156100157</v>
      </c>
      <c r="AK38" s="22">
        <f>+AK37/AG37-1</f>
        <v>0.65244274598601271</v>
      </c>
      <c r="AL38" s="22">
        <f t="shared" si="79"/>
        <v>0.87239558415834173</v>
      </c>
      <c r="AM38" s="22">
        <f t="shared" si="79"/>
        <v>2.0962070011122855</v>
      </c>
      <c r="AN38" s="22">
        <f t="shared" ref="AN38:BH38" si="80">+AN37/AJ37-1</f>
        <v>1.7435555709384003</v>
      </c>
      <c r="AO38" s="22">
        <f t="shared" si="80"/>
        <v>1.5503313744551068</v>
      </c>
      <c r="AP38" s="22">
        <f t="shared" si="80"/>
        <v>0.53729194799738966</v>
      </c>
      <c r="AQ38" s="22">
        <f t="shared" si="80"/>
        <v>0.28550315841683638</v>
      </c>
      <c r="AR38" s="22">
        <f t="shared" si="80"/>
        <v>2.2502553581264828</v>
      </c>
      <c r="AS38" s="22">
        <f t="shared" si="80"/>
        <v>1.6603762650063314</v>
      </c>
      <c r="AT38" s="22">
        <f t="shared" si="80"/>
        <v>3.3547207312975891</v>
      </c>
      <c r="AU38" s="22">
        <f t="shared" si="80"/>
        <v>3.2583578097953074</v>
      </c>
      <c r="AV38" s="22">
        <f t="shared" si="80"/>
        <v>1.3622805948304602</v>
      </c>
      <c r="AW38" s="22">
        <f>+AW37/AS37-1</f>
        <v>1.7962742526311581</v>
      </c>
      <c r="AX38" s="22">
        <f t="shared" si="80"/>
        <v>1.0859419483334745</v>
      </c>
      <c r="AY38" s="22">
        <f t="shared" si="80"/>
        <v>1.279681615300587</v>
      </c>
      <c r="AZ38" s="22">
        <f t="shared" si="80"/>
        <v>0.85766769584479752</v>
      </c>
      <c r="BA38" s="22">
        <f t="shared" si="80"/>
        <v>-0.33575953416943949</v>
      </c>
      <c r="BB38" s="22">
        <f t="shared" si="80"/>
        <v>-0.586859145725658</v>
      </c>
      <c r="BC38" s="22">
        <f t="shared" si="80"/>
        <v>-0.7159515091187032</v>
      </c>
      <c r="BD38" s="22">
        <f t="shared" si="80"/>
        <v>-0.72030529495945306</v>
      </c>
      <c r="BE38" s="22">
        <f>+BE37/BN37-1</f>
        <v>-0.23689875151657469</v>
      </c>
      <c r="BF38" s="22">
        <f t="shared" si="80"/>
        <v>0.39925802369722763</v>
      </c>
      <c r="BG38" s="22">
        <f t="shared" si="80"/>
        <v>0.76602002503128919</v>
      </c>
      <c r="BH38" s="22">
        <f t="shared" si="80"/>
        <v>1.4257035247299603</v>
      </c>
      <c r="BI38" s="22">
        <f>+BI37/BR37-1</f>
        <v>0.20032136068818218</v>
      </c>
      <c r="BJ38" s="141"/>
      <c r="BK38" s="144"/>
      <c r="BL38" s="22">
        <f>BL37/BK37-1</f>
        <v>0.13164854323030561</v>
      </c>
      <c r="BM38" s="141"/>
      <c r="BN38" s="22">
        <f>+BN37/AW37-1</f>
        <v>-0.1825249552085999</v>
      </c>
      <c r="BO38" s="22">
        <f>+BO37/AX37-1</f>
        <v>0.12912730945167228</v>
      </c>
      <c r="BP38" s="22">
        <f>+BP37/AY37-1</f>
        <v>-0.68483593444487889</v>
      </c>
      <c r="BQ38" s="22">
        <f>+BQ37/AZ37-1</f>
        <v>-1.030410240101765</v>
      </c>
      <c r="BR38" s="22">
        <f>+BR37/BA37-1</f>
        <v>0.22902969438624377</v>
      </c>
      <c r="BS38" s="22"/>
      <c r="BT38" s="22"/>
      <c r="BU38" s="22">
        <f>+BU37/BS37-1</f>
        <v>-7.1310369177566835E-2</v>
      </c>
      <c r="BV38" s="22">
        <f>+BV37/BT37-1</f>
        <v>-5.7401241939336045E-2</v>
      </c>
      <c r="BW38" s="75"/>
      <c r="BX38" s="75"/>
      <c r="BY38" s="22">
        <f>+BY37/BW37-1</f>
        <v>0.89535362953643771</v>
      </c>
      <c r="BZ38" s="75"/>
      <c r="CA38" s="22">
        <f>+CA37/BY37-1</f>
        <v>2.548897896570661</v>
      </c>
      <c r="CB38" s="75"/>
      <c r="CC38" s="22">
        <f>+CC37/CA37-1</f>
        <v>0.3339310822846957</v>
      </c>
      <c r="CD38" s="22">
        <f>+CD37/CB37-1</f>
        <v>0.59939551902453703</v>
      </c>
      <c r="CE38" s="22">
        <f>+CE37/CC37-1</f>
        <v>-4.6124600982748065E-2</v>
      </c>
      <c r="CF38" s="22">
        <f>+CF37/CJ37-1</f>
        <v>-0.72835406960285209</v>
      </c>
      <c r="CG38" s="22">
        <f>+CG37/CE37-1</f>
        <v>-0.1352008522905308</v>
      </c>
      <c r="CI38" s="22">
        <f>+CI37/CE37-1</f>
        <v>0.89767500156671054</v>
      </c>
      <c r="CJ38" s="22">
        <f>+CJ37/CB37-1</f>
        <v>1.0131881787927015</v>
      </c>
      <c r="CK38" s="22">
        <f>+CK37/CI37-1</f>
        <v>-5.8326618495964544E-2</v>
      </c>
    </row>
    <row r="39" spans="2:89" s="18" customFormat="1" ht="13.5" customHeight="1">
      <c r="B39" s="21" t="s">
        <v>143</v>
      </c>
      <c r="D39" s="22">
        <f t="shared" ref="D39:J39" si="81">+D37/D31</f>
        <v>6.7158042213626534E-2</v>
      </c>
      <c r="E39" s="22">
        <f t="shared" si="81"/>
        <v>7.4975068749811122E-2</v>
      </c>
      <c r="F39" s="22">
        <f t="shared" si="81"/>
        <v>6.3230450875812416E-2</v>
      </c>
      <c r="G39" s="22">
        <f t="shared" si="81"/>
        <v>0.11851894489933948</v>
      </c>
      <c r="H39" s="22">
        <f t="shared" si="81"/>
        <v>8.8002181046541422E-2</v>
      </c>
      <c r="I39" s="22">
        <f t="shared" si="81"/>
        <v>9.1492803106128229E-2</v>
      </c>
      <c r="J39" s="22">
        <f t="shared" si="81"/>
        <v>9.4519594604914992E-2</v>
      </c>
      <c r="K39" s="22">
        <f t="shared" ref="K39:P39" si="82">+K37/K31</f>
        <v>6.9675802602135156E-2</v>
      </c>
      <c r="L39" s="22">
        <f t="shared" si="82"/>
        <v>0.13817320918392545</v>
      </c>
      <c r="M39" s="22">
        <f t="shared" si="82"/>
        <v>0.15053534972131857</v>
      </c>
      <c r="N39" s="22">
        <f t="shared" si="82"/>
        <v>0.1843163605760115</v>
      </c>
      <c r="O39" s="22">
        <f t="shared" si="82"/>
        <v>0.170816379574601</v>
      </c>
      <c r="P39" s="22">
        <f t="shared" si="82"/>
        <v>0.15530954783201539</v>
      </c>
      <c r="Q39" s="22">
        <f>+Q37/Q31</f>
        <v>0.1553095620503174</v>
      </c>
      <c r="R39" s="22">
        <f>+R37/R31</f>
        <v>5.8845760420931467E-2</v>
      </c>
      <c r="S39" s="22">
        <f>+S37/S31</f>
        <v>5.8845961789149803E-2</v>
      </c>
      <c r="T39" s="22">
        <f>+T37/T31</f>
        <v>7.7018237076555099E-2</v>
      </c>
      <c r="U39" s="208">
        <f>+U37/U31</f>
        <v>7.9344123032054584E-2</v>
      </c>
      <c r="V39" s="22"/>
      <c r="W39" s="22"/>
      <c r="Y39" s="22">
        <f t="shared" ref="Y39:AI39" si="83">+Y37/Y31</f>
        <v>0.10426310616841228</v>
      </c>
      <c r="Z39" s="22">
        <f t="shared" si="83"/>
        <v>9.6963886913064012E-2</v>
      </c>
      <c r="AA39" s="22">
        <f t="shared" si="83"/>
        <v>9.5243502197744148E-2</v>
      </c>
      <c r="AB39" s="22">
        <f t="shared" si="83"/>
        <v>7.3138330325628609E-2</v>
      </c>
      <c r="AC39" s="22">
        <f t="shared" si="83"/>
        <v>7.0653507856311804E-2</v>
      </c>
      <c r="AD39" s="22">
        <f t="shared" si="83"/>
        <v>9.4214839519998136E-2</v>
      </c>
      <c r="AE39" s="22">
        <f t="shared" si="83"/>
        <v>0.11728470173724778</v>
      </c>
      <c r="AF39" s="22">
        <f t="shared" si="83"/>
        <v>8.3472178199940919E-2</v>
      </c>
      <c r="AG39" s="22">
        <f t="shared" si="83"/>
        <v>5.8198072004712442E-2</v>
      </c>
      <c r="AH39" s="22">
        <f t="shared" si="83"/>
        <v>7.9504326845643833E-2</v>
      </c>
      <c r="AI39" s="22">
        <f t="shared" si="83"/>
        <v>7.3975853425523652E-2</v>
      </c>
      <c r="AJ39" s="22">
        <f t="shared" ref="AJ39:AP39" si="84">+AJ37/AJ31</f>
        <v>6.5260842542745737E-2</v>
      </c>
      <c r="AK39" s="22">
        <f t="shared" si="84"/>
        <v>8.35514625049045E-2</v>
      </c>
      <c r="AL39" s="22">
        <f t="shared" si="84"/>
        <v>0.17454344496753005</v>
      </c>
      <c r="AM39" s="22">
        <f t="shared" si="84"/>
        <v>0.17421628452083252</v>
      </c>
      <c r="AN39" s="22">
        <f t="shared" si="84"/>
        <v>0.12151400694428942</v>
      </c>
      <c r="AO39" s="22">
        <f t="shared" si="84"/>
        <v>0.14663851577765491</v>
      </c>
      <c r="AP39" s="22">
        <f t="shared" si="84"/>
        <v>0.12411155551009584</v>
      </c>
      <c r="AQ39" s="22">
        <f t="shared" ref="AQ39:AV39" si="85">+AQ37/AQ31</f>
        <v>0.12646336357572593</v>
      </c>
      <c r="AR39" s="22">
        <f t="shared" si="85"/>
        <v>0.18630238774212107</v>
      </c>
      <c r="AS39" s="22">
        <f t="shared" si="85"/>
        <v>0.14697382789671667</v>
      </c>
      <c r="AT39" s="22">
        <f t="shared" si="85"/>
        <v>0.17259763659167882</v>
      </c>
      <c r="AU39" s="22">
        <f t="shared" si="85"/>
        <v>0.189107760309458</v>
      </c>
      <c r="AV39" s="22">
        <f t="shared" si="85"/>
        <v>0.21243169734028389</v>
      </c>
      <c r="AW39" s="22">
        <f t="shared" ref="AW39:BB39" si="86">+AW37/AW31</f>
        <v>0.16166464516896531</v>
      </c>
      <c r="AX39" s="22">
        <f t="shared" si="86"/>
        <v>0.1801723695026716</v>
      </c>
      <c r="AY39" s="22">
        <f t="shared" si="86"/>
        <v>0.17892286261314269</v>
      </c>
      <c r="AZ39" s="22">
        <f t="shared" si="86"/>
        <v>0.12063665616442955</v>
      </c>
      <c r="BA39" s="22">
        <f t="shared" si="86"/>
        <v>9.2188315220407852E-2</v>
      </c>
      <c r="BB39" s="22">
        <f t="shared" si="86"/>
        <v>6.6682903348911596E-2</v>
      </c>
      <c r="BC39" s="22">
        <f t="shared" ref="BC39:BH39" si="87">+BC37/BC31</f>
        <v>5.6996823800275709E-2</v>
      </c>
      <c r="BD39" s="22">
        <f t="shared" si="87"/>
        <v>3.5838259226339798E-2</v>
      </c>
      <c r="BE39" s="22">
        <f t="shared" si="87"/>
        <v>7.2440184277009961E-2</v>
      </c>
      <c r="BF39" s="22">
        <f t="shared" si="87"/>
        <v>8.018874143807396E-2</v>
      </c>
      <c r="BG39" s="22">
        <f t="shared" si="87"/>
        <v>8.1935371483320266E-2</v>
      </c>
      <c r="BH39" s="22">
        <f t="shared" si="87"/>
        <v>7.39354898798842E-2</v>
      </c>
      <c r="BI39" s="22">
        <f>+BI37/BI31</f>
        <v>8.2997874107606201E-2</v>
      </c>
      <c r="BJ39" s="141"/>
      <c r="BK39" s="144"/>
      <c r="BL39" s="22">
        <f>+BL37/BL31</f>
        <v>7.8372537764257719E-2</v>
      </c>
      <c r="BM39" s="141"/>
      <c r="BN39" s="22">
        <f>+BN37/BN31</f>
        <v>8.2152141096808726E-2</v>
      </c>
      <c r="BO39" s="22">
        <f>+BO37/BO31</f>
        <v>0.13494865211810012</v>
      </c>
      <c r="BP39" s="22">
        <f>+BP37/BP31</f>
        <v>4.7444669515585659E-2</v>
      </c>
      <c r="BQ39" s="22">
        <f>+BQ37/BQ31</f>
        <v>-3.1865705835797892E-3</v>
      </c>
      <c r="BR39" s="22">
        <f>+BR37/BR31</f>
        <v>7.2441385262458607E-2</v>
      </c>
      <c r="BS39" s="22">
        <f t="shared" ref="BS39:BX39" si="88">+BS37/BS31</f>
        <v>7.546115537848605E-2</v>
      </c>
      <c r="BT39" s="22">
        <f t="shared" si="88"/>
        <v>0.11206273586168135</v>
      </c>
      <c r="BU39" s="22">
        <f t="shared" si="88"/>
        <v>7.2345286292654701E-2</v>
      </c>
      <c r="BV39" s="22">
        <f t="shared" si="88"/>
        <v>0.10039777673213569</v>
      </c>
      <c r="BW39" s="22">
        <f t="shared" si="88"/>
        <v>0.12603061373798519</v>
      </c>
      <c r="BX39" s="22">
        <f t="shared" si="88"/>
        <v>0.14635227804935205</v>
      </c>
      <c r="BY39" s="22">
        <f t="shared" ref="BY39:CD39" si="89">+BY37/BY31</f>
        <v>0.13389414876753788</v>
      </c>
      <c r="BZ39" s="22">
        <f t="shared" si="89"/>
        <v>0.160762036003258</v>
      </c>
      <c r="CA39" s="22">
        <f t="shared" si="89"/>
        <v>0.16249726931257458</v>
      </c>
      <c r="CB39" s="22">
        <f t="shared" si="89"/>
        <v>0.20063390732780967</v>
      </c>
      <c r="CC39" s="22">
        <f t="shared" si="89"/>
        <v>0.17059485786311293</v>
      </c>
      <c r="CD39" s="22">
        <f t="shared" si="89"/>
        <v>0.14858414584352242</v>
      </c>
      <c r="CE39" s="22">
        <f>+CE37/CE31</f>
        <v>7.9016563915917701E-2</v>
      </c>
      <c r="CF39" s="22">
        <f>+CF37/CF31</f>
        <v>4.3276852914961375E-2</v>
      </c>
      <c r="CG39" s="22">
        <f>+CG37/CG31</f>
        <v>5.8601357382668612E-2</v>
      </c>
      <c r="CI39" s="22">
        <f>+CI37/CI31</f>
        <v>0.17082659193017374</v>
      </c>
      <c r="CJ39" s="22">
        <f>+CJ37/CJ31</f>
        <v>0.1456951929415663</v>
      </c>
      <c r="CK39" s="22">
        <f>+CK37/CK31</f>
        <v>0.10455602464904155</v>
      </c>
    </row>
    <row r="40" spans="2:89" s="6" customFormat="1" ht="13.5" customHeight="1">
      <c r="B40" s="6" t="s">
        <v>144</v>
      </c>
      <c r="D40" s="36">
        <v>2324</v>
      </c>
      <c r="E40" s="36">
        <v>2680</v>
      </c>
      <c r="F40" s="36">
        <v>2710</v>
      </c>
      <c r="G40" s="36">
        <v>3567</v>
      </c>
      <c r="H40" s="36">
        <v>3459.9929999999999</v>
      </c>
      <c r="I40" s="36">
        <v>4908.74</v>
      </c>
      <c r="J40" s="36">
        <v>5537.0280000000002</v>
      </c>
      <c r="K40" s="36">
        <v>4391.1589999999997</v>
      </c>
      <c r="L40" s="36">
        <v>9272.57</v>
      </c>
      <c r="M40" s="120">
        <v>15192.710999999999</v>
      </c>
      <c r="N40" s="120">
        <v>69806</v>
      </c>
      <c r="O40" s="120">
        <v>72662</v>
      </c>
      <c r="P40" s="120">
        <v>72230</v>
      </c>
      <c r="Q40" s="120">
        <v>108176</v>
      </c>
      <c r="R40" s="120">
        <v>1306</v>
      </c>
      <c r="S40" s="120">
        <v>1709</v>
      </c>
      <c r="T40" s="120">
        <v>22001</v>
      </c>
      <c r="U40" s="213">
        <f>BG40+BF40+BH40+BI40</f>
        <v>23938</v>
      </c>
      <c r="V40" s="33"/>
      <c r="W40" s="33"/>
      <c r="X40" s="33"/>
      <c r="Y40" s="36">
        <v>1124.52</v>
      </c>
      <c r="Z40" s="36">
        <v>1417.058</v>
      </c>
      <c r="AA40" s="36">
        <v>1289.954</v>
      </c>
      <c r="AB40" s="33">
        <f>I40-AA40-Z40-Y40</f>
        <v>1077.2080000000001</v>
      </c>
      <c r="AC40" s="36">
        <v>1141.1849999999999</v>
      </c>
      <c r="AD40" s="36">
        <v>1418.434</v>
      </c>
      <c r="AE40" s="36">
        <v>1267.019</v>
      </c>
      <c r="AF40" s="33">
        <f>J40-AE40-AD40-AC40</f>
        <v>1710.3899999999999</v>
      </c>
      <c r="AG40" s="36">
        <v>779.30899999999997</v>
      </c>
      <c r="AH40" s="36">
        <v>1425.4459999999999</v>
      </c>
      <c r="AI40" s="36">
        <v>1075.923</v>
      </c>
      <c r="AJ40" s="33">
        <f>K40-AI40-AH40-AG40</f>
        <v>1110.481</v>
      </c>
      <c r="AK40" s="36">
        <v>3469.8119999999999</v>
      </c>
      <c r="AL40" s="36">
        <v>961.37</v>
      </c>
      <c r="AM40" s="36">
        <v>2305.3910000000001</v>
      </c>
      <c r="AN40" s="33">
        <f>L40-AM40-AL40-AK40</f>
        <v>2535.9970000000003</v>
      </c>
      <c r="AO40" s="36">
        <v>2113.1840000000002</v>
      </c>
      <c r="AP40" s="36">
        <v>3198.2289999999998</v>
      </c>
      <c r="AQ40" s="36">
        <v>4105.6319999999996</v>
      </c>
      <c r="AR40" s="33">
        <f>M40-AQ40-AP40-AO40</f>
        <v>5775.6660000000002</v>
      </c>
      <c r="AS40" s="36">
        <f>6713.112</f>
        <v>6713.1120000000001</v>
      </c>
      <c r="AT40" s="36">
        <v>15448.77</v>
      </c>
      <c r="AU40" s="36">
        <v>19860.447</v>
      </c>
      <c r="AV40" s="33">
        <f>N40-AU40-AT40-AS40</f>
        <v>27783.670999999995</v>
      </c>
      <c r="AW40" s="36">
        <v>10693</v>
      </c>
      <c r="AX40" s="36">
        <v>9693</v>
      </c>
      <c r="AY40" s="36">
        <v>13477</v>
      </c>
      <c r="AZ40" s="33">
        <f>Q40-AY40-AX40-AW40</f>
        <v>74313</v>
      </c>
      <c r="BA40" s="36">
        <v>1354</v>
      </c>
      <c r="BB40" s="36">
        <v>164</v>
      </c>
      <c r="BC40" s="36">
        <v>-3682</v>
      </c>
      <c r="BD40" s="33">
        <f>R40-BC40-BB40-BA40</f>
        <v>3470</v>
      </c>
      <c r="BE40" s="36">
        <v>-1415</v>
      </c>
      <c r="BF40" s="36">
        <v>7733</v>
      </c>
      <c r="BG40" s="36">
        <v>7650</v>
      </c>
      <c r="BH40" s="33">
        <f>T40-BG40-BF40-BE40</f>
        <v>8033</v>
      </c>
      <c r="BI40" s="36">
        <v>522</v>
      </c>
      <c r="BJ40" s="36"/>
      <c r="BK40" s="36">
        <v>9300</v>
      </c>
      <c r="BL40" s="36">
        <v>14352</v>
      </c>
      <c r="BM40" s="36"/>
      <c r="BN40" s="36">
        <v>2737</v>
      </c>
      <c r="BO40" s="36">
        <v>9857</v>
      </c>
      <c r="BP40" s="36">
        <v>-4413</v>
      </c>
      <c r="BQ40" s="33">
        <f>S40-BN40-BO40-BP40</f>
        <v>-6472</v>
      </c>
      <c r="BR40" s="36">
        <v>-1852</v>
      </c>
      <c r="BS40" s="36">
        <v>1326</v>
      </c>
      <c r="BT40" s="31">
        <f>G40-BS40</f>
        <v>2241</v>
      </c>
      <c r="BU40" s="36">
        <v>1433</v>
      </c>
      <c r="BV40" s="31">
        <f>H40-BU40</f>
        <v>2026.9929999999999</v>
      </c>
      <c r="BW40" s="36">
        <v>4431.1819999999998</v>
      </c>
      <c r="BX40" s="31">
        <f>L40-BW40</f>
        <v>4841.3879999999999</v>
      </c>
      <c r="BY40" s="36">
        <v>5311.4129999999996</v>
      </c>
      <c r="BZ40" s="31">
        <f>M40-BY40</f>
        <v>9881.2979999999989</v>
      </c>
      <c r="CA40" s="36">
        <v>22161.882000000001</v>
      </c>
      <c r="CB40" s="31">
        <f>N40-CA40</f>
        <v>47644.118000000002</v>
      </c>
      <c r="CC40" s="36">
        <v>37372</v>
      </c>
      <c r="CD40" s="31">
        <f>P40-CC40</f>
        <v>34858</v>
      </c>
      <c r="CE40" s="36">
        <v>1632</v>
      </c>
      <c r="CF40" s="31">
        <f>R40-CE40</f>
        <v>-326</v>
      </c>
      <c r="CG40" s="36">
        <v>6235</v>
      </c>
      <c r="CI40" s="132">
        <v>36165</v>
      </c>
      <c r="CJ40" s="31">
        <f>Q40-CI40</f>
        <v>72011</v>
      </c>
      <c r="CK40" s="132">
        <v>12758</v>
      </c>
    </row>
    <row r="41" spans="2:89" s="18" customFormat="1" ht="13.5" customHeight="1">
      <c r="B41" s="21" t="s">
        <v>139</v>
      </c>
      <c r="D41" s="22">
        <f t="shared" ref="D41:W41" si="90">+D40/D31</f>
        <v>3.5391222245911125E-2</v>
      </c>
      <c r="E41" s="22">
        <f t="shared" si="90"/>
        <v>4.049439424616965E-2</v>
      </c>
      <c r="F41" s="22">
        <f t="shared" si="90"/>
        <v>3.949170819853691E-2</v>
      </c>
      <c r="G41" s="22">
        <f t="shared" si="90"/>
        <v>5.133038810781252E-2</v>
      </c>
      <c r="H41" s="22">
        <f t="shared" si="90"/>
        <v>4.9125128671537552E-2</v>
      </c>
      <c r="I41" s="22">
        <f t="shared" si="90"/>
        <v>4.9650059799174744E-2</v>
      </c>
      <c r="J41" s="22">
        <f t="shared" si="90"/>
        <v>3.865335707839565E-2</v>
      </c>
      <c r="K41" s="22">
        <f t="shared" si="90"/>
        <v>2.8603916202692786E-2</v>
      </c>
      <c r="L41" s="22">
        <f t="shared" ref="L41:T41" si="91">+L40/L31</f>
        <v>5.0455476334299344E-2</v>
      </c>
      <c r="M41" s="22">
        <f t="shared" si="91"/>
        <v>4.382234238484068E-2</v>
      </c>
      <c r="N41" s="22">
        <f t="shared" si="91"/>
        <v>7.7402515032871058E-2</v>
      </c>
      <c r="O41" s="22">
        <f t="shared" si="91"/>
        <v>4.2345254093669835E-2</v>
      </c>
      <c r="P41" s="22">
        <f t="shared" si="91"/>
        <v>4.5013015323619461E-2</v>
      </c>
      <c r="Q41" s="22">
        <f t="shared" si="91"/>
        <v>4.6692533105315022E-2</v>
      </c>
      <c r="R41" s="22">
        <f t="shared" si="91"/>
        <v>5.6343934420147147E-4</v>
      </c>
      <c r="S41" s="22">
        <f t="shared" si="91"/>
        <v>5.6329114967097402E-4</v>
      </c>
      <c r="T41" s="22">
        <f t="shared" si="91"/>
        <v>7.9791970028596868E-3</v>
      </c>
      <c r="U41" s="208">
        <f>+U40/U31</f>
        <v>8.0953176477113094E-3</v>
      </c>
      <c r="V41" s="22" t="e">
        <f t="shared" si="90"/>
        <v>#DIV/0!</v>
      </c>
      <c r="W41" s="22" t="e">
        <f t="shared" si="90"/>
        <v>#DIV/0!</v>
      </c>
      <c r="Y41" s="22">
        <f t="shared" ref="Y41:AJ41" si="92">+Y40/Y31</f>
        <v>5.0485516571233749E-2</v>
      </c>
      <c r="Z41" s="22">
        <f t="shared" si="92"/>
        <v>6.1452813413216699E-2</v>
      </c>
      <c r="AA41" s="22">
        <f t="shared" si="92"/>
        <v>4.9853408361394909E-2</v>
      </c>
      <c r="AB41" s="22">
        <f t="shared" si="92"/>
        <v>3.8946850562022545E-2</v>
      </c>
      <c r="AC41" s="22">
        <f t="shared" si="92"/>
        <v>4.6412393199152899E-2</v>
      </c>
      <c r="AD41" s="22">
        <f t="shared" si="92"/>
        <v>4.2630987813612312E-2</v>
      </c>
      <c r="AE41" s="22">
        <f t="shared" si="92"/>
        <v>2.7813943533272781E-2</v>
      </c>
      <c r="AF41" s="22">
        <f t="shared" si="92"/>
        <v>4.2937267692685264E-2</v>
      </c>
      <c r="AG41" s="22">
        <f t="shared" si="92"/>
        <v>2.2745776027122064E-2</v>
      </c>
      <c r="AH41" s="22">
        <f t="shared" si="92"/>
        <v>3.5206795210874463E-2</v>
      </c>
      <c r="AI41" s="22">
        <f t="shared" si="92"/>
        <v>2.7332312328971885E-2</v>
      </c>
      <c r="AJ41" s="22">
        <f t="shared" si="92"/>
        <v>2.818337419463772E-2</v>
      </c>
      <c r="AK41" s="22">
        <f t="shared" ref="AK41:AQ41" si="93">+AK40/AK31</f>
        <v>8.7986501378660889E-2</v>
      </c>
      <c r="AL41" s="22">
        <f t="shared" si="93"/>
        <v>2.784078397275306E-2</v>
      </c>
      <c r="AM41" s="22">
        <f t="shared" si="93"/>
        <v>4.4545983473325376E-2</v>
      </c>
      <c r="AN41" s="22">
        <f t="shared" si="93"/>
        <v>4.3680791011832948E-2</v>
      </c>
      <c r="AO41" s="22">
        <f t="shared" si="93"/>
        <v>3.6876084754839625E-2</v>
      </c>
      <c r="AP41" s="22">
        <f t="shared" si="93"/>
        <v>4.2840326754791221E-2</v>
      </c>
      <c r="AQ41" s="22">
        <f t="shared" si="93"/>
        <v>4.479678136063401E-2</v>
      </c>
      <c r="AR41" s="22">
        <f t="shared" ref="AR41:AW41" si="94">+AR40/AR31</f>
        <v>4.6926528298580752E-2</v>
      </c>
      <c r="AS41" s="22">
        <f t="shared" si="94"/>
        <v>4.4134709086937798E-2</v>
      </c>
      <c r="AT41" s="22">
        <f t="shared" si="94"/>
        <v>6.6084474694522333E-2</v>
      </c>
      <c r="AU41" s="22">
        <f t="shared" si="94"/>
        <v>7.6095378666910088E-2</v>
      </c>
      <c r="AV41" s="22">
        <f t="shared" si="94"/>
        <v>0.10896208335397672</v>
      </c>
      <c r="AW41" s="22">
        <f t="shared" si="94"/>
        <v>2.7653571326973159E-2</v>
      </c>
      <c r="AX41" s="22">
        <f t="shared" ref="AX41:BC41" si="95">+AX40/AX31</f>
        <v>2.0749845869297165E-2</v>
      </c>
      <c r="AY41" s="22">
        <f t="shared" si="95"/>
        <v>2.1431115747425466E-2</v>
      </c>
      <c r="AZ41" s="22">
        <f t="shared" si="95"/>
        <v>8.9092779352314092E-2</v>
      </c>
      <c r="BA41" s="22">
        <f t="shared" si="95"/>
        <v>3.0061165813749543E-3</v>
      </c>
      <c r="BB41" s="22">
        <f t="shared" si="95"/>
        <v>3.1450581356325498E-4</v>
      </c>
      <c r="BC41" s="22">
        <f t="shared" si="95"/>
        <v>-6.5664050448252555E-3</v>
      </c>
      <c r="BD41" s="22">
        <f t="shared" ref="BD41:BI41" si="96">+BD40/BD31</f>
        <v>4.4186597326392515E-3</v>
      </c>
      <c r="BE41" s="22">
        <f t="shared" si="96"/>
        <v>-2.6285480754941297E-3</v>
      </c>
      <c r="BF41" s="22">
        <f t="shared" si="96"/>
        <v>1.2744826585975252E-2</v>
      </c>
      <c r="BG41" s="22">
        <f t="shared" si="96"/>
        <v>1.1105304415991639E-2</v>
      </c>
      <c r="BH41" s="22">
        <f t="shared" si="96"/>
        <v>8.6997581655672389E-3</v>
      </c>
      <c r="BI41" s="22">
        <f t="shared" si="96"/>
        <v>7.0727586333045633E-4</v>
      </c>
      <c r="BJ41" s="141"/>
      <c r="BK41" s="141"/>
      <c r="BL41" s="37"/>
      <c r="BM41" s="37"/>
      <c r="BN41" s="22">
        <f>+BN40/BN31</f>
        <v>4.4000315091770482E-3</v>
      </c>
      <c r="BO41" s="22">
        <f>+BO40/BO31</f>
        <v>1.3997125881831711E-2</v>
      </c>
      <c r="BP41" s="22">
        <f>+BP40/BP31</f>
        <v>-5.9043266284729565E-3</v>
      </c>
      <c r="BQ41" s="22">
        <f>+BQ40/BQ31</f>
        <v>-6.7397009205648357E-3</v>
      </c>
      <c r="BR41" s="22">
        <f>+BR40/BR31</f>
        <v>-2.6289155155697947E-3</v>
      </c>
      <c r="BS41" s="22">
        <f t="shared" ref="BS41:BX41" si="97">+BS40/BS31</f>
        <v>4.1272410358565735E-2</v>
      </c>
      <c r="BT41" s="22">
        <f t="shared" si="97"/>
        <v>5.9979123732034366E-2</v>
      </c>
      <c r="BU41" s="22">
        <f t="shared" si="97"/>
        <v>4.6044598676177627E-2</v>
      </c>
      <c r="BV41" s="22">
        <f t="shared" si="97"/>
        <v>5.1563990586372101E-2</v>
      </c>
      <c r="BW41" s="22">
        <f t="shared" si="97"/>
        <v>5.9907774478110944E-2</v>
      </c>
      <c r="BX41" s="22">
        <f t="shared" si="97"/>
        <v>4.4088551091753483E-2</v>
      </c>
      <c r="BY41" s="22">
        <f t="shared" ref="BY41:CD41" si="98">+BY40/BY31</f>
        <v>4.0250285627116196E-2</v>
      </c>
      <c r="BZ41" s="22">
        <f t="shared" si="98"/>
        <v>4.6017514713087258E-2</v>
      </c>
      <c r="CA41" s="22">
        <f t="shared" si="98"/>
        <v>5.7432338044343431E-2</v>
      </c>
      <c r="CB41" s="22">
        <f t="shared" si="98"/>
        <v>9.2337339435849139E-2</v>
      </c>
      <c r="CC41" s="22">
        <f t="shared" si="98"/>
        <v>7.6222409861677096E-2</v>
      </c>
      <c r="CD41" s="22">
        <f t="shared" si="98"/>
        <v>3.1281156194894758E-2</v>
      </c>
      <c r="CE41" s="22">
        <f>+CE40/CE31</f>
        <v>1.6162816608482507E-3</v>
      </c>
      <c r="CF41" s="22">
        <f>+CF40/CF31</f>
        <v>-2.4920079927716478E-4</v>
      </c>
      <c r="CG41" s="22">
        <f>+CG40/CG31</f>
        <v>5.2955080332899333E-3</v>
      </c>
      <c r="CI41" s="22">
        <f>+CI40/CI31</f>
        <v>4.0803823475653096E-2</v>
      </c>
      <c r="CJ41" s="22">
        <f>+CJ40/CJ31</f>
        <v>5.034118419332536E-2</v>
      </c>
      <c r="CK41" s="22">
        <f>+CK40/CK31</f>
        <v>9.3559583550585461E-3</v>
      </c>
    </row>
    <row r="42" spans="2:89" ht="13.5" customHeight="1"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7"/>
      <c r="BM42" s="37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I42" s="5"/>
      <c r="CJ42" s="5"/>
      <c r="CK42" s="5"/>
    </row>
    <row r="43" spans="2:89" ht="13.5" customHeight="1">
      <c r="B43" s="1" t="s">
        <v>145</v>
      </c>
      <c r="D43" s="31">
        <f t="shared" ref="D43:J43" si="99">+D31</f>
        <v>65666</v>
      </c>
      <c r="E43" s="31">
        <f t="shared" si="99"/>
        <v>66182</v>
      </c>
      <c r="F43" s="31">
        <f t="shared" si="99"/>
        <v>68622</v>
      </c>
      <c r="G43" s="31">
        <f t="shared" si="99"/>
        <v>69491</v>
      </c>
      <c r="H43" s="31">
        <f t="shared" si="99"/>
        <v>70432.243000000002</v>
      </c>
      <c r="I43" s="31">
        <f t="shared" si="99"/>
        <v>98866.748999999996</v>
      </c>
      <c r="J43" s="31">
        <f t="shared" si="99"/>
        <v>143248.30799999999</v>
      </c>
      <c r="K43" s="31">
        <f t="shared" ref="K43:P43" si="100">+K31</f>
        <v>153516.00700000001</v>
      </c>
      <c r="L43" s="31">
        <f t="shared" si="100"/>
        <v>183777.27600000001</v>
      </c>
      <c r="M43" s="31">
        <f t="shared" si="100"/>
        <v>346688.70199999999</v>
      </c>
      <c r="N43" s="31">
        <f t="shared" si="100"/>
        <v>901857</v>
      </c>
      <c r="O43" s="31">
        <f t="shared" si="100"/>
        <v>1715942</v>
      </c>
      <c r="P43" s="31">
        <f t="shared" si="100"/>
        <v>1604647</v>
      </c>
      <c r="Q43" s="31">
        <f t="shared" ref="Q43:W43" si="101">+Q31</f>
        <v>2316773</v>
      </c>
      <c r="R43" s="31">
        <f t="shared" si="101"/>
        <v>2317907</v>
      </c>
      <c r="S43" s="31">
        <f t="shared" si="101"/>
        <v>3033955</v>
      </c>
      <c r="T43" s="31">
        <f t="shared" si="101"/>
        <v>2757295</v>
      </c>
      <c r="U43" s="31">
        <f>+U31</f>
        <v>2957018</v>
      </c>
      <c r="V43" s="31">
        <f t="shared" si="101"/>
        <v>0</v>
      </c>
      <c r="W43" s="31">
        <f t="shared" si="101"/>
        <v>0</v>
      </c>
      <c r="X43" s="31"/>
      <c r="Y43" s="31"/>
      <c r="Z43" s="31"/>
      <c r="AA43" s="31"/>
      <c r="AB43" s="31">
        <f t="shared" ref="AB43:AM43" si="102">+AB31+AA31+Z31+Y31</f>
        <v>98866.748999999982</v>
      </c>
      <c r="AC43" s="31">
        <f t="shared" si="102"/>
        <v>101180.57499999998</v>
      </c>
      <c r="AD43" s="31">
        <f t="shared" si="102"/>
        <v>111393.65899999999</v>
      </c>
      <c r="AE43" s="31">
        <f t="shared" si="102"/>
        <v>131072.09299999999</v>
      </c>
      <c r="AF43" s="31">
        <f t="shared" si="102"/>
        <v>143248.30799999999</v>
      </c>
      <c r="AG43" s="31">
        <f t="shared" si="102"/>
        <v>152922.07299999997</v>
      </c>
      <c r="AH43" s="31">
        <f t="shared" si="102"/>
        <v>160137.51199999999</v>
      </c>
      <c r="AI43" s="31">
        <f t="shared" si="102"/>
        <v>153948.64399999997</v>
      </c>
      <c r="AJ43" s="31">
        <f>+AJ31+AI31+AH31+AG31</f>
        <v>153516.00700000001</v>
      </c>
      <c r="AK43" s="31">
        <f>+AK31+AJ31+AI31+AH31</f>
        <v>158690.03600000002</v>
      </c>
      <c r="AL43" s="31">
        <f t="shared" si="102"/>
        <v>152733.223</v>
      </c>
      <c r="AM43" s="31">
        <f t="shared" si="102"/>
        <v>165121.77700000003</v>
      </c>
      <c r="AN43" s="31">
        <f t="shared" ref="AN43:BI43" si="103">+AN31+AM31+AL31+AK31</f>
        <v>183777.27600000004</v>
      </c>
      <c r="AO43" s="31">
        <f t="shared" si="103"/>
        <v>201646.54399999999</v>
      </c>
      <c r="AP43" s="31">
        <f t="shared" si="103"/>
        <v>241770.18400000001</v>
      </c>
      <c r="AQ43" s="31">
        <f t="shared" si="103"/>
        <v>281667.27900000004</v>
      </c>
      <c r="AR43" s="31">
        <f t="shared" si="103"/>
        <v>346688.70199999999</v>
      </c>
      <c r="AS43" s="31">
        <f t="shared" si="103"/>
        <v>441488.75</v>
      </c>
      <c r="AT43" s="31">
        <f t="shared" si="103"/>
        <v>600607.17599999998</v>
      </c>
      <c r="AU43" s="31">
        <f t="shared" si="103"/>
        <v>769951.14799999993</v>
      </c>
      <c r="AV43" s="31">
        <f t="shared" si="103"/>
        <v>901857</v>
      </c>
      <c r="AW43" s="31">
        <f t="shared" si="103"/>
        <v>1136428.953</v>
      </c>
      <c r="AX43" s="31">
        <f t="shared" si="103"/>
        <v>1369791.8910000001</v>
      </c>
      <c r="AY43" s="31">
        <f t="shared" si="103"/>
        <v>1737649.763</v>
      </c>
      <c r="AZ43" s="31">
        <f t="shared" si="103"/>
        <v>2316773</v>
      </c>
      <c r="BA43" s="31">
        <f t="shared" si="103"/>
        <v>2380511</v>
      </c>
      <c r="BB43" s="31">
        <f t="shared" si="103"/>
        <v>2434828</v>
      </c>
      <c r="BC43" s="31">
        <f t="shared" si="103"/>
        <v>2366709</v>
      </c>
      <c r="BD43" s="31">
        <f>+BD31+BC31+BB31+BA31</f>
        <v>2317907</v>
      </c>
      <c r="BE43" s="31">
        <f t="shared" si="103"/>
        <v>2405812</v>
      </c>
      <c r="BF43" s="31">
        <f t="shared" si="103"/>
        <v>2491115</v>
      </c>
      <c r="BG43" s="31">
        <f t="shared" si="103"/>
        <v>2619242</v>
      </c>
      <c r="BH43" s="31">
        <f>+BH31+BG31+BF31+BE31</f>
        <v>2757295</v>
      </c>
      <c r="BI43" s="31">
        <f t="shared" si="103"/>
        <v>2957018</v>
      </c>
      <c r="BJ43" s="31"/>
      <c r="BK43" s="31"/>
      <c r="BL43" s="37"/>
      <c r="BM43" s="37"/>
      <c r="BN43" s="31">
        <f>BN31+AZ31+AY31+AX31</f>
        <v>2552137</v>
      </c>
      <c r="BO43" s="31">
        <f>+BO31+BN31+AY31+AZ31</f>
        <v>2789217</v>
      </c>
      <c r="BP43" s="31">
        <f>+BP31+BO31+AZ31+BN31</f>
        <v>2907783</v>
      </c>
      <c r="BQ43" s="31">
        <f>S43</f>
        <v>3033955</v>
      </c>
      <c r="BR43" s="31">
        <f>BR31+BD31+BC31+BB31</f>
        <v>2571965</v>
      </c>
      <c r="BS43" s="31"/>
      <c r="BT43" s="31">
        <f>+BT31+BS31</f>
        <v>69491</v>
      </c>
      <c r="BU43" s="31">
        <f>+BU31+BT31</f>
        <v>68485</v>
      </c>
      <c r="BV43" s="31">
        <f>+BV31+BU31</f>
        <v>70432.243000000002</v>
      </c>
      <c r="BW43" s="75"/>
      <c r="BX43" s="31">
        <f t="shared" ref="BX43:CJ43" si="104">+BX31+BW31</f>
        <v>183777.27600000001</v>
      </c>
      <c r="BY43" s="31">
        <f t="shared" si="104"/>
        <v>241770.18400000001</v>
      </c>
      <c r="BZ43" s="31">
        <f t="shared" si="104"/>
        <v>346688.70199999999</v>
      </c>
      <c r="CA43" s="31">
        <f t="shared" si="104"/>
        <v>600607.17599999998</v>
      </c>
      <c r="CB43" s="31">
        <f t="shared" si="104"/>
        <v>901857</v>
      </c>
      <c r="CC43" s="31">
        <f t="shared" si="104"/>
        <v>1006280.8910000001</v>
      </c>
      <c r="CD43" s="31">
        <f t="shared" si="104"/>
        <v>1604647</v>
      </c>
      <c r="CE43" s="31">
        <f t="shared" si="104"/>
        <v>2124070</v>
      </c>
      <c r="CF43" s="31">
        <f t="shared" si="104"/>
        <v>2317907</v>
      </c>
      <c r="CG43" s="31">
        <f t="shared" si="104"/>
        <v>2485595</v>
      </c>
      <c r="CI43" s="31">
        <f t="shared" si="104"/>
        <v>886314</v>
      </c>
      <c r="CJ43" s="31">
        <f t="shared" si="104"/>
        <v>2316773</v>
      </c>
      <c r="CK43" s="31">
        <f>+CK31+CJ31</f>
        <v>2794082</v>
      </c>
    </row>
    <row r="44" spans="2:89" ht="13.5" customHeight="1">
      <c r="B44" s="1" t="s">
        <v>21</v>
      </c>
      <c r="D44" s="31">
        <f t="shared" ref="D44:J44" si="105">+D37</f>
        <v>4410</v>
      </c>
      <c r="E44" s="31">
        <f t="shared" si="105"/>
        <v>4962</v>
      </c>
      <c r="F44" s="31">
        <f t="shared" si="105"/>
        <v>4339</v>
      </c>
      <c r="G44" s="31">
        <f t="shared" si="105"/>
        <v>8236</v>
      </c>
      <c r="H44" s="31">
        <f t="shared" si="105"/>
        <v>6198.1909999999998</v>
      </c>
      <c r="I44" s="31">
        <f t="shared" si="105"/>
        <v>9045.5959999999995</v>
      </c>
      <c r="J44" s="31">
        <f t="shared" si="105"/>
        <v>13539.772000000001</v>
      </c>
      <c r="K44" s="31">
        <f t="shared" ref="K44:P44" si="106">+K37</f>
        <v>10696.350999999999</v>
      </c>
      <c r="L44" s="31">
        <f t="shared" si="106"/>
        <v>25393.096000000001</v>
      </c>
      <c r="M44" s="31">
        <f t="shared" si="106"/>
        <v>52188.904999999999</v>
      </c>
      <c r="N44" s="31">
        <f t="shared" si="106"/>
        <v>166227</v>
      </c>
      <c r="O44" s="31">
        <f t="shared" si="106"/>
        <v>293111</v>
      </c>
      <c r="P44" s="31">
        <f t="shared" si="106"/>
        <v>249217</v>
      </c>
      <c r="Q44" s="31">
        <f t="shared" ref="Q44:W44" si="107">+Q37</f>
        <v>359817</v>
      </c>
      <c r="R44" s="31">
        <f t="shared" si="107"/>
        <v>136399</v>
      </c>
      <c r="S44" s="31">
        <f t="shared" si="107"/>
        <v>178536</v>
      </c>
      <c r="T44" s="31">
        <f t="shared" si="107"/>
        <v>212362</v>
      </c>
      <c r="U44" s="31">
        <f>+U37</f>
        <v>234622</v>
      </c>
      <c r="V44" s="31">
        <f t="shared" si="107"/>
        <v>0</v>
      </c>
      <c r="W44" s="31">
        <f t="shared" si="107"/>
        <v>0</v>
      </c>
      <c r="X44" s="31"/>
      <c r="Y44" s="31"/>
      <c r="Z44" s="31"/>
      <c r="AA44" s="31"/>
      <c r="AB44" s="31">
        <f t="shared" ref="AB44:AM44" si="108">+AB37+AA37+Z37+Y37</f>
        <v>9045.5959999999995</v>
      </c>
      <c r="AC44" s="31">
        <f t="shared" si="108"/>
        <v>8460.4519999999993</v>
      </c>
      <c r="AD44" s="31">
        <f t="shared" si="108"/>
        <v>9359.2849999999999</v>
      </c>
      <c r="AE44" s="31">
        <f t="shared" si="108"/>
        <v>12237.579</v>
      </c>
      <c r="AF44" s="31">
        <f t="shared" si="108"/>
        <v>13539.771999999999</v>
      </c>
      <c r="AG44" s="31">
        <f t="shared" si="108"/>
        <v>13796.512999999999</v>
      </c>
      <c r="AH44" s="31">
        <f t="shared" si="108"/>
        <v>13880.717999999999</v>
      </c>
      <c r="AI44" s="31">
        <f t="shared" si="108"/>
        <v>11450.026999999998</v>
      </c>
      <c r="AJ44" s="31">
        <f>+AJ37+AI37+AH37+AG37</f>
        <v>10696.351000000001</v>
      </c>
      <c r="AK44" s="31">
        <f>+AK37+AJ37+AI37+AH37</f>
        <v>11997.299000000001</v>
      </c>
      <c r="AL44" s="31">
        <f t="shared" si="108"/>
        <v>14805.502</v>
      </c>
      <c r="AM44" s="31">
        <f t="shared" si="108"/>
        <v>20909.705000000002</v>
      </c>
      <c r="AN44" s="31">
        <f t="shared" ref="AN44:BI44" si="109">+AN37+AM37+AL37+AK37</f>
        <v>25393.096000000005</v>
      </c>
      <c r="AO44" s="31">
        <f t="shared" si="109"/>
        <v>30501.303</v>
      </c>
      <c r="AP44" s="31">
        <f t="shared" si="109"/>
        <v>33739.647000000004</v>
      </c>
      <c r="AQ44" s="31">
        <f t="shared" si="109"/>
        <v>36313.808000000005</v>
      </c>
      <c r="AR44" s="31">
        <f t="shared" si="109"/>
        <v>52188.904999999999</v>
      </c>
      <c r="AS44" s="31">
        <f t="shared" si="109"/>
        <v>66141.245999999999</v>
      </c>
      <c r="AT44" s="31">
        <f t="shared" si="109"/>
        <v>97224.421000000002</v>
      </c>
      <c r="AU44" s="31">
        <f t="shared" si="109"/>
        <v>134990.049</v>
      </c>
      <c r="AV44" s="31">
        <f t="shared" si="109"/>
        <v>166227</v>
      </c>
      <c r="AW44" s="31">
        <f t="shared" si="109"/>
        <v>206383.53899999999</v>
      </c>
      <c r="AX44" s="31">
        <f t="shared" si="109"/>
        <v>250199.86100000003</v>
      </c>
      <c r="AY44" s="31">
        <f t="shared" si="109"/>
        <v>313359.84600000002</v>
      </c>
      <c r="AZ44" s="31">
        <f t="shared" si="109"/>
        <v>359817</v>
      </c>
      <c r="BA44" s="31">
        <f t="shared" si="109"/>
        <v>338828</v>
      </c>
      <c r="BB44" s="31">
        <f t="shared" si="109"/>
        <v>289435</v>
      </c>
      <c r="BC44" s="31">
        <f t="shared" si="109"/>
        <v>208879</v>
      </c>
      <c r="BD44" s="31">
        <f>+BD37+BC37+BB37+BA37</f>
        <v>136399</v>
      </c>
      <c r="BE44" s="31">
        <f t="shared" si="109"/>
        <v>133872</v>
      </c>
      <c r="BF44" s="31">
        <f>+BF37+BE37+BD37+BC37</f>
        <v>147755</v>
      </c>
      <c r="BG44" s="31">
        <f t="shared" si="109"/>
        <v>172237</v>
      </c>
      <c r="BH44" s="31">
        <f>+BH37+BG37+BF37+BE37</f>
        <v>212362</v>
      </c>
      <c r="BI44" s="31">
        <f t="shared" si="109"/>
        <v>234622</v>
      </c>
      <c r="BJ44" s="31"/>
      <c r="BK44" s="31"/>
      <c r="BL44" s="37"/>
      <c r="BM44" s="37"/>
      <c r="BN44" s="31">
        <f>BN37+AZ37+AY37+AX37</f>
        <v>348407</v>
      </c>
      <c r="BO44" s="31">
        <f>+BO37+BN37+AZ37+AY37</f>
        <v>359275</v>
      </c>
      <c r="BP44" s="31">
        <f>+BP37+BO37+BA37+AZ37</f>
        <v>272641</v>
      </c>
      <c r="BQ44" s="31">
        <f>S44</f>
        <v>178536</v>
      </c>
      <c r="BR44" s="31">
        <f>BR37+BD37+BC37+BB37</f>
        <v>145909</v>
      </c>
      <c r="BS44" s="31"/>
      <c r="BT44" s="31">
        <f>+BT37+BS37</f>
        <v>6611.4159999999993</v>
      </c>
      <c r="BU44" s="31">
        <f>+BU37+BT37</f>
        <v>6438.53</v>
      </c>
      <c r="BV44" s="31">
        <f>+BV37+BU37</f>
        <v>6198.1909999999998</v>
      </c>
      <c r="BW44" s="75"/>
      <c r="BX44" s="31">
        <f t="shared" ref="BX44:CK44" si="110">+BX37+BW37</f>
        <v>25393.096000000001</v>
      </c>
      <c r="BY44" s="31">
        <f t="shared" si="110"/>
        <v>33739.646999999997</v>
      </c>
      <c r="BZ44" s="31">
        <f t="shared" si="110"/>
        <v>52188.904999999999</v>
      </c>
      <c r="CA44" s="31">
        <f t="shared" si="110"/>
        <v>97224.421000000002</v>
      </c>
      <c r="CB44" s="31">
        <f t="shared" si="110"/>
        <v>166227</v>
      </c>
      <c r="CC44" s="31">
        <f t="shared" si="110"/>
        <v>187165.861</v>
      </c>
      <c r="CD44" s="31">
        <f t="shared" si="110"/>
        <v>249217</v>
      </c>
      <c r="CE44" s="31">
        <f t="shared" si="110"/>
        <v>245359</v>
      </c>
      <c r="CF44" s="31">
        <f t="shared" si="110"/>
        <v>136399</v>
      </c>
      <c r="CG44" s="31">
        <f>+CG37+CF37</f>
        <v>125612</v>
      </c>
      <c r="CI44" s="31">
        <f t="shared" si="110"/>
        <v>151406</v>
      </c>
      <c r="CJ44" s="31">
        <f t="shared" si="110"/>
        <v>359817</v>
      </c>
      <c r="CK44" s="31">
        <f t="shared" si="110"/>
        <v>350986</v>
      </c>
    </row>
    <row r="45" spans="2:89" ht="13.5" customHeight="1"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BJ45" s="31"/>
      <c r="BK45" s="31"/>
      <c r="BL45" s="37"/>
      <c r="BM45" s="37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I45" s="31"/>
      <c r="CJ45" s="31"/>
      <c r="CK45" s="31"/>
    </row>
    <row r="46" spans="2:89" s="6" customFormat="1" ht="13.5" customHeight="1">
      <c r="B46" s="1" t="s">
        <v>146</v>
      </c>
      <c r="D46" s="74">
        <v>3327.547</v>
      </c>
      <c r="E46" s="74">
        <v>3529.2649999999999</v>
      </c>
      <c r="F46" s="74">
        <v>4103.6670000000004</v>
      </c>
      <c r="G46" s="74">
        <v>2291.9969999999998</v>
      </c>
      <c r="H46" s="37">
        <v>8318.3150000000005</v>
      </c>
      <c r="I46" s="37">
        <v>5065.6409999999996</v>
      </c>
      <c r="J46" s="37">
        <v>6830.0540000000001</v>
      </c>
      <c r="K46" s="37">
        <v>19017.986000000001</v>
      </c>
      <c r="L46" s="37">
        <v>20209.814999999999</v>
      </c>
      <c r="M46" s="37">
        <v>50664.146999999997</v>
      </c>
      <c r="N46" s="37">
        <v>115479</v>
      </c>
      <c r="O46" s="37">
        <v>153543</v>
      </c>
      <c r="P46" s="37">
        <v>339016</v>
      </c>
      <c r="Q46" s="37">
        <v>489465</v>
      </c>
      <c r="R46" s="37">
        <v>116308</v>
      </c>
      <c r="S46" s="37">
        <v>152242</v>
      </c>
      <c r="T46" s="37">
        <v>-101956</v>
      </c>
      <c r="U46" s="31">
        <f>BG46+BF46+BH46+BI46</f>
        <v>-12217</v>
      </c>
      <c r="V46" s="38"/>
      <c r="W46" s="38"/>
      <c r="X46" s="33"/>
      <c r="Y46" s="37">
        <v>524.39800000000002</v>
      </c>
      <c r="Z46" s="37">
        <f>2311.695-Y46</f>
        <v>1787.297</v>
      </c>
      <c r="AA46" s="37">
        <f>4522.42-Z46-Y46</f>
        <v>2210.7249999999999</v>
      </c>
      <c r="AB46" s="31">
        <f>I46-AA46-Z46-Y46</f>
        <v>543.22099999999966</v>
      </c>
      <c r="AC46" s="37">
        <v>-470.03899999999999</v>
      </c>
      <c r="AD46" s="37">
        <f>3166.38-AC46</f>
        <v>3636.4189999999999</v>
      </c>
      <c r="AE46" s="37">
        <f>5169.215-AD46-AC46</f>
        <v>2002.8350000000003</v>
      </c>
      <c r="AF46" s="31">
        <f>J46-AE46-AD46-AC46</f>
        <v>1660.8390000000002</v>
      </c>
      <c r="AG46" s="37">
        <v>5873.2569999999996</v>
      </c>
      <c r="AH46" s="37">
        <f>11013.459-AG46</f>
        <v>5140.2020000000011</v>
      </c>
      <c r="AI46" s="37">
        <f>14466.364-AH46-AG46</f>
        <v>3452.9049999999988</v>
      </c>
      <c r="AJ46" s="31">
        <f>K46-AI46-AH46-AG46</f>
        <v>4551.6220000000012</v>
      </c>
      <c r="AK46" s="37">
        <v>5743.2550000000001</v>
      </c>
      <c r="AL46" s="37">
        <f>10875.612-AK46</f>
        <v>5132.3569999999991</v>
      </c>
      <c r="AM46" s="37">
        <f>5514.364-AL46-AK46</f>
        <v>-5361.2479999999996</v>
      </c>
      <c r="AN46" s="31">
        <f>L46-AM46-AL46-AK46</f>
        <v>14695.450999999997</v>
      </c>
      <c r="AO46" s="37">
        <v>8866.7800000000007</v>
      </c>
      <c r="AP46" s="37">
        <f>17766.751-AO46</f>
        <v>8899.9709999999995</v>
      </c>
      <c r="AQ46" s="37">
        <f>32173.516-AP46-AO46</f>
        <v>14406.764999999998</v>
      </c>
      <c r="AR46" s="31">
        <f>M46-AQ46-AP46-AO46</f>
        <v>18490.631000000001</v>
      </c>
      <c r="AS46" s="37">
        <v>23376.923999999999</v>
      </c>
      <c r="AT46" s="37">
        <f>57977.459-AS46</f>
        <v>34600.535000000003</v>
      </c>
      <c r="AU46" s="37">
        <f>71485.456-AT46-AS46</f>
        <v>13507.997000000003</v>
      </c>
      <c r="AV46" s="31">
        <f>N46-AU46-AT46-AS46</f>
        <v>43993.543999999994</v>
      </c>
      <c r="AW46" s="37">
        <v>154703</v>
      </c>
      <c r="AX46" s="37">
        <f>131997-AW46</f>
        <v>-22706</v>
      </c>
      <c r="AY46" s="37">
        <f>424611-AX46-AW46</f>
        <v>292614</v>
      </c>
      <c r="AZ46" s="31">
        <f>Q46-AY46-AX46-AW46</f>
        <v>64854</v>
      </c>
      <c r="BA46" s="37">
        <v>-58747</v>
      </c>
      <c r="BB46" s="37">
        <f>89843-BA46</f>
        <v>148590</v>
      </c>
      <c r="BC46" s="37">
        <f>85903-BB46-BA46</f>
        <v>-3940</v>
      </c>
      <c r="BD46" s="31">
        <f>R46-BC46-BB46-BA46</f>
        <v>30405</v>
      </c>
      <c r="BE46" s="37">
        <v>-13401</v>
      </c>
      <c r="BF46" s="37">
        <f>-51070-BE46</f>
        <v>-37669</v>
      </c>
      <c r="BG46" s="37">
        <f>-46711-BF46-BE46</f>
        <v>4359</v>
      </c>
      <c r="BH46" s="31">
        <f>T46-BG46-BF46-BE46</f>
        <v>-55245</v>
      </c>
      <c r="BI46" s="37">
        <v>76338</v>
      </c>
      <c r="BJ46" s="37"/>
      <c r="BK46" s="37"/>
      <c r="BL46" s="37"/>
      <c r="BM46" s="37"/>
      <c r="BN46" s="37">
        <v>-81133</v>
      </c>
      <c r="BO46" s="37">
        <f>60177-BN46</f>
        <v>141310</v>
      </c>
      <c r="BP46" s="37">
        <f>114173-60177</f>
        <v>53996</v>
      </c>
      <c r="BQ46" s="31">
        <f>S46-BN46-BO46-BP46</f>
        <v>38069</v>
      </c>
      <c r="BR46" s="37">
        <v>-17535</v>
      </c>
      <c r="BS46" s="37">
        <v>-483.43</v>
      </c>
      <c r="BT46" s="31">
        <f>G46-BS46</f>
        <v>2775.4269999999997</v>
      </c>
      <c r="BU46" s="37">
        <v>3461.6469999999999</v>
      </c>
      <c r="BV46" s="31">
        <f>H46-BU46</f>
        <v>4856.6680000000006</v>
      </c>
      <c r="BW46" s="37">
        <v>10875.611999999999</v>
      </c>
      <c r="BX46" s="31">
        <f>L46-BW46</f>
        <v>9334.2029999999995</v>
      </c>
      <c r="BY46" s="37">
        <f>17766.751</f>
        <v>17766.751</v>
      </c>
      <c r="BZ46" s="31">
        <f>M46-BY46</f>
        <v>32897.395999999993</v>
      </c>
      <c r="CA46" s="37">
        <v>57977.459000000003</v>
      </c>
      <c r="CB46" s="31">
        <f>N46-CA46</f>
        <v>57501.540999999997</v>
      </c>
      <c r="CC46" s="37">
        <v>131997</v>
      </c>
      <c r="CD46" s="31">
        <f>P46-CC46</f>
        <v>207019</v>
      </c>
      <c r="CE46" s="37">
        <v>89843</v>
      </c>
      <c r="CF46" s="31">
        <f>R46-CE46</f>
        <v>26465</v>
      </c>
      <c r="CG46" s="37">
        <f>-51070</f>
        <v>-51070</v>
      </c>
      <c r="CI46" s="76"/>
      <c r="CJ46" s="76"/>
      <c r="CK46" s="76"/>
    </row>
    <row r="47" spans="2:89" ht="13.5" customHeight="1">
      <c r="B47" s="7" t="s">
        <v>147</v>
      </c>
      <c r="D47" s="74">
        <v>-2845.7840000000001</v>
      </c>
      <c r="E47" s="74">
        <v>-3560.59</v>
      </c>
      <c r="F47" s="74">
        <v>-3559.4650000000001</v>
      </c>
      <c r="G47" s="74">
        <v>-2539.232</v>
      </c>
      <c r="H47" s="37">
        <v>-3181.1109999999999</v>
      </c>
      <c r="I47" s="37">
        <v>-3431.8710000000001</v>
      </c>
      <c r="J47" s="37">
        <v>-6524.4179999999997</v>
      </c>
      <c r="K47" s="37">
        <v>-5955.3329999999996</v>
      </c>
      <c r="L47" s="37">
        <v>12836.726000000001</v>
      </c>
      <c r="M47" s="37">
        <v>-53600.409</v>
      </c>
      <c r="N47" s="37">
        <v>-86421</v>
      </c>
      <c r="O47" s="37">
        <v>-85638</v>
      </c>
      <c r="P47" s="37">
        <v>-165463</v>
      </c>
      <c r="Q47" s="37">
        <v>-238892</v>
      </c>
      <c r="R47" s="37">
        <v>-121372</v>
      </c>
      <c r="S47" s="37">
        <v>-158866</v>
      </c>
      <c r="T47" s="37">
        <v>-190683</v>
      </c>
      <c r="U47" s="31">
        <f>BG47+BF47+BH47+BI47</f>
        <v>-249978</v>
      </c>
      <c r="V47" s="37"/>
      <c r="W47" s="31"/>
      <c r="X47" s="31"/>
      <c r="Y47" s="37">
        <v>-419.34500000000003</v>
      </c>
      <c r="Z47" s="37">
        <f>-1402.339-Y47</f>
        <v>-982.99399999999991</v>
      </c>
      <c r="AA47" s="37">
        <f>-2259.047-Z47-Y47</f>
        <v>-856.70800000000008</v>
      </c>
      <c r="AB47" s="31">
        <f>I47-AA47-Z47-Y47</f>
        <v>-1172.8240000000001</v>
      </c>
      <c r="AC47" s="37">
        <v>-1482.72</v>
      </c>
      <c r="AD47" s="37">
        <f>-4638.537-AC47</f>
        <v>-3155.817</v>
      </c>
      <c r="AE47" s="37">
        <f>-5618.33-AD47-AC47</f>
        <v>-979.79299999999989</v>
      </c>
      <c r="AF47" s="31">
        <f>J47-AE47-AD47-AC47</f>
        <v>-906.08799999999997</v>
      </c>
      <c r="AG47" s="37">
        <v>-1856.864</v>
      </c>
      <c r="AH47" s="37">
        <f>-3768.021-AG47</f>
        <v>-1911.1570000000002</v>
      </c>
      <c r="AI47" s="37">
        <f>-4447.707-AH47-AG47</f>
        <v>-679.68600000000015</v>
      </c>
      <c r="AJ47" s="31">
        <f>K47-AI47-AH47-AG47</f>
        <v>-1507.6259999999988</v>
      </c>
      <c r="AK47" s="37">
        <v>30684.177</v>
      </c>
      <c r="AL47" s="37">
        <f>23091.203-AK47</f>
        <v>-7592.9739999999983</v>
      </c>
      <c r="AM47" s="37">
        <f>17360.282-AL47-AK47</f>
        <v>-5730.9210000000021</v>
      </c>
      <c r="AN47" s="31">
        <f>L47-AM47-AL47-AK47</f>
        <v>-4523.5559999999969</v>
      </c>
      <c r="AO47" s="37">
        <v>-10924.47</v>
      </c>
      <c r="AP47" s="37">
        <f>-19402.567-AO47</f>
        <v>-8478.0969999999998</v>
      </c>
      <c r="AQ47" s="37">
        <f>-29842.449-AP47-AO47</f>
        <v>-10439.882</v>
      </c>
      <c r="AR47" s="31">
        <f>M47-AQ47-AP47-AO47</f>
        <v>-23757.96</v>
      </c>
      <c r="AS47" s="37">
        <v>-13414.694</v>
      </c>
      <c r="AT47" s="37">
        <f>-45820.858-AS47</f>
        <v>-32406.164000000001</v>
      </c>
      <c r="AU47" s="37">
        <f>-60263.614-AT47-AS47</f>
        <v>-14442.756000000001</v>
      </c>
      <c r="AV47" s="31">
        <f>N47-AU47-AT47-AS47</f>
        <v>-26157.386000000002</v>
      </c>
      <c r="AW47" s="37">
        <v>-38234</v>
      </c>
      <c r="AX47" s="37">
        <f>-101117-AW47</f>
        <v>-62883</v>
      </c>
      <c r="AY47" s="37">
        <f>-195025-AX47-AW47</f>
        <v>-93908</v>
      </c>
      <c r="AZ47" s="31">
        <f>Q47-AY47-AX47-AW47</f>
        <v>-43867</v>
      </c>
      <c r="BA47" s="37">
        <v>-65992</v>
      </c>
      <c r="BB47" s="37">
        <f>-126763-BA47</f>
        <v>-60771</v>
      </c>
      <c r="BC47" s="37">
        <f>-78826-BB47-BA47</f>
        <v>47937</v>
      </c>
      <c r="BD47" s="31">
        <f>R47-BC47-BB47-BA47</f>
        <v>-42546</v>
      </c>
      <c r="BE47" s="37">
        <v>18036</v>
      </c>
      <c r="BF47" s="37">
        <f>-46931-BE47</f>
        <v>-64967</v>
      </c>
      <c r="BG47" s="37">
        <f>-88617-BF47-BE47</f>
        <v>-41686</v>
      </c>
      <c r="BH47" s="31">
        <f>T47-BG47-BF47-BE47</f>
        <v>-102066</v>
      </c>
      <c r="BI47" s="37">
        <v>-41259</v>
      </c>
      <c r="BJ47" s="37"/>
      <c r="BK47" s="37"/>
      <c r="BL47" s="37"/>
      <c r="BM47" s="37"/>
      <c r="BN47" s="37">
        <v>-91138</v>
      </c>
      <c r="BO47" s="37">
        <f>-110035-BN47</f>
        <v>-18897</v>
      </c>
      <c r="BP47" s="37">
        <f>-104737-(-110035)</f>
        <v>5298</v>
      </c>
      <c r="BQ47" s="31">
        <f>S47-BN47-BO47-BP47</f>
        <v>-54129</v>
      </c>
      <c r="BR47" s="37">
        <v>23604</v>
      </c>
      <c r="BS47" s="37">
        <v>-1433.751</v>
      </c>
      <c r="BT47" s="31">
        <f>G47-BS47</f>
        <v>-1105.481</v>
      </c>
      <c r="BU47" s="37">
        <v>-1286.1410000000001</v>
      </c>
      <c r="BV47" s="31">
        <f>H47-BU47</f>
        <v>-1894.9699999999998</v>
      </c>
      <c r="BW47" s="37">
        <v>23091.203000000001</v>
      </c>
      <c r="BX47" s="31">
        <f>L47-BW47</f>
        <v>-10254.477000000001</v>
      </c>
      <c r="BY47" s="37">
        <f>-19402.567</f>
        <v>-19402.566999999999</v>
      </c>
      <c r="BZ47" s="31">
        <f>M47-BY47</f>
        <v>-34197.842000000004</v>
      </c>
      <c r="CA47" s="37">
        <v>-45820.858</v>
      </c>
      <c r="CB47" s="31">
        <f>N47-CA47</f>
        <v>-40600.142</v>
      </c>
      <c r="CC47" s="37">
        <v>-101117</v>
      </c>
      <c r="CD47" s="31">
        <f>P47-CC47</f>
        <v>-64346</v>
      </c>
      <c r="CE47" s="37">
        <v>-126763</v>
      </c>
      <c r="CF47" s="31">
        <f>R47-CE47</f>
        <v>5391</v>
      </c>
      <c r="CG47" s="37">
        <f>-46931</f>
        <v>-46931</v>
      </c>
      <c r="CI47" s="76"/>
      <c r="CJ47" s="76"/>
      <c r="CK47" s="76"/>
    </row>
    <row r="48" spans="2:89" ht="13.5" customHeight="1">
      <c r="B48" s="7" t="s">
        <v>148</v>
      </c>
      <c r="D48" s="74">
        <v>1994.0119999999999</v>
      </c>
      <c r="E48" s="74">
        <v>421.93200000000002</v>
      </c>
      <c r="F48" s="74">
        <v>-66.483000000000004</v>
      </c>
      <c r="G48" s="74">
        <v>-270.77600000000001</v>
      </c>
      <c r="H48" s="37">
        <v>-883.82799999999997</v>
      </c>
      <c r="I48" s="37">
        <v>984.26099999999997</v>
      </c>
      <c r="J48" s="37">
        <v>-2219.27</v>
      </c>
      <c r="K48" s="37">
        <v>-3016.73</v>
      </c>
      <c r="L48" s="37">
        <v>-10849.553</v>
      </c>
      <c r="M48" s="37">
        <v>10201.878000000001</v>
      </c>
      <c r="N48" s="37">
        <v>673</v>
      </c>
      <c r="O48" s="37">
        <v>-5561</v>
      </c>
      <c r="P48" s="37">
        <v>-17416</v>
      </c>
      <c r="Q48" s="37">
        <v>-25144</v>
      </c>
      <c r="R48" s="37">
        <v>9597</v>
      </c>
      <c r="S48" s="37">
        <v>12560</v>
      </c>
      <c r="T48" s="37">
        <v>281903</v>
      </c>
      <c r="U48" s="31">
        <f>BG48+BF48+BH48+BI48</f>
        <v>279611</v>
      </c>
      <c r="V48" s="31"/>
      <c r="W48" s="31"/>
      <c r="X48" s="31"/>
      <c r="Y48" s="37">
        <v>1429.3710000000001</v>
      </c>
      <c r="Z48" s="37">
        <f>-2071.31-Y48</f>
        <v>-3500.681</v>
      </c>
      <c r="AA48" s="37">
        <f>-1144.668-Z48-Y48</f>
        <v>926.64199999999983</v>
      </c>
      <c r="AB48" s="31">
        <f>I48-AA48-Z48-Y48</f>
        <v>2128.9290000000001</v>
      </c>
      <c r="AC48" s="37">
        <v>1198.883</v>
      </c>
      <c r="AD48" s="37">
        <f>-2909.299-AC48</f>
        <v>-4108.1819999999998</v>
      </c>
      <c r="AE48" s="37">
        <f>-1498.97-AD48-AC48</f>
        <v>1410.3289999999995</v>
      </c>
      <c r="AF48" s="31">
        <f>J48-AE48-AD48-AC48</f>
        <v>-720.2999999999995</v>
      </c>
      <c r="AG48" s="37">
        <v>7701.768</v>
      </c>
      <c r="AH48" s="37">
        <f>522.475-AG48</f>
        <v>-7179.2929999999997</v>
      </c>
      <c r="AI48" s="37">
        <f>-2731.752-AH48-AG48</f>
        <v>-3254.2270000000008</v>
      </c>
      <c r="AJ48" s="31">
        <f>K48-AI48-AH48-AG48</f>
        <v>-284.97799999999916</v>
      </c>
      <c r="AK48" s="37">
        <v>-465.14699999999999</v>
      </c>
      <c r="AL48" s="37">
        <f>-1898.007-AK48</f>
        <v>-1432.8600000000001</v>
      </c>
      <c r="AM48" s="37">
        <f>-4412.027-AL48-AK48</f>
        <v>-2514.02</v>
      </c>
      <c r="AN48" s="31">
        <f>L48-AM48-AL48-AK48</f>
        <v>-6437.5259999999989</v>
      </c>
      <c r="AO48" s="37">
        <v>2949.942</v>
      </c>
      <c r="AP48" s="37">
        <f>5009.838-AO48</f>
        <v>2059.8959999999997</v>
      </c>
      <c r="AQ48" s="37">
        <f>-2060.892-AP48-AO48</f>
        <v>-7070.73</v>
      </c>
      <c r="AR48" s="31">
        <f>M48-AQ48-AP48-AO48</f>
        <v>12262.77</v>
      </c>
      <c r="AS48" s="37">
        <v>-12237.612999999999</v>
      </c>
      <c r="AT48" s="37">
        <f>-14775.939-AS48</f>
        <v>-2538.3260000000009</v>
      </c>
      <c r="AU48" s="37">
        <f>-2727.881-AT48-AS48</f>
        <v>12048.058000000001</v>
      </c>
      <c r="AV48" s="31">
        <f>N48-AU48-AT48-AS48</f>
        <v>3400.8809999999994</v>
      </c>
      <c r="AW48" s="37">
        <v>-36246</v>
      </c>
      <c r="AX48" s="37">
        <f>-23958-AW48</f>
        <v>12288</v>
      </c>
      <c r="AY48" s="37">
        <f>-59224-AX48-AW48</f>
        <v>-35266</v>
      </c>
      <c r="AZ48" s="31">
        <f>Q48-AY48-AX48-AW48</f>
        <v>34080</v>
      </c>
      <c r="BA48" s="37">
        <v>35440</v>
      </c>
      <c r="BB48" s="37">
        <f>-8491-BA48</f>
        <v>-43931</v>
      </c>
      <c r="BC48" s="37">
        <f>18622-BB48-BA48</f>
        <v>27113</v>
      </c>
      <c r="BD48" s="31">
        <f>R48-BC48-BB48-BA48</f>
        <v>-9025</v>
      </c>
      <c r="BE48" s="37">
        <v>-9151</v>
      </c>
      <c r="BF48" s="37">
        <f>45606-BE48</f>
        <v>54757</v>
      </c>
      <c r="BG48" s="37">
        <f>172893-BF48-BE48</f>
        <v>127287</v>
      </c>
      <c r="BH48" s="31">
        <f>T48-BG48-BF48-BE48</f>
        <v>109010</v>
      </c>
      <c r="BI48" s="37">
        <v>-11443</v>
      </c>
      <c r="BJ48" s="37"/>
      <c r="BK48" s="37"/>
      <c r="BL48" s="37"/>
      <c r="BM48" s="37"/>
      <c r="BN48" s="37">
        <v>48944</v>
      </c>
      <c r="BO48" s="37">
        <f>-11468-BN48</f>
        <v>-60412</v>
      </c>
      <c r="BP48" s="37">
        <f>24823-(-11468)</f>
        <v>36291</v>
      </c>
      <c r="BQ48" s="31">
        <f>S48-BN48-BO48-BP48</f>
        <v>-12263</v>
      </c>
      <c r="BR48" s="37">
        <v>-11975</v>
      </c>
      <c r="BS48" s="37">
        <v>-88.197999999999993</v>
      </c>
      <c r="BT48" s="31">
        <f>G48-BS48</f>
        <v>-182.57800000000003</v>
      </c>
      <c r="BU48" s="37">
        <v>1498.232</v>
      </c>
      <c r="BV48" s="31">
        <f>H48-BU48</f>
        <v>-2382.06</v>
      </c>
      <c r="BW48" s="37">
        <v>-1898.0070000000001</v>
      </c>
      <c r="BX48" s="31">
        <f>L48-BW48</f>
        <v>-8951.5460000000003</v>
      </c>
      <c r="BY48" s="37">
        <f>5009.838</f>
        <v>5009.8379999999997</v>
      </c>
      <c r="BZ48" s="31">
        <f>M48-BY48</f>
        <v>5192.0400000000009</v>
      </c>
      <c r="CA48" s="37">
        <v>-14775.939</v>
      </c>
      <c r="CB48" s="31">
        <f>N48-CA48</f>
        <v>15448.939</v>
      </c>
      <c r="CC48" s="37">
        <v>-23958</v>
      </c>
      <c r="CD48" s="31">
        <f>P48-CC48</f>
        <v>6542</v>
      </c>
      <c r="CE48" s="37">
        <v>-8491</v>
      </c>
      <c r="CF48" s="31">
        <f>R48-CE48</f>
        <v>18088</v>
      </c>
      <c r="CG48" s="37">
        <f>45606</f>
        <v>45606</v>
      </c>
      <c r="CI48" s="76"/>
      <c r="CJ48" s="76"/>
      <c r="CK48" s="76"/>
    </row>
    <row r="49" spans="2:89" ht="13.5" customHeight="1">
      <c r="B49" s="7" t="s">
        <v>149</v>
      </c>
      <c r="D49" s="37">
        <v>-102.995</v>
      </c>
      <c r="E49" s="37">
        <v>1316.652</v>
      </c>
      <c r="F49" s="37">
        <v>423.16199999999998</v>
      </c>
      <c r="G49" s="37">
        <v>1016.748</v>
      </c>
      <c r="H49" s="37">
        <v>2011.847</v>
      </c>
      <c r="I49" s="37">
        <v>1039.2860000000001</v>
      </c>
      <c r="J49" s="37">
        <v>5468.12</v>
      </c>
      <c r="K49" s="37">
        <v>2702.4769999999999</v>
      </c>
      <c r="L49" s="37">
        <v>26446.598999999998</v>
      </c>
      <c r="M49" s="37">
        <v>52853.767</v>
      </c>
      <c r="N49" s="37">
        <v>42349</v>
      </c>
      <c r="O49" s="37">
        <v>77452</v>
      </c>
      <c r="P49" s="37">
        <v>79112</v>
      </c>
      <c r="Q49" s="37">
        <v>114221</v>
      </c>
      <c r="R49" s="37">
        <v>40828</v>
      </c>
      <c r="S49" s="37">
        <v>53441</v>
      </c>
      <c r="T49" s="37">
        <v>67450</v>
      </c>
      <c r="U49" s="31">
        <f>BG49+BF49+BH49+BI49</f>
        <v>54764</v>
      </c>
      <c r="V49" s="31"/>
      <c r="W49" s="31"/>
      <c r="X49" s="31"/>
      <c r="Y49" s="37">
        <v>322.27199999999999</v>
      </c>
      <c r="Z49" s="37">
        <f>-6.692-Y49</f>
        <v>-328.964</v>
      </c>
      <c r="AA49" s="37">
        <f>178.779-Z49-Y49</f>
        <v>185.471</v>
      </c>
      <c r="AB49" s="31">
        <f>I49-AA49-Z49-Y49</f>
        <v>860.50700000000006</v>
      </c>
      <c r="AC49" s="37">
        <v>853.404</v>
      </c>
      <c r="AD49" s="37">
        <f>3053.052-AC49</f>
        <v>2199.6480000000001</v>
      </c>
      <c r="AE49" s="37">
        <f>8829.203-AD49-AC49</f>
        <v>5776.1509999999998</v>
      </c>
      <c r="AF49" s="31">
        <f>J49-AE49-AD49-AC49</f>
        <v>-3361.0830000000001</v>
      </c>
      <c r="AG49" s="37">
        <v>1380.682</v>
      </c>
      <c r="AH49" s="37">
        <f>2056.203-AG49</f>
        <v>675.52099999999996</v>
      </c>
      <c r="AI49" s="37">
        <f>1517.027-AH49-AG49</f>
        <v>-539.17599999999993</v>
      </c>
      <c r="AJ49" s="31">
        <f>K49-AI49-AH49-AG49</f>
        <v>1185.4499999999996</v>
      </c>
      <c r="AK49" s="37">
        <v>6366.7780000000002</v>
      </c>
      <c r="AL49" s="37">
        <f>9925.05-AK49</f>
        <v>3558.271999999999</v>
      </c>
      <c r="AM49" s="37">
        <f>19228.344-AL49-AK49</f>
        <v>9303.2940000000017</v>
      </c>
      <c r="AN49" s="31">
        <f>L49-AM49-AL49-AK49</f>
        <v>7218.2549999999974</v>
      </c>
      <c r="AO49" s="37">
        <v>7326.393</v>
      </c>
      <c r="AP49" s="37">
        <f>12658.632-AO49</f>
        <v>5332.2389999999996</v>
      </c>
      <c r="AQ49" s="37">
        <f>13112.186-AP49-AO49</f>
        <v>453.55400000000009</v>
      </c>
      <c r="AR49" s="31">
        <f>M49-AQ49-AP49-AO49</f>
        <v>39741.581000000006</v>
      </c>
      <c r="AS49" s="37">
        <v>14519.617</v>
      </c>
      <c r="AT49" s="37">
        <f>27389.938-AS49</f>
        <v>12870.320999999998</v>
      </c>
      <c r="AU49" s="37">
        <f>38424.379-AT49-AS49</f>
        <v>11034.441000000004</v>
      </c>
      <c r="AV49" s="31">
        <f>N49-AU49-AT49-AS49</f>
        <v>3924.6209999999974</v>
      </c>
      <c r="AW49" s="37">
        <v>7156</v>
      </c>
      <c r="AX49" s="37">
        <f>47401-AW49</f>
        <v>40245</v>
      </c>
      <c r="AY49" s="37">
        <f>103018-AX49-AW49</f>
        <v>55617</v>
      </c>
      <c r="AZ49" s="31">
        <f>Q49-AY49-AX49-AW49</f>
        <v>11203</v>
      </c>
      <c r="BA49" s="37">
        <v>31247</v>
      </c>
      <c r="BB49" s="37">
        <f>23036-BA49</f>
        <v>-8211</v>
      </c>
      <c r="BC49" s="37">
        <f>38129-BB49-BA49</f>
        <v>15093</v>
      </c>
      <c r="BD49" s="31">
        <f>R49-BC49-BB49-BA49</f>
        <v>2699</v>
      </c>
      <c r="BE49" s="37">
        <v>20580</v>
      </c>
      <c r="BF49" s="37">
        <f>42195-BE49</f>
        <v>21615</v>
      </c>
      <c r="BG49" s="37">
        <f>57269-BF49-BE49</f>
        <v>15074</v>
      </c>
      <c r="BH49" s="31">
        <f>T49-BG49-BF49-BE49</f>
        <v>10181</v>
      </c>
      <c r="BI49" s="37">
        <v>7894</v>
      </c>
      <c r="BJ49" s="37"/>
      <c r="BK49" s="37"/>
      <c r="BL49" s="37"/>
      <c r="BM49" s="37"/>
      <c r="BN49" s="37">
        <v>43153</v>
      </c>
      <c r="BO49" s="37">
        <f>31110-BN49</f>
        <v>-12043</v>
      </c>
      <c r="BP49" s="37">
        <f>50824-31110</f>
        <v>19714</v>
      </c>
      <c r="BQ49" s="31">
        <f>S49-BN49-BO49-BP49</f>
        <v>2617</v>
      </c>
      <c r="BR49" s="37">
        <v>26932</v>
      </c>
      <c r="BS49" s="37">
        <v>601.50800000000004</v>
      </c>
      <c r="BT49" s="31">
        <f>G49-BS49</f>
        <v>415.24</v>
      </c>
      <c r="BU49" s="37">
        <v>-57.789000000000001</v>
      </c>
      <c r="BV49" s="31">
        <f>H49-BU49</f>
        <v>2069.636</v>
      </c>
      <c r="BW49" s="37">
        <v>9925.0499999999993</v>
      </c>
      <c r="BX49" s="31">
        <f>L49-BW49</f>
        <v>16521.548999999999</v>
      </c>
      <c r="BY49" s="37">
        <f>12658.632</f>
        <v>12658.632</v>
      </c>
      <c r="BZ49" s="31">
        <f>M49-BY49</f>
        <v>40195.135000000002</v>
      </c>
      <c r="CA49" s="37">
        <v>27389.937999999998</v>
      </c>
      <c r="CB49" s="31">
        <f>N49-CA49</f>
        <v>14959.062000000002</v>
      </c>
      <c r="CC49" s="37">
        <v>47401</v>
      </c>
      <c r="CD49" s="31">
        <f>P49-CC49</f>
        <v>31711</v>
      </c>
      <c r="CE49" s="37">
        <v>23036</v>
      </c>
      <c r="CF49" s="31">
        <f>R49-CE49</f>
        <v>17792</v>
      </c>
      <c r="CG49" s="37">
        <f>42195</f>
        <v>42195</v>
      </c>
      <c r="CI49" s="76"/>
      <c r="CJ49" s="76"/>
      <c r="CK49" s="76"/>
    </row>
    <row r="50" spans="2:89" ht="13.5" customHeight="1">
      <c r="B50" s="7" t="s">
        <v>150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>
        <v>0</v>
      </c>
      <c r="O50" s="37">
        <v>-174284</v>
      </c>
      <c r="P50" s="37">
        <v>-176733</v>
      </c>
      <c r="Q50" s="37">
        <v>-255166</v>
      </c>
      <c r="R50" s="37">
        <v>-173191</v>
      </c>
      <c r="S50" s="37">
        <v>-226696</v>
      </c>
      <c r="T50" s="37">
        <v>-135462</v>
      </c>
      <c r="U50" s="31">
        <f>BG50+BF50+BH50+BI50</f>
        <v>-149652</v>
      </c>
      <c r="V50" s="31"/>
      <c r="W50" s="31"/>
      <c r="X50" s="31"/>
      <c r="Y50" s="37"/>
      <c r="Z50" s="37"/>
      <c r="AA50" s="37"/>
      <c r="AB50" s="31"/>
      <c r="AC50" s="37"/>
      <c r="AD50" s="37"/>
      <c r="AE50" s="37"/>
      <c r="AF50" s="31"/>
      <c r="AG50" s="37"/>
      <c r="AH50" s="37"/>
      <c r="AI50" s="37"/>
      <c r="AJ50" s="31"/>
      <c r="AK50" s="37"/>
      <c r="AL50" s="37"/>
      <c r="AM50" s="37"/>
      <c r="AN50" s="31"/>
      <c r="AO50" s="37"/>
      <c r="AP50" s="37"/>
      <c r="AQ50" s="37"/>
      <c r="AR50" s="31"/>
      <c r="AS50" s="37"/>
      <c r="AT50" s="37"/>
      <c r="AU50" s="37"/>
      <c r="AV50" s="31">
        <f>N50-AU50-AT50-AS50</f>
        <v>0</v>
      </c>
      <c r="AW50" s="37"/>
      <c r="AX50" s="37"/>
      <c r="AY50" s="37">
        <f>-161804-AX50-AW50</f>
        <v>-161804</v>
      </c>
      <c r="AZ50" s="31">
        <f>Q50-AY50-AX50-AW50</f>
        <v>-93362</v>
      </c>
      <c r="BA50" s="37">
        <v>0</v>
      </c>
      <c r="BB50" s="37">
        <v>0</v>
      </c>
      <c r="BC50" s="37">
        <f>-139569-BB50-BA50</f>
        <v>-139569</v>
      </c>
      <c r="BD50" s="31">
        <f>R50-BC50-BB50-BA50</f>
        <v>-33622</v>
      </c>
      <c r="BE50" s="37">
        <v>-42593</v>
      </c>
      <c r="BF50" s="37">
        <f>-69050-BE50</f>
        <v>-26457</v>
      </c>
      <c r="BG50" s="37">
        <f>-108268-BF50-BE50</f>
        <v>-39218</v>
      </c>
      <c r="BH50" s="31">
        <f>T50-BG50-BF50-BE50</f>
        <v>-27194</v>
      </c>
      <c r="BI50" s="37">
        <v>-56783</v>
      </c>
      <c r="BJ50" s="37"/>
      <c r="BK50" s="37"/>
      <c r="BL50" s="37"/>
      <c r="BM50" s="37"/>
      <c r="BN50" s="37">
        <v>-81775</v>
      </c>
      <c r="BO50" s="37">
        <f>-128980-BN50</f>
        <v>-47205</v>
      </c>
      <c r="BP50" s="37">
        <f>-186040-(-128980)</f>
        <v>-57060</v>
      </c>
      <c r="BQ50" s="31">
        <f>S50-BN50-BO50-BP50</f>
        <v>-40656</v>
      </c>
      <c r="BR50" s="37">
        <v>-55743</v>
      </c>
      <c r="BS50" s="37"/>
      <c r="BT50" s="31"/>
      <c r="BU50" s="37"/>
      <c r="BV50" s="31"/>
      <c r="BW50" s="37"/>
      <c r="BX50" s="31"/>
      <c r="BY50" s="37"/>
      <c r="BZ50" s="31">
        <f>M50-BY50</f>
        <v>0</v>
      </c>
      <c r="CA50" s="37"/>
      <c r="CB50" s="31">
        <f>N50-CA50</f>
        <v>0</v>
      </c>
      <c r="CC50" s="37"/>
      <c r="CD50" s="31">
        <f>P50-CC50</f>
        <v>-176733</v>
      </c>
      <c r="CE50" s="37">
        <v>-95506</v>
      </c>
      <c r="CF50" s="31">
        <f>R50-CE50</f>
        <v>-77685</v>
      </c>
      <c r="CG50" s="37">
        <f>-69050</f>
        <v>-69050</v>
      </c>
      <c r="CI50" s="76"/>
      <c r="CJ50" s="76"/>
      <c r="CK50" s="76"/>
    </row>
    <row r="51" spans="2:89" s="6" customFormat="1" ht="13.5" customHeight="1">
      <c r="B51" s="16" t="s">
        <v>151</v>
      </c>
      <c r="D51" s="33">
        <f t="shared" ref="D51:J51" si="111">SUM(D46:D49)</f>
        <v>2372.7799999999997</v>
      </c>
      <c r="E51" s="33">
        <f t="shared" si="111"/>
        <v>1707.2589999999998</v>
      </c>
      <c r="F51" s="33">
        <f t="shared" si="111"/>
        <v>900.8810000000002</v>
      </c>
      <c r="G51" s="33">
        <f t="shared" si="111"/>
        <v>498.73699999999985</v>
      </c>
      <c r="H51" s="33">
        <f t="shared" si="111"/>
        <v>6265.223</v>
      </c>
      <c r="I51" s="33">
        <f t="shared" si="111"/>
        <v>3657.3169999999996</v>
      </c>
      <c r="J51" s="33">
        <f t="shared" si="111"/>
        <v>3554.4860000000003</v>
      </c>
      <c r="K51" s="33">
        <f>SUM(K46:K49)</f>
        <v>12748.400000000001</v>
      </c>
      <c r="L51" s="33">
        <f>SUM(L46:L49)</f>
        <v>48643.587</v>
      </c>
      <c r="M51" s="33">
        <f>SUM(M46:M49)</f>
        <v>60119.383000000002</v>
      </c>
      <c r="N51" s="33">
        <f t="shared" ref="N51:U51" si="112">SUM(N46:N50)</f>
        <v>72080</v>
      </c>
      <c r="O51" s="33">
        <f t="shared" si="112"/>
        <v>-34488</v>
      </c>
      <c r="P51" s="33">
        <f t="shared" si="112"/>
        <v>58516</v>
      </c>
      <c r="Q51" s="33">
        <f t="shared" si="112"/>
        <v>84484</v>
      </c>
      <c r="R51" s="33">
        <f t="shared" si="112"/>
        <v>-127830</v>
      </c>
      <c r="S51" s="33">
        <f t="shared" si="112"/>
        <v>-167319</v>
      </c>
      <c r="T51" s="33">
        <f t="shared" si="112"/>
        <v>-78748</v>
      </c>
      <c r="U51" s="33">
        <f t="shared" si="112"/>
        <v>-77472</v>
      </c>
      <c r="V51" s="33"/>
      <c r="W51" s="33"/>
      <c r="X51" s="33"/>
      <c r="Y51" s="33">
        <f t="shared" ref="Y51:AZ51" si="113">SUM(Y46:Y50)</f>
        <v>1856.6959999999999</v>
      </c>
      <c r="Z51" s="33">
        <f t="shared" si="113"/>
        <v>-3025.3419999999996</v>
      </c>
      <c r="AA51" s="33">
        <f t="shared" si="113"/>
        <v>2466.1299999999997</v>
      </c>
      <c r="AB51" s="33">
        <f t="shared" si="113"/>
        <v>2359.8329999999996</v>
      </c>
      <c r="AC51" s="33">
        <f t="shared" si="113"/>
        <v>99.52800000000002</v>
      </c>
      <c r="AD51" s="33">
        <f t="shared" si="113"/>
        <v>-1427.9319999999998</v>
      </c>
      <c r="AE51" s="33">
        <f t="shared" si="113"/>
        <v>8209.5220000000008</v>
      </c>
      <c r="AF51" s="33">
        <f t="shared" si="113"/>
        <v>-3326.6319999999996</v>
      </c>
      <c r="AG51" s="33">
        <f t="shared" si="113"/>
        <v>13098.843000000001</v>
      </c>
      <c r="AH51" s="33">
        <f t="shared" si="113"/>
        <v>-3274.726999999999</v>
      </c>
      <c r="AI51" s="33">
        <f t="shared" si="113"/>
        <v>-1020.184000000002</v>
      </c>
      <c r="AJ51" s="33">
        <f t="shared" si="113"/>
        <v>3944.4680000000026</v>
      </c>
      <c r="AK51" s="33">
        <f t="shared" si="113"/>
        <v>42329.063000000002</v>
      </c>
      <c r="AL51" s="33">
        <f t="shared" si="113"/>
        <v>-335.20500000000038</v>
      </c>
      <c r="AM51" s="33">
        <f t="shared" si="113"/>
        <v>-4302.8950000000004</v>
      </c>
      <c r="AN51" s="33">
        <f t="shared" si="113"/>
        <v>10952.624</v>
      </c>
      <c r="AO51" s="33">
        <f t="shared" si="113"/>
        <v>8218.6450000000004</v>
      </c>
      <c r="AP51" s="33">
        <f t="shared" si="113"/>
        <v>7814.0089999999991</v>
      </c>
      <c r="AQ51" s="33">
        <f t="shared" si="113"/>
        <v>-2650.2930000000015</v>
      </c>
      <c r="AR51" s="33">
        <f t="shared" si="113"/>
        <v>46737.022000000012</v>
      </c>
      <c r="AS51" s="33">
        <f t="shared" si="113"/>
        <v>12244.234</v>
      </c>
      <c r="AT51" s="33">
        <f t="shared" si="113"/>
        <v>12526.366</v>
      </c>
      <c r="AU51" s="33">
        <f t="shared" si="113"/>
        <v>22147.740000000005</v>
      </c>
      <c r="AV51" s="33">
        <f t="shared" si="113"/>
        <v>25161.659999999989</v>
      </c>
      <c r="AW51" s="33">
        <f t="shared" si="113"/>
        <v>87379</v>
      </c>
      <c r="AX51" s="33">
        <f t="shared" si="113"/>
        <v>-33056</v>
      </c>
      <c r="AY51" s="33">
        <f t="shared" si="113"/>
        <v>57253</v>
      </c>
      <c r="AZ51" s="33">
        <f t="shared" si="113"/>
        <v>-27092</v>
      </c>
      <c r="BA51" s="33">
        <f t="shared" ref="BA51:BG51" si="114">SUM(BA46:BA50)</f>
        <v>-58052</v>
      </c>
      <c r="BB51" s="33">
        <f t="shared" si="114"/>
        <v>35677</v>
      </c>
      <c r="BC51" s="33">
        <f t="shared" si="114"/>
        <v>-53366</v>
      </c>
      <c r="BD51" s="33">
        <f t="shared" si="114"/>
        <v>-52089</v>
      </c>
      <c r="BE51" s="33">
        <f t="shared" si="114"/>
        <v>-26529</v>
      </c>
      <c r="BF51" s="33">
        <f t="shared" si="114"/>
        <v>-52721</v>
      </c>
      <c r="BG51" s="33">
        <f t="shared" si="114"/>
        <v>65816</v>
      </c>
      <c r="BH51" s="33">
        <f>SUM(BH46:BH50)</f>
        <v>-65314</v>
      </c>
      <c r="BI51" s="33">
        <f>SUM(BI46:BI50)</f>
        <v>-25253</v>
      </c>
      <c r="BJ51" s="33"/>
      <c r="BK51" s="33"/>
      <c r="BL51" s="37"/>
      <c r="BM51" s="37"/>
      <c r="BN51" s="33">
        <f>SUM(BN46:BN50)</f>
        <v>-161949</v>
      </c>
      <c r="BO51" s="33">
        <f>SUM(BO46:BO50)</f>
        <v>2753</v>
      </c>
      <c r="BP51" s="33">
        <f>SUM(BP46:BP50)</f>
        <v>58239</v>
      </c>
      <c r="BQ51" s="33">
        <f>SUM(BQ46:BQ50)</f>
        <v>-66362</v>
      </c>
      <c r="BR51" s="33">
        <f>SUM(BR46:BR50)</f>
        <v>-34717</v>
      </c>
      <c r="BS51" s="33">
        <f t="shared" ref="BS51:CE51" si="115">SUM(BS46:BS50)</f>
        <v>-1403.8710000000001</v>
      </c>
      <c r="BT51" s="33">
        <f t="shared" si="115"/>
        <v>1902.6079999999997</v>
      </c>
      <c r="BU51" s="33">
        <f t="shared" si="115"/>
        <v>3615.9489999999996</v>
      </c>
      <c r="BV51" s="33">
        <f t="shared" si="115"/>
        <v>2649.2740000000008</v>
      </c>
      <c r="BW51" s="33">
        <f t="shared" si="115"/>
        <v>41993.858</v>
      </c>
      <c r="BX51" s="33">
        <f t="shared" si="115"/>
        <v>6649.7289999999975</v>
      </c>
      <c r="BY51" s="33">
        <f t="shared" si="115"/>
        <v>16032.654</v>
      </c>
      <c r="BZ51" s="33">
        <f t="shared" si="115"/>
        <v>44086.728999999992</v>
      </c>
      <c r="CA51" s="33">
        <f t="shared" si="115"/>
        <v>24770.6</v>
      </c>
      <c r="CB51" s="33">
        <f t="shared" si="115"/>
        <v>47309.399999999994</v>
      </c>
      <c r="CC51" s="33">
        <f t="shared" si="115"/>
        <v>54323</v>
      </c>
      <c r="CD51" s="33">
        <f t="shared" si="115"/>
        <v>4193</v>
      </c>
      <c r="CE51" s="33">
        <f t="shared" si="115"/>
        <v>-117881</v>
      </c>
      <c r="CF51" s="33">
        <f>SUM(CF46:CF50)</f>
        <v>-9949</v>
      </c>
      <c r="CG51" s="33">
        <f>SUM(CG46:CG50)</f>
        <v>-79250</v>
      </c>
      <c r="CI51" s="76"/>
      <c r="CJ51" s="76"/>
      <c r="CK51" s="76"/>
    </row>
    <row r="52" spans="2:89" ht="13.5" customHeight="1">
      <c r="B52" s="16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37"/>
      <c r="BM52" s="37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I52" s="76"/>
      <c r="CJ52" s="76"/>
      <c r="CK52" s="76"/>
    </row>
    <row r="53" spans="2:89" ht="13.5" customHeight="1">
      <c r="B53" s="7" t="s">
        <v>152</v>
      </c>
      <c r="D53" s="37">
        <v>4743</v>
      </c>
      <c r="E53" s="37">
        <v>4692</v>
      </c>
      <c r="F53" s="37">
        <v>5420</v>
      </c>
      <c r="G53" s="37">
        <v>7379</v>
      </c>
      <c r="H53" s="37">
        <f>2556.705+4926.372</f>
        <v>7483.0770000000002</v>
      </c>
      <c r="I53" s="37">
        <f>3402.487+9792.637</f>
        <v>13195.124</v>
      </c>
      <c r="J53" s="37">
        <f>8031.703+7581.929</f>
        <v>15613.632000000001</v>
      </c>
      <c r="K53" s="37">
        <f>13641.034+7644.733</f>
        <v>21285.767</v>
      </c>
      <c r="L53" s="37">
        <f>23766.653+47957.577</f>
        <v>71724.23</v>
      </c>
      <c r="M53" s="37">
        <f>61806.242+61704.287</f>
        <v>123510.52899999999</v>
      </c>
      <c r="N53" s="37">
        <f>92414+133538</f>
        <v>225952</v>
      </c>
      <c r="O53" s="37">
        <f>152273+220035</f>
        <v>372308</v>
      </c>
      <c r="P53" s="37">
        <f>221444+194432</f>
        <v>415876</v>
      </c>
      <c r="Q53" s="37">
        <f>277862+243967</f>
        <v>521829</v>
      </c>
      <c r="R53" s="37">
        <f>276806+249531</f>
        <v>526337</v>
      </c>
      <c r="S53" s="37">
        <f>362317+326616</f>
        <v>688933</v>
      </c>
      <c r="T53" s="31">
        <f>233739+519990</f>
        <v>753729</v>
      </c>
      <c r="U53" s="31">
        <f>BI53</f>
        <v>766170</v>
      </c>
      <c r="V53" s="31"/>
      <c r="W53" s="31"/>
      <c r="X53" s="31"/>
      <c r="Y53" s="37">
        <f>2915.636+5704.848</f>
        <v>8620.4840000000004</v>
      </c>
      <c r="Z53" s="37">
        <f>2409.54+8037.452</f>
        <v>10446.992</v>
      </c>
      <c r="AA53" s="37">
        <f>3025.876+9060.422</f>
        <v>12086.298000000001</v>
      </c>
      <c r="AB53" s="31">
        <f>I53</f>
        <v>13195.124</v>
      </c>
      <c r="AC53" s="37">
        <f>3423.526+12054.519</f>
        <v>15478.045</v>
      </c>
      <c r="AD53" s="37">
        <f>3336.929+10570.992</f>
        <v>13907.921</v>
      </c>
      <c r="AE53" s="37">
        <f>7853.733+9085.198</f>
        <v>16938.931</v>
      </c>
      <c r="AF53" s="31">
        <f>J53</f>
        <v>15613.632000000001</v>
      </c>
      <c r="AG53" s="37">
        <f>11014.721+7804.45</f>
        <v>18819.170999999998</v>
      </c>
      <c r="AH53" s="37">
        <f>12708.793+8305.801</f>
        <v>21014.593999999997</v>
      </c>
      <c r="AI53" s="37">
        <f>11099.022+8156.739</f>
        <v>19255.760999999999</v>
      </c>
      <c r="AJ53" s="31">
        <f>K53</f>
        <v>21285.767</v>
      </c>
      <c r="AK53" s="37">
        <f>26949.902+43255.861</f>
        <v>70205.762999999992</v>
      </c>
      <c r="AL53" s="37">
        <f>35983.908+32003.306</f>
        <v>67987.214000000007</v>
      </c>
      <c r="AM53" s="37">
        <f>35393.854+40051.992</f>
        <v>75445.84599999999</v>
      </c>
      <c r="AN53" s="31">
        <f>L53</f>
        <v>71724.23</v>
      </c>
      <c r="AO53" s="37">
        <f>30613.922+54884.424</f>
        <v>85498.34599999999</v>
      </c>
      <c r="AP53" s="37">
        <f>33392.208+57095.733</f>
        <v>90487.940999999992</v>
      </c>
      <c r="AQ53" s="37">
        <f>30799.835+53980.519</f>
        <v>84780.353999999992</v>
      </c>
      <c r="AR53" s="31">
        <f>M53</f>
        <v>123510.52899999999</v>
      </c>
      <c r="AS53" s="37">
        <f>81626.113+82503.242</f>
        <v>164129.35499999998</v>
      </c>
      <c r="AT53" s="37">
        <f>70396.052+121205.243</f>
        <v>191601.29499999998</v>
      </c>
      <c r="AU53" s="37">
        <f>81984.66+126655.567</f>
        <v>208640.22700000001</v>
      </c>
      <c r="AV53" s="31">
        <f>N53</f>
        <v>225952</v>
      </c>
      <c r="AW53" s="37">
        <f>78429+122705</f>
        <v>201134</v>
      </c>
      <c r="AX53" s="37">
        <f>98309+136564</f>
        <v>234873</v>
      </c>
      <c r="AY53" s="37">
        <f>129157+146570</f>
        <v>275727</v>
      </c>
      <c r="AZ53" s="31">
        <f>Q53</f>
        <v>521829</v>
      </c>
      <c r="BA53" s="37">
        <f>247512+172813</f>
        <v>420325</v>
      </c>
      <c r="BB53" s="37">
        <f>193899+260154</f>
        <v>454053</v>
      </c>
      <c r="BC53" s="37">
        <f>205956+263429</f>
        <v>469385</v>
      </c>
      <c r="BD53" s="31">
        <f>R53</f>
        <v>526337</v>
      </c>
      <c r="BE53" s="37">
        <f>248993+296365</f>
        <v>545358</v>
      </c>
      <c r="BF53" s="37">
        <f>199542+407492</f>
        <v>607034</v>
      </c>
      <c r="BG53" s="37">
        <f>203651+507777</f>
        <v>711428</v>
      </c>
      <c r="BH53" s="31">
        <f>T53</f>
        <v>753729</v>
      </c>
      <c r="BI53" s="37">
        <f>192463+573707</f>
        <v>766170</v>
      </c>
      <c r="BJ53" s="37"/>
      <c r="BK53" s="37"/>
      <c r="BL53" s="37"/>
      <c r="BM53" s="37"/>
      <c r="BN53" s="37">
        <f t="shared" ref="BN53:BP54" si="116">BA53</f>
        <v>420325</v>
      </c>
      <c r="BO53" s="37">
        <f t="shared" si="116"/>
        <v>454053</v>
      </c>
      <c r="BP53" s="31">
        <f t="shared" si="116"/>
        <v>469385</v>
      </c>
      <c r="BQ53" s="31">
        <f>S53</f>
        <v>688933</v>
      </c>
      <c r="BR53" s="37">
        <f>BE53</f>
        <v>545358</v>
      </c>
      <c r="BS53" s="76"/>
      <c r="BT53" s="31">
        <f>G53</f>
        <v>7379</v>
      </c>
      <c r="BU53" s="37">
        <f>4177+5492</f>
        <v>9669</v>
      </c>
      <c r="BV53" s="31">
        <f>H53</f>
        <v>7483.0770000000002</v>
      </c>
      <c r="BW53" s="37">
        <f>35983.908+32003.306</f>
        <v>67987.214000000007</v>
      </c>
      <c r="BX53" s="31">
        <f>L53</f>
        <v>71724.23</v>
      </c>
      <c r="BY53" s="37">
        <f>33392.208+57095.733</f>
        <v>90487.940999999992</v>
      </c>
      <c r="BZ53" s="31">
        <f>M53</f>
        <v>123510.52899999999</v>
      </c>
      <c r="CA53" s="37">
        <f>70396.052+121205.243</f>
        <v>191601.29499999998</v>
      </c>
      <c r="CB53" s="31">
        <f>N53</f>
        <v>225952</v>
      </c>
      <c r="CC53" s="37">
        <f>98309+136564</f>
        <v>234873</v>
      </c>
      <c r="CD53" s="31">
        <f>P53</f>
        <v>415876</v>
      </c>
      <c r="CE53" s="37">
        <f>193899+260154</f>
        <v>454053</v>
      </c>
      <c r="CF53" s="31">
        <f>R53</f>
        <v>526337</v>
      </c>
      <c r="CG53" s="37">
        <f>199542+407492</f>
        <v>607034</v>
      </c>
      <c r="CI53" s="76"/>
      <c r="CJ53" s="76"/>
      <c r="CK53" s="76"/>
    </row>
    <row r="54" spans="2:89" ht="13.5" customHeight="1">
      <c r="B54" s="7" t="s">
        <v>153</v>
      </c>
      <c r="D54" s="37">
        <v>7647</v>
      </c>
      <c r="E54" s="37">
        <v>12389</v>
      </c>
      <c r="F54" s="37">
        <v>14401</v>
      </c>
      <c r="G54" s="37">
        <v>17160</v>
      </c>
      <c r="H54" s="37">
        <v>22707.627</v>
      </c>
      <c r="I54" s="37">
        <v>23185.744999999999</v>
      </c>
      <c r="J54" s="37">
        <v>34200.044999999998</v>
      </c>
      <c r="K54" s="37">
        <v>39010.324000000001</v>
      </c>
      <c r="L54" s="37">
        <v>110083.014</v>
      </c>
      <c r="M54" s="37">
        <v>162779.111</v>
      </c>
      <c r="N54" s="37">
        <v>152598</v>
      </c>
      <c r="O54" s="37">
        <v>251440</v>
      </c>
      <c r="P54" s="37">
        <v>284660</v>
      </c>
      <c r="Q54" s="37">
        <v>357184</v>
      </c>
      <c r="R54" s="37">
        <v>352987</v>
      </c>
      <c r="S54" s="37">
        <v>462032</v>
      </c>
      <c r="T54" s="31">
        <v>601539</v>
      </c>
      <c r="U54" s="31">
        <f>BI54</f>
        <v>618329</v>
      </c>
      <c r="V54" s="31"/>
      <c r="W54" s="31"/>
      <c r="X54" s="31"/>
      <c r="Y54" s="37">
        <v>24140.392</v>
      </c>
      <c r="Z54" s="37">
        <v>20610.649000000001</v>
      </c>
      <c r="AA54" s="37">
        <v>20526.112000000001</v>
      </c>
      <c r="AB54" s="31">
        <f>I54</f>
        <v>23185.744999999999</v>
      </c>
      <c r="AC54" s="37">
        <v>25609.167000000001</v>
      </c>
      <c r="AD54" s="37">
        <v>29502.982</v>
      </c>
      <c r="AE54" s="37">
        <v>37118.362000000001</v>
      </c>
      <c r="AF54" s="31">
        <f>J54</f>
        <v>34200.044999999998</v>
      </c>
      <c r="AG54" s="37">
        <v>43169.514000000003</v>
      </c>
      <c r="AH54" s="37">
        <v>39621.175999999999</v>
      </c>
      <c r="AI54" s="37">
        <v>38462.629999999997</v>
      </c>
      <c r="AJ54" s="31">
        <f>K54</f>
        <v>39010.324000000001</v>
      </c>
      <c r="AK54" s="37">
        <v>102250.85</v>
      </c>
      <c r="AL54" s="37">
        <v>107196.223</v>
      </c>
      <c r="AM54" s="37">
        <v>113425.861</v>
      </c>
      <c r="AN54" s="31">
        <f>L54</f>
        <v>110083.014</v>
      </c>
      <c r="AO54" s="37">
        <v>115058.065</v>
      </c>
      <c r="AP54" s="37">
        <v>124019.554</v>
      </c>
      <c r="AQ54" s="37">
        <v>123672.78200000001</v>
      </c>
      <c r="AR54" s="31">
        <f>M54</f>
        <v>162779.111</v>
      </c>
      <c r="AS54" s="37">
        <v>148223.25</v>
      </c>
      <c r="AT54" s="119">
        <v>152686.557</v>
      </c>
      <c r="AU54" s="37">
        <v>165592.95699999999</v>
      </c>
      <c r="AV54" s="31">
        <f>N54</f>
        <v>152598</v>
      </c>
      <c r="AW54" s="37">
        <v>159580</v>
      </c>
      <c r="AX54" s="37">
        <v>194102</v>
      </c>
      <c r="AY54" s="37">
        <v>247886</v>
      </c>
      <c r="AZ54" s="31">
        <f>Q54</f>
        <v>357184</v>
      </c>
      <c r="BA54" s="37">
        <v>275263</v>
      </c>
      <c r="BB54" s="37">
        <v>302950</v>
      </c>
      <c r="BC54" s="37">
        <v>350587</v>
      </c>
      <c r="BD54" s="31">
        <f>R54</f>
        <v>352987</v>
      </c>
      <c r="BE54" s="37">
        <v>399013</v>
      </c>
      <c r="BF54" s="37">
        <f>446576</f>
        <v>446576</v>
      </c>
      <c r="BG54" s="37">
        <v>498958</v>
      </c>
      <c r="BH54" s="31">
        <f>T54</f>
        <v>601539</v>
      </c>
      <c r="BI54" s="37">
        <v>618329</v>
      </c>
      <c r="BJ54" s="37"/>
      <c r="BK54" s="37"/>
      <c r="BL54" s="37"/>
      <c r="BM54" s="37"/>
      <c r="BN54" s="37">
        <f t="shared" si="116"/>
        <v>275263</v>
      </c>
      <c r="BO54" s="37">
        <f t="shared" si="116"/>
        <v>302950</v>
      </c>
      <c r="BP54" s="31">
        <f t="shared" si="116"/>
        <v>350587</v>
      </c>
      <c r="BQ54" s="31">
        <f>S54</f>
        <v>462032</v>
      </c>
      <c r="BR54" s="37">
        <f>BE54</f>
        <v>399013</v>
      </c>
      <c r="BS54" s="76"/>
      <c r="BT54" s="31">
        <f>G54</f>
        <v>17160</v>
      </c>
      <c r="BU54" s="37">
        <v>18919</v>
      </c>
      <c r="BV54" s="31">
        <f>H54</f>
        <v>22707.627</v>
      </c>
      <c r="BW54" s="37">
        <v>107196.223</v>
      </c>
      <c r="BX54" s="31">
        <f>L54</f>
        <v>110083.014</v>
      </c>
      <c r="BY54" s="37">
        <v>124019.554</v>
      </c>
      <c r="BZ54" s="31">
        <f>M54</f>
        <v>162779.111</v>
      </c>
      <c r="CA54" s="37">
        <v>152686.557</v>
      </c>
      <c r="CB54" s="31">
        <f>N54</f>
        <v>152598</v>
      </c>
      <c r="CC54" s="37">
        <v>194102</v>
      </c>
      <c r="CD54" s="31">
        <f>P54</f>
        <v>284660</v>
      </c>
      <c r="CE54" s="37">
        <v>302950</v>
      </c>
      <c r="CF54" s="31">
        <f>R54</f>
        <v>352987</v>
      </c>
      <c r="CG54" s="37">
        <f>446576</f>
        <v>446576</v>
      </c>
      <c r="CI54" s="76"/>
      <c r="CJ54" s="76"/>
      <c r="CK54" s="76"/>
    </row>
    <row r="55" spans="2:89" s="6" customFormat="1" ht="13.5" customHeight="1">
      <c r="B55" s="6" t="s">
        <v>16</v>
      </c>
      <c r="D55" s="33">
        <f t="shared" ref="D55:W55" si="117">SUM(D53:D54)</f>
        <v>12390</v>
      </c>
      <c r="E55" s="33">
        <f t="shared" si="117"/>
        <v>17081</v>
      </c>
      <c r="F55" s="33">
        <f t="shared" si="117"/>
        <v>19821</v>
      </c>
      <c r="G55" s="33">
        <f t="shared" si="117"/>
        <v>24539</v>
      </c>
      <c r="H55" s="33">
        <f t="shared" si="117"/>
        <v>30190.704000000002</v>
      </c>
      <c r="I55" s="33">
        <f t="shared" si="117"/>
        <v>36380.868999999999</v>
      </c>
      <c r="J55" s="33">
        <f t="shared" si="117"/>
        <v>49813.676999999996</v>
      </c>
      <c r="K55" s="33">
        <f t="shared" si="117"/>
        <v>60296.091</v>
      </c>
      <c r="L55" s="33">
        <f t="shared" ref="L55:T55" si="118">SUM(L53:L54)</f>
        <v>181807.24400000001</v>
      </c>
      <c r="M55" s="33">
        <f t="shared" si="118"/>
        <v>286289.64</v>
      </c>
      <c r="N55" s="33">
        <f t="shared" si="118"/>
        <v>378550</v>
      </c>
      <c r="O55" s="33">
        <f t="shared" si="118"/>
        <v>623748</v>
      </c>
      <c r="P55" s="33">
        <f t="shared" si="118"/>
        <v>700536</v>
      </c>
      <c r="Q55" s="33">
        <f t="shared" si="118"/>
        <v>879013</v>
      </c>
      <c r="R55" s="33">
        <f t="shared" si="118"/>
        <v>879324</v>
      </c>
      <c r="S55" s="33">
        <f t="shared" si="118"/>
        <v>1150965</v>
      </c>
      <c r="T55" s="33">
        <f t="shared" si="118"/>
        <v>1355268</v>
      </c>
      <c r="U55" s="33">
        <f>SUM(U53:U54)</f>
        <v>1384499</v>
      </c>
      <c r="V55" s="33">
        <f t="shared" si="117"/>
        <v>0</v>
      </c>
      <c r="W55" s="33">
        <f t="shared" si="117"/>
        <v>0</v>
      </c>
      <c r="X55" s="33"/>
      <c r="Y55" s="33">
        <f t="shared" ref="Y55:AI55" si="119">SUM(Y53:Y54)</f>
        <v>32760.876</v>
      </c>
      <c r="Z55" s="33">
        <f t="shared" si="119"/>
        <v>31057.641000000003</v>
      </c>
      <c r="AA55" s="33">
        <f t="shared" si="119"/>
        <v>32612.410000000003</v>
      </c>
      <c r="AB55" s="33">
        <f t="shared" si="119"/>
        <v>36380.868999999999</v>
      </c>
      <c r="AC55" s="33">
        <f t="shared" si="119"/>
        <v>41087.212</v>
      </c>
      <c r="AD55" s="33">
        <f t="shared" si="119"/>
        <v>43410.902999999998</v>
      </c>
      <c r="AE55" s="33">
        <f t="shared" si="119"/>
        <v>54057.293000000005</v>
      </c>
      <c r="AF55" s="33">
        <f t="shared" si="119"/>
        <v>49813.676999999996</v>
      </c>
      <c r="AG55" s="33">
        <f t="shared" si="119"/>
        <v>61988.684999999998</v>
      </c>
      <c r="AH55" s="33">
        <f t="shared" si="119"/>
        <v>60635.77</v>
      </c>
      <c r="AI55" s="33">
        <f t="shared" si="119"/>
        <v>57718.390999999996</v>
      </c>
      <c r="AJ55" s="33">
        <f t="shared" ref="AJ55:AQ55" si="120">SUM(AJ53:AJ54)</f>
        <v>60296.091</v>
      </c>
      <c r="AK55" s="33">
        <f t="shared" si="120"/>
        <v>172456.61300000001</v>
      </c>
      <c r="AL55" s="33">
        <f t="shared" si="120"/>
        <v>175183.43700000001</v>
      </c>
      <c r="AM55" s="33">
        <f t="shared" si="120"/>
        <v>188871.70699999999</v>
      </c>
      <c r="AN55" s="33">
        <f t="shared" si="120"/>
        <v>181807.24400000001</v>
      </c>
      <c r="AO55" s="33">
        <f t="shared" si="120"/>
        <v>200556.41099999999</v>
      </c>
      <c r="AP55" s="33">
        <f t="shared" si="120"/>
        <v>214507.495</v>
      </c>
      <c r="AQ55" s="33">
        <f t="shared" si="120"/>
        <v>208453.136</v>
      </c>
      <c r="AR55" s="33">
        <f t="shared" ref="AR55:AW55" si="121">SUM(AR53:AR54)</f>
        <v>286289.64</v>
      </c>
      <c r="AS55" s="33">
        <f t="shared" si="121"/>
        <v>312352.60499999998</v>
      </c>
      <c r="AT55" s="33">
        <f t="shared" si="121"/>
        <v>344287.85199999996</v>
      </c>
      <c r="AU55" s="33">
        <f t="shared" si="121"/>
        <v>374233.18400000001</v>
      </c>
      <c r="AV55" s="33">
        <f t="shared" si="121"/>
        <v>378550</v>
      </c>
      <c r="AW55" s="33">
        <f t="shared" si="121"/>
        <v>360714</v>
      </c>
      <c r="AX55" s="33">
        <f t="shared" ref="AX55:BC55" si="122">SUM(AX53:AX54)</f>
        <v>428975</v>
      </c>
      <c r="AY55" s="33">
        <f t="shared" si="122"/>
        <v>523613</v>
      </c>
      <c r="AZ55" s="33">
        <f t="shared" si="122"/>
        <v>879013</v>
      </c>
      <c r="BA55" s="33">
        <f t="shared" si="122"/>
        <v>695588</v>
      </c>
      <c r="BB55" s="33">
        <f t="shared" si="122"/>
        <v>757003</v>
      </c>
      <c r="BC55" s="33">
        <f t="shared" si="122"/>
        <v>819972</v>
      </c>
      <c r="BD55" s="33">
        <f t="shared" ref="BD55:BI55" si="123">SUM(BD53:BD54)</f>
        <v>879324</v>
      </c>
      <c r="BE55" s="33">
        <f t="shared" si="123"/>
        <v>944371</v>
      </c>
      <c r="BF55" s="33">
        <f t="shared" si="123"/>
        <v>1053610</v>
      </c>
      <c r="BG55" s="33">
        <f t="shared" si="123"/>
        <v>1210386</v>
      </c>
      <c r="BH55" s="33">
        <f t="shared" si="123"/>
        <v>1355268</v>
      </c>
      <c r="BI55" s="33">
        <f t="shared" si="123"/>
        <v>1384499</v>
      </c>
      <c r="BJ55" s="33"/>
      <c r="BK55" s="33"/>
      <c r="BL55" s="37"/>
      <c r="BM55" s="37"/>
      <c r="BN55" s="33">
        <f>SUM(BN53:BN54)</f>
        <v>695588</v>
      </c>
      <c r="BO55" s="33">
        <f>SUM(BO53:BO54)</f>
        <v>757003</v>
      </c>
      <c r="BP55" s="33">
        <f>SUM(BP53:BP54)</f>
        <v>819972</v>
      </c>
      <c r="BQ55" s="33">
        <f>SUM(BQ53:BQ54)</f>
        <v>1150965</v>
      </c>
      <c r="BR55" s="33">
        <f>SUM(BR53:BR54)</f>
        <v>944371</v>
      </c>
      <c r="BS55" s="78"/>
      <c r="BT55" s="33">
        <f t="shared" ref="BT55:BY55" si="124">SUM(BT53:BT54)</f>
        <v>24539</v>
      </c>
      <c r="BU55" s="33">
        <f t="shared" si="124"/>
        <v>28588</v>
      </c>
      <c r="BV55" s="33">
        <f t="shared" si="124"/>
        <v>30190.704000000002</v>
      </c>
      <c r="BW55" s="33">
        <f t="shared" si="124"/>
        <v>175183.43700000001</v>
      </c>
      <c r="BX55" s="33">
        <f t="shared" si="124"/>
        <v>181807.24400000001</v>
      </c>
      <c r="BY55" s="33">
        <f t="shared" si="124"/>
        <v>214507.495</v>
      </c>
      <c r="BZ55" s="33">
        <f t="shared" ref="BZ55:CE55" si="125">SUM(BZ53:BZ54)</f>
        <v>286289.64</v>
      </c>
      <c r="CA55" s="33">
        <f t="shared" si="125"/>
        <v>344287.85199999996</v>
      </c>
      <c r="CB55" s="33">
        <f t="shared" si="125"/>
        <v>378550</v>
      </c>
      <c r="CC55" s="33">
        <f t="shared" si="125"/>
        <v>428975</v>
      </c>
      <c r="CD55" s="33">
        <f t="shared" si="125"/>
        <v>700536</v>
      </c>
      <c r="CE55" s="33">
        <f t="shared" si="125"/>
        <v>757003</v>
      </c>
      <c r="CF55" s="33">
        <f>SUM(CF53:CF54)</f>
        <v>879324</v>
      </c>
      <c r="CG55" s="33">
        <f>SUM(CG53:CG54)</f>
        <v>1053610</v>
      </c>
      <c r="CI55" s="76"/>
      <c r="CJ55" s="76"/>
      <c r="CK55" s="76"/>
    </row>
    <row r="56" spans="2:89" ht="13.5" customHeight="1">
      <c r="B56" s="7" t="s">
        <v>27</v>
      </c>
      <c r="D56" s="37">
        <v>7104</v>
      </c>
      <c r="E56" s="37">
        <v>8897</v>
      </c>
      <c r="F56" s="37">
        <v>9908</v>
      </c>
      <c r="G56" s="37">
        <v>10553</v>
      </c>
      <c r="H56" s="37">
        <v>16996.920999999998</v>
      </c>
      <c r="I56" s="37">
        <v>20850.437000000002</v>
      </c>
      <c r="J56" s="37">
        <v>24577.49</v>
      </c>
      <c r="K56" s="37">
        <v>37816.36</v>
      </c>
      <c r="L56" s="37">
        <f>60360.801+48972.272</f>
        <v>109333.073</v>
      </c>
      <c r="M56" s="37">
        <f>93849.314+103245.309</f>
        <v>197094.62299999999</v>
      </c>
      <c r="N56" s="37">
        <f>151618+130959</f>
        <v>282577</v>
      </c>
      <c r="O56" s="37">
        <f>249825+215784</f>
        <v>465609</v>
      </c>
      <c r="P56" s="37">
        <f>333001+278016</f>
        <v>611017</v>
      </c>
      <c r="Q56" s="37">
        <f>417840+348846</f>
        <v>766686</v>
      </c>
      <c r="R56" s="37">
        <f>307172+367960</f>
        <v>675132</v>
      </c>
      <c r="S56" s="37">
        <f>402064+481630</f>
        <v>883694</v>
      </c>
      <c r="T56" s="37">
        <f>358830+462288</f>
        <v>821118</v>
      </c>
      <c r="U56" s="31">
        <f>BI56</f>
        <v>898265</v>
      </c>
      <c r="V56" s="31"/>
      <c r="W56" s="31"/>
      <c r="X56" s="31"/>
      <c r="Y56" s="37">
        <v>18888.511999999999</v>
      </c>
      <c r="Z56" s="37">
        <v>15910.549000000001</v>
      </c>
      <c r="AA56" s="37">
        <v>18433.862000000001</v>
      </c>
      <c r="AB56" s="31">
        <f>I56</f>
        <v>20850.437000000002</v>
      </c>
      <c r="AC56" s="37">
        <v>21004.679</v>
      </c>
      <c r="AD56" s="37">
        <v>19585.856</v>
      </c>
      <c r="AE56" s="37">
        <v>27869.94</v>
      </c>
      <c r="AF56" s="31">
        <f>J56</f>
        <v>24577.49</v>
      </c>
      <c r="AG56" s="37">
        <v>37766.769</v>
      </c>
      <c r="AH56" s="37">
        <v>34701.485000000001</v>
      </c>
      <c r="AI56" s="37">
        <v>33780.735999999997</v>
      </c>
      <c r="AJ56" s="31">
        <f>K56</f>
        <v>37816.36</v>
      </c>
      <c r="AK56" s="37">
        <f>55020.804+46596.586</f>
        <v>101617.39</v>
      </c>
      <c r="AL56" s="37">
        <f>55074.952+46094.215</f>
        <v>101169.16699999999</v>
      </c>
      <c r="AM56" s="37">
        <f>50946.583+55690.276</f>
        <v>106636.859</v>
      </c>
      <c r="AN56" s="31">
        <f>L56</f>
        <v>109333.073</v>
      </c>
      <c r="AO56" s="37">
        <f>68837.959+51348.261</f>
        <v>120186.22</v>
      </c>
      <c r="AP56" s="37">
        <f>70088.555+58666.93</f>
        <v>128755.48499999999</v>
      </c>
      <c r="AQ56" s="37">
        <f>68340.445+61353.64</f>
        <v>129694.08500000001</v>
      </c>
      <c r="AR56" s="31">
        <f>M56</f>
        <v>197094.62299999999</v>
      </c>
      <c r="AS56" s="37">
        <f>116521.964+100745.279</f>
        <v>217267.24300000002</v>
      </c>
      <c r="AT56" s="37">
        <f>125595.041+118002.714</f>
        <v>243597.755</v>
      </c>
      <c r="AU56" s="37">
        <f>130039.361+136504.403</f>
        <v>266543.76399999997</v>
      </c>
      <c r="AV56" s="31">
        <f>N56</f>
        <v>282577</v>
      </c>
      <c r="AW56" s="37">
        <f>166139+121564</f>
        <v>287703</v>
      </c>
      <c r="AX56" s="37">
        <f>212434+144349</f>
        <v>356783</v>
      </c>
      <c r="AY56" s="37">
        <f>257595+232612</f>
        <v>490207</v>
      </c>
      <c r="AZ56" s="31">
        <f>Q56</f>
        <v>766686</v>
      </c>
      <c r="BA56" s="37">
        <f>272639+269381</f>
        <v>542020</v>
      </c>
      <c r="BB56" s="37">
        <f>287972+292491</f>
        <v>580463</v>
      </c>
      <c r="BC56" s="37">
        <f>329780+356528</f>
        <v>686308</v>
      </c>
      <c r="BD56" s="31">
        <f>R56</f>
        <v>675132</v>
      </c>
      <c r="BE56" s="37">
        <f>325424+387506</f>
        <v>712930</v>
      </c>
      <c r="BF56" s="37">
        <f>311130+432113</f>
        <v>743243</v>
      </c>
      <c r="BG56" s="37">
        <f>375008+488536</f>
        <v>863544</v>
      </c>
      <c r="BH56" s="31">
        <f>T56</f>
        <v>821118</v>
      </c>
      <c r="BI56" s="37">
        <f>392039+506226</f>
        <v>898265</v>
      </c>
      <c r="BJ56" s="37"/>
      <c r="BK56" s="37"/>
      <c r="BL56" s="37"/>
      <c r="BM56" s="37"/>
      <c r="BN56" s="37">
        <f>BA56</f>
        <v>542020</v>
      </c>
      <c r="BO56" s="37">
        <f>BB56</f>
        <v>580463</v>
      </c>
      <c r="BP56" s="31">
        <f>BC56</f>
        <v>686308</v>
      </c>
      <c r="BQ56" s="31">
        <f>S56</f>
        <v>883694</v>
      </c>
      <c r="BR56" s="37">
        <f>BE56</f>
        <v>712930</v>
      </c>
      <c r="BS56" s="76"/>
      <c r="BT56" s="31">
        <f>G56</f>
        <v>10553</v>
      </c>
      <c r="BU56" s="37">
        <v>14252</v>
      </c>
      <c r="BV56" s="31">
        <f>H56</f>
        <v>16996.920999999998</v>
      </c>
      <c r="BW56" s="37">
        <f>55074.952+46094.215</f>
        <v>101169.16699999999</v>
      </c>
      <c r="BX56" s="31">
        <f>L56</f>
        <v>109333.073</v>
      </c>
      <c r="BY56" s="37">
        <f>70088.555+58666.93</f>
        <v>128755.48499999999</v>
      </c>
      <c r="BZ56" s="31">
        <f>M56</f>
        <v>197094.62299999999</v>
      </c>
      <c r="CA56" s="37">
        <f>125595.041+118002.714</f>
        <v>243597.755</v>
      </c>
      <c r="CB56" s="31">
        <f>N56</f>
        <v>282577</v>
      </c>
      <c r="CC56" s="37">
        <f>212434+144349</f>
        <v>356783</v>
      </c>
      <c r="CD56" s="31">
        <f>P56</f>
        <v>611017</v>
      </c>
      <c r="CE56" s="37">
        <f>287972+292491</f>
        <v>580463</v>
      </c>
      <c r="CF56" s="31">
        <f>R56</f>
        <v>675132</v>
      </c>
      <c r="CG56" s="37">
        <f>311130+432113</f>
        <v>743243</v>
      </c>
      <c r="CI56" s="76"/>
      <c r="CJ56" s="76"/>
      <c r="CK56" s="76"/>
    </row>
    <row r="57" spans="2:89" ht="13.5" customHeight="1">
      <c r="B57" s="6" t="s">
        <v>18</v>
      </c>
      <c r="D57" s="33">
        <f t="shared" ref="D57:W57" si="126">+D55-D56</f>
        <v>5286</v>
      </c>
      <c r="E57" s="33">
        <f t="shared" si="126"/>
        <v>8184</v>
      </c>
      <c r="F57" s="33">
        <f t="shared" si="126"/>
        <v>9913</v>
      </c>
      <c r="G57" s="33">
        <f t="shared" si="126"/>
        <v>13986</v>
      </c>
      <c r="H57" s="33">
        <f t="shared" si="126"/>
        <v>13193.783000000003</v>
      </c>
      <c r="I57" s="33">
        <f t="shared" si="126"/>
        <v>15530.431999999997</v>
      </c>
      <c r="J57" s="33">
        <f t="shared" si="126"/>
        <v>25236.186999999994</v>
      </c>
      <c r="K57" s="33">
        <f t="shared" si="126"/>
        <v>22479.731</v>
      </c>
      <c r="L57" s="33">
        <f t="shared" ref="L57:U57" si="127">+L55-L56</f>
        <v>72474.171000000002</v>
      </c>
      <c r="M57" s="33">
        <f t="shared" si="127"/>
        <v>89195.017000000022</v>
      </c>
      <c r="N57" s="33">
        <f t="shared" si="127"/>
        <v>95973</v>
      </c>
      <c r="O57" s="33">
        <f t="shared" si="127"/>
        <v>158139</v>
      </c>
      <c r="P57" s="33">
        <f t="shared" si="127"/>
        <v>89519</v>
      </c>
      <c r="Q57" s="33">
        <f t="shared" si="127"/>
        <v>112327</v>
      </c>
      <c r="R57" s="33">
        <f t="shared" si="127"/>
        <v>204192</v>
      </c>
      <c r="S57" s="33">
        <f t="shared" si="127"/>
        <v>267271</v>
      </c>
      <c r="T57" s="33">
        <f t="shared" si="127"/>
        <v>534150</v>
      </c>
      <c r="U57" s="33">
        <f t="shared" si="127"/>
        <v>486234</v>
      </c>
      <c r="V57" s="33">
        <f t="shared" si="126"/>
        <v>0</v>
      </c>
      <c r="W57" s="33">
        <f t="shared" si="126"/>
        <v>0</v>
      </c>
      <c r="X57" s="31"/>
      <c r="Y57" s="33">
        <f t="shared" ref="Y57:AI57" si="128">+Y55-Y56</f>
        <v>13872.364000000001</v>
      </c>
      <c r="Z57" s="33">
        <f t="shared" si="128"/>
        <v>15147.092000000002</v>
      </c>
      <c r="AA57" s="33">
        <f t="shared" si="128"/>
        <v>14178.548000000003</v>
      </c>
      <c r="AB57" s="33">
        <f t="shared" si="128"/>
        <v>15530.431999999997</v>
      </c>
      <c r="AC57" s="33">
        <f t="shared" si="128"/>
        <v>20082.532999999999</v>
      </c>
      <c r="AD57" s="33">
        <f t="shared" si="128"/>
        <v>23825.046999999999</v>
      </c>
      <c r="AE57" s="33">
        <f t="shared" si="128"/>
        <v>26187.353000000006</v>
      </c>
      <c r="AF57" s="33">
        <f t="shared" si="128"/>
        <v>25236.186999999994</v>
      </c>
      <c r="AG57" s="33">
        <f t="shared" si="128"/>
        <v>24221.915999999997</v>
      </c>
      <c r="AH57" s="33">
        <f t="shared" si="128"/>
        <v>25934.284999999996</v>
      </c>
      <c r="AI57" s="33">
        <f t="shared" si="128"/>
        <v>23937.654999999999</v>
      </c>
      <c r="AJ57" s="33">
        <f t="shared" ref="AJ57:AQ57" si="129">+AJ55-AJ56</f>
        <v>22479.731</v>
      </c>
      <c r="AK57" s="33">
        <f t="shared" si="129"/>
        <v>70839.223000000013</v>
      </c>
      <c r="AL57" s="33">
        <f t="shared" si="129"/>
        <v>74014.270000000019</v>
      </c>
      <c r="AM57" s="33">
        <f t="shared" si="129"/>
        <v>82234.847999999998</v>
      </c>
      <c r="AN57" s="33">
        <f t="shared" si="129"/>
        <v>72474.171000000002</v>
      </c>
      <c r="AO57" s="33">
        <f t="shared" si="129"/>
        <v>80370.190999999992</v>
      </c>
      <c r="AP57" s="33">
        <f t="shared" si="129"/>
        <v>85752.010000000009</v>
      </c>
      <c r="AQ57" s="33">
        <f t="shared" si="129"/>
        <v>78759.050999999992</v>
      </c>
      <c r="AR57" s="33">
        <f t="shared" ref="AR57:AW57" si="130">+AR55-AR56</f>
        <v>89195.017000000022</v>
      </c>
      <c r="AS57" s="33">
        <f t="shared" si="130"/>
        <v>95085.361999999965</v>
      </c>
      <c r="AT57" s="33">
        <f t="shared" si="130"/>
        <v>100690.09699999995</v>
      </c>
      <c r="AU57" s="33">
        <f t="shared" si="130"/>
        <v>107689.42000000004</v>
      </c>
      <c r="AV57" s="33">
        <f t="shared" si="130"/>
        <v>95973</v>
      </c>
      <c r="AW57" s="33">
        <f t="shared" si="130"/>
        <v>73011</v>
      </c>
      <c r="AX57" s="33">
        <f t="shared" ref="AX57:BC57" si="131">+AX55-AX56</f>
        <v>72192</v>
      </c>
      <c r="AY57" s="33">
        <f t="shared" si="131"/>
        <v>33406</v>
      </c>
      <c r="AZ57" s="33">
        <f t="shared" si="131"/>
        <v>112327</v>
      </c>
      <c r="BA57" s="33">
        <f t="shared" si="131"/>
        <v>153568</v>
      </c>
      <c r="BB57" s="33">
        <f t="shared" si="131"/>
        <v>176540</v>
      </c>
      <c r="BC57" s="33">
        <f t="shared" si="131"/>
        <v>133664</v>
      </c>
      <c r="BD57" s="33">
        <f t="shared" ref="BD57:BI57" si="132">+BD55-BD56</f>
        <v>204192</v>
      </c>
      <c r="BE57" s="33">
        <f t="shared" si="132"/>
        <v>231441</v>
      </c>
      <c r="BF57" s="33">
        <f t="shared" si="132"/>
        <v>310367</v>
      </c>
      <c r="BG57" s="33">
        <f t="shared" si="132"/>
        <v>346842</v>
      </c>
      <c r="BH57" s="33">
        <f t="shared" si="132"/>
        <v>534150</v>
      </c>
      <c r="BI57" s="33">
        <f t="shared" si="132"/>
        <v>486234</v>
      </c>
      <c r="BJ57" s="33"/>
      <c r="BK57" s="33"/>
      <c r="BL57" s="37"/>
      <c r="BM57" s="37"/>
      <c r="BN57" s="33">
        <f>+BN55-BN56</f>
        <v>153568</v>
      </c>
      <c r="BO57" s="33">
        <f>+BO55-BO56</f>
        <v>176540</v>
      </c>
      <c r="BP57" s="33">
        <f>+BP55-BP56</f>
        <v>133664</v>
      </c>
      <c r="BQ57" s="33">
        <f>+BQ55-BQ56</f>
        <v>267271</v>
      </c>
      <c r="BR57" s="33">
        <f>+BR55-BR56</f>
        <v>231441</v>
      </c>
      <c r="BS57" s="78"/>
      <c r="BT57" s="33">
        <f t="shared" ref="BT57:BY57" si="133">+BT55-BT56</f>
        <v>13986</v>
      </c>
      <c r="BU57" s="33">
        <f t="shared" si="133"/>
        <v>14336</v>
      </c>
      <c r="BV57" s="33">
        <f t="shared" si="133"/>
        <v>13193.783000000003</v>
      </c>
      <c r="BW57" s="33">
        <f t="shared" si="133"/>
        <v>74014.270000000019</v>
      </c>
      <c r="BX57" s="33">
        <f t="shared" si="133"/>
        <v>72474.171000000002</v>
      </c>
      <c r="BY57" s="33">
        <f t="shared" si="133"/>
        <v>85752.010000000009</v>
      </c>
      <c r="BZ57" s="33">
        <f t="shared" ref="BZ57:CE57" si="134">+BZ55-BZ56</f>
        <v>89195.017000000022</v>
      </c>
      <c r="CA57" s="33">
        <f t="shared" si="134"/>
        <v>100690.09699999995</v>
      </c>
      <c r="CB57" s="33">
        <f t="shared" si="134"/>
        <v>95973</v>
      </c>
      <c r="CC57" s="33">
        <f t="shared" si="134"/>
        <v>72192</v>
      </c>
      <c r="CD57" s="33">
        <f t="shared" si="134"/>
        <v>89519</v>
      </c>
      <c r="CE57" s="33">
        <f t="shared" si="134"/>
        <v>176540</v>
      </c>
      <c r="CF57" s="33">
        <f>+CF55-CF56</f>
        <v>204192</v>
      </c>
      <c r="CG57" s="33">
        <f>+CG55-CG56</f>
        <v>310367</v>
      </c>
      <c r="CI57" s="76"/>
      <c r="CJ57" s="76"/>
      <c r="CK57" s="76"/>
    </row>
    <row r="58" spans="2:89" ht="13.5" customHeight="1"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1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7"/>
      <c r="BM58" s="37"/>
      <c r="BN58" s="37"/>
      <c r="BO58" s="37"/>
      <c r="BP58" s="31"/>
      <c r="BQ58" s="31"/>
      <c r="BR58" s="37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I58" s="76"/>
      <c r="CJ58" s="76"/>
      <c r="CK58" s="76"/>
    </row>
    <row r="59" spans="2:89" ht="13.5" customHeight="1">
      <c r="B59" s="1" t="s">
        <v>154</v>
      </c>
      <c r="D59" s="37">
        <v>24261</v>
      </c>
      <c r="E59" s="37">
        <v>26190</v>
      </c>
      <c r="F59" s="37">
        <v>29301</v>
      </c>
      <c r="G59" s="37">
        <v>33675</v>
      </c>
      <c r="H59" s="37">
        <v>36865.898000000001</v>
      </c>
      <c r="I59" s="37">
        <v>42931.017999999996</v>
      </c>
      <c r="J59" s="37">
        <v>46958.41</v>
      </c>
      <c r="K59" s="37">
        <v>49652.035000000003</v>
      </c>
      <c r="L59" s="37">
        <v>88071.051999999996</v>
      </c>
      <c r="M59" s="37">
        <v>121105.06200000001</v>
      </c>
      <c r="N59" s="37">
        <v>247198</v>
      </c>
      <c r="O59" s="37">
        <v>609933</v>
      </c>
      <c r="P59" s="37">
        <v>775845</v>
      </c>
      <c r="Q59" s="37">
        <v>973506</v>
      </c>
      <c r="R59" s="37">
        <v>858664</v>
      </c>
      <c r="S59" s="37">
        <v>1123921</v>
      </c>
      <c r="T59" s="37">
        <v>1092573</v>
      </c>
      <c r="U59" s="31">
        <f>BI59</f>
        <v>1144002</v>
      </c>
      <c r="V59" s="31"/>
      <c r="W59" s="31"/>
      <c r="X59" s="31"/>
      <c r="Y59" s="37">
        <v>36727.618999999999</v>
      </c>
      <c r="Z59" s="37">
        <v>39207.565000000002</v>
      </c>
      <c r="AA59" s="37">
        <v>41210.832000000002</v>
      </c>
      <c r="AB59" s="31">
        <f>I59</f>
        <v>42931.017999999996</v>
      </c>
      <c r="AC59" s="37">
        <v>40301.894</v>
      </c>
      <c r="AD59" s="37">
        <v>42637.26</v>
      </c>
      <c r="AE59" s="37">
        <v>45166.086000000003</v>
      </c>
      <c r="AF59" s="31">
        <f>J59</f>
        <v>46958.41</v>
      </c>
      <c r="AG59" s="37">
        <v>44030.069000000003</v>
      </c>
      <c r="AH59" s="37">
        <v>46624.362000000001</v>
      </c>
      <c r="AI59" s="37">
        <v>47475.627</v>
      </c>
      <c r="AJ59" s="31">
        <f>K59</f>
        <v>49652.035000000003</v>
      </c>
      <c r="AK59" s="37">
        <v>75752.702000000005</v>
      </c>
      <c r="AL59" s="37">
        <v>78037.376999999993</v>
      </c>
      <c r="AM59" s="37">
        <v>83580.066999999995</v>
      </c>
      <c r="AN59" s="31">
        <f>L59</f>
        <v>88071.051999999996</v>
      </c>
      <c r="AO59" s="37">
        <v>92746.57</v>
      </c>
      <c r="AP59" s="37">
        <v>96922.692999999999</v>
      </c>
      <c r="AQ59" s="37">
        <v>104188.444</v>
      </c>
      <c r="AR59" s="31">
        <f>M59</f>
        <v>121105.06200000001</v>
      </c>
      <c r="AS59" s="37">
        <v>138974.75</v>
      </c>
      <c r="AT59" s="119">
        <v>164018.18900000001</v>
      </c>
      <c r="AU59" s="37">
        <v>204052.42199999999</v>
      </c>
      <c r="AV59" s="31">
        <f>N59</f>
        <v>247198</v>
      </c>
      <c r="AW59" s="37">
        <v>255249</v>
      </c>
      <c r="AX59" s="37">
        <v>289432</v>
      </c>
      <c r="AY59" s="37">
        <v>349227</v>
      </c>
      <c r="AZ59" s="31">
        <f>Q59</f>
        <v>973506</v>
      </c>
      <c r="BA59" s="37">
        <v>754952</v>
      </c>
      <c r="BB59" s="37">
        <v>794901</v>
      </c>
      <c r="BC59" s="37">
        <v>841797</v>
      </c>
      <c r="BD59" s="31">
        <f>R59</f>
        <v>858664</v>
      </c>
      <c r="BE59" s="37">
        <v>916778</v>
      </c>
      <c r="BF59" s="37">
        <v>959379</v>
      </c>
      <c r="BG59" s="37">
        <v>1039810</v>
      </c>
      <c r="BH59" s="31">
        <f>T59</f>
        <v>1092573</v>
      </c>
      <c r="BI59" s="37">
        <v>1144002</v>
      </c>
      <c r="BJ59" s="37"/>
      <c r="BK59" s="37"/>
      <c r="BL59" s="37"/>
      <c r="BM59" s="37"/>
      <c r="BN59" s="37">
        <f t="shared" ref="BN59:BP60" si="135">BA59</f>
        <v>754952</v>
      </c>
      <c r="BO59" s="37">
        <f t="shared" si="135"/>
        <v>794901</v>
      </c>
      <c r="BP59" s="31">
        <f t="shared" si="135"/>
        <v>841797</v>
      </c>
      <c r="BQ59" s="31">
        <f>S59</f>
        <v>1123921</v>
      </c>
      <c r="BR59" s="37">
        <f>BE59</f>
        <v>916778</v>
      </c>
      <c r="BS59" s="76"/>
      <c r="BT59" s="31">
        <f>G59</f>
        <v>33675</v>
      </c>
      <c r="BU59" s="37">
        <v>33758</v>
      </c>
      <c r="BV59" s="31">
        <f>H59</f>
        <v>36865.898000000001</v>
      </c>
      <c r="BW59" s="37">
        <v>78037.376999999993</v>
      </c>
      <c r="BX59" s="31">
        <f>L59</f>
        <v>88071.051999999996</v>
      </c>
      <c r="BY59" s="37">
        <v>96922.692999999999</v>
      </c>
      <c r="BZ59" s="31">
        <f>M59</f>
        <v>121105.06200000001</v>
      </c>
      <c r="CA59" s="37">
        <v>164018.18900000001</v>
      </c>
      <c r="CB59" s="31">
        <f>N59</f>
        <v>247198</v>
      </c>
      <c r="CC59" s="37">
        <v>289432</v>
      </c>
      <c r="CD59" s="31">
        <f>P59</f>
        <v>775845</v>
      </c>
      <c r="CE59" s="37">
        <v>794901</v>
      </c>
      <c r="CF59" s="31">
        <f>R59</f>
        <v>858664</v>
      </c>
      <c r="CG59" s="37">
        <v>959379</v>
      </c>
      <c r="CI59" s="76"/>
      <c r="CJ59" s="76"/>
      <c r="CK59" s="76"/>
    </row>
    <row r="60" spans="2:89" ht="13.5" customHeight="1">
      <c r="B60" s="1" t="s">
        <v>155</v>
      </c>
      <c r="D60" s="37">
        <v>23482</v>
      </c>
      <c r="E60" s="37">
        <v>22318</v>
      </c>
      <c r="F60" s="37">
        <v>31445</v>
      </c>
      <c r="G60" s="37">
        <v>27717</v>
      </c>
      <c r="H60" s="37">
        <v>34995.392399999997</v>
      </c>
      <c r="I60" s="37">
        <v>46863.395040000003</v>
      </c>
      <c r="J60" s="37">
        <v>36009.751600000003</v>
      </c>
      <c r="K60" s="37">
        <v>33601</v>
      </c>
      <c r="L60" s="37">
        <v>56703</v>
      </c>
      <c r="M60" s="37">
        <f>28.38*2540</f>
        <v>72085.2</v>
      </c>
      <c r="N60" s="37">
        <f>75.55*2540</f>
        <v>191897</v>
      </c>
      <c r="O60" s="37">
        <f>75.55*2535</f>
        <v>191519.25</v>
      </c>
      <c r="P60" s="37">
        <f>175.2*2535</f>
        <v>444132</v>
      </c>
      <c r="Q60" s="37">
        <f>175.2*2535</f>
        <v>444132</v>
      </c>
      <c r="R60" s="37">
        <v>452911.39</v>
      </c>
      <c r="S60" s="37">
        <v>452911.39</v>
      </c>
      <c r="T60" s="37">
        <v>566773.21</v>
      </c>
      <c r="U60" s="31">
        <f>BI60</f>
        <v>469141.1</v>
      </c>
      <c r="V60" s="31"/>
      <c r="W60" s="31"/>
      <c r="X60" s="31"/>
      <c r="Y60" s="37">
        <v>38926.035066999997</v>
      </c>
      <c r="Z60" s="37">
        <v>41030.829640000004</v>
      </c>
      <c r="AA60" s="37">
        <v>41461.9323</v>
      </c>
      <c r="AB60" s="31">
        <f>I60</f>
        <v>46863.395040000003</v>
      </c>
      <c r="AC60" s="37">
        <v>41436.573320000003</v>
      </c>
      <c r="AD60" s="37">
        <v>36060.469559999998</v>
      </c>
      <c r="AE60" s="37">
        <v>43262.419880000001</v>
      </c>
      <c r="AF60" s="31">
        <f>J60</f>
        <v>36009.751600000003</v>
      </c>
      <c r="AG60" s="37">
        <v>40802.598819999999</v>
      </c>
      <c r="AH60" s="37">
        <v>44479.65092</v>
      </c>
      <c r="AI60" s="37">
        <v>47953.831180000001</v>
      </c>
      <c r="AJ60" s="31">
        <f>K60</f>
        <v>33601</v>
      </c>
      <c r="AK60" s="37">
        <v>34057.110800000002</v>
      </c>
      <c r="AL60" s="37">
        <v>45646.164900000003</v>
      </c>
      <c r="AM60" s="37">
        <f>4712*AM95</f>
        <v>36379.938399999999</v>
      </c>
      <c r="AN60" s="31">
        <f>L60</f>
        <v>56703</v>
      </c>
      <c r="AO60" s="37">
        <v>49221.78</v>
      </c>
      <c r="AP60" s="37">
        <v>46483.01</v>
      </c>
      <c r="AQ60" s="37">
        <v>79728.63</v>
      </c>
      <c r="AR60" s="31">
        <f>M60</f>
        <v>72085.2</v>
      </c>
      <c r="AS60" s="37">
        <f>38.76*2540</f>
        <v>98450.4</v>
      </c>
      <c r="AT60" s="119">
        <v>53640</v>
      </c>
      <c r="AU60" s="37">
        <v>161029.5</v>
      </c>
      <c r="AV60" s="31">
        <f>N60</f>
        <v>191897</v>
      </c>
      <c r="AW60" s="37">
        <f>76.5*2540</f>
        <v>194310</v>
      </c>
      <c r="AX60" s="37">
        <v>334381</v>
      </c>
      <c r="AY60" s="37">
        <v>376675.42</v>
      </c>
      <c r="AZ60" s="31">
        <f>Q60</f>
        <v>444132</v>
      </c>
      <c r="BA60" s="37">
        <f>199.2*2535</f>
        <v>504972</v>
      </c>
      <c r="BB60" s="37">
        <v>477260</v>
      </c>
      <c r="BC60" s="37">
        <v>417662.4</v>
      </c>
      <c r="BD60" s="31">
        <f>R60</f>
        <v>452911.39</v>
      </c>
      <c r="BE60" s="37">
        <v>414872.92</v>
      </c>
      <c r="BF60" s="37">
        <v>390528.3</v>
      </c>
      <c r="BG60" s="37">
        <v>488634</v>
      </c>
      <c r="BH60" s="31">
        <f>T60</f>
        <v>566773.21</v>
      </c>
      <c r="BI60" s="37">
        <v>469141.1</v>
      </c>
      <c r="BJ60" s="37"/>
      <c r="BK60" s="37"/>
      <c r="BL60" s="37"/>
      <c r="BM60" s="37"/>
      <c r="BN60" s="37">
        <f t="shared" si="135"/>
        <v>504972</v>
      </c>
      <c r="BO60" s="37">
        <f t="shared" si="135"/>
        <v>477260</v>
      </c>
      <c r="BP60" s="31">
        <f t="shared" si="135"/>
        <v>417662.4</v>
      </c>
      <c r="BQ60" s="31">
        <f>S60</f>
        <v>452911.39</v>
      </c>
      <c r="BR60" s="37">
        <f>BE60</f>
        <v>414872.92</v>
      </c>
      <c r="BS60" s="76"/>
      <c r="BT60" s="31">
        <f>G60</f>
        <v>27717</v>
      </c>
      <c r="BU60" s="37">
        <v>33905</v>
      </c>
      <c r="BV60" s="31">
        <f>H60</f>
        <v>34995.392399999997</v>
      </c>
      <c r="BW60" s="37">
        <v>45646.164900000003</v>
      </c>
      <c r="BX60" s="31">
        <f>L60</f>
        <v>56703</v>
      </c>
      <c r="BY60" s="37">
        <v>46483.01</v>
      </c>
      <c r="BZ60" s="31">
        <f>M60</f>
        <v>72085.2</v>
      </c>
      <c r="CA60" s="37">
        <v>53640</v>
      </c>
      <c r="CB60" s="31">
        <f>N60</f>
        <v>191897</v>
      </c>
      <c r="CC60" s="37">
        <v>334381</v>
      </c>
      <c r="CD60" s="31">
        <f>P60</f>
        <v>444132</v>
      </c>
      <c r="CE60" s="37">
        <v>477260</v>
      </c>
      <c r="CF60" s="31">
        <f>R60</f>
        <v>452911.39</v>
      </c>
      <c r="CG60" s="37">
        <v>390528.3</v>
      </c>
      <c r="CI60" s="76"/>
      <c r="CJ60" s="76"/>
      <c r="CK60" s="76"/>
    </row>
    <row r="61" spans="2:89" s="6" customFormat="1" ht="14.25" customHeight="1">
      <c r="B61" s="6" t="s">
        <v>156</v>
      </c>
      <c r="C61" s="1"/>
      <c r="D61" s="33">
        <f>+D55+D60</f>
        <v>35872</v>
      </c>
      <c r="E61" s="33">
        <f>+E55+E60</f>
        <v>39399</v>
      </c>
      <c r="F61" s="33">
        <f>+F55+F60</f>
        <v>51266</v>
      </c>
      <c r="G61" s="33">
        <f>+G55+G60</f>
        <v>52256</v>
      </c>
      <c r="H61" s="33">
        <f t="shared" ref="H61:M61" si="136">+H55+H60</f>
        <v>65186.096399999995</v>
      </c>
      <c r="I61" s="33">
        <f t="shared" si="136"/>
        <v>83244.264040000009</v>
      </c>
      <c r="J61" s="33">
        <f t="shared" si="136"/>
        <v>85823.428599999999</v>
      </c>
      <c r="K61" s="33">
        <f t="shared" si="136"/>
        <v>93897.091</v>
      </c>
      <c r="L61" s="33">
        <f t="shared" si="136"/>
        <v>238510.24400000001</v>
      </c>
      <c r="M61" s="33">
        <f t="shared" si="136"/>
        <v>358374.84</v>
      </c>
      <c r="N61" s="33">
        <f t="shared" ref="N61:W61" si="137">+N55+N60</f>
        <v>570447</v>
      </c>
      <c r="O61" s="33">
        <f t="shared" si="137"/>
        <v>815267.25</v>
      </c>
      <c r="P61" s="33">
        <f t="shared" si="137"/>
        <v>1144668</v>
      </c>
      <c r="Q61" s="33">
        <f>+Q55+Q60</f>
        <v>1323145</v>
      </c>
      <c r="R61" s="33">
        <f>+R55+R60</f>
        <v>1332235.3900000001</v>
      </c>
      <c r="S61" s="33">
        <f>+S55+S60</f>
        <v>1603876.3900000001</v>
      </c>
      <c r="T61" s="33">
        <f>+T55+T60</f>
        <v>1922041.21</v>
      </c>
      <c r="U61" s="33">
        <f>+U55+U60</f>
        <v>1853640.1</v>
      </c>
      <c r="V61" s="33">
        <f t="shared" si="137"/>
        <v>0</v>
      </c>
      <c r="W61" s="33">
        <f t="shared" si="137"/>
        <v>0</v>
      </c>
      <c r="X61" s="31"/>
      <c r="Y61" s="33">
        <f>+Y55+Y60</f>
        <v>71686.911066999994</v>
      </c>
      <c r="Z61" s="33">
        <f>+Z55+Z60</f>
        <v>72088.470640000014</v>
      </c>
      <c r="AA61" s="33">
        <f t="shared" ref="AA61:AI61" si="138">+AA55+AA60</f>
        <v>74074.342300000004</v>
      </c>
      <c r="AB61" s="33">
        <f t="shared" si="138"/>
        <v>83244.264040000009</v>
      </c>
      <c r="AC61" s="33">
        <f t="shared" si="138"/>
        <v>82523.785319999995</v>
      </c>
      <c r="AD61" s="33">
        <f t="shared" si="138"/>
        <v>79471.372559999989</v>
      </c>
      <c r="AE61" s="33">
        <f t="shared" si="138"/>
        <v>97319.712880000006</v>
      </c>
      <c r="AF61" s="33">
        <f t="shared" si="138"/>
        <v>85823.428599999999</v>
      </c>
      <c r="AG61" s="33">
        <f t="shared" si="138"/>
        <v>102791.28382</v>
      </c>
      <c r="AH61" s="33">
        <f t="shared" si="138"/>
        <v>105115.42092</v>
      </c>
      <c r="AI61" s="33">
        <f t="shared" si="138"/>
        <v>105672.22218</v>
      </c>
      <c r="AJ61" s="33">
        <f t="shared" ref="AJ61:AQ61" si="139">+AJ55+AJ60</f>
        <v>93897.091</v>
      </c>
      <c r="AK61" s="33">
        <f t="shared" si="139"/>
        <v>206513.72380000001</v>
      </c>
      <c r="AL61" s="33">
        <f t="shared" si="139"/>
        <v>220829.60190000001</v>
      </c>
      <c r="AM61" s="33">
        <f t="shared" si="139"/>
        <v>225251.64539999998</v>
      </c>
      <c r="AN61" s="33">
        <f t="shared" si="139"/>
        <v>238510.24400000001</v>
      </c>
      <c r="AO61" s="33">
        <f t="shared" si="139"/>
        <v>249778.19099999999</v>
      </c>
      <c r="AP61" s="33">
        <f t="shared" si="139"/>
        <v>260990.505</v>
      </c>
      <c r="AQ61" s="33">
        <f t="shared" si="139"/>
        <v>288181.766</v>
      </c>
      <c r="AR61" s="33">
        <f t="shared" ref="AR61:AW61" si="140">+AR55+AR60</f>
        <v>358374.84</v>
      </c>
      <c r="AS61" s="33">
        <f t="shared" si="140"/>
        <v>410803.005</v>
      </c>
      <c r="AT61" s="33">
        <f t="shared" si="140"/>
        <v>397927.85199999996</v>
      </c>
      <c r="AU61" s="33">
        <f t="shared" si="140"/>
        <v>535262.68400000001</v>
      </c>
      <c r="AV61" s="33">
        <f t="shared" si="140"/>
        <v>570447</v>
      </c>
      <c r="AW61" s="33">
        <f t="shared" si="140"/>
        <v>555024</v>
      </c>
      <c r="AX61" s="33">
        <f t="shared" ref="AX61:BC61" si="141">+AX55+AX60</f>
        <v>763356</v>
      </c>
      <c r="AY61" s="33">
        <f t="shared" si="141"/>
        <v>900288.41999999993</v>
      </c>
      <c r="AZ61" s="33">
        <f t="shared" si="141"/>
        <v>1323145</v>
      </c>
      <c r="BA61" s="33">
        <f t="shared" si="141"/>
        <v>1200560</v>
      </c>
      <c r="BB61" s="33">
        <f t="shared" si="141"/>
        <v>1234263</v>
      </c>
      <c r="BC61" s="33">
        <f t="shared" si="141"/>
        <v>1237634.3999999999</v>
      </c>
      <c r="BD61" s="33">
        <f t="shared" ref="BD61:BI61" si="142">+BD55+BD60</f>
        <v>1332235.3900000001</v>
      </c>
      <c r="BE61" s="33">
        <f t="shared" si="142"/>
        <v>1359243.92</v>
      </c>
      <c r="BF61" s="33">
        <f t="shared" si="142"/>
        <v>1444138.3</v>
      </c>
      <c r="BG61" s="33">
        <f t="shared" si="142"/>
        <v>1699020</v>
      </c>
      <c r="BH61" s="33">
        <f t="shared" si="142"/>
        <v>1922041.21</v>
      </c>
      <c r="BI61" s="33">
        <f t="shared" si="142"/>
        <v>1853640.1</v>
      </c>
      <c r="BJ61" s="33"/>
      <c r="BK61" s="33"/>
      <c r="BL61" s="37"/>
      <c r="BM61" s="37"/>
      <c r="BN61" s="33">
        <f>+BN55+BN60</f>
        <v>1200560</v>
      </c>
      <c r="BO61" s="33">
        <f>+BO55+BO60</f>
        <v>1234263</v>
      </c>
      <c r="BP61" s="33">
        <f>+BP55+BP60</f>
        <v>1237634.3999999999</v>
      </c>
      <c r="BQ61" s="33">
        <f>+BQ55+BQ60</f>
        <v>1603876.3900000001</v>
      </c>
      <c r="BR61" s="33">
        <f>+BR55+BR60</f>
        <v>1359243.92</v>
      </c>
      <c r="BS61" s="78"/>
      <c r="BT61" s="33">
        <f t="shared" ref="BT61:BY61" si="143">+BT55+BT60</f>
        <v>52256</v>
      </c>
      <c r="BU61" s="33">
        <f t="shared" si="143"/>
        <v>62493</v>
      </c>
      <c r="BV61" s="33">
        <f t="shared" si="143"/>
        <v>65186.096399999995</v>
      </c>
      <c r="BW61" s="33">
        <f t="shared" si="143"/>
        <v>220829.60190000001</v>
      </c>
      <c r="BX61" s="33">
        <f t="shared" si="143"/>
        <v>238510.24400000001</v>
      </c>
      <c r="BY61" s="33">
        <f t="shared" si="143"/>
        <v>260990.505</v>
      </c>
      <c r="BZ61" s="33">
        <f t="shared" ref="BZ61:CE61" si="144">+BZ55+BZ60</f>
        <v>358374.84</v>
      </c>
      <c r="CA61" s="33">
        <f t="shared" si="144"/>
        <v>397927.85199999996</v>
      </c>
      <c r="CB61" s="33">
        <f t="shared" si="144"/>
        <v>570447</v>
      </c>
      <c r="CC61" s="33">
        <f t="shared" si="144"/>
        <v>763356</v>
      </c>
      <c r="CD61" s="33">
        <f t="shared" si="144"/>
        <v>1144668</v>
      </c>
      <c r="CE61" s="33">
        <f t="shared" si="144"/>
        <v>1234263</v>
      </c>
      <c r="CF61" s="33">
        <f>+CF55+CF60</f>
        <v>1332235.3900000001</v>
      </c>
      <c r="CG61" s="33">
        <f>+CG55+CG60</f>
        <v>1444138.3</v>
      </c>
      <c r="CI61" s="76"/>
      <c r="CJ61" s="76"/>
      <c r="CK61" s="76"/>
    </row>
    <row r="62" spans="2:89" s="6" customFormat="1" ht="13.5" customHeight="1">
      <c r="B62" s="6" t="s">
        <v>157</v>
      </c>
      <c r="C62" s="1"/>
      <c r="D62" s="33">
        <f>+D57+D60</f>
        <v>28768</v>
      </c>
      <c r="E62" s="33">
        <f>+E57+E60</f>
        <v>30502</v>
      </c>
      <c r="F62" s="33">
        <f>+F57+F60</f>
        <v>41358</v>
      </c>
      <c r="G62" s="33">
        <f>+G57+G60</f>
        <v>41703</v>
      </c>
      <c r="H62" s="33">
        <f t="shared" ref="H62:M62" si="145">+H57+H60</f>
        <v>48189.1754</v>
      </c>
      <c r="I62" s="33">
        <f t="shared" si="145"/>
        <v>62393.827040000004</v>
      </c>
      <c r="J62" s="33">
        <f t="shared" si="145"/>
        <v>61245.938599999994</v>
      </c>
      <c r="K62" s="33">
        <f t="shared" si="145"/>
        <v>56080.731</v>
      </c>
      <c r="L62" s="33">
        <f t="shared" si="145"/>
        <v>129177.171</v>
      </c>
      <c r="M62" s="33">
        <f t="shared" si="145"/>
        <v>161280.217</v>
      </c>
      <c r="N62" s="33">
        <f t="shared" ref="N62:W62" si="146">+N57+N60</f>
        <v>287870</v>
      </c>
      <c r="O62" s="33">
        <f t="shared" si="146"/>
        <v>349658.25</v>
      </c>
      <c r="P62" s="33">
        <f t="shared" si="146"/>
        <v>533651</v>
      </c>
      <c r="Q62" s="33">
        <f>+Q57+Q60</f>
        <v>556459</v>
      </c>
      <c r="R62" s="33">
        <f>+R57+R60</f>
        <v>657103.39</v>
      </c>
      <c r="S62" s="33">
        <f>+S57+S60</f>
        <v>720182.39</v>
      </c>
      <c r="T62" s="33">
        <f>+T57+T60</f>
        <v>1100923.21</v>
      </c>
      <c r="U62" s="33">
        <f>+U57+U60</f>
        <v>955375.1</v>
      </c>
      <c r="V62" s="33">
        <f t="shared" si="146"/>
        <v>0</v>
      </c>
      <c r="W62" s="33">
        <f t="shared" si="146"/>
        <v>0</v>
      </c>
      <c r="X62" s="31"/>
      <c r="Y62" s="33">
        <f>+Y57+Y60</f>
        <v>52798.399066999998</v>
      </c>
      <c r="Z62" s="33">
        <f>+Z57+Z60</f>
        <v>56177.921640000008</v>
      </c>
      <c r="AA62" s="33">
        <f t="shared" ref="AA62:AI62" si="147">+AA57+AA60</f>
        <v>55640.480300000003</v>
      </c>
      <c r="AB62" s="33">
        <f t="shared" si="147"/>
        <v>62393.827040000004</v>
      </c>
      <c r="AC62" s="33">
        <f t="shared" si="147"/>
        <v>61519.106320000006</v>
      </c>
      <c r="AD62" s="33">
        <f t="shared" si="147"/>
        <v>59885.516559999996</v>
      </c>
      <c r="AE62" s="33">
        <f t="shared" si="147"/>
        <v>69449.772880000004</v>
      </c>
      <c r="AF62" s="33">
        <f t="shared" si="147"/>
        <v>61245.938599999994</v>
      </c>
      <c r="AG62" s="33">
        <f t="shared" si="147"/>
        <v>65024.514819999997</v>
      </c>
      <c r="AH62" s="33">
        <f t="shared" si="147"/>
        <v>70413.935919999989</v>
      </c>
      <c r="AI62" s="33">
        <f t="shared" si="147"/>
        <v>71891.486180000007</v>
      </c>
      <c r="AJ62" s="33">
        <f t="shared" ref="AJ62:AP62" si="148">+AJ57+AJ60</f>
        <v>56080.731</v>
      </c>
      <c r="AK62" s="33">
        <f t="shared" si="148"/>
        <v>104896.33380000002</v>
      </c>
      <c r="AL62" s="33">
        <f t="shared" si="148"/>
        <v>119660.43490000002</v>
      </c>
      <c r="AM62" s="33">
        <f t="shared" si="148"/>
        <v>118614.7864</v>
      </c>
      <c r="AN62" s="33">
        <f t="shared" si="148"/>
        <v>129177.171</v>
      </c>
      <c r="AO62" s="33">
        <f t="shared" si="148"/>
        <v>129591.97099999999</v>
      </c>
      <c r="AP62" s="33">
        <f t="shared" si="148"/>
        <v>132235.02000000002</v>
      </c>
      <c r="AQ62" s="33">
        <f t="shared" ref="AQ62:AV62" si="149">+AQ57+AQ60</f>
        <v>158487.68099999998</v>
      </c>
      <c r="AR62" s="33">
        <f t="shared" si="149"/>
        <v>161280.217</v>
      </c>
      <c r="AS62" s="33">
        <f t="shared" si="149"/>
        <v>193535.76199999996</v>
      </c>
      <c r="AT62" s="33">
        <f t="shared" si="149"/>
        <v>154330.09699999995</v>
      </c>
      <c r="AU62" s="33">
        <f t="shared" si="149"/>
        <v>268718.92000000004</v>
      </c>
      <c r="AV62" s="33">
        <f t="shared" si="149"/>
        <v>287870</v>
      </c>
      <c r="AW62" s="33">
        <f t="shared" ref="AW62:BB62" si="150">+AW57+AW60</f>
        <v>267321</v>
      </c>
      <c r="AX62" s="33">
        <f t="shared" si="150"/>
        <v>406573</v>
      </c>
      <c r="AY62" s="33">
        <f t="shared" si="150"/>
        <v>410081.42</v>
      </c>
      <c r="AZ62" s="33">
        <f t="shared" si="150"/>
        <v>556459</v>
      </c>
      <c r="BA62" s="33">
        <f t="shared" si="150"/>
        <v>658540</v>
      </c>
      <c r="BB62" s="33">
        <f t="shared" si="150"/>
        <v>653800</v>
      </c>
      <c r="BC62" s="33">
        <f t="shared" ref="BC62:BH62" si="151">+BC57+BC60</f>
        <v>551326.4</v>
      </c>
      <c r="BD62" s="33">
        <f t="shared" si="151"/>
        <v>657103.39</v>
      </c>
      <c r="BE62" s="33">
        <f t="shared" si="151"/>
        <v>646313.91999999993</v>
      </c>
      <c r="BF62" s="33">
        <f t="shared" si="151"/>
        <v>700895.3</v>
      </c>
      <c r="BG62" s="33">
        <f t="shared" si="151"/>
        <v>835476</v>
      </c>
      <c r="BH62" s="33">
        <f t="shared" si="151"/>
        <v>1100923.21</v>
      </c>
      <c r="BI62" s="33">
        <f>+BI57+BI60</f>
        <v>955375.1</v>
      </c>
      <c r="BJ62" s="33"/>
      <c r="BK62" s="33"/>
      <c r="BL62" s="37"/>
      <c r="BM62" s="37"/>
      <c r="BN62" s="33">
        <f>+BN57+BN60</f>
        <v>658540</v>
      </c>
      <c r="BO62" s="33">
        <f>+BO57+BO60</f>
        <v>653800</v>
      </c>
      <c r="BP62" s="33">
        <f>+BP57+BP60</f>
        <v>551326.4</v>
      </c>
      <c r="BQ62" s="33">
        <f>+BQ57+BQ60</f>
        <v>720182.39</v>
      </c>
      <c r="BR62" s="33">
        <f>+BR57+BR60</f>
        <v>646313.91999999993</v>
      </c>
      <c r="BS62" s="78"/>
      <c r="BT62" s="33">
        <f t="shared" ref="BT62:BY62" si="152">+BT57+BT60</f>
        <v>41703</v>
      </c>
      <c r="BU62" s="33">
        <f t="shared" si="152"/>
        <v>48241</v>
      </c>
      <c r="BV62" s="33">
        <f t="shared" si="152"/>
        <v>48189.1754</v>
      </c>
      <c r="BW62" s="33">
        <f t="shared" si="152"/>
        <v>119660.43490000002</v>
      </c>
      <c r="BX62" s="33">
        <f t="shared" si="152"/>
        <v>129177.171</v>
      </c>
      <c r="BY62" s="33">
        <f t="shared" si="152"/>
        <v>132235.02000000002</v>
      </c>
      <c r="BZ62" s="33">
        <f t="shared" ref="BZ62:CE62" si="153">+BZ57+BZ60</f>
        <v>161280.217</v>
      </c>
      <c r="CA62" s="33">
        <f t="shared" si="153"/>
        <v>154330.09699999995</v>
      </c>
      <c r="CB62" s="33">
        <f t="shared" si="153"/>
        <v>287870</v>
      </c>
      <c r="CC62" s="33">
        <f t="shared" si="153"/>
        <v>406573</v>
      </c>
      <c r="CD62" s="33">
        <f t="shared" si="153"/>
        <v>533651</v>
      </c>
      <c r="CE62" s="33">
        <f t="shared" si="153"/>
        <v>653800</v>
      </c>
      <c r="CF62" s="33">
        <f>+CF57+CF60</f>
        <v>657103.39</v>
      </c>
      <c r="CG62" s="33">
        <f>+CG57+CG60</f>
        <v>700895.3</v>
      </c>
      <c r="CI62" s="76"/>
      <c r="CJ62" s="76"/>
      <c r="CK62" s="76"/>
    </row>
    <row r="63" spans="2:89" ht="13.5" customHeight="1">
      <c r="BL63" s="37"/>
      <c r="BM63" s="37"/>
    </row>
    <row r="64" spans="2:89" ht="13.5" customHeight="1">
      <c r="B64" s="19" t="s">
        <v>158</v>
      </c>
      <c r="C64" s="3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L64" s="37"/>
      <c r="BM64" s="37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I64" s="20"/>
      <c r="CJ64" s="20"/>
      <c r="CK64" s="20"/>
    </row>
    <row r="65" spans="2:89" s="6" customFormat="1" ht="13.5" customHeight="1">
      <c r="B65" s="6" t="s">
        <v>159</v>
      </c>
      <c r="D65" s="134">
        <f t="shared" ref="D65:J65" si="154">+D57/D44</f>
        <v>1.198639455782313</v>
      </c>
      <c r="E65" s="134">
        <f t="shared" si="154"/>
        <v>1.649334945586457</v>
      </c>
      <c r="F65" s="134">
        <f t="shared" si="154"/>
        <v>2.2846277944226778</v>
      </c>
      <c r="G65" s="134">
        <f t="shared" si="154"/>
        <v>1.6981544439048082</v>
      </c>
      <c r="H65" s="134">
        <f t="shared" si="154"/>
        <v>2.1286506014416147</v>
      </c>
      <c r="I65" s="134">
        <f t="shared" si="154"/>
        <v>1.7169053316110954</v>
      </c>
      <c r="J65" s="134">
        <f t="shared" si="154"/>
        <v>1.8638561269717091</v>
      </c>
      <c r="K65" s="134">
        <f t="shared" ref="K65:P65" si="155">+K57/K44</f>
        <v>2.1016261526945033</v>
      </c>
      <c r="L65" s="134">
        <f t="shared" si="155"/>
        <v>2.8540895919111242</v>
      </c>
      <c r="M65" s="134">
        <f t="shared" si="155"/>
        <v>1.7090800621319804</v>
      </c>
      <c r="N65" s="134">
        <f t="shared" si="155"/>
        <v>0.5773610785251494</v>
      </c>
      <c r="O65" s="134">
        <f t="shared" si="155"/>
        <v>0.53951915827109864</v>
      </c>
      <c r="P65" s="134">
        <f t="shared" si="155"/>
        <v>0.35920101758708273</v>
      </c>
      <c r="Q65" s="134">
        <f>+Q57/Q44</f>
        <v>0.31217813499640096</v>
      </c>
      <c r="R65" s="134">
        <f>+R57/R44</f>
        <v>1.4970197728722352</v>
      </c>
      <c r="S65" s="134">
        <f>+S57/S44</f>
        <v>1.4970146076981674</v>
      </c>
      <c r="T65" s="134">
        <f>+T57/T44</f>
        <v>2.5152805115792845</v>
      </c>
      <c r="U65" s="134">
        <f>+U57/U44</f>
        <v>2.0724143515953322</v>
      </c>
      <c r="V65" s="134"/>
      <c r="W65" s="134"/>
      <c r="X65" s="134"/>
      <c r="Y65" s="134"/>
      <c r="Z65" s="134"/>
      <c r="AA65" s="134"/>
      <c r="AB65" s="134">
        <f t="shared" ref="AB65:AI65" si="156">+AB57/AB44</f>
        <v>1.7169053316110954</v>
      </c>
      <c r="AC65" s="134">
        <f t="shared" si="156"/>
        <v>2.3736950460802806</v>
      </c>
      <c r="AD65" s="134">
        <f t="shared" si="156"/>
        <v>2.5456054602461617</v>
      </c>
      <c r="AE65" s="134">
        <f t="shared" si="156"/>
        <v>2.1399128863642072</v>
      </c>
      <c r="AF65" s="134">
        <f t="shared" si="156"/>
        <v>1.8638561269717095</v>
      </c>
      <c r="AG65" s="134">
        <f t="shared" si="156"/>
        <v>1.7556549252698852</v>
      </c>
      <c r="AH65" s="134">
        <f t="shared" si="156"/>
        <v>1.8683676881844296</v>
      </c>
      <c r="AI65" s="134">
        <f t="shared" si="156"/>
        <v>2.0906199609834983</v>
      </c>
      <c r="AJ65" s="134">
        <f t="shared" ref="AJ65:AP65" si="157">+AJ57/AJ44</f>
        <v>2.1016261526945028</v>
      </c>
      <c r="AK65" s="134">
        <f t="shared" si="157"/>
        <v>5.9045976098453501</v>
      </c>
      <c r="AL65" s="134">
        <f t="shared" si="157"/>
        <v>4.9991057378534016</v>
      </c>
      <c r="AM65" s="134">
        <f t="shared" si="157"/>
        <v>3.9328554850486888</v>
      </c>
      <c r="AN65" s="134">
        <f t="shared" si="157"/>
        <v>2.8540895919111238</v>
      </c>
      <c r="AO65" s="134">
        <f t="shared" si="157"/>
        <v>2.6349756598923002</v>
      </c>
      <c r="AP65" s="134">
        <f t="shared" si="157"/>
        <v>2.5415799400627992</v>
      </c>
      <c r="AQ65" s="134">
        <f t="shared" ref="AQ65:AV65" si="158">+AQ57/AQ44</f>
        <v>2.1688458285619614</v>
      </c>
      <c r="AR65" s="134">
        <f t="shared" si="158"/>
        <v>1.7090800621319804</v>
      </c>
      <c r="AS65" s="134">
        <f t="shared" si="158"/>
        <v>1.4376106854715129</v>
      </c>
      <c r="AT65" s="134">
        <f t="shared" si="158"/>
        <v>1.0356461469695968</v>
      </c>
      <c r="AU65" s="134">
        <f t="shared" si="158"/>
        <v>0.79775821105154232</v>
      </c>
      <c r="AV65" s="134">
        <f t="shared" si="158"/>
        <v>0.5773610785251494</v>
      </c>
      <c r="AW65" s="134">
        <f t="shared" ref="AW65:BB65" si="159">+AW57/AW44</f>
        <v>0.35376367879804604</v>
      </c>
      <c r="AX65" s="134">
        <f t="shared" si="159"/>
        <v>0.2885373305623059</v>
      </c>
      <c r="AY65" s="134">
        <f t="shared" si="159"/>
        <v>0.10660587317240383</v>
      </c>
      <c r="AZ65" s="134">
        <f t="shared" si="159"/>
        <v>0.31217813499640096</v>
      </c>
      <c r="BA65" s="134">
        <f t="shared" si="159"/>
        <v>0.4532329087324542</v>
      </c>
      <c r="BB65" s="134">
        <f t="shared" si="159"/>
        <v>0.60994696563995365</v>
      </c>
      <c r="BC65" s="134">
        <f t="shared" ref="BC65:BH65" si="160">+BC57/BC44</f>
        <v>0.63991114472972388</v>
      </c>
      <c r="BD65" s="134">
        <f t="shared" si="160"/>
        <v>1.4970197728722352</v>
      </c>
      <c r="BE65" s="134">
        <f t="shared" si="160"/>
        <v>1.7288230548583721</v>
      </c>
      <c r="BF65" s="134">
        <f t="shared" si="160"/>
        <v>2.1005515887787216</v>
      </c>
      <c r="BG65" s="134">
        <f t="shared" si="160"/>
        <v>2.0137484977095514</v>
      </c>
      <c r="BH65" s="134">
        <f t="shared" si="160"/>
        <v>2.5152805115792845</v>
      </c>
      <c r="BI65" s="134">
        <f>+BI57/BI44</f>
        <v>2.0724143515953322</v>
      </c>
      <c r="BJ65" s="134"/>
      <c r="BK65" s="134"/>
      <c r="BL65" s="36"/>
      <c r="BM65" s="36"/>
      <c r="BN65" s="134">
        <f>+BN57/BN44</f>
        <v>0.44077185590415807</v>
      </c>
      <c r="BO65" s="134">
        <f>+BO57/BO44</f>
        <v>0.49137847053093037</v>
      </c>
      <c r="BP65" s="134">
        <f>+BP57/BP44</f>
        <v>0.49025641778015777</v>
      </c>
      <c r="BQ65" s="134">
        <f>+BQ57/BQ44</f>
        <v>1.4970146076981674</v>
      </c>
      <c r="BR65" s="134">
        <f>+BR57/BR44</f>
        <v>1.5862009882872201</v>
      </c>
      <c r="BS65" s="214"/>
      <c r="BT65" s="134">
        <f>+BT57/BT44</f>
        <v>2.1154318530251315</v>
      </c>
      <c r="BU65" s="134">
        <f>+BU57/BU44</f>
        <v>2.2265952010785073</v>
      </c>
      <c r="BV65" s="134">
        <f>+BV57/BV44</f>
        <v>2.1286506014416147</v>
      </c>
      <c r="BW65" s="78"/>
      <c r="BX65" s="134">
        <f t="shared" ref="BX65:CC65" si="161">+BX57/BX44</f>
        <v>2.8540895919111242</v>
      </c>
      <c r="BY65" s="134">
        <f t="shared" si="161"/>
        <v>2.5415799400627996</v>
      </c>
      <c r="BZ65" s="134">
        <f t="shared" si="161"/>
        <v>1.7090800621319804</v>
      </c>
      <c r="CA65" s="134">
        <f t="shared" si="161"/>
        <v>1.0356461469695968</v>
      </c>
      <c r="CB65" s="134">
        <f t="shared" si="161"/>
        <v>0.5773610785251494</v>
      </c>
      <c r="CC65" s="134">
        <f t="shared" si="161"/>
        <v>0.38571136645480447</v>
      </c>
      <c r="CD65" s="134">
        <f>+CD57/CD44</f>
        <v>0.35920101758708273</v>
      </c>
      <c r="CE65" s="134">
        <f>+CE57/CE44</f>
        <v>0.71951711573653299</v>
      </c>
      <c r="CF65" s="134">
        <f>+CF57/CF44</f>
        <v>1.4970197728722352</v>
      </c>
      <c r="CG65" s="134">
        <f>+CG57/CG44</f>
        <v>2.4708387733656019</v>
      </c>
      <c r="CI65" s="215"/>
      <c r="CJ65" s="215"/>
      <c r="CK65" s="215"/>
    </row>
    <row r="66" spans="2:89" ht="13.5" customHeight="1">
      <c r="B66" s="1" t="s">
        <v>160</v>
      </c>
      <c r="D66" s="44">
        <f t="shared" ref="D66:J66" si="162">+D55/D44</f>
        <v>2.8095238095238093</v>
      </c>
      <c r="E66" s="44">
        <f t="shared" si="162"/>
        <v>3.4423619508262799</v>
      </c>
      <c r="F66" s="44">
        <f t="shared" si="162"/>
        <v>4.5681032495966809</v>
      </c>
      <c r="G66" s="44">
        <f t="shared" si="162"/>
        <v>2.9794803302574064</v>
      </c>
      <c r="H66" s="44">
        <f t="shared" si="162"/>
        <v>4.8708895869778779</v>
      </c>
      <c r="I66" s="44">
        <f t="shared" si="162"/>
        <v>4.0219427221821533</v>
      </c>
      <c r="J66" s="44">
        <f t="shared" si="162"/>
        <v>3.6790632072681868</v>
      </c>
      <c r="K66" s="44">
        <f t="shared" ref="K66:P66" si="163">+K55/K44</f>
        <v>5.6370710908794974</v>
      </c>
      <c r="L66" s="44">
        <f t="shared" si="163"/>
        <v>7.1597116003499535</v>
      </c>
      <c r="M66" s="44">
        <f t="shared" si="163"/>
        <v>5.4856418236788071</v>
      </c>
      <c r="N66" s="44">
        <f t="shared" si="163"/>
        <v>2.2773075372833533</v>
      </c>
      <c r="O66" s="44">
        <f t="shared" si="163"/>
        <v>2.1280265837856649</v>
      </c>
      <c r="P66" s="44">
        <f t="shared" si="163"/>
        <v>2.8109478887876831</v>
      </c>
      <c r="Q66" s="44">
        <f>+Q55/Q44</f>
        <v>2.4429446079534873</v>
      </c>
      <c r="R66" s="44">
        <f>+R55/R44</f>
        <v>6.4467041547225419</v>
      </c>
      <c r="S66" s="44">
        <f>+S55/S44</f>
        <v>6.4466830219115474</v>
      </c>
      <c r="T66" s="44">
        <f>+T55/T44</f>
        <v>6.3818762302106782</v>
      </c>
      <c r="U66" s="44">
        <f>+U55/U44</f>
        <v>5.9009768904876783</v>
      </c>
      <c r="V66" s="44"/>
      <c r="W66" s="44"/>
      <c r="X66" s="44"/>
      <c r="Y66" s="44"/>
      <c r="Z66" s="44"/>
      <c r="AA66" s="44"/>
      <c r="AB66" s="44">
        <f t="shared" ref="AB66:AI66" si="164">+AB55/AB44</f>
        <v>4.0219427221821533</v>
      </c>
      <c r="AC66" s="44">
        <f t="shared" si="164"/>
        <v>4.8563849780129953</v>
      </c>
      <c r="AD66" s="44">
        <f t="shared" si="164"/>
        <v>4.6382712995704267</v>
      </c>
      <c r="AE66" s="44">
        <f t="shared" si="164"/>
        <v>4.417319226294679</v>
      </c>
      <c r="AF66" s="44">
        <f t="shared" si="164"/>
        <v>3.6790632072681873</v>
      </c>
      <c r="AG66" s="44">
        <f t="shared" si="164"/>
        <v>4.4930690095388597</v>
      </c>
      <c r="AH66" s="44">
        <f t="shared" si="164"/>
        <v>4.3683453550457552</v>
      </c>
      <c r="AI66" s="44">
        <f t="shared" si="164"/>
        <v>5.0408956240889218</v>
      </c>
      <c r="AJ66" s="44">
        <f t="shared" ref="AJ66:AP66" si="165">+AJ55/AJ44</f>
        <v>5.6370710908794965</v>
      </c>
      <c r="AK66" s="44">
        <f t="shared" si="165"/>
        <v>14.374619904030066</v>
      </c>
      <c r="AL66" s="44">
        <f t="shared" si="165"/>
        <v>11.832319971318771</v>
      </c>
      <c r="AM66" s="44">
        <f t="shared" si="165"/>
        <v>9.0327293952736287</v>
      </c>
      <c r="AN66" s="44">
        <f t="shared" si="165"/>
        <v>7.1597116003499526</v>
      </c>
      <c r="AO66" s="44">
        <f t="shared" si="165"/>
        <v>6.5753391256760407</v>
      </c>
      <c r="AP66" s="44">
        <f t="shared" si="165"/>
        <v>6.3577278979830458</v>
      </c>
      <c r="AQ66" s="44">
        <f t="shared" ref="AQ66:AV66" si="166">+AQ55/AQ44</f>
        <v>5.7403270954123009</v>
      </c>
      <c r="AR66" s="44">
        <f t="shared" si="166"/>
        <v>5.4856418236788071</v>
      </c>
      <c r="AS66" s="44">
        <f t="shared" si="166"/>
        <v>4.7225086294866596</v>
      </c>
      <c r="AT66" s="44">
        <f t="shared" si="166"/>
        <v>3.5411663906951931</v>
      </c>
      <c r="AU66" s="44">
        <f t="shared" si="166"/>
        <v>2.7723020087206578</v>
      </c>
      <c r="AV66" s="44">
        <f t="shared" si="166"/>
        <v>2.2773075372833533</v>
      </c>
      <c r="AW66" s="44">
        <f t="shared" ref="AW66:BB66" si="167">+AW55/AW44</f>
        <v>1.747784739750974</v>
      </c>
      <c r="AX66" s="44">
        <f t="shared" si="167"/>
        <v>1.7145293298144555</v>
      </c>
      <c r="AY66" s="44">
        <f t="shared" si="167"/>
        <v>1.6709639307137008</v>
      </c>
      <c r="AZ66" s="44">
        <f t="shared" si="167"/>
        <v>2.4429446079534873</v>
      </c>
      <c r="BA66" s="44">
        <f t="shared" si="167"/>
        <v>2.0529236072579597</v>
      </c>
      <c r="BB66" s="44">
        <f t="shared" si="167"/>
        <v>2.6154507920603933</v>
      </c>
      <c r="BC66" s="44">
        <f t="shared" ref="BC66:BH66" si="168">+BC55/BC44</f>
        <v>3.9255837111437724</v>
      </c>
      <c r="BD66" s="44">
        <f t="shared" si="168"/>
        <v>6.4467041547225419</v>
      </c>
      <c r="BE66" s="44">
        <f t="shared" si="168"/>
        <v>7.0542831958886101</v>
      </c>
      <c r="BF66" s="44">
        <f t="shared" si="168"/>
        <v>7.1307908361815171</v>
      </c>
      <c r="BG66" s="44">
        <f t="shared" si="168"/>
        <v>7.0274447418382806</v>
      </c>
      <c r="BH66" s="44">
        <f t="shared" si="168"/>
        <v>6.3818762302106782</v>
      </c>
      <c r="BI66" s="44">
        <f>+BI55/BI44</f>
        <v>5.9009768904876783</v>
      </c>
      <c r="BJ66" s="44"/>
      <c r="BK66" s="44"/>
      <c r="BL66" s="37"/>
      <c r="BM66" s="37"/>
      <c r="BN66" s="44">
        <f>+BN55/BN44</f>
        <v>1.9964811269578395</v>
      </c>
      <c r="BO66" s="44">
        <f>+BO55/BO44</f>
        <v>2.1070294342773641</v>
      </c>
      <c r="BP66" s="44">
        <f>+BP55/BP44</f>
        <v>3.0075153773643728</v>
      </c>
      <c r="BQ66" s="44">
        <f>+BQ55/BQ44</f>
        <v>6.4466830219115474</v>
      </c>
      <c r="BR66" s="44">
        <f>+BR55/BR44</f>
        <v>6.4723286431954161</v>
      </c>
      <c r="BS66" s="80"/>
      <c r="BT66" s="44">
        <f>+BT55/BT44</f>
        <v>3.7116103418692763</v>
      </c>
      <c r="BU66" s="44">
        <f>+BU55/BU44</f>
        <v>4.4401439459006946</v>
      </c>
      <c r="BV66" s="44">
        <f>+BV55/BV44</f>
        <v>4.8708895869778779</v>
      </c>
      <c r="BW66" s="78"/>
      <c r="BX66" s="44">
        <f t="shared" ref="BX66:CC66" si="169">+BX55/BX44</f>
        <v>7.1597116003499535</v>
      </c>
      <c r="BY66" s="44">
        <f t="shared" si="169"/>
        <v>6.3577278979830467</v>
      </c>
      <c r="BZ66" s="44">
        <f t="shared" si="169"/>
        <v>5.4856418236788071</v>
      </c>
      <c r="CA66" s="44">
        <f t="shared" si="169"/>
        <v>3.5411663906951931</v>
      </c>
      <c r="CB66" s="44">
        <f t="shared" si="169"/>
        <v>2.2773075372833533</v>
      </c>
      <c r="CC66" s="44">
        <f t="shared" si="169"/>
        <v>2.2919510946496806</v>
      </c>
      <c r="CD66" s="44">
        <f>+CD55/CD44</f>
        <v>2.8109478887876831</v>
      </c>
      <c r="CE66" s="44">
        <f>+CE55/CE44</f>
        <v>3.0852872729347607</v>
      </c>
      <c r="CF66" s="44">
        <f>+CF55/CF44</f>
        <v>6.4467041547225419</v>
      </c>
      <c r="CG66" s="44">
        <f>+CG55/CG44</f>
        <v>8.3878132662484468</v>
      </c>
      <c r="CI66" s="76"/>
      <c r="CJ66" s="76"/>
      <c r="CK66" s="76"/>
    </row>
    <row r="67" spans="2:89" s="6" customFormat="1" ht="13.5" customHeight="1">
      <c r="B67" s="6" t="s">
        <v>161</v>
      </c>
      <c r="D67" s="134">
        <f t="shared" ref="D67:J67" si="170">+D62/D44</f>
        <v>6.5233560090702944</v>
      </c>
      <c r="E67" s="134">
        <f t="shared" si="170"/>
        <v>6.1471180975413136</v>
      </c>
      <c r="F67" s="134">
        <f t="shared" si="170"/>
        <v>9.5316893293385565</v>
      </c>
      <c r="G67" s="134">
        <f t="shared" si="170"/>
        <v>5.0635016998542985</v>
      </c>
      <c r="H67" s="134">
        <f t="shared" si="170"/>
        <v>7.7747161066833854</v>
      </c>
      <c r="I67" s="134">
        <f t="shared" si="170"/>
        <v>6.8977021569391344</v>
      </c>
      <c r="J67" s="134">
        <f t="shared" si="170"/>
        <v>4.5234098919834089</v>
      </c>
      <c r="K67" s="134">
        <f t="shared" ref="K67:P67" si="171">+K62/K44</f>
        <v>5.2429778155185822</v>
      </c>
      <c r="L67" s="134">
        <f t="shared" si="171"/>
        <v>5.0870981230488788</v>
      </c>
      <c r="M67" s="134">
        <f t="shared" si="171"/>
        <v>3.0903161696916235</v>
      </c>
      <c r="N67" s="134">
        <f t="shared" si="171"/>
        <v>1.7317884579520775</v>
      </c>
      <c r="O67" s="134">
        <f t="shared" si="171"/>
        <v>1.192920941213397</v>
      </c>
      <c r="P67" s="134">
        <f t="shared" si="171"/>
        <v>2.1413105847514413</v>
      </c>
      <c r="Q67" s="134">
        <f>+Q62/Q44</f>
        <v>1.546505584783376</v>
      </c>
      <c r="R67" s="134">
        <f>+R62/R44</f>
        <v>4.8175088527041989</v>
      </c>
      <c r="S67" s="134">
        <f>+S62/S44</f>
        <v>4.0338216942241338</v>
      </c>
      <c r="T67" s="134">
        <f>+T62/T44</f>
        <v>5.1841817745170982</v>
      </c>
      <c r="U67" s="134">
        <f>+U62/U44</f>
        <v>4.0719757737978535</v>
      </c>
      <c r="V67" s="134"/>
      <c r="W67" s="134"/>
      <c r="Y67" s="134"/>
      <c r="Z67" s="134"/>
      <c r="AA67" s="134"/>
      <c r="AB67" s="134">
        <f t="shared" ref="AB67:AI67" si="172">+AB62/AB44</f>
        <v>6.8977021569391344</v>
      </c>
      <c r="AC67" s="134">
        <f t="shared" si="172"/>
        <v>7.2713734821732938</v>
      </c>
      <c r="AD67" s="134">
        <f t="shared" si="172"/>
        <v>6.3985140488830075</v>
      </c>
      <c r="AE67" s="134">
        <f t="shared" si="172"/>
        <v>5.6751235583443433</v>
      </c>
      <c r="AF67" s="134">
        <f t="shared" si="172"/>
        <v>4.5234098919834098</v>
      </c>
      <c r="AG67" s="134">
        <f t="shared" si="172"/>
        <v>4.713112278443111</v>
      </c>
      <c r="AH67" s="134">
        <f t="shared" si="172"/>
        <v>5.0727877275512689</v>
      </c>
      <c r="AI67" s="134">
        <f t="shared" si="172"/>
        <v>6.2787176117575987</v>
      </c>
      <c r="AJ67" s="134">
        <f t="shared" ref="AJ67:AP67" si="173">+AJ62/AJ44</f>
        <v>5.2429778155185813</v>
      </c>
      <c r="AK67" s="134">
        <f t="shared" si="173"/>
        <v>8.7433291276644862</v>
      </c>
      <c r="AL67" s="134">
        <f t="shared" si="173"/>
        <v>8.0821599227098151</v>
      </c>
      <c r="AM67" s="134">
        <f t="shared" si="173"/>
        <v>5.6727144835376677</v>
      </c>
      <c r="AN67" s="134">
        <f t="shared" si="173"/>
        <v>5.0870981230488779</v>
      </c>
      <c r="AO67" s="134">
        <f t="shared" si="173"/>
        <v>4.248735570411533</v>
      </c>
      <c r="AP67" s="134">
        <f t="shared" si="173"/>
        <v>3.9192769266376737</v>
      </c>
      <c r="AQ67" s="134">
        <f t="shared" ref="AQ67:AV67" si="174">+AQ62/AQ44</f>
        <v>4.3643916661122395</v>
      </c>
      <c r="AR67" s="134">
        <f t="shared" si="174"/>
        <v>3.0903161696916235</v>
      </c>
      <c r="AS67" s="134">
        <f t="shared" si="174"/>
        <v>2.9260979147565496</v>
      </c>
      <c r="AT67" s="134">
        <f t="shared" si="174"/>
        <v>1.587359383708749</v>
      </c>
      <c r="AU67" s="134">
        <f t="shared" si="174"/>
        <v>1.9906572520764108</v>
      </c>
      <c r="AV67" s="134">
        <f t="shared" si="174"/>
        <v>1.7317884579520775</v>
      </c>
      <c r="AW67" s="134">
        <f t="shared" ref="AW67:BB67" si="175">+AW62/AW44</f>
        <v>1.2952631847252121</v>
      </c>
      <c r="AX67" s="134">
        <f t="shared" si="175"/>
        <v>1.6249929091687223</v>
      </c>
      <c r="AY67" s="134">
        <f t="shared" si="175"/>
        <v>1.3086597572555609</v>
      </c>
      <c r="AZ67" s="134">
        <f t="shared" si="175"/>
        <v>1.546505584783376</v>
      </c>
      <c r="BA67" s="134">
        <f t="shared" si="175"/>
        <v>1.9435819944042405</v>
      </c>
      <c r="BB67" s="134">
        <f t="shared" si="175"/>
        <v>2.2588836871836508</v>
      </c>
      <c r="BC67" s="134">
        <f t="shared" ref="BC67:BH67" si="176">+BC62/BC44</f>
        <v>2.6394534634884312</v>
      </c>
      <c r="BD67" s="134">
        <f t="shared" si="176"/>
        <v>4.8175088527041989</v>
      </c>
      <c r="BE67" s="134">
        <f t="shared" si="176"/>
        <v>4.8278498864587061</v>
      </c>
      <c r="BF67" s="134">
        <f t="shared" si="176"/>
        <v>4.7436316875909448</v>
      </c>
      <c r="BG67" s="134">
        <f t="shared" si="176"/>
        <v>4.8507347434058881</v>
      </c>
      <c r="BH67" s="134">
        <f t="shared" si="176"/>
        <v>5.1841817745170982</v>
      </c>
      <c r="BI67" s="134">
        <f>+BI62/BI44</f>
        <v>4.0719757737978535</v>
      </c>
      <c r="BJ67" s="134"/>
      <c r="BK67" s="134"/>
      <c r="BL67" s="36"/>
      <c r="BM67" s="36"/>
      <c r="BN67" s="134">
        <f>+BN62/BN44</f>
        <v>1.8901457203787524</v>
      </c>
      <c r="BO67" s="134">
        <f>+BO62/BO44</f>
        <v>1.8197759376522162</v>
      </c>
      <c r="BP67" s="134">
        <f>+BP62/BP44</f>
        <v>2.0221698130508616</v>
      </c>
      <c r="BQ67" s="134">
        <f>+BQ62/BQ44</f>
        <v>4.0338216942241338</v>
      </c>
      <c r="BR67" s="134">
        <f>+BR62/BR44</f>
        <v>4.4295685667093867</v>
      </c>
      <c r="BS67" s="214"/>
      <c r="BT67" s="134">
        <f>+BT62/BT44</f>
        <v>6.3077259092454634</v>
      </c>
      <c r="BU67" s="134">
        <f>+BU62/BU44</f>
        <v>7.4925487650131322</v>
      </c>
      <c r="BV67" s="134">
        <f>+BV62/BV44</f>
        <v>7.7747161066833854</v>
      </c>
      <c r="BW67" s="78"/>
      <c r="BX67" s="134">
        <f t="shared" ref="BX67:CC67" si="177">+BX62/BX44</f>
        <v>5.0870981230488788</v>
      </c>
      <c r="BY67" s="134">
        <f t="shared" si="177"/>
        <v>3.9192769266376746</v>
      </c>
      <c r="BZ67" s="134">
        <f t="shared" si="177"/>
        <v>3.0903161696916235</v>
      </c>
      <c r="CA67" s="134">
        <f t="shared" si="177"/>
        <v>1.587359383708749</v>
      </c>
      <c r="CB67" s="134">
        <f t="shared" si="177"/>
        <v>1.7317884579520775</v>
      </c>
      <c r="CC67" s="134">
        <f t="shared" si="177"/>
        <v>2.17226046367505</v>
      </c>
      <c r="CD67" s="134">
        <f>+CD62/CD44</f>
        <v>2.1413105847514413</v>
      </c>
      <c r="CE67" s="134">
        <f>+CE62/CE44</f>
        <v>2.6646668758839089</v>
      </c>
      <c r="CF67" s="134">
        <f>+CF62/CF44</f>
        <v>4.8175088527041989</v>
      </c>
      <c r="CG67" s="134">
        <f>+CG62/CG44</f>
        <v>5.5798434862911188</v>
      </c>
      <c r="CI67" s="215"/>
      <c r="CJ67" s="215"/>
      <c r="CK67" s="215"/>
    </row>
    <row r="68" spans="2:89" ht="13.5" customHeight="1">
      <c r="B68" s="1" t="s">
        <v>162</v>
      </c>
      <c r="D68" s="8">
        <f t="shared" ref="D68:J68" si="178">+D57/D62</f>
        <v>0.18374582869855394</v>
      </c>
      <c r="E68" s="8">
        <f t="shared" si="178"/>
        <v>0.26831027473608288</v>
      </c>
      <c r="F68" s="8">
        <f t="shared" si="178"/>
        <v>0.23968760578364526</v>
      </c>
      <c r="G68" s="8">
        <f t="shared" si="178"/>
        <v>0.33537155600316526</v>
      </c>
      <c r="H68" s="8">
        <f t="shared" si="178"/>
        <v>0.27379142495142184</v>
      </c>
      <c r="I68" s="8">
        <f t="shared" si="178"/>
        <v>0.24890975176187871</v>
      </c>
      <c r="J68" s="8">
        <f t="shared" si="178"/>
        <v>0.4120467018199962</v>
      </c>
      <c r="K68" s="8">
        <f t="shared" ref="K68:P68" si="179">+K57/K62</f>
        <v>0.40084589838887796</v>
      </c>
      <c r="L68" s="8">
        <f t="shared" si="179"/>
        <v>0.5610447297998189</v>
      </c>
      <c r="M68" s="8">
        <f t="shared" si="179"/>
        <v>0.55304375613532331</v>
      </c>
      <c r="N68" s="8">
        <f t="shared" si="179"/>
        <v>0.33339007190745823</v>
      </c>
      <c r="O68" s="8">
        <f t="shared" si="179"/>
        <v>0.45226732101988154</v>
      </c>
      <c r="P68" s="8">
        <f t="shared" si="179"/>
        <v>0.16774820997243517</v>
      </c>
      <c r="Q68" s="8">
        <f>+Q57/Q62</f>
        <v>0.20186033472367237</v>
      </c>
      <c r="R68" s="8">
        <f>+R57/R62</f>
        <v>0.3107456194983258</v>
      </c>
      <c r="S68" s="8">
        <f>+S57/S62</f>
        <v>0.37111571139638666</v>
      </c>
      <c r="T68" s="8">
        <f>+T57/T62</f>
        <v>0.48518370323030979</v>
      </c>
      <c r="U68" s="8">
        <f>+U57/U62</f>
        <v>0.50894564867767644</v>
      </c>
      <c r="V68" s="8"/>
      <c r="W68" s="8"/>
      <c r="Y68" s="8">
        <f>+Y57/Y62</f>
        <v>0.26274213319226364</v>
      </c>
      <c r="Z68" s="8">
        <f>+Z57/Z62</f>
        <v>0.26962713389551446</v>
      </c>
      <c r="AA68" s="8">
        <f t="shared" ref="AA68:AI68" si="180">+AA57/AA62</f>
        <v>0.25482432796325094</v>
      </c>
      <c r="AB68" s="8">
        <f t="shared" si="180"/>
        <v>0.24890975176187871</v>
      </c>
      <c r="AC68" s="8">
        <f t="shared" si="180"/>
        <v>0.32644383511584141</v>
      </c>
      <c r="AD68" s="8">
        <f t="shared" si="180"/>
        <v>0.39784322434840164</v>
      </c>
      <c r="AE68" s="8">
        <f t="shared" si="180"/>
        <v>0.37706895089849002</v>
      </c>
      <c r="AF68" s="8">
        <f t="shared" si="180"/>
        <v>0.4120467018199962</v>
      </c>
      <c r="AG68" s="8">
        <f t="shared" si="180"/>
        <v>0.37250437111373741</v>
      </c>
      <c r="AH68" s="8">
        <f t="shared" si="180"/>
        <v>0.36831182153295544</v>
      </c>
      <c r="AI68" s="8">
        <f t="shared" si="180"/>
        <v>0.33296926064465449</v>
      </c>
      <c r="AJ68" s="8">
        <f t="shared" ref="AJ68:AP68" si="181">+AJ57/AJ62</f>
        <v>0.40084589838887796</v>
      </c>
      <c r="AK68" s="8">
        <f t="shared" si="181"/>
        <v>0.67532601411089543</v>
      </c>
      <c r="AL68" s="8">
        <f t="shared" si="181"/>
        <v>0.61853585992607829</v>
      </c>
      <c r="AM68" s="8">
        <f t="shared" si="181"/>
        <v>0.69329339533338319</v>
      </c>
      <c r="AN68" s="8">
        <f t="shared" si="181"/>
        <v>0.5610447297998189</v>
      </c>
      <c r="AO68" s="8">
        <f t="shared" si="181"/>
        <v>0.62017878406988658</v>
      </c>
      <c r="AP68" s="8">
        <f t="shared" si="181"/>
        <v>0.64848184694190691</v>
      </c>
      <c r="AQ68" s="8">
        <f t="shared" ref="AQ68:AV68" si="182">+AQ57/AQ62</f>
        <v>0.49694115342630324</v>
      </c>
      <c r="AR68" s="8">
        <f t="shared" si="182"/>
        <v>0.55304375613532331</v>
      </c>
      <c r="AS68" s="8">
        <f t="shared" si="182"/>
        <v>0.49130641808721626</v>
      </c>
      <c r="AT68" s="8">
        <f t="shared" si="182"/>
        <v>0.65243331636083912</v>
      </c>
      <c r="AU68" s="8">
        <f t="shared" si="182"/>
        <v>0.40075116407880779</v>
      </c>
      <c r="AV68" s="8">
        <f t="shared" si="182"/>
        <v>0.33339007190745823</v>
      </c>
      <c r="AW68" s="8">
        <f t="shared" ref="AW68:BB68" si="183">+AW57/AW62</f>
        <v>0.27312107915203071</v>
      </c>
      <c r="AX68" s="8">
        <f t="shared" si="183"/>
        <v>0.17756220900059769</v>
      </c>
      <c r="AY68" s="8">
        <f t="shared" si="183"/>
        <v>8.146187164490408E-2</v>
      </c>
      <c r="AZ68" s="8">
        <f t="shared" si="183"/>
        <v>0.20186033472367237</v>
      </c>
      <c r="BA68" s="8">
        <f t="shared" si="183"/>
        <v>0.23319464269444529</v>
      </c>
      <c r="BB68" s="8">
        <f t="shared" si="183"/>
        <v>0.27002141327623125</v>
      </c>
      <c r="BC68" s="8">
        <f t="shared" ref="BC68:BH68" si="184">+BC57/BC62</f>
        <v>0.24244077555509766</v>
      </c>
      <c r="BD68" s="8">
        <f t="shared" si="184"/>
        <v>0.3107456194983258</v>
      </c>
      <c r="BE68" s="8">
        <f t="shared" si="184"/>
        <v>0.35809378823219534</v>
      </c>
      <c r="BF68" s="8">
        <f t="shared" si="184"/>
        <v>0.44281506809932952</v>
      </c>
      <c r="BG68" s="8">
        <f t="shared" si="184"/>
        <v>0.41514298435861713</v>
      </c>
      <c r="BH68" s="8">
        <f t="shared" si="184"/>
        <v>0.48518370323030979</v>
      </c>
      <c r="BI68" s="8">
        <f>+BI57/BI62</f>
        <v>0.50894564867767644</v>
      </c>
      <c r="BJ68" s="8"/>
      <c r="BK68" s="8"/>
      <c r="BL68" s="37"/>
      <c r="BM68" s="37"/>
      <c r="BN68" s="8">
        <f>+BN57/BN62</f>
        <v>0.23319464269444529</v>
      </c>
      <c r="BO68" s="8">
        <f>+BO57/BO62</f>
        <v>0.27002141327623125</v>
      </c>
      <c r="BP68" s="8">
        <f>+BP57/BP62</f>
        <v>0.24244077555509766</v>
      </c>
      <c r="BQ68" s="8">
        <f>+BQ57/BQ62</f>
        <v>0.37111571139638666</v>
      </c>
      <c r="BR68" s="8">
        <f>+BR57/BR62</f>
        <v>0.35809378823219534</v>
      </c>
      <c r="BS68" s="81"/>
      <c r="BT68" s="8">
        <f t="shared" ref="BT68:BY68" si="185">+BT57/BT62</f>
        <v>0.33537155600316526</v>
      </c>
      <c r="BU68" s="8">
        <f t="shared" si="185"/>
        <v>0.29717460251653161</v>
      </c>
      <c r="BV68" s="8">
        <f t="shared" si="185"/>
        <v>0.27379142495142184</v>
      </c>
      <c r="BW68" s="8">
        <f t="shared" si="185"/>
        <v>0.61853585992607829</v>
      </c>
      <c r="BX68" s="8">
        <f t="shared" si="185"/>
        <v>0.5610447297998189</v>
      </c>
      <c r="BY68" s="8">
        <f t="shared" si="185"/>
        <v>0.64848184694190691</v>
      </c>
      <c r="BZ68" s="8">
        <f t="shared" ref="BZ68:CE68" si="186">+BZ57/BZ62</f>
        <v>0.55304375613532331</v>
      </c>
      <c r="CA68" s="8">
        <f t="shared" si="186"/>
        <v>0.65243331636083912</v>
      </c>
      <c r="CB68" s="8">
        <f t="shared" si="186"/>
        <v>0.33339007190745823</v>
      </c>
      <c r="CC68" s="8">
        <f t="shared" si="186"/>
        <v>0.17756220900059769</v>
      </c>
      <c r="CD68" s="8">
        <f t="shared" si="186"/>
        <v>0.16774820997243517</v>
      </c>
      <c r="CE68" s="8">
        <f t="shared" si="186"/>
        <v>0.27002141327623125</v>
      </c>
      <c r="CF68" s="8">
        <f>+CF57/CF62</f>
        <v>0.3107456194983258</v>
      </c>
      <c r="CG68" s="8">
        <f>+CG57/CG62</f>
        <v>0.44281506809932952</v>
      </c>
      <c r="CI68" s="76"/>
      <c r="CJ68" s="76"/>
      <c r="CK68" s="76"/>
    </row>
    <row r="69" spans="2:89" ht="13.5" customHeight="1">
      <c r="B69" s="1" t="s">
        <v>163</v>
      </c>
      <c r="D69" s="8">
        <f t="shared" ref="D69:J69" si="187">+D57/D60</f>
        <v>0.22510859381654033</v>
      </c>
      <c r="E69" s="8">
        <f t="shared" si="187"/>
        <v>0.36669952504704723</v>
      </c>
      <c r="F69" s="8">
        <f t="shared" si="187"/>
        <v>0.31524884719351248</v>
      </c>
      <c r="G69" s="8">
        <f t="shared" si="187"/>
        <v>0.50460006494209331</v>
      </c>
      <c r="H69" s="8">
        <f t="shared" si="187"/>
        <v>0.37701486096209635</v>
      </c>
      <c r="I69" s="8">
        <f t="shared" si="187"/>
        <v>0.33139792767348758</v>
      </c>
      <c r="J69" s="8">
        <f t="shared" si="187"/>
        <v>0.70081535913732862</v>
      </c>
      <c r="K69" s="8">
        <f t="shared" ref="K69:P69" si="188">+K57/K60</f>
        <v>0.66901970179458947</v>
      </c>
      <c r="L69" s="8">
        <f t="shared" si="188"/>
        <v>1.2781364478069943</v>
      </c>
      <c r="M69" s="8">
        <f t="shared" si="188"/>
        <v>1.2373554765749422</v>
      </c>
      <c r="N69" s="8">
        <f t="shared" si="188"/>
        <v>0.50012767265772784</v>
      </c>
      <c r="O69" s="8">
        <f t="shared" si="188"/>
        <v>0.825708120724157</v>
      </c>
      <c r="P69" s="8">
        <f t="shared" si="188"/>
        <v>0.20155944629074241</v>
      </c>
      <c r="Q69" s="8">
        <f>+Q57/Q60</f>
        <v>0.25291354822440176</v>
      </c>
      <c r="R69" s="8">
        <f>+R57/R60</f>
        <v>0.45084315499329791</v>
      </c>
      <c r="S69" s="8">
        <f>+S57/S60</f>
        <v>0.59011763868424683</v>
      </c>
      <c r="T69" s="8">
        <f>+T57/T60</f>
        <v>0.94244045162261647</v>
      </c>
      <c r="U69" s="8">
        <f>+U57/U60</f>
        <v>1.0364344543677797</v>
      </c>
      <c r="V69" s="8"/>
      <c r="W69" s="8"/>
      <c r="Y69" s="8">
        <f>+Y57/Y60</f>
        <v>0.35637752409467616</v>
      </c>
      <c r="Z69" s="8">
        <f>+Z57/Z60</f>
        <v>0.36916367845590559</v>
      </c>
      <c r="AA69" s="8">
        <f t="shared" ref="AA69:AI69" si="189">+AA57/AA60</f>
        <v>0.34196544187594463</v>
      </c>
      <c r="AB69" s="8">
        <f t="shared" si="189"/>
        <v>0.33139792767348758</v>
      </c>
      <c r="AC69" s="8">
        <f t="shared" si="189"/>
        <v>0.48465718545087449</v>
      </c>
      <c r="AD69" s="8">
        <f t="shared" si="189"/>
        <v>0.66069708161614971</v>
      </c>
      <c r="AE69" s="8">
        <f t="shared" si="189"/>
        <v>0.60531410569814859</v>
      </c>
      <c r="AF69" s="8">
        <f t="shared" si="189"/>
        <v>0.70081535913732862</v>
      </c>
      <c r="AG69" s="8">
        <f t="shared" si="189"/>
        <v>0.59363659915032829</v>
      </c>
      <c r="AH69" s="8">
        <f t="shared" si="189"/>
        <v>0.58305954438906815</v>
      </c>
      <c r="AI69" s="8">
        <f t="shared" si="189"/>
        <v>0.49918128355891667</v>
      </c>
      <c r="AJ69" s="8">
        <f t="shared" ref="AJ69:AP69" si="190">+AJ57/AJ60</f>
        <v>0.66901970179458947</v>
      </c>
      <c r="AK69" s="8">
        <f t="shared" si="190"/>
        <v>2.0800127003139681</v>
      </c>
      <c r="AL69" s="8">
        <f t="shared" si="190"/>
        <v>1.6214783906194059</v>
      </c>
      <c r="AM69" s="8">
        <f t="shared" si="190"/>
        <v>2.2604449489667084</v>
      </c>
      <c r="AN69" s="8">
        <f t="shared" si="190"/>
        <v>1.2781364478069943</v>
      </c>
      <c r="AO69" s="8">
        <f t="shared" si="190"/>
        <v>1.6328176469847291</v>
      </c>
      <c r="AP69" s="8">
        <f t="shared" si="190"/>
        <v>1.8448032947952382</v>
      </c>
      <c r="AQ69" s="8">
        <f t="shared" ref="AQ69:AV69" si="191">+AQ57/AQ60</f>
        <v>0.98783901090486548</v>
      </c>
      <c r="AR69" s="8">
        <f t="shared" si="191"/>
        <v>1.2373554765749422</v>
      </c>
      <c r="AS69" s="8">
        <f t="shared" si="191"/>
        <v>0.96581996619617561</v>
      </c>
      <c r="AT69" s="8">
        <f t="shared" si="191"/>
        <v>1.8771457307979111</v>
      </c>
      <c r="AU69" s="8">
        <f t="shared" si="191"/>
        <v>0.66875584908355323</v>
      </c>
      <c r="AV69" s="8">
        <f t="shared" si="191"/>
        <v>0.50012767265772784</v>
      </c>
      <c r="AW69" s="8">
        <f t="shared" ref="AW69:BB69" si="192">+AW57/AW60</f>
        <v>0.37574494364675004</v>
      </c>
      <c r="AX69" s="8">
        <f t="shared" si="192"/>
        <v>0.2158974343637946</v>
      </c>
      <c r="AY69" s="8">
        <f t="shared" si="192"/>
        <v>8.8686434596661506E-2</v>
      </c>
      <c r="AZ69" s="8">
        <f t="shared" si="192"/>
        <v>0.25291354822440176</v>
      </c>
      <c r="BA69" s="8">
        <f t="shared" si="192"/>
        <v>0.30411191115546998</v>
      </c>
      <c r="BB69" s="8">
        <f t="shared" si="192"/>
        <v>0.36990319741859784</v>
      </c>
      <c r="BC69" s="8">
        <f t="shared" ref="BC69:BH69" si="193">+BC57/BC60</f>
        <v>0.32002880795589927</v>
      </c>
      <c r="BD69" s="8">
        <f t="shared" si="193"/>
        <v>0.45084315499329791</v>
      </c>
      <c r="BE69" s="8">
        <f t="shared" si="193"/>
        <v>0.55785998276291449</v>
      </c>
      <c r="BF69" s="8">
        <f t="shared" si="193"/>
        <v>0.79473625855027663</v>
      </c>
      <c r="BG69" s="8">
        <f t="shared" si="193"/>
        <v>0.70981961959257844</v>
      </c>
      <c r="BH69" s="8">
        <f t="shared" si="193"/>
        <v>0.94244045162261647</v>
      </c>
      <c r="BI69" s="8">
        <f>+BI57/BI60</f>
        <v>1.0364344543677797</v>
      </c>
      <c r="BJ69" s="8"/>
      <c r="BK69" s="8"/>
      <c r="BL69" s="37"/>
      <c r="BM69" s="37"/>
      <c r="BN69" s="8">
        <f>+BN57/BN60</f>
        <v>0.30411191115546998</v>
      </c>
      <c r="BO69" s="8">
        <f>+BO57/BO60</f>
        <v>0.36990319741859784</v>
      </c>
      <c r="BP69" s="8">
        <f>+BP57/BP60</f>
        <v>0.32002880795589927</v>
      </c>
      <c r="BQ69" s="8">
        <f>+BQ57/BQ60</f>
        <v>0.59011763868424683</v>
      </c>
      <c r="BR69" s="8">
        <f>+BR57/BR60</f>
        <v>0.55785998276291449</v>
      </c>
      <c r="BS69" s="81"/>
      <c r="BT69" s="8">
        <f t="shared" ref="BT69:BY69" si="194">+BT57/BT60</f>
        <v>0.50460006494209331</v>
      </c>
      <c r="BU69" s="8">
        <f t="shared" si="194"/>
        <v>0.42282849137295386</v>
      </c>
      <c r="BV69" s="8">
        <f t="shared" si="194"/>
        <v>0.37701486096209635</v>
      </c>
      <c r="BW69" s="8">
        <f t="shared" si="194"/>
        <v>1.6214783906194059</v>
      </c>
      <c r="BX69" s="8">
        <f t="shared" si="194"/>
        <v>1.2781364478069943</v>
      </c>
      <c r="BY69" s="8">
        <f t="shared" si="194"/>
        <v>1.8448032947952382</v>
      </c>
      <c r="BZ69" s="8">
        <f t="shared" ref="BZ69:CE69" si="195">+BZ57/BZ60</f>
        <v>1.2373554765749422</v>
      </c>
      <c r="CA69" s="8">
        <f t="shared" si="195"/>
        <v>1.8771457307979111</v>
      </c>
      <c r="CB69" s="8">
        <f t="shared" si="195"/>
        <v>0.50012767265772784</v>
      </c>
      <c r="CC69" s="8">
        <f t="shared" si="195"/>
        <v>0.2158974343637946</v>
      </c>
      <c r="CD69" s="8">
        <f t="shared" si="195"/>
        <v>0.20155944629074241</v>
      </c>
      <c r="CE69" s="8">
        <f t="shared" si="195"/>
        <v>0.36990319741859784</v>
      </c>
      <c r="CF69" s="8">
        <f>+CF57/CF60</f>
        <v>0.45084315499329791</v>
      </c>
      <c r="CG69" s="8">
        <f>+CG57/CG60</f>
        <v>0.79473625855027663</v>
      </c>
      <c r="CI69" s="76"/>
      <c r="CJ69" s="76"/>
      <c r="CK69" s="76"/>
    </row>
    <row r="70" spans="2:89" ht="13.5" customHeight="1">
      <c r="BL70" s="37"/>
      <c r="BM70" s="37"/>
    </row>
    <row r="71" spans="2:89" ht="13.5" hidden="1" customHeight="1" outlineLevel="1">
      <c r="B71" s="19" t="s">
        <v>164</v>
      </c>
      <c r="C71" s="3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39"/>
      <c r="V71" s="20"/>
      <c r="W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L71" s="37"/>
      <c r="BM71" s="37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I71" s="20"/>
      <c r="CJ71" s="20"/>
      <c r="CK71" s="20"/>
    </row>
    <row r="72" spans="2:89" s="6" customFormat="1" ht="16.5" hidden="1" customHeight="1" outlineLevel="1">
      <c r="C72" s="40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3"/>
      <c r="W72" s="33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7"/>
      <c r="BM72" s="37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I72" s="36"/>
      <c r="CJ72" s="36"/>
      <c r="CK72" s="36"/>
    </row>
    <row r="73" spans="2:89" ht="13.5" hidden="1" customHeight="1" outlineLevel="1">
      <c r="B73" s="6" t="s">
        <v>165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37"/>
      <c r="BM73" s="37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I73" s="5"/>
      <c r="CJ73" s="5"/>
      <c r="CK73" s="5"/>
    </row>
    <row r="74" spans="2:89" s="6" customFormat="1" ht="16.5" hidden="1" customHeight="1" outlineLevel="1">
      <c r="B74" s="1" t="s">
        <v>127</v>
      </c>
      <c r="C74" s="40"/>
      <c r="D74" s="37">
        <v>61</v>
      </c>
      <c r="E74" s="37">
        <v>122</v>
      </c>
      <c r="F74" s="37">
        <v>71</v>
      </c>
      <c r="G74" s="37">
        <v>41</v>
      </c>
      <c r="H74" s="37">
        <f>335+128</f>
        <v>463</v>
      </c>
      <c r="I74" s="37">
        <f>337+183</f>
        <v>520</v>
      </c>
      <c r="J74" s="37">
        <f>1338+187</f>
        <v>1525</v>
      </c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37"/>
      <c r="V74" s="33"/>
      <c r="W74" s="33"/>
      <c r="X74" s="3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37"/>
      <c r="BK74" s="37"/>
      <c r="BL74" s="37"/>
      <c r="BM74" s="37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I74" s="76"/>
      <c r="CJ74" s="76"/>
      <c r="CK74" s="76"/>
    </row>
    <row r="75" spans="2:89" s="6" customFormat="1" ht="16.5" hidden="1" customHeight="1" outlineLevel="1">
      <c r="B75" s="1" t="s">
        <v>128</v>
      </c>
      <c r="C75" s="40"/>
      <c r="D75" s="37">
        <v>413</v>
      </c>
      <c r="E75" s="37">
        <v>399</v>
      </c>
      <c r="F75" s="37">
        <v>351</v>
      </c>
      <c r="G75" s="37">
        <f>154+121+113+36</f>
        <v>424</v>
      </c>
      <c r="H75" s="37">
        <f>255+137+113+32</f>
        <v>537</v>
      </c>
      <c r="I75" s="37">
        <f>304+132+94+27</f>
        <v>557</v>
      </c>
      <c r="J75" s="37">
        <f>463+301+113+31</f>
        <v>908</v>
      </c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37"/>
      <c r="V75" s="33"/>
      <c r="W75" s="33"/>
      <c r="X75" s="3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37"/>
      <c r="BK75" s="37"/>
      <c r="BL75" s="37"/>
      <c r="BM75" s="37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I75" s="76"/>
      <c r="CJ75" s="76"/>
      <c r="CK75" s="76"/>
    </row>
    <row r="76" spans="2:89" s="6" customFormat="1" ht="16.5" hidden="1" customHeight="1" outlineLevel="1">
      <c r="B76" s="1" t="s">
        <v>129</v>
      </c>
      <c r="C76" s="40"/>
      <c r="D76" s="37">
        <v>122</v>
      </c>
      <c r="E76" s="37">
        <v>144</v>
      </c>
      <c r="F76" s="37">
        <v>122</v>
      </c>
      <c r="G76" s="37">
        <v>142</v>
      </c>
      <c r="H76" s="37">
        <v>106</v>
      </c>
      <c r="I76" s="37">
        <v>172</v>
      </c>
      <c r="J76" s="37">
        <v>176</v>
      </c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37"/>
      <c r="V76" s="33"/>
      <c r="W76" s="33"/>
      <c r="X76" s="3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37"/>
      <c r="BK76" s="37"/>
      <c r="BL76" s="37"/>
      <c r="BM76" s="37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I76" s="76"/>
      <c r="CJ76" s="76"/>
      <c r="CK76" s="76"/>
    </row>
    <row r="77" spans="2:89" s="6" customFormat="1" ht="16.5" hidden="1" customHeight="1" outlineLevel="1">
      <c r="B77" s="1" t="s">
        <v>130</v>
      </c>
      <c r="C77" s="40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37"/>
      <c r="V77" s="33"/>
      <c r="W77" s="33"/>
      <c r="X77" s="3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37"/>
      <c r="BK77" s="37"/>
      <c r="BL77" s="37"/>
      <c r="BM77" s="37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I77" s="76"/>
      <c r="CJ77" s="76"/>
      <c r="CK77" s="76"/>
    </row>
    <row r="78" spans="2:89" s="6" customFormat="1" ht="16.5" hidden="1" customHeight="1" outlineLevel="1">
      <c r="B78" s="1" t="s">
        <v>131</v>
      </c>
      <c r="C78" s="40"/>
      <c r="D78" s="37">
        <v>72</v>
      </c>
      <c r="E78" s="37">
        <v>228</v>
      </c>
      <c r="F78" s="37">
        <v>197</v>
      </c>
      <c r="G78" s="37">
        <f>182+119</f>
        <v>301</v>
      </c>
      <c r="H78" s="37">
        <v>121</v>
      </c>
      <c r="I78" s="37">
        <v>43</v>
      </c>
      <c r="J78" s="37">
        <v>83</v>
      </c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37"/>
      <c r="V78" s="33"/>
      <c r="W78" s="33"/>
      <c r="X78" s="3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37"/>
      <c r="BK78" s="37"/>
      <c r="BL78" s="37"/>
      <c r="BM78" s="37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I78" s="76"/>
      <c r="CJ78" s="76"/>
      <c r="CK78" s="76"/>
    </row>
    <row r="79" spans="2:89" s="6" customFormat="1" ht="16.5" hidden="1" customHeight="1" outlineLevel="1">
      <c r="B79" s="6" t="s">
        <v>166</v>
      </c>
      <c r="C79" s="40"/>
      <c r="D79" s="33">
        <f t="shared" ref="D79:J79" si="196">SUM(D74:D78)</f>
        <v>668</v>
      </c>
      <c r="E79" s="33">
        <f t="shared" si="196"/>
        <v>893</v>
      </c>
      <c r="F79" s="33">
        <f t="shared" si="196"/>
        <v>741</v>
      </c>
      <c r="G79" s="33">
        <f t="shared" si="196"/>
        <v>908</v>
      </c>
      <c r="H79" s="33">
        <f t="shared" si="196"/>
        <v>1227</v>
      </c>
      <c r="I79" s="33">
        <f t="shared" si="196"/>
        <v>1292</v>
      </c>
      <c r="J79" s="33">
        <f t="shared" si="196"/>
        <v>2692</v>
      </c>
      <c r="K79" s="36">
        <v>2548</v>
      </c>
      <c r="L79" s="36">
        <v>1158</v>
      </c>
      <c r="M79" s="36">
        <v>3497</v>
      </c>
      <c r="N79" s="36">
        <v>6038</v>
      </c>
      <c r="O79" s="36">
        <v>6038</v>
      </c>
      <c r="P79" s="36">
        <v>24239</v>
      </c>
      <c r="Q79" s="36">
        <v>24239</v>
      </c>
      <c r="R79" s="36">
        <v>38500</v>
      </c>
      <c r="S79" s="36">
        <v>38500</v>
      </c>
      <c r="T79" s="36">
        <v>38500</v>
      </c>
      <c r="U79" s="33"/>
      <c r="V79" s="33">
        <f>SUM(V74:V78)</f>
        <v>0</v>
      </c>
      <c r="W79" s="33">
        <f>SUM(W74:W78)</f>
        <v>0</v>
      </c>
      <c r="X79" s="36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33"/>
      <c r="BK79" s="33"/>
      <c r="BL79" s="37"/>
      <c r="BM79" s="37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I79" s="78"/>
      <c r="CJ79" s="78"/>
      <c r="CK79" s="78"/>
    </row>
    <row r="80" spans="2:89" s="6" customFormat="1" ht="16.5" hidden="1" customHeight="1" outlineLevel="1">
      <c r="B80" s="6" t="s">
        <v>167</v>
      </c>
      <c r="C80" s="40"/>
      <c r="D80" s="37">
        <v>-373</v>
      </c>
      <c r="E80" s="37">
        <v>-546</v>
      </c>
      <c r="F80" s="37">
        <v>-490</v>
      </c>
      <c r="G80" s="37">
        <v>-585</v>
      </c>
      <c r="H80" s="37">
        <v>-738</v>
      </c>
      <c r="I80" s="37">
        <v>-826</v>
      </c>
      <c r="J80" s="37">
        <v>-876</v>
      </c>
      <c r="K80" s="37">
        <v>-1009.287424</v>
      </c>
      <c r="L80" s="37">
        <v>-531</v>
      </c>
      <c r="M80" s="37">
        <v>-1483.5003589999999</v>
      </c>
      <c r="N80" s="37">
        <v>-2287.3800409999999</v>
      </c>
      <c r="O80" s="37">
        <v>-2287.3800409999999</v>
      </c>
      <c r="P80" s="37">
        <v>-4395</v>
      </c>
      <c r="Q80" s="37">
        <v>-4395</v>
      </c>
      <c r="R80" s="37">
        <v>-20300</v>
      </c>
      <c r="S80" s="37">
        <v>-20300</v>
      </c>
      <c r="T80" s="37">
        <v>-20300</v>
      </c>
      <c r="U80" s="37"/>
      <c r="V80" s="33"/>
      <c r="W80" s="33"/>
      <c r="X80" s="3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37"/>
      <c r="BK80" s="37"/>
      <c r="BL80" s="37"/>
      <c r="BM80" s="37"/>
      <c r="BN80" s="76"/>
      <c r="BO80" s="76"/>
      <c r="BP80" s="76"/>
      <c r="BQ80" s="76"/>
      <c r="BR80" s="76"/>
      <c r="BS80" s="76"/>
      <c r="BT80" s="77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I80" s="76"/>
      <c r="CJ80" s="76"/>
      <c r="CK80" s="76"/>
    </row>
    <row r="81" spans="2:89" s="6" customFormat="1" ht="16.5" hidden="1" customHeight="1" outlineLevel="1">
      <c r="B81" s="6" t="s">
        <v>168</v>
      </c>
      <c r="C81" s="40"/>
      <c r="D81" s="33">
        <f>SUM(D79:D80)</f>
        <v>295</v>
      </c>
      <c r="E81" s="33">
        <f>SUM(E79:E80)</f>
        <v>347</v>
      </c>
      <c r="F81" s="33">
        <f>SUM(F79:F80)</f>
        <v>251</v>
      </c>
      <c r="G81" s="33">
        <f>SUM(G79:G80)</f>
        <v>323</v>
      </c>
      <c r="H81" s="33">
        <f t="shared" ref="H81:M81" si="197">SUM(H79:H80)</f>
        <v>489</v>
      </c>
      <c r="I81" s="33">
        <f t="shared" si="197"/>
        <v>466</v>
      </c>
      <c r="J81" s="33">
        <f t="shared" si="197"/>
        <v>1816</v>
      </c>
      <c r="K81" s="33">
        <f t="shared" si="197"/>
        <v>1538.7125759999999</v>
      </c>
      <c r="L81" s="33">
        <f t="shared" si="197"/>
        <v>627</v>
      </c>
      <c r="M81" s="33">
        <f t="shared" si="197"/>
        <v>2013.4996410000001</v>
      </c>
      <c r="N81" s="33">
        <f t="shared" ref="N81:T81" si="198">SUM(N79:N80)</f>
        <v>3750.6199590000001</v>
      </c>
      <c r="O81" s="33">
        <f t="shared" si="198"/>
        <v>3750.6199590000001</v>
      </c>
      <c r="P81" s="33">
        <f t="shared" si="198"/>
        <v>19844</v>
      </c>
      <c r="Q81" s="33">
        <f t="shared" si="198"/>
        <v>19844</v>
      </c>
      <c r="R81" s="33">
        <f t="shared" si="198"/>
        <v>18200</v>
      </c>
      <c r="S81" s="33">
        <f t="shared" si="198"/>
        <v>18200</v>
      </c>
      <c r="T81" s="33">
        <f t="shared" si="198"/>
        <v>18200</v>
      </c>
      <c r="U81" s="33"/>
      <c r="V81" s="33">
        <f>SUM(V79:V80)</f>
        <v>0</v>
      </c>
      <c r="W81" s="33">
        <f>SUM(W79:W80)</f>
        <v>0</v>
      </c>
      <c r="X81" s="36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33"/>
      <c r="BK81" s="33"/>
      <c r="BL81" s="37"/>
      <c r="BM81" s="37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I81" s="78"/>
      <c r="CJ81" s="78"/>
      <c r="CK81" s="78"/>
    </row>
    <row r="82" spans="2:89" s="6" customFormat="1" ht="16.5" hidden="1" customHeight="1" outlineLevel="1">
      <c r="B82" s="1"/>
      <c r="C82" s="40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3"/>
      <c r="W82" s="33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7"/>
      <c r="BM82" s="37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I82" s="36"/>
      <c r="CJ82" s="36"/>
      <c r="CK82" s="36"/>
    </row>
    <row r="83" spans="2:89" s="6" customFormat="1" ht="16.5" hidden="1" customHeight="1" outlineLevel="1">
      <c r="B83" s="1" t="s">
        <v>169</v>
      </c>
      <c r="C83" s="40"/>
      <c r="D83" s="37">
        <f>750*D95</f>
        <v>1337.7</v>
      </c>
      <c r="E83" s="37">
        <f>750*E95</f>
        <v>1611.15</v>
      </c>
      <c r="F83" s="37">
        <f>750*F95</f>
        <v>1751.25</v>
      </c>
      <c r="G83" s="37">
        <f>750*G95</f>
        <v>2187.8999999999996</v>
      </c>
      <c r="H83" s="37">
        <f>1500*H95</f>
        <v>5285.25</v>
      </c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37"/>
      <c r="V83" s="33"/>
      <c r="W83" s="33"/>
      <c r="X83" s="36"/>
      <c r="Y83" s="37">
        <f>1500*Y95</f>
        <v>5454.45</v>
      </c>
      <c r="Z83" s="37">
        <f>1500*Z95</f>
        <v>5281.05</v>
      </c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37"/>
      <c r="BK83" s="37"/>
      <c r="BL83" s="37"/>
      <c r="BM83" s="37"/>
      <c r="BN83" s="76"/>
      <c r="BO83" s="76"/>
      <c r="BP83" s="76"/>
      <c r="BQ83" s="76"/>
      <c r="BR83" s="76"/>
      <c r="BS83" s="76"/>
      <c r="BT83" s="31">
        <f>G83</f>
        <v>2187.8999999999996</v>
      </c>
      <c r="BU83" s="37">
        <f>1500*BU95</f>
        <v>4316.55</v>
      </c>
      <c r="BV83" s="31">
        <f>H83-BU83</f>
        <v>968.69999999999982</v>
      </c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I83" s="76"/>
      <c r="CJ83" s="76"/>
      <c r="CK83" s="76"/>
    </row>
    <row r="84" spans="2:89" s="6" customFormat="1" ht="16.5" hidden="1" customHeight="1" outlineLevel="1">
      <c r="B84" s="1" t="s">
        <v>170</v>
      </c>
      <c r="C84" s="40"/>
      <c r="D84" s="31"/>
      <c r="E84" s="31">
        <f>+E83-E85</f>
        <v>3306.15</v>
      </c>
      <c r="F84" s="31">
        <f>+F83-F85</f>
        <v>3395.25</v>
      </c>
      <c r="G84" s="37">
        <f>1490*G95</f>
        <v>4346.6279999999997</v>
      </c>
      <c r="H84" s="37">
        <f>2000*H95</f>
        <v>7047</v>
      </c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37"/>
      <c r="V84" s="33"/>
      <c r="W84" s="33"/>
      <c r="X84" s="36"/>
      <c r="Y84" s="37">
        <f>2000*Y95</f>
        <v>7272.5999999999995</v>
      </c>
      <c r="Z84" s="37">
        <f>2100*Z95</f>
        <v>7393.47</v>
      </c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37"/>
      <c r="BK84" s="37"/>
      <c r="BL84" s="37"/>
      <c r="BM84" s="37"/>
      <c r="BN84" s="76"/>
      <c r="BO84" s="76"/>
      <c r="BP84" s="76"/>
      <c r="BQ84" s="76"/>
      <c r="BR84" s="76"/>
      <c r="BS84" s="76"/>
      <c r="BT84" s="31">
        <f>G84</f>
        <v>4346.6279999999997</v>
      </c>
      <c r="BU84" s="37">
        <f>2100*BU95</f>
        <v>6043.17</v>
      </c>
      <c r="BV84" s="31">
        <f>H84-BU84</f>
        <v>1003.8299999999999</v>
      </c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I84" s="76"/>
      <c r="CJ84" s="76"/>
      <c r="CK84" s="76"/>
    </row>
    <row r="85" spans="2:89" s="6" customFormat="1" ht="16.5" hidden="1" customHeight="1" outlineLevel="1">
      <c r="B85" s="1" t="s">
        <v>171</v>
      </c>
      <c r="C85" s="40"/>
      <c r="D85" s="36"/>
      <c r="E85" s="36">
        <v>-1695</v>
      </c>
      <c r="F85" s="36">
        <v>-1644</v>
      </c>
      <c r="G85" s="33">
        <f>G83-G84</f>
        <v>-2158.7280000000001</v>
      </c>
      <c r="H85" s="33">
        <f>H83-H84</f>
        <v>-1761.75</v>
      </c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33"/>
      <c r="V85" s="33"/>
      <c r="W85" s="33"/>
      <c r="X85" s="36"/>
      <c r="Y85" s="33">
        <f>Y83-Y84</f>
        <v>-1818.1499999999996</v>
      </c>
      <c r="Z85" s="33">
        <f>Z83-Z84</f>
        <v>-2112.42</v>
      </c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33"/>
      <c r="BK85" s="33"/>
      <c r="BL85" s="37"/>
      <c r="BM85" s="37"/>
      <c r="BN85" s="78"/>
      <c r="BO85" s="78"/>
      <c r="BP85" s="78"/>
      <c r="BQ85" s="78"/>
      <c r="BR85" s="78"/>
      <c r="BS85" s="78"/>
      <c r="BT85" s="33">
        <f>BT83-BT84</f>
        <v>-2158.7280000000001</v>
      </c>
      <c r="BU85" s="33">
        <f>BU83-BU84</f>
        <v>-1726.62</v>
      </c>
      <c r="BV85" s="33">
        <f>BV83-BV84</f>
        <v>-35.130000000000109</v>
      </c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I85" s="76"/>
      <c r="CJ85" s="76"/>
      <c r="CK85" s="76"/>
    </row>
    <row r="86" spans="2:89" s="6" customFormat="1" ht="16.5" hidden="1" customHeight="1" outlineLevel="1">
      <c r="B86" s="1"/>
      <c r="C86" s="40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3"/>
      <c r="W86" s="33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7"/>
      <c r="BM86" s="37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I86" s="36"/>
      <c r="CJ86" s="36"/>
      <c r="CK86" s="36"/>
    </row>
    <row r="87" spans="2:89" s="6" customFormat="1" ht="16.5" hidden="1" customHeight="1" outlineLevel="1">
      <c r="B87" s="1" t="s">
        <v>172</v>
      </c>
      <c r="C87" s="40"/>
      <c r="D87" s="37">
        <v>60</v>
      </c>
      <c r="E87" s="37">
        <v>60</v>
      </c>
      <c r="F87" s="37">
        <v>60</v>
      </c>
      <c r="G87" s="37">
        <v>60</v>
      </c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37"/>
      <c r="V87" s="33"/>
      <c r="W87" s="33"/>
      <c r="X87" s="3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37"/>
      <c r="BK87" s="37"/>
      <c r="BL87" s="37"/>
      <c r="BM87" s="37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I87" s="76"/>
      <c r="CJ87" s="76"/>
      <c r="CK87" s="76"/>
    </row>
    <row r="88" spans="2:89" s="6" customFormat="1" ht="16.5" hidden="1" customHeight="1" outlineLevel="1">
      <c r="B88" s="1" t="s">
        <v>173</v>
      </c>
      <c r="C88" s="40"/>
      <c r="D88" s="13">
        <f>+D87/D83</f>
        <v>4.4853106077595871E-2</v>
      </c>
      <c r="E88" s="13">
        <f>+E87/E83</f>
        <v>3.7240480402197185E-2</v>
      </c>
      <c r="F88" s="13">
        <f>+F87/F83</f>
        <v>3.4261241970021415E-2</v>
      </c>
      <c r="G88" s="13">
        <f>+G87/G83</f>
        <v>2.7423556835321546E-2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212"/>
      <c r="V88" s="33"/>
      <c r="W88" s="33"/>
      <c r="X88" s="36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142"/>
      <c r="BK88" s="142"/>
      <c r="BL88" s="37"/>
      <c r="BM88" s="37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I88" s="79"/>
      <c r="CJ88" s="79"/>
      <c r="CK88" s="79"/>
    </row>
    <row r="89" spans="2:89" s="6" customFormat="1" ht="16.5" hidden="1" customHeight="1" outlineLevel="1">
      <c r="B89" s="1"/>
      <c r="C89" s="40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3"/>
      <c r="W89" s="33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7"/>
      <c r="BM89" s="37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I89" s="36"/>
      <c r="CJ89" s="36"/>
      <c r="CK89" s="36"/>
    </row>
    <row r="90" spans="2:89" s="6" customFormat="1" ht="16.5" hidden="1" customHeight="1" outlineLevel="1">
      <c r="B90" s="1" t="s">
        <v>174</v>
      </c>
      <c r="C90" s="40"/>
      <c r="D90" s="44">
        <f>+D83/D81</f>
        <v>4.5345762711864408</v>
      </c>
      <c r="E90" s="44">
        <f>+E83/E81</f>
        <v>4.6430835734870319</v>
      </c>
      <c r="F90" s="44">
        <f>+F83/F81</f>
        <v>6.9770916334661353</v>
      </c>
      <c r="G90" s="44">
        <f>+G83/G81</f>
        <v>6.7736842105263149</v>
      </c>
      <c r="H90" s="44">
        <f>+H83/H81</f>
        <v>10.808282208588958</v>
      </c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44"/>
      <c r="V90" s="44" t="e">
        <f>+V83/V81</f>
        <v>#DIV/0!</v>
      </c>
      <c r="W90" s="44" t="e">
        <f>+W83/W81</f>
        <v>#DIV/0!</v>
      </c>
      <c r="X90" s="36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44"/>
      <c r="BK90" s="44"/>
      <c r="BL90" s="37"/>
      <c r="BM90" s="37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I90" s="80"/>
      <c r="CJ90" s="80"/>
      <c r="CK90" s="80"/>
    </row>
    <row r="91" spans="2:89" s="6" customFormat="1" ht="16.5" hidden="1" customHeight="1" outlineLevel="1">
      <c r="B91" s="1" t="s">
        <v>175</v>
      </c>
      <c r="C91" s="40"/>
      <c r="D91" s="44">
        <f>+D85/D81</f>
        <v>0</v>
      </c>
      <c r="E91" s="44">
        <f>+E85/E81</f>
        <v>-4.8847262247838614</v>
      </c>
      <c r="F91" s="44">
        <f>+F85/F81</f>
        <v>-6.5498007968127494</v>
      </c>
      <c r="G91" s="44">
        <f>+G85/G81</f>
        <v>-6.6833684210526316</v>
      </c>
      <c r="H91" s="44">
        <f>+H85/H81</f>
        <v>-3.602760736196319</v>
      </c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44"/>
      <c r="V91" s="44" t="e">
        <f>+V85/V81</f>
        <v>#DIV/0!</v>
      </c>
      <c r="W91" s="44" t="e">
        <f>+W85/W81</f>
        <v>#DIV/0!</v>
      </c>
      <c r="X91" s="36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44"/>
      <c r="BK91" s="44"/>
      <c r="BL91" s="37"/>
      <c r="BM91" s="37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I91" s="80"/>
      <c r="CJ91" s="80"/>
      <c r="CK91" s="80"/>
    </row>
    <row r="92" spans="2:89" s="6" customFormat="1" ht="16.5" hidden="1" customHeight="1" outlineLevel="1">
      <c r="B92" s="1" t="s">
        <v>176</v>
      </c>
      <c r="C92" s="40"/>
      <c r="D92" s="44">
        <f>+D81/D87</f>
        <v>4.916666666666667</v>
      </c>
      <c r="E92" s="44">
        <f>+E81/E87</f>
        <v>5.7833333333333332</v>
      </c>
      <c r="F92" s="44">
        <f>+F81/F87</f>
        <v>4.1833333333333336</v>
      </c>
      <c r="G92" s="44">
        <f>+G81/G87</f>
        <v>5.3833333333333337</v>
      </c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44"/>
      <c r="V92" s="44" t="e">
        <f>+V81/V87</f>
        <v>#DIV/0!</v>
      </c>
      <c r="W92" s="44" t="e">
        <f>+W81/W87</f>
        <v>#DIV/0!</v>
      </c>
      <c r="X92" s="36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44"/>
      <c r="BK92" s="44"/>
      <c r="BL92" s="37"/>
      <c r="BM92" s="37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I92" s="80"/>
      <c r="CJ92" s="80"/>
      <c r="CK92" s="80"/>
    </row>
    <row r="93" spans="2:89" ht="13.5" customHeight="1" collapsed="1">
      <c r="BL93" s="37"/>
      <c r="BM93" s="37"/>
    </row>
    <row r="94" spans="2:89" s="6" customFormat="1" ht="13.5" customHeight="1">
      <c r="B94" s="145" t="s">
        <v>177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"/>
      <c r="BL94" s="37"/>
      <c r="BM94" s="37"/>
      <c r="BN94" s="145"/>
      <c r="BO94" s="145"/>
      <c r="BP94" s="145"/>
      <c r="BQ94" s="145"/>
      <c r="BR94" s="145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I94" s="24"/>
      <c r="CJ94" s="24"/>
      <c r="CK94" s="24"/>
    </row>
    <row r="95" spans="2:89" ht="13.5" customHeight="1">
      <c r="B95" s="145" t="s">
        <v>178</v>
      </c>
      <c r="C95" s="146"/>
      <c r="D95" s="147">
        <v>1.7836000000000001</v>
      </c>
      <c r="E95" s="147">
        <v>2.1482000000000001</v>
      </c>
      <c r="F95" s="147">
        <v>2.335</v>
      </c>
      <c r="G95" s="147">
        <v>2.9171999999999998</v>
      </c>
      <c r="H95" s="147">
        <v>3.5234999999999999</v>
      </c>
      <c r="I95" s="147">
        <v>3.7982</v>
      </c>
      <c r="J95" s="147">
        <v>5.2893999999999997</v>
      </c>
      <c r="K95" s="147">
        <v>5.9488000000000003</v>
      </c>
      <c r="L95" s="147">
        <v>7.4391999999999996</v>
      </c>
      <c r="M95" s="147">
        <v>13.297800000000001</v>
      </c>
      <c r="N95" s="147">
        <v>18.6905</v>
      </c>
      <c r="O95" s="147">
        <v>18.6905</v>
      </c>
      <c r="P95" s="147">
        <v>29.476800000000001</v>
      </c>
      <c r="Q95" s="147">
        <v>29.476800000000001</v>
      </c>
      <c r="R95" s="147">
        <v>35.335000000000001</v>
      </c>
      <c r="S95" s="147">
        <v>35.335000000000001</v>
      </c>
      <c r="T95" s="147">
        <f>BH95</f>
        <v>42.9587</v>
      </c>
      <c r="U95" s="148">
        <f>BI95</f>
        <v>44.453699999999998</v>
      </c>
      <c r="V95" s="148"/>
      <c r="W95" s="148"/>
      <c r="Y95" s="147">
        <v>3.6362999999999999</v>
      </c>
      <c r="Z95" s="147">
        <v>3.5207000000000002</v>
      </c>
      <c r="AA95" s="147">
        <v>3.5632999999999999</v>
      </c>
      <c r="AB95" s="148">
        <f>I95</f>
        <v>3.7982</v>
      </c>
      <c r="AC95" s="147">
        <v>3.9552999999999998</v>
      </c>
      <c r="AD95" s="147">
        <v>4.5929000000000002</v>
      </c>
      <c r="AE95" s="147">
        <v>6.0559000000000003</v>
      </c>
      <c r="AF95" s="148">
        <f>J95</f>
        <v>5.2893999999999997</v>
      </c>
      <c r="AG95" s="147">
        <v>5.5707000000000004</v>
      </c>
      <c r="AH95" s="147">
        <v>5.7937000000000003</v>
      </c>
      <c r="AI95" s="147">
        <v>5.6504000000000003</v>
      </c>
      <c r="AJ95" s="147">
        <f>K95</f>
        <v>5.9488000000000003</v>
      </c>
      <c r="AK95" s="147">
        <v>6.6151999999999997</v>
      </c>
      <c r="AL95" s="147">
        <v>6.8529</v>
      </c>
      <c r="AM95" s="147">
        <v>7.7206999999999999</v>
      </c>
      <c r="AN95" s="147">
        <f>L95</f>
        <v>7.4391999999999996</v>
      </c>
      <c r="AO95" s="147">
        <v>8.2518999999999991</v>
      </c>
      <c r="AP95" s="147">
        <v>8.7075999999999993</v>
      </c>
      <c r="AQ95" s="147">
        <v>8.8862000000000005</v>
      </c>
      <c r="AR95" s="147">
        <f>M95</f>
        <v>13.297800000000001</v>
      </c>
      <c r="AS95" s="147">
        <v>14.662000000000001</v>
      </c>
      <c r="AT95" s="147">
        <f>1/0.0601</f>
        <v>16.638935108153078</v>
      </c>
      <c r="AU95" s="147">
        <v>18.515599999999999</v>
      </c>
      <c r="AV95" s="147">
        <f>N95</f>
        <v>18.6905</v>
      </c>
      <c r="AW95" s="147">
        <v>19.181000000000001</v>
      </c>
      <c r="AX95" s="147">
        <f>1/0.0384</f>
        <v>26.041666666666668</v>
      </c>
      <c r="AY95" s="147">
        <v>27.615500000000001</v>
      </c>
      <c r="AZ95" s="147">
        <f>P95</f>
        <v>29.476800000000001</v>
      </c>
      <c r="BA95" s="147">
        <v>32.437899999999999</v>
      </c>
      <c r="BB95" s="147">
        <v>32.648499999999999</v>
      </c>
      <c r="BC95" s="147">
        <v>34.160499999999999</v>
      </c>
      <c r="BD95" s="147">
        <f>R95</f>
        <v>35.335000000000001</v>
      </c>
      <c r="BE95" s="147">
        <v>38.29</v>
      </c>
      <c r="BF95" s="147">
        <v>39.839199999999998</v>
      </c>
      <c r="BG95" s="147">
        <v>41.5852</v>
      </c>
      <c r="BH95" s="147">
        <v>42.9587</v>
      </c>
      <c r="BI95" s="147">
        <v>44.453699999999998</v>
      </c>
      <c r="BK95" s="137"/>
      <c r="BL95" s="37"/>
      <c r="BM95" s="37"/>
      <c r="BN95" s="147">
        <v>32.437899999999999</v>
      </c>
      <c r="BO95" s="147">
        <v>32.648499999999999</v>
      </c>
      <c r="BP95" s="147">
        <f>BC95</f>
        <v>34.160499999999999</v>
      </c>
      <c r="BQ95" s="147">
        <f>BD95</f>
        <v>35.335000000000001</v>
      </c>
      <c r="BR95" s="147">
        <f>BE95</f>
        <v>38.29</v>
      </c>
      <c r="BS95" s="32">
        <v>2.6816</v>
      </c>
      <c r="BT95" s="32">
        <v>2.9171999999999998</v>
      </c>
      <c r="BU95" s="32">
        <v>2.8776999999999999</v>
      </c>
      <c r="BV95" s="32">
        <v>3.5234999999999999</v>
      </c>
      <c r="BW95" s="32">
        <v>6.8529</v>
      </c>
      <c r="BX95" s="32">
        <f>AN95</f>
        <v>7.4391999999999996</v>
      </c>
      <c r="BY95" s="32">
        <v>8.7075999999999993</v>
      </c>
      <c r="BZ95" s="32">
        <f>AR95</f>
        <v>13.297800000000001</v>
      </c>
      <c r="CA95" s="32">
        <f>1/0.0601</f>
        <v>16.638935108153078</v>
      </c>
      <c r="CB95" s="32">
        <f>AV95</f>
        <v>18.6905</v>
      </c>
      <c r="CC95" s="32">
        <f>1/0.0384</f>
        <v>26.041666666666668</v>
      </c>
      <c r="CD95" s="32">
        <f>AZ95</f>
        <v>29.476800000000001</v>
      </c>
      <c r="CE95" s="32">
        <v>32.648499999999999</v>
      </c>
      <c r="CF95" s="32">
        <f>BD95</f>
        <v>35.335000000000001</v>
      </c>
      <c r="CG95" s="32">
        <v>39.839199999999998</v>
      </c>
      <c r="CI95" s="32">
        <f>1/0.0384</f>
        <v>26.041666666666668</v>
      </c>
      <c r="CJ95" s="32">
        <f>BD95</f>
        <v>35.335000000000001</v>
      </c>
      <c r="CK95" s="32">
        <v>32.648499999999999</v>
      </c>
    </row>
    <row r="96" spans="2:89" ht="13.5" customHeight="1">
      <c r="B96" s="145" t="s">
        <v>179</v>
      </c>
      <c r="C96" s="146"/>
      <c r="D96" s="147">
        <v>1.8005</v>
      </c>
      <c r="E96" s="147">
        <v>1.9057999999999999</v>
      </c>
      <c r="F96" s="147">
        <v>2.1880000000000002</v>
      </c>
      <c r="G96" s="147">
        <v>2.7252999999999998</v>
      </c>
      <c r="H96" s="147">
        <v>3.0249999999999999</v>
      </c>
      <c r="I96" s="147">
        <v>3.6471</v>
      </c>
      <c r="J96" s="147">
        <v>4.8438999999999997</v>
      </c>
      <c r="K96" s="147">
        <f>AVERAGE(AG96:AJ96)</f>
        <v>5.6782500000000002</v>
      </c>
      <c r="L96" s="147">
        <f>AVERAGE(AK96:AN96)</f>
        <v>6.9045499999999995</v>
      </c>
      <c r="M96" s="147">
        <f>AVERAGE(AO96:AR96)</f>
        <v>8.4774999999999991</v>
      </c>
      <c r="N96" s="147">
        <f>AVERAGE(AS96:AV96)</f>
        <v>15.652128248582027</v>
      </c>
      <c r="O96" s="147">
        <f>AVERAGE(AT96:AW96)</f>
        <v>16.869028248582026</v>
      </c>
      <c r="P96" s="147">
        <f>AVERAGE(AW96:AZ96)</f>
        <v>22.756588658367914</v>
      </c>
      <c r="Q96" s="147">
        <f>AVERAGE(Q95,O95)</f>
        <v>24.083649999999999</v>
      </c>
      <c r="R96" s="147">
        <v>32.827100000000002</v>
      </c>
      <c r="S96" s="147">
        <v>32.827100000000002</v>
      </c>
      <c r="T96" s="147">
        <f>AVERAGE(BE96:BH96)</f>
        <v>39.732050000000001</v>
      </c>
      <c r="U96" s="148">
        <f>AVERAGE(BF96:BI96)</f>
        <v>41.454000000000001</v>
      </c>
      <c r="V96" s="148"/>
      <c r="W96" s="148"/>
      <c r="Y96" s="147">
        <v>3.6968999999999999</v>
      </c>
      <c r="Z96" s="147">
        <v>3.5771000000000002</v>
      </c>
      <c r="AA96" s="147">
        <v>3.5129999999999999</v>
      </c>
      <c r="AB96" s="147">
        <v>3.8022</v>
      </c>
      <c r="AC96" s="147">
        <v>3.8176000000000001</v>
      </c>
      <c r="AD96" s="147">
        <v>4.3739999999999997</v>
      </c>
      <c r="AE96" s="147">
        <v>5.6585999999999999</v>
      </c>
      <c r="AF96" s="147">
        <v>5.4996</v>
      </c>
      <c r="AG96" s="147">
        <v>5.3658999999999999</v>
      </c>
      <c r="AH96" s="147">
        <v>5.8726000000000003</v>
      </c>
      <c r="AI96" s="147">
        <v>5.6749000000000001</v>
      </c>
      <c r="AJ96" s="147">
        <f>AVERAGE(AI95:AJ95)</f>
        <v>5.7995999999999999</v>
      </c>
      <c r="AK96" s="147">
        <v>6.1090999999999998</v>
      </c>
      <c r="AL96" s="147">
        <v>6.8613999999999997</v>
      </c>
      <c r="AM96" s="147">
        <f>AVERAGE(AJ95:AM95)</f>
        <v>6.7843999999999998</v>
      </c>
      <c r="AN96" s="147">
        <v>7.8632999999999997</v>
      </c>
      <c r="AO96" s="147">
        <v>7.4057000000000004</v>
      </c>
      <c r="AP96" s="147">
        <v>8.3971999999999998</v>
      </c>
      <c r="AQ96" s="147">
        <f>AVERAGE(AN95:AQ95)</f>
        <v>8.3212250000000001</v>
      </c>
      <c r="AR96" s="147">
        <f>AVERAGE(AO95:AR95)</f>
        <v>9.7858750000000008</v>
      </c>
      <c r="AS96" s="147">
        <f>AVERAGE(AR95:AS95)</f>
        <v>13.979900000000001</v>
      </c>
      <c r="AT96" s="147">
        <f>1/0.0636</f>
        <v>15.723270440251572</v>
      </c>
      <c r="AU96" s="147">
        <f>AVERAGE(AR95:AU95)</f>
        <v>15.77858377703827</v>
      </c>
      <c r="AV96" s="147">
        <f>AVERAGE(AS95:AV95)</f>
        <v>17.126758777038269</v>
      </c>
      <c r="AW96" s="147">
        <v>18.8475</v>
      </c>
      <c r="AX96" s="147">
        <f>1/0.0482</f>
        <v>20.74688796680498</v>
      </c>
      <c r="AY96" s="147">
        <f>AVERAGE(AV95:AY95)</f>
        <v>22.882166666666667</v>
      </c>
      <c r="AZ96" s="147">
        <v>28.549800000000001</v>
      </c>
      <c r="BA96" s="147">
        <v>26.809699999999999</v>
      </c>
      <c r="BB96" s="147">
        <v>32.348599999999998</v>
      </c>
      <c r="BC96" s="147">
        <f>AVERAGE(AZ95:BC95)</f>
        <v>32.180925000000002</v>
      </c>
      <c r="BD96" s="147">
        <f>AVERAGE(BC95:BD95)</f>
        <v>34.747749999999996</v>
      </c>
      <c r="BE96" s="147">
        <f>AVERAGE(BD95:BE95)</f>
        <v>36.8125</v>
      </c>
      <c r="BF96" s="147">
        <f>AVERAGE(BE95:BF95)</f>
        <v>39.064599999999999</v>
      </c>
      <c r="BG96" s="147">
        <v>40.785699999999999</v>
      </c>
      <c r="BH96" s="147">
        <v>42.2654</v>
      </c>
      <c r="BI96" s="147">
        <v>43.700299999999999</v>
      </c>
      <c r="BJ96" s="137"/>
      <c r="BK96" s="137"/>
      <c r="BL96" s="37"/>
      <c r="BM96" s="37"/>
      <c r="BN96" s="147">
        <v>26.809699999999999</v>
      </c>
      <c r="BO96" s="147">
        <v>32.348599999999998</v>
      </c>
      <c r="BP96" s="147">
        <f>BC96</f>
        <v>32.180925000000002</v>
      </c>
      <c r="BQ96" s="147">
        <f>S96</f>
        <v>32.827100000000002</v>
      </c>
      <c r="BR96" s="147">
        <f>BE96</f>
        <v>36.8125</v>
      </c>
      <c r="BS96" s="32">
        <v>2.5653999999999999</v>
      </c>
      <c r="BT96" s="32">
        <v>2.8816000000000002</v>
      </c>
      <c r="BU96" s="32">
        <v>2.9195000000000002</v>
      </c>
      <c r="BV96" s="32">
        <v>3.1288</v>
      </c>
      <c r="BW96" s="32">
        <v>6.4843000000000002</v>
      </c>
      <c r="BX96" s="32">
        <v>7.5461999999999998</v>
      </c>
      <c r="BY96" s="32">
        <v>7.9092000000000002</v>
      </c>
      <c r="BZ96" s="32">
        <f>AVERAGE(BY95:BZ95)</f>
        <v>11.002700000000001</v>
      </c>
      <c r="CA96" s="32">
        <f>1/0.0677</f>
        <v>14.771048744460858</v>
      </c>
      <c r="CB96" s="32">
        <f>AVERAGE(CA95:CB95)</f>
        <v>17.664717554076539</v>
      </c>
      <c r="CC96" s="32">
        <f>1/0.0506</f>
        <v>19.762845849802371</v>
      </c>
      <c r="CD96" s="32">
        <f>AVERAGE(AY96:AZ96)</f>
        <v>25.715983333333334</v>
      </c>
      <c r="CE96" s="32">
        <v>31.6252</v>
      </c>
      <c r="CF96" s="32">
        <f>AVERAGE(BC96:BD96)</f>
        <v>33.464337499999999</v>
      </c>
      <c r="CG96" s="32">
        <f>AVERAGE(CF95:CG95)</f>
        <v>37.5871</v>
      </c>
      <c r="CI96" s="32">
        <f>1/0.0506</f>
        <v>19.762845849802371</v>
      </c>
      <c r="CJ96" s="32">
        <f>AVERAGE(BC96:BD96)</f>
        <v>33.464337499999999</v>
      </c>
      <c r="CK96" s="32">
        <v>31.6252</v>
      </c>
    </row>
    <row r="97" spans="2:89" s="18" customFormat="1" ht="13.5" customHeight="1">
      <c r="B97" s="149" t="s">
        <v>180</v>
      </c>
      <c r="C97" s="149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"/>
      <c r="Y97" s="148"/>
      <c r="Z97" s="148"/>
      <c r="AA97" s="148"/>
      <c r="AB97" s="148"/>
      <c r="AC97" s="148"/>
      <c r="AD97" s="150">
        <f>AD96/AC96-1</f>
        <v>0.14574601844090518</v>
      </c>
      <c r="AE97" s="150">
        <f t="shared" ref="AE97:AN97" si="199">AE96/AD96-1</f>
        <v>0.29368998628257903</v>
      </c>
      <c r="AF97" s="150">
        <f t="shared" si="199"/>
        <v>-2.8098823030431541E-2</v>
      </c>
      <c r="AG97" s="150">
        <f t="shared" si="199"/>
        <v>-2.43108589715616E-2</v>
      </c>
      <c r="AH97" s="150">
        <f t="shared" si="199"/>
        <v>9.4429639016754052E-2</v>
      </c>
      <c r="AI97" s="150">
        <f t="shared" si="199"/>
        <v>-3.3664816265367992E-2</v>
      </c>
      <c r="AJ97" s="150">
        <f t="shared" si="199"/>
        <v>2.1973955488202357E-2</v>
      </c>
      <c r="AK97" s="150">
        <f t="shared" si="199"/>
        <v>5.3365749362024983E-2</v>
      </c>
      <c r="AL97" s="150">
        <f t="shared" si="199"/>
        <v>0.12314416198785416</v>
      </c>
      <c r="AM97" s="150">
        <f t="shared" si="199"/>
        <v>-1.1222199551112033E-2</v>
      </c>
      <c r="AN97" s="150">
        <f t="shared" si="199"/>
        <v>0.15902659041330103</v>
      </c>
      <c r="AO97" s="150">
        <f t="shared" ref="AO97:BI97" si="200">AO96/AN96-1</f>
        <v>-5.8194396754543187E-2</v>
      </c>
      <c r="AP97" s="150">
        <f t="shared" si="200"/>
        <v>0.13388336011450641</v>
      </c>
      <c r="AQ97" s="150">
        <f t="shared" si="200"/>
        <v>-9.0476587433906408E-3</v>
      </c>
      <c r="AR97" s="150">
        <f t="shared" si="200"/>
        <v>0.17601374797580882</v>
      </c>
      <c r="AS97" s="150">
        <f t="shared" si="200"/>
        <v>0.42857945763664462</v>
      </c>
      <c r="AT97" s="150">
        <f t="shared" si="200"/>
        <v>0.12470550148796278</v>
      </c>
      <c r="AU97" s="150">
        <f t="shared" si="200"/>
        <v>3.5179282196340367E-3</v>
      </c>
      <c r="AV97" s="150">
        <f t="shared" si="200"/>
        <v>8.5443346440377432E-2</v>
      </c>
      <c r="AW97" s="150">
        <f t="shared" si="200"/>
        <v>0.10047092070151176</v>
      </c>
      <c r="AX97" s="150">
        <f t="shared" si="200"/>
        <v>0.10077665296750116</v>
      </c>
      <c r="AY97" s="150">
        <f t="shared" si="200"/>
        <v>0.10292043333333334</v>
      </c>
      <c r="AZ97" s="150">
        <f t="shared" si="200"/>
        <v>0.24768779180293254</v>
      </c>
      <c r="BA97" s="150">
        <f t="shared" si="200"/>
        <v>-6.094963887662963E-2</v>
      </c>
      <c r="BB97" s="150">
        <f t="shared" si="200"/>
        <v>0.20660059605292114</v>
      </c>
      <c r="BC97" s="150">
        <f t="shared" si="200"/>
        <v>-5.1833773331765309E-3</v>
      </c>
      <c r="BD97" s="150">
        <f>BD96/BC96-1</f>
        <v>7.976231261220712E-2</v>
      </c>
      <c r="BE97" s="150">
        <f t="shared" si="200"/>
        <v>5.9421113597283304E-2</v>
      </c>
      <c r="BF97" s="150">
        <f t="shared" si="200"/>
        <v>6.1177589134125521E-2</v>
      </c>
      <c r="BG97" s="150">
        <f t="shared" si="200"/>
        <v>4.405779145313149E-2</v>
      </c>
      <c r="BH97" s="150">
        <f>BH96/BG96-1</f>
        <v>3.627987260240717E-2</v>
      </c>
      <c r="BI97" s="150">
        <f t="shared" si="200"/>
        <v>3.3949755592044495E-2</v>
      </c>
      <c r="BJ97" s="138"/>
      <c r="BK97" s="138"/>
      <c r="BL97" s="37"/>
      <c r="BM97" s="37"/>
      <c r="BN97" s="150">
        <f>BN96/AZ96-1</f>
        <v>-6.094963887662963E-2</v>
      </c>
      <c r="BO97" s="150">
        <f>BO96/BN96-1</f>
        <v>0.20660059605292114</v>
      </c>
      <c r="BP97" s="150">
        <f>BP96/BO96-1</f>
        <v>-5.1833773331765309E-3</v>
      </c>
      <c r="BQ97" s="150">
        <f>BQ96/BP96-1</f>
        <v>2.0079441470374215E-2</v>
      </c>
      <c r="BR97" s="150">
        <f>BR96/BD96-1</f>
        <v>5.9421113597283304E-2</v>
      </c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I97" s="26"/>
      <c r="CJ97" s="26"/>
      <c r="CK97" s="26"/>
    </row>
    <row r="98" spans="2:89" s="18" customFormat="1" ht="13.5" customHeight="1">
      <c r="B98" s="149" t="s">
        <v>181</v>
      </c>
      <c r="C98" s="149"/>
      <c r="D98" s="150"/>
      <c r="E98" s="150">
        <f t="shared" ref="E98:O98" si="201">+E96/D96-1</f>
        <v>5.8483754512635322E-2</v>
      </c>
      <c r="F98" s="150">
        <f t="shared" si="201"/>
        <v>0.14807429950676898</v>
      </c>
      <c r="G98" s="150">
        <f t="shared" si="201"/>
        <v>0.24556672760511855</v>
      </c>
      <c r="H98" s="150">
        <f t="shared" si="201"/>
        <v>0.1099695446372877</v>
      </c>
      <c r="I98" s="150">
        <f t="shared" si="201"/>
        <v>0.2056528925619836</v>
      </c>
      <c r="J98" s="150">
        <f t="shared" si="201"/>
        <v>0.32815113377752181</v>
      </c>
      <c r="K98" s="150">
        <f t="shared" si="201"/>
        <v>0.17224756910753736</v>
      </c>
      <c r="L98" s="150">
        <f t="shared" si="201"/>
        <v>0.21596442565931384</v>
      </c>
      <c r="M98" s="150">
        <f t="shared" si="201"/>
        <v>0.22781354324322356</v>
      </c>
      <c r="N98" s="150">
        <f t="shared" si="201"/>
        <v>0.84631415494922191</v>
      </c>
      <c r="O98" s="150">
        <f t="shared" si="201"/>
        <v>7.7746615710885258E-2</v>
      </c>
      <c r="P98" s="150">
        <f>+P96/N96-1</f>
        <v>0.45389740596008088</v>
      </c>
      <c r="Q98" s="150">
        <f>+Q96/O96-1</f>
        <v>0.42768449048180468</v>
      </c>
      <c r="R98" s="150">
        <f>+R96/O96-1</f>
        <v>0.94599828254833684</v>
      </c>
      <c r="S98" s="150">
        <f>+S96/Q96-1</f>
        <v>0.36304505338684145</v>
      </c>
      <c r="T98" s="150">
        <f>+T96/S96-1</f>
        <v>0.21034297881932917</v>
      </c>
      <c r="U98" s="150"/>
      <c r="V98" s="150"/>
      <c r="W98" s="150"/>
      <c r="X98" s="1"/>
      <c r="Y98" s="150"/>
      <c r="Z98" s="150"/>
      <c r="AA98" s="150"/>
      <c r="AB98" s="150"/>
      <c r="AC98" s="150">
        <f>+AC96/Y96-1</f>
        <v>3.2648976169223021E-2</v>
      </c>
      <c r="AD98" s="150">
        <f t="shared" ref="AD98:AM98" si="202">+AD96/Z96-1</f>
        <v>0.22277822817366011</v>
      </c>
      <c r="AE98" s="150">
        <f t="shared" si="202"/>
        <v>0.61076003415883862</v>
      </c>
      <c r="AF98" s="150">
        <f t="shared" si="202"/>
        <v>0.44642575351112512</v>
      </c>
      <c r="AG98" s="150">
        <f t="shared" si="202"/>
        <v>0.40556894383906106</v>
      </c>
      <c r="AH98" s="150">
        <f t="shared" si="202"/>
        <v>0.34261545496113421</v>
      </c>
      <c r="AI98" s="150">
        <f t="shared" si="202"/>
        <v>2.8805711660129241E-3</v>
      </c>
      <c r="AJ98" s="150">
        <f>+AJ96/AF96-1</f>
        <v>5.4549421776129092E-2</v>
      </c>
      <c r="AK98" s="150">
        <f t="shared" si="202"/>
        <v>0.13850425837231395</v>
      </c>
      <c r="AL98" s="150">
        <f t="shared" si="202"/>
        <v>0.1683751660252697</v>
      </c>
      <c r="AM98" s="150">
        <f t="shared" si="202"/>
        <v>0.19551005304058222</v>
      </c>
      <c r="AN98" s="150">
        <f t="shared" ref="AN98:BH98" si="203">+AN96/AJ96-1</f>
        <v>0.35583488516449413</v>
      </c>
      <c r="AO98" s="150">
        <f t="shared" si="203"/>
        <v>0.21224075559411371</v>
      </c>
      <c r="AP98" s="150">
        <f t="shared" si="203"/>
        <v>0.22383187104672508</v>
      </c>
      <c r="AQ98" s="150">
        <f t="shared" si="203"/>
        <v>0.22652334767997173</v>
      </c>
      <c r="AR98" s="150">
        <f t="shared" si="203"/>
        <v>0.24449976472982105</v>
      </c>
      <c r="AS98" s="150">
        <f t="shared" si="203"/>
        <v>0.8877216198333715</v>
      </c>
      <c r="AT98" s="150">
        <f t="shared" si="203"/>
        <v>0.87244205690606069</v>
      </c>
      <c r="AU98" s="150">
        <f t="shared" si="203"/>
        <v>0.89618521035523857</v>
      </c>
      <c r="AV98" s="150">
        <f t="shared" si="203"/>
        <v>0.75015098568480254</v>
      </c>
      <c r="AW98" s="150">
        <f t="shared" si="203"/>
        <v>0.34818560933912246</v>
      </c>
      <c r="AX98" s="150">
        <f t="shared" si="203"/>
        <v>0.31950207468879688</v>
      </c>
      <c r="AY98" s="150">
        <f t="shared" si="203"/>
        <v>0.45020408612120577</v>
      </c>
      <c r="AZ98" s="150">
        <f t="shared" si="203"/>
        <v>0.66697040413020403</v>
      </c>
      <c r="BA98" s="150">
        <f t="shared" si="203"/>
        <v>0.42245390635362767</v>
      </c>
      <c r="BB98" s="150">
        <f t="shared" si="203"/>
        <v>0.55920251999999993</v>
      </c>
      <c r="BC98" s="150">
        <f t="shared" si="203"/>
        <v>0.40637578026556342</v>
      </c>
      <c r="BD98" s="150">
        <f t="shared" si="203"/>
        <v>0.21709258908994089</v>
      </c>
      <c r="BE98" s="150">
        <f>+BE96/BA96-1</f>
        <v>0.37310376468218598</v>
      </c>
      <c r="BF98" s="150">
        <f t="shared" si="203"/>
        <v>0.20761331247720149</v>
      </c>
      <c r="BG98" s="150">
        <f t="shared" si="203"/>
        <v>0.26738743525861963</v>
      </c>
      <c r="BH98" s="150">
        <f t="shared" si="203"/>
        <v>0.21634926002403043</v>
      </c>
      <c r="BI98" s="150">
        <f>+BI96/BE96-1</f>
        <v>0.18710492359932074</v>
      </c>
      <c r="BJ98" s="138"/>
      <c r="BK98" s="138"/>
      <c r="BL98" s="37"/>
      <c r="BM98" s="37"/>
      <c r="BN98" s="150">
        <f>+BN96/AW96-1</f>
        <v>0.42245390635362767</v>
      </c>
      <c r="BO98" s="150">
        <f>+BO96/BE96-1</f>
        <v>-0.12126044142614611</v>
      </c>
      <c r="BP98" s="150">
        <f>+BP96/BF96-1</f>
        <v>-0.17621260681025785</v>
      </c>
      <c r="BQ98" s="150">
        <f>+BQ96/BG96-1</f>
        <v>-0.19513211738427927</v>
      </c>
      <c r="BR98" s="150">
        <f>+BR96/BA96-1</f>
        <v>0.37310376468218598</v>
      </c>
      <c r="BS98" s="25"/>
      <c r="BT98" s="25"/>
      <c r="BU98" s="25">
        <f>+BU96/BS96-1</f>
        <v>0.13802915724643339</v>
      </c>
      <c r="BV98" s="25">
        <f>+BV96/BT96-1</f>
        <v>8.5785674625208141E-2</v>
      </c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I98" s="75"/>
      <c r="CJ98" s="75"/>
      <c r="CK98" s="75"/>
    </row>
    <row r="99" spans="2:89" ht="13.5" customHeight="1">
      <c r="BL99" s="37"/>
      <c r="BM99" s="37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I99" s="29"/>
      <c r="CJ99" s="29"/>
      <c r="CK99" s="29"/>
    </row>
    <row r="100" spans="2:89" ht="13.5" customHeight="1">
      <c r="BL100" s="37"/>
      <c r="BM100" s="37"/>
    </row>
    <row r="101" spans="2:89" ht="13.5" customHeight="1">
      <c r="B101" s="19" t="s">
        <v>182</v>
      </c>
      <c r="C101" s="3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L101" s="37"/>
      <c r="BM101" s="37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I101" s="20"/>
      <c r="CJ101" s="20"/>
      <c r="CK101" s="20"/>
    </row>
    <row r="102" spans="2:89" ht="13.5" customHeight="1">
      <c r="BL102" s="37"/>
      <c r="BM102" s="37"/>
    </row>
    <row r="103" spans="2:89" s="2" customFormat="1" ht="14.25" customHeight="1">
      <c r="B103" s="30" t="str">
        <f>+B2</f>
        <v>KOC HOLDING</v>
      </c>
      <c r="C103" s="1"/>
      <c r="D103" s="11" t="str">
        <f t="shared" ref="D103:P103" si="204">+D2</f>
        <v>Annual</v>
      </c>
      <c r="E103" s="11" t="str">
        <f t="shared" si="204"/>
        <v>Annual</v>
      </c>
      <c r="F103" s="11" t="str">
        <f t="shared" si="204"/>
        <v>Annual</v>
      </c>
      <c r="G103" s="11" t="str">
        <f t="shared" si="204"/>
        <v>Annual</v>
      </c>
      <c r="H103" s="11" t="str">
        <f t="shared" si="204"/>
        <v>Annual</v>
      </c>
      <c r="I103" s="11" t="str">
        <f t="shared" si="204"/>
        <v>Annual</v>
      </c>
      <c r="J103" s="11" t="str">
        <f t="shared" si="204"/>
        <v>Annual</v>
      </c>
      <c r="K103" s="11" t="str">
        <f t="shared" si="204"/>
        <v>Annual</v>
      </c>
      <c r="L103" s="11" t="str">
        <f t="shared" si="204"/>
        <v>Annual</v>
      </c>
      <c r="M103" s="11" t="str">
        <f t="shared" si="204"/>
        <v>Annual</v>
      </c>
      <c r="N103" s="11" t="str">
        <f t="shared" si="204"/>
        <v>Annual</v>
      </c>
      <c r="O103" s="11" t="str">
        <f t="shared" si="204"/>
        <v>Annual</v>
      </c>
      <c r="P103" s="11" t="str">
        <f t="shared" si="204"/>
        <v>Annual</v>
      </c>
      <c r="Q103" s="11" t="str">
        <f t="shared" ref="Q103:W105" si="205">+Q2</f>
        <v>Annual</v>
      </c>
      <c r="R103" s="11" t="str">
        <f t="shared" si="205"/>
        <v>Annual</v>
      </c>
      <c r="S103" s="11" t="str">
        <f t="shared" ref="S103:T105" si="206">+S2</f>
        <v>Annual</v>
      </c>
      <c r="T103" s="11" t="str">
        <f t="shared" si="206"/>
        <v>Annual</v>
      </c>
      <c r="U103" s="11" t="str">
        <f t="shared" si="205"/>
        <v>LTM</v>
      </c>
      <c r="V103" s="11" t="str">
        <f t="shared" si="205"/>
        <v>Annual</v>
      </c>
      <c r="W103" s="11" t="str">
        <f t="shared" si="205"/>
        <v>Annual</v>
      </c>
      <c r="X103" s="1"/>
      <c r="Y103" s="11" t="str">
        <f t="shared" ref="Y103:AI103" si="207">+Y2</f>
        <v>Quarters</v>
      </c>
      <c r="Z103" s="11" t="str">
        <f t="shared" si="207"/>
        <v>Quarters</v>
      </c>
      <c r="AA103" s="11" t="str">
        <f t="shared" si="207"/>
        <v>Quarters</v>
      </c>
      <c r="AB103" s="11" t="str">
        <f t="shared" si="207"/>
        <v>Quarters</v>
      </c>
      <c r="AC103" s="11" t="str">
        <f t="shared" si="207"/>
        <v>Quarters</v>
      </c>
      <c r="AD103" s="11" t="str">
        <f t="shared" si="207"/>
        <v>Quarters</v>
      </c>
      <c r="AE103" s="11" t="str">
        <f t="shared" si="207"/>
        <v>Quarters</v>
      </c>
      <c r="AF103" s="11" t="str">
        <f t="shared" si="207"/>
        <v>Quarters</v>
      </c>
      <c r="AG103" s="11" t="str">
        <f t="shared" si="207"/>
        <v>Quarters</v>
      </c>
      <c r="AH103" s="11" t="str">
        <f t="shared" si="207"/>
        <v>Quarters</v>
      </c>
      <c r="AI103" s="11" t="str">
        <f t="shared" si="207"/>
        <v>Quarters</v>
      </c>
      <c r="AJ103" s="11" t="str">
        <f t="shared" ref="AJ103:AZ103" si="208">+AJ2</f>
        <v>Quarters</v>
      </c>
      <c r="AK103" s="11" t="str">
        <f t="shared" si="208"/>
        <v>Quarters</v>
      </c>
      <c r="AL103" s="11" t="str">
        <f t="shared" si="208"/>
        <v>Quarters</v>
      </c>
      <c r="AM103" s="11" t="str">
        <f t="shared" si="208"/>
        <v>Quarters</v>
      </c>
      <c r="AN103" s="11" t="str">
        <f t="shared" si="208"/>
        <v>Quarters</v>
      </c>
      <c r="AO103" s="11" t="str">
        <f t="shared" si="208"/>
        <v>Quarters</v>
      </c>
      <c r="AP103" s="11" t="str">
        <f t="shared" si="208"/>
        <v>Quarters</v>
      </c>
      <c r="AQ103" s="11" t="str">
        <f t="shared" si="208"/>
        <v>Quarters</v>
      </c>
      <c r="AR103" s="11" t="str">
        <f t="shared" si="208"/>
        <v>Quarters</v>
      </c>
      <c r="AS103" s="11" t="str">
        <f t="shared" si="208"/>
        <v>Quarters</v>
      </c>
      <c r="AT103" s="11" t="str">
        <f t="shared" si="208"/>
        <v>Quarters</v>
      </c>
      <c r="AU103" s="11" t="str">
        <f t="shared" si="208"/>
        <v>Quarters</v>
      </c>
      <c r="AV103" s="11" t="str">
        <f t="shared" si="208"/>
        <v>Quarters</v>
      </c>
      <c r="AW103" s="11" t="str">
        <f t="shared" si="208"/>
        <v>Quarters</v>
      </c>
      <c r="AX103" s="11" t="str">
        <f t="shared" si="208"/>
        <v>Quarters</v>
      </c>
      <c r="AY103" s="11" t="str">
        <f t="shared" si="208"/>
        <v>Quarters</v>
      </c>
      <c r="AZ103" s="11" t="str">
        <f t="shared" si="208"/>
        <v>Quarters</v>
      </c>
      <c r="BA103" s="11" t="str">
        <f t="shared" ref="BA103:BD105" si="209">+BA2</f>
        <v>Quarters</v>
      </c>
      <c r="BB103" s="11" t="str">
        <f t="shared" si="209"/>
        <v>Quarters</v>
      </c>
      <c r="BC103" s="11" t="str">
        <f t="shared" si="209"/>
        <v>Quarters</v>
      </c>
      <c r="BD103" s="11" t="str">
        <f t="shared" si="209"/>
        <v>Quarters</v>
      </c>
      <c r="BE103" s="11" t="str">
        <f t="shared" ref="BE103:BH105" si="210">+BE2</f>
        <v>Quarters</v>
      </c>
      <c r="BF103" s="11" t="str">
        <f t="shared" si="210"/>
        <v>Quarters</v>
      </c>
      <c r="BG103" s="130" t="str">
        <f t="shared" si="210"/>
        <v>Quarters</v>
      </c>
      <c r="BH103" s="11" t="str">
        <f t="shared" si="210"/>
        <v>Quarters</v>
      </c>
      <c r="BI103" s="11" t="str">
        <f>+BI2</f>
        <v>Quarters</v>
      </c>
      <c r="BJ103" s="135"/>
      <c r="BK103" s="139"/>
      <c r="BL103" s="37"/>
      <c r="BM103" s="37"/>
      <c r="BN103" s="11" t="str">
        <f t="shared" ref="BN103:BO105" si="211">+BN2</f>
        <v>Quarters</v>
      </c>
      <c r="BO103" s="11" t="str">
        <f t="shared" si="211"/>
        <v>Quarters</v>
      </c>
      <c r="BP103" s="11" t="str">
        <f t="shared" ref="BP103:BR105" si="212">+BP2</f>
        <v>Quarters</v>
      </c>
      <c r="BQ103" s="11" t="str">
        <f t="shared" si="212"/>
        <v>Quarters</v>
      </c>
      <c r="BR103" s="11" t="str">
        <f t="shared" si="212"/>
        <v>Quarters</v>
      </c>
      <c r="BS103" s="11" t="str">
        <f t="shared" ref="BS103:CD103" si="213">+BS2</f>
        <v>H1</v>
      </c>
      <c r="BT103" s="11" t="str">
        <f t="shared" si="213"/>
        <v>H2</v>
      </c>
      <c r="BU103" s="11" t="str">
        <f t="shared" si="213"/>
        <v>H1</v>
      </c>
      <c r="BV103" s="11" t="str">
        <f t="shared" si="213"/>
        <v>H2</v>
      </c>
      <c r="BW103" s="11" t="str">
        <f t="shared" si="213"/>
        <v>H1</v>
      </c>
      <c r="BX103" s="11" t="str">
        <f t="shared" si="213"/>
        <v>H2</v>
      </c>
      <c r="BY103" s="11" t="str">
        <f t="shared" si="213"/>
        <v>H1</v>
      </c>
      <c r="BZ103" s="11" t="str">
        <f t="shared" si="213"/>
        <v>H2</v>
      </c>
      <c r="CA103" s="11" t="str">
        <f t="shared" si="213"/>
        <v>H1</v>
      </c>
      <c r="CB103" s="11" t="str">
        <f t="shared" si="213"/>
        <v>H2</v>
      </c>
      <c r="CC103" s="11" t="str">
        <f t="shared" si="213"/>
        <v>H1</v>
      </c>
      <c r="CD103" s="11" t="str">
        <f t="shared" si="213"/>
        <v>H2</v>
      </c>
      <c r="CE103" s="11" t="str">
        <f t="shared" ref="CE103:CF105" si="214">+CE2</f>
        <v>H1</v>
      </c>
      <c r="CF103" s="11" t="str">
        <f t="shared" si="214"/>
        <v>H2</v>
      </c>
      <c r="CG103" s="11" t="str">
        <f>+CG2</f>
        <v>H1</v>
      </c>
      <c r="CI103" s="11" t="str">
        <f t="shared" ref="CI103:CJ105" si="215">+CI2</f>
        <v>H1</v>
      </c>
      <c r="CJ103" s="11" t="str">
        <f t="shared" si="215"/>
        <v>H2</v>
      </c>
      <c r="CK103" s="11" t="str">
        <f>+CK2</f>
        <v>H1</v>
      </c>
    </row>
    <row r="104" spans="2:89" s="2" customFormat="1" ht="14.25" customHeight="1">
      <c r="B104" s="28" t="s">
        <v>183</v>
      </c>
      <c r="C104" s="1"/>
      <c r="D104" s="12">
        <f t="shared" ref="D104:P104" si="216">+D3</f>
        <v>41274</v>
      </c>
      <c r="E104" s="12">
        <f t="shared" si="216"/>
        <v>41639</v>
      </c>
      <c r="F104" s="12">
        <f t="shared" si="216"/>
        <v>42004</v>
      </c>
      <c r="G104" s="12">
        <f t="shared" si="216"/>
        <v>42369</v>
      </c>
      <c r="H104" s="12">
        <f t="shared" si="216"/>
        <v>42734</v>
      </c>
      <c r="I104" s="12">
        <f t="shared" si="216"/>
        <v>43099</v>
      </c>
      <c r="J104" s="12">
        <f t="shared" si="216"/>
        <v>43464</v>
      </c>
      <c r="K104" s="12">
        <f t="shared" si="216"/>
        <v>43829</v>
      </c>
      <c r="L104" s="12">
        <f t="shared" si="216"/>
        <v>44194</v>
      </c>
      <c r="M104" s="12">
        <f t="shared" si="216"/>
        <v>44559</v>
      </c>
      <c r="N104" s="12">
        <f t="shared" si="216"/>
        <v>44924</v>
      </c>
      <c r="O104" s="12">
        <f t="shared" si="216"/>
        <v>44924</v>
      </c>
      <c r="P104" s="12">
        <f t="shared" si="216"/>
        <v>45289</v>
      </c>
      <c r="Q104" s="12">
        <f t="shared" si="205"/>
        <v>45289</v>
      </c>
      <c r="R104" s="12">
        <f t="shared" si="205"/>
        <v>45654</v>
      </c>
      <c r="S104" s="12">
        <f t="shared" si="206"/>
        <v>45654</v>
      </c>
      <c r="T104" s="12">
        <f t="shared" si="206"/>
        <v>46019</v>
      </c>
      <c r="U104" s="12">
        <f t="shared" si="205"/>
        <v>46111</v>
      </c>
      <c r="V104" s="12">
        <f>+V3</f>
        <v>42735</v>
      </c>
      <c r="W104" s="12">
        <f>+W3</f>
        <v>43100</v>
      </c>
      <c r="X104" s="1"/>
      <c r="Y104" s="12">
        <f t="shared" ref="Y104:AI104" si="217">+Y3</f>
        <v>42825</v>
      </c>
      <c r="Z104" s="12">
        <f t="shared" si="217"/>
        <v>42916</v>
      </c>
      <c r="AA104" s="12">
        <f t="shared" si="217"/>
        <v>43008</v>
      </c>
      <c r="AB104" s="12">
        <f t="shared" si="217"/>
        <v>43099</v>
      </c>
      <c r="AC104" s="12">
        <f t="shared" si="217"/>
        <v>43189</v>
      </c>
      <c r="AD104" s="12">
        <f t="shared" si="217"/>
        <v>43281</v>
      </c>
      <c r="AE104" s="12">
        <f t="shared" si="217"/>
        <v>43373</v>
      </c>
      <c r="AF104" s="12">
        <f t="shared" si="217"/>
        <v>43464</v>
      </c>
      <c r="AG104" s="12">
        <f t="shared" si="217"/>
        <v>43554</v>
      </c>
      <c r="AH104" s="12">
        <f t="shared" si="217"/>
        <v>43646</v>
      </c>
      <c r="AI104" s="12">
        <f t="shared" si="217"/>
        <v>43738</v>
      </c>
      <c r="AJ104" s="12">
        <f t="shared" ref="AJ104:AZ104" si="218">+AJ3</f>
        <v>43829</v>
      </c>
      <c r="AK104" s="12">
        <f t="shared" si="218"/>
        <v>43920</v>
      </c>
      <c r="AL104" s="12">
        <f t="shared" si="218"/>
        <v>44012</v>
      </c>
      <c r="AM104" s="12">
        <f t="shared" si="218"/>
        <v>44104</v>
      </c>
      <c r="AN104" s="12">
        <f t="shared" si="218"/>
        <v>44195</v>
      </c>
      <c r="AO104" s="12">
        <f t="shared" si="218"/>
        <v>44285</v>
      </c>
      <c r="AP104" s="12">
        <f t="shared" si="218"/>
        <v>44377</v>
      </c>
      <c r="AQ104" s="12">
        <f t="shared" si="218"/>
        <v>44469</v>
      </c>
      <c r="AR104" s="12">
        <f t="shared" si="218"/>
        <v>44560</v>
      </c>
      <c r="AS104" s="12">
        <f t="shared" si="218"/>
        <v>44650</v>
      </c>
      <c r="AT104" s="12">
        <f t="shared" si="218"/>
        <v>44742</v>
      </c>
      <c r="AU104" s="12">
        <f t="shared" si="218"/>
        <v>44834</v>
      </c>
      <c r="AV104" s="12">
        <f t="shared" si="218"/>
        <v>44925</v>
      </c>
      <c r="AW104" s="12">
        <f t="shared" si="218"/>
        <v>45015</v>
      </c>
      <c r="AX104" s="12">
        <f t="shared" si="218"/>
        <v>45107</v>
      </c>
      <c r="AY104" s="12">
        <f t="shared" si="218"/>
        <v>45199</v>
      </c>
      <c r="AZ104" s="12">
        <f t="shared" si="218"/>
        <v>45290</v>
      </c>
      <c r="BA104" s="12">
        <f t="shared" si="209"/>
        <v>45381</v>
      </c>
      <c r="BB104" s="12">
        <f t="shared" si="209"/>
        <v>45473</v>
      </c>
      <c r="BC104" s="12">
        <f t="shared" si="209"/>
        <v>45565</v>
      </c>
      <c r="BD104" s="12">
        <f t="shared" si="209"/>
        <v>45656</v>
      </c>
      <c r="BE104" s="12">
        <f t="shared" si="210"/>
        <v>45746</v>
      </c>
      <c r="BF104" s="12">
        <f t="shared" si="210"/>
        <v>45838</v>
      </c>
      <c r="BG104" s="14">
        <f t="shared" si="210"/>
        <v>45930</v>
      </c>
      <c r="BH104" s="12">
        <f t="shared" si="210"/>
        <v>46021</v>
      </c>
      <c r="BI104" s="12">
        <f>+BI3</f>
        <v>46111</v>
      </c>
      <c r="BJ104" s="133"/>
      <c r="BK104" s="143"/>
      <c r="BL104" s="37"/>
      <c r="BM104" s="37"/>
      <c r="BN104" s="12">
        <f t="shared" si="211"/>
        <v>45381</v>
      </c>
      <c r="BO104" s="12">
        <f t="shared" si="211"/>
        <v>45473</v>
      </c>
      <c r="BP104" s="12">
        <f t="shared" si="212"/>
        <v>45565</v>
      </c>
      <c r="BQ104" s="12">
        <f t="shared" si="212"/>
        <v>45656</v>
      </c>
      <c r="BR104" s="12">
        <f t="shared" si="212"/>
        <v>45746</v>
      </c>
      <c r="BS104" s="12">
        <f t="shared" ref="BS104:CD104" si="219">+BS3</f>
        <v>42156</v>
      </c>
      <c r="BT104" s="12">
        <f t="shared" si="219"/>
        <v>42369</v>
      </c>
      <c r="BU104" s="12">
        <f t="shared" si="219"/>
        <v>42522</v>
      </c>
      <c r="BV104" s="12">
        <f t="shared" si="219"/>
        <v>42735</v>
      </c>
      <c r="BW104" s="12">
        <f t="shared" si="219"/>
        <v>43983</v>
      </c>
      <c r="BX104" s="12">
        <f t="shared" si="219"/>
        <v>44196</v>
      </c>
      <c r="BY104" s="12">
        <f t="shared" si="219"/>
        <v>44348</v>
      </c>
      <c r="BZ104" s="12">
        <f t="shared" si="219"/>
        <v>44561</v>
      </c>
      <c r="CA104" s="12">
        <f t="shared" si="219"/>
        <v>44713</v>
      </c>
      <c r="CB104" s="12">
        <f t="shared" si="219"/>
        <v>44926</v>
      </c>
      <c r="CC104" s="12">
        <f t="shared" si="219"/>
        <v>45078</v>
      </c>
      <c r="CD104" s="12">
        <f t="shared" si="219"/>
        <v>45291</v>
      </c>
      <c r="CE104" s="12">
        <f t="shared" si="214"/>
        <v>45444</v>
      </c>
      <c r="CF104" s="12">
        <f t="shared" si="214"/>
        <v>45657</v>
      </c>
      <c r="CG104" s="12">
        <f>+CG3</f>
        <v>45809</v>
      </c>
      <c r="CI104" s="12">
        <f t="shared" si="215"/>
        <v>45078</v>
      </c>
      <c r="CJ104" s="12">
        <f t="shared" si="215"/>
        <v>45291</v>
      </c>
      <c r="CK104" s="12">
        <f>+CK3</f>
        <v>45444</v>
      </c>
    </row>
    <row r="105" spans="2:89" s="6" customFormat="1" ht="14.25" customHeight="1">
      <c r="B105" s="19"/>
      <c r="C105" s="39"/>
      <c r="D105" s="27" t="str">
        <f t="shared" ref="D105:P105" si="220">+D4</f>
        <v>Act</v>
      </c>
      <c r="E105" s="27" t="str">
        <f t="shared" si="220"/>
        <v>Act</v>
      </c>
      <c r="F105" s="27" t="str">
        <f t="shared" si="220"/>
        <v>Act</v>
      </c>
      <c r="G105" s="27" t="str">
        <f t="shared" si="220"/>
        <v>Act</v>
      </c>
      <c r="H105" s="27" t="str">
        <f t="shared" si="220"/>
        <v>Act</v>
      </c>
      <c r="I105" s="27" t="str">
        <f t="shared" si="220"/>
        <v>Act</v>
      </c>
      <c r="J105" s="27" t="str">
        <f t="shared" si="220"/>
        <v>Act</v>
      </c>
      <c r="K105" s="27" t="str">
        <f t="shared" si="220"/>
        <v>Act</v>
      </c>
      <c r="L105" s="27" t="str">
        <f t="shared" si="220"/>
        <v>Act</v>
      </c>
      <c r="M105" s="27" t="str">
        <f t="shared" si="220"/>
        <v>Act</v>
      </c>
      <c r="N105" s="27" t="str">
        <f t="shared" si="220"/>
        <v>Act</v>
      </c>
      <c r="O105" s="27" t="str">
        <f t="shared" si="220"/>
        <v>Act</v>
      </c>
      <c r="P105" s="27" t="str">
        <f t="shared" si="220"/>
        <v>Act</v>
      </c>
      <c r="Q105" s="27" t="str">
        <f t="shared" si="205"/>
        <v>Act</v>
      </c>
      <c r="R105" s="27" t="str">
        <f t="shared" si="205"/>
        <v>Act</v>
      </c>
      <c r="S105" s="27" t="str">
        <f t="shared" si="206"/>
        <v>Act</v>
      </c>
      <c r="T105" s="27" t="str">
        <f t="shared" si="206"/>
        <v>Act</v>
      </c>
      <c r="U105" s="27" t="str">
        <f t="shared" si="205"/>
        <v>Act</v>
      </c>
      <c r="V105" s="27" t="str">
        <f>+V4</f>
        <v>Proj</v>
      </c>
      <c r="W105" s="27" t="str">
        <f>+W4</f>
        <v>Proj</v>
      </c>
      <c r="X105" s="1"/>
      <c r="Y105" s="27" t="str">
        <f t="shared" ref="Y105:AI105" si="221">+Y4</f>
        <v>Act</v>
      </c>
      <c r="Z105" s="27" t="str">
        <f t="shared" si="221"/>
        <v>Act</v>
      </c>
      <c r="AA105" s="27" t="str">
        <f t="shared" si="221"/>
        <v>Act</v>
      </c>
      <c r="AB105" s="27" t="str">
        <f t="shared" si="221"/>
        <v>Act</v>
      </c>
      <c r="AC105" s="27" t="str">
        <f t="shared" si="221"/>
        <v>Act</v>
      </c>
      <c r="AD105" s="27" t="str">
        <f t="shared" si="221"/>
        <v>Act</v>
      </c>
      <c r="AE105" s="27" t="str">
        <f t="shared" si="221"/>
        <v>Act</v>
      </c>
      <c r="AF105" s="27" t="str">
        <f t="shared" si="221"/>
        <v>Act</v>
      </c>
      <c r="AG105" s="27" t="str">
        <f t="shared" si="221"/>
        <v>Act</v>
      </c>
      <c r="AH105" s="27" t="str">
        <f t="shared" si="221"/>
        <v>Act</v>
      </c>
      <c r="AI105" s="27" t="str">
        <f t="shared" si="221"/>
        <v>Act</v>
      </c>
      <c r="AJ105" s="27" t="str">
        <f t="shared" ref="AJ105:AZ105" si="222">+AJ4</f>
        <v>Act</v>
      </c>
      <c r="AK105" s="27" t="str">
        <f t="shared" si="222"/>
        <v>Act</v>
      </c>
      <c r="AL105" s="27" t="str">
        <f t="shared" si="222"/>
        <v>Act</v>
      </c>
      <c r="AM105" s="27" t="str">
        <f t="shared" si="222"/>
        <v>Act</v>
      </c>
      <c r="AN105" s="27" t="str">
        <f t="shared" si="222"/>
        <v>Act</v>
      </c>
      <c r="AO105" s="27" t="str">
        <f t="shared" si="222"/>
        <v>Act</v>
      </c>
      <c r="AP105" s="27" t="str">
        <f t="shared" si="222"/>
        <v>Act</v>
      </c>
      <c r="AQ105" s="27" t="str">
        <f t="shared" si="222"/>
        <v>Act</v>
      </c>
      <c r="AR105" s="27" t="str">
        <f t="shared" si="222"/>
        <v>Act</v>
      </c>
      <c r="AS105" s="27" t="str">
        <f t="shared" si="222"/>
        <v>Act</v>
      </c>
      <c r="AT105" s="27" t="str">
        <f t="shared" si="222"/>
        <v>Act</v>
      </c>
      <c r="AU105" s="27" t="str">
        <f t="shared" si="222"/>
        <v>Act</v>
      </c>
      <c r="AV105" s="27" t="str">
        <f t="shared" si="222"/>
        <v>Act</v>
      </c>
      <c r="AW105" s="27" t="str">
        <f t="shared" si="222"/>
        <v>Act</v>
      </c>
      <c r="AX105" s="27" t="str">
        <f t="shared" si="222"/>
        <v>Act</v>
      </c>
      <c r="AY105" s="27" t="str">
        <f t="shared" si="222"/>
        <v>Act</v>
      </c>
      <c r="AZ105" s="27" t="str">
        <f t="shared" si="222"/>
        <v>Act</v>
      </c>
      <c r="BA105" s="27" t="str">
        <f t="shared" si="209"/>
        <v>Act</v>
      </c>
      <c r="BB105" s="27" t="str">
        <f t="shared" si="209"/>
        <v>Act</v>
      </c>
      <c r="BC105" s="27" t="str">
        <f t="shared" si="209"/>
        <v>Act</v>
      </c>
      <c r="BD105" s="27" t="str">
        <f t="shared" si="209"/>
        <v>Act</v>
      </c>
      <c r="BE105" s="27" t="str">
        <f t="shared" si="210"/>
        <v>Act</v>
      </c>
      <c r="BF105" s="27" t="str">
        <f t="shared" si="210"/>
        <v>Act</v>
      </c>
      <c r="BG105" s="27" t="str">
        <f t="shared" si="210"/>
        <v>Act</v>
      </c>
      <c r="BH105" s="27" t="str">
        <f t="shared" si="210"/>
        <v>Act</v>
      </c>
      <c r="BI105" s="27" t="str">
        <f>+BI4</f>
        <v>Act</v>
      </c>
      <c r="BJ105" s="133"/>
      <c r="BK105" s="133"/>
      <c r="BL105" s="37"/>
      <c r="BM105" s="37"/>
      <c r="BN105" s="27" t="str">
        <f t="shared" si="211"/>
        <v>Act</v>
      </c>
      <c r="BO105" s="27" t="str">
        <f t="shared" si="211"/>
        <v>Act</v>
      </c>
      <c r="BP105" s="27" t="str">
        <f t="shared" si="212"/>
        <v>Act</v>
      </c>
      <c r="BQ105" s="27" t="str">
        <f t="shared" si="212"/>
        <v>Act</v>
      </c>
      <c r="BR105" s="27" t="str">
        <f t="shared" si="212"/>
        <v>Act</v>
      </c>
      <c r="BS105" s="27" t="str">
        <f t="shared" ref="BS105:CD105" si="223">+BS4</f>
        <v>Act</v>
      </c>
      <c r="BT105" s="27" t="str">
        <f t="shared" si="223"/>
        <v>Act</v>
      </c>
      <c r="BU105" s="27" t="str">
        <f t="shared" si="223"/>
        <v>Act</v>
      </c>
      <c r="BV105" s="27" t="str">
        <f t="shared" si="223"/>
        <v>Act</v>
      </c>
      <c r="BW105" s="27" t="str">
        <f t="shared" si="223"/>
        <v>Act</v>
      </c>
      <c r="BX105" s="27" t="str">
        <f t="shared" si="223"/>
        <v>Act</v>
      </c>
      <c r="BY105" s="27" t="str">
        <f t="shared" si="223"/>
        <v>Act</v>
      </c>
      <c r="BZ105" s="27" t="str">
        <f t="shared" si="223"/>
        <v>Act</v>
      </c>
      <c r="CA105" s="27" t="str">
        <f t="shared" si="223"/>
        <v>Act</v>
      </c>
      <c r="CB105" s="27" t="str">
        <f t="shared" si="223"/>
        <v>Act</v>
      </c>
      <c r="CC105" s="27" t="str">
        <f t="shared" si="223"/>
        <v>Act</v>
      </c>
      <c r="CD105" s="27" t="str">
        <f t="shared" si="223"/>
        <v>Act</v>
      </c>
      <c r="CE105" s="27" t="str">
        <f t="shared" si="214"/>
        <v>Act</v>
      </c>
      <c r="CF105" s="27" t="str">
        <f t="shared" si="214"/>
        <v>Act</v>
      </c>
      <c r="CG105" s="27" t="str">
        <f>+CG4</f>
        <v>Act</v>
      </c>
      <c r="CI105" s="27" t="str">
        <f t="shared" si="215"/>
        <v>Restated</v>
      </c>
      <c r="CJ105" s="27" t="str">
        <f t="shared" si="215"/>
        <v>Restated</v>
      </c>
      <c r="CK105" s="27" t="str">
        <f>+CK4</f>
        <v>Restated</v>
      </c>
    </row>
    <row r="106" spans="2:89" ht="13.5" customHeight="1">
      <c r="BL106" s="37"/>
      <c r="BM106" s="37"/>
    </row>
    <row r="107" spans="2:89" s="6" customFormat="1" ht="13.5" customHeight="1">
      <c r="B107" s="6" t="str">
        <f t="shared" ref="B107:B117" si="224">+B31</f>
        <v>Consolidated revenues</v>
      </c>
      <c r="D107" s="33">
        <f t="shared" ref="D107:J107" si="225">+D31/D$96</f>
        <v>36470.980283254648</v>
      </c>
      <c r="E107" s="33">
        <f t="shared" si="225"/>
        <v>34726.623989925494</v>
      </c>
      <c r="F107" s="33">
        <f t="shared" si="225"/>
        <v>31362.888482632537</v>
      </c>
      <c r="G107" s="33">
        <f t="shared" si="225"/>
        <v>25498.477231864385</v>
      </c>
      <c r="H107" s="33">
        <f t="shared" si="225"/>
        <v>23283.38611570248</v>
      </c>
      <c r="I107" s="33">
        <f t="shared" si="225"/>
        <v>27108.318664144113</v>
      </c>
      <c r="J107" s="33">
        <f t="shared" si="225"/>
        <v>29572.928425442307</v>
      </c>
      <c r="K107" s="33">
        <f t="shared" ref="K107:P107" si="226">+K31/K$96</f>
        <v>27035.795711706953</v>
      </c>
      <c r="L107" s="33">
        <f t="shared" si="226"/>
        <v>26616.836144281671</v>
      </c>
      <c r="M107" s="33">
        <f t="shared" si="226"/>
        <v>40895.158006487763</v>
      </c>
      <c r="N107" s="33">
        <f t="shared" si="226"/>
        <v>57618.809766761391</v>
      </c>
      <c r="O107" s="33">
        <f t="shared" si="226"/>
        <v>101721.44919753978</v>
      </c>
      <c r="P107" s="33">
        <f t="shared" si="226"/>
        <v>70513.512551888969</v>
      </c>
      <c r="Q107" s="33">
        <f>+Q31/Q$96</f>
        <v>96196.921978188533</v>
      </c>
      <c r="R107" s="33">
        <f>+R31/R$96</f>
        <v>70609.557347435504</v>
      </c>
      <c r="S107" s="33">
        <f>+S31/S$96</f>
        <v>92422.26696844984</v>
      </c>
      <c r="T107" s="33">
        <f>+T31/T$96</f>
        <v>69397.249827280495</v>
      </c>
      <c r="U107" s="33">
        <f>+U31/U$96</f>
        <v>71332.513147102814</v>
      </c>
      <c r="V107" s="33"/>
      <c r="W107" s="33"/>
      <c r="X107" s="1"/>
      <c r="Y107" s="33">
        <f t="shared" ref="Y107:AI107" si="227">+Y31/Y$96</f>
        <v>6025.0780383564615</v>
      </c>
      <c r="Z107" s="33">
        <f t="shared" si="227"/>
        <v>6446.3632551508199</v>
      </c>
      <c r="AA107" s="33">
        <f t="shared" si="227"/>
        <v>7365.4827782522061</v>
      </c>
      <c r="AB107" s="33">
        <f t="shared" si="227"/>
        <v>7274.317763400134</v>
      </c>
      <c r="AC107" s="33">
        <f t="shared" si="227"/>
        <v>6440.6792225481977</v>
      </c>
      <c r="AD107" s="33">
        <f t="shared" si="227"/>
        <v>7606.8518518518531</v>
      </c>
      <c r="AE107" s="33">
        <f t="shared" si="227"/>
        <v>8050.2907079489632</v>
      </c>
      <c r="AF107" s="33">
        <f t="shared" si="227"/>
        <v>7243.1860498945362</v>
      </c>
      <c r="AG107" s="33">
        <f t="shared" si="227"/>
        <v>6385.0802288525683</v>
      </c>
      <c r="AH107" s="33">
        <f t="shared" si="227"/>
        <v>6894.3583761877189</v>
      </c>
      <c r="AI107" s="33">
        <f t="shared" si="227"/>
        <v>6936.599235228814</v>
      </c>
      <c r="AJ107" s="33">
        <f t="shared" ref="AJ107:AP107" si="228">+AJ31/AJ$96</f>
        <v>6793.914925167257</v>
      </c>
      <c r="AK107" s="33">
        <f t="shared" si="228"/>
        <v>6455.2439802916961</v>
      </c>
      <c r="AL107" s="33">
        <f t="shared" si="228"/>
        <v>5032.6458157227389</v>
      </c>
      <c r="AM107" s="33">
        <f t="shared" si="228"/>
        <v>7628.2443546960676</v>
      </c>
      <c r="AN107" s="33">
        <f t="shared" si="228"/>
        <v>7383.3489756209265</v>
      </c>
      <c r="AO107" s="33">
        <f t="shared" si="228"/>
        <v>7737.9584644260503</v>
      </c>
      <c r="AP107" s="33">
        <f t="shared" si="228"/>
        <v>8890.4201400466827</v>
      </c>
      <c r="AQ107" s="33">
        <f t="shared" ref="AQ107:AV107" si="229">+AQ31/AQ$96</f>
        <v>11014.022094102731</v>
      </c>
      <c r="AR107" s="33">
        <f t="shared" si="229"/>
        <v>12577.200403643001</v>
      </c>
      <c r="AS107" s="33">
        <f t="shared" si="229"/>
        <v>10880.267169293056</v>
      </c>
      <c r="AT107" s="33">
        <f t="shared" si="229"/>
        <v>14867.966743200001</v>
      </c>
      <c r="AU107" s="33">
        <f t="shared" si="229"/>
        <v>16541.036362199426</v>
      </c>
      <c r="AV107" s="33">
        <f t="shared" si="229"/>
        <v>14888.092155642218</v>
      </c>
      <c r="AW107" s="33">
        <f t="shared" ref="AW107:BB107" si="230">+AW31/AW$96</f>
        <v>20516.089667064596</v>
      </c>
      <c r="AX107" s="33">
        <f t="shared" si="230"/>
        <v>22515.9552</v>
      </c>
      <c r="AY107" s="33">
        <f t="shared" si="230"/>
        <v>27482.187729891546</v>
      </c>
      <c r="AZ107" s="33">
        <f>+AZ31/AZ$96</f>
        <v>29215.896433600235</v>
      </c>
      <c r="BA107" s="33">
        <f t="shared" si="230"/>
        <v>16800.449091187147</v>
      </c>
      <c r="BB107" s="33">
        <f t="shared" si="230"/>
        <v>16119.801166047373</v>
      </c>
      <c r="BC107" s="33">
        <f t="shared" ref="BC107:BH107" si="231">+BC31/BC$96</f>
        <v>17424.390380326233</v>
      </c>
      <c r="BD107" s="33">
        <f t="shared" si="231"/>
        <v>22600.197135066301</v>
      </c>
      <c r="BE107" s="33">
        <f t="shared" si="231"/>
        <v>14623.293718166384</v>
      </c>
      <c r="BF107" s="33">
        <f t="shared" si="231"/>
        <v>15532.118593304425</v>
      </c>
      <c r="BG107" s="33">
        <f t="shared" si="231"/>
        <v>16889.743218824246</v>
      </c>
      <c r="BH107" s="33">
        <f t="shared" si="231"/>
        <v>21846.687834493463</v>
      </c>
      <c r="BI107" s="33">
        <f>+BI31/BI$96</f>
        <v>16888.739894234135</v>
      </c>
      <c r="BJ107" s="33"/>
      <c r="BK107" s="33"/>
      <c r="BL107" s="37"/>
      <c r="BM107" s="37"/>
      <c r="BN107" s="33">
        <f>+BN31/BN$96</f>
        <v>23202.087304221979</v>
      </c>
      <c r="BO107" s="33">
        <f>+BO31/BO$96</f>
        <v>21769.597447802997</v>
      </c>
      <c r="BP107" s="33">
        <f>+BP31/BP$96</f>
        <v>23225.497713319302</v>
      </c>
      <c r="BQ107" s="33">
        <f>+BQ31/BQ$96</f>
        <v>29252.660149693391</v>
      </c>
      <c r="BR107" s="33">
        <f>+BR31/BR$96</f>
        <v>19136.787775891342</v>
      </c>
      <c r="BS107" s="33">
        <f t="shared" ref="BS107:BX107" si="232">+BS31/BS$96</f>
        <v>12523.583066968115</v>
      </c>
      <c r="BT107" s="33">
        <f t="shared" si="232"/>
        <v>12966.060521932259</v>
      </c>
      <c r="BU107" s="33">
        <f t="shared" si="232"/>
        <v>10660.044528172632</v>
      </c>
      <c r="BV107" s="33">
        <f t="shared" si="232"/>
        <v>12563.999936077729</v>
      </c>
      <c r="BW107" s="33">
        <f t="shared" si="232"/>
        <v>11407.048871890565</v>
      </c>
      <c r="BX107" s="33">
        <f t="shared" si="232"/>
        <v>14551.767644642339</v>
      </c>
      <c r="BY107" s="33">
        <f t="shared" ref="BY107:CD107" si="233">+BY31/BY$96</f>
        <v>16684.321423152785</v>
      </c>
      <c r="BZ107" s="33">
        <f t="shared" si="233"/>
        <v>19516.033973479232</v>
      </c>
      <c r="CA107" s="33">
        <f t="shared" si="233"/>
        <v>26123.947979299999</v>
      </c>
      <c r="CB107" s="33">
        <f t="shared" si="233"/>
        <v>29209.574929259259</v>
      </c>
      <c r="CC107" s="33">
        <f t="shared" si="233"/>
        <v>24809.281200000001</v>
      </c>
      <c r="CD107" s="33">
        <f t="shared" si="233"/>
        <v>43332.778123073913</v>
      </c>
      <c r="CE107" s="33">
        <f>+CE31/CE$96</f>
        <v>31927.861325778176</v>
      </c>
      <c r="CF107" s="33">
        <f>+CF31/CF$96</f>
        <v>39091.824244242096</v>
      </c>
      <c r="CG107" s="33">
        <f>+CG31/CG$96</f>
        <v>31324.922646333449</v>
      </c>
      <c r="CI107" s="33">
        <f>+CI31/CI$96</f>
        <v>44847.488400000002</v>
      </c>
      <c r="CJ107" s="33">
        <f>+CJ31/CJ$96</f>
        <v>42745.773765878381</v>
      </c>
      <c r="CK107" s="33">
        <f>+CK31/CK$96</f>
        <v>43118.241149463087</v>
      </c>
    </row>
    <row r="108" spans="2:89" s="18" customFormat="1" ht="13.5" customHeight="1">
      <c r="B108" s="207" t="str">
        <f t="shared" si="224"/>
        <v xml:space="preserve">% growth </v>
      </c>
      <c r="C108" s="207"/>
      <c r="D108" s="208"/>
      <c r="E108" s="208">
        <f t="shared" ref="E108:P108" si="234">+E107/D107-1</f>
        <v>-4.7828610028616714E-2</v>
      </c>
      <c r="F108" s="208">
        <f t="shared" si="234"/>
        <v>-9.6863303160963921E-2</v>
      </c>
      <c r="G108" s="208">
        <f t="shared" si="234"/>
        <v>-0.18698568704906182</v>
      </c>
      <c r="H108" s="208">
        <f t="shared" si="234"/>
        <v>-8.6871505934236648E-2</v>
      </c>
      <c r="I108" s="208">
        <f t="shared" si="234"/>
        <v>0.16427733188954297</v>
      </c>
      <c r="J108" s="208">
        <f t="shared" si="234"/>
        <v>9.0917101566985403E-2</v>
      </c>
      <c r="K108" s="208">
        <f t="shared" si="234"/>
        <v>-8.579240707026492E-2</v>
      </c>
      <c r="L108" s="208">
        <f t="shared" si="234"/>
        <v>-1.5496476297306327E-2</v>
      </c>
      <c r="M108" s="208">
        <f t="shared" si="234"/>
        <v>0.53643948457313662</v>
      </c>
      <c r="N108" s="208">
        <f t="shared" si="234"/>
        <v>0.40893965387346154</v>
      </c>
      <c r="O108" s="208">
        <f>+O107/M107-1</f>
        <v>1.4873714678251715</v>
      </c>
      <c r="P108" s="208">
        <f t="shared" si="234"/>
        <v>-0.30679799483632997</v>
      </c>
      <c r="Q108" s="22">
        <f>+Q107/O107-1</f>
        <v>-5.4310347158176953E-2</v>
      </c>
      <c r="R108" s="22">
        <f>+R107/P107-1</f>
        <v>1.3620764598254453E-3</v>
      </c>
      <c r="S108" s="22">
        <f>+S107/Q107-1</f>
        <v>-3.9238833552226904E-2</v>
      </c>
      <c r="T108" s="22">
        <f>+T107/S107-1</f>
        <v>-0.24912846109941655</v>
      </c>
      <c r="U108" s="22"/>
      <c r="V108" s="208"/>
      <c r="W108" s="208"/>
      <c r="X108" s="1"/>
      <c r="Y108" s="208"/>
      <c r="Z108" s="208"/>
      <c r="AA108" s="208"/>
      <c r="AB108" s="208"/>
      <c r="AC108" s="208">
        <f>+AC107/Y107-1</f>
        <v>6.8978556218851184E-2</v>
      </c>
      <c r="AD108" s="208">
        <f t="shared" ref="AD108:AM108" si="235">+AD107/Z107-1</f>
        <v>0.18002221574680433</v>
      </c>
      <c r="AE108" s="208">
        <f t="shared" si="235"/>
        <v>9.2975294398727648E-2</v>
      </c>
      <c r="AF108" s="208">
        <f t="shared" si="235"/>
        <v>-4.2796746744049319E-3</v>
      </c>
      <c r="AG108" s="208">
        <f t="shared" si="235"/>
        <v>-8.632473652931294E-3</v>
      </c>
      <c r="AH108" s="208">
        <f t="shared" si="235"/>
        <v>-9.366469724143256E-2</v>
      </c>
      <c r="AI108" s="208">
        <f t="shared" si="235"/>
        <v>-0.13834177089039479</v>
      </c>
      <c r="AJ108" s="208">
        <f>+AJ107/AF107-1</f>
        <v>-6.2026727138096982E-2</v>
      </c>
      <c r="AK108" s="208">
        <f t="shared" si="235"/>
        <v>1.0988703183724358E-2</v>
      </c>
      <c r="AL108" s="208">
        <f t="shared" si="235"/>
        <v>-0.27003420171703152</v>
      </c>
      <c r="AM108" s="208">
        <f t="shared" si="235"/>
        <v>9.9709540080477055E-2</v>
      </c>
      <c r="AN108" s="208">
        <f t="shared" ref="AN108:BH108" si="236">+AN107/AJ107-1</f>
        <v>8.6759115612440318E-2</v>
      </c>
      <c r="AO108" s="208">
        <f t="shared" si="236"/>
        <v>0.19870890830006882</v>
      </c>
      <c r="AP108" s="208">
        <f t="shared" si="236"/>
        <v>0.76654993527891024</v>
      </c>
      <c r="AQ108" s="208">
        <f t="shared" si="236"/>
        <v>0.4438475725180886</v>
      </c>
      <c r="AR108" s="208">
        <f t="shared" si="236"/>
        <v>0.7034546850178216</v>
      </c>
      <c r="AS108" s="208">
        <f t="shared" si="236"/>
        <v>0.40609014888271067</v>
      </c>
      <c r="AT108" s="208">
        <f t="shared" si="236"/>
        <v>0.67235816856704034</v>
      </c>
      <c r="AU108" s="208">
        <f t="shared" si="236"/>
        <v>0.50181615951687975</v>
      </c>
      <c r="AV108" s="208">
        <f t="shared" si="236"/>
        <v>0.18373657712648561</v>
      </c>
      <c r="AW108" s="208">
        <f t="shared" si="236"/>
        <v>0.88562370278611691</v>
      </c>
      <c r="AX108" s="208">
        <f t="shared" si="236"/>
        <v>0.51439370217167557</v>
      </c>
      <c r="AY108" s="208">
        <f t="shared" si="236"/>
        <v>0.6614550097172569</v>
      </c>
      <c r="AZ108" s="208">
        <f>+AZ107/AV107-1</f>
        <v>0.96236671080304492</v>
      </c>
      <c r="BA108" s="208">
        <f t="shared" si="236"/>
        <v>-0.18110861456422345</v>
      </c>
      <c r="BB108" s="208">
        <f t="shared" si="236"/>
        <v>-0.28407207143282232</v>
      </c>
      <c r="BC108" s="208">
        <f t="shared" si="236"/>
        <v>-0.36597513445502561</v>
      </c>
      <c r="BD108" s="208">
        <f t="shared" si="236"/>
        <v>-0.22644176993061349</v>
      </c>
      <c r="BE108" s="208">
        <f>+BE107/BN107-1</f>
        <v>-0.36974231988578676</v>
      </c>
      <c r="BF108" s="208">
        <f t="shared" si="236"/>
        <v>-3.6457184967068068E-2</v>
      </c>
      <c r="BG108" s="208">
        <f t="shared" si="236"/>
        <v>-3.0683837415950821E-2</v>
      </c>
      <c r="BH108" s="208">
        <f t="shared" si="236"/>
        <v>-3.334082866930832E-2</v>
      </c>
      <c r="BI108" s="208">
        <f>+BI107/BR107-1</f>
        <v>-0.11747258254540049</v>
      </c>
      <c r="BJ108" s="33"/>
      <c r="BK108" s="33"/>
      <c r="BL108" s="37"/>
      <c r="BM108" s="37"/>
      <c r="BN108" s="208">
        <f>+BN107/AW107-1</f>
        <v>0.13092151968263899</v>
      </c>
      <c r="BO108" s="208">
        <f>+BO107/AX107-1</f>
        <v>-3.3147949779052888E-2</v>
      </c>
      <c r="BP108" s="208">
        <f>+BP107/AY107-1</f>
        <v>-0.15488905244404438</v>
      </c>
      <c r="BQ108" s="208">
        <f>+BQ107/AZ107-1</f>
        <v>1.2583463313100562E-3</v>
      </c>
      <c r="BR108" s="208">
        <f>+BR107/BA107-1</f>
        <v>0.13906406144403283</v>
      </c>
      <c r="BS108" s="17"/>
      <c r="BT108" s="17"/>
      <c r="BU108" s="17">
        <f>+BU107/BS107-1</f>
        <v>-0.1488023458486657</v>
      </c>
      <c r="BV108" s="17">
        <f>+BV107/BT107-1</f>
        <v>-3.1008692669175719E-2</v>
      </c>
      <c r="BW108" s="77"/>
      <c r="BX108" s="77"/>
      <c r="BY108" s="17">
        <f>+BY107/BW107-1</f>
        <v>0.46263258889567482</v>
      </c>
      <c r="BZ108" s="77"/>
      <c r="CA108" s="17">
        <f>+CA107/BY107-1</f>
        <v>0.56577827271104186</v>
      </c>
      <c r="CB108" s="77"/>
      <c r="CC108" s="17">
        <f>+CC107/CA107-1</f>
        <v>-5.0324199862199603E-2</v>
      </c>
      <c r="CD108" s="17">
        <f>+CD107/CB107-1</f>
        <v>0.48351279428128291</v>
      </c>
      <c r="CE108" s="17">
        <f>+CE107/CC107-1</f>
        <v>0.28693213916162041</v>
      </c>
      <c r="CF108" s="17">
        <f>+CF107/CJ107-1</f>
        <v>-8.548095401545952E-2</v>
      </c>
      <c r="CG108" s="17">
        <f>+CG107/CE107-1</f>
        <v>-1.8884405481864208E-2</v>
      </c>
      <c r="CI108" s="17">
        <f>+CI107/CE107-1</f>
        <v>0.40465056341843586</v>
      </c>
      <c r="CJ108" s="17">
        <f>+CJ107/CB107-1</f>
        <v>0.46341649508428473</v>
      </c>
      <c r="CK108" s="17">
        <f>+CK107/CI107-1</f>
        <v>-3.855839674038275E-2</v>
      </c>
    </row>
    <row r="109" spans="2:89" s="6" customFormat="1" ht="13.5" customHeight="1">
      <c r="B109" s="6" t="str">
        <f t="shared" si="224"/>
        <v xml:space="preserve">Consolidated operating profit </v>
      </c>
      <c r="D109" s="33">
        <f t="shared" ref="D109:J109" si="237">+D33/D$96</f>
        <v>2116.634268258817</v>
      </c>
      <c r="E109" s="33">
        <f t="shared" si="237"/>
        <v>1955.6091929898207</v>
      </c>
      <c r="F109" s="33">
        <f t="shared" si="237"/>
        <v>1521.4808043875685</v>
      </c>
      <c r="G109" s="33">
        <f t="shared" si="237"/>
        <v>2450.0055039812132</v>
      </c>
      <c r="H109" s="33">
        <f t="shared" si="237"/>
        <v>2297.1047933884297</v>
      </c>
      <c r="I109" s="33">
        <f t="shared" si="237"/>
        <v>2858.8823997148415</v>
      </c>
      <c r="J109" s="33">
        <f t="shared" si="237"/>
        <v>2676.2383616507364</v>
      </c>
      <c r="K109" s="33">
        <f t="shared" ref="K109:P109" si="238">+K33/K$96</f>
        <v>1826.9139259454939</v>
      </c>
      <c r="L109" s="33">
        <f t="shared" si="238"/>
        <v>2437.8007256084761</v>
      </c>
      <c r="M109" s="33">
        <f t="shared" si="238"/>
        <v>4090.2370982011212</v>
      </c>
      <c r="N109" s="33">
        <f t="shared" si="238"/>
        <v>9541.5778370925182</v>
      </c>
      <c r="O109" s="33">
        <f t="shared" si="238"/>
        <v>14271.480043329502</v>
      </c>
      <c r="P109" s="33">
        <f t="shared" si="238"/>
        <v>9784.2432951006613</v>
      </c>
      <c r="Q109" s="33">
        <f>+Q33/Q$96</f>
        <v>13347.935217460808</v>
      </c>
      <c r="R109" s="33">
        <f>+R33/R$96</f>
        <v>2661.3986614717719</v>
      </c>
      <c r="S109" s="33">
        <f>+S33/S$96</f>
        <v>3483.5852085624374</v>
      </c>
      <c r="T109" s="33">
        <f>+T33/T$96</f>
        <v>2960.0284908531021</v>
      </c>
      <c r="U109" s="33">
        <f>+U33/U$96</f>
        <v>3149.4186327013076</v>
      </c>
      <c r="V109" s="33"/>
      <c r="W109" s="33"/>
      <c r="X109" s="1"/>
      <c r="Y109" s="33">
        <f t="shared" ref="Y109:AI109" si="239">+Y33/Y$96</f>
        <v>704.53379858800622</v>
      </c>
      <c r="Z109" s="33">
        <f t="shared" si="239"/>
        <v>758.08839562774301</v>
      </c>
      <c r="AA109" s="33">
        <f t="shared" si="239"/>
        <v>809.05892399658421</v>
      </c>
      <c r="AB109" s="33">
        <f t="shared" si="239"/>
        <v>596.51175635158575</v>
      </c>
      <c r="AC109" s="33">
        <f t="shared" si="239"/>
        <v>558.57240150880136</v>
      </c>
      <c r="AD109" s="33">
        <f t="shared" si="239"/>
        <v>654.20118884316423</v>
      </c>
      <c r="AE109" s="33">
        <f t="shared" si="239"/>
        <v>607.7604000989644</v>
      </c>
      <c r="AF109" s="33">
        <f t="shared" si="239"/>
        <v>823.78282056876856</v>
      </c>
      <c r="AG109" s="33">
        <f t="shared" si="239"/>
        <v>362.4454425166328</v>
      </c>
      <c r="AH109" s="33">
        <f t="shared" si="239"/>
        <v>587.52681946667576</v>
      </c>
      <c r="AI109" s="33">
        <f t="shared" si="239"/>
        <v>509.90889707307616</v>
      </c>
      <c r="AJ109" s="33">
        <f t="shared" ref="AJ109:AP109" si="240">+AJ33/AJ$96</f>
        <v>359.47927443271971</v>
      </c>
      <c r="AK109" s="33">
        <f t="shared" si="240"/>
        <v>173.59742024193415</v>
      </c>
      <c r="AL109" s="33">
        <f t="shared" si="240"/>
        <v>514.86023260559068</v>
      </c>
      <c r="AM109" s="33">
        <f t="shared" si="240"/>
        <v>946.287954719651</v>
      </c>
      <c r="AN109" s="33">
        <f t="shared" si="240"/>
        <v>739.98639248152847</v>
      </c>
      <c r="AO109" s="33">
        <f t="shared" si="240"/>
        <v>698.61633606546309</v>
      </c>
      <c r="AP109" s="33">
        <f t="shared" si="240"/>
        <v>974.30357738293719</v>
      </c>
      <c r="AQ109" s="33">
        <f t="shared" ref="AQ109:AV109" si="241">+AQ33/AQ$96</f>
        <v>1324.5063076650372</v>
      </c>
      <c r="AR109" s="33">
        <f t="shared" si="241"/>
        <v>1052.3642494922531</v>
      </c>
      <c r="AS109" s="33">
        <f t="shared" si="241"/>
        <v>1383.1061738639046</v>
      </c>
      <c r="AT109" s="33">
        <f t="shared" si="241"/>
        <v>2180.1918455999999</v>
      </c>
      <c r="AU109" s="33">
        <f t="shared" si="241"/>
        <v>2785.1699253232296</v>
      </c>
      <c r="AV109" s="33">
        <f t="shared" si="241"/>
        <v>3023.6036878984469</v>
      </c>
      <c r="AW109" s="33">
        <f t="shared" ref="AW109:BB109" si="242">+AW33/AW$96</f>
        <v>2783.1277357739755</v>
      </c>
      <c r="AX109" s="33">
        <f t="shared" si="242"/>
        <v>2887.2763999999997</v>
      </c>
      <c r="AY109" s="33">
        <f t="shared" si="242"/>
        <v>4831.0547515168291</v>
      </c>
      <c r="AZ109" s="33">
        <f t="shared" si="242"/>
        <v>3452.3884580627532</v>
      </c>
      <c r="BA109" s="33">
        <f t="shared" si="242"/>
        <v>991.20840591278534</v>
      </c>
      <c r="BB109" s="33">
        <f t="shared" si="242"/>
        <v>663.92363193461233</v>
      </c>
      <c r="BC109" s="33">
        <f t="shared" ref="BC109:BH109" si="243">+BC33/BC$96</f>
        <v>378.73367530610136</v>
      </c>
      <c r="BD109" s="33">
        <f t="shared" si="243"/>
        <v>780.68364138685251</v>
      </c>
      <c r="BE109" s="33">
        <f t="shared" si="243"/>
        <v>474.97453310696096</v>
      </c>
      <c r="BF109" s="33">
        <f t="shared" si="243"/>
        <v>721.62520542895618</v>
      </c>
      <c r="BG109" s="33">
        <f t="shared" si="243"/>
        <v>757.10359268076809</v>
      </c>
      <c r="BH109" s="33">
        <f t="shared" si="243"/>
        <v>971.33825777113191</v>
      </c>
      <c r="BI109" s="33">
        <f>+BI33/BI$96</f>
        <v>696.40254185898038</v>
      </c>
      <c r="BJ109" s="33"/>
      <c r="BK109" s="33"/>
      <c r="BL109" s="37"/>
      <c r="BM109" s="37"/>
      <c r="BN109" s="33">
        <f>+BN33/BN$96</f>
        <v>1368.8329224124104</v>
      </c>
      <c r="BO109" s="33">
        <f>+BO33/BO$96</f>
        <v>1548.7223558361104</v>
      </c>
      <c r="BP109" s="33">
        <f>+BP33/BP$96</f>
        <v>504.80214599176372</v>
      </c>
      <c r="BQ109" s="33">
        <f>+BQ33/BQ$96</f>
        <v>344.65426431210795</v>
      </c>
      <c r="BR109" s="33">
        <f>+BR33/BR$96</f>
        <v>621.60950764006793</v>
      </c>
      <c r="BS109" s="33">
        <f t="shared" ref="BS109:BX109" si="244">+BS33/BS$96</f>
        <v>970.60887191081315</v>
      </c>
      <c r="BT109" s="33">
        <f t="shared" si="244"/>
        <v>1453.0122154358689</v>
      </c>
      <c r="BU109" s="33">
        <f t="shared" si="244"/>
        <v>943.65473539989716</v>
      </c>
      <c r="BV109" s="33">
        <f t="shared" si="244"/>
        <v>1340.3675530554847</v>
      </c>
      <c r="BW109" s="33">
        <f t="shared" si="244"/>
        <v>708.35494964761028</v>
      </c>
      <c r="BX109" s="33">
        <f t="shared" si="244"/>
        <v>1621.8402639739209</v>
      </c>
      <c r="BY109" s="33">
        <f t="shared" ref="BY109:CD109" si="245">+BY33/BY$96</f>
        <v>1688.5607899661154</v>
      </c>
      <c r="BZ109" s="33">
        <f t="shared" si="245"/>
        <v>1937.6898397666025</v>
      </c>
      <c r="CA109" s="33">
        <f t="shared" si="245"/>
        <v>3629.7647463999997</v>
      </c>
      <c r="CB109" s="33">
        <f t="shared" si="245"/>
        <v>5419.3092930550692</v>
      </c>
      <c r="CC109" s="33">
        <f t="shared" si="245"/>
        <v>3835.2775999999999</v>
      </c>
      <c r="CD109" s="33">
        <f t="shared" si="245"/>
        <v>5710.8452006825846</v>
      </c>
      <c r="CE109" s="33">
        <f>+CE33/CE$96</f>
        <v>1589.9978498159696</v>
      </c>
      <c r="CF109" s="33">
        <f>+CF33/CF$96</f>
        <v>1108.105008802281</v>
      </c>
      <c r="CG109" s="33">
        <f>+CG33/CG$96</f>
        <v>1243.1392685256378</v>
      </c>
      <c r="CI109" s="33">
        <f>+CI33/CI$96</f>
        <v>5908.4102000000003</v>
      </c>
      <c r="CJ109" s="33">
        <f>+CJ33/CJ$96</f>
        <v>6116.9595842140907</v>
      </c>
      <c r="CK109" s="33">
        <f>+CK33/CK$96</f>
        <v>2775.286796605239</v>
      </c>
    </row>
    <row r="110" spans="2:89" s="18" customFormat="1" ht="13.5" customHeight="1">
      <c r="B110" s="207" t="str">
        <f t="shared" si="224"/>
        <v>% margin</v>
      </c>
      <c r="C110" s="207"/>
      <c r="D110" s="208"/>
      <c r="E110" s="208">
        <f t="shared" ref="E110:K110" si="246">+E109/E107</f>
        <v>5.6314405729654585E-2</v>
      </c>
      <c r="F110" s="208">
        <f t="shared" si="246"/>
        <v>4.8512138964180586E-2</v>
      </c>
      <c r="G110" s="208">
        <f t="shared" si="246"/>
        <v>9.6084385028277042E-2</v>
      </c>
      <c r="H110" s="208">
        <f t="shared" si="246"/>
        <v>9.8658536261581206E-2</v>
      </c>
      <c r="I110" s="208">
        <f t="shared" si="246"/>
        <v>0.10546144285577752</v>
      </c>
      <c r="J110" s="208">
        <f t="shared" si="246"/>
        <v>9.0496224220672841E-2</v>
      </c>
      <c r="K110" s="208">
        <f t="shared" si="246"/>
        <v>6.7573891496539515E-2</v>
      </c>
      <c r="L110" s="208">
        <f t="shared" ref="L110:U110" si="247">+L109/L107</f>
        <v>9.1588673890236588E-2</v>
      </c>
      <c r="M110" s="208">
        <f t="shared" si="247"/>
        <v>0.10001763772503899</v>
      </c>
      <c r="N110" s="208">
        <f t="shared" si="247"/>
        <v>0.16559831547573509</v>
      </c>
      <c r="O110" s="208">
        <f t="shared" si="247"/>
        <v>0.1402996138564124</v>
      </c>
      <c r="P110" s="208">
        <f t="shared" si="247"/>
        <v>0.13875699764496491</v>
      </c>
      <c r="Q110" s="208">
        <f t="shared" si="247"/>
        <v>0.13875636499562105</v>
      </c>
      <c r="R110" s="208">
        <f t="shared" si="247"/>
        <v>3.7691762439131513E-2</v>
      </c>
      <c r="S110" s="208">
        <f t="shared" si="247"/>
        <v>3.7692055419411299E-2</v>
      </c>
      <c r="T110" s="208">
        <f t="shared" si="247"/>
        <v>4.2653397623395393E-2</v>
      </c>
      <c r="U110" s="208">
        <f t="shared" si="247"/>
        <v>4.4151236143980185E-2</v>
      </c>
      <c r="V110" s="208"/>
      <c r="W110" s="208"/>
      <c r="X110" s="1"/>
      <c r="Y110" s="208">
        <f t="shared" ref="Y110:AJ110" si="248">+Y109/Y107</f>
        <v>0.11693355573203347</v>
      </c>
      <c r="Z110" s="208">
        <f t="shared" si="248"/>
        <v>0.11759939141220591</v>
      </c>
      <c r="AA110" s="208">
        <f t="shared" si="248"/>
        <v>0.10984465626414376</v>
      </c>
      <c r="AB110" s="208">
        <f t="shared" si="248"/>
        <v>8.2002433183887544E-2</v>
      </c>
      <c r="AC110" s="208">
        <f t="shared" si="248"/>
        <v>8.6725698052667055E-2</v>
      </c>
      <c r="AD110" s="208">
        <f t="shared" si="248"/>
        <v>8.6001568268205722E-2</v>
      </c>
      <c r="AE110" s="208">
        <f t="shared" si="248"/>
        <v>7.5495459996103464E-2</v>
      </c>
      <c r="AF110" s="208">
        <f t="shared" si="248"/>
        <v>0.11373210834212427</v>
      </c>
      <c r="AG110" s="208">
        <f t="shared" si="248"/>
        <v>5.6764430441896906E-2</v>
      </c>
      <c r="AH110" s="208">
        <f t="shared" si="248"/>
        <v>8.5218491324141554E-2</v>
      </c>
      <c r="AI110" s="208">
        <f t="shared" si="248"/>
        <v>7.3509926086461591E-2</v>
      </c>
      <c r="AJ110" s="208">
        <f t="shared" si="248"/>
        <v>5.2911948176017201E-2</v>
      </c>
      <c r="AK110" s="208">
        <f t="shared" ref="AK110:AQ110" si="249">+AK109/AK107</f>
        <v>2.6892464602722842E-2</v>
      </c>
      <c r="AL110" s="208">
        <f t="shared" si="249"/>
        <v>0.10230408645033001</v>
      </c>
      <c r="AM110" s="208">
        <f t="shared" si="249"/>
        <v>0.12405055615937384</v>
      </c>
      <c r="AN110" s="208">
        <f t="shared" si="249"/>
        <v>0.10022367829624319</v>
      </c>
      <c r="AO110" s="208">
        <f t="shared" si="249"/>
        <v>9.0284322315405674E-2</v>
      </c>
      <c r="AP110" s="208">
        <f t="shared" si="249"/>
        <v>0.10959027380429529</v>
      </c>
      <c r="AQ110" s="208">
        <f t="shared" si="249"/>
        <v>0.12025636923083906</v>
      </c>
      <c r="AR110" s="208">
        <f t="shared" ref="AR110:AW110" si="250">+AR109/AR107</f>
        <v>8.3672376659231301E-2</v>
      </c>
      <c r="AS110" s="208">
        <f t="shared" si="250"/>
        <v>0.1271206076416386</v>
      </c>
      <c r="AT110" s="208">
        <f t="shared" si="250"/>
        <v>0.14663685245308544</v>
      </c>
      <c r="AU110" s="208">
        <f t="shared" si="250"/>
        <v>0.16837940890378961</v>
      </c>
      <c r="AV110" s="208">
        <f t="shared" si="250"/>
        <v>0.20308872730563909</v>
      </c>
      <c r="AW110" s="208">
        <f t="shared" si="250"/>
        <v>0.13565585747277445</v>
      </c>
      <c r="AX110" s="208">
        <f t="shared" ref="AX110:BC110" si="251">+AX109/AX107</f>
        <v>0.12823246335114397</v>
      </c>
      <c r="AY110" s="208">
        <f t="shared" si="251"/>
        <v>0.17578857982482365</v>
      </c>
      <c r="AZ110" s="208">
        <f t="shared" si="251"/>
        <v>0.1181681508869355</v>
      </c>
      <c r="BA110" s="208">
        <f t="shared" si="251"/>
        <v>5.8998923215257036E-2</v>
      </c>
      <c r="BB110" s="208">
        <f t="shared" si="251"/>
        <v>4.1186837548158703E-2</v>
      </c>
      <c r="BC110" s="208">
        <f t="shared" si="251"/>
        <v>2.1735835058753455E-2</v>
      </c>
      <c r="BD110" s="208">
        <f t="shared" ref="BD110:BI110" si="252">+BD109/BD107</f>
        <v>3.4543222641874635E-2</v>
      </c>
      <c r="BE110" s="208">
        <f t="shared" si="252"/>
        <v>3.2480680636052903E-2</v>
      </c>
      <c r="BF110" s="208">
        <f t="shared" si="252"/>
        <v>4.6460191576185486E-2</v>
      </c>
      <c r="BG110" s="208">
        <f t="shared" si="252"/>
        <v>4.4826234648549783E-2</v>
      </c>
      <c r="BH110" s="208">
        <f t="shared" si="252"/>
        <v>4.4461579948860623E-2</v>
      </c>
      <c r="BI110" s="208">
        <f t="shared" si="252"/>
        <v>4.123472480600724E-2</v>
      </c>
      <c r="BJ110" s="33"/>
      <c r="BK110" s="33"/>
      <c r="BL110" s="37"/>
      <c r="BM110" s="37"/>
      <c r="BN110" s="208">
        <f>+BN109/BN107</f>
        <v>5.899611118881231E-2</v>
      </c>
      <c r="BO110" s="208">
        <f>+BO109/BO107</f>
        <v>7.1141524759448807E-2</v>
      </c>
      <c r="BP110" s="208">
        <f>+BP109/BP107</f>
        <v>2.1734825760150275E-2</v>
      </c>
      <c r="BQ110" s="208">
        <f>+BQ109/BQ107</f>
        <v>1.1781980255758736E-2</v>
      </c>
      <c r="BR110" s="208">
        <f>+BR109/BR107</f>
        <v>3.2482437226125059E-2</v>
      </c>
      <c r="BS110" s="17">
        <f t="shared" ref="BS110:BX110" si="253">+BS109/BS107</f>
        <v>7.7502490039840638E-2</v>
      </c>
      <c r="BT110" s="17">
        <f t="shared" si="253"/>
        <v>0.11206273586168135</v>
      </c>
      <c r="BU110" s="17">
        <f t="shared" si="253"/>
        <v>8.8522588522588527E-2</v>
      </c>
      <c r="BV110" s="17">
        <f t="shared" si="253"/>
        <v>0.1066831868732025</v>
      </c>
      <c r="BW110" s="17">
        <f t="shared" si="253"/>
        <v>6.2098002524837957E-2</v>
      </c>
      <c r="BX110" s="17">
        <f t="shared" si="253"/>
        <v>0.11145314463367266</v>
      </c>
      <c r="BY110" s="17">
        <f t="shared" ref="BY110:CD110" si="254">+BY109/BY107</f>
        <v>0.10120644089383847</v>
      </c>
      <c r="BZ110" s="17">
        <f t="shared" si="254"/>
        <v>9.9287070436532954E-2</v>
      </c>
      <c r="CA110" s="17">
        <f t="shared" si="254"/>
        <v>0.13894395859600317</v>
      </c>
      <c r="CB110" s="17">
        <f t="shared" si="254"/>
        <v>0.1855319464997261</v>
      </c>
      <c r="CC110" s="17">
        <f t="shared" si="254"/>
        <v>0.15459043609856782</v>
      </c>
      <c r="CD110" s="17">
        <f t="shared" si="254"/>
        <v>0.1317904239710323</v>
      </c>
      <c r="CE110" s="17">
        <f>+CE109/CE107</f>
        <v>4.9799697937557258E-2</v>
      </c>
      <c r="CF110" s="17">
        <f>+CF109/CF107</f>
        <v>2.8346208707962655E-2</v>
      </c>
      <c r="CG110" s="17">
        <f>+CG109/CG107</f>
        <v>3.9685310082358531E-2</v>
      </c>
      <c r="CI110" s="17">
        <f>+CI109/CI107</f>
        <v>0.13174450589745845</v>
      </c>
      <c r="CJ110" s="17">
        <f>+CJ109/CJ107</f>
        <v>0.14310092075340852</v>
      </c>
      <c r="CK110" s="17">
        <f>+CK109/CK107</f>
        <v>6.4364564106061575E-2</v>
      </c>
    </row>
    <row r="111" spans="2:89" ht="13.5" customHeight="1">
      <c r="B111" s="1" t="str">
        <f t="shared" si="224"/>
        <v>Depreciation and amortisation</v>
      </c>
      <c r="D111" s="31"/>
      <c r="E111" s="31"/>
      <c r="F111" s="31"/>
      <c r="G111" s="31"/>
      <c r="H111" s="31">
        <f t="shared" ref="H111:P111" si="255">+H35/H$96</f>
        <v>472.16892561983468</v>
      </c>
      <c r="I111" s="31">
        <f t="shared" si="255"/>
        <v>433.08107811686</v>
      </c>
      <c r="J111" s="31">
        <f t="shared" si="255"/>
        <v>436.2798571399079</v>
      </c>
      <c r="K111" s="31">
        <f t="shared" si="255"/>
        <v>486.99071016598424</v>
      </c>
      <c r="L111" s="31">
        <f t="shared" si="255"/>
        <v>588.53350326958321</v>
      </c>
      <c r="M111" s="31">
        <f t="shared" si="255"/>
        <v>623.47543497493371</v>
      </c>
      <c r="N111" s="31">
        <f t="shared" si="255"/>
        <v>527.7237618308103</v>
      </c>
      <c r="O111" s="31">
        <f t="shared" si="255"/>
        <v>1509.0970045734473</v>
      </c>
      <c r="P111" s="31">
        <f t="shared" si="255"/>
        <v>1345.1928344604296</v>
      </c>
      <c r="Q111" s="31">
        <f t="shared" ref="Q111:R113" si="256">+Q35/Q$96</f>
        <v>1835.1454202332288</v>
      </c>
      <c r="R111" s="31">
        <f t="shared" si="256"/>
        <v>1774.9968775798045</v>
      </c>
      <c r="S111" s="31">
        <f t="shared" ref="S111:T113" si="257">+S35/S$96</f>
        <v>2323.3243265472734</v>
      </c>
      <c r="T111" s="31">
        <f t="shared" si="257"/>
        <v>1872.3423533394325</v>
      </c>
      <c r="U111" s="31">
        <f>+U35/U$96</f>
        <v>1912.4330583297149</v>
      </c>
      <c r="V111" s="31"/>
      <c r="W111" s="31"/>
      <c r="Y111" s="31">
        <f t="shared" ref="Y111:AI111" si="258">+Y35/Y$96</f>
        <v>102.50047336957994</v>
      </c>
      <c r="Z111" s="31">
        <f t="shared" si="258"/>
        <v>109.26169243241731</v>
      </c>
      <c r="AA111" s="31">
        <f t="shared" si="258"/>
        <v>112.26302305721607</v>
      </c>
      <c r="AB111" s="31">
        <f t="shared" si="258"/>
        <v>109.23570564410078</v>
      </c>
      <c r="AC111" s="31">
        <f t="shared" si="258"/>
        <v>116.94022422464374</v>
      </c>
      <c r="AD111" s="31">
        <f t="shared" si="258"/>
        <v>117.96044810242343</v>
      </c>
      <c r="AE111" s="31">
        <f t="shared" si="258"/>
        <v>102.21008730074577</v>
      </c>
      <c r="AF111" s="31">
        <f t="shared" si="258"/>
        <v>104.10575314568328</v>
      </c>
      <c r="AG111" s="31">
        <f t="shared" si="258"/>
        <v>119.96403212881344</v>
      </c>
      <c r="AH111" s="31">
        <f t="shared" si="258"/>
        <v>117.07727412049175</v>
      </c>
      <c r="AI111" s="31">
        <f t="shared" si="258"/>
        <v>126.54637086116055</v>
      </c>
      <c r="AJ111" s="31">
        <f t="shared" ref="AJ111:AZ111" si="259">+AJ35/AJ$96</f>
        <v>123.43161597351548</v>
      </c>
      <c r="AK111" s="31">
        <f t="shared" si="259"/>
        <v>146.66546627162759</v>
      </c>
      <c r="AL111" s="31">
        <f t="shared" si="259"/>
        <v>148.19482904363542</v>
      </c>
      <c r="AM111" s="31">
        <f t="shared" si="259"/>
        <v>157.47317375154768</v>
      </c>
      <c r="AN111" s="31">
        <f t="shared" si="259"/>
        <v>137.64958732338843</v>
      </c>
      <c r="AO111" s="31">
        <f t="shared" si="259"/>
        <v>152.5379099882523</v>
      </c>
      <c r="AP111" s="31">
        <f t="shared" si="259"/>
        <v>144.20271042728527</v>
      </c>
      <c r="AQ111" s="31">
        <f t="shared" si="259"/>
        <v>162.14655895015457</v>
      </c>
      <c r="AR111" s="31">
        <f t="shared" si="259"/>
        <v>163.06216868701063</v>
      </c>
      <c r="AS111" s="31">
        <f t="shared" si="259"/>
        <v>127.36342892295366</v>
      </c>
      <c r="AT111" s="31">
        <f t="shared" si="259"/>
        <v>123.39837360000001</v>
      </c>
      <c r="AU111" s="31">
        <f t="shared" si="259"/>
        <v>138.42807636377026</v>
      </c>
      <c r="AV111" s="31">
        <f t="shared" si="259"/>
        <v>137.50687042766052</v>
      </c>
      <c r="AW111" s="31">
        <f t="shared" si="259"/>
        <v>713.41026661360922</v>
      </c>
      <c r="AX111" s="31">
        <f t="shared" si="259"/>
        <v>622.40660000000003</v>
      </c>
      <c r="AY111" s="31">
        <f t="shared" si="259"/>
        <v>146.22741144850792</v>
      </c>
      <c r="AZ111" s="31">
        <f t="shared" si="259"/>
        <v>507.60425642211152</v>
      </c>
      <c r="BA111" s="31">
        <f t="shared" ref="BA111:BD113" si="260">+BA35/BA$96</f>
        <v>488.85291517622352</v>
      </c>
      <c r="BB111" s="31">
        <f t="shared" si="260"/>
        <v>586.30048904743956</v>
      </c>
      <c r="BC111" s="31">
        <f t="shared" si="260"/>
        <v>571.36331538015145</v>
      </c>
      <c r="BD111" s="31">
        <f t="shared" si="260"/>
        <v>224.73397558115275</v>
      </c>
      <c r="BE111" s="31">
        <f t="shared" ref="BE111:BH113" si="261">+BE35/BE$96</f>
        <v>412.71307300509341</v>
      </c>
      <c r="BF111" s="31">
        <f t="shared" si="261"/>
        <v>426.60106592669581</v>
      </c>
      <c r="BG111" s="31">
        <f t="shared" si="261"/>
        <v>459.59735887823427</v>
      </c>
      <c r="BH111" s="31">
        <f t="shared" si="261"/>
        <v>562.8480979713903</v>
      </c>
      <c r="BI111" s="31">
        <f>+BI35/BI$96</f>
        <v>459.47052995059533</v>
      </c>
      <c r="BJ111" s="33"/>
      <c r="BK111" s="33"/>
      <c r="BL111" s="37"/>
      <c r="BM111" s="37"/>
      <c r="BN111" s="31">
        <f t="shared" ref="BN111:BO113" si="262">+BN35/BN$96</f>
        <v>442.30259943229504</v>
      </c>
      <c r="BO111" s="31">
        <f t="shared" si="262"/>
        <v>538.3231422689081</v>
      </c>
      <c r="BP111" s="31">
        <f t="shared" ref="BP111:BR113" si="263">+BP35/BP$96</f>
        <v>539.76074335961437</v>
      </c>
      <c r="BQ111" s="31">
        <f t="shared" si="263"/>
        <v>902.4860557283464</v>
      </c>
      <c r="BR111" s="31">
        <f t="shared" si="263"/>
        <v>540.08828522920203</v>
      </c>
      <c r="BS111" s="31">
        <f t="shared" ref="BS111:CD111" si="264">+BS35/BS$96</f>
        <v>221.56427847509158</v>
      </c>
      <c r="BT111" s="31">
        <f t="shared" si="264"/>
        <v>0</v>
      </c>
      <c r="BU111" s="31">
        <f t="shared" si="264"/>
        <v>238.85836615858878</v>
      </c>
      <c r="BV111" s="31">
        <f t="shared" si="264"/>
        <v>233.62439273843006</v>
      </c>
      <c r="BW111" s="31">
        <f t="shared" si="264"/>
        <v>294.99221195811418</v>
      </c>
      <c r="BX111" s="31">
        <f t="shared" si="264"/>
        <v>285.00980626010443</v>
      </c>
      <c r="BY111" s="31">
        <f t="shared" si="264"/>
        <v>295.92740100136547</v>
      </c>
      <c r="BZ111" s="31">
        <f t="shared" si="264"/>
        <v>267.65830205313239</v>
      </c>
      <c r="CA111" s="31">
        <f t="shared" si="264"/>
        <v>251.89504579999996</v>
      </c>
      <c r="CB111" s="31">
        <f t="shared" si="264"/>
        <v>256.9668032395154</v>
      </c>
      <c r="CC111" s="31">
        <f t="shared" si="264"/>
        <v>258.9708</v>
      </c>
      <c r="CD111" s="31">
        <f t="shared" si="264"/>
        <v>991.36788469427893</v>
      </c>
      <c r="CE111" s="31">
        <f t="shared" ref="CE111:CF113" si="265">+CE35/CE$96</f>
        <v>1048.9736033289907</v>
      </c>
      <c r="CF111" s="31">
        <f t="shared" si="265"/>
        <v>749.87290574630379</v>
      </c>
      <c r="CG111" s="31">
        <f>+CG35/CG$96</f>
        <v>871.84166908327597</v>
      </c>
      <c r="CI111" s="31">
        <f t="shared" ref="CI111:CJ113" si="266">+CI35/CI$96</f>
        <v>1364.3278</v>
      </c>
      <c r="CJ111" s="31">
        <f t="shared" si="266"/>
        <v>514.99600134023274</v>
      </c>
      <c r="CK111" s="31">
        <f>+CK35/CK$96</f>
        <v>948.13629637124825</v>
      </c>
    </row>
    <row r="112" spans="2:89" ht="13.5" customHeight="1">
      <c r="B112" s="1" t="str">
        <f t="shared" si="224"/>
        <v>Other adjustments</v>
      </c>
      <c r="D112" s="31"/>
      <c r="E112" s="31"/>
      <c r="F112" s="31"/>
      <c r="G112" s="31"/>
      <c r="H112" s="31">
        <f t="shared" ref="H112:P112" si="267">+H36/H$96</f>
        <v>-720.28495867768595</v>
      </c>
      <c r="I112" s="31">
        <f t="shared" si="267"/>
        <v>-811.74741575498342</v>
      </c>
      <c r="J112" s="31">
        <f t="shared" si="267"/>
        <v>-317.29701273767017</v>
      </c>
      <c r="K112" s="31">
        <f t="shared" si="267"/>
        <v>-430.16387091093213</v>
      </c>
      <c r="L112" s="31">
        <f t="shared" si="267"/>
        <v>651.39943950003988</v>
      </c>
      <c r="M112" s="31">
        <f t="shared" si="267"/>
        <v>1442.4543792391626</v>
      </c>
      <c r="N112" s="31">
        <f t="shared" si="267"/>
        <v>550.78771800767743</v>
      </c>
      <c r="O112" s="31">
        <f t="shared" si="267"/>
        <v>1595.1126291024991</v>
      </c>
      <c r="P112" s="31">
        <f t="shared" si="267"/>
        <v>-178.01437908007318</v>
      </c>
      <c r="Q112" s="31">
        <f t="shared" si="256"/>
        <v>-242.77881467302507</v>
      </c>
      <c r="R112" s="31">
        <f t="shared" si="256"/>
        <v>-281.3224439563653</v>
      </c>
      <c r="S112" s="31">
        <f t="shared" si="257"/>
        <v>-368.23234461770915</v>
      </c>
      <c r="T112" s="31">
        <f t="shared" si="257"/>
        <v>512.48299546587702</v>
      </c>
      <c r="U112" s="31">
        <f>+U36/U$96</f>
        <v>597.96400829835477</v>
      </c>
      <c r="V112" s="31"/>
      <c r="W112" s="31"/>
      <c r="Y112" s="31">
        <f t="shared" ref="Y112:AI112" si="268">+Y36/Y$96</f>
        <v>-178.84092077145718</v>
      </c>
      <c r="Z112" s="31">
        <f t="shared" si="268"/>
        <v>-242.28565038718511</v>
      </c>
      <c r="AA112" s="31">
        <f t="shared" si="268"/>
        <v>-219.80757187588955</v>
      </c>
      <c r="AB112" s="31">
        <f t="shared" si="268"/>
        <v>-173.71600652253966</v>
      </c>
      <c r="AC112" s="31">
        <f t="shared" si="268"/>
        <v>-220.45604568315173</v>
      </c>
      <c r="AD112" s="31">
        <f t="shared" si="268"/>
        <v>-55.48331047096476</v>
      </c>
      <c r="AE112" s="31">
        <f t="shared" si="268"/>
        <v>234.20545718022132</v>
      </c>
      <c r="AF112" s="31">
        <f t="shared" si="268"/>
        <v>-323.28405702232902</v>
      </c>
      <c r="AG112" s="31">
        <f t="shared" si="268"/>
        <v>-110.81011573081871</v>
      </c>
      <c r="AH112" s="31">
        <f t="shared" si="268"/>
        <v>-156.47277185573682</v>
      </c>
      <c r="AI112" s="31">
        <f t="shared" si="268"/>
        <v>-123.31441963735043</v>
      </c>
      <c r="AJ112" s="31">
        <f t="shared" ref="AJ112:AZ112" si="269">+AJ36/AJ$96</f>
        <v>-39.534278226084602</v>
      </c>
      <c r="AK112" s="31">
        <f t="shared" si="269"/>
        <v>219.08218886579039</v>
      </c>
      <c r="AL112" s="31">
        <f t="shared" si="269"/>
        <v>215.3602763284461</v>
      </c>
      <c r="AM112" s="31">
        <f t="shared" si="269"/>
        <v>225.20326042096576</v>
      </c>
      <c r="AN112" s="31">
        <f t="shared" si="269"/>
        <v>19.544338890796457</v>
      </c>
      <c r="AO112" s="31">
        <f t="shared" si="269"/>
        <v>283.52849831886238</v>
      </c>
      <c r="AP112" s="31">
        <f t="shared" si="269"/>
        <v>-15.102415090744573</v>
      </c>
      <c r="AQ112" s="31">
        <f t="shared" si="269"/>
        <v>-93.782586097599832</v>
      </c>
      <c r="AR112" s="31">
        <f t="shared" si="269"/>
        <v>1127.7360481305966</v>
      </c>
      <c r="AS112" s="31">
        <f t="shared" si="269"/>
        <v>88.644911623116002</v>
      </c>
      <c r="AT112" s="31">
        <f t="shared" si="269"/>
        <v>262.58570159999994</v>
      </c>
      <c r="AU112" s="31">
        <f t="shared" si="269"/>
        <v>204.44033796583838</v>
      </c>
      <c r="AV112" s="31">
        <f t="shared" si="269"/>
        <v>1.5921284555347848</v>
      </c>
      <c r="AW112" s="31">
        <f t="shared" si="269"/>
        <v>-179.81164610691073</v>
      </c>
      <c r="AX112" s="31">
        <f t="shared" si="269"/>
        <v>547.06999999999994</v>
      </c>
      <c r="AY112" s="31">
        <f t="shared" si="269"/>
        <v>-60.090463461356372</v>
      </c>
      <c r="AZ112" s="31">
        <f t="shared" si="269"/>
        <v>-435.48466188905002</v>
      </c>
      <c r="BA112" s="31">
        <f t="shared" si="260"/>
        <v>68.743775573766214</v>
      </c>
      <c r="BB112" s="31">
        <f t="shared" si="260"/>
        <v>-175.30897782284242</v>
      </c>
      <c r="BC112" s="31">
        <f t="shared" si="260"/>
        <v>43.03791764842061</v>
      </c>
      <c r="BD112" s="31">
        <f t="shared" si="260"/>
        <v>-195.46589347511713</v>
      </c>
      <c r="BE112" s="31">
        <f t="shared" si="261"/>
        <v>171.62648556876061</v>
      </c>
      <c r="BF112" s="31">
        <f t="shared" si="261"/>
        <v>97.274770508337468</v>
      </c>
      <c r="BG112" s="31">
        <f t="shared" si="261"/>
        <v>167.1664333332516</v>
      </c>
      <c r="BH112" s="31">
        <f t="shared" si="261"/>
        <v>81.059211553658542</v>
      </c>
      <c r="BI112" s="31">
        <f>+BI36/BI$96</f>
        <v>245.85643576817552</v>
      </c>
      <c r="BJ112" s="33"/>
      <c r="BK112" s="33"/>
      <c r="BL112" s="37"/>
      <c r="BM112" s="37"/>
      <c r="BN112" s="31">
        <f t="shared" si="262"/>
        <v>94.965628112213125</v>
      </c>
      <c r="BO112" s="31">
        <f t="shared" si="262"/>
        <v>850.73233462962855</v>
      </c>
      <c r="BP112" s="31">
        <f t="shared" si="263"/>
        <v>57.363173992046526</v>
      </c>
      <c r="BQ112" s="31">
        <f t="shared" si="263"/>
        <v>-1340.3559863649241</v>
      </c>
      <c r="BR112" s="31">
        <f t="shared" si="263"/>
        <v>224.59762308998302</v>
      </c>
      <c r="BS112" s="31">
        <f t="shared" ref="BS112:CD112" si="270">+BS36/BS$96</f>
        <v>-247.12910267404695</v>
      </c>
      <c r="BT112" s="31">
        <f t="shared" si="270"/>
        <v>0</v>
      </c>
      <c r="BU112" s="31">
        <f t="shared" si="270"/>
        <v>-411.30912827538958</v>
      </c>
      <c r="BV112" s="31">
        <f t="shared" si="270"/>
        <v>-312.59428534901559</v>
      </c>
      <c r="BW112" s="31">
        <f t="shared" si="270"/>
        <v>434.29020865783508</v>
      </c>
      <c r="BX112" s="31">
        <f t="shared" si="270"/>
        <v>222.83427420423521</v>
      </c>
      <c r="BY112" s="31">
        <f t="shared" si="270"/>
        <v>249.44482374955749</v>
      </c>
      <c r="BZ112" s="31">
        <f t="shared" si="270"/>
        <v>932.08921446554018</v>
      </c>
      <c r="CA112" s="31">
        <f t="shared" si="270"/>
        <v>363.41041809999996</v>
      </c>
      <c r="CB112" s="31">
        <f t="shared" si="270"/>
        <v>184.15505314712973</v>
      </c>
      <c r="CC112" s="31">
        <f t="shared" si="270"/>
        <v>138.0874</v>
      </c>
      <c r="CD112" s="31">
        <f t="shared" si="270"/>
        <v>-263.64926093305138</v>
      </c>
      <c r="CE112" s="31">
        <f t="shared" si="265"/>
        <v>-116.14155799805219</v>
      </c>
      <c r="CF112" s="31">
        <f t="shared" si="265"/>
        <v>-166.20678655299841</v>
      </c>
      <c r="CG112" s="31">
        <f>+CG36/CG$96</f>
        <v>-279.29795062667779</v>
      </c>
      <c r="CI112" s="31">
        <f t="shared" si="266"/>
        <v>388.40559999999999</v>
      </c>
      <c r="CJ112" s="31">
        <f t="shared" si="266"/>
        <v>-404.1018292981297</v>
      </c>
      <c r="CK112" s="31">
        <f>+CK36/CK$96</f>
        <v>784.84879147009349</v>
      </c>
    </row>
    <row r="113" spans="2:89" s="6" customFormat="1" ht="13.5" customHeight="1">
      <c r="B113" s="6" t="str">
        <f t="shared" si="224"/>
        <v xml:space="preserve">Consolidated EBITDA </v>
      </c>
      <c r="D113" s="33">
        <f>+D37/D$96</f>
        <v>2449.3196334351569</v>
      </c>
      <c r="E113" s="33">
        <f>+E37/E$96</f>
        <v>2603.6310210935039</v>
      </c>
      <c r="F113" s="33">
        <f>+F37/F$96</f>
        <v>1983.0895795246799</v>
      </c>
      <c r="G113" s="33">
        <f>+G37/G$96</f>
        <v>3022.052618060397</v>
      </c>
      <c r="H113" s="33">
        <f t="shared" ref="H113:P113" si="271">+H37/H$96</f>
        <v>2048.9887603305783</v>
      </c>
      <c r="I113" s="33">
        <f t="shared" si="271"/>
        <v>2480.2160620767186</v>
      </c>
      <c r="J113" s="33">
        <f t="shared" si="271"/>
        <v>2795.2212060529741</v>
      </c>
      <c r="K113" s="33">
        <f t="shared" si="271"/>
        <v>1883.7407652005456</v>
      </c>
      <c r="L113" s="33">
        <f t="shared" si="271"/>
        <v>3677.7336683780991</v>
      </c>
      <c r="M113" s="33">
        <f t="shared" si="271"/>
        <v>6156.1669124152177</v>
      </c>
      <c r="N113" s="33">
        <f t="shared" si="271"/>
        <v>10620.089316931006</v>
      </c>
      <c r="O113" s="33">
        <f t="shared" si="271"/>
        <v>17375.689677005448</v>
      </c>
      <c r="P113" s="33">
        <f t="shared" si="271"/>
        <v>10951.421750481017</v>
      </c>
      <c r="Q113" s="33">
        <f t="shared" si="256"/>
        <v>14940.301823021013</v>
      </c>
      <c r="R113" s="33">
        <f t="shared" si="256"/>
        <v>4155.0730950952111</v>
      </c>
      <c r="S113" s="33">
        <f t="shared" si="257"/>
        <v>5438.6771904920015</v>
      </c>
      <c r="T113" s="33">
        <f t="shared" si="257"/>
        <v>5344.8538396584117</v>
      </c>
      <c r="U113" s="33">
        <f>+U37/U$96</f>
        <v>5659.8156993293769</v>
      </c>
      <c r="V113" s="33"/>
      <c r="W113" s="33"/>
      <c r="X113" s="1"/>
      <c r="Y113" s="33">
        <f t="shared" ref="Y113:AI113" si="272">+Y37/Y$96</f>
        <v>628.19335118612889</v>
      </c>
      <c r="Z113" s="33">
        <f t="shared" si="272"/>
        <v>625.06443767297537</v>
      </c>
      <c r="AA113" s="33">
        <f t="shared" si="272"/>
        <v>701.51437517791067</v>
      </c>
      <c r="AB113" s="33">
        <f t="shared" si="272"/>
        <v>532.03145547314682</v>
      </c>
      <c r="AC113" s="33">
        <f t="shared" si="272"/>
        <v>455.05658005029335</v>
      </c>
      <c r="AD113" s="33">
        <f t="shared" si="272"/>
        <v>716.67832647462296</v>
      </c>
      <c r="AE113" s="33">
        <f t="shared" si="272"/>
        <v>944.17594457993141</v>
      </c>
      <c r="AF113" s="33">
        <f t="shared" si="272"/>
        <v>604.60451669212284</v>
      </c>
      <c r="AG113" s="33">
        <f t="shared" si="272"/>
        <v>371.5993589146276</v>
      </c>
      <c r="AH113" s="33">
        <f t="shared" si="272"/>
        <v>548.13132173143072</v>
      </c>
      <c r="AI113" s="33">
        <f t="shared" si="272"/>
        <v>513.14084829688625</v>
      </c>
      <c r="AJ113" s="33">
        <f t="shared" ref="AJ113:AZ113" si="273">+AJ37/AJ$96</f>
        <v>443.37661218015057</v>
      </c>
      <c r="AK113" s="33">
        <f t="shared" si="273"/>
        <v>539.34507537935212</v>
      </c>
      <c r="AL113" s="33">
        <f t="shared" si="273"/>
        <v>878.41533797767215</v>
      </c>
      <c r="AM113" s="33">
        <f t="shared" si="273"/>
        <v>1328.9643888921646</v>
      </c>
      <c r="AN113" s="33">
        <f t="shared" si="273"/>
        <v>897.18031869571337</v>
      </c>
      <c r="AO113" s="33">
        <f t="shared" si="273"/>
        <v>1134.6827443725776</v>
      </c>
      <c r="AP113" s="33">
        <f t="shared" si="273"/>
        <v>1103.4038727194777</v>
      </c>
      <c r="AQ113" s="33">
        <f t="shared" si="273"/>
        <v>1392.8702805175919</v>
      </c>
      <c r="AR113" s="33">
        <f t="shared" si="273"/>
        <v>2343.1624663098601</v>
      </c>
      <c r="AS113" s="33">
        <f t="shared" si="273"/>
        <v>1599.1145144099742</v>
      </c>
      <c r="AT113" s="33">
        <f t="shared" si="273"/>
        <v>2566.1759208000003</v>
      </c>
      <c r="AU113" s="33">
        <f t="shared" si="273"/>
        <v>3128.0383396528382</v>
      </c>
      <c r="AV113" s="33">
        <f t="shared" si="273"/>
        <v>3162.7026867816421</v>
      </c>
      <c r="AW113" s="33">
        <f t="shared" si="273"/>
        <v>3316.7263562806738</v>
      </c>
      <c r="AX113" s="33">
        <f t="shared" si="273"/>
        <v>4056.7529999999997</v>
      </c>
      <c r="AY113" s="33">
        <f t="shared" si="273"/>
        <v>4917.191699503981</v>
      </c>
      <c r="AZ113" s="33">
        <f t="shared" si="273"/>
        <v>3524.5080525958147</v>
      </c>
      <c r="BA113" s="33">
        <f t="shared" si="260"/>
        <v>1548.805096662775</v>
      </c>
      <c r="BB113" s="33">
        <f t="shared" si="260"/>
        <v>1074.9151431592095</v>
      </c>
      <c r="BC113" s="33">
        <f t="shared" si="260"/>
        <v>993.13490833467336</v>
      </c>
      <c r="BD113" s="33">
        <f t="shared" si="260"/>
        <v>809.95172349288816</v>
      </c>
      <c r="BE113" s="33">
        <f t="shared" si="261"/>
        <v>1059.314091680815</v>
      </c>
      <c r="BF113" s="33">
        <f t="shared" si="261"/>
        <v>1245.5010418639895</v>
      </c>
      <c r="BG113" s="33">
        <f t="shared" si="261"/>
        <v>1383.867384892254</v>
      </c>
      <c r="BH113" s="33">
        <f t="shared" si="261"/>
        <v>1615.2455672961808</v>
      </c>
      <c r="BI113" s="33">
        <f>+BI37/BI$96</f>
        <v>1401.7295075777513</v>
      </c>
      <c r="BJ113" s="33"/>
      <c r="BK113" s="33"/>
      <c r="BL113" s="37"/>
      <c r="BM113" s="37"/>
      <c r="BN113" s="33">
        <f t="shared" si="262"/>
        <v>1906.1011499569186</v>
      </c>
      <c r="BO113" s="33">
        <f t="shared" si="262"/>
        <v>2937.7778327346473</v>
      </c>
      <c r="BP113" s="33">
        <f t="shared" si="263"/>
        <v>1101.9260633434246</v>
      </c>
      <c r="BQ113" s="33">
        <f t="shared" si="263"/>
        <v>-93.215666324469723</v>
      </c>
      <c r="BR113" s="33">
        <f t="shared" si="263"/>
        <v>1386.295415959253</v>
      </c>
      <c r="BS113" s="33">
        <f t="shared" ref="BS113:CD113" si="274">+BS37/BS$96</f>
        <v>945.04404771185773</v>
      </c>
      <c r="BT113" s="33">
        <f t="shared" si="274"/>
        <v>1453.0122154358689</v>
      </c>
      <c r="BU113" s="33">
        <f t="shared" si="274"/>
        <v>771.20397328309627</v>
      </c>
      <c r="BV113" s="33">
        <f t="shared" si="274"/>
        <v>1261.397660444899</v>
      </c>
      <c r="BW113" s="33">
        <f t="shared" si="274"/>
        <v>1437.6373702635597</v>
      </c>
      <c r="BX113" s="33">
        <f t="shared" si="274"/>
        <v>2129.6843444382607</v>
      </c>
      <c r="BY113" s="33">
        <f t="shared" si="274"/>
        <v>2233.9330147170381</v>
      </c>
      <c r="BZ113" s="33">
        <f t="shared" si="274"/>
        <v>3137.4373562852752</v>
      </c>
      <c r="CA113" s="33">
        <f t="shared" si="274"/>
        <v>4245.0702103000003</v>
      </c>
      <c r="CB113" s="33">
        <f t="shared" si="274"/>
        <v>5860.4311494417143</v>
      </c>
      <c r="CC113" s="33">
        <f t="shared" si="274"/>
        <v>4232.3357999999998</v>
      </c>
      <c r="CD113" s="33">
        <f t="shared" si="274"/>
        <v>6438.5638244438123</v>
      </c>
      <c r="CE113" s="33">
        <f t="shared" si="265"/>
        <v>2522.8298951469083</v>
      </c>
      <c r="CF113" s="33">
        <f t="shared" si="265"/>
        <v>1691.7711279955863</v>
      </c>
      <c r="CG113" s="33">
        <f>+CG37/CG$96</f>
        <v>1835.6829869822359</v>
      </c>
      <c r="CI113" s="33">
        <f t="shared" si="266"/>
        <v>7661.1436000000003</v>
      </c>
      <c r="CJ113" s="33">
        <f t="shared" si="266"/>
        <v>6227.8537562561942</v>
      </c>
      <c r="CK113" s="33">
        <f>+CK37/CK$96</f>
        <v>4508.2718844465808</v>
      </c>
    </row>
    <row r="114" spans="2:89" s="18" customFormat="1" ht="13.5" customHeight="1">
      <c r="B114" s="207" t="str">
        <f t="shared" si="224"/>
        <v xml:space="preserve">% growth </v>
      </c>
      <c r="C114" s="207"/>
      <c r="D114" s="208"/>
      <c r="E114" s="208">
        <f t="shared" ref="E114:P114" si="275">+E113/D113-1</f>
        <v>6.3001735482733245E-2</v>
      </c>
      <c r="F114" s="208">
        <f t="shared" si="275"/>
        <v>-0.23833693658642985</v>
      </c>
      <c r="G114" s="208">
        <f t="shared" si="275"/>
        <v>0.523911299450599</v>
      </c>
      <c r="H114" s="208">
        <f t="shared" si="275"/>
        <v>-0.32198772844476387</v>
      </c>
      <c r="I114" s="208">
        <f t="shared" si="275"/>
        <v>0.21045859796545052</v>
      </c>
      <c r="J114" s="208">
        <f t="shared" si="275"/>
        <v>0.12700713812509434</v>
      </c>
      <c r="K114" s="208">
        <f t="shared" si="275"/>
        <v>-0.32608526254689352</v>
      </c>
      <c r="L114" s="208">
        <f t="shared" si="275"/>
        <v>0.95235657491680525</v>
      </c>
      <c r="M114" s="208">
        <f t="shared" si="275"/>
        <v>0.67390231798109546</v>
      </c>
      <c r="N114" s="208">
        <f t="shared" si="275"/>
        <v>0.72511393339796237</v>
      </c>
      <c r="O114" s="208">
        <f>+O113/M113-1</f>
        <v>1.822485147692094</v>
      </c>
      <c r="P114" s="208">
        <f t="shared" si="275"/>
        <v>-0.36972736311158605</v>
      </c>
      <c r="Q114" s="22">
        <f>+Q113/O113-1</f>
        <v>-0.14016064393733774</v>
      </c>
      <c r="R114" s="22">
        <f>+R113/P113-1</f>
        <v>-0.62059053246554874</v>
      </c>
      <c r="S114" s="22">
        <f>+S113/Q113-1</f>
        <v>-0.63597273636656215</v>
      </c>
      <c r="T114" s="22">
        <f>+T113/S113-1</f>
        <v>-1.725113433788894E-2</v>
      </c>
      <c r="U114" s="22"/>
      <c r="V114" s="208"/>
      <c r="W114" s="208"/>
      <c r="X114" s="1"/>
      <c r="Y114" s="208"/>
      <c r="Z114" s="208"/>
      <c r="AA114" s="208"/>
      <c r="AB114" s="208"/>
      <c r="AC114" s="208">
        <f t="shared" ref="AC114:AM114" si="276">+AC113/Y113-1</f>
        <v>-0.27561063931817453</v>
      </c>
      <c r="AD114" s="208">
        <f t="shared" si="276"/>
        <v>0.14656711097293074</v>
      </c>
      <c r="AE114" s="208">
        <f t="shared" si="276"/>
        <v>0.34591104329184907</v>
      </c>
      <c r="AF114" s="208">
        <f t="shared" si="276"/>
        <v>0.13640746326631237</v>
      </c>
      <c r="AG114" s="208">
        <f t="shared" si="276"/>
        <v>-0.18339965796438318</v>
      </c>
      <c r="AH114" s="208">
        <f t="shared" si="276"/>
        <v>-0.2351780408545121</v>
      </c>
      <c r="AI114" s="208">
        <f t="shared" si="276"/>
        <v>-0.45651988779995323</v>
      </c>
      <c r="AJ114" s="208">
        <f>+AJ113/AF113-1</f>
        <v>-0.26666672189958662</v>
      </c>
      <c r="AK114" s="208">
        <f t="shared" si="276"/>
        <v>0.45141551630949661</v>
      </c>
      <c r="AL114" s="208">
        <f t="shared" si="276"/>
        <v>0.60256366157464636</v>
      </c>
      <c r="AM114" s="208">
        <f t="shared" si="276"/>
        <v>1.5898627897252684</v>
      </c>
      <c r="AN114" s="208">
        <f t="shared" ref="AN114:BH114" si="277">+AN113/AJ113-1</f>
        <v>1.0235174658494968</v>
      </c>
      <c r="AO114" s="208">
        <f t="shared" si="277"/>
        <v>1.1038158985219075</v>
      </c>
      <c r="AP114" s="208">
        <f t="shared" si="277"/>
        <v>0.25613001619459919</v>
      </c>
      <c r="AQ114" s="208">
        <f t="shared" si="277"/>
        <v>4.8086985745870781E-2</v>
      </c>
      <c r="AR114" s="208">
        <f t="shared" si="277"/>
        <v>1.6116962415273002</v>
      </c>
      <c r="AS114" s="208">
        <f t="shared" si="277"/>
        <v>0.40930539601552129</v>
      </c>
      <c r="AT114" s="208">
        <f t="shared" si="277"/>
        <v>1.3256905148205949</v>
      </c>
      <c r="AU114" s="208">
        <f t="shared" si="277"/>
        <v>1.2457499333609561</v>
      </c>
      <c r="AV114" s="208">
        <f t="shared" si="277"/>
        <v>0.3497581718106122</v>
      </c>
      <c r="AW114" s="208">
        <f t="shared" si="277"/>
        <v>1.074101839732502</v>
      </c>
      <c r="AX114" s="208">
        <f t="shared" si="277"/>
        <v>0.58085537593826175</v>
      </c>
      <c r="AY114" s="208">
        <f t="shared" si="277"/>
        <v>0.57197296374881068</v>
      </c>
      <c r="AZ114" s="208">
        <f t="shared" si="277"/>
        <v>0.11439752693995553</v>
      </c>
      <c r="BA114" s="208">
        <f t="shared" si="277"/>
        <v>-0.53303199290773529</v>
      </c>
      <c r="BB114" s="208">
        <f t="shared" si="277"/>
        <v>-0.73503066537223005</v>
      </c>
      <c r="BC114" s="208">
        <f t="shared" si="277"/>
        <v>-0.79802802716948062</v>
      </c>
      <c r="BD114" s="208">
        <f t="shared" si="277"/>
        <v>-0.77019438985354127</v>
      </c>
      <c r="BE114" s="208">
        <f>+BE113/BN113-1</f>
        <v>-0.44425085116560714</v>
      </c>
      <c r="BF114" s="208">
        <f t="shared" si="277"/>
        <v>0.15869708394229387</v>
      </c>
      <c r="BG114" s="208">
        <f t="shared" si="277"/>
        <v>0.39343343314029289</v>
      </c>
      <c r="BH114" s="208">
        <f t="shared" si="277"/>
        <v>0.99424918849544675</v>
      </c>
      <c r="BI114" s="208">
        <f>+BI113/BR113-1</f>
        <v>1.1133335247897724E-2</v>
      </c>
      <c r="BJ114" s="33"/>
      <c r="BK114" s="33"/>
      <c r="BL114" s="37"/>
      <c r="BM114" s="37"/>
      <c r="BN114" s="208">
        <f>+BN113/AW113-1</f>
        <v>-0.42530647837514357</v>
      </c>
      <c r="BO114" s="208">
        <f>+BO113/AX113-1</f>
        <v>-0.27583024336590189</v>
      </c>
      <c r="BP114" s="208">
        <f>+BP113/AY113-1</f>
        <v>-0.77590337520203234</v>
      </c>
      <c r="BQ114" s="208">
        <f>+BQ113/AZ113-1</f>
        <v>-1.0264478517096354</v>
      </c>
      <c r="BR114" s="208">
        <f>+BR113/BA113-1</f>
        <v>-0.1049258431894905</v>
      </c>
      <c r="BS114" s="17"/>
      <c r="BT114" s="17"/>
      <c r="BU114" s="17">
        <f>+BU113/BS113-1</f>
        <v>-0.18394917660151755</v>
      </c>
      <c r="BV114" s="17">
        <f>+BV113/BT113-1</f>
        <v>-0.13187401520467612</v>
      </c>
      <c r="BW114" s="77"/>
      <c r="BX114" s="77"/>
      <c r="BY114" s="17">
        <f>+BY113/BW113-1</f>
        <v>0.55389186517007061</v>
      </c>
      <c r="BZ114" s="77"/>
      <c r="CA114" s="17">
        <f>+CA113/BY113-1</f>
        <v>0.90026745758878701</v>
      </c>
      <c r="CB114" s="77"/>
      <c r="CC114" s="17">
        <f>+CC113/CA113-1</f>
        <v>-2.99981146815953E-3</v>
      </c>
      <c r="CD114" s="17">
        <f>+CD113/CB113-1</f>
        <v>9.8650194884922993E-2</v>
      </c>
      <c r="CE114" s="17">
        <f>+CE113/CC113-1</f>
        <v>-0.40391547023586638</v>
      </c>
      <c r="CF114" s="17">
        <f>+CF113/CJ113-1</f>
        <v>-0.72835406960285209</v>
      </c>
      <c r="CG114" s="17">
        <f>+CG113/CE113-1</f>
        <v>-0.27237147834918085</v>
      </c>
      <c r="CI114" s="17">
        <f>+CI113/CE113-1</f>
        <v>2.0367261838531054</v>
      </c>
      <c r="CJ114" s="17">
        <f>+CJ113/CB113-1</f>
        <v>6.2695490731851988E-2</v>
      </c>
      <c r="CK114" s="17">
        <f>+CK113/CI113-1</f>
        <v>-0.41154061066724024</v>
      </c>
    </row>
    <row r="115" spans="2:89" s="18" customFormat="1" ht="13.5" customHeight="1">
      <c r="B115" s="207" t="str">
        <f t="shared" si="224"/>
        <v xml:space="preserve">% margin </v>
      </c>
      <c r="C115" s="207"/>
      <c r="D115" s="208"/>
      <c r="E115" s="208">
        <f t="shared" ref="E115:K115" si="278">+E113/E107</f>
        <v>7.4975068749811122E-2</v>
      </c>
      <c r="F115" s="208">
        <f t="shared" si="278"/>
        <v>6.323045087581243E-2</v>
      </c>
      <c r="G115" s="208">
        <f t="shared" si="278"/>
        <v>0.11851894489933947</v>
      </c>
      <c r="H115" s="208">
        <f t="shared" si="278"/>
        <v>8.8002181046541408E-2</v>
      </c>
      <c r="I115" s="208">
        <f t="shared" si="278"/>
        <v>9.1492803106128243E-2</v>
      </c>
      <c r="J115" s="208">
        <f t="shared" si="278"/>
        <v>9.4519594604915005E-2</v>
      </c>
      <c r="K115" s="208">
        <f t="shared" si="278"/>
        <v>6.9675802602135156E-2</v>
      </c>
      <c r="L115" s="208">
        <f t="shared" ref="L115:U115" si="279">+L113/L107</f>
        <v>0.13817320918392545</v>
      </c>
      <c r="M115" s="208">
        <f t="shared" si="279"/>
        <v>0.1505353497213186</v>
      </c>
      <c r="N115" s="208">
        <f t="shared" si="279"/>
        <v>0.1843163605760115</v>
      </c>
      <c r="O115" s="208">
        <f t="shared" si="279"/>
        <v>0.170816379574601</v>
      </c>
      <c r="P115" s="208">
        <f t="shared" si="279"/>
        <v>0.15530954783201539</v>
      </c>
      <c r="Q115" s="208">
        <f t="shared" si="279"/>
        <v>0.1553095620503174</v>
      </c>
      <c r="R115" s="208">
        <f t="shared" si="279"/>
        <v>5.8845760420931467E-2</v>
      </c>
      <c r="S115" s="208">
        <f t="shared" si="279"/>
        <v>5.8845961789149803E-2</v>
      </c>
      <c r="T115" s="208">
        <f t="shared" si="279"/>
        <v>7.7018237076555099E-2</v>
      </c>
      <c r="U115" s="208">
        <f t="shared" si="279"/>
        <v>7.9344123032054584E-2</v>
      </c>
      <c r="V115" s="208"/>
      <c r="W115" s="208"/>
      <c r="X115" s="1"/>
      <c r="Y115" s="208">
        <f t="shared" ref="Y115:AI115" si="280">+Y113/Y107</f>
        <v>0.10426310616841226</v>
      </c>
      <c r="Z115" s="208">
        <f t="shared" si="280"/>
        <v>9.6963886913064026E-2</v>
      </c>
      <c r="AA115" s="208">
        <f t="shared" si="280"/>
        <v>9.5243502197744148E-2</v>
      </c>
      <c r="AB115" s="208">
        <f t="shared" si="280"/>
        <v>7.3138330325628595E-2</v>
      </c>
      <c r="AC115" s="208">
        <f t="shared" si="280"/>
        <v>7.0653507856311817E-2</v>
      </c>
      <c r="AD115" s="208">
        <f t="shared" si="280"/>
        <v>9.4214839519998136E-2</v>
      </c>
      <c r="AE115" s="208">
        <f t="shared" si="280"/>
        <v>0.11728470173724778</v>
      </c>
      <c r="AF115" s="208">
        <f t="shared" si="280"/>
        <v>8.3472178199940919E-2</v>
      </c>
      <c r="AG115" s="208">
        <f t="shared" si="280"/>
        <v>5.8198072004712449E-2</v>
      </c>
      <c r="AH115" s="208">
        <f t="shared" si="280"/>
        <v>7.9504326845643833E-2</v>
      </c>
      <c r="AI115" s="208">
        <f t="shared" si="280"/>
        <v>7.3975853425523652E-2</v>
      </c>
      <c r="AJ115" s="208">
        <f t="shared" ref="AJ115:AP115" si="281">+AJ113/AJ107</f>
        <v>6.5260842542745737E-2</v>
      </c>
      <c r="AK115" s="208">
        <f t="shared" si="281"/>
        <v>8.35514625049045E-2</v>
      </c>
      <c r="AL115" s="208">
        <f t="shared" si="281"/>
        <v>0.17454344496753002</v>
      </c>
      <c r="AM115" s="208">
        <f t="shared" si="281"/>
        <v>0.17421628452083252</v>
      </c>
      <c r="AN115" s="208">
        <f t="shared" si="281"/>
        <v>0.1215140069442894</v>
      </c>
      <c r="AO115" s="208">
        <f t="shared" si="281"/>
        <v>0.14663851577765491</v>
      </c>
      <c r="AP115" s="208">
        <f t="shared" si="281"/>
        <v>0.12411155551009583</v>
      </c>
      <c r="AQ115" s="208">
        <f t="shared" ref="AQ115:AV115" si="282">+AQ113/AQ107</f>
        <v>0.12646336357572593</v>
      </c>
      <c r="AR115" s="208">
        <f t="shared" si="282"/>
        <v>0.18630238774212107</v>
      </c>
      <c r="AS115" s="208">
        <f t="shared" si="282"/>
        <v>0.14697382789671665</v>
      </c>
      <c r="AT115" s="208">
        <f t="shared" si="282"/>
        <v>0.17259763659167882</v>
      </c>
      <c r="AU115" s="208">
        <f t="shared" si="282"/>
        <v>0.189107760309458</v>
      </c>
      <c r="AV115" s="208">
        <f t="shared" si="282"/>
        <v>0.21243169734028386</v>
      </c>
      <c r="AW115" s="208">
        <f t="shared" ref="AW115:BB115" si="283">+AW113/AW107</f>
        <v>0.16166464516896531</v>
      </c>
      <c r="AX115" s="208">
        <f t="shared" si="283"/>
        <v>0.18017236950267157</v>
      </c>
      <c r="AY115" s="208">
        <f t="shared" si="283"/>
        <v>0.17892286261314269</v>
      </c>
      <c r="AZ115" s="208">
        <f t="shared" si="283"/>
        <v>0.12063665616442953</v>
      </c>
      <c r="BA115" s="208">
        <f t="shared" si="283"/>
        <v>9.2188315220407838E-2</v>
      </c>
      <c r="BB115" s="208">
        <f t="shared" si="283"/>
        <v>6.6682903348911596E-2</v>
      </c>
      <c r="BC115" s="208">
        <f t="shared" ref="BC115:BH115" si="284">+BC113/BC107</f>
        <v>5.6996823800275709E-2</v>
      </c>
      <c r="BD115" s="208">
        <f t="shared" si="284"/>
        <v>3.5838259226339798E-2</v>
      </c>
      <c r="BE115" s="208">
        <f t="shared" si="284"/>
        <v>7.2440184277009961E-2</v>
      </c>
      <c r="BF115" s="208">
        <f t="shared" si="284"/>
        <v>8.0188741438073946E-2</v>
      </c>
      <c r="BG115" s="208">
        <f t="shared" si="284"/>
        <v>8.1935371483320266E-2</v>
      </c>
      <c r="BH115" s="208">
        <f t="shared" si="284"/>
        <v>7.39354898798842E-2</v>
      </c>
      <c r="BI115" s="208">
        <f>+BI113/BI107</f>
        <v>8.2997874107606201E-2</v>
      </c>
      <c r="BJ115" s="33"/>
      <c r="BK115" s="33"/>
      <c r="BL115" s="37"/>
      <c r="BM115" s="37"/>
      <c r="BN115" s="208">
        <f>+BN113/BN107</f>
        <v>8.2152141096808726E-2</v>
      </c>
      <c r="BO115" s="208">
        <f>+BO113/BO107</f>
        <v>0.13494865211810014</v>
      </c>
      <c r="BP115" s="208">
        <f>+BP113/BP107</f>
        <v>4.7444669515585652E-2</v>
      </c>
      <c r="BQ115" s="208">
        <f>+BQ113/BQ107</f>
        <v>-3.1865705835797896E-3</v>
      </c>
      <c r="BR115" s="208">
        <f>+BR113/BR107</f>
        <v>7.2441385262458607E-2</v>
      </c>
      <c r="BS115" s="17">
        <f t="shared" ref="BS115:BX115" si="285">+BS113/BS107</f>
        <v>7.546115537848605E-2</v>
      </c>
      <c r="BT115" s="17">
        <f t="shared" si="285"/>
        <v>0.11206273586168135</v>
      </c>
      <c r="BU115" s="17">
        <f t="shared" si="285"/>
        <v>7.2345286292654701E-2</v>
      </c>
      <c r="BV115" s="17">
        <f t="shared" si="285"/>
        <v>0.10039777673213569</v>
      </c>
      <c r="BW115" s="17">
        <f t="shared" si="285"/>
        <v>0.12603061373798519</v>
      </c>
      <c r="BX115" s="17">
        <f t="shared" si="285"/>
        <v>0.14635227804935208</v>
      </c>
      <c r="BY115" s="17">
        <f t="shared" ref="BY115:CD115" si="286">+BY113/BY107</f>
        <v>0.13389414876753786</v>
      </c>
      <c r="BZ115" s="17">
        <f t="shared" si="286"/>
        <v>0.16076203600325803</v>
      </c>
      <c r="CA115" s="17">
        <f t="shared" si="286"/>
        <v>0.16249726931257458</v>
      </c>
      <c r="CB115" s="17">
        <f t="shared" si="286"/>
        <v>0.20063390732780964</v>
      </c>
      <c r="CC115" s="17">
        <f t="shared" si="286"/>
        <v>0.17059485786311293</v>
      </c>
      <c r="CD115" s="17">
        <f t="shared" si="286"/>
        <v>0.14858414584352242</v>
      </c>
      <c r="CE115" s="17">
        <f>+CE113/CE107</f>
        <v>7.9016563915917701E-2</v>
      </c>
      <c r="CF115" s="17">
        <f>+CF113/CF107</f>
        <v>4.3276852914961375E-2</v>
      </c>
      <c r="CG115" s="17">
        <f>+CG113/CG107</f>
        <v>5.8601357382668612E-2</v>
      </c>
      <c r="CI115" s="17">
        <f>+CI113/CI107</f>
        <v>0.17082659193017374</v>
      </c>
      <c r="CJ115" s="17">
        <f>+CJ113/CJ107</f>
        <v>0.1456951929415663</v>
      </c>
      <c r="CK115" s="17">
        <f>+CK113/CK107</f>
        <v>0.10455602464904157</v>
      </c>
    </row>
    <row r="116" spans="2:89" s="6" customFormat="1" ht="13.5" customHeight="1">
      <c r="B116" s="6" t="str">
        <f t="shared" si="224"/>
        <v>Consolidated net profit attributable to Equity holders</v>
      </c>
      <c r="D116" s="33">
        <f t="shared" ref="D116:J116" si="287">+D40/D$96</f>
        <v>1290.752568730908</v>
      </c>
      <c r="E116" s="33">
        <f t="shared" si="287"/>
        <v>1406.233602686536</v>
      </c>
      <c r="F116" s="33">
        <f t="shared" si="287"/>
        <v>1238.5740402193783</v>
      </c>
      <c r="G116" s="33">
        <f t="shared" si="287"/>
        <v>1308.8467324698199</v>
      </c>
      <c r="H116" s="33">
        <f t="shared" si="287"/>
        <v>1143.7993388429752</v>
      </c>
      <c r="I116" s="33">
        <f t="shared" si="287"/>
        <v>1345.92964272984</v>
      </c>
      <c r="J116" s="33">
        <f t="shared" si="287"/>
        <v>1143.0929622824585</v>
      </c>
      <c r="K116" s="33">
        <f t="shared" ref="K116:P116" si="288">+K40/K$96</f>
        <v>773.32963501078666</v>
      </c>
      <c r="L116" s="33">
        <f t="shared" si="288"/>
        <v>1342.9651461717274</v>
      </c>
      <c r="M116" s="33">
        <f t="shared" si="288"/>
        <v>1792.1216160424653</v>
      </c>
      <c r="N116" s="33">
        <f t="shared" si="288"/>
        <v>4459.8407891478864</v>
      </c>
      <c r="O116" s="33">
        <f t="shared" si="288"/>
        <v>4307.4206130461489</v>
      </c>
      <c r="P116" s="33">
        <f t="shared" si="288"/>
        <v>3174.0258210204115</v>
      </c>
      <c r="Q116" s="33">
        <f>+Q40/Q$96</f>
        <v>4491.6779640959739</v>
      </c>
      <c r="R116" s="33">
        <f>+R40/R$96</f>
        <v>39.784202686195243</v>
      </c>
      <c r="S116" s="33">
        <f>+S40/S$96</f>
        <v>52.060645015855798</v>
      </c>
      <c r="T116" s="33">
        <f>+T40/T$96</f>
        <v>553.73432782854138</v>
      </c>
      <c r="U116" s="33">
        <f>+U40/U$96</f>
        <v>577.45935253534037</v>
      </c>
      <c r="V116" s="33"/>
      <c r="W116" s="33"/>
      <c r="X116" s="1"/>
      <c r="Y116" s="33">
        <f t="shared" ref="Y116:AI116" si="289">+Y40/Y$96</f>
        <v>304.17917714842167</v>
      </c>
      <c r="Z116" s="33">
        <f t="shared" si="289"/>
        <v>396.14715831259957</v>
      </c>
      <c r="AA116" s="33">
        <f t="shared" si="289"/>
        <v>367.19442072302877</v>
      </c>
      <c r="AB116" s="33">
        <f t="shared" si="289"/>
        <v>283.31176687181107</v>
      </c>
      <c r="AC116" s="33">
        <f t="shared" si="289"/>
        <v>298.92733654652136</v>
      </c>
      <c r="AD116" s="33">
        <f t="shared" si="289"/>
        <v>324.28760859625061</v>
      </c>
      <c r="AE116" s="33">
        <f t="shared" si="289"/>
        <v>223.91033117732303</v>
      </c>
      <c r="AF116" s="33">
        <f t="shared" si="289"/>
        <v>311.00261837224525</v>
      </c>
      <c r="AG116" s="33">
        <f t="shared" si="289"/>
        <v>145.23360480068581</v>
      </c>
      <c r="AH116" s="33">
        <f t="shared" si="289"/>
        <v>242.728263460818</v>
      </c>
      <c r="AI116" s="33">
        <f t="shared" si="289"/>
        <v>189.59329679818146</v>
      </c>
      <c r="AJ116" s="33">
        <f t="shared" ref="AJ116:AP116" si="290">+AJ40/AJ$96</f>
        <v>191.47544658252295</v>
      </c>
      <c r="AK116" s="33">
        <f t="shared" si="290"/>
        <v>567.97433337152768</v>
      </c>
      <c r="AL116" s="33">
        <f t="shared" si="290"/>
        <v>140.11280496691637</v>
      </c>
      <c r="AM116" s="33">
        <f t="shared" si="290"/>
        <v>339.80764695477865</v>
      </c>
      <c r="AN116" s="33">
        <f t="shared" si="290"/>
        <v>322.51052357152855</v>
      </c>
      <c r="AO116" s="33">
        <f t="shared" si="290"/>
        <v>285.34561216360373</v>
      </c>
      <c r="AP116" s="33">
        <f t="shared" si="290"/>
        <v>380.86850378697659</v>
      </c>
      <c r="AQ116" s="33">
        <f t="shared" ref="AQ116:AV116" si="291">+AQ40/AQ$96</f>
        <v>493.39273965071243</v>
      </c>
      <c r="AR116" s="33">
        <f t="shared" si="291"/>
        <v>590.2043506584746</v>
      </c>
      <c r="AS116" s="33">
        <f t="shared" si="291"/>
        <v>480.19742630490919</v>
      </c>
      <c r="AT116" s="33">
        <f t="shared" si="291"/>
        <v>982.54177200000004</v>
      </c>
      <c r="AU116" s="33">
        <f t="shared" si="291"/>
        <v>1258.6964255246944</v>
      </c>
      <c r="AV116" s="33">
        <f t="shared" si="291"/>
        <v>1622.2375384447744</v>
      </c>
      <c r="AW116" s="33">
        <f t="shared" ref="AW116:BB116" si="292">+AW40/AW$96</f>
        <v>567.34314895874786</v>
      </c>
      <c r="AX116" s="33">
        <f t="shared" si="292"/>
        <v>467.20259999999996</v>
      </c>
      <c r="AY116" s="33">
        <f t="shared" si="292"/>
        <v>588.97394623178161</v>
      </c>
      <c r="AZ116" s="33">
        <f t="shared" si="292"/>
        <v>2602.9254145388059</v>
      </c>
      <c r="BA116" s="33">
        <f t="shared" si="292"/>
        <v>50.504108587563458</v>
      </c>
      <c r="BB116" s="33">
        <f t="shared" si="292"/>
        <v>5.0697711802056356</v>
      </c>
      <c r="BC116" s="33">
        <f t="shared" ref="BC116:BH116" si="293">+BC40/BC$96</f>
        <v>-114.41560489637882</v>
      </c>
      <c r="BD116" s="33">
        <f t="shared" si="293"/>
        <v>99.862581030426441</v>
      </c>
      <c r="BE116" s="33">
        <f t="shared" si="293"/>
        <v>-38.438030560271649</v>
      </c>
      <c r="BF116" s="33">
        <f t="shared" si="293"/>
        <v>197.95415798446678</v>
      </c>
      <c r="BG116" s="33">
        <f t="shared" si="293"/>
        <v>187.56573995297373</v>
      </c>
      <c r="BH116" s="33">
        <f t="shared" si="293"/>
        <v>190.06090087873295</v>
      </c>
      <c r="BI116" s="33">
        <f>+BI40/BI$96</f>
        <v>11.944998089257968</v>
      </c>
      <c r="BJ116" s="33"/>
      <c r="BK116" s="33"/>
      <c r="BL116" s="37"/>
      <c r="BM116" s="37"/>
      <c r="BN116" s="33">
        <f>+BN40/BN$96</f>
        <v>102.08991521725346</v>
      </c>
      <c r="BO116" s="33">
        <f>+BO40/BO$96</f>
        <v>304.71179587370091</v>
      </c>
      <c r="BP116" s="33">
        <f>+BP40/BP$96</f>
        <v>-137.13092460828892</v>
      </c>
      <c r="BQ116" s="33">
        <f>+BQ40/BQ$96</f>
        <v>-197.15418053985883</v>
      </c>
      <c r="BR116" s="33">
        <f>+BR40/BR$96</f>
        <v>-50.308998302207129</v>
      </c>
      <c r="BS116" s="33">
        <f t="shared" ref="BS116:BX116" si="294">+BS40/BS$96</f>
        <v>516.87845949949326</v>
      </c>
      <c r="BT116" s="33">
        <f t="shared" si="294"/>
        <v>777.69294836202107</v>
      </c>
      <c r="BU116" s="33">
        <f t="shared" si="294"/>
        <v>490.83747216989207</v>
      </c>
      <c r="BV116" s="33">
        <f t="shared" si="294"/>
        <v>647.84997443109182</v>
      </c>
      <c r="BW116" s="33">
        <f t="shared" si="294"/>
        <v>683.37091127800988</v>
      </c>
      <c r="BX116" s="33">
        <f t="shared" si="294"/>
        <v>641.56635127613902</v>
      </c>
      <c r="BY116" s="33">
        <f t="shared" ref="BY116:CD116" si="295">+BY40/BY$96</f>
        <v>671.54870277651332</v>
      </c>
      <c r="BZ116" s="33">
        <f t="shared" si="295"/>
        <v>898.07938051569147</v>
      </c>
      <c r="CA116" s="33">
        <f t="shared" si="295"/>
        <v>1500.3594114</v>
      </c>
      <c r="CB116" s="33">
        <f t="shared" si="295"/>
        <v>2697.134435019881</v>
      </c>
      <c r="CC116" s="33">
        <f t="shared" si="295"/>
        <v>1891.0232000000001</v>
      </c>
      <c r="CD116" s="33">
        <f t="shared" si="295"/>
        <v>1355.4994008265935</v>
      </c>
      <c r="CE116" s="33">
        <f>+CE40/CE$96</f>
        <v>51.604416730961383</v>
      </c>
      <c r="CF116" s="33">
        <f>+CF40/CF$96</f>
        <v>-9.7417138468675795</v>
      </c>
      <c r="CG116" s="33">
        <f>+CG40/CG$96</f>
        <v>165.88137951584454</v>
      </c>
      <c r="CI116" s="33">
        <f>+CI40/CI$96</f>
        <v>1829.9490000000001</v>
      </c>
      <c r="CJ116" s="33">
        <f>+CJ40/CJ$96</f>
        <v>2151.8728706342986</v>
      </c>
      <c r="CK116" s="33">
        <f>+CK40/CK$96</f>
        <v>403.4124685377484</v>
      </c>
    </row>
    <row r="117" spans="2:89" s="18" customFormat="1" ht="13.5" customHeight="1">
      <c r="B117" s="207" t="str">
        <f t="shared" si="224"/>
        <v>% margin</v>
      </c>
      <c r="C117" s="207"/>
      <c r="D117" s="208"/>
      <c r="E117" s="208">
        <f t="shared" ref="E117:K117" si="296">+E116/E107</f>
        <v>4.049439424616965E-2</v>
      </c>
      <c r="F117" s="208">
        <f t="shared" si="296"/>
        <v>3.949170819853691E-2</v>
      </c>
      <c r="G117" s="208">
        <f t="shared" si="296"/>
        <v>5.133038810781252E-2</v>
      </c>
      <c r="H117" s="208">
        <f t="shared" si="296"/>
        <v>4.9125128671537552E-2</v>
      </c>
      <c r="I117" s="208">
        <f t="shared" si="296"/>
        <v>4.9650059799174744E-2</v>
      </c>
      <c r="J117" s="208">
        <f t="shared" si="296"/>
        <v>3.8653357078395657E-2</v>
      </c>
      <c r="K117" s="208">
        <f t="shared" si="296"/>
        <v>2.8603916202692786E-2</v>
      </c>
      <c r="L117" s="208">
        <f t="shared" ref="L117:U117" si="297">+L116/L107</f>
        <v>5.0455476334299351E-2</v>
      </c>
      <c r="M117" s="208">
        <f t="shared" si="297"/>
        <v>4.382234238484068E-2</v>
      </c>
      <c r="N117" s="208">
        <f t="shared" si="297"/>
        <v>7.7402515032871058E-2</v>
      </c>
      <c r="O117" s="208">
        <f t="shared" si="297"/>
        <v>4.2345254093669828E-2</v>
      </c>
      <c r="P117" s="208">
        <f t="shared" si="297"/>
        <v>4.5013015323619461E-2</v>
      </c>
      <c r="Q117" s="208">
        <f t="shared" si="297"/>
        <v>4.6692533105315015E-2</v>
      </c>
      <c r="R117" s="208">
        <f t="shared" si="297"/>
        <v>5.6343934420147136E-4</v>
      </c>
      <c r="S117" s="208">
        <f t="shared" si="297"/>
        <v>5.6329114967097402E-4</v>
      </c>
      <c r="T117" s="208">
        <f t="shared" si="297"/>
        <v>7.9791970028596851E-3</v>
      </c>
      <c r="U117" s="208">
        <f t="shared" si="297"/>
        <v>8.0953176477113094E-3</v>
      </c>
      <c r="V117" s="208"/>
      <c r="W117" s="208"/>
      <c r="X117" s="1"/>
      <c r="Y117" s="208">
        <f t="shared" ref="Y117:AJ117" si="298">+Y116/Y107</f>
        <v>5.0485516571233749E-2</v>
      </c>
      <c r="Z117" s="208">
        <f t="shared" si="298"/>
        <v>6.1452813413216699E-2</v>
      </c>
      <c r="AA117" s="208">
        <f t="shared" si="298"/>
        <v>4.9853408361394916E-2</v>
      </c>
      <c r="AB117" s="208">
        <f t="shared" si="298"/>
        <v>3.8946850562022545E-2</v>
      </c>
      <c r="AC117" s="208">
        <f t="shared" si="298"/>
        <v>4.6412393199152899E-2</v>
      </c>
      <c r="AD117" s="208">
        <f t="shared" si="298"/>
        <v>4.2630987813612312E-2</v>
      </c>
      <c r="AE117" s="208">
        <f t="shared" si="298"/>
        <v>2.7813943533272781E-2</v>
      </c>
      <c r="AF117" s="208">
        <f t="shared" si="298"/>
        <v>4.2937267692685264E-2</v>
      </c>
      <c r="AG117" s="208">
        <f t="shared" si="298"/>
        <v>2.2745776027122064E-2</v>
      </c>
      <c r="AH117" s="208">
        <f t="shared" si="298"/>
        <v>3.5206795210874463E-2</v>
      </c>
      <c r="AI117" s="208">
        <f t="shared" si="298"/>
        <v>2.7332312328971885E-2</v>
      </c>
      <c r="AJ117" s="208">
        <f t="shared" si="298"/>
        <v>2.8183374194637723E-2</v>
      </c>
      <c r="AK117" s="208">
        <f t="shared" ref="AK117:AQ117" si="299">+AK116/AK107</f>
        <v>8.7986501378660889E-2</v>
      </c>
      <c r="AL117" s="208">
        <f t="shared" si="299"/>
        <v>2.784078397275306E-2</v>
      </c>
      <c r="AM117" s="208">
        <f t="shared" si="299"/>
        <v>4.4545983473325376E-2</v>
      </c>
      <c r="AN117" s="208">
        <f t="shared" si="299"/>
        <v>4.3680791011832948E-2</v>
      </c>
      <c r="AO117" s="208">
        <f t="shared" si="299"/>
        <v>3.6876084754839625E-2</v>
      </c>
      <c r="AP117" s="208">
        <f t="shared" si="299"/>
        <v>4.2840326754791221E-2</v>
      </c>
      <c r="AQ117" s="208">
        <f t="shared" si="299"/>
        <v>4.4796781360634017E-2</v>
      </c>
      <c r="AR117" s="208">
        <f t="shared" ref="AR117:AW117" si="300">+AR116/AR107</f>
        <v>4.6926528298580759E-2</v>
      </c>
      <c r="AS117" s="208">
        <f t="shared" si="300"/>
        <v>4.4134709086937791E-2</v>
      </c>
      <c r="AT117" s="208">
        <f t="shared" si="300"/>
        <v>6.6084474694522333E-2</v>
      </c>
      <c r="AU117" s="208">
        <f t="shared" si="300"/>
        <v>7.6095378666910102E-2</v>
      </c>
      <c r="AV117" s="208">
        <f t="shared" si="300"/>
        <v>0.10896208335397672</v>
      </c>
      <c r="AW117" s="208">
        <f t="shared" si="300"/>
        <v>2.7653571326973162E-2</v>
      </c>
      <c r="AX117" s="208">
        <f t="shared" ref="AX117:BC117" si="301">+AX116/AX107</f>
        <v>2.0749845869297161E-2</v>
      </c>
      <c r="AY117" s="208">
        <f t="shared" si="301"/>
        <v>2.1431115747425466E-2</v>
      </c>
      <c r="AZ117" s="208">
        <f t="shared" si="301"/>
        <v>8.9092779352314092E-2</v>
      </c>
      <c r="BA117" s="208">
        <f t="shared" si="301"/>
        <v>3.0061165813749539E-3</v>
      </c>
      <c r="BB117" s="208">
        <f t="shared" si="301"/>
        <v>3.1450581356325498E-4</v>
      </c>
      <c r="BC117" s="208">
        <f t="shared" si="301"/>
        <v>-6.5664050448252555E-3</v>
      </c>
      <c r="BD117" s="208">
        <f t="shared" ref="BD117:BI117" si="302">+BD116/BD107</f>
        <v>4.4186597326392515E-3</v>
      </c>
      <c r="BE117" s="208">
        <f t="shared" si="302"/>
        <v>-2.6285480754941301E-3</v>
      </c>
      <c r="BF117" s="208">
        <f t="shared" si="302"/>
        <v>1.2744826585975252E-2</v>
      </c>
      <c r="BG117" s="208">
        <f t="shared" si="302"/>
        <v>1.1105304415991639E-2</v>
      </c>
      <c r="BH117" s="208">
        <f t="shared" si="302"/>
        <v>8.6997581655672389E-3</v>
      </c>
      <c r="BI117" s="208">
        <f t="shared" si="302"/>
        <v>7.0727586333045633E-4</v>
      </c>
      <c r="BJ117" s="33"/>
      <c r="BK117" s="33"/>
      <c r="BL117" s="37"/>
      <c r="BM117" s="37"/>
      <c r="BN117" s="208">
        <f>+BN116/BN107</f>
        <v>4.4000315091770482E-3</v>
      </c>
      <c r="BO117" s="208">
        <f>+BO116/BO107</f>
        <v>1.3997125881831713E-2</v>
      </c>
      <c r="BP117" s="208">
        <f>+BP116/BP107</f>
        <v>-5.9043266284729565E-3</v>
      </c>
      <c r="BQ117" s="208">
        <f>+BQ116/BQ107</f>
        <v>-6.7397009205648357E-3</v>
      </c>
      <c r="BR117" s="208">
        <f>+BR116/BR107</f>
        <v>-2.6289155155697947E-3</v>
      </c>
      <c r="BS117" s="17">
        <f t="shared" ref="BS117:BX117" si="303">+BS116/BS107</f>
        <v>4.1272410358565735E-2</v>
      </c>
      <c r="BT117" s="17">
        <f t="shared" si="303"/>
        <v>5.9979123732034366E-2</v>
      </c>
      <c r="BU117" s="17">
        <f t="shared" si="303"/>
        <v>4.604459867617762E-2</v>
      </c>
      <c r="BV117" s="17">
        <f t="shared" si="303"/>
        <v>5.1563990586372108E-2</v>
      </c>
      <c r="BW117" s="17">
        <f t="shared" si="303"/>
        <v>5.9907774478110951E-2</v>
      </c>
      <c r="BX117" s="17">
        <f t="shared" si="303"/>
        <v>4.4088551091753483E-2</v>
      </c>
      <c r="BY117" s="17">
        <f t="shared" ref="BY117:CD117" si="304">+BY116/BY107</f>
        <v>4.0250285627116189E-2</v>
      </c>
      <c r="BZ117" s="17">
        <f t="shared" si="304"/>
        <v>4.6017514713087265E-2</v>
      </c>
      <c r="CA117" s="17">
        <f t="shared" si="304"/>
        <v>5.7432338044343431E-2</v>
      </c>
      <c r="CB117" s="17">
        <f t="shared" si="304"/>
        <v>9.2337339435849125E-2</v>
      </c>
      <c r="CC117" s="17">
        <f t="shared" si="304"/>
        <v>7.6222409861677082E-2</v>
      </c>
      <c r="CD117" s="17">
        <f t="shared" si="304"/>
        <v>3.1281156194894758E-2</v>
      </c>
      <c r="CE117" s="17">
        <f>+CE116/CE107</f>
        <v>1.6162816608482507E-3</v>
      </c>
      <c r="CF117" s="17">
        <f>+CF116/CF107</f>
        <v>-2.4920079927716478E-4</v>
      </c>
      <c r="CG117" s="17">
        <f>+CG116/CG107</f>
        <v>5.2955080332899333E-3</v>
      </c>
      <c r="CI117" s="17">
        <f>+CI116/CI107</f>
        <v>4.0803823475653096E-2</v>
      </c>
      <c r="CJ117" s="17">
        <f>+CJ116/CJ107</f>
        <v>5.034118419332536E-2</v>
      </c>
      <c r="CK117" s="17">
        <f>+CK116/CK107</f>
        <v>9.3559583550585461E-3</v>
      </c>
    </row>
    <row r="118" spans="2:89" s="18" customFormat="1" ht="13.5" customHeight="1"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210"/>
      <c r="V118" s="17"/>
      <c r="W118" s="17"/>
      <c r="X118" s="1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33"/>
      <c r="BK118" s="33"/>
      <c r="BL118" s="37"/>
      <c r="BM118" s="3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I118" s="17"/>
      <c r="CJ118" s="17"/>
      <c r="CK118" s="17"/>
    </row>
    <row r="119" spans="2:89" s="6" customFormat="1" ht="13.5" customHeight="1">
      <c r="B119" s="6" t="str">
        <f>+B43</f>
        <v>LTM revenues</v>
      </c>
      <c r="D119" s="33">
        <f t="shared" ref="D119:P119" si="305">+D43/D$96</f>
        <v>36470.980283254648</v>
      </c>
      <c r="E119" s="33">
        <f t="shared" si="305"/>
        <v>34726.623989925494</v>
      </c>
      <c r="F119" s="33">
        <f t="shared" si="305"/>
        <v>31362.888482632537</v>
      </c>
      <c r="G119" s="33">
        <f t="shared" si="305"/>
        <v>25498.477231864385</v>
      </c>
      <c r="H119" s="33">
        <f t="shared" si="305"/>
        <v>23283.38611570248</v>
      </c>
      <c r="I119" s="33">
        <f t="shared" si="305"/>
        <v>27108.318664144113</v>
      </c>
      <c r="J119" s="33">
        <f t="shared" si="305"/>
        <v>29572.928425442307</v>
      </c>
      <c r="K119" s="33">
        <f t="shared" si="305"/>
        <v>27035.795711706953</v>
      </c>
      <c r="L119" s="33">
        <f t="shared" si="305"/>
        <v>26616.836144281671</v>
      </c>
      <c r="M119" s="33">
        <f t="shared" si="305"/>
        <v>40895.158006487763</v>
      </c>
      <c r="N119" s="33">
        <f t="shared" si="305"/>
        <v>57618.809766761391</v>
      </c>
      <c r="O119" s="33">
        <f t="shared" si="305"/>
        <v>101721.44919753978</v>
      </c>
      <c r="P119" s="33">
        <f t="shared" si="305"/>
        <v>70513.512551888969</v>
      </c>
      <c r="Q119" s="33">
        <f t="shared" ref="Q119:U120" si="306">+Q43/Q$96</f>
        <v>96196.921978188533</v>
      </c>
      <c r="R119" s="33">
        <f t="shared" si="306"/>
        <v>70609.557347435504</v>
      </c>
      <c r="S119" s="33">
        <f>+S43/S$96</f>
        <v>92422.26696844984</v>
      </c>
      <c r="T119" s="33">
        <f>+T43/T$96</f>
        <v>69397.249827280495</v>
      </c>
      <c r="U119" s="33">
        <f>+U43/U$96</f>
        <v>71332.513147102814</v>
      </c>
      <c r="V119" s="33"/>
      <c r="W119" s="33"/>
      <c r="X119" s="1"/>
      <c r="Y119" s="33"/>
      <c r="Z119" s="33"/>
      <c r="AA119" s="33"/>
      <c r="AB119" s="33">
        <f t="shared" ref="AB119:BC119" si="307">AB107+AA107+Z107+Y107</f>
        <v>27111.241835159621</v>
      </c>
      <c r="AC119" s="33">
        <f t="shared" si="307"/>
        <v>27526.843019351356</v>
      </c>
      <c r="AD119" s="33">
        <f t="shared" si="307"/>
        <v>28687.33161605239</v>
      </c>
      <c r="AE119" s="33">
        <f t="shared" si="307"/>
        <v>29372.139545749149</v>
      </c>
      <c r="AF119" s="33">
        <f t="shared" si="307"/>
        <v>29341.007832243551</v>
      </c>
      <c r="AG119" s="33">
        <f t="shared" si="307"/>
        <v>29285.408838547923</v>
      </c>
      <c r="AH119" s="33">
        <f t="shared" si="307"/>
        <v>28572.915362883785</v>
      </c>
      <c r="AI119" s="33">
        <f t="shared" si="307"/>
        <v>27459.223890163634</v>
      </c>
      <c r="AJ119" s="33">
        <f t="shared" si="307"/>
        <v>27009.952765436356</v>
      </c>
      <c r="AK119" s="33">
        <f t="shared" si="307"/>
        <v>27080.116516875485</v>
      </c>
      <c r="AL119" s="33">
        <f t="shared" si="307"/>
        <v>25218.403956410504</v>
      </c>
      <c r="AM119" s="33">
        <f t="shared" si="307"/>
        <v>25910.04907587776</v>
      </c>
      <c r="AN119" s="33">
        <f t="shared" si="307"/>
        <v>26499.48312633143</v>
      </c>
      <c r="AO119" s="33">
        <f t="shared" si="307"/>
        <v>27782.197610465784</v>
      </c>
      <c r="AP119" s="33">
        <f t="shared" si="307"/>
        <v>31639.971934789726</v>
      </c>
      <c r="AQ119" s="33">
        <f t="shared" si="307"/>
        <v>35025.749674196391</v>
      </c>
      <c r="AR119" s="33">
        <f t="shared" si="307"/>
        <v>40219.601102218468</v>
      </c>
      <c r="AS119" s="33">
        <f t="shared" si="307"/>
        <v>43361.909807085474</v>
      </c>
      <c r="AT119" s="33">
        <f t="shared" si="307"/>
        <v>49339.456410238789</v>
      </c>
      <c r="AU119" s="33">
        <f t="shared" si="307"/>
        <v>54866.470678335478</v>
      </c>
      <c r="AV119" s="33">
        <f t="shared" si="307"/>
        <v>57177.362430334702</v>
      </c>
      <c r="AW119" s="33">
        <f t="shared" si="307"/>
        <v>66813.184928106246</v>
      </c>
      <c r="AX119" s="33">
        <f t="shared" si="307"/>
        <v>74461.173384906244</v>
      </c>
      <c r="AY119" s="33">
        <f t="shared" si="307"/>
        <v>85402.324752598361</v>
      </c>
      <c r="AZ119" s="33">
        <f t="shared" si="307"/>
        <v>99730.129030556389</v>
      </c>
      <c r="BA119" s="33">
        <f t="shared" si="307"/>
        <v>96014.488454678925</v>
      </c>
      <c r="BB119" s="33">
        <f t="shared" si="307"/>
        <v>89618.3344207263</v>
      </c>
      <c r="BC119" s="33">
        <f t="shared" si="307"/>
        <v>79560.537071160987</v>
      </c>
      <c r="BD119" s="33">
        <f>BD107+BC107+BB107+BN107</f>
        <v>79346.475985661877</v>
      </c>
      <c r="BE119" s="33">
        <f>BE107+BD107+BC107+BB107</f>
        <v>70767.682399606289</v>
      </c>
      <c r="BF119" s="33">
        <f>BF107+BE107+BD107+BC107</f>
        <v>70179.99982686335</v>
      </c>
      <c r="BG119" s="33">
        <f>BG107+BF107+BE107+BD107</f>
        <v>69645.352665361366</v>
      </c>
      <c r="BH119" s="33">
        <f>BH107+BG107+BF107+BT107</f>
        <v>67234.610168554384</v>
      </c>
      <c r="BI119" s="33">
        <f>BI107+BH107+BG107+BF107</f>
        <v>71157.289540856262</v>
      </c>
      <c r="BJ119" s="33"/>
      <c r="BK119" s="33"/>
      <c r="BL119" s="37"/>
      <c r="BM119" s="37"/>
      <c r="BN119" s="33">
        <f>BN107+AZ107+AY107+AX107</f>
        <v>102416.12666771376</v>
      </c>
      <c r="BO119" s="33">
        <f>BO107+BN107+AZ107+AY107</f>
        <v>101669.76891551676</v>
      </c>
      <c r="BP119" s="33">
        <f>BP107+BO107+BN107+AZ107</f>
        <v>97413.078898944514</v>
      </c>
      <c r="BQ119" s="33">
        <f>BQ107+BP107+BO107+BN107</f>
        <v>97449.842615037662</v>
      </c>
      <c r="BR119" s="33">
        <f>BR107+BD107+BC107+BB107</f>
        <v>75281.176457331254</v>
      </c>
      <c r="BS119" s="78"/>
      <c r="BT119" s="33">
        <f>BT107+BS107</f>
        <v>25489.643588900373</v>
      </c>
      <c r="BU119" s="33">
        <f>BU107+BT107</f>
        <v>23626.105050104889</v>
      </c>
      <c r="BV119" s="33">
        <f>BV107+BU107</f>
        <v>23224.044464250361</v>
      </c>
      <c r="BW119" s="33">
        <f>BW107+BV107</f>
        <v>23971.048807968295</v>
      </c>
      <c r="BX119" s="33">
        <f t="shared" ref="BX119:CC119" si="308">BX107+BW107</f>
        <v>25958.816516532905</v>
      </c>
      <c r="BY119" s="33">
        <f t="shared" si="308"/>
        <v>31236.089067795125</v>
      </c>
      <c r="BZ119" s="33">
        <f t="shared" si="308"/>
        <v>36200.355396632018</v>
      </c>
      <c r="CA119" s="33">
        <f t="shared" si="308"/>
        <v>45639.981952779228</v>
      </c>
      <c r="CB119" s="33">
        <f t="shared" si="308"/>
        <v>55333.522908559258</v>
      </c>
      <c r="CC119" s="33">
        <f t="shared" si="308"/>
        <v>54018.856129259264</v>
      </c>
      <c r="CD119" s="33">
        <f>CD107+CI107</f>
        <v>88180.266523073922</v>
      </c>
      <c r="CE119" s="33">
        <f>CE107+CJ107</f>
        <v>74673.635091656557</v>
      </c>
      <c r="CF119" s="33">
        <f>CF107+CE107</f>
        <v>71019.685570020272</v>
      </c>
      <c r="CG119" s="33">
        <f>CG107+CM107</f>
        <v>31324.922646333449</v>
      </c>
      <c r="CI119" s="33">
        <f>CI107+CB107</f>
        <v>74057.063329259254</v>
      </c>
      <c r="CJ119" s="33">
        <f>CJ107+CI107</f>
        <v>87593.262165878376</v>
      </c>
      <c r="CK119" s="33">
        <f>CK107+CJ107</f>
        <v>85864.014915341468</v>
      </c>
    </row>
    <row r="120" spans="2:89" s="6" customFormat="1" ht="13.5" customHeight="1">
      <c r="B120" s="6" t="str">
        <f>+B44</f>
        <v xml:space="preserve">LTM EBITDA </v>
      </c>
      <c r="D120" s="33">
        <f t="shared" ref="D120:P120" si="309">+D44/D$96</f>
        <v>2449.3196334351569</v>
      </c>
      <c r="E120" s="33">
        <f t="shared" si="309"/>
        <v>2603.6310210935039</v>
      </c>
      <c r="F120" s="33">
        <f t="shared" si="309"/>
        <v>1983.0895795246799</v>
      </c>
      <c r="G120" s="33">
        <f t="shared" si="309"/>
        <v>3022.052618060397</v>
      </c>
      <c r="H120" s="33">
        <f t="shared" si="309"/>
        <v>2048.9887603305783</v>
      </c>
      <c r="I120" s="33">
        <f t="shared" si="309"/>
        <v>2480.2160620767186</v>
      </c>
      <c r="J120" s="33">
        <f t="shared" si="309"/>
        <v>2795.2212060529741</v>
      </c>
      <c r="K120" s="33">
        <f t="shared" si="309"/>
        <v>1883.7407652005456</v>
      </c>
      <c r="L120" s="33">
        <f t="shared" si="309"/>
        <v>3677.7336683780991</v>
      </c>
      <c r="M120" s="33">
        <f t="shared" si="309"/>
        <v>6156.1669124152177</v>
      </c>
      <c r="N120" s="33">
        <f t="shared" si="309"/>
        <v>10620.089316931006</v>
      </c>
      <c r="O120" s="33">
        <f t="shared" si="309"/>
        <v>17375.689677005448</v>
      </c>
      <c r="P120" s="33">
        <f t="shared" si="309"/>
        <v>10951.421750481017</v>
      </c>
      <c r="Q120" s="33">
        <f t="shared" si="306"/>
        <v>14940.301823021013</v>
      </c>
      <c r="R120" s="33">
        <f t="shared" si="306"/>
        <v>4155.0730950952111</v>
      </c>
      <c r="S120" s="33">
        <f>+S44/S$96</f>
        <v>5438.6771904920015</v>
      </c>
      <c r="T120" s="33">
        <f>+T44/T$96</f>
        <v>5344.8538396584117</v>
      </c>
      <c r="U120" s="33">
        <f t="shared" si="306"/>
        <v>5659.8156993293769</v>
      </c>
      <c r="V120" s="33"/>
      <c r="W120" s="33"/>
      <c r="Y120" s="33"/>
      <c r="Z120" s="33"/>
      <c r="AA120" s="33"/>
      <c r="AB120" s="33">
        <f t="shared" ref="AB120:BC120" si="310">AB113+AA113+Z113+Y113</f>
        <v>2486.8036195101618</v>
      </c>
      <c r="AC120" s="33">
        <f t="shared" si="310"/>
        <v>2313.666848374326</v>
      </c>
      <c r="AD120" s="33">
        <f t="shared" si="310"/>
        <v>2405.2807371759736</v>
      </c>
      <c r="AE120" s="33">
        <f t="shared" si="310"/>
        <v>2647.9423065779943</v>
      </c>
      <c r="AF120" s="33">
        <f t="shared" si="310"/>
        <v>2720.5153677969706</v>
      </c>
      <c r="AG120" s="33">
        <f t="shared" si="310"/>
        <v>2637.0581466613048</v>
      </c>
      <c r="AH120" s="33">
        <f t="shared" si="310"/>
        <v>2468.5111419181126</v>
      </c>
      <c r="AI120" s="33">
        <f t="shared" si="310"/>
        <v>2037.4760456350673</v>
      </c>
      <c r="AJ120" s="33">
        <f t="shared" si="310"/>
        <v>1876.2481411230951</v>
      </c>
      <c r="AK120" s="33">
        <f t="shared" si="310"/>
        <v>2043.9938575878198</v>
      </c>
      <c r="AL120" s="33">
        <f t="shared" si="310"/>
        <v>2374.2778738340612</v>
      </c>
      <c r="AM120" s="33">
        <f t="shared" si="310"/>
        <v>3190.1014144293395</v>
      </c>
      <c r="AN120" s="33">
        <f t="shared" si="310"/>
        <v>3643.9051209449021</v>
      </c>
      <c r="AO120" s="33">
        <f t="shared" si="310"/>
        <v>4239.2427899381273</v>
      </c>
      <c r="AP120" s="33">
        <f t="shared" si="310"/>
        <v>4464.2313246799331</v>
      </c>
      <c r="AQ120" s="33">
        <f t="shared" si="310"/>
        <v>4528.1372163053602</v>
      </c>
      <c r="AR120" s="33">
        <f t="shared" si="310"/>
        <v>5974.1193639195071</v>
      </c>
      <c r="AS120" s="33">
        <f t="shared" si="310"/>
        <v>6438.5511339569039</v>
      </c>
      <c r="AT120" s="33">
        <f t="shared" si="310"/>
        <v>7901.3231820374258</v>
      </c>
      <c r="AU120" s="33">
        <f t="shared" si="310"/>
        <v>9636.4912411726727</v>
      </c>
      <c r="AV120" s="33">
        <f t="shared" si="310"/>
        <v>10456.031461644454</v>
      </c>
      <c r="AW120" s="33">
        <f t="shared" si="310"/>
        <v>12173.643303515155</v>
      </c>
      <c r="AX120" s="33">
        <f t="shared" si="310"/>
        <v>13664.220382715153</v>
      </c>
      <c r="AY120" s="33">
        <f t="shared" si="310"/>
        <v>15453.373742566295</v>
      </c>
      <c r="AZ120" s="33">
        <f t="shared" si="310"/>
        <v>15815.179108380467</v>
      </c>
      <c r="BA120" s="33">
        <f t="shared" si="310"/>
        <v>14047.257848762572</v>
      </c>
      <c r="BB120" s="33">
        <f t="shared" si="310"/>
        <v>11065.419991921779</v>
      </c>
      <c r="BC120" s="33">
        <f t="shared" si="310"/>
        <v>7141.3632007524729</v>
      </c>
      <c r="BD120" s="33">
        <f>BD113+BC113+BB113+BN113</f>
        <v>4784.1029249436897</v>
      </c>
      <c r="BE120" s="33">
        <f>BE113+BD113+BC113+BB113</f>
        <v>3937.3158666675859</v>
      </c>
      <c r="BF120" s="33">
        <f>BF113+BE113+BD113+BC113</f>
        <v>4107.9017653723658</v>
      </c>
      <c r="BG120" s="33">
        <f>BG113+BF113+BE113+BD113</f>
        <v>4498.6342419299463</v>
      </c>
      <c r="BH120" s="33">
        <f>BH113+BG113+BF113+BT113</f>
        <v>5697.6262094882932</v>
      </c>
      <c r="BI120" s="33">
        <f>BI113+BH113+BG113+BF113</f>
        <v>5646.3435016301755</v>
      </c>
      <c r="BJ120" s="33"/>
      <c r="BK120" s="33"/>
      <c r="BL120" s="37"/>
      <c r="BM120" s="37"/>
      <c r="BN120" s="33">
        <f>BN113+AZ113+AY113+AX113</f>
        <v>14404.553902056716</v>
      </c>
      <c r="BO120" s="33">
        <f>BO113+BN113+AZ113+AY113</f>
        <v>13285.578734791361</v>
      </c>
      <c r="BP120" s="33">
        <f>BP113+BO113+BN113+AZ113</f>
        <v>9470.3130986308061</v>
      </c>
      <c r="BQ120" s="33">
        <f>BQ113+BP113+BO113+BN113</f>
        <v>5852.5893797105209</v>
      </c>
      <c r="BR120" s="33">
        <f>BR113+BD113+BC113+BB113</f>
        <v>4264.2971909460248</v>
      </c>
      <c r="BS120" s="78"/>
      <c r="BT120" s="33">
        <f>BT113+BS113</f>
        <v>2398.0562631477269</v>
      </c>
      <c r="BU120" s="33">
        <f>BU113+BT113</f>
        <v>2224.216188718965</v>
      </c>
      <c r="BV120" s="33">
        <f>BV113+BU113</f>
        <v>2032.6016337279952</v>
      </c>
      <c r="BW120" s="33">
        <f>BW113+BV113</f>
        <v>2699.0350307084586</v>
      </c>
      <c r="BX120" s="33">
        <f t="shared" ref="BX120:CC120" si="311">BX113+BW113</f>
        <v>3567.3217147018204</v>
      </c>
      <c r="BY120" s="33">
        <f t="shared" si="311"/>
        <v>4363.6173591552988</v>
      </c>
      <c r="BZ120" s="33">
        <f t="shared" si="311"/>
        <v>5371.3703710023128</v>
      </c>
      <c r="CA120" s="33">
        <f t="shared" si="311"/>
        <v>7382.5075665852755</v>
      </c>
      <c r="CB120" s="33">
        <f t="shared" si="311"/>
        <v>10105.501359741715</v>
      </c>
      <c r="CC120" s="33">
        <f t="shared" si="311"/>
        <v>10092.766949441713</v>
      </c>
      <c r="CD120" s="33">
        <f>CD113+CI113</f>
        <v>14099.707424443812</v>
      </c>
      <c r="CE120" s="33">
        <f>CE113+CJ113</f>
        <v>8750.683651403102</v>
      </c>
      <c r="CF120" s="33">
        <f>CF113+CE113</f>
        <v>4214.6010231424943</v>
      </c>
      <c r="CG120" s="33">
        <f>CG113+CM113</f>
        <v>1835.6829869822359</v>
      </c>
      <c r="CI120" s="33">
        <f>CI113+CB113</f>
        <v>13521.574749441716</v>
      </c>
      <c r="CJ120" s="33">
        <f>CJ113+CI113</f>
        <v>13888.997356256194</v>
      </c>
      <c r="CK120" s="33">
        <f>CK113+CJ113</f>
        <v>10736.125640702776</v>
      </c>
    </row>
    <row r="121" spans="2:89" ht="13.5" customHeight="1"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3"/>
      <c r="BK121" s="33"/>
      <c r="BL121" s="37"/>
      <c r="BM121" s="37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I121" s="31"/>
      <c r="CJ121" s="31"/>
      <c r="CK121" s="31"/>
    </row>
    <row r="122" spans="2:89" s="6" customFormat="1" ht="13.5" customHeight="1">
      <c r="B122" s="1" t="str">
        <f>+B46</f>
        <v xml:space="preserve">Cash flow from operations </v>
      </c>
      <c r="D122" s="31">
        <f t="shared" ref="D122:P122" si="312">+D46/D$96</f>
        <v>1848.1238544848654</v>
      </c>
      <c r="E122" s="31">
        <f t="shared" si="312"/>
        <v>1851.8548640990659</v>
      </c>
      <c r="F122" s="31">
        <f t="shared" si="312"/>
        <v>1875.5333638025595</v>
      </c>
      <c r="G122" s="31">
        <f t="shared" si="312"/>
        <v>841.0072285619932</v>
      </c>
      <c r="H122" s="31">
        <f t="shared" si="312"/>
        <v>2749.8561983471077</v>
      </c>
      <c r="I122" s="31">
        <f t="shared" si="312"/>
        <v>1388.9503989471086</v>
      </c>
      <c r="J122" s="31">
        <f t="shared" si="312"/>
        <v>1410.0319990090632</v>
      </c>
      <c r="K122" s="31">
        <f t="shared" si="312"/>
        <v>3349.2688768546645</v>
      </c>
      <c r="L122" s="31">
        <f t="shared" si="312"/>
        <v>2927.028553634922</v>
      </c>
      <c r="M122" s="31">
        <f t="shared" si="312"/>
        <v>5976.3075199056329</v>
      </c>
      <c r="N122" s="31">
        <f t="shared" si="312"/>
        <v>7377.8465245109137</v>
      </c>
      <c r="O122" s="31">
        <f t="shared" si="312"/>
        <v>9102.0654976321166</v>
      </c>
      <c r="P122" s="31">
        <f t="shared" si="312"/>
        <v>14897.487716171339</v>
      </c>
      <c r="Q122" s="31">
        <f t="shared" ref="Q122:R125" si="313">+Q46/Q$96</f>
        <v>20323.538998449156</v>
      </c>
      <c r="R122" s="31">
        <f t="shared" si="313"/>
        <v>3543.0482741393544</v>
      </c>
      <c r="S122" s="31">
        <f t="shared" ref="S122:U125" si="314">+S46/S$96</f>
        <v>4637.6926380947443</v>
      </c>
      <c r="T122" s="31">
        <f t="shared" si="314"/>
        <v>-2566.0895926588232</v>
      </c>
      <c r="U122" s="31">
        <f>+U46/U$96</f>
        <v>-294.71221112558499</v>
      </c>
      <c r="V122" s="33"/>
      <c r="W122" s="33"/>
      <c r="Y122" s="31">
        <f t="shared" ref="Y122:AI122" si="315">+Y46/Y$96</f>
        <v>141.84803484000111</v>
      </c>
      <c r="Z122" s="31">
        <f t="shared" si="315"/>
        <v>499.64971625059405</v>
      </c>
      <c r="AA122" s="31">
        <f t="shared" si="315"/>
        <v>629.29832052376889</v>
      </c>
      <c r="AB122" s="31">
        <f t="shared" si="315"/>
        <v>142.87018042186094</v>
      </c>
      <c r="AC122" s="31">
        <f t="shared" si="315"/>
        <v>-123.12421416596814</v>
      </c>
      <c r="AD122" s="31">
        <f t="shared" si="315"/>
        <v>831.37151348879752</v>
      </c>
      <c r="AE122" s="31">
        <f t="shared" si="315"/>
        <v>353.94532216449306</v>
      </c>
      <c r="AF122" s="31">
        <f t="shared" si="315"/>
        <v>301.99269037748201</v>
      </c>
      <c r="AG122" s="31">
        <f t="shared" si="315"/>
        <v>1094.5520788684098</v>
      </c>
      <c r="AH122" s="31">
        <f t="shared" si="315"/>
        <v>875.28556346422386</v>
      </c>
      <c r="AI122" s="31">
        <f t="shared" si="315"/>
        <v>608.45213131508899</v>
      </c>
      <c r="AJ122" s="31">
        <f t="shared" ref="AJ122:AZ122" si="316">+AJ46/AJ$96</f>
        <v>784.81653907166037</v>
      </c>
      <c r="AK122" s="31">
        <f t="shared" si="316"/>
        <v>940.11474685305529</v>
      </c>
      <c r="AL122" s="31">
        <f t="shared" si="316"/>
        <v>748.00434313696906</v>
      </c>
      <c r="AM122" s="31">
        <f t="shared" si="316"/>
        <v>-790.23170803608275</v>
      </c>
      <c r="AN122" s="31">
        <f t="shared" si="316"/>
        <v>1868.8656162171096</v>
      </c>
      <c r="AO122" s="31">
        <f t="shared" si="316"/>
        <v>1197.2912756390349</v>
      </c>
      <c r="AP122" s="31">
        <f t="shared" si="316"/>
        <v>1059.8736483589769</v>
      </c>
      <c r="AQ122" s="31">
        <f t="shared" si="316"/>
        <v>1731.3274187394281</v>
      </c>
      <c r="AR122" s="31">
        <f t="shared" si="316"/>
        <v>1889.5225005428742</v>
      </c>
      <c r="AS122" s="31">
        <f t="shared" si="316"/>
        <v>1672.1810599503572</v>
      </c>
      <c r="AT122" s="31">
        <f t="shared" si="316"/>
        <v>2200.5940260000002</v>
      </c>
      <c r="AU122" s="31">
        <f t="shared" si="316"/>
        <v>856.09692168047866</v>
      </c>
      <c r="AV122" s="31">
        <f t="shared" si="316"/>
        <v>2568.7022613398308</v>
      </c>
      <c r="AW122" s="31">
        <f t="shared" si="316"/>
        <v>8208.1443162223113</v>
      </c>
      <c r="AX122" s="31">
        <f t="shared" si="316"/>
        <v>-1094.4292</v>
      </c>
      <c r="AY122" s="31">
        <f t="shared" si="316"/>
        <v>12787.86245475006</v>
      </c>
      <c r="AZ122" s="31">
        <f t="shared" si="316"/>
        <v>2271.6096084736146</v>
      </c>
      <c r="BA122" s="31">
        <f t="shared" ref="BA122:BD125" si="317">+BA46/BA$96</f>
        <v>-2191.2591338209677</v>
      </c>
      <c r="BB122" s="31">
        <f t="shared" si="317"/>
        <v>4593.3981686997276</v>
      </c>
      <c r="BC122" s="31">
        <f t="shared" si="317"/>
        <v>-122.43277655940591</v>
      </c>
      <c r="BD122" s="31">
        <f t="shared" si="317"/>
        <v>875.02068479254058</v>
      </c>
      <c r="BE122" s="31">
        <f t="shared" ref="BE122:BH125" si="318">+BE46/BE$96</f>
        <v>-364.03395585738542</v>
      </c>
      <c r="BF122" s="31">
        <f t="shared" si="318"/>
        <v>-964.27456059962219</v>
      </c>
      <c r="BG122" s="31">
        <f t="shared" si="318"/>
        <v>106.87569417712581</v>
      </c>
      <c r="BH122" s="31">
        <f t="shared" si="318"/>
        <v>-1307.09753131403</v>
      </c>
      <c r="BI122" s="31">
        <f>+BI46/BI$96</f>
        <v>1746.8529964325189</v>
      </c>
      <c r="BJ122" s="33"/>
      <c r="BK122" s="33"/>
      <c r="BL122" s="37"/>
      <c r="BM122" s="37"/>
      <c r="BN122" s="31">
        <f t="shared" ref="BN122:BO125" si="319">+BN46/BN$96</f>
        <v>-3026.2554224776854</v>
      </c>
      <c r="BO122" s="31">
        <f t="shared" si="319"/>
        <v>4368.3497894808434</v>
      </c>
      <c r="BP122" s="31">
        <f t="shared" ref="BP122:BR125" si="320">+BP46/BP$96</f>
        <v>1677.8883764217467</v>
      </c>
      <c r="BQ122" s="31">
        <f t="shared" si="320"/>
        <v>1159.6820919301431</v>
      </c>
      <c r="BR122" s="31">
        <f t="shared" si="320"/>
        <v>-476.33276740237693</v>
      </c>
      <c r="BS122" s="31">
        <f t="shared" ref="BS122:CD122" si="321">+BS46/BS$96</f>
        <v>-188.44234817182507</v>
      </c>
      <c r="BT122" s="31">
        <f t="shared" si="321"/>
        <v>963.15484453081604</v>
      </c>
      <c r="BU122" s="31">
        <f t="shared" si="321"/>
        <v>1185.6985785237198</v>
      </c>
      <c r="BV122" s="31">
        <f t="shared" si="321"/>
        <v>1552.2462285860395</v>
      </c>
      <c r="BW122" s="31">
        <f t="shared" si="321"/>
        <v>1677.2222136545192</v>
      </c>
      <c r="BX122" s="31">
        <f t="shared" si="321"/>
        <v>1236.9408443985051</v>
      </c>
      <c r="BY122" s="31">
        <f t="shared" si="321"/>
        <v>2246.3398320942702</v>
      </c>
      <c r="BZ122" s="31">
        <f t="shared" si="321"/>
        <v>2989.938469648358</v>
      </c>
      <c r="CA122" s="31">
        <f t="shared" si="321"/>
        <v>3925.0739742999999</v>
      </c>
      <c r="CB122" s="31">
        <f t="shared" si="321"/>
        <v>3255.163340368847</v>
      </c>
      <c r="CC122" s="31">
        <f t="shared" si="321"/>
        <v>6679.0482000000002</v>
      </c>
      <c r="CD122" s="31">
        <f t="shared" si="321"/>
        <v>8050.207426120849</v>
      </c>
      <c r="CE122" s="31">
        <f t="shared" ref="CE122:CF125" si="322">+CE46/CE$96</f>
        <v>2840.8674095341689</v>
      </c>
      <c r="CF122" s="31">
        <f t="shared" si="322"/>
        <v>790.8418925072101</v>
      </c>
      <c r="CG122" s="31">
        <f>+CG46/CG$96</f>
        <v>-1358.7108343021941</v>
      </c>
      <c r="CI122" s="76"/>
      <c r="CJ122" s="76"/>
      <c r="CK122" s="76"/>
    </row>
    <row r="123" spans="2:89" ht="13.5" customHeight="1">
      <c r="B123" s="1" t="str">
        <f>+B47</f>
        <v xml:space="preserve">Cash flow from investments </v>
      </c>
      <c r="D123" s="31">
        <f t="shared" ref="D123:P123" si="323">+D47/D$96</f>
        <v>-1580.5520688697584</v>
      </c>
      <c r="E123" s="31">
        <f t="shared" si="323"/>
        <v>-1868.2915311155421</v>
      </c>
      <c r="F123" s="31">
        <f t="shared" si="323"/>
        <v>-1626.8121572212065</v>
      </c>
      <c r="G123" s="31">
        <f t="shared" si="323"/>
        <v>-931.72568157634032</v>
      </c>
      <c r="H123" s="31">
        <f t="shared" si="323"/>
        <v>-1051.6069421487603</v>
      </c>
      <c r="I123" s="31">
        <f t="shared" si="323"/>
        <v>-940.98626305832033</v>
      </c>
      <c r="J123" s="31">
        <f t="shared" si="323"/>
        <v>-1346.9349078222094</v>
      </c>
      <c r="K123" s="31">
        <f t="shared" si="323"/>
        <v>-1048.7972526746796</v>
      </c>
      <c r="L123" s="31">
        <f t="shared" si="323"/>
        <v>1859.1690986378549</v>
      </c>
      <c r="M123" s="31">
        <f t="shared" si="323"/>
        <v>-6322.6669419050431</v>
      </c>
      <c r="N123" s="31">
        <f t="shared" si="323"/>
        <v>-5521.357774961315</v>
      </c>
      <c r="O123" s="31">
        <f t="shared" si="323"/>
        <v>-5076.6409740998888</v>
      </c>
      <c r="P123" s="31">
        <f t="shared" si="323"/>
        <v>-7270.9931389104295</v>
      </c>
      <c r="Q123" s="31">
        <f t="shared" si="313"/>
        <v>-9919.2605771965627</v>
      </c>
      <c r="R123" s="31">
        <f t="shared" si="313"/>
        <v>-3697.3110631155355</v>
      </c>
      <c r="S123" s="31">
        <f t="shared" si="314"/>
        <v>-4839.477139314773</v>
      </c>
      <c r="T123" s="31">
        <f t="shared" si="314"/>
        <v>-4799.2238004331512</v>
      </c>
      <c r="U123" s="31">
        <f>+U47/U$96</f>
        <v>-6030.2503980315532</v>
      </c>
      <c r="V123" s="31"/>
      <c r="W123" s="31"/>
      <c r="Y123" s="31">
        <f t="shared" ref="Y123:AI123" si="324">+Y47/Y$96</f>
        <v>-113.43152370905354</v>
      </c>
      <c r="Z123" s="31">
        <f t="shared" si="324"/>
        <v>-274.80193452796954</v>
      </c>
      <c r="AA123" s="31">
        <f t="shared" si="324"/>
        <v>-243.86791915741534</v>
      </c>
      <c r="AB123" s="31">
        <f t="shared" si="324"/>
        <v>-308.45931302929887</v>
      </c>
      <c r="AC123" s="31">
        <f t="shared" si="324"/>
        <v>-388.39061190276612</v>
      </c>
      <c r="AD123" s="31">
        <f t="shared" si="324"/>
        <v>-721.49451303155013</v>
      </c>
      <c r="AE123" s="31">
        <f t="shared" si="324"/>
        <v>-173.15113278902908</v>
      </c>
      <c r="AF123" s="31">
        <f t="shared" si="324"/>
        <v>-164.75525492763109</v>
      </c>
      <c r="AG123" s="31">
        <f t="shared" si="324"/>
        <v>-346.04893866825699</v>
      </c>
      <c r="AH123" s="31">
        <f t="shared" si="324"/>
        <v>-325.43626332459218</v>
      </c>
      <c r="AI123" s="31">
        <f t="shared" si="324"/>
        <v>-119.77056864438143</v>
      </c>
      <c r="AJ123" s="31">
        <f t="shared" ref="AJ123:AZ123" si="325">+AJ47/AJ$96</f>
        <v>-259.95344506517671</v>
      </c>
      <c r="AK123" s="31">
        <f t="shared" si="325"/>
        <v>5022.7000703867998</v>
      </c>
      <c r="AL123" s="31">
        <f t="shared" si="325"/>
        <v>-1106.6216807065612</v>
      </c>
      <c r="AM123" s="31">
        <f t="shared" si="325"/>
        <v>-844.72038794882405</v>
      </c>
      <c r="AN123" s="31">
        <f t="shared" si="325"/>
        <v>-575.27450307122922</v>
      </c>
      <c r="AO123" s="31">
        <f t="shared" si="325"/>
        <v>-1475.1434705699662</v>
      </c>
      <c r="AP123" s="31">
        <f t="shared" si="325"/>
        <v>-1009.6338065069309</v>
      </c>
      <c r="AQ123" s="31">
        <f t="shared" si="325"/>
        <v>-1254.6087865668817</v>
      </c>
      <c r="AR123" s="31">
        <f t="shared" si="325"/>
        <v>-2427.7808576136522</v>
      </c>
      <c r="AS123" s="31">
        <f t="shared" si="325"/>
        <v>-959.57009706793315</v>
      </c>
      <c r="AT123" s="31">
        <f t="shared" si="325"/>
        <v>-2061.0320304000002</v>
      </c>
      <c r="AU123" s="31">
        <f t="shared" si="325"/>
        <v>-915.33918405388022</v>
      </c>
      <c r="AV123" s="31">
        <f t="shared" si="325"/>
        <v>-1527.2817431789274</v>
      </c>
      <c r="AW123" s="31">
        <f t="shared" si="325"/>
        <v>-2028.597957288765</v>
      </c>
      <c r="AX123" s="31">
        <f t="shared" si="325"/>
        <v>-3030.9605999999999</v>
      </c>
      <c r="AY123" s="31">
        <f t="shared" si="325"/>
        <v>-4103.9819947120395</v>
      </c>
      <c r="AZ123" s="31">
        <f t="shared" si="325"/>
        <v>-1536.5081366594511</v>
      </c>
      <c r="BA123" s="31">
        <f t="shared" si="317"/>
        <v>-2461.4971446901682</v>
      </c>
      <c r="BB123" s="31">
        <f t="shared" si="317"/>
        <v>-1878.628441416321</v>
      </c>
      <c r="BC123" s="31">
        <f t="shared" si="317"/>
        <v>1489.6091395756957</v>
      </c>
      <c r="BD123" s="31">
        <f t="shared" si="317"/>
        <v>-1224.4246030318511</v>
      </c>
      <c r="BE123" s="31">
        <f t="shared" si="318"/>
        <v>489.94227504244481</v>
      </c>
      <c r="BF123" s="31">
        <f t="shared" si="318"/>
        <v>-1663.065793582937</v>
      </c>
      <c r="BG123" s="31">
        <f t="shared" si="318"/>
        <v>-1022.0739131607402</v>
      </c>
      <c r="BH123" s="31">
        <f t="shared" si="318"/>
        <v>-2414.883095865649</v>
      </c>
      <c r="BI123" s="31">
        <f>+BI47/BI$96</f>
        <v>-944.13539495152213</v>
      </c>
      <c r="BJ123" s="33"/>
      <c r="BK123" s="33"/>
      <c r="BL123" s="37"/>
      <c r="BM123" s="37"/>
      <c r="BN123" s="31">
        <f t="shared" si="319"/>
        <v>-3399.441247011343</v>
      </c>
      <c r="BO123" s="31">
        <f t="shared" si="319"/>
        <v>-584.16747556308474</v>
      </c>
      <c r="BP123" s="31">
        <f t="shared" si="320"/>
        <v>164.63168787099809</v>
      </c>
      <c r="BQ123" s="31">
        <f t="shared" si="320"/>
        <v>-1648.9120269533403</v>
      </c>
      <c r="BR123" s="31">
        <f t="shared" si="320"/>
        <v>641.19524617996603</v>
      </c>
      <c r="BS123" s="31">
        <f t="shared" ref="BS123:CD123" si="326">+BS47/BS$96</f>
        <v>-558.8800966710844</v>
      </c>
      <c r="BT123" s="31">
        <f t="shared" si="326"/>
        <v>-383.63443920044415</v>
      </c>
      <c r="BU123" s="31">
        <f t="shared" si="326"/>
        <v>-440.53468059599248</v>
      </c>
      <c r="BV123" s="31">
        <f t="shared" si="326"/>
        <v>-605.65392482740981</v>
      </c>
      <c r="BW123" s="31">
        <f t="shared" si="326"/>
        <v>3561.0941813302902</v>
      </c>
      <c r="BX123" s="31">
        <f t="shared" si="326"/>
        <v>-1358.8928202273994</v>
      </c>
      <c r="BY123" s="31">
        <f t="shared" si="326"/>
        <v>-2453.164289687958</v>
      </c>
      <c r="BZ123" s="31">
        <f t="shared" si="326"/>
        <v>-3108.1318221890992</v>
      </c>
      <c r="CA123" s="31">
        <f t="shared" si="326"/>
        <v>-3102.0720865999997</v>
      </c>
      <c r="CB123" s="31">
        <f t="shared" si="326"/>
        <v>-2298.3748183752073</v>
      </c>
      <c r="CC123" s="31">
        <f t="shared" si="326"/>
        <v>-5116.5201999999999</v>
      </c>
      <c r="CD123" s="31">
        <f t="shared" si="326"/>
        <v>-2502.1792542770095</v>
      </c>
      <c r="CE123" s="31">
        <f t="shared" si="322"/>
        <v>-4008.2908566586143</v>
      </c>
      <c r="CF123" s="31">
        <f t="shared" si="322"/>
        <v>161.0968691670648</v>
      </c>
      <c r="CG123" s="31">
        <f>+CG47/CG$96</f>
        <v>-1248.5932673709863</v>
      </c>
      <c r="CI123" s="76"/>
      <c r="CJ123" s="76"/>
      <c r="CK123" s="76"/>
    </row>
    <row r="124" spans="2:89" ht="13.5" customHeight="1">
      <c r="B124" s="1" t="str">
        <f>+B48</f>
        <v xml:space="preserve">Cash flow from financing </v>
      </c>
      <c r="D124" s="31">
        <f t="shared" ref="D124:P124" si="327">+D48/D$96</f>
        <v>1107.4768119966675</v>
      </c>
      <c r="E124" s="31">
        <f t="shared" si="327"/>
        <v>221.39364046594608</v>
      </c>
      <c r="F124" s="31">
        <f t="shared" si="327"/>
        <v>-30.385283363802557</v>
      </c>
      <c r="G124" s="31">
        <f t="shared" si="327"/>
        <v>-99.356401130150815</v>
      </c>
      <c r="H124" s="31">
        <f t="shared" si="327"/>
        <v>-292.17454545454547</v>
      </c>
      <c r="I124" s="31">
        <f t="shared" si="327"/>
        <v>269.87496915357406</v>
      </c>
      <c r="J124" s="31">
        <f t="shared" si="327"/>
        <v>-458.15768285885343</v>
      </c>
      <c r="K124" s="31">
        <f t="shared" si="327"/>
        <v>-531.27812266103115</v>
      </c>
      <c r="L124" s="31">
        <f t="shared" si="327"/>
        <v>-1571.3627969961838</v>
      </c>
      <c r="M124" s="31">
        <f t="shared" si="327"/>
        <v>1203.4064287820704</v>
      </c>
      <c r="N124" s="31">
        <f t="shared" si="327"/>
        <v>42.99734766490743</v>
      </c>
      <c r="O124" s="31">
        <f t="shared" si="327"/>
        <v>-329.65740041768237</v>
      </c>
      <c r="P124" s="31">
        <f t="shared" si="327"/>
        <v>-765.31681709665634</v>
      </c>
      <c r="Q124" s="31">
        <f t="shared" si="313"/>
        <v>-1044.0277947902416</v>
      </c>
      <c r="R124" s="31">
        <f t="shared" si="313"/>
        <v>292.34991820782216</v>
      </c>
      <c r="S124" s="31">
        <f t="shared" si="314"/>
        <v>382.6107088350783</v>
      </c>
      <c r="T124" s="31">
        <f t="shared" si="314"/>
        <v>7095.1033233875423</v>
      </c>
      <c r="U124" s="31">
        <f t="shared" si="314"/>
        <v>6745.09094417909</v>
      </c>
      <c r="V124" s="31"/>
      <c r="W124" s="31"/>
      <c r="Y124" s="31">
        <f t="shared" ref="Y124:AI124" si="328">+Y48/Y$96</f>
        <v>386.64042846709407</v>
      </c>
      <c r="Z124" s="31">
        <f t="shared" si="328"/>
        <v>-978.63660507114696</v>
      </c>
      <c r="AA124" s="31">
        <f t="shared" si="328"/>
        <v>263.77512097921999</v>
      </c>
      <c r="AB124" s="31">
        <f t="shared" si="328"/>
        <v>559.92030929461896</v>
      </c>
      <c r="AC124" s="31">
        <f t="shared" si="328"/>
        <v>314.04102053646272</v>
      </c>
      <c r="AD124" s="31">
        <f t="shared" si="328"/>
        <v>-939.22770919067216</v>
      </c>
      <c r="AE124" s="31">
        <f t="shared" si="328"/>
        <v>249.23638355777038</v>
      </c>
      <c r="AF124" s="31">
        <f t="shared" si="328"/>
        <v>-130.97316168448606</v>
      </c>
      <c r="AG124" s="31">
        <f t="shared" si="328"/>
        <v>1435.3170949887251</v>
      </c>
      <c r="AH124" s="31">
        <f t="shared" si="328"/>
        <v>-1222.5067261519598</v>
      </c>
      <c r="AI124" s="31">
        <f t="shared" si="328"/>
        <v>-573.44217519251458</v>
      </c>
      <c r="AJ124" s="31">
        <f t="shared" ref="AJ124:AZ124" si="329">+AJ48/AJ$96</f>
        <v>-49.137526725980955</v>
      </c>
      <c r="AK124" s="31">
        <f t="shared" si="329"/>
        <v>-76.14002062496931</v>
      </c>
      <c r="AL124" s="31">
        <f t="shared" si="329"/>
        <v>-208.82910193255023</v>
      </c>
      <c r="AM124" s="31">
        <f t="shared" si="329"/>
        <v>-370.55892930841344</v>
      </c>
      <c r="AN124" s="31">
        <f t="shared" si="329"/>
        <v>-818.67994353515689</v>
      </c>
      <c r="AO124" s="31">
        <f t="shared" si="329"/>
        <v>398.33398598376925</v>
      </c>
      <c r="AP124" s="31">
        <f t="shared" si="329"/>
        <v>245.30748344686322</v>
      </c>
      <c r="AQ124" s="31">
        <f t="shared" si="329"/>
        <v>-849.72224642405411</v>
      </c>
      <c r="AR124" s="31">
        <f t="shared" si="329"/>
        <v>1253.1092007613013</v>
      </c>
      <c r="AS124" s="31">
        <f t="shared" si="329"/>
        <v>-875.37199836908701</v>
      </c>
      <c r="AT124" s="31">
        <f t="shared" si="329"/>
        <v>-161.43753360000008</v>
      </c>
      <c r="AU124" s="31">
        <f t="shared" si="329"/>
        <v>763.57030328240842</v>
      </c>
      <c r="AV124" s="31">
        <f t="shared" si="329"/>
        <v>198.57119752042854</v>
      </c>
      <c r="AW124" s="31">
        <f t="shared" si="329"/>
        <v>-1923.1197771587745</v>
      </c>
      <c r="AX124" s="31">
        <f t="shared" si="329"/>
        <v>592.28160000000003</v>
      </c>
      <c r="AY124" s="31">
        <f t="shared" si="329"/>
        <v>-1541.2002068568681</v>
      </c>
      <c r="AZ124" s="31">
        <f t="shared" si="329"/>
        <v>1193.7036336506735</v>
      </c>
      <c r="BA124" s="31">
        <f t="shared" si="317"/>
        <v>1321.9096073436108</v>
      </c>
      <c r="BB124" s="31">
        <f t="shared" si="317"/>
        <v>-1358.0494982781327</v>
      </c>
      <c r="BC124" s="31">
        <f t="shared" si="317"/>
        <v>842.51773371958689</v>
      </c>
      <c r="BD124" s="31">
        <f t="shared" si="317"/>
        <v>-259.72904720449526</v>
      </c>
      <c r="BE124" s="31">
        <f t="shared" si="318"/>
        <v>-248.58404074702887</v>
      </c>
      <c r="BF124" s="31">
        <f t="shared" si="318"/>
        <v>1401.7038444013251</v>
      </c>
      <c r="BG124" s="31">
        <f t="shared" si="318"/>
        <v>3120.8732472410675</v>
      </c>
      <c r="BH124" s="31">
        <f t="shared" si="318"/>
        <v>2579.1782403573607</v>
      </c>
      <c r="BI124" s="31">
        <f>+BI48/BI$96</f>
        <v>-261.85174930149219</v>
      </c>
      <c r="BJ124" s="33"/>
      <c r="BK124" s="33"/>
      <c r="BL124" s="37"/>
      <c r="BM124" s="37"/>
      <c r="BN124" s="31">
        <f t="shared" si="319"/>
        <v>1825.607895649709</v>
      </c>
      <c r="BO124" s="31">
        <f t="shared" si="319"/>
        <v>-1867.5305886498954</v>
      </c>
      <c r="BP124" s="31">
        <f t="shared" si="320"/>
        <v>1127.7177396237055</v>
      </c>
      <c r="BQ124" s="31">
        <f t="shared" si="320"/>
        <v>-373.5633059271151</v>
      </c>
      <c r="BR124" s="31">
        <f t="shared" si="320"/>
        <v>-325.29711375212224</v>
      </c>
      <c r="BS124" s="31">
        <f t="shared" ref="BS124:CD124" si="330">+BS48/BS$96</f>
        <v>-34.379823809152569</v>
      </c>
      <c r="BT124" s="31">
        <f t="shared" si="330"/>
        <v>-63.35993892282066</v>
      </c>
      <c r="BU124" s="31">
        <f t="shared" si="330"/>
        <v>513.18102414797045</v>
      </c>
      <c r="BV124" s="31">
        <f t="shared" si="330"/>
        <v>-761.33341856302729</v>
      </c>
      <c r="BW124" s="31">
        <f t="shared" si="330"/>
        <v>-292.70807951513655</v>
      </c>
      <c r="BX124" s="31">
        <f t="shared" si="330"/>
        <v>-1186.2322758474465</v>
      </c>
      <c r="BY124" s="31">
        <f t="shared" si="330"/>
        <v>633.41905628887878</v>
      </c>
      <c r="BZ124" s="31">
        <f t="shared" si="330"/>
        <v>471.88780935588539</v>
      </c>
      <c r="CA124" s="31">
        <f t="shared" si="330"/>
        <v>-1000.3310703</v>
      </c>
      <c r="CB124" s="31">
        <f t="shared" si="330"/>
        <v>874.56473349809107</v>
      </c>
      <c r="CC124" s="31">
        <f t="shared" si="330"/>
        <v>-1212.2747999999999</v>
      </c>
      <c r="CD124" s="31">
        <f t="shared" si="330"/>
        <v>254.39431637522449</v>
      </c>
      <c r="CE124" s="31">
        <f t="shared" si="322"/>
        <v>-268.48842062658895</v>
      </c>
      <c r="CF124" s="31">
        <f t="shared" si="322"/>
        <v>540.51570571208833</v>
      </c>
      <c r="CG124" s="31">
        <f>+CG48/CG$96</f>
        <v>1213.3418114193435</v>
      </c>
      <c r="CI124" s="76"/>
      <c r="CJ124" s="76"/>
      <c r="CK124" s="76"/>
    </row>
    <row r="125" spans="2:89" ht="13.5" customHeight="1">
      <c r="B125" s="1" t="str">
        <f>+B49</f>
        <v>FX impact</v>
      </c>
      <c r="D125" s="31">
        <f t="shared" ref="D125:P125" si="331">+D49/D$96</f>
        <v>-57.203554568175512</v>
      </c>
      <c r="E125" s="31">
        <f t="shared" si="331"/>
        <v>690.86577815090777</v>
      </c>
      <c r="F125" s="31">
        <f t="shared" si="331"/>
        <v>193.40127970749541</v>
      </c>
      <c r="G125" s="31">
        <f t="shared" si="331"/>
        <v>373.07745936227207</v>
      </c>
      <c r="H125" s="31">
        <f t="shared" si="331"/>
        <v>665.07338842975207</v>
      </c>
      <c r="I125" s="31">
        <f t="shared" si="331"/>
        <v>284.96229881275536</v>
      </c>
      <c r="J125" s="31">
        <f t="shared" si="331"/>
        <v>1128.8672350791719</v>
      </c>
      <c r="K125" s="31">
        <f t="shared" si="331"/>
        <v>475.93483907894154</v>
      </c>
      <c r="L125" s="31">
        <f t="shared" si="331"/>
        <v>3830.3146475874605</v>
      </c>
      <c r="M125" s="31">
        <f t="shared" si="331"/>
        <v>6234.5935712179307</v>
      </c>
      <c r="N125" s="31">
        <f t="shared" si="331"/>
        <v>2705.6384491250587</v>
      </c>
      <c r="O125" s="31">
        <f t="shared" si="331"/>
        <v>4591.372950395672</v>
      </c>
      <c r="P125" s="31">
        <f t="shared" si="331"/>
        <v>3476.4437318644163</v>
      </c>
      <c r="Q125" s="31">
        <f t="shared" si="313"/>
        <v>4742.6781239554639</v>
      </c>
      <c r="R125" s="31">
        <f t="shared" si="313"/>
        <v>1243.7285048024346</v>
      </c>
      <c r="S125" s="31">
        <f t="shared" si="314"/>
        <v>1627.9537333483615</v>
      </c>
      <c r="T125" s="31">
        <f t="shared" si="314"/>
        <v>1697.6219450040962</v>
      </c>
      <c r="U125" s="31">
        <f>+U49/U$96</f>
        <v>1321.0787861243789</v>
      </c>
      <c r="V125" s="31"/>
      <c r="W125" s="31"/>
      <c r="Y125" s="31">
        <f t="shared" ref="Y125:AI125" si="332">+Y49/Y$96</f>
        <v>87.173577862533477</v>
      </c>
      <c r="Z125" s="31">
        <f t="shared" si="332"/>
        <v>-91.96388135640602</v>
      </c>
      <c r="AA125" s="31">
        <f t="shared" si="332"/>
        <v>52.795616282379733</v>
      </c>
      <c r="AB125" s="31">
        <f t="shared" si="332"/>
        <v>226.31818420914209</v>
      </c>
      <c r="AC125" s="31">
        <f t="shared" si="332"/>
        <v>223.54463537300921</v>
      </c>
      <c r="AD125" s="31">
        <f t="shared" si="332"/>
        <v>502.89163237311391</v>
      </c>
      <c r="AE125" s="31">
        <f t="shared" si="332"/>
        <v>1020.7738663273601</v>
      </c>
      <c r="AF125" s="31">
        <f t="shared" si="332"/>
        <v>-611.15044730525858</v>
      </c>
      <c r="AG125" s="31">
        <f t="shared" si="332"/>
        <v>257.30669598762557</v>
      </c>
      <c r="AH125" s="31">
        <f t="shared" si="332"/>
        <v>115.02928856043319</v>
      </c>
      <c r="AI125" s="31">
        <f t="shared" si="332"/>
        <v>-95.010660980810215</v>
      </c>
      <c r="AJ125" s="31">
        <f t="shared" ref="AJ125:AZ125" si="333">+AJ49/AJ$96</f>
        <v>204.40202772604999</v>
      </c>
      <c r="AK125" s="31">
        <f t="shared" si="333"/>
        <v>1042.1793717568873</v>
      </c>
      <c r="AL125" s="31">
        <f t="shared" si="333"/>
        <v>518.59270702772017</v>
      </c>
      <c r="AM125" s="31">
        <f t="shared" si="333"/>
        <v>1371.2773421378458</v>
      </c>
      <c r="AN125" s="31">
        <f t="shared" si="333"/>
        <v>917.96764717103474</v>
      </c>
      <c r="AO125" s="31">
        <f t="shared" si="333"/>
        <v>989.29108659546023</v>
      </c>
      <c r="AP125" s="31">
        <f t="shared" si="333"/>
        <v>635.00202448435186</v>
      </c>
      <c r="AQ125" s="31">
        <f t="shared" si="333"/>
        <v>54.50567674831531</v>
      </c>
      <c r="AR125" s="31">
        <f t="shared" si="333"/>
        <v>4061.1167626809051</v>
      </c>
      <c r="AS125" s="31">
        <f t="shared" si="333"/>
        <v>1038.6066423937223</v>
      </c>
      <c r="AT125" s="31">
        <f t="shared" si="333"/>
        <v>818.5524155999999</v>
      </c>
      <c r="AU125" s="31">
        <f t="shared" si="333"/>
        <v>699.33025396473397</v>
      </c>
      <c r="AV125" s="31">
        <f t="shared" si="333"/>
        <v>229.15141452577183</v>
      </c>
      <c r="AW125" s="31">
        <f t="shared" si="333"/>
        <v>379.67900252022815</v>
      </c>
      <c r="AX125" s="31">
        <f t="shared" si="333"/>
        <v>1939.809</v>
      </c>
      <c r="AY125" s="31">
        <f t="shared" si="333"/>
        <v>2430.5827682401869</v>
      </c>
      <c r="AZ125" s="31">
        <f t="shared" si="333"/>
        <v>392.40204835060138</v>
      </c>
      <c r="BA125" s="31">
        <f t="shared" si="317"/>
        <v>1165.5109904251074</v>
      </c>
      <c r="BB125" s="31">
        <f t="shared" si="317"/>
        <v>-253.82860463822237</v>
      </c>
      <c r="BC125" s="31">
        <f t="shared" si="317"/>
        <v>469.00454228708463</v>
      </c>
      <c r="BD125" s="31">
        <f t="shared" si="317"/>
        <v>77.674094006086733</v>
      </c>
      <c r="BE125" s="31">
        <f t="shared" si="318"/>
        <v>559.04923599320887</v>
      </c>
      <c r="BF125" s="31">
        <f t="shared" si="318"/>
        <v>553.31425382571433</v>
      </c>
      <c r="BG125" s="31">
        <f t="shared" si="318"/>
        <v>369.59032209818639</v>
      </c>
      <c r="BH125" s="31">
        <f t="shared" si="318"/>
        <v>240.882613201342</v>
      </c>
      <c r="BI125" s="31">
        <f>+BI49/BI$96</f>
        <v>180.63949217739923</v>
      </c>
      <c r="BJ125" s="33"/>
      <c r="BK125" s="33"/>
      <c r="BL125" s="37"/>
      <c r="BM125" s="37"/>
      <c r="BN125" s="31">
        <f t="shared" si="319"/>
        <v>1609.6039866167844</v>
      </c>
      <c r="BO125" s="31">
        <f t="shared" si="319"/>
        <v>-372.28813611717356</v>
      </c>
      <c r="BP125" s="31">
        <f t="shared" si="320"/>
        <v>612.59892311982946</v>
      </c>
      <c r="BQ125" s="31">
        <f t="shared" si="320"/>
        <v>79.720718552659235</v>
      </c>
      <c r="BR125" s="31">
        <f t="shared" si="320"/>
        <v>731.59932088285234</v>
      </c>
      <c r="BS125" s="31">
        <f t="shared" ref="BS125:CD125" si="334">+BS49/BS$96</f>
        <v>234.46947844390741</v>
      </c>
      <c r="BT125" s="31">
        <f t="shared" si="334"/>
        <v>144.10049972237644</v>
      </c>
      <c r="BU125" s="31">
        <f t="shared" si="334"/>
        <v>-19.794142832676826</v>
      </c>
      <c r="BV125" s="31">
        <f t="shared" si="334"/>
        <v>661.47916133981073</v>
      </c>
      <c r="BW125" s="31">
        <f t="shared" si="334"/>
        <v>1530.6278241290499</v>
      </c>
      <c r="BX125" s="31">
        <f t="shared" si="334"/>
        <v>2189.3865786753599</v>
      </c>
      <c r="BY125" s="31">
        <f t="shared" si="334"/>
        <v>1600.4946138673949</v>
      </c>
      <c r="BZ125" s="31">
        <f t="shared" si="334"/>
        <v>3653.2064856807874</v>
      </c>
      <c r="CA125" s="31">
        <f t="shared" si="334"/>
        <v>1854.2988025999998</v>
      </c>
      <c r="CB125" s="31">
        <f t="shared" si="334"/>
        <v>846.83278711964772</v>
      </c>
      <c r="CC125" s="31">
        <f t="shared" si="334"/>
        <v>2398.4906000000001</v>
      </c>
      <c r="CD125" s="31">
        <f t="shared" si="334"/>
        <v>1233.1241465262524</v>
      </c>
      <c r="CE125" s="31">
        <f t="shared" si="322"/>
        <v>728.40646067060447</v>
      </c>
      <c r="CF125" s="31">
        <f t="shared" si="322"/>
        <v>531.67046859959498</v>
      </c>
      <c r="CG125" s="31">
        <f>+CG49/CG$96</f>
        <v>1122.592591607227</v>
      </c>
      <c r="CI125" s="76"/>
      <c r="CJ125" s="76"/>
      <c r="CK125" s="76"/>
    </row>
    <row r="126" spans="2:89" ht="13.5" customHeight="1">
      <c r="B126" s="1" t="str">
        <f>+B51</f>
        <v xml:space="preserve">Net change in cash </v>
      </c>
      <c r="D126" s="31">
        <f t="shared" ref="D126:P126" si="335">+D51/D$96</f>
        <v>1317.8450430435989</v>
      </c>
      <c r="E126" s="31">
        <f t="shared" si="335"/>
        <v>895.82275160037773</v>
      </c>
      <c r="F126" s="31">
        <f t="shared" si="335"/>
        <v>411.73720292504578</v>
      </c>
      <c r="G126" s="31">
        <f t="shared" si="335"/>
        <v>183.00260521777415</v>
      </c>
      <c r="H126" s="31">
        <f t="shared" si="335"/>
        <v>2071.1480991735539</v>
      </c>
      <c r="I126" s="31">
        <f t="shared" si="335"/>
        <v>1002.8014038551177</v>
      </c>
      <c r="J126" s="31">
        <f t="shared" si="335"/>
        <v>733.80664340717203</v>
      </c>
      <c r="K126" s="31">
        <f t="shared" si="335"/>
        <v>2245.1283405978957</v>
      </c>
      <c r="L126" s="31">
        <f t="shared" si="335"/>
        <v>7045.1495028640538</v>
      </c>
      <c r="M126" s="31">
        <f t="shared" si="335"/>
        <v>7091.6405780005907</v>
      </c>
      <c r="N126" s="31">
        <f t="shared" si="335"/>
        <v>4605.1245463395653</v>
      </c>
      <c r="O126" s="31">
        <f t="shared" si="335"/>
        <v>-2044.456828916567</v>
      </c>
      <c r="P126" s="31">
        <f t="shared" si="335"/>
        <v>2571.3871652060138</v>
      </c>
      <c r="Q126" s="31">
        <f>+Q51/Q$96</f>
        <v>3507.9400340064735</v>
      </c>
      <c r="R126" s="31">
        <f>+R51/R$96</f>
        <v>-3894.038766750642</v>
      </c>
      <c r="S126" s="31">
        <f>+S51/S$96</f>
        <v>-5096.9778018771076</v>
      </c>
      <c r="T126" s="31">
        <f>+T51/T$96</f>
        <v>-1981.9767668670506</v>
      </c>
      <c r="U126" s="31">
        <f>+U51/U$96</f>
        <v>-1868.8666956144159</v>
      </c>
      <c r="V126" s="31"/>
      <c r="W126" s="31"/>
      <c r="Y126" s="31">
        <f t="shared" ref="Y126:AI126" si="336">+Y51/Y$96</f>
        <v>502.23051746057507</v>
      </c>
      <c r="Z126" s="31">
        <f t="shared" si="336"/>
        <v>-845.75270470492842</v>
      </c>
      <c r="AA126" s="31">
        <f t="shared" si="336"/>
        <v>702.0011386279532</v>
      </c>
      <c r="AB126" s="31">
        <f t="shared" si="336"/>
        <v>620.64936089632306</v>
      </c>
      <c r="AC126" s="31">
        <f t="shared" si="336"/>
        <v>26.070829840737641</v>
      </c>
      <c r="AD126" s="31">
        <f t="shared" si="336"/>
        <v>-326.45907636031092</v>
      </c>
      <c r="AE126" s="31">
        <f t="shared" si="336"/>
        <v>1450.8044392605948</v>
      </c>
      <c r="AF126" s="31">
        <f t="shared" si="336"/>
        <v>-604.88617353989378</v>
      </c>
      <c r="AG126" s="31">
        <f t="shared" si="336"/>
        <v>2441.1269311765036</v>
      </c>
      <c r="AH126" s="31">
        <f t="shared" si="336"/>
        <v>-557.62813745189499</v>
      </c>
      <c r="AI126" s="31">
        <f t="shared" si="336"/>
        <v>-179.77127350261713</v>
      </c>
      <c r="AJ126" s="31">
        <f t="shared" ref="AJ126:AZ126" si="337">+AJ51/AJ$96</f>
        <v>680.12759500655261</v>
      </c>
      <c r="AK126" s="31">
        <f t="shared" si="337"/>
        <v>6928.854168371774</v>
      </c>
      <c r="AL126" s="31">
        <f t="shared" si="337"/>
        <v>-48.853732474422188</v>
      </c>
      <c r="AM126" s="31">
        <f t="shared" si="337"/>
        <v>-634.23368315547441</v>
      </c>
      <c r="AN126" s="31">
        <f t="shared" si="337"/>
        <v>1392.8788167817584</v>
      </c>
      <c r="AO126" s="31">
        <f t="shared" si="337"/>
        <v>1109.7728776482979</v>
      </c>
      <c r="AP126" s="31">
        <f t="shared" si="337"/>
        <v>930.54934978326105</v>
      </c>
      <c r="AQ126" s="31">
        <f t="shared" si="337"/>
        <v>-318.4979375031923</v>
      </c>
      <c r="AR126" s="31">
        <f t="shared" si="337"/>
        <v>4775.9676063714287</v>
      </c>
      <c r="AS126" s="31">
        <f t="shared" si="337"/>
        <v>875.84560690705939</v>
      </c>
      <c r="AT126" s="31">
        <f t="shared" si="337"/>
        <v>796.67687760000001</v>
      </c>
      <c r="AU126" s="31">
        <f t="shared" si="337"/>
        <v>1403.6582948737407</v>
      </c>
      <c r="AV126" s="31">
        <f t="shared" si="337"/>
        <v>1469.1431302071037</v>
      </c>
      <c r="AW126" s="31">
        <f t="shared" si="337"/>
        <v>4636.1055842949991</v>
      </c>
      <c r="AX126" s="31">
        <f t="shared" si="337"/>
        <v>-1593.2991999999999</v>
      </c>
      <c r="AY126" s="31">
        <f t="shared" si="337"/>
        <v>2502.0794942203902</v>
      </c>
      <c r="AZ126" s="31">
        <f t="shared" si="337"/>
        <v>-948.93834632817038</v>
      </c>
      <c r="BA126" s="31">
        <f t="shared" ref="BA126:BF126" si="338">+BA51/BA$96</f>
        <v>-2165.3356807424179</v>
      </c>
      <c r="BB126" s="31">
        <f t="shared" si="338"/>
        <v>1102.8916243670515</v>
      </c>
      <c r="BC126" s="31">
        <f t="shared" si="338"/>
        <v>-1658.3115618957502</v>
      </c>
      <c r="BD126" s="31">
        <f t="shared" si="338"/>
        <v>-1499.0610902864216</v>
      </c>
      <c r="BE126" s="31">
        <f t="shared" si="338"/>
        <v>-720.65195246179962</v>
      </c>
      <c r="BF126" s="31">
        <f t="shared" si="338"/>
        <v>-1349.5850463079105</v>
      </c>
      <c r="BG126" s="31">
        <f>+BG51/BG$96</f>
        <v>1613.7028419274402</v>
      </c>
      <c r="BH126" s="31">
        <f>+BH51/BH$96</f>
        <v>-1545.3302228300217</v>
      </c>
      <c r="BI126" s="31">
        <f>+BI51/BI$96</f>
        <v>-577.86788649048174</v>
      </c>
      <c r="BJ126" s="31"/>
      <c r="BK126" s="31"/>
      <c r="BL126" s="37"/>
      <c r="BM126" s="37"/>
      <c r="BN126" s="31">
        <f>+BN51/BN$96</f>
        <v>-6040.6867663569528</v>
      </c>
      <c r="BO126" s="31">
        <f>+BO51/BO$96</f>
        <v>85.104146701866554</v>
      </c>
      <c r="BP126" s="31">
        <f>+BP51/BP$96</f>
        <v>1809.7366685388936</v>
      </c>
      <c r="BQ126" s="31">
        <f>+BQ51/BQ$96</f>
        <v>-2021.5614537988429</v>
      </c>
      <c r="BR126" s="31">
        <f>+BR51/BR$96</f>
        <v>-943.07640067911711</v>
      </c>
      <c r="BS126" s="31">
        <f t="shared" ref="BS126:CD126" si="339">+BS51/BS$96</f>
        <v>-547.23279020815471</v>
      </c>
      <c r="BT126" s="31">
        <f t="shared" si="339"/>
        <v>660.26096612992774</v>
      </c>
      <c r="BU126" s="31">
        <f t="shared" si="339"/>
        <v>1238.5507792430208</v>
      </c>
      <c r="BV126" s="31">
        <f t="shared" si="339"/>
        <v>846.73804653541322</v>
      </c>
      <c r="BW126" s="31">
        <f t="shared" si="339"/>
        <v>6476.2361395987227</v>
      </c>
      <c r="BX126" s="31">
        <f t="shared" si="339"/>
        <v>881.20232699901908</v>
      </c>
      <c r="BY126" s="31">
        <f t="shared" si="339"/>
        <v>2027.0892125625853</v>
      </c>
      <c r="BZ126" s="31">
        <f t="shared" si="339"/>
        <v>4006.9009424959318</v>
      </c>
      <c r="CA126" s="31">
        <f t="shared" si="339"/>
        <v>1676.9696199999998</v>
      </c>
      <c r="CB126" s="31">
        <f t="shared" si="339"/>
        <v>2678.1860426113785</v>
      </c>
      <c r="CC126" s="31">
        <f t="shared" si="339"/>
        <v>2748.7438000000002</v>
      </c>
      <c r="CD126" s="31">
        <f t="shared" si="339"/>
        <v>163.05034676877349</v>
      </c>
      <c r="CE126" s="31">
        <f>+CE51/CE$96</f>
        <v>-3727.4388778568991</v>
      </c>
      <c r="CF126" s="31">
        <f>+CF51/CF$96</f>
        <v>-297.30156767633605</v>
      </c>
      <c r="CG126" s="31">
        <f>+CG51/CG$96</f>
        <v>-2108.4361389944956</v>
      </c>
      <c r="CI126" s="76"/>
      <c r="CJ126" s="76"/>
      <c r="CK126" s="76"/>
    </row>
    <row r="127" spans="2:89" ht="13.5" customHeight="1">
      <c r="BL127" s="37"/>
      <c r="BM127" s="37"/>
      <c r="CI127" s="76"/>
      <c r="CJ127" s="76"/>
      <c r="CK127" s="76"/>
    </row>
    <row r="128" spans="2:89" ht="13.5" customHeight="1">
      <c r="B128" s="1" t="str">
        <f>+B53</f>
        <v xml:space="preserve">Short term debt </v>
      </c>
      <c r="D128" s="31">
        <f t="shared" ref="D128:J129" si="340">+D53/D$95</f>
        <v>2659.2285265754654</v>
      </c>
      <c r="E128" s="31">
        <f t="shared" si="340"/>
        <v>2184.1541755888652</v>
      </c>
      <c r="F128" s="31">
        <f t="shared" si="340"/>
        <v>2321.1991434689508</v>
      </c>
      <c r="G128" s="31">
        <f t="shared" si="340"/>
        <v>2529.4803235979707</v>
      </c>
      <c r="H128" s="31">
        <f t="shared" si="340"/>
        <v>2123.7624521072798</v>
      </c>
      <c r="I128" s="31">
        <f t="shared" si="340"/>
        <v>3474.0466536780577</v>
      </c>
      <c r="J128" s="31">
        <f t="shared" si="340"/>
        <v>2951.8720459787505</v>
      </c>
      <c r="K128" s="31">
        <f t="shared" ref="K128:M129" si="341">+K53/K$95</f>
        <v>3578.1614779451315</v>
      </c>
      <c r="L128" s="31">
        <f t="shared" si="341"/>
        <v>9641.3902032476617</v>
      </c>
      <c r="M128" s="31">
        <f t="shared" si="341"/>
        <v>9288.0423077501528</v>
      </c>
      <c r="N128" s="31">
        <f t="shared" ref="N128:P129" si="342">+N53/N$95</f>
        <v>12089.136192183194</v>
      </c>
      <c r="O128" s="31">
        <f t="shared" si="342"/>
        <v>19919.638318932077</v>
      </c>
      <c r="P128" s="31">
        <f t="shared" si="342"/>
        <v>14108.587092221678</v>
      </c>
      <c r="Q128" s="31">
        <f t="shared" ref="Q128:U129" si="343">+Q53/Q$95</f>
        <v>17703.041035661943</v>
      </c>
      <c r="R128" s="31">
        <f t="shared" si="343"/>
        <v>14895.627564737511</v>
      </c>
      <c r="S128" s="31">
        <f t="shared" si="343"/>
        <v>19497.184095089855</v>
      </c>
      <c r="T128" s="31">
        <f t="shared" si="343"/>
        <v>17545.433171860415</v>
      </c>
      <c r="U128" s="31">
        <f t="shared" si="343"/>
        <v>17235.235762152533</v>
      </c>
      <c r="V128" s="31"/>
      <c r="W128" s="31"/>
      <c r="Y128" s="31">
        <f t="shared" ref="Y128:AI128" si="344">+Y53/Y$95</f>
        <v>2370.6745868052694</v>
      </c>
      <c r="Z128" s="31">
        <f t="shared" si="344"/>
        <v>2967.3053654102878</v>
      </c>
      <c r="AA128" s="31">
        <f t="shared" si="344"/>
        <v>3391.8833665422503</v>
      </c>
      <c r="AB128" s="31">
        <f t="shared" si="344"/>
        <v>3474.0466536780577</v>
      </c>
      <c r="AC128" s="31">
        <f t="shared" si="344"/>
        <v>3913.2417262913054</v>
      </c>
      <c r="AD128" s="31">
        <f t="shared" si="344"/>
        <v>3028.1349474188419</v>
      </c>
      <c r="AE128" s="31">
        <f t="shared" si="344"/>
        <v>2797.0955597021089</v>
      </c>
      <c r="AF128" s="31">
        <f t="shared" si="344"/>
        <v>2951.8720459787505</v>
      </c>
      <c r="AG128" s="31">
        <f t="shared" si="344"/>
        <v>3378.2416931444877</v>
      </c>
      <c r="AH128" s="31">
        <f t="shared" si="344"/>
        <v>3627.1456927352119</v>
      </c>
      <c r="AI128" s="31">
        <f t="shared" si="344"/>
        <v>3407.8580277502474</v>
      </c>
      <c r="AJ128" s="31">
        <f t="shared" ref="AJ128:AL129" si="345">+AJ53/AJ$95</f>
        <v>3578.1614779451315</v>
      </c>
      <c r="AK128" s="31">
        <f t="shared" si="345"/>
        <v>10612.795229169185</v>
      </c>
      <c r="AL128" s="31">
        <f t="shared" si="345"/>
        <v>9920.9406236775685</v>
      </c>
      <c r="AM128" s="31">
        <f t="shared" ref="AM128:AP129" si="346">+AM53/AM$95</f>
        <v>9771.8919268978188</v>
      </c>
      <c r="AN128" s="31">
        <f t="shared" si="346"/>
        <v>9641.3902032476617</v>
      </c>
      <c r="AO128" s="31">
        <f t="shared" si="346"/>
        <v>10361.049697645391</v>
      </c>
      <c r="AP128" s="31">
        <f t="shared" si="346"/>
        <v>10391.834833938168</v>
      </c>
      <c r="AQ128" s="31">
        <f t="shared" ref="AQ128:AT129" si="347">+AQ53/AQ$95</f>
        <v>9540.6758794535326</v>
      </c>
      <c r="AR128" s="31">
        <f t="shared" si="347"/>
        <v>9288.0423077501528</v>
      </c>
      <c r="AS128" s="31">
        <f t="shared" si="347"/>
        <v>11194.199631700994</v>
      </c>
      <c r="AT128" s="31">
        <f t="shared" si="347"/>
        <v>11515.2378295</v>
      </c>
      <c r="AU128" s="31">
        <f t="shared" ref="AU128:AX129" si="348">+AU53/AU$95</f>
        <v>11268.348149668389</v>
      </c>
      <c r="AV128" s="31">
        <f t="shared" si="348"/>
        <v>12089.136192183194</v>
      </c>
      <c r="AW128" s="31">
        <f t="shared" si="348"/>
        <v>10486.106042437828</v>
      </c>
      <c r="AX128" s="31">
        <f t="shared" si="348"/>
        <v>9019.1232</v>
      </c>
      <c r="AY128" s="31">
        <f t="shared" ref="AY128:BB129" si="349">+AY53/AY$95</f>
        <v>9984.5014575148016</v>
      </c>
      <c r="AZ128" s="31">
        <f t="shared" si="349"/>
        <v>17703.041035661943</v>
      </c>
      <c r="BA128" s="31">
        <f t="shared" si="349"/>
        <v>12957.836358087299</v>
      </c>
      <c r="BB128" s="31">
        <f t="shared" si="349"/>
        <v>13907.315803176256</v>
      </c>
      <c r="BC128" s="31">
        <f t="shared" ref="BC128:BF129" si="350">+BC53/BC$95</f>
        <v>13740.577567658553</v>
      </c>
      <c r="BD128" s="31">
        <f t="shared" si="350"/>
        <v>14895.627564737511</v>
      </c>
      <c r="BE128" s="31">
        <f t="shared" si="350"/>
        <v>14242.831026377644</v>
      </c>
      <c r="BF128" s="31">
        <f t="shared" si="350"/>
        <v>15237.103154681821</v>
      </c>
      <c r="BG128" s="31">
        <f t="shared" ref="BG128:BI129" si="351">+BG53/BG$95</f>
        <v>17107.721016130738</v>
      </c>
      <c r="BH128" s="31">
        <f t="shared" si="351"/>
        <v>17545.433171860415</v>
      </c>
      <c r="BI128" s="31">
        <f t="shared" si="351"/>
        <v>17235.235762152533</v>
      </c>
      <c r="BJ128" s="31"/>
      <c r="BK128" s="31"/>
      <c r="BL128" s="37"/>
      <c r="BM128" s="37"/>
      <c r="BN128" s="31">
        <f t="shared" ref="BN128:CB129" si="352">+BN53/BN$95</f>
        <v>12957.836358087299</v>
      </c>
      <c r="BO128" s="31">
        <f t="shared" si="352"/>
        <v>13907.315803176256</v>
      </c>
      <c r="BP128" s="31">
        <f t="shared" si="352"/>
        <v>13740.577567658553</v>
      </c>
      <c r="BQ128" s="31">
        <f t="shared" si="352"/>
        <v>19497.184095089855</v>
      </c>
      <c r="BR128" s="31">
        <f>+BR53/BR$95</f>
        <v>14242.831026377644</v>
      </c>
      <c r="BS128" s="31">
        <f t="shared" si="352"/>
        <v>0</v>
      </c>
      <c r="BT128" s="31">
        <f t="shared" si="352"/>
        <v>2529.4803235979707</v>
      </c>
      <c r="BU128" s="31">
        <f t="shared" si="352"/>
        <v>3359.9749800187651</v>
      </c>
      <c r="BV128" s="31">
        <f t="shared" si="352"/>
        <v>2123.7624521072798</v>
      </c>
      <c r="BW128" s="31">
        <f t="shared" si="352"/>
        <v>9920.9406236775685</v>
      </c>
      <c r="BX128" s="31">
        <f t="shared" si="352"/>
        <v>9641.3902032476617</v>
      </c>
      <c r="BY128" s="31">
        <f t="shared" si="352"/>
        <v>10391.834833938168</v>
      </c>
      <c r="BZ128" s="31">
        <f t="shared" si="352"/>
        <v>9288.0423077501528</v>
      </c>
      <c r="CA128" s="31">
        <f t="shared" si="352"/>
        <v>11515.2378295</v>
      </c>
      <c r="CB128" s="31">
        <f t="shared" si="352"/>
        <v>12089.136192183194</v>
      </c>
      <c r="CC128" s="31">
        <f t="shared" ref="CC128:CE129" si="353">+CC53/CC$95</f>
        <v>9019.1232</v>
      </c>
      <c r="CD128" s="31">
        <f t="shared" si="353"/>
        <v>14108.587092221678</v>
      </c>
      <c r="CE128" s="31">
        <f t="shared" si="353"/>
        <v>13907.315803176256</v>
      </c>
      <c r="CF128" s="31">
        <f>+CF53/CF$95</f>
        <v>14895.627564737511</v>
      </c>
      <c r="CG128" s="31">
        <f>+CG53/CG$95</f>
        <v>15237.103154681821</v>
      </c>
      <c r="CI128" s="76"/>
      <c r="CJ128" s="76"/>
      <c r="CK128" s="76"/>
    </row>
    <row r="129" spans="2:89" ht="13.5" customHeight="1">
      <c r="B129" s="1" t="str">
        <f>+B54</f>
        <v xml:space="preserve">Long term debt </v>
      </c>
      <c r="D129" s="31">
        <f t="shared" si="340"/>
        <v>4287.3962771921952</v>
      </c>
      <c r="E129" s="31">
        <f t="shared" si="340"/>
        <v>5767.1538962852619</v>
      </c>
      <c r="F129" s="31">
        <f t="shared" si="340"/>
        <v>6167.45182012848</v>
      </c>
      <c r="G129" s="31">
        <f t="shared" si="340"/>
        <v>5882.3529411764712</v>
      </c>
      <c r="H129" s="31">
        <f t="shared" si="340"/>
        <v>6444.6223925074501</v>
      </c>
      <c r="I129" s="31">
        <f t="shared" si="340"/>
        <v>6104.4034016112892</v>
      </c>
      <c r="J129" s="31">
        <f t="shared" si="340"/>
        <v>6465.7702196846521</v>
      </c>
      <c r="K129" s="31">
        <f t="shared" si="341"/>
        <v>6557.6795320064548</v>
      </c>
      <c r="L129" s="31">
        <f t="shared" si="341"/>
        <v>14797.695182277665</v>
      </c>
      <c r="M129" s="31">
        <f t="shared" si="341"/>
        <v>12241.055738543217</v>
      </c>
      <c r="N129" s="31">
        <f t="shared" si="342"/>
        <v>8164.4685802948025</v>
      </c>
      <c r="O129" s="31">
        <f t="shared" si="342"/>
        <v>13452.823626976271</v>
      </c>
      <c r="P129" s="31">
        <f t="shared" si="342"/>
        <v>9657.0862508820501</v>
      </c>
      <c r="Q129" s="31">
        <f t="shared" si="343"/>
        <v>12117.461868316777</v>
      </c>
      <c r="R129" s="31">
        <f t="shared" si="343"/>
        <v>9989.7268996745443</v>
      </c>
      <c r="S129" s="31">
        <f t="shared" si="343"/>
        <v>13075.760577331257</v>
      </c>
      <c r="T129" s="31">
        <f t="shared" si="343"/>
        <v>14002.728201737948</v>
      </c>
      <c r="U129" s="31">
        <f t="shared" si="343"/>
        <v>13909.505845407695</v>
      </c>
      <c r="V129" s="31"/>
      <c r="W129" s="31"/>
      <c r="Y129" s="31">
        <f t="shared" ref="Y129:AI129" si="354">+Y54/Y$95</f>
        <v>6638.7239776696097</v>
      </c>
      <c r="Z129" s="31">
        <f t="shared" si="354"/>
        <v>5854.1338370210469</v>
      </c>
      <c r="AA129" s="31">
        <f t="shared" si="354"/>
        <v>5760.4220806555722</v>
      </c>
      <c r="AB129" s="31">
        <f t="shared" si="354"/>
        <v>6104.4034016112892</v>
      </c>
      <c r="AC129" s="31">
        <f t="shared" si="354"/>
        <v>6474.6459181351611</v>
      </c>
      <c r="AD129" s="31">
        <f t="shared" si="354"/>
        <v>6423.6064360208147</v>
      </c>
      <c r="AE129" s="31">
        <f t="shared" si="354"/>
        <v>6129.2891230040123</v>
      </c>
      <c r="AF129" s="31">
        <f t="shared" si="354"/>
        <v>6465.7702196846521</v>
      </c>
      <c r="AG129" s="31">
        <f t="shared" si="354"/>
        <v>7749.3876891593518</v>
      </c>
      <c r="AH129" s="31">
        <f t="shared" si="354"/>
        <v>6838.6654469509976</v>
      </c>
      <c r="AI129" s="31">
        <f t="shared" si="354"/>
        <v>6807.0632167634139</v>
      </c>
      <c r="AJ129" s="31">
        <f t="shared" si="345"/>
        <v>6557.6795320064548</v>
      </c>
      <c r="AK129" s="31">
        <f t="shared" si="345"/>
        <v>15456.955194098442</v>
      </c>
      <c r="AL129" s="31">
        <f t="shared" si="345"/>
        <v>15642.461293758846</v>
      </c>
      <c r="AM129" s="31">
        <f t="shared" si="346"/>
        <v>14691.136943541389</v>
      </c>
      <c r="AN129" s="31">
        <f t="shared" si="346"/>
        <v>14797.695182277665</v>
      </c>
      <c r="AO129" s="31">
        <f t="shared" si="346"/>
        <v>13943.220955173962</v>
      </c>
      <c r="AP129" s="31">
        <f t="shared" si="346"/>
        <v>14242.679268684829</v>
      </c>
      <c r="AQ129" s="31">
        <f t="shared" si="347"/>
        <v>13917.397987891338</v>
      </c>
      <c r="AR129" s="31">
        <f t="shared" si="347"/>
        <v>12241.055738543217</v>
      </c>
      <c r="AS129" s="31">
        <f t="shared" si="347"/>
        <v>10109.347292320283</v>
      </c>
      <c r="AT129" s="31">
        <f t="shared" si="347"/>
        <v>9176.4620757000012</v>
      </c>
      <c r="AU129" s="31">
        <f t="shared" si="348"/>
        <v>8943.4291624359994</v>
      </c>
      <c r="AV129" s="31">
        <f t="shared" si="348"/>
        <v>8164.4685802948025</v>
      </c>
      <c r="AW129" s="31">
        <f t="shared" si="348"/>
        <v>8319.6913612428962</v>
      </c>
      <c r="AX129" s="31">
        <f t="shared" si="348"/>
        <v>7453.5167999999994</v>
      </c>
      <c r="AY129" s="31">
        <f t="shared" si="349"/>
        <v>8976.3357534717816</v>
      </c>
      <c r="AZ129" s="31">
        <f t="shared" si="349"/>
        <v>12117.461868316777</v>
      </c>
      <c r="BA129" s="31">
        <f t="shared" si="349"/>
        <v>8485.84526125304</v>
      </c>
      <c r="BB129" s="31">
        <f t="shared" si="349"/>
        <v>9279.1399298589531</v>
      </c>
      <c r="BC129" s="31">
        <f t="shared" si="350"/>
        <v>10262.93526148622</v>
      </c>
      <c r="BD129" s="31">
        <f t="shared" si="350"/>
        <v>9989.7268996745443</v>
      </c>
      <c r="BE129" s="31">
        <f t="shared" si="350"/>
        <v>10420.814834160356</v>
      </c>
      <c r="BF129" s="31">
        <f t="shared" si="350"/>
        <v>11209.462037390309</v>
      </c>
      <c r="BG129" s="31">
        <f t="shared" si="351"/>
        <v>11998.451372122774</v>
      </c>
      <c r="BH129" s="31">
        <f t="shared" si="351"/>
        <v>14002.728201737948</v>
      </c>
      <c r="BI129" s="31">
        <f t="shared" si="351"/>
        <v>13909.505845407695</v>
      </c>
      <c r="BJ129" s="31"/>
      <c r="BK129" s="31"/>
      <c r="BL129" s="37"/>
      <c r="BM129" s="37"/>
      <c r="BN129" s="31">
        <f t="shared" si="352"/>
        <v>8485.84526125304</v>
      </c>
      <c r="BO129" s="31">
        <f t="shared" si="352"/>
        <v>9279.1399298589531</v>
      </c>
      <c r="BP129" s="31">
        <f t="shared" si="352"/>
        <v>10262.93526148622</v>
      </c>
      <c r="BQ129" s="31">
        <f t="shared" si="352"/>
        <v>13075.760577331257</v>
      </c>
      <c r="BR129" s="31">
        <f>+BR54/BR$95</f>
        <v>10420.814834160356</v>
      </c>
      <c r="BS129" s="31">
        <f t="shared" si="352"/>
        <v>0</v>
      </c>
      <c r="BT129" s="31">
        <f t="shared" si="352"/>
        <v>5882.3529411764712</v>
      </c>
      <c r="BU129" s="31">
        <f t="shared" si="352"/>
        <v>6574.3475692393231</v>
      </c>
      <c r="BV129" s="31">
        <f t="shared" si="352"/>
        <v>6444.6223925074501</v>
      </c>
      <c r="BW129" s="31">
        <f t="shared" si="352"/>
        <v>15642.461293758846</v>
      </c>
      <c r="BX129" s="31">
        <f t="shared" si="352"/>
        <v>14797.695182277665</v>
      </c>
      <c r="BY129" s="31">
        <f t="shared" si="352"/>
        <v>14242.679268684829</v>
      </c>
      <c r="BZ129" s="31">
        <f t="shared" si="352"/>
        <v>12241.055738543217</v>
      </c>
      <c r="CA129" s="31">
        <f t="shared" si="352"/>
        <v>9176.4620757000012</v>
      </c>
      <c r="CB129" s="31">
        <f t="shared" si="352"/>
        <v>8164.4685802948025</v>
      </c>
      <c r="CC129" s="31">
        <f t="shared" si="353"/>
        <v>7453.5167999999994</v>
      </c>
      <c r="CD129" s="31">
        <f t="shared" si="353"/>
        <v>9657.0862508820501</v>
      </c>
      <c r="CE129" s="31">
        <f t="shared" si="353"/>
        <v>9279.1399298589531</v>
      </c>
      <c r="CF129" s="31">
        <f>+CF54/CF$95</f>
        <v>9989.7268996745443</v>
      </c>
      <c r="CG129" s="31">
        <f>+CG54/CG$95</f>
        <v>11209.462037390309</v>
      </c>
      <c r="CI129" s="76"/>
      <c r="CJ129" s="76"/>
      <c r="CK129" s="76"/>
    </row>
    <row r="130" spans="2:89" s="6" customFormat="1" ht="13.5" customHeight="1">
      <c r="B130" s="6" t="str">
        <f>+B55</f>
        <v xml:space="preserve">Total debt </v>
      </c>
      <c r="D130" s="33">
        <f t="shared" ref="D130:P130" si="355">+D128+D129</f>
        <v>6946.6248037676605</v>
      </c>
      <c r="E130" s="33">
        <f t="shared" si="355"/>
        <v>7951.3080718741276</v>
      </c>
      <c r="F130" s="33">
        <f t="shared" si="355"/>
        <v>8488.6509635974307</v>
      </c>
      <c r="G130" s="33">
        <f t="shared" si="355"/>
        <v>8411.8332647744428</v>
      </c>
      <c r="H130" s="33">
        <f t="shared" si="355"/>
        <v>8568.3848446147294</v>
      </c>
      <c r="I130" s="33">
        <f t="shared" si="355"/>
        <v>9578.4500552893478</v>
      </c>
      <c r="J130" s="33">
        <f t="shared" si="355"/>
        <v>9417.6422656634022</v>
      </c>
      <c r="K130" s="33">
        <f t="shared" si="355"/>
        <v>10135.841009951586</v>
      </c>
      <c r="L130" s="33">
        <f t="shared" si="355"/>
        <v>24439.085385525326</v>
      </c>
      <c r="M130" s="33">
        <f t="shared" si="355"/>
        <v>21529.098046293369</v>
      </c>
      <c r="N130" s="33">
        <f t="shared" si="355"/>
        <v>20253.604772477996</v>
      </c>
      <c r="O130" s="33">
        <f t="shared" si="355"/>
        <v>33372.461945908348</v>
      </c>
      <c r="P130" s="33">
        <f t="shared" si="355"/>
        <v>23765.673343103728</v>
      </c>
      <c r="Q130" s="33">
        <f>+Q128+Q129</f>
        <v>29820.502903978719</v>
      </c>
      <c r="R130" s="33">
        <f>+R128+R129</f>
        <v>24885.354464412056</v>
      </c>
      <c r="S130" s="33">
        <f>+S128+S129</f>
        <v>32572.944672421112</v>
      </c>
      <c r="T130" s="33">
        <f>+T128+T129</f>
        <v>31548.161373598363</v>
      </c>
      <c r="U130" s="33">
        <f>+U128+U129</f>
        <v>31144.74160756023</v>
      </c>
      <c r="V130" s="33"/>
      <c r="W130" s="33"/>
      <c r="X130" s="33"/>
      <c r="Y130" s="33">
        <f>+Y128+Y129</f>
        <v>9009.3985644748791</v>
      </c>
      <c r="Z130" s="33">
        <f t="shared" ref="Z130:AI130" si="356">+Z128+Z129</f>
        <v>8821.4392024313347</v>
      </c>
      <c r="AA130" s="33">
        <f t="shared" si="356"/>
        <v>9152.305447197823</v>
      </c>
      <c r="AB130" s="33">
        <f t="shared" si="356"/>
        <v>9578.4500552893478</v>
      </c>
      <c r="AC130" s="33">
        <f t="shared" si="356"/>
        <v>10387.887644426466</v>
      </c>
      <c r="AD130" s="33">
        <f t="shared" si="356"/>
        <v>9451.7413834396575</v>
      </c>
      <c r="AE130" s="33">
        <f t="shared" si="356"/>
        <v>8926.3846827061207</v>
      </c>
      <c r="AF130" s="33">
        <f t="shared" si="356"/>
        <v>9417.6422656634022</v>
      </c>
      <c r="AG130" s="33">
        <f t="shared" si="356"/>
        <v>11127.62938230384</v>
      </c>
      <c r="AH130" s="33">
        <f t="shared" si="356"/>
        <v>10465.81113968621</v>
      </c>
      <c r="AI130" s="33">
        <f t="shared" si="356"/>
        <v>10214.921244513662</v>
      </c>
      <c r="AJ130" s="33">
        <f t="shared" ref="AJ130:AQ130" si="357">+AJ128+AJ129</f>
        <v>10135.841009951586</v>
      </c>
      <c r="AK130" s="33">
        <f t="shared" si="357"/>
        <v>26069.750423267629</v>
      </c>
      <c r="AL130" s="33">
        <f t="shared" si="357"/>
        <v>25563.401917436415</v>
      </c>
      <c r="AM130" s="33">
        <f t="shared" si="357"/>
        <v>24463.028870439208</v>
      </c>
      <c r="AN130" s="33">
        <f t="shared" si="357"/>
        <v>24439.085385525326</v>
      </c>
      <c r="AO130" s="33">
        <f t="shared" si="357"/>
        <v>24304.270652819352</v>
      </c>
      <c r="AP130" s="33">
        <f t="shared" si="357"/>
        <v>24634.514102622998</v>
      </c>
      <c r="AQ130" s="33">
        <f t="shared" si="357"/>
        <v>23458.073867344872</v>
      </c>
      <c r="AR130" s="33">
        <f t="shared" ref="AR130:AW130" si="358">+AR128+AR129</f>
        <v>21529.098046293369</v>
      </c>
      <c r="AS130" s="33">
        <f t="shared" si="358"/>
        <v>21303.546924021277</v>
      </c>
      <c r="AT130" s="33">
        <f t="shared" si="358"/>
        <v>20691.699905200003</v>
      </c>
      <c r="AU130" s="33">
        <f t="shared" si="358"/>
        <v>20211.777312104387</v>
      </c>
      <c r="AV130" s="33">
        <f t="shared" si="358"/>
        <v>20253.604772477996</v>
      </c>
      <c r="AW130" s="33">
        <f t="shared" si="358"/>
        <v>18805.797403680725</v>
      </c>
      <c r="AX130" s="33">
        <f t="shared" ref="AX130:BC130" si="359">+AX128+AX129</f>
        <v>16472.64</v>
      </c>
      <c r="AY130" s="33">
        <f t="shared" si="359"/>
        <v>18960.837210986581</v>
      </c>
      <c r="AZ130" s="33">
        <f t="shared" si="359"/>
        <v>29820.502903978719</v>
      </c>
      <c r="BA130" s="33">
        <f t="shared" si="359"/>
        <v>21443.681619340339</v>
      </c>
      <c r="BB130" s="33">
        <f t="shared" si="359"/>
        <v>23186.455733035211</v>
      </c>
      <c r="BC130" s="33">
        <f t="shared" si="359"/>
        <v>24003.512829144773</v>
      </c>
      <c r="BD130" s="33">
        <f t="shared" ref="BD130:BI130" si="360">+BD128+BD129</f>
        <v>24885.354464412056</v>
      </c>
      <c r="BE130" s="33">
        <f t="shared" si="360"/>
        <v>24663.645860537999</v>
      </c>
      <c r="BF130" s="33">
        <f t="shared" si="360"/>
        <v>26446.565192072128</v>
      </c>
      <c r="BG130" s="33">
        <f t="shared" si="360"/>
        <v>29106.172388253512</v>
      </c>
      <c r="BH130" s="33">
        <f t="shared" si="360"/>
        <v>31548.161373598363</v>
      </c>
      <c r="BI130" s="33">
        <f t="shared" si="360"/>
        <v>31144.74160756023</v>
      </c>
      <c r="BJ130" s="33"/>
      <c r="BK130" s="33"/>
      <c r="BL130" s="37"/>
      <c r="BM130" s="37"/>
      <c r="BN130" s="33">
        <f>+BN128+BN129</f>
        <v>21443.681619340339</v>
      </c>
      <c r="BO130" s="33">
        <f t="shared" ref="BO130:CB130" si="361">+BO128+BO129</f>
        <v>23186.455733035211</v>
      </c>
      <c r="BP130" s="33">
        <f t="shared" si="361"/>
        <v>24003.512829144773</v>
      </c>
      <c r="BQ130" s="33">
        <f t="shared" si="361"/>
        <v>32572.944672421112</v>
      </c>
      <c r="BR130" s="33">
        <f>+BR128+BR129</f>
        <v>24663.645860537999</v>
      </c>
      <c r="BS130" s="33">
        <f t="shared" si="361"/>
        <v>0</v>
      </c>
      <c r="BT130" s="33">
        <f t="shared" si="361"/>
        <v>8411.8332647744428</v>
      </c>
      <c r="BU130" s="33">
        <f t="shared" si="361"/>
        <v>9934.3225492580877</v>
      </c>
      <c r="BV130" s="33">
        <f t="shared" si="361"/>
        <v>8568.3848446147294</v>
      </c>
      <c r="BW130" s="33">
        <f t="shared" si="361"/>
        <v>25563.401917436415</v>
      </c>
      <c r="BX130" s="33">
        <f t="shared" si="361"/>
        <v>24439.085385525326</v>
      </c>
      <c r="BY130" s="33">
        <f t="shared" si="361"/>
        <v>24634.514102622998</v>
      </c>
      <c r="BZ130" s="33">
        <f t="shared" si="361"/>
        <v>21529.098046293369</v>
      </c>
      <c r="CA130" s="33">
        <f t="shared" si="361"/>
        <v>20691.699905200003</v>
      </c>
      <c r="CB130" s="33">
        <f t="shared" si="361"/>
        <v>20253.604772477996</v>
      </c>
      <c r="CC130" s="33">
        <f>+CC128+CC129</f>
        <v>16472.64</v>
      </c>
      <c r="CD130" s="33">
        <f>+CD128+CD129</f>
        <v>23765.673343103728</v>
      </c>
      <c r="CE130" s="33">
        <f>+CE128+CE129</f>
        <v>23186.455733035211</v>
      </c>
      <c r="CF130" s="33">
        <f>+CF128+CF129</f>
        <v>24885.354464412056</v>
      </c>
      <c r="CG130" s="33">
        <f>+CG128+CG129</f>
        <v>26446.565192072128</v>
      </c>
      <c r="CI130" s="76"/>
      <c r="CJ130" s="76"/>
      <c r="CK130" s="76"/>
    </row>
    <row r="131" spans="2:89" ht="13.5" customHeight="1">
      <c r="B131" s="1" t="str">
        <f>+B56</f>
        <v xml:space="preserve">Cash </v>
      </c>
      <c r="D131" s="31">
        <f t="shared" ref="D131:J131" si="362">+D56/D$95</f>
        <v>3982.9558196905132</v>
      </c>
      <c r="E131" s="31">
        <f t="shared" si="362"/>
        <v>4141.6069267293542</v>
      </c>
      <c r="F131" s="31">
        <f t="shared" si="362"/>
        <v>4243.2548179871519</v>
      </c>
      <c r="G131" s="31">
        <f t="shared" si="362"/>
        <v>3617.5099410393532</v>
      </c>
      <c r="H131" s="31">
        <f t="shared" si="362"/>
        <v>4823.8742727401732</v>
      </c>
      <c r="I131" s="31">
        <f t="shared" si="362"/>
        <v>5489.5574219367072</v>
      </c>
      <c r="J131" s="31">
        <f t="shared" si="362"/>
        <v>4646.5553749007458</v>
      </c>
      <c r="K131" s="31">
        <f t="shared" ref="K131:P131" si="363">+K56/K$95</f>
        <v>6356.9728348574499</v>
      </c>
      <c r="L131" s="31">
        <f t="shared" si="363"/>
        <v>14696.885821056028</v>
      </c>
      <c r="M131" s="31">
        <f t="shared" si="363"/>
        <v>14821.596279083757</v>
      </c>
      <c r="N131" s="31">
        <f t="shared" si="363"/>
        <v>15118.750167197239</v>
      </c>
      <c r="O131" s="31">
        <f t="shared" si="363"/>
        <v>24911.532596773763</v>
      </c>
      <c r="P131" s="31">
        <f t="shared" si="363"/>
        <v>20728.742604353254</v>
      </c>
      <c r="Q131" s="31">
        <f>+Q56/Q$95</f>
        <v>26009.811105683111</v>
      </c>
      <c r="R131" s="31">
        <f>+R56/R$95</f>
        <v>19106.608178859486</v>
      </c>
      <c r="S131" s="31">
        <f>+S56/S$95</f>
        <v>25009.027876043583</v>
      </c>
      <c r="T131" s="31">
        <f>+T56/T$95</f>
        <v>19114.125893008866</v>
      </c>
      <c r="U131" s="31">
        <f>+U56/U$95</f>
        <v>20206.754443387166</v>
      </c>
      <c r="V131" s="31"/>
      <c r="W131" s="31"/>
      <c r="Y131" s="31">
        <f t="shared" ref="Y131:AI131" si="364">+Y56/Y$95</f>
        <v>5194.4317025547944</v>
      </c>
      <c r="Z131" s="31">
        <f t="shared" si="364"/>
        <v>4519.1436362087088</v>
      </c>
      <c r="AA131" s="31">
        <f t="shared" si="364"/>
        <v>5173.255689950327</v>
      </c>
      <c r="AB131" s="31">
        <f t="shared" si="364"/>
        <v>5489.5574219367072</v>
      </c>
      <c r="AC131" s="31">
        <f t="shared" si="364"/>
        <v>5310.5147523575961</v>
      </c>
      <c r="AD131" s="31">
        <f t="shared" si="364"/>
        <v>4264.3767554268543</v>
      </c>
      <c r="AE131" s="31">
        <f t="shared" si="364"/>
        <v>4602.1136412424239</v>
      </c>
      <c r="AF131" s="31">
        <f t="shared" si="364"/>
        <v>4646.5553749007458</v>
      </c>
      <c r="AG131" s="31">
        <f t="shared" si="364"/>
        <v>6779.5374010447513</v>
      </c>
      <c r="AH131" s="31">
        <f t="shared" si="364"/>
        <v>5989.5205136613904</v>
      </c>
      <c r="AI131" s="31">
        <f t="shared" si="364"/>
        <v>5978.4680730567743</v>
      </c>
      <c r="AJ131" s="31">
        <f t="shared" ref="AJ131:AP131" si="365">+AJ56/AJ$95</f>
        <v>6356.9728348574499</v>
      </c>
      <c r="AK131" s="31">
        <f t="shared" si="365"/>
        <v>15361.196940379732</v>
      </c>
      <c r="AL131" s="31">
        <f t="shared" si="365"/>
        <v>14762.971442746864</v>
      </c>
      <c r="AM131" s="31">
        <f t="shared" si="365"/>
        <v>13811.812270908078</v>
      </c>
      <c r="AN131" s="31">
        <f t="shared" si="365"/>
        <v>14696.885821056028</v>
      </c>
      <c r="AO131" s="31">
        <f t="shared" si="365"/>
        <v>14564.672378482534</v>
      </c>
      <c r="AP131" s="31">
        <f t="shared" si="365"/>
        <v>14786.564036014515</v>
      </c>
      <c r="AQ131" s="31">
        <f t="shared" ref="AQ131:AV131" si="366">+AQ56/AQ$95</f>
        <v>14594.999549863835</v>
      </c>
      <c r="AR131" s="31">
        <f t="shared" si="366"/>
        <v>14821.596279083757</v>
      </c>
      <c r="AS131" s="31">
        <f t="shared" si="366"/>
        <v>14818.39060155504</v>
      </c>
      <c r="AT131" s="31">
        <f t="shared" si="366"/>
        <v>14640.2250755</v>
      </c>
      <c r="AU131" s="31">
        <f t="shared" si="366"/>
        <v>14395.632007604398</v>
      </c>
      <c r="AV131" s="31">
        <f t="shared" si="366"/>
        <v>15118.750167197239</v>
      </c>
      <c r="AW131" s="31">
        <f t="shared" ref="AW131:BB131" si="367">+AW56/AW$95</f>
        <v>14999.374380897763</v>
      </c>
      <c r="AX131" s="31">
        <f t="shared" si="367"/>
        <v>13700.467199999999</v>
      </c>
      <c r="AY131" s="31">
        <f t="shared" si="367"/>
        <v>17751.15424308812</v>
      </c>
      <c r="AZ131" s="31">
        <f t="shared" si="367"/>
        <v>26009.811105683111</v>
      </c>
      <c r="BA131" s="31">
        <f t="shared" si="367"/>
        <v>16709.46639579011</v>
      </c>
      <c r="BB131" s="31">
        <f t="shared" si="367"/>
        <v>17779.16290181785</v>
      </c>
      <c r="BC131" s="31">
        <f t="shared" ref="BC131:BH131" si="368">+BC56/BC$95</f>
        <v>20090.689539087543</v>
      </c>
      <c r="BD131" s="31">
        <f t="shared" si="368"/>
        <v>19106.608178859486</v>
      </c>
      <c r="BE131" s="31">
        <f t="shared" si="368"/>
        <v>18619.221728910943</v>
      </c>
      <c r="BF131" s="31">
        <f t="shared" si="368"/>
        <v>18656.072411092595</v>
      </c>
      <c r="BG131" s="31">
        <f t="shared" si="368"/>
        <v>20765.657012591018</v>
      </c>
      <c r="BH131" s="31">
        <f t="shared" si="368"/>
        <v>19114.125893008866</v>
      </c>
      <c r="BI131" s="31">
        <f>+BI56/BI$95</f>
        <v>20206.754443387166</v>
      </c>
      <c r="BJ131" s="31"/>
      <c r="BK131" s="31"/>
      <c r="BL131" s="37"/>
      <c r="BM131" s="37"/>
      <c r="BN131" s="31">
        <f>+BN56/BN$95</f>
        <v>16709.46639579011</v>
      </c>
      <c r="BO131" s="31">
        <f t="shared" ref="BO131:CB131" si="369">+BO56/BO$95</f>
        <v>17779.16290181785</v>
      </c>
      <c r="BP131" s="31">
        <f t="shared" si="369"/>
        <v>20090.689539087543</v>
      </c>
      <c r="BQ131" s="31">
        <f t="shared" si="369"/>
        <v>25009.027876043583</v>
      </c>
      <c r="BR131" s="31">
        <f>+BR56/BR$95</f>
        <v>18619.221728910943</v>
      </c>
      <c r="BS131" s="31">
        <f t="shared" si="369"/>
        <v>0</v>
      </c>
      <c r="BT131" s="31">
        <f t="shared" si="369"/>
        <v>3617.5099410393532</v>
      </c>
      <c r="BU131" s="31">
        <f t="shared" si="369"/>
        <v>4952.5662855752862</v>
      </c>
      <c r="BV131" s="31">
        <f t="shared" si="369"/>
        <v>4823.8742727401732</v>
      </c>
      <c r="BW131" s="31">
        <f t="shared" si="369"/>
        <v>14762.971442746864</v>
      </c>
      <c r="BX131" s="31">
        <f t="shared" si="369"/>
        <v>14696.885821056028</v>
      </c>
      <c r="BY131" s="31">
        <f t="shared" si="369"/>
        <v>14786.564036014515</v>
      </c>
      <c r="BZ131" s="31">
        <f t="shared" si="369"/>
        <v>14821.596279083757</v>
      </c>
      <c r="CA131" s="31">
        <f t="shared" si="369"/>
        <v>14640.2250755</v>
      </c>
      <c r="CB131" s="31">
        <f t="shared" si="369"/>
        <v>15118.750167197239</v>
      </c>
      <c r="CC131" s="31">
        <f>+CC56/CC$95</f>
        <v>13700.467199999999</v>
      </c>
      <c r="CD131" s="31">
        <f>+CD56/CD$95</f>
        <v>20728.742604353254</v>
      </c>
      <c r="CE131" s="31">
        <f>+CE56/CE$95</f>
        <v>17779.16290181785</v>
      </c>
      <c r="CF131" s="31">
        <f>+CF56/CF$95</f>
        <v>19106.608178859486</v>
      </c>
      <c r="CG131" s="31">
        <f>+CG56/CG$95</f>
        <v>18656.072411092595</v>
      </c>
      <c r="CI131" s="76"/>
      <c r="CJ131" s="76"/>
      <c r="CK131" s="76"/>
    </row>
    <row r="132" spans="2:89" s="6" customFormat="1" ht="13.5" customHeight="1" thickBot="1">
      <c r="B132" s="34" t="str">
        <f>+B57</f>
        <v xml:space="preserve">Net debt </v>
      </c>
      <c r="D132" s="35">
        <f>D130-D131</f>
        <v>2963.6689840771473</v>
      </c>
      <c r="E132" s="35">
        <f t="shared" ref="E132:J132" si="370">E130-E131</f>
        <v>3809.7011451447734</v>
      </c>
      <c r="F132" s="35">
        <f t="shared" si="370"/>
        <v>4245.3961456102788</v>
      </c>
      <c r="G132" s="35">
        <f t="shared" si="370"/>
        <v>4794.3233237350896</v>
      </c>
      <c r="H132" s="35">
        <f t="shared" si="370"/>
        <v>3744.5105718745563</v>
      </c>
      <c r="I132" s="35">
        <f t="shared" si="370"/>
        <v>4088.8926333526406</v>
      </c>
      <c r="J132" s="35">
        <f t="shared" si="370"/>
        <v>4771.0868907626564</v>
      </c>
      <c r="K132" s="35">
        <f t="shared" ref="K132:P132" si="371">K130-K131</f>
        <v>3778.8681750941359</v>
      </c>
      <c r="L132" s="35">
        <f t="shared" si="371"/>
        <v>9742.1995644692979</v>
      </c>
      <c r="M132" s="35">
        <f t="shared" si="371"/>
        <v>6707.5017672096128</v>
      </c>
      <c r="N132" s="35">
        <f t="shared" si="371"/>
        <v>5134.8546052807578</v>
      </c>
      <c r="O132" s="35">
        <f t="shared" si="371"/>
        <v>8460.9293491345852</v>
      </c>
      <c r="P132" s="35">
        <f t="shared" si="371"/>
        <v>3036.9307387504741</v>
      </c>
      <c r="Q132" s="35">
        <f>Q130-Q131</f>
        <v>3810.6917982956074</v>
      </c>
      <c r="R132" s="35">
        <f>R130-R131</f>
        <v>5778.74628555257</v>
      </c>
      <c r="S132" s="35">
        <f>S130-S131</f>
        <v>7563.916796377529</v>
      </c>
      <c r="T132" s="35">
        <f>T130-T131</f>
        <v>12434.035480589497</v>
      </c>
      <c r="U132" s="35">
        <f>U130-U131</f>
        <v>10937.987164173064</v>
      </c>
      <c r="V132" s="35"/>
      <c r="W132" s="35"/>
      <c r="Y132" s="35">
        <f t="shared" ref="Y132:AI132" si="372">Y130-Y131</f>
        <v>3814.9668619200847</v>
      </c>
      <c r="Z132" s="35">
        <f t="shared" si="372"/>
        <v>4302.2955662226259</v>
      </c>
      <c r="AA132" s="35">
        <f t="shared" si="372"/>
        <v>3979.049757247496</v>
      </c>
      <c r="AB132" s="35">
        <f t="shared" si="372"/>
        <v>4088.8926333526406</v>
      </c>
      <c r="AC132" s="35">
        <f t="shared" si="372"/>
        <v>5077.37289206887</v>
      </c>
      <c r="AD132" s="35">
        <f t="shared" si="372"/>
        <v>5187.3646280128032</v>
      </c>
      <c r="AE132" s="35">
        <f t="shared" si="372"/>
        <v>4324.2710414636967</v>
      </c>
      <c r="AF132" s="35">
        <f t="shared" si="372"/>
        <v>4771.0868907626564</v>
      </c>
      <c r="AG132" s="35">
        <f t="shared" si="372"/>
        <v>4348.0919812590882</v>
      </c>
      <c r="AH132" s="35">
        <f t="shared" si="372"/>
        <v>4476.2906260248192</v>
      </c>
      <c r="AI132" s="35">
        <f t="shared" si="372"/>
        <v>4236.4531714568875</v>
      </c>
      <c r="AJ132" s="35">
        <f t="shared" ref="AJ132:AQ132" si="373">AJ130-AJ131</f>
        <v>3778.8681750941359</v>
      </c>
      <c r="AK132" s="35">
        <f t="shared" si="373"/>
        <v>10708.553482887897</v>
      </c>
      <c r="AL132" s="35">
        <f t="shared" si="373"/>
        <v>10800.43047468955</v>
      </c>
      <c r="AM132" s="35">
        <f t="shared" si="373"/>
        <v>10651.21659953113</v>
      </c>
      <c r="AN132" s="35">
        <f t="shared" si="373"/>
        <v>9742.1995644692979</v>
      </c>
      <c r="AO132" s="35">
        <f t="shared" si="373"/>
        <v>9739.5982743368186</v>
      </c>
      <c r="AP132" s="35">
        <f t="shared" si="373"/>
        <v>9847.9500666084823</v>
      </c>
      <c r="AQ132" s="35">
        <f t="shared" si="373"/>
        <v>8863.0743174810377</v>
      </c>
      <c r="AR132" s="35">
        <f t="shared" ref="AR132:AW132" si="374">AR130-AR131</f>
        <v>6707.5017672096128</v>
      </c>
      <c r="AS132" s="35">
        <f t="shared" si="374"/>
        <v>6485.1563224662368</v>
      </c>
      <c r="AT132" s="35">
        <f t="shared" si="374"/>
        <v>6051.4748297000024</v>
      </c>
      <c r="AU132" s="35">
        <f t="shared" si="374"/>
        <v>5816.1453044999889</v>
      </c>
      <c r="AV132" s="35">
        <f t="shared" si="374"/>
        <v>5134.8546052807578</v>
      </c>
      <c r="AW132" s="35">
        <f t="shared" si="374"/>
        <v>3806.4230227829612</v>
      </c>
      <c r="AX132" s="35">
        <f t="shared" ref="AX132:BC132" si="375">AX130-AX131</f>
        <v>2772.1728000000003</v>
      </c>
      <c r="AY132" s="35">
        <f t="shared" si="375"/>
        <v>1209.6829678984614</v>
      </c>
      <c r="AZ132" s="35">
        <f t="shared" si="375"/>
        <v>3810.6917982956074</v>
      </c>
      <c r="BA132" s="35">
        <f t="shared" si="375"/>
        <v>4734.215223550229</v>
      </c>
      <c r="BB132" s="35">
        <f t="shared" si="375"/>
        <v>5407.2928312173608</v>
      </c>
      <c r="BC132" s="35">
        <f t="shared" si="375"/>
        <v>3912.8232900572293</v>
      </c>
      <c r="BD132" s="35">
        <f t="shared" ref="BD132:BI132" si="376">BD130-BD131</f>
        <v>5778.74628555257</v>
      </c>
      <c r="BE132" s="35">
        <f t="shared" si="376"/>
        <v>6044.4241316270563</v>
      </c>
      <c r="BF132" s="35">
        <f t="shared" si="376"/>
        <v>7790.4927809795336</v>
      </c>
      <c r="BG132" s="35">
        <f t="shared" si="376"/>
        <v>8340.5153756624932</v>
      </c>
      <c r="BH132" s="35">
        <f t="shared" si="376"/>
        <v>12434.035480589497</v>
      </c>
      <c r="BI132" s="35">
        <f t="shared" si="376"/>
        <v>10937.987164173064</v>
      </c>
      <c r="BJ132" s="33"/>
      <c r="BK132" s="33"/>
      <c r="BL132" s="37"/>
      <c r="BM132" s="37"/>
      <c r="BN132" s="35">
        <f>BN130-BN131</f>
        <v>4734.215223550229</v>
      </c>
      <c r="BO132" s="35">
        <f t="shared" ref="BO132:CB132" si="377">BO130-BO131</f>
        <v>5407.2928312173608</v>
      </c>
      <c r="BP132" s="35">
        <f t="shared" si="377"/>
        <v>3912.8232900572293</v>
      </c>
      <c r="BQ132" s="35">
        <f t="shared" si="377"/>
        <v>7563.916796377529</v>
      </c>
      <c r="BR132" s="35">
        <f>BR130-BR131</f>
        <v>6044.4241316270563</v>
      </c>
      <c r="BS132" s="35">
        <f t="shared" si="377"/>
        <v>0</v>
      </c>
      <c r="BT132" s="35">
        <f t="shared" si="377"/>
        <v>4794.3233237350896</v>
      </c>
      <c r="BU132" s="35">
        <f t="shared" si="377"/>
        <v>4981.7562636828015</v>
      </c>
      <c r="BV132" s="35">
        <f t="shared" si="377"/>
        <v>3744.5105718745563</v>
      </c>
      <c r="BW132" s="35">
        <f t="shared" si="377"/>
        <v>10800.43047468955</v>
      </c>
      <c r="BX132" s="35">
        <f t="shared" si="377"/>
        <v>9742.1995644692979</v>
      </c>
      <c r="BY132" s="35">
        <f t="shared" si="377"/>
        <v>9847.9500666084823</v>
      </c>
      <c r="BZ132" s="35">
        <f t="shared" si="377"/>
        <v>6707.5017672096128</v>
      </c>
      <c r="CA132" s="35">
        <f t="shared" si="377"/>
        <v>6051.4748297000024</v>
      </c>
      <c r="CB132" s="35">
        <f t="shared" si="377"/>
        <v>5134.8546052807578</v>
      </c>
      <c r="CC132" s="35">
        <f>CC130-CC131</f>
        <v>2772.1728000000003</v>
      </c>
      <c r="CD132" s="35">
        <f>CD130-CD131</f>
        <v>3036.9307387504741</v>
      </c>
      <c r="CE132" s="35">
        <f>CE130-CE131</f>
        <v>5407.2928312173608</v>
      </c>
      <c r="CF132" s="35">
        <f>CF130-CF131</f>
        <v>5778.74628555257</v>
      </c>
      <c r="CG132" s="35">
        <f>CG130-CG131</f>
        <v>7790.4927809795336</v>
      </c>
      <c r="CI132" s="76"/>
      <c r="CJ132" s="76"/>
      <c r="CK132" s="76"/>
    </row>
    <row r="133" spans="2:89" ht="13.5" customHeight="1" thickTop="1">
      <c r="BL133" s="37"/>
      <c r="BM133" s="37"/>
      <c r="CI133" s="76"/>
      <c r="CJ133" s="76"/>
      <c r="CK133" s="76"/>
    </row>
    <row r="134" spans="2:89" ht="13.5" customHeight="1">
      <c r="B134" s="1" t="str">
        <f>+B59</f>
        <v>Equity (as reported on balance sheet)</v>
      </c>
      <c r="D134" s="31">
        <f t="shared" ref="D134:J137" si="378">+D59/D$95</f>
        <v>13602.265081856918</v>
      </c>
      <c r="E134" s="31">
        <f t="shared" si="378"/>
        <v>12191.602271669304</v>
      </c>
      <c r="F134" s="31">
        <f t="shared" si="378"/>
        <v>12548.608137044968</v>
      </c>
      <c r="G134" s="31">
        <f t="shared" si="378"/>
        <v>11543.603455368162</v>
      </c>
      <c r="H134" s="31">
        <f t="shared" si="378"/>
        <v>10462.863062296014</v>
      </c>
      <c r="I134" s="31">
        <f t="shared" si="378"/>
        <v>11302.990363856563</v>
      </c>
      <c r="J134" s="31">
        <f t="shared" si="378"/>
        <v>8877.8330245396464</v>
      </c>
      <c r="K134" s="31">
        <f t="shared" ref="K134:L137" si="379">+K59/K$95</f>
        <v>8346.5631724045179</v>
      </c>
      <c r="L134" s="31">
        <f t="shared" si="379"/>
        <v>11838.779976341542</v>
      </c>
      <c r="M134" s="31">
        <f t="shared" ref="M134:N137" si="380">+M59/M$95</f>
        <v>9107.1502052971173</v>
      </c>
      <c r="N134" s="31">
        <f t="shared" si="380"/>
        <v>13225.863406543431</v>
      </c>
      <c r="O134" s="31">
        <f t="shared" ref="O134:P137" si="381">+O59/O$95</f>
        <v>32633.316390679756</v>
      </c>
      <c r="P134" s="31">
        <f t="shared" si="381"/>
        <v>26320.530043966781</v>
      </c>
      <c r="Q134" s="31">
        <f t="shared" ref="Q134:R137" si="382">+Q59/Q$95</f>
        <v>33026.176518482331</v>
      </c>
      <c r="R134" s="31">
        <f t="shared" si="382"/>
        <v>24300.665062968728</v>
      </c>
      <c r="S134" s="31">
        <f t="shared" ref="S134:T137" si="383">+S59/S$95</f>
        <v>31807.584547898685</v>
      </c>
      <c r="T134" s="31">
        <f t="shared" si="383"/>
        <v>25433.102025899294</v>
      </c>
      <c r="U134" s="31">
        <f>+U59/U$95</f>
        <v>25734.68575169221</v>
      </c>
      <c r="Y134" s="31">
        <f t="shared" ref="Y134:AI134" si="384">+Y59/Y$95</f>
        <v>10100.271979759646</v>
      </c>
      <c r="Z134" s="31">
        <f t="shared" si="384"/>
        <v>11136.298179339336</v>
      </c>
      <c r="AA134" s="31">
        <f t="shared" si="384"/>
        <v>11565.35570959504</v>
      </c>
      <c r="AB134" s="31">
        <f t="shared" si="384"/>
        <v>11302.990363856563</v>
      </c>
      <c r="AC134" s="31">
        <f t="shared" si="384"/>
        <v>10189.339367431043</v>
      </c>
      <c r="AD134" s="31">
        <f t="shared" si="384"/>
        <v>9283.2981340765091</v>
      </c>
      <c r="AE134" s="31">
        <f t="shared" si="384"/>
        <v>7458.1954787892801</v>
      </c>
      <c r="AF134" s="31">
        <f t="shared" si="384"/>
        <v>8877.8330245396464</v>
      </c>
      <c r="AG134" s="31">
        <f t="shared" si="384"/>
        <v>7903.8664799755861</v>
      </c>
      <c r="AH134" s="31">
        <f t="shared" si="384"/>
        <v>8047.4242711911211</v>
      </c>
      <c r="AI134" s="31">
        <f t="shared" si="384"/>
        <v>8402.1709967435927</v>
      </c>
      <c r="AJ134" s="31">
        <f t="shared" ref="AJ134:AL137" si="385">+AJ59/AJ$95</f>
        <v>8346.5631724045179</v>
      </c>
      <c r="AK134" s="31">
        <f t="shared" si="385"/>
        <v>11451.309408634661</v>
      </c>
      <c r="AL134" s="31">
        <f t="shared" si="385"/>
        <v>11387.496826161187</v>
      </c>
      <c r="AM134" s="31">
        <f t="shared" ref="AM134:AP137" si="386">+AM59/AM$95</f>
        <v>10825.451966790575</v>
      </c>
      <c r="AN134" s="31">
        <f t="shared" si="386"/>
        <v>11838.779976341542</v>
      </c>
      <c r="AO134" s="31">
        <f t="shared" si="386"/>
        <v>11239.420012360792</v>
      </c>
      <c r="AP134" s="31">
        <f t="shared" si="386"/>
        <v>11130.81595387937</v>
      </c>
      <c r="AQ134" s="31">
        <f t="shared" ref="AQ134:AT137" si="387">+AQ59/AQ$95</f>
        <v>11724.746685872477</v>
      </c>
      <c r="AR134" s="31">
        <f t="shared" si="387"/>
        <v>9107.1502052971173</v>
      </c>
      <c r="AS134" s="31">
        <f t="shared" si="387"/>
        <v>9478.5670440594731</v>
      </c>
      <c r="AT134" s="31">
        <f t="shared" si="387"/>
        <v>9857.4931589000007</v>
      </c>
      <c r="AU134" s="31">
        <f t="shared" ref="AU134:AX137" si="388">+AU59/AU$95</f>
        <v>11020.567629458403</v>
      </c>
      <c r="AV134" s="31">
        <f t="shared" si="388"/>
        <v>13225.863406543431</v>
      </c>
      <c r="AW134" s="31">
        <f t="shared" si="388"/>
        <v>13307.38751889891</v>
      </c>
      <c r="AX134" s="31">
        <f t="shared" si="388"/>
        <v>11114.1888</v>
      </c>
      <c r="AY134" s="31">
        <f t="shared" ref="AY134:BB137" si="389">+AY59/AY$95</f>
        <v>12646.050225416886</v>
      </c>
      <c r="AZ134" s="31">
        <f t="shared" si="389"/>
        <v>33026.176518482331</v>
      </c>
      <c r="BA134" s="31">
        <f t="shared" si="389"/>
        <v>23273.76309810438</v>
      </c>
      <c r="BB134" s="31">
        <f t="shared" si="389"/>
        <v>24347.244130664505</v>
      </c>
      <c r="BC134" s="31">
        <f t="shared" ref="BC134:BF137" si="390">+BC59/BC$95</f>
        <v>24642.408629850266</v>
      </c>
      <c r="BD134" s="31">
        <f t="shared" si="390"/>
        <v>24300.665062968728</v>
      </c>
      <c r="BE134" s="31">
        <f t="shared" si="390"/>
        <v>23943.013841734133</v>
      </c>
      <c r="BF134" s="31">
        <f t="shared" si="390"/>
        <v>24081.281752645638</v>
      </c>
      <c r="BG134" s="31">
        <f t="shared" ref="BG134:BI137" si="391">+BG59/BG$95</f>
        <v>25004.328463010879</v>
      </c>
      <c r="BH134" s="31">
        <f t="shared" si="391"/>
        <v>25433.102025899294</v>
      </c>
      <c r="BI134" s="31">
        <f t="shared" si="391"/>
        <v>25734.68575169221</v>
      </c>
      <c r="BJ134" s="31"/>
      <c r="BK134" s="31"/>
      <c r="BL134" s="37"/>
      <c r="BM134" s="37"/>
      <c r="BN134" s="31">
        <f t="shared" ref="BN134:CB137" si="392">+BN59/BN$95</f>
        <v>23273.76309810438</v>
      </c>
      <c r="BO134" s="31">
        <f t="shared" si="392"/>
        <v>24347.244130664505</v>
      </c>
      <c r="BP134" s="31">
        <f t="shared" si="392"/>
        <v>24642.408629850266</v>
      </c>
      <c r="BQ134" s="31">
        <f t="shared" si="392"/>
        <v>31807.584547898685</v>
      </c>
      <c r="BR134" s="31">
        <f>+BR59/BR$95</f>
        <v>23943.013841734133</v>
      </c>
      <c r="BS134" s="31">
        <f t="shared" si="392"/>
        <v>0</v>
      </c>
      <c r="BT134" s="31">
        <f t="shared" si="392"/>
        <v>11543.603455368162</v>
      </c>
      <c r="BU134" s="31">
        <f t="shared" si="392"/>
        <v>11730.896201827849</v>
      </c>
      <c r="BV134" s="31">
        <f t="shared" si="392"/>
        <v>10462.863062296014</v>
      </c>
      <c r="BW134" s="31">
        <f t="shared" si="392"/>
        <v>11387.496826161187</v>
      </c>
      <c r="BX134" s="31">
        <f t="shared" si="392"/>
        <v>11838.779976341542</v>
      </c>
      <c r="BY134" s="31">
        <f t="shared" si="392"/>
        <v>11130.81595387937</v>
      </c>
      <c r="BZ134" s="31">
        <f t="shared" si="392"/>
        <v>9107.1502052971173</v>
      </c>
      <c r="CA134" s="31">
        <f t="shared" si="392"/>
        <v>9857.4931589000007</v>
      </c>
      <c r="CB134" s="31">
        <f t="shared" si="392"/>
        <v>13225.863406543431</v>
      </c>
      <c r="CC134" s="31">
        <f t="shared" ref="CC134:CD137" si="393">+CC59/CC$95</f>
        <v>11114.1888</v>
      </c>
      <c r="CD134" s="31">
        <f t="shared" si="393"/>
        <v>26320.530043966781</v>
      </c>
      <c r="CE134" s="31">
        <f t="shared" ref="CE134:CF137" si="394">+CE59/CE$95</f>
        <v>24347.244130664505</v>
      </c>
      <c r="CF134" s="31">
        <f t="shared" si="394"/>
        <v>24300.665062968728</v>
      </c>
      <c r="CG134" s="31">
        <f>+CG59/CG$95</f>
        <v>24081.281752645638</v>
      </c>
      <c r="CI134" s="76"/>
      <c r="CJ134" s="76"/>
      <c r="CK134" s="76"/>
    </row>
    <row r="135" spans="2:89" ht="13.5" customHeight="1">
      <c r="B135" s="1" t="str">
        <f>+B60</f>
        <v>Market Cap</v>
      </c>
      <c r="D135" s="31">
        <f t="shared" si="378"/>
        <v>13165.507961426329</v>
      </c>
      <c r="E135" s="31">
        <f t="shared" si="378"/>
        <v>10389.163020202961</v>
      </c>
      <c r="F135" s="31">
        <f t="shared" si="378"/>
        <v>13466.809421841543</v>
      </c>
      <c r="G135" s="31">
        <f t="shared" si="378"/>
        <v>9501.2340600575899</v>
      </c>
      <c r="H135" s="31">
        <f t="shared" si="378"/>
        <v>9931.9972754363553</v>
      </c>
      <c r="I135" s="31">
        <f t="shared" si="378"/>
        <v>12338.316844821233</v>
      </c>
      <c r="J135" s="31">
        <f t="shared" si="378"/>
        <v>6807.9085718607039</v>
      </c>
      <c r="K135" s="31">
        <f t="shared" si="379"/>
        <v>5648.3660570199027</v>
      </c>
      <c r="L135" s="31">
        <f t="shared" si="379"/>
        <v>7622.1905581245301</v>
      </c>
      <c r="M135" s="31">
        <f t="shared" si="380"/>
        <v>5420.8365293507195</v>
      </c>
      <c r="N135" s="31">
        <f t="shared" si="380"/>
        <v>10267.087557850246</v>
      </c>
      <c r="O135" s="31">
        <f t="shared" si="381"/>
        <v>10246.876755571013</v>
      </c>
      <c r="P135" s="31">
        <f t="shared" si="381"/>
        <v>15067.171470444553</v>
      </c>
      <c r="Q135" s="31">
        <f t="shared" si="382"/>
        <v>15067.171470444553</v>
      </c>
      <c r="R135" s="31">
        <f t="shared" si="382"/>
        <v>12817.64228102448</v>
      </c>
      <c r="S135" s="31">
        <f t="shared" si="383"/>
        <v>12817.64228102448</v>
      </c>
      <c r="T135" s="31">
        <f t="shared" si="383"/>
        <v>13193.444168468784</v>
      </c>
      <c r="U135" s="31">
        <f>+U60/U$95</f>
        <v>10553.476988417162</v>
      </c>
      <c r="Y135" s="31">
        <f t="shared" ref="Y135:AI135" si="395">+Y60/Y$95</f>
        <v>10704.846978247118</v>
      </c>
      <c r="Z135" s="31">
        <f t="shared" si="395"/>
        <v>11654.168102934076</v>
      </c>
      <c r="AA135" s="31">
        <f t="shared" si="395"/>
        <v>11635.8241798333</v>
      </c>
      <c r="AB135" s="31">
        <f t="shared" si="395"/>
        <v>12338.316844821233</v>
      </c>
      <c r="AC135" s="31">
        <f t="shared" si="395"/>
        <v>10476.215032993707</v>
      </c>
      <c r="AD135" s="31">
        <f t="shared" si="395"/>
        <v>7851.3509024799141</v>
      </c>
      <c r="AE135" s="31">
        <f t="shared" si="395"/>
        <v>7143.8464769893817</v>
      </c>
      <c r="AF135" s="31">
        <f t="shared" si="395"/>
        <v>6807.9085718607039</v>
      </c>
      <c r="AG135" s="31">
        <f t="shared" si="395"/>
        <v>7324.5011973360615</v>
      </c>
      <c r="AH135" s="31">
        <f t="shared" si="395"/>
        <v>7677.2444068557224</v>
      </c>
      <c r="AI135" s="31">
        <f t="shared" si="395"/>
        <v>8486.8029130681007</v>
      </c>
      <c r="AJ135" s="31">
        <f t="shared" si="385"/>
        <v>5648.3660570199027</v>
      </c>
      <c r="AK135" s="31">
        <f t="shared" si="385"/>
        <v>5148.3115854395946</v>
      </c>
      <c r="AL135" s="31">
        <f t="shared" si="385"/>
        <v>6660.8537845291776</v>
      </c>
      <c r="AM135" s="31">
        <f t="shared" si="386"/>
        <v>4712</v>
      </c>
      <c r="AN135" s="31">
        <f t="shared" si="386"/>
        <v>7622.1905581245301</v>
      </c>
      <c r="AO135" s="31">
        <f t="shared" si="386"/>
        <v>5964.9026284855618</v>
      </c>
      <c r="AP135" s="31">
        <f t="shared" si="386"/>
        <v>5338.2114474711752</v>
      </c>
      <c r="AQ135" s="31">
        <f t="shared" si="387"/>
        <v>8972.184960950688</v>
      </c>
      <c r="AR135" s="31">
        <f t="shared" si="387"/>
        <v>5420.8365293507195</v>
      </c>
      <c r="AS135" s="31">
        <f t="shared" si="387"/>
        <v>6714.6637566498421</v>
      </c>
      <c r="AT135" s="31">
        <f t="shared" si="387"/>
        <v>3223.7640000000001</v>
      </c>
      <c r="AU135" s="31">
        <f t="shared" si="388"/>
        <v>8696.9636414698962</v>
      </c>
      <c r="AV135" s="31">
        <f t="shared" si="388"/>
        <v>10267.087557850246</v>
      </c>
      <c r="AW135" s="31">
        <f t="shared" si="388"/>
        <v>10130.337312965956</v>
      </c>
      <c r="AX135" s="31">
        <f t="shared" si="388"/>
        <v>12840.230399999999</v>
      </c>
      <c r="AY135" s="31">
        <f t="shared" si="389"/>
        <v>13639.999999999998</v>
      </c>
      <c r="AZ135" s="31">
        <f t="shared" si="389"/>
        <v>15067.171470444553</v>
      </c>
      <c r="BA135" s="31">
        <f t="shared" si="389"/>
        <v>15567.34560498676</v>
      </c>
      <c r="BB135" s="31">
        <f t="shared" si="389"/>
        <v>14618.129469960335</v>
      </c>
      <c r="BC135" s="31">
        <f t="shared" si="390"/>
        <v>12226.472094963483</v>
      </c>
      <c r="BD135" s="31">
        <f t="shared" si="390"/>
        <v>12817.64228102448</v>
      </c>
      <c r="BE135" s="31">
        <f t="shared" si="390"/>
        <v>10835.020109689214</v>
      </c>
      <c r="BF135" s="31">
        <f t="shared" si="390"/>
        <v>9802.6140083134196</v>
      </c>
      <c r="BG135" s="31">
        <f t="shared" si="391"/>
        <v>11750.189971432144</v>
      </c>
      <c r="BH135" s="31">
        <f t="shared" si="391"/>
        <v>13193.444168468784</v>
      </c>
      <c r="BI135" s="31">
        <f t="shared" si="391"/>
        <v>10553.476988417162</v>
      </c>
      <c r="BJ135" s="31"/>
      <c r="BK135" s="31"/>
      <c r="BL135" s="37"/>
      <c r="BM135" s="37"/>
      <c r="BN135" s="31">
        <f t="shared" si="392"/>
        <v>15567.34560498676</v>
      </c>
      <c r="BO135" s="31">
        <f t="shared" si="392"/>
        <v>14618.129469960335</v>
      </c>
      <c r="BP135" s="31">
        <f t="shared" si="392"/>
        <v>12226.472094963483</v>
      </c>
      <c r="BQ135" s="31">
        <f t="shared" si="392"/>
        <v>12817.64228102448</v>
      </c>
      <c r="BR135" s="31">
        <f>+BR60/BR$95</f>
        <v>10835.020109689214</v>
      </c>
      <c r="BS135" s="31">
        <f t="shared" si="392"/>
        <v>0</v>
      </c>
      <c r="BT135" s="31">
        <f t="shared" si="392"/>
        <v>9501.2340600575899</v>
      </c>
      <c r="BU135" s="31">
        <f t="shared" si="392"/>
        <v>11781.978663516004</v>
      </c>
      <c r="BV135" s="31">
        <f t="shared" si="392"/>
        <v>9931.9972754363553</v>
      </c>
      <c r="BW135" s="31">
        <f t="shared" si="392"/>
        <v>6660.8537845291776</v>
      </c>
      <c r="BX135" s="31">
        <f t="shared" si="392"/>
        <v>7622.1905581245301</v>
      </c>
      <c r="BY135" s="31">
        <f t="shared" si="392"/>
        <v>5338.2114474711752</v>
      </c>
      <c r="BZ135" s="31">
        <f t="shared" si="392"/>
        <v>5420.8365293507195</v>
      </c>
      <c r="CA135" s="31">
        <f t="shared" si="392"/>
        <v>3223.7640000000001</v>
      </c>
      <c r="CB135" s="31">
        <f t="shared" si="392"/>
        <v>10267.087557850246</v>
      </c>
      <c r="CC135" s="31">
        <f t="shared" si="393"/>
        <v>12840.230399999999</v>
      </c>
      <c r="CD135" s="31">
        <f t="shared" si="393"/>
        <v>15067.171470444553</v>
      </c>
      <c r="CE135" s="31">
        <f t="shared" si="394"/>
        <v>14618.129469960335</v>
      </c>
      <c r="CF135" s="31">
        <f t="shared" si="394"/>
        <v>12817.64228102448</v>
      </c>
      <c r="CG135" s="31">
        <f>+CG60/CG$95</f>
        <v>9802.6140083134196</v>
      </c>
      <c r="CI135" s="76"/>
      <c r="CJ135" s="76"/>
      <c r="CK135" s="76"/>
    </row>
    <row r="136" spans="2:89" s="6" customFormat="1" ht="13.5" customHeight="1">
      <c r="B136" s="6" t="str">
        <f>+B61</f>
        <v xml:space="preserve">Total debt + Market Cap </v>
      </c>
      <c r="D136" s="33">
        <f t="shared" si="378"/>
        <v>20112.13276519399</v>
      </c>
      <c r="E136" s="33">
        <f t="shared" si="378"/>
        <v>18340.471092077089</v>
      </c>
      <c r="F136" s="33">
        <f t="shared" si="378"/>
        <v>21955.460385438972</v>
      </c>
      <c r="G136" s="33">
        <f t="shared" si="378"/>
        <v>17913.067324832031</v>
      </c>
      <c r="H136" s="33">
        <f t="shared" si="378"/>
        <v>18500.382120051087</v>
      </c>
      <c r="I136" s="33">
        <f t="shared" si="378"/>
        <v>21916.766900110582</v>
      </c>
      <c r="J136" s="33">
        <f t="shared" si="378"/>
        <v>16225.550837524106</v>
      </c>
      <c r="K136" s="33">
        <f t="shared" si="379"/>
        <v>15784.207066971489</v>
      </c>
      <c r="L136" s="33">
        <f t="shared" si="379"/>
        <v>32061.275943649856</v>
      </c>
      <c r="M136" s="33">
        <f t="shared" si="380"/>
        <v>26949.934575644093</v>
      </c>
      <c r="N136" s="33">
        <f t="shared" si="380"/>
        <v>30520.692330328242</v>
      </c>
      <c r="O136" s="33">
        <f t="shared" si="381"/>
        <v>43619.338701479362</v>
      </c>
      <c r="P136" s="33">
        <f t="shared" si="381"/>
        <v>38832.844813548283</v>
      </c>
      <c r="Q136" s="33">
        <f t="shared" si="382"/>
        <v>44887.674374423274</v>
      </c>
      <c r="R136" s="33">
        <f t="shared" si="382"/>
        <v>37702.99674543654</v>
      </c>
      <c r="S136" s="33">
        <f t="shared" si="383"/>
        <v>45390.586953445592</v>
      </c>
      <c r="T136" s="33">
        <f t="shared" si="383"/>
        <v>44741.605542067147</v>
      </c>
      <c r="U136" s="33">
        <f>+U61/U$95</f>
        <v>41698.218595977392</v>
      </c>
      <c r="Y136" s="33">
        <f t="shared" ref="Y136:AI136" si="396">+Y61/Y$95</f>
        <v>19714.245542721997</v>
      </c>
      <c r="Z136" s="33">
        <f t="shared" si="396"/>
        <v>20475.607305365415</v>
      </c>
      <c r="AA136" s="33">
        <f t="shared" si="396"/>
        <v>20788.129627031125</v>
      </c>
      <c r="AB136" s="33">
        <f t="shared" si="396"/>
        <v>21916.766900110582</v>
      </c>
      <c r="AC136" s="33">
        <f t="shared" si="396"/>
        <v>20864.102677420171</v>
      </c>
      <c r="AD136" s="33">
        <f t="shared" si="396"/>
        <v>17303.092285919567</v>
      </c>
      <c r="AE136" s="33">
        <f t="shared" si="396"/>
        <v>16070.231159695504</v>
      </c>
      <c r="AF136" s="33">
        <f t="shared" si="396"/>
        <v>16225.550837524106</v>
      </c>
      <c r="AG136" s="33">
        <f t="shared" si="396"/>
        <v>18452.130579639899</v>
      </c>
      <c r="AH136" s="33">
        <f t="shared" si="396"/>
        <v>18143.055546541935</v>
      </c>
      <c r="AI136" s="33">
        <f t="shared" si="396"/>
        <v>18701.724157581764</v>
      </c>
      <c r="AJ136" s="33">
        <f t="shared" si="385"/>
        <v>15784.207066971489</v>
      </c>
      <c r="AK136" s="33">
        <f t="shared" si="385"/>
        <v>31218.06200870722</v>
      </c>
      <c r="AL136" s="33">
        <f t="shared" si="385"/>
        <v>32224.255701965594</v>
      </c>
      <c r="AM136" s="33">
        <f t="shared" si="386"/>
        <v>29175.028870439208</v>
      </c>
      <c r="AN136" s="33">
        <f t="shared" si="386"/>
        <v>32061.275943649856</v>
      </c>
      <c r="AO136" s="33">
        <f t="shared" si="386"/>
        <v>30269.173281304913</v>
      </c>
      <c r="AP136" s="33">
        <f t="shared" si="386"/>
        <v>29972.725550094172</v>
      </c>
      <c r="AQ136" s="33">
        <f t="shared" si="387"/>
        <v>32430.258828295558</v>
      </c>
      <c r="AR136" s="33">
        <f t="shared" si="387"/>
        <v>26949.934575644093</v>
      </c>
      <c r="AS136" s="33">
        <f t="shared" si="387"/>
        <v>28018.21068067112</v>
      </c>
      <c r="AT136" s="33">
        <f t="shared" si="387"/>
        <v>23915.463905199998</v>
      </c>
      <c r="AU136" s="33">
        <f t="shared" si="388"/>
        <v>28908.740953574285</v>
      </c>
      <c r="AV136" s="33">
        <f t="shared" si="388"/>
        <v>30520.692330328242</v>
      </c>
      <c r="AW136" s="33">
        <f t="shared" si="388"/>
        <v>28936.13471664668</v>
      </c>
      <c r="AX136" s="33">
        <f t="shared" si="388"/>
        <v>29312.8704</v>
      </c>
      <c r="AY136" s="33">
        <f t="shared" si="389"/>
        <v>32600.837210986581</v>
      </c>
      <c r="AZ136" s="33">
        <f t="shared" si="389"/>
        <v>44887.674374423274</v>
      </c>
      <c r="BA136" s="33">
        <f t="shared" si="389"/>
        <v>37011.027224327103</v>
      </c>
      <c r="BB136" s="33">
        <f t="shared" si="389"/>
        <v>37804.585202995542</v>
      </c>
      <c r="BC136" s="33">
        <f t="shared" si="390"/>
        <v>36229.984924108256</v>
      </c>
      <c r="BD136" s="33">
        <f t="shared" si="390"/>
        <v>37702.99674543654</v>
      </c>
      <c r="BE136" s="33">
        <f t="shared" si="390"/>
        <v>35498.665970227215</v>
      </c>
      <c r="BF136" s="33">
        <f t="shared" si="390"/>
        <v>36249.179200385552</v>
      </c>
      <c r="BG136" s="33">
        <f t="shared" si="391"/>
        <v>40856.362359685656</v>
      </c>
      <c r="BH136" s="33">
        <f t="shared" si="391"/>
        <v>44741.605542067147</v>
      </c>
      <c r="BI136" s="33">
        <f t="shared" si="391"/>
        <v>41698.218595977392</v>
      </c>
      <c r="BJ136" s="33"/>
      <c r="BK136" s="33"/>
      <c r="BL136" s="37"/>
      <c r="BM136" s="37"/>
      <c r="BN136" s="33">
        <f t="shared" si="392"/>
        <v>37011.027224327103</v>
      </c>
      <c r="BO136" s="33">
        <f t="shared" si="392"/>
        <v>37804.585202995542</v>
      </c>
      <c r="BP136" s="33">
        <f t="shared" si="392"/>
        <v>36229.984924108256</v>
      </c>
      <c r="BQ136" s="33">
        <f t="shared" si="392"/>
        <v>45390.586953445592</v>
      </c>
      <c r="BR136" s="33">
        <f>+BR61/BR$95</f>
        <v>35498.665970227215</v>
      </c>
      <c r="BS136" s="33">
        <f t="shared" si="392"/>
        <v>0</v>
      </c>
      <c r="BT136" s="33">
        <f t="shared" si="392"/>
        <v>17913.067324832031</v>
      </c>
      <c r="BU136" s="33">
        <f t="shared" si="392"/>
        <v>21716.301212774091</v>
      </c>
      <c r="BV136" s="33">
        <f t="shared" si="392"/>
        <v>18500.382120051087</v>
      </c>
      <c r="BW136" s="33">
        <f t="shared" si="392"/>
        <v>32224.255701965594</v>
      </c>
      <c r="BX136" s="33">
        <f t="shared" si="392"/>
        <v>32061.275943649856</v>
      </c>
      <c r="BY136" s="33">
        <f t="shared" si="392"/>
        <v>29972.725550094172</v>
      </c>
      <c r="BZ136" s="33">
        <f t="shared" si="392"/>
        <v>26949.934575644093</v>
      </c>
      <c r="CA136" s="33">
        <f t="shared" si="392"/>
        <v>23915.463905199998</v>
      </c>
      <c r="CB136" s="33">
        <f t="shared" si="392"/>
        <v>30520.692330328242</v>
      </c>
      <c r="CC136" s="33">
        <f t="shared" si="393"/>
        <v>29312.8704</v>
      </c>
      <c r="CD136" s="33">
        <f t="shared" si="393"/>
        <v>38832.844813548283</v>
      </c>
      <c r="CE136" s="33">
        <f t="shared" si="394"/>
        <v>37804.585202995542</v>
      </c>
      <c r="CF136" s="33">
        <f t="shared" si="394"/>
        <v>37702.99674543654</v>
      </c>
      <c r="CG136" s="33">
        <f>+CG61/CG$95</f>
        <v>36249.179200385552</v>
      </c>
      <c r="CI136" s="76"/>
      <c r="CJ136" s="76"/>
      <c r="CK136" s="76"/>
    </row>
    <row r="137" spans="2:89" s="6" customFormat="1" ht="13.5" customHeight="1">
      <c r="B137" s="6" t="str">
        <f>+B62</f>
        <v>Net debt + Market Cap</v>
      </c>
      <c r="D137" s="33">
        <f t="shared" si="378"/>
        <v>16129.176945503476</v>
      </c>
      <c r="E137" s="33">
        <f t="shared" si="378"/>
        <v>14198.864165347732</v>
      </c>
      <c r="F137" s="33">
        <f t="shared" si="378"/>
        <v>17712.20556745182</v>
      </c>
      <c r="G137" s="33">
        <f t="shared" si="378"/>
        <v>14295.557383792679</v>
      </c>
      <c r="H137" s="33">
        <f t="shared" si="378"/>
        <v>13676.507847310913</v>
      </c>
      <c r="I137" s="33">
        <f t="shared" si="378"/>
        <v>16427.209478173874</v>
      </c>
      <c r="J137" s="33">
        <f t="shared" si="378"/>
        <v>11578.995462623359</v>
      </c>
      <c r="K137" s="33">
        <f t="shared" si="379"/>
        <v>9427.2342321140386</v>
      </c>
      <c r="L137" s="33">
        <f t="shared" si="379"/>
        <v>17364.390122593828</v>
      </c>
      <c r="M137" s="33">
        <f t="shared" si="380"/>
        <v>12128.338296560332</v>
      </c>
      <c r="N137" s="33">
        <f t="shared" si="380"/>
        <v>15401.942163131002</v>
      </c>
      <c r="O137" s="33">
        <f t="shared" si="381"/>
        <v>18707.8061047056</v>
      </c>
      <c r="P137" s="33">
        <f t="shared" si="381"/>
        <v>18104.102209195029</v>
      </c>
      <c r="Q137" s="33">
        <f t="shared" si="382"/>
        <v>18877.863268740162</v>
      </c>
      <c r="R137" s="33">
        <f t="shared" si="382"/>
        <v>18596.388566577047</v>
      </c>
      <c r="S137" s="33">
        <f t="shared" si="383"/>
        <v>20381.559077402009</v>
      </c>
      <c r="T137" s="33">
        <f t="shared" si="383"/>
        <v>25627.479649058281</v>
      </c>
      <c r="U137" s="33">
        <f>+U62/U$95</f>
        <v>21491.464152590223</v>
      </c>
      <c r="Y137" s="33">
        <f t="shared" ref="Y137:AI137" si="397">+Y62/Y$95</f>
        <v>14519.813840167202</v>
      </c>
      <c r="Z137" s="33">
        <f t="shared" si="397"/>
        <v>15956.463669156703</v>
      </c>
      <c r="AA137" s="33">
        <f t="shared" si="397"/>
        <v>15614.873937080798</v>
      </c>
      <c r="AB137" s="33">
        <f t="shared" si="397"/>
        <v>16427.209478173874</v>
      </c>
      <c r="AC137" s="33">
        <f t="shared" si="397"/>
        <v>15553.587925062577</v>
      </c>
      <c r="AD137" s="33">
        <f t="shared" si="397"/>
        <v>13038.715530492716</v>
      </c>
      <c r="AE137" s="33">
        <f t="shared" si="397"/>
        <v>11468.117518453078</v>
      </c>
      <c r="AF137" s="33">
        <f t="shared" si="397"/>
        <v>11578.995462623359</v>
      </c>
      <c r="AG137" s="33">
        <f t="shared" si="397"/>
        <v>11672.593178595149</v>
      </c>
      <c r="AH137" s="33">
        <f t="shared" si="397"/>
        <v>12153.53503288054</v>
      </c>
      <c r="AI137" s="33">
        <f t="shared" si="397"/>
        <v>12723.25608452499</v>
      </c>
      <c r="AJ137" s="33">
        <f t="shared" si="385"/>
        <v>9427.2342321140386</v>
      </c>
      <c r="AK137" s="33">
        <f t="shared" si="385"/>
        <v>15856.865068327492</v>
      </c>
      <c r="AL137" s="33">
        <f t="shared" si="385"/>
        <v>17461.28425921873</v>
      </c>
      <c r="AM137" s="33">
        <f t="shared" si="386"/>
        <v>15363.21659953113</v>
      </c>
      <c r="AN137" s="33">
        <f t="shared" si="386"/>
        <v>17364.390122593828</v>
      </c>
      <c r="AO137" s="33">
        <f t="shared" si="386"/>
        <v>15704.500902822381</v>
      </c>
      <c r="AP137" s="33">
        <f t="shared" si="386"/>
        <v>15186.161514079658</v>
      </c>
      <c r="AQ137" s="33">
        <f t="shared" si="387"/>
        <v>17835.259278431724</v>
      </c>
      <c r="AR137" s="33">
        <f t="shared" si="387"/>
        <v>12128.338296560332</v>
      </c>
      <c r="AS137" s="33">
        <f t="shared" si="387"/>
        <v>13199.820079116078</v>
      </c>
      <c r="AT137" s="33">
        <f t="shared" si="387"/>
        <v>9275.238829699998</v>
      </c>
      <c r="AU137" s="33">
        <f t="shared" si="388"/>
        <v>14513.108945969887</v>
      </c>
      <c r="AV137" s="33">
        <f t="shared" si="388"/>
        <v>15401.942163131002</v>
      </c>
      <c r="AW137" s="33">
        <f t="shared" si="388"/>
        <v>13936.760335748917</v>
      </c>
      <c r="AX137" s="33">
        <f t="shared" si="388"/>
        <v>15612.403199999999</v>
      </c>
      <c r="AY137" s="33">
        <f t="shared" si="389"/>
        <v>14849.682967898461</v>
      </c>
      <c r="AZ137" s="33">
        <f t="shared" si="389"/>
        <v>18877.863268740162</v>
      </c>
      <c r="BA137" s="33">
        <f t="shared" si="389"/>
        <v>20301.560828536989</v>
      </c>
      <c r="BB137" s="33">
        <f t="shared" si="389"/>
        <v>20025.422301177696</v>
      </c>
      <c r="BC137" s="33">
        <f t="shared" si="390"/>
        <v>16139.295385020712</v>
      </c>
      <c r="BD137" s="33">
        <f t="shared" si="390"/>
        <v>18596.388566577047</v>
      </c>
      <c r="BE137" s="33">
        <f t="shared" si="390"/>
        <v>16879.444241316269</v>
      </c>
      <c r="BF137" s="33">
        <f t="shared" si="390"/>
        <v>17593.10678929296</v>
      </c>
      <c r="BG137" s="33">
        <f t="shared" si="391"/>
        <v>20090.705347094638</v>
      </c>
      <c r="BH137" s="33">
        <f t="shared" si="391"/>
        <v>25627.479649058281</v>
      </c>
      <c r="BI137" s="33">
        <f t="shared" si="391"/>
        <v>21491.464152590223</v>
      </c>
      <c r="BJ137" s="33"/>
      <c r="BK137" s="33"/>
      <c r="BL137" s="37"/>
      <c r="BM137" s="37"/>
      <c r="BN137" s="33">
        <f t="shared" si="392"/>
        <v>20301.560828536989</v>
      </c>
      <c r="BO137" s="33">
        <f t="shared" si="392"/>
        <v>20025.422301177696</v>
      </c>
      <c r="BP137" s="33">
        <f t="shared" si="392"/>
        <v>16139.295385020712</v>
      </c>
      <c r="BQ137" s="33">
        <f t="shared" si="392"/>
        <v>20381.559077402009</v>
      </c>
      <c r="BR137" s="33">
        <f>+BR62/BR$95</f>
        <v>16879.444241316269</v>
      </c>
      <c r="BS137" s="33">
        <f t="shared" si="392"/>
        <v>0</v>
      </c>
      <c r="BT137" s="33">
        <f t="shared" si="392"/>
        <v>14295.557383792679</v>
      </c>
      <c r="BU137" s="33">
        <f t="shared" si="392"/>
        <v>16763.734927198806</v>
      </c>
      <c r="BV137" s="33">
        <f t="shared" si="392"/>
        <v>13676.507847310913</v>
      </c>
      <c r="BW137" s="33">
        <f t="shared" si="392"/>
        <v>17461.28425921873</v>
      </c>
      <c r="BX137" s="33">
        <f t="shared" si="392"/>
        <v>17364.390122593828</v>
      </c>
      <c r="BY137" s="33">
        <f t="shared" si="392"/>
        <v>15186.161514079658</v>
      </c>
      <c r="BZ137" s="33">
        <f t="shared" si="392"/>
        <v>12128.338296560332</v>
      </c>
      <c r="CA137" s="33">
        <f t="shared" si="392"/>
        <v>9275.238829699998</v>
      </c>
      <c r="CB137" s="33">
        <f t="shared" si="392"/>
        <v>15401.942163131002</v>
      </c>
      <c r="CC137" s="33">
        <f t="shared" si="393"/>
        <v>15612.403199999999</v>
      </c>
      <c r="CD137" s="33">
        <f t="shared" si="393"/>
        <v>18104.102209195029</v>
      </c>
      <c r="CE137" s="33">
        <f t="shared" si="394"/>
        <v>20025.422301177696</v>
      </c>
      <c r="CF137" s="33">
        <f t="shared" si="394"/>
        <v>18596.388566577047</v>
      </c>
      <c r="CG137" s="33">
        <f>+CG62/CG$95</f>
        <v>17593.10678929296</v>
      </c>
      <c r="CI137" s="76"/>
      <c r="CJ137" s="76"/>
      <c r="CK137" s="76"/>
    </row>
    <row r="138" spans="2:89" ht="13.5" customHeight="1">
      <c r="BL138" s="37"/>
      <c r="BM138" s="37"/>
      <c r="CI138" s="76"/>
      <c r="CJ138" s="76"/>
      <c r="CK138" s="76"/>
    </row>
    <row r="139" spans="2:89" s="6" customFormat="1" ht="13.5" customHeight="1">
      <c r="B139" s="6" t="str">
        <f>+B65</f>
        <v xml:space="preserve">Net leverage </v>
      </c>
      <c r="D139" s="42">
        <f>D132/D120</f>
        <v>1.2099968267190258</v>
      </c>
      <c r="E139" s="42">
        <f t="shared" ref="E139:J139" si="398">E132/E120</f>
        <v>1.46322620766161</v>
      </c>
      <c r="F139" s="42">
        <f t="shared" si="398"/>
        <v>2.1407989782427497</v>
      </c>
      <c r="G139" s="42">
        <f t="shared" si="398"/>
        <v>1.5864460119202575</v>
      </c>
      <c r="H139" s="42">
        <f t="shared" si="398"/>
        <v>1.8274920020890828</v>
      </c>
      <c r="I139" s="42">
        <f t="shared" si="398"/>
        <v>1.6486034002735048</v>
      </c>
      <c r="J139" s="42">
        <f t="shared" si="398"/>
        <v>1.706872744250437</v>
      </c>
      <c r="K139" s="42">
        <f t="shared" ref="K139:P139" si="399">K132/K120</f>
        <v>2.0060446983488371</v>
      </c>
      <c r="L139" s="42">
        <f t="shared" si="399"/>
        <v>2.6489682078489554</v>
      </c>
      <c r="M139" s="42">
        <f t="shared" si="399"/>
        <v>1.0895581394459126</v>
      </c>
      <c r="N139" s="42">
        <f t="shared" si="399"/>
        <v>0.48350390020680434</v>
      </c>
      <c r="O139" s="42">
        <f t="shared" si="399"/>
        <v>0.48694063409359611</v>
      </c>
      <c r="P139" s="42">
        <f t="shared" si="399"/>
        <v>0.27730926704718351</v>
      </c>
      <c r="Q139" s="42">
        <f>Q132/Q120</f>
        <v>0.25506123259329605</v>
      </c>
      <c r="R139" s="42">
        <f>R132/R120</f>
        <v>1.3907688633381678</v>
      </c>
      <c r="S139" s="42">
        <f>S132/S120</f>
        <v>1.3907640647620918</v>
      </c>
      <c r="T139" s="42">
        <f>T132/T120</f>
        <v>2.3263565017119632</v>
      </c>
      <c r="U139" s="42">
        <f>U132/U120</f>
        <v>1.9325694943510423</v>
      </c>
      <c r="V139" s="42"/>
      <c r="W139" s="42"/>
      <c r="Y139" s="42"/>
      <c r="Z139" s="42"/>
      <c r="AA139" s="42"/>
      <c r="AB139" s="42">
        <f t="shared" ref="AB139:AI139" si="400">AB132/AB120</f>
        <v>1.6442362401571742</v>
      </c>
      <c r="AC139" s="42">
        <f t="shared" si="400"/>
        <v>2.1945133957537721</v>
      </c>
      <c r="AD139" s="42">
        <f t="shared" si="400"/>
        <v>2.156656621340284</v>
      </c>
      <c r="AE139" s="42">
        <f t="shared" si="400"/>
        <v>1.6330684511975135</v>
      </c>
      <c r="AF139" s="42">
        <f t="shared" si="400"/>
        <v>1.7537437748885814</v>
      </c>
      <c r="AG139" s="42">
        <f t="shared" si="400"/>
        <v>1.6488419061840061</v>
      </c>
      <c r="AH139" s="42">
        <f t="shared" si="400"/>
        <v>1.8133564600995065</v>
      </c>
      <c r="AI139" s="42">
        <f t="shared" si="400"/>
        <v>2.0792652657353887</v>
      </c>
      <c r="AJ139" s="42">
        <f t="shared" ref="AJ139:AP139" si="401">AJ132/AJ120</f>
        <v>2.0140556530183473</v>
      </c>
      <c r="AK139" s="42">
        <f t="shared" si="401"/>
        <v>5.2390340817977759</v>
      </c>
      <c r="AL139" s="42">
        <f t="shared" si="401"/>
        <v>4.5489327907725743</v>
      </c>
      <c r="AM139" s="42">
        <f t="shared" si="401"/>
        <v>3.3388332268541596</v>
      </c>
      <c r="AN139" s="42">
        <f t="shared" si="401"/>
        <v>2.6735601617264515</v>
      </c>
      <c r="AO139" s="42">
        <f t="shared" si="401"/>
        <v>2.2974853663616117</v>
      </c>
      <c r="AP139" s="42">
        <f t="shared" si="401"/>
        <v>2.2059676908240275</v>
      </c>
      <c r="AQ139" s="42">
        <f t="shared" ref="AQ139:AV139" si="402">AQ132/AQ120</f>
        <v>1.9573334230168669</v>
      </c>
      <c r="AR139" s="42">
        <f t="shared" si="402"/>
        <v>1.1227599180088941</v>
      </c>
      <c r="AS139" s="42">
        <f t="shared" si="402"/>
        <v>1.0072384590165848</v>
      </c>
      <c r="AT139" s="42">
        <f t="shared" si="402"/>
        <v>0.76588119360276263</v>
      </c>
      <c r="AU139" s="42">
        <f t="shared" si="402"/>
        <v>0.60355425630960435</v>
      </c>
      <c r="AV139" s="42">
        <f t="shared" si="402"/>
        <v>0.49109020225472644</v>
      </c>
      <c r="AW139" s="42">
        <f t="shared" ref="AW139:BB139" si="403">AW132/AW120</f>
        <v>0.31267739064474248</v>
      </c>
      <c r="AX139" s="42">
        <f t="shared" si="403"/>
        <v>0.20287822666463426</v>
      </c>
      <c r="AY139" s="42">
        <f t="shared" si="403"/>
        <v>7.8279538698167339E-2</v>
      </c>
      <c r="AZ139" s="42">
        <f t="shared" si="403"/>
        <v>0.24095154232406518</v>
      </c>
      <c r="BA139" s="42">
        <f t="shared" si="403"/>
        <v>0.33702059679692342</v>
      </c>
      <c r="BB139" s="42">
        <f t="shared" si="403"/>
        <v>0.48866584686030096</v>
      </c>
      <c r="BC139" s="42">
        <f t="shared" ref="BC139:BH139" si="404">BC132/BC120</f>
        <v>0.54790985699270156</v>
      </c>
      <c r="BD139" s="42">
        <f t="shared" si="404"/>
        <v>1.2079059284914084</v>
      </c>
      <c r="BE139" s="42">
        <f t="shared" si="404"/>
        <v>1.5351636333771863</v>
      </c>
      <c r="BF139" s="42">
        <f t="shared" si="404"/>
        <v>1.8964652092339784</v>
      </c>
      <c r="BG139" s="42">
        <f t="shared" si="404"/>
        <v>1.8540105567871978</v>
      </c>
      <c r="BH139" s="42">
        <f t="shared" si="404"/>
        <v>2.182318569772622</v>
      </c>
      <c r="BI139" s="42">
        <f>BI132/BI120</f>
        <v>1.9371806127301889</v>
      </c>
      <c r="BJ139" s="42"/>
      <c r="BK139" s="42"/>
      <c r="BL139" s="37"/>
      <c r="BM139" s="37"/>
      <c r="BN139" s="42">
        <f>BN132/BN120</f>
        <v>0.3286610092711213</v>
      </c>
      <c r="BO139" s="42">
        <f>BO132/BO120</f>
        <v>0.40700468825321956</v>
      </c>
      <c r="BP139" s="42">
        <f t="shared" ref="BP139:CB139" si="405">BP132/BP120</f>
        <v>0.41316725743977095</v>
      </c>
      <c r="BQ139" s="42">
        <f t="shared" si="405"/>
        <v>1.2924051741268159</v>
      </c>
      <c r="BR139" s="42">
        <f>BR132/BR120</f>
        <v>1.4174490803456676</v>
      </c>
      <c r="BS139" s="42" t="e">
        <f t="shared" si="405"/>
        <v>#DIV/0!</v>
      </c>
      <c r="BT139" s="42">
        <f t="shared" si="405"/>
        <v>1.9992538946696707</v>
      </c>
      <c r="BU139" s="42">
        <f t="shared" si="405"/>
        <v>2.2397805972952831</v>
      </c>
      <c r="BV139" s="42">
        <f t="shared" si="405"/>
        <v>1.8422255053523442</v>
      </c>
      <c r="BW139" s="42">
        <f t="shared" si="405"/>
        <v>4.0015895873180236</v>
      </c>
      <c r="BX139" s="42">
        <f t="shared" si="405"/>
        <v>2.7309562589545173</v>
      </c>
      <c r="BY139" s="42">
        <f t="shared" si="405"/>
        <v>2.2568317192034524</v>
      </c>
      <c r="BZ139" s="42">
        <f t="shared" si="405"/>
        <v>1.2487505615737262</v>
      </c>
      <c r="CA139" s="42">
        <f t="shared" si="405"/>
        <v>0.819704521142681</v>
      </c>
      <c r="CB139" s="42">
        <f t="shared" si="405"/>
        <v>0.50812467610335355</v>
      </c>
      <c r="CC139" s="42">
        <f>CC132/CC120</f>
        <v>0.27466925709142076</v>
      </c>
      <c r="CD139" s="42">
        <f>CD132/CD120</f>
        <v>0.21538962811990911</v>
      </c>
      <c r="CE139" s="42">
        <f>CE132/CE120</f>
        <v>0.6179280438677891</v>
      </c>
      <c r="CF139" s="42">
        <f>CF132/CF120</f>
        <v>1.3711253458681638</v>
      </c>
      <c r="CG139" s="42">
        <f>CG132/CG120</f>
        <v>4.2439205659288071</v>
      </c>
      <c r="CI139" s="76"/>
      <c r="CJ139" s="76"/>
      <c r="CK139" s="76"/>
    </row>
    <row r="140" spans="2:89" ht="13.5" customHeight="1">
      <c r="B140" s="1" t="str">
        <f>+B66</f>
        <v xml:space="preserve">Gross leverage </v>
      </c>
      <c r="D140" s="43">
        <f>D130/D120</f>
        <v>2.836144661946411</v>
      </c>
      <c r="E140" s="43">
        <f t="shared" ref="E140:J140" si="406">E130/E120</f>
        <v>3.0539304561422234</v>
      </c>
      <c r="F140" s="43">
        <f t="shared" si="406"/>
        <v>4.2805181627912372</v>
      </c>
      <c r="G140" s="43">
        <f t="shared" si="406"/>
        <v>2.7834833895689401</v>
      </c>
      <c r="H140" s="43">
        <f t="shared" si="406"/>
        <v>4.1817627360885714</v>
      </c>
      <c r="I140" s="43">
        <f t="shared" si="406"/>
        <v>3.8619417887606056</v>
      </c>
      <c r="J140" s="43">
        <f t="shared" si="406"/>
        <v>3.3691939104031405</v>
      </c>
      <c r="K140" s="43">
        <f t="shared" ref="K140:P140" si="407">K130/K120</f>
        <v>5.3806984470458756</v>
      </c>
      <c r="L140" s="43">
        <f t="shared" si="407"/>
        <v>6.6451482323631925</v>
      </c>
      <c r="M140" s="43">
        <f t="shared" si="407"/>
        <v>3.497159572277901</v>
      </c>
      <c r="N140" s="43">
        <f t="shared" si="407"/>
        <v>1.9071030542265612</v>
      </c>
      <c r="O140" s="43">
        <f t="shared" si="407"/>
        <v>1.9206409970634217</v>
      </c>
      <c r="P140" s="43">
        <f t="shared" si="407"/>
        <v>2.1700993610313541</v>
      </c>
      <c r="Q140" s="43">
        <f>Q130/Q120</f>
        <v>1.9959772739014749</v>
      </c>
      <c r="R140" s="43">
        <f>R130/R120</f>
        <v>5.989149623814698</v>
      </c>
      <c r="S140" s="43">
        <f>S130/S120</f>
        <v>5.9891299909039928</v>
      </c>
      <c r="T140" s="43">
        <f>T130/T120</f>
        <v>5.9025302318864901</v>
      </c>
      <c r="U140" s="43">
        <f>U130/U120</f>
        <v>5.5027837057045028</v>
      </c>
      <c r="V140" s="43"/>
      <c r="W140" s="43"/>
      <c r="Y140" s="43"/>
      <c r="Z140" s="43"/>
      <c r="AA140" s="43"/>
      <c r="AB140" s="43">
        <f t="shared" ref="AB140:AI140" si="408">AB130/AB120</f>
        <v>3.8517114822183118</v>
      </c>
      <c r="AC140" s="43">
        <f t="shared" si="408"/>
        <v>4.4897940478013965</v>
      </c>
      <c r="AD140" s="43">
        <f t="shared" si="408"/>
        <v>3.929579294987783</v>
      </c>
      <c r="AE140" s="43">
        <f t="shared" si="408"/>
        <v>3.371064641601623</v>
      </c>
      <c r="AF140" s="43">
        <f t="shared" si="408"/>
        <v>3.4617125773818573</v>
      </c>
      <c r="AG140" s="43">
        <f t="shared" si="408"/>
        <v>4.2197133181883668</v>
      </c>
      <c r="AH140" s="43">
        <f t="shared" si="408"/>
        <v>4.2397261093802223</v>
      </c>
      <c r="AI140" s="43">
        <f t="shared" si="408"/>
        <v>5.0135172221520481</v>
      </c>
      <c r="AJ140" s="43">
        <f t="shared" ref="AJ140:AP140" si="409">AJ130/AJ120</f>
        <v>5.4021857705262892</v>
      </c>
      <c r="AK140" s="43">
        <f t="shared" si="409"/>
        <v>12.754319356924753</v>
      </c>
      <c r="AL140" s="43">
        <f t="shared" si="409"/>
        <v>10.766811332051796</v>
      </c>
      <c r="AM140" s="43">
        <f t="shared" si="409"/>
        <v>7.6684172985187908</v>
      </c>
      <c r="AN140" s="43">
        <f t="shared" si="409"/>
        <v>6.7068391119876409</v>
      </c>
      <c r="AO140" s="43">
        <f t="shared" si="409"/>
        <v>5.7331631749202261</v>
      </c>
      <c r="AP140" s="43">
        <f t="shared" si="409"/>
        <v>5.5181983886977877</v>
      </c>
      <c r="AQ140" s="43">
        <f t="shared" ref="AQ140:AV140" si="410">AQ130/AQ120</f>
        <v>5.1805130336763519</v>
      </c>
      <c r="AR140" s="43">
        <f t="shared" si="410"/>
        <v>3.6037274675691338</v>
      </c>
      <c r="AS140" s="43">
        <f t="shared" si="410"/>
        <v>3.3087485803547354</v>
      </c>
      <c r="AT140" s="43">
        <f t="shared" si="410"/>
        <v>2.6187638992213031</v>
      </c>
      <c r="AU140" s="43">
        <f t="shared" si="410"/>
        <v>2.0974208149277369</v>
      </c>
      <c r="AV140" s="43">
        <f t="shared" si="410"/>
        <v>1.9370259975568824</v>
      </c>
      <c r="AW140" s="43">
        <f t="shared" ref="AW140:BB140" si="411">AW130/AW120</f>
        <v>1.5447961579628777</v>
      </c>
      <c r="AX140" s="43">
        <f t="shared" si="411"/>
        <v>1.2055309076277354</v>
      </c>
      <c r="AY140" s="43">
        <f t="shared" si="411"/>
        <v>1.2269707267066856</v>
      </c>
      <c r="AZ140" s="43">
        <f t="shared" si="411"/>
        <v>1.8855621361996986</v>
      </c>
      <c r="BA140" s="43">
        <f t="shared" si="411"/>
        <v>1.526538620577063</v>
      </c>
      <c r="BB140" s="43">
        <f t="shared" si="411"/>
        <v>2.0953977119677605</v>
      </c>
      <c r="BC140" s="43">
        <f t="shared" ref="BC140:BH140" si="412">BC130/BC120</f>
        <v>3.3611947963402233</v>
      </c>
      <c r="BD140" s="43">
        <f t="shared" si="412"/>
        <v>5.2016762295524739</v>
      </c>
      <c r="BE140" s="43">
        <f t="shared" si="412"/>
        <v>6.264076009073789</v>
      </c>
      <c r="BF140" s="43">
        <f t="shared" si="412"/>
        <v>6.4379741051755275</v>
      </c>
      <c r="BG140" s="43">
        <f t="shared" si="412"/>
        <v>6.4700019657003178</v>
      </c>
      <c r="BH140" s="43">
        <f t="shared" si="412"/>
        <v>5.537071091301323</v>
      </c>
      <c r="BI140" s="43">
        <f>BI130/BI120</f>
        <v>5.5159133691686177</v>
      </c>
      <c r="BJ140" s="43"/>
      <c r="BK140" s="43"/>
      <c r="BL140" s="37"/>
      <c r="BM140" s="37"/>
      <c r="BN140" s="43">
        <f>BN130/BN120</f>
        <v>1.488673773943014</v>
      </c>
      <c r="BO140" s="43">
        <f t="shared" ref="BO140:CB140" si="413">BO130/BO120</f>
        <v>1.7452349043941995</v>
      </c>
      <c r="BP140" s="43">
        <f t="shared" si="413"/>
        <v>2.5346060451385859</v>
      </c>
      <c r="BQ140" s="43">
        <f t="shared" si="413"/>
        <v>5.5655612514596449</v>
      </c>
      <c r="BR140" s="43">
        <f>BR130/BR120</f>
        <v>5.7837539824625646</v>
      </c>
      <c r="BS140" s="43" t="e">
        <f t="shared" si="413"/>
        <v>#DIV/0!</v>
      </c>
      <c r="BT140" s="43">
        <f t="shared" si="413"/>
        <v>3.5077714372443189</v>
      </c>
      <c r="BU140" s="43">
        <f t="shared" si="413"/>
        <v>4.4664374801532896</v>
      </c>
      <c r="BV140" s="43">
        <f t="shared" si="413"/>
        <v>4.2154767084878566</v>
      </c>
      <c r="BW140" s="43">
        <f t="shared" si="413"/>
        <v>9.4713116453054642</v>
      </c>
      <c r="BX140" s="43">
        <f t="shared" si="413"/>
        <v>6.8508218041579418</v>
      </c>
      <c r="BY140" s="43">
        <f t="shared" si="413"/>
        <v>5.6454340688093012</v>
      </c>
      <c r="BZ140" s="43">
        <f t="shared" si="413"/>
        <v>4.0081201926643493</v>
      </c>
      <c r="CA140" s="43">
        <f t="shared" si="413"/>
        <v>2.8028010426775349</v>
      </c>
      <c r="CB140" s="43">
        <f t="shared" si="413"/>
        <v>2.0042157287875182</v>
      </c>
      <c r="CC140" s="43">
        <f>CC130/CC120</f>
        <v>1.6321232901262217</v>
      </c>
      <c r="CD140" s="43">
        <f>CD130/CD120</f>
        <v>1.6855437228365899</v>
      </c>
      <c r="CE140" s="43">
        <f>CE130/CE120</f>
        <v>2.6496736319930214</v>
      </c>
      <c r="CF140" s="43">
        <f>CF130/CF120</f>
        <v>5.9045575910426313</v>
      </c>
      <c r="CG140" s="43">
        <f>CG130/CG120</f>
        <v>14.4069348463859</v>
      </c>
      <c r="CI140" s="76"/>
      <c r="CJ140" s="76"/>
      <c r="CK140" s="76"/>
    </row>
    <row r="141" spans="2:89" s="6" customFormat="1" ht="13.5" customHeight="1">
      <c r="B141" s="6" t="str">
        <f>B67</f>
        <v xml:space="preserve">(Net debt + Market Cap )/ EBITDA </v>
      </c>
      <c r="D141" s="42">
        <f>D137/D120</f>
        <v>6.5851662336460333</v>
      </c>
      <c r="E141" s="42">
        <f t="shared" ref="E141:J141" si="414">E137/E120</f>
        <v>5.4534855554856323</v>
      </c>
      <c r="F141" s="42">
        <f t="shared" si="414"/>
        <v>8.9316215214530033</v>
      </c>
      <c r="G141" s="42">
        <f t="shared" si="414"/>
        <v>4.7304131299235292</v>
      </c>
      <c r="H141" s="42">
        <f t="shared" si="414"/>
        <v>6.6747598191336017</v>
      </c>
      <c r="I141" s="42">
        <f t="shared" si="414"/>
        <v>6.6232977559298396</v>
      </c>
      <c r="J141" s="42">
        <f t="shared" si="414"/>
        <v>4.1424254501036861</v>
      </c>
      <c r="K141" s="42">
        <f t="shared" ref="K141:P141" si="415">K137/K120</f>
        <v>5.0045284395118994</v>
      </c>
      <c r="L141" s="42">
        <f t="shared" si="415"/>
        <v>4.7214920079440175</v>
      </c>
      <c r="M141" s="42">
        <f t="shared" si="415"/>
        <v>1.9701119981170365</v>
      </c>
      <c r="N141" s="42">
        <f t="shared" si="415"/>
        <v>1.4502648427425708</v>
      </c>
      <c r="O141" s="42">
        <f t="shared" si="415"/>
        <v>1.0766655282445015</v>
      </c>
      <c r="P141" s="42">
        <f t="shared" si="415"/>
        <v>1.6531280249890703</v>
      </c>
      <c r="Q141" s="42">
        <f>Q137/Q120</f>
        <v>1.2635530053115722</v>
      </c>
      <c r="R141" s="42">
        <f>R137/R120</f>
        <v>4.4755863834330265</v>
      </c>
      <c r="S141" s="42">
        <f>S137/S120</f>
        <v>3.7475213849855691</v>
      </c>
      <c r="T141" s="42">
        <f>T137/T120</f>
        <v>4.7947952213219223</v>
      </c>
      <c r="U141" s="42">
        <f>U137/U120</f>
        <v>3.7972021165171004</v>
      </c>
      <c r="V141" s="42"/>
      <c r="W141" s="42"/>
      <c r="Y141" s="42"/>
      <c r="Z141" s="42"/>
      <c r="AA141" s="42"/>
      <c r="AB141" s="42">
        <f t="shared" ref="AB141:AI141" si="416">AB137/AB120</f>
        <v>6.6057526011682519</v>
      </c>
      <c r="AC141" s="42">
        <f t="shared" si="416"/>
        <v>6.7224838078961726</v>
      </c>
      <c r="AD141" s="42">
        <f t="shared" si="416"/>
        <v>5.4208705574224973</v>
      </c>
      <c r="AE141" s="42">
        <f t="shared" si="416"/>
        <v>4.3309544509199034</v>
      </c>
      <c r="AF141" s="42">
        <f t="shared" si="416"/>
        <v>4.2561771933675354</v>
      </c>
      <c r="AG141" s="42">
        <f t="shared" si="416"/>
        <v>4.4263692832763084</v>
      </c>
      <c r="AH141" s="42">
        <f t="shared" si="416"/>
        <v>4.9234272539830837</v>
      </c>
      <c r="AI141" s="42">
        <f t="shared" si="416"/>
        <v>6.244616279922564</v>
      </c>
      <c r="AJ141" s="42">
        <f t="shared" ref="AJ141:AP141" si="417">AJ137/AJ120</f>
        <v>5.0245135627268533</v>
      </c>
      <c r="AK141" s="42">
        <f t="shared" si="417"/>
        <v>7.7577850879848862</v>
      </c>
      <c r="AL141" s="42">
        <f t="shared" si="417"/>
        <v>7.3543558029379597</v>
      </c>
      <c r="AM141" s="42">
        <f t="shared" si="417"/>
        <v>4.8159022562859102</v>
      </c>
      <c r="AN141" s="42">
        <f t="shared" si="417"/>
        <v>4.7653244380004773</v>
      </c>
      <c r="AO141" s="42">
        <f t="shared" si="417"/>
        <v>3.7045533084580873</v>
      </c>
      <c r="AP141" s="42">
        <f t="shared" si="417"/>
        <v>3.4017416234962785</v>
      </c>
      <c r="AQ141" s="42">
        <f t="shared" ref="AQ141:AV141" si="418">AQ137/AQ120</f>
        <v>3.9387629893830898</v>
      </c>
      <c r="AR141" s="42">
        <f t="shared" si="418"/>
        <v>2.030146630448836</v>
      </c>
      <c r="AS141" s="42">
        <f t="shared" si="418"/>
        <v>2.0501227379402578</v>
      </c>
      <c r="AT141" s="42">
        <f t="shared" si="418"/>
        <v>1.1738842490060375</v>
      </c>
      <c r="AU141" s="42">
        <f t="shared" si="418"/>
        <v>1.5060574002248328</v>
      </c>
      <c r="AV141" s="42">
        <f t="shared" si="418"/>
        <v>1.4730198756219779</v>
      </c>
      <c r="AW141" s="42">
        <f t="shared" ref="AW141:BB141" si="419">AW137/AW120</f>
        <v>1.1448306795488792</v>
      </c>
      <c r="AX141" s="42">
        <f t="shared" si="419"/>
        <v>1.1425754827365959</v>
      </c>
      <c r="AY141" s="42">
        <f t="shared" si="419"/>
        <v>0.96093469395585973</v>
      </c>
      <c r="AZ141" s="42">
        <f t="shared" si="419"/>
        <v>1.1936547249557723</v>
      </c>
      <c r="BA141" s="42">
        <f t="shared" si="419"/>
        <v>1.4452330160882867</v>
      </c>
      <c r="BB141" s="42">
        <f t="shared" si="419"/>
        <v>1.8097299800456823</v>
      </c>
      <c r="BC141" s="42">
        <f t="shared" ref="BC141:BH141" si="420">BC137/BC120</f>
        <v>2.2599740317535093</v>
      </c>
      <c r="BD141" s="42">
        <f t="shared" si="420"/>
        <v>3.8871213388027037</v>
      </c>
      <c r="BE141" s="42">
        <f t="shared" si="420"/>
        <v>4.2870434613117467</v>
      </c>
      <c r="BF141" s="42">
        <f t="shared" si="420"/>
        <v>4.2827476882710247</v>
      </c>
      <c r="BG141" s="42">
        <f t="shared" si="420"/>
        <v>4.4659566140846296</v>
      </c>
      <c r="BH141" s="42">
        <f t="shared" si="420"/>
        <v>4.4979222410871174</v>
      </c>
      <c r="BI141" s="42">
        <f>BI137/BI120</f>
        <v>3.8062622556324013</v>
      </c>
      <c r="BJ141" s="42"/>
      <c r="BK141" s="42"/>
      <c r="BL141" s="36"/>
      <c r="BM141" s="36"/>
      <c r="BN141" s="42">
        <f>BN137/BN120</f>
        <v>1.4093849047028304</v>
      </c>
      <c r="BO141" s="42">
        <f t="shared" ref="BO141:CB141" si="421">BO137/BO120</f>
        <v>1.5073052292962215</v>
      </c>
      <c r="BP141" s="42">
        <f t="shared" si="421"/>
        <v>1.7041987120102808</v>
      </c>
      <c r="BQ141" s="42">
        <f t="shared" si="421"/>
        <v>3.4824857435001046</v>
      </c>
      <c r="BR141" s="42">
        <f>BR137/BR120</f>
        <v>3.9583179796086401</v>
      </c>
      <c r="BS141" s="42" t="e">
        <f t="shared" si="421"/>
        <v>#DIV/0!</v>
      </c>
      <c r="BT141" s="42">
        <f t="shared" si="421"/>
        <v>5.9613102509230131</v>
      </c>
      <c r="BU141" s="42">
        <f t="shared" si="421"/>
        <v>7.5369179543890752</v>
      </c>
      <c r="BV141" s="42">
        <f t="shared" si="421"/>
        <v>6.7285726924398981</v>
      </c>
      <c r="BW141" s="42">
        <f t="shared" si="421"/>
        <v>6.469454475600263</v>
      </c>
      <c r="BX141" s="42">
        <f t="shared" si="421"/>
        <v>4.8676266149562162</v>
      </c>
      <c r="BY141" s="42">
        <f t="shared" si="421"/>
        <v>3.480177170488516</v>
      </c>
      <c r="BZ141" s="42">
        <f t="shared" si="421"/>
        <v>2.2579597865818273</v>
      </c>
      <c r="CA141" s="42">
        <f t="shared" si="421"/>
        <v>1.2563805381902495</v>
      </c>
      <c r="CB141" s="42">
        <f t="shared" si="421"/>
        <v>1.5241146000424326</v>
      </c>
      <c r="CC141" s="42">
        <f>CC137/CC120</f>
        <v>1.5468902906614332</v>
      </c>
      <c r="CD141" s="42">
        <f>CD137/CD120</f>
        <v>1.2840055232500101</v>
      </c>
      <c r="CE141" s="42">
        <f>CE137/CE120</f>
        <v>2.2884408920401071</v>
      </c>
      <c r="CF141" s="42">
        <f>CF137/CF120</f>
        <v>4.4123722422273772</v>
      </c>
      <c r="CG141" s="42">
        <f>CG137/CG120</f>
        <v>9.5839569871566344</v>
      </c>
      <c r="CI141" s="215"/>
      <c r="CJ141" s="215"/>
      <c r="CK141" s="215"/>
    </row>
    <row r="142" spans="2:89" ht="13.5" customHeight="1">
      <c r="B142" s="1" t="str">
        <f>B68</f>
        <v xml:space="preserve">Net debt / (Net debt + Market Cap) </v>
      </c>
      <c r="D142" s="13">
        <f>D132/D137</f>
        <v>0.18374582869855396</v>
      </c>
      <c r="E142" s="13">
        <f t="shared" ref="E142:J142" si="422">E132/E137</f>
        <v>0.26831027473608299</v>
      </c>
      <c r="F142" s="13">
        <f t="shared" si="422"/>
        <v>0.23968760578364529</v>
      </c>
      <c r="G142" s="13">
        <f t="shared" si="422"/>
        <v>0.33537155600316532</v>
      </c>
      <c r="H142" s="13">
        <f t="shared" si="422"/>
        <v>0.27379142495142172</v>
      </c>
      <c r="I142" s="13">
        <f t="shared" si="422"/>
        <v>0.24890975176187874</v>
      </c>
      <c r="J142" s="13">
        <f t="shared" si="422"/>
        <v>0.4120467018199962</v>
      </c>
      <c r="K142" s="13">
        <f t="shared" ref="K142:P142" si="423">K132/K137</f>
        <v>0.40084589838887796</v>
      </c>
      <c r="L142" s="13">
        <f t="shared" si="423"/>
        <v>0.5610447297998189</v>
      </c>
      <c r="M142" s="13">
        <f t="shared" si="423"/>
        <v>0.55304375613532308</v>
      </c>
      <c r="N142" s="13">
        <f t="shared" si="423"/>
        <v>0.33339007190745829</v>
      </c>
      <c r="O142" s="13">
        <f t="shared" si="423"/>
        <v>0.45226732101988143</v>
      </c>
      <c r="P142" s="13">
        <f t="shared" si="423"/>
        <v>0.16774820997243511</v>
      </c>
      <c r="Q142" s="13">
        <f>Q132/Q137</f>
        <v>0.20186033472367229</v>
      </c>
      <c r="R142" s="13">
        <f>R132/R137</f>
        <v>0.31074561949832596</v>
      </c>
      <c r="S142" s="13">
        <f>S132/S137</f>
        <v>0.37111571139638666</v>
      </c>
      <c r="T142" s="13">
        <f>T132/T137</f>
        <v>0.48518370323030979</v>
      </c>
      <c r="U142" s="212">
        <f>U132/U137</f>
        <v>0.50894564867767655</v>
      </c>
      <c r="V142" s="43"/>
      <c r="W142" s="43"/>
      <c r="Y142" s="13">
        <f t="shared" ref="Y142:AI142" si="424">Y132/Y137</f>
        <v>0.26274213319226369</v>
      </c>
      <c r="Z142" s="13">
        <f t="shared" si="424"/>
        <v>0.26962713389551446</v>
      </c>
      <c r="AA142" s="13">
        <f t="shared" si="424"/>
        <v>0.25482432796325089</v>
      </c>
      <c r="AB142" s="13">
        <f t="shared" si="424"/>
        <v>0.24890975176187874</v>
      </c>
      <c r="AC142" s="13">
        <f t="shared" si="424"/>
        <v>0.32644383511584141</v>
      </c>
      <c r="AD142" s="13">
        <f t="shared" si="424"/>
        <v>0.39784322434840169</v>
      </c>
      <c r="AE142" s="13">
        <f t="shared" si="424"/>
        <v>0.37706895089849002</v>
      </c>
      <c r="AF142" s="13">
        <f t="shared" si="424"/>
        <v>0.4120467018199962</v>
      </c>
      <c r="AG142" s="13">
        <f t="shared" si="424"/>
        <v>0.37250437111373752</v>
      </c>
      <c r="AH142" s="13">
        <f t="shared" si="424"/>
        <v>0.36831182153295544</v>
      </c>
      <c r="AI142" s="13">
        <f t="shared" si="424"/>
        <v>0.33296926064465449</v>
      </c>
      <c r="AJ142" s="13">
        <f t="shared" ref="AJ142:AP142" si="425">AJ132/AJ137</f>
        <v>0.40084589838887796</v>
      </c>
      <c r="AK142" s="13">
        <f t="shared" si="425"/>
        <v>0.67532601411089543</v>
      </c>
      <c r="AL142" s="13">
        <f t="shared" si="425"/>
        <v>0.61853585992607818</v>
      </c>
      <c r="AM142" s="13">
        <f t="shared" si="425"/>
        <v>0.69329339533338319</v>
      </c>
      <c r="AN142" s="13">
        <f t="shared" si="425"/>
        <v>0.5610447297998189</v>
      </c>
      <c r="AO142" s="13">
        <f t="shared" si="425"/>
        <v>0.62017878406988647</v>
      </c>
      <c r="AP142" s="13">
        <f t="shared" si="425"/>
        <v>0.64848184694190691</v>
      </c>
      <c r="AQ142" s="13">
        <f t="shared" ref="AQ142:AV142" si="426">AQ132/AQ137</f>
        <v>0.49694115342630324</v>
      </c>
      <c r="AR142" s="13">
        <f t="shared" si="426"/>
        <v>0.55304375613532308</v>
      </c>
      <c r="AS142" s="13">
        <f t="shared" si="426"/>
        <v>0.49130641808721631</v>
      </c>
      <c r="AT142" s="13">
        <f t="shared" si="426"/>
        <v>0.65243331636083957</v>
      </c>
      <c r="AU142" s="13">
        <f t="shared" si="426"/>
        <v>0.40075116407880762</v>
      </c>
      <c r="AV142" s="13">
        <f t="shared" si="426"/>
        <v>0.33339007190745829</v>
      </c>
      <c r="AW142" s="13">
        <f t="shared" ref="AW142:BB142" si="427">AW132/AW137</f>
        <v>0.27312107915203065</v>
      </c>
      <c r="AX142" s="13">
        <f t="shared" si="427"/>
        <v>0.17756220900059771</v>
      </c>
      <c r="AY142" s="13">
        <f t="shared" si="427"/>
        <v>8.1461871644903983E-2</v>
      </c>
      <c r="AZ142" s="13">
        <f t="shared" si="427"/>
        <v>0.20186033472367229</v>
      </c>
      <c r="BA142" s="13">
        <f t="shared" si="427"/>
        <v>0.23319464269444526</v>
      </c>
      <c r="BB142" s="13">
        <f t="shared" si="427"/>
        <v>0.27002141327623125</v>
      </c>
      <c r="BC142" s="13">
        <f t="shared" ref="BC142:BH142" si="428">BC132/BC137</f>
        <v>0.24244077555509763</v>
      </c>
      <c r="BD142" s="13">
        <f t="shared" si="428"/>
        <v>0.31074561949832596</v>
      </c>
      <c r="BE142" s="13">
        <f t="shared" si="428"/>
        <v>0.35809378823219529</v>
      </c>
      <c r="BF142" s="13">
        <f t="shared" si="428"/>
        <v>0.44281506809932925</v>
      </c>
      <c r="BG142" s="13">
        <f t="shared" si="428"/>
        <v>0.41514298435861707</v>
      </c>
      <c r="BH142" s="13">
        <f t="shared" si="428"/>
        <v>0.48518370323030979</v>
      </c>
      <c r="BI142" s="13">
        <f>BI132/BI137</f>
        <v>0.50894564867767655</v>
      </c>
      <c r="BJ142" s="142"/>
      <c r="BK142" s="142"/>
      <c r="BL142" s="37"/>
      <c r="BM142" s="37"/>
      <c r="BN142" s="13">
        <f>BN132/BN137</f>
        <v>0.23319464269444526</v>
      </c>
      <c r="BO142" s="13">
        <f t="shared" ref="BO142:CB142" si="429">BO132/BO137</f>
        <v>0.27002141327623125</v>
      </c>
      <c r="BP142" s="13">
        <f t="shared" si="429"/>
        <v>0.24244077555509763</v>
      </c>
      <c r="BQ142" s="13">
        <f t="shared" si="429"/>
        <v>0.37111571139638666</v>
      </c>
      <c r="BR142" s="13">
        <f>BR132/BR137</f>
        <v>0.35809378823219529</v>
      </c>
      <c r="BS142" s="13" t="e">
        <f t="shared" si="429"/>
        <v>#DIV/0!</v>
      </c>
      <c r="BT142" s="13">
        <f t="shared" si="429"/>
        <v>0.33537155600316532</v>
      </c>
      <c r="BU142" s="13">
        <f t="shared" si="429"/>
        <v>0.29717460251653149</v>
      </c>
      <c r="BV142" s="13">
        <f t="shared" si="429"/>
        <v>0.27379142495142172</v>
      </c>
      <c r="BW142" s="13">
        <f t="shared" si="429"/>
        <v>0.61853585992607818</v>
      </c>
      <c r="BX142" s="13">
        <f t="shared" si="429"/>
        <v>0.5610447297998189</v>
      </c>
      <c r="BY142" s="13">
        <f t="shared" si="429"/>
        <v>0.64848184694190691</v>
      </c>
      <c r="BZ142" s="13">
        <f t="shared" si="429"/>
        <v>0.55304375613532308</v>
      </c>
      <c r="CA142" s="13">
        <f t="shared" si="429"/>
        <v>0.65243331636083957</v>
      </c>
      <c r="CB142" s="13">
        <f t="shared" si="429"/>
        <v>0.33339007190745829</v>
      </c>
      <c r="CC142" s="13">
        <f>CC132/CC137</f>
        <v>0.17756220900059771</v>
      </c>
      <c r="CD142" s="13">
        <f>CD132/CD137</f>
        <v>0.16774820997243511</v>
      </c>
      <c r="CE142" s="13">
        <f>CE132/CE137</f>
        <v>0.27002141327623125</v>
      </c>
      <c r="CF142" s="13">
        <f>CF132/CF137</f>
        <v>0.31074561949832596</v>
      </c>
      <c r="CG142" s="13">
        <f>CG132/CG137</f>
        <v>0.44281506809932925</v>
      </c>
      <c r="CI142" s="76"/>
      <c r="CJ142" s="76"/>
      <c r="CK142" s="76"/>
    </row>
    <row r="143" spans="2:89" s="6" customFormat="1" ht="13.5" customHeight="1">
      <c r="B143" s="1" t="str">
        <f>B69</f>
        <v xml:space="preserve">Net debt / Market Cap </v>
      </c>
      <c r="D143" s="13">
        <f>D132/D135</f>
        <v>0.22510859381654033</v>
      </c>
      <c r="E143" s="13">
        <f t="shared" ref="E143:J143" si="430">E132/E135</f>
        <v>0.36669952504704734</v>
      </c>
      <c r="F143" s="13">
        <f t="shared" si="430"/>
        <v>0.31524884719351248</v>
      </c>
      <c r="G143" s="13">
        <f t="shared" si="430"/>
        <v>0.50460006494209342</v>
      </c>
      <c r="H143" s="13">
        <f t="shared" si="430"/>
        <v>0.37701486096209624</v>
      </c>
      <c r="I143" s="13">
        <f t="shared" si="430"/>
        <v>0.33139792767348758</v>
      </c>
      <c r="J143" s="13">
        <f t="shared" si="430"/>
        <v>0.70081535913732851</v>
      </c>
      <c r="K143" s="13">
        <f t="shared" ref="K143:P143" si="431">K132/K135</f>
        <v>0.66901970179458936</v>
      </c>
      <c r="L143" s="13">
        <f t="shared" si="431"/>
        <v>1.2781364478069943</v>
      </c>
      <c r="M143" s="13">
        <f t="shared" si="431"/>
        <v>1.2373554765749417</v>
      </c>
      <c r="N143" s="13">
        <f t="shared" si="431"/>
        <v>0.50012767265772784</v>
      </c>
      <c r="O143" s="13">
        <f t="shared" si="431"/>
        <v>0.82570812072415667</v>
      </c>
      <c r="P143" s="13">
        <f t="shared" si="431"/>
        <v>0.20155944629074235</v>
      </c>
      <c r="Q143" s="13">
        <f>Q132/Q135</f>
        <v>0.25291354822440165</v>
      </c>
      <c r="R143" s="13">
        <f>R132/R135</f>
        <v>0.45084315499329802</v>
      </c>
      <c r="S143" s="13">
        <f>S132/S135</f>
        <v>0.59011763868424683</v>
      </c>
      <c r="T143" s="13">
        <f>T132/T135</f>
        <v>0.94244045162261647</v>
      </c>
      <c r="U143" s="212">
        <f>U132/U135</f>
        <v>1.0364344543677801</v>
      </c>
      <c r="V143" s="42"/>
      <c r="W143" s="42"/>
      <c r="Y143" s="13">
        <f t="shared" ref="Y143:AI143" si="432">Y132/Y135</f>
        <v>0.35637752409467627</v>
      </c>
      <c r="Z143" s="13">
        <f t="shared" si="432"/>
        <v>0.36916367845590553</v>
      </c>
      <c r="AA143" s="13">
        <f t="shared" si="432"/>
        <v>0.34196544187594469</v>
      </c>
      <c r="AB143" s="13">
        <f t="shared" si="432"/>
        <v>0.33139792767348758</v>
      </c>
      <c r="AC143" s="13">
        <f t="shared" si="432"/>
        <v>0.48465718545087449</v>
      </c>
      <c r="AD143" s="13">
        <f t="shared" si="432"/>
        <v>0.66069708161614982</v>
      </c>
      <c r="AE143" s="13">
        <f t="shared" si="432"/>
        <v>0.60531410569814859</v>
      </c>
      <c r="AF143" s="13">
        <f t="shared" si="432"/>
        <v>0.70081535913732851</v>
      </c>
      <c r="AG143" s="13">
        <f t="shared" si="432"/>
        <v>0.5936365991503284</v>
      </c>
      <c r="AH143" s="13">
        <f t="shared" si="432"/>
        <v>0.58305954438906815</v>
      </c>
      <c r="AI143" s="13">
        <f t="shared" si="432"/>
        <v>0.49918128355891667</v>
      </c>
      <c r="AJ143" s="13">
        <f t="shared" ref="AJ143:AP143" si="433">AJ132/AJ135</f>
        <v>0.66901970179458936</v>
      </c>
      <c r="AK143" s="13">
        <f t="shared" si="433"/>
        <v>2.0800127003139681</v>
      </c>
      <c r="AL143" s="13">
        <f t="shared" si="433"/>
        <v>1.6214783906194059</v>
      </c>
      <c r="AM143" s="13">
        <f t="shared" si="433"/>
        <v>2.2604449489667084</v>
      </c>
      <c r="AN143" s="13">
        <f t="shared" si="433"/>
        <v>1.2781364478069943</v>
      </c>
      <c r="AO143" s="13">
        <f t="shared" si="433"/>
        <v>1.6328176469847286</v>
      </c>
      <c r="AP143" s="13">
        <f t="shared" si="433"/>
        <v>1.8448032947952384</v>
      </c>
      <c r="AQ143" s="13">
        <f t="shared" ref="AQ143:AV143" si="434">AQ132/AQ135</f>
        <v>0.98783901090486559</v>
      </c>
      <c r="AR143" s="13">
        <f t="shared" si="434"/>
        <v>1.2373554765749417</v>
      </c>
      <c r="AS143" s="13">
        <f t="shared" si="434"/>
        <v>0.96581996619617572</v>
      </c>
      <c r="AT143" s="13">
        <f t="shared" si="434"/>
        <v>1.8771457307979127</v>
      </c>
      <c r="AU143" s="13">
        <f t="shared" si="434"/>
        <v>0.6687558490835529</v>
      </c>
      <c r="AV143" s="13">
        <f t="shared" si="434"/>
        <v>0.50012767265772784</v>
      </c>
      <c r="AW143" s="13">
        <f t="shared" ref="AW143:BB143" si="435">AW132/AW135</f>
        <v>0.37574494364674993</v>
      </c>
      <c r="AX143" s="13">
        <f t="shared" si="435"/>
        <v>0.21589743436379463</v>
      </c>
      <c r="AY143" s="13">
        <f t="shared" si="435"/>
        <v>8.8686434596661395E-2</v>
      </c>
      <c r="AZ143" s="13">
        <f t="shared" si="435"/>
        <v>0.25291354822440165</v>
      </c>
      <c r="BA143" s="13">
        <f t="shared" si="435"/>
        <v>0.30411191115546993</v>
      </c>
      <c r="BB143" s="13">
        <f t="shared" si="435"/>
        <v>0.36990319741859784</v>
      </c>
      <c r="BC143" s="13">
        <f t="shared" ref="BC143:BH143" si="436">BC132/BC135</f>
        <v>0.32002880795589922</v>
      </c>
      <c r="BD143" s="13">
        <f t="shared" si="436"/>
        <v>0.45084315499329802</v>
      </c>
      <c r="BE143" s="13">
        <f t="shared" si="436"/>
        <v>0.55785998276291449</v>
      </c>
      <c r="BF143" s="13">
        <f t="shared" si="436"/>
        <v>0.79473625855027619</v>
      </c>
      <c r="BG143" s="13">
        <f t="shared" si="436"/>
        <v>0.70981961959257833</v>
      </c>
      <c r="BH143" s="13">
        <f t="shared" si="436"/>
        <v>0.94244045162261647</v>
      </c>
      <c r="BI143" s="13">
        <f>BI132/BI135</f>
        <v>1.0364344543677801</v>
      </c>
      <c r="BJ143" s="142"/>
      <c r="BK143" s="142"/>
      <c r="BL143" s="37"/>
      <c r="BM143" s="37"/>
      <c r="BN143" s="13">
        <f>BN132/BN135</f>
        <v>0.30411191115546993</v>
      </c>
      <c r="BO143" s="13">
        <f t="shared" ref="BO143:CB143" si="437">BO132/BO135</f>
        <v>0.36990319741859784</v>
      </c>
      <c r="BP143" s="13">
        <f t="shared" si="437"/>
        <v>0.32002880795589922</v>
      </c>
      <c r="BQ143" s="13">
        <f t="shared" si="437"/>
        <v>0.59011763868424683</v>
      </c>
      <c r="BR143" s="13">
        <f>BR132/BR135</f>
        <v>0.55785998276291449</v>
      </c>
      <c r="BS143" s="13" t="e">
        <f t="shared" si="437"/>
        <v>#DIV/0!</v>
      </c>
      <c r="BT143" s="13">
        <f t="shared" si="437"/>
        <v>0.50460006494209342</v>
      </c>
      <c r="BU143" s="13">
        <f t="shared" si="437"/>
        <v>0.42282849137295375</v>
      </c>
      <c r="BV143" s="13">
        <f t="shared" si="437"/>
        <v>0.37701486096209624</v>
      </c>
      <c r="BW143" s="13">
        <f t="shared" si="437"/>
        <v>1.6214783906194059</v>
      </c>
      <c r="BX143" s="13">
        <f t="shared" si="437"/>
        <v>1.2781364478069943</v>
      </c>
      <c r="BY143" s="13">
        <f t="shared" si="437"/>
        <v>1.8448032947952384</v>
      </c>
      <c r="BZ143" s="13">
        <f t="shared" si="437"/>
        <v>1.2373554765749417</v>
      </c>
      <c r="CA143" s="13">
        <f t="shared" si="437"/>
        <v>1.8771457307979127</v>
      </c>
      <c r="CB143" s="13">
        <f t="shared" si="437"/>
        <v>0.50012767265772784</v>
      </c>
      <c r="CC143" s="13">
        <f>CC132/CC135</f>
        <v>0.21589743436379463</v>
      </c>
      <c r="CD143" s="13">
        <f>CD132/CD135</f>
        <v>0.20155944629074235</v>
      </c>
      <c r="CE143" s="13">
        <f>CE132/CE135</f>
        <v>0.36990319741859784</v>
      </c>
      <c r="CF143" s="13">
        <f>CF132/CF135</f>
        <v>0.45084315499329802</v>
      </c>
      <c r="CG143" s="13">
        <f>CG132/CG135</f>
        <v>0.79473625855027619</v>
      </c>
      <c r="CI143" s="76"/>
      <c r="CJ143" s="76"/>
      <c r="CK143" s="76"/>
    </row>
    <row r="144" spans="2:89" ht="13.5" customHeight="1">
      <c r="BL144" s="37"/>
      <c r="BM144" s="37"/>
    </row>
    <row r="145" spans="64:65" ht="13.5" customHeight="1">
      <c r="BL145" s="37"/>
      <c r="BM145" s="37"/>
    </row>
  </sheetData>
  <pageMargins left="0.7" right="0.7" top="0.75" bottom="0.75" header="0.3" footer="0.3"/>
  <pageSetup paperSize="9" fitToHeight="0" orientation="portrait" r:id="rId1"/>
  <headerFooter alignWithMargins="0">
    <oddFooter>&amp;L&amp;8U.S. Bank Loan Team&amp;C&amp;"Arial,Bold"&amp;8- Confidential -&amp;R&amp;8&amp;D &amp;T</oddFooter>
  </headerFooter>
  <ignoredErrors>
    <ignoredError sqref="BZ16:BZ20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FC4C-9381-4495-8911-CDC1FF126B10}">
  <dimension ref="B2:BH32"/>
  <sheetViews>
    <sheetView showGridLines="0" zoomScale="85" zoomScaleNormal="85" workbookViewId="0">
      <pane xSplit="2" ySplit="6" topLeftCell="C7" activePane="bottomRight" state="frozen"/>
      <selection pane="bottomRight" activeCell="BP1" sqref="BP1"/>
      <selection pane="bottomLeft" activeCell="H19" sqref="H19"/>
      <selection pane="topRight" activeCell="H19" sqref="H19"/>
    </sheetView>
  </sheetViews>
  <sheetFormatPr defaultRowHeight="12.75" outlineLevelCol="1"/>
  <cols>
    <col min="1" max="1" width="2.7109375" customWidth="1"/>
    <col min="2" max="2" width="50.7109375" customWidth="1"/>
    <col min="3" max="16" width="12.7109375" hidden="1" customWidth="1" outlineLevel="1"/>
    <col min="17" max="17" width="12.7109375" customWidth="1" collapsed="1"/>
    <col min="18" max="21" width="12.7109375" customWidth="1"/>
    <col min="22" max="52" width="12.7109375" hidden="1" customWidth="1" outlineLevel="1"/>
    <col min="53" max="53" width="12.7109375" customWidth="1" collapsed="1"/>
    <col min="54" max="60" width="12.7109375" customWidth="1"/>
  </cols>
  <sheetData>
    <row r="2" spans="2:60" ht="21">
      <c r="B2" s="9" t="s">
        <v>109</v>
      </c>
      <c r="C2" s="11" t="s">
        <v>110</v>
      </c>
      <c r="D2" s="11" t="s">
        <v>110</v>
      </c>
      <c r="E2" s="11" t="s">
        <v>110</v>
      </c>
      <c r="F2" s="11" t="s">
        <v>110</v>
      </c>
      <c r="G2" s="11" t="s">
        <v>110</v>
      </c>
      <c r="H2" s="11" t="s">
        <v>110</v>
      </c>
      <c r="I2" s="11" t="s">
        <v>110</v>
      </c>
      <c r="J2" s="11" t="s">
        <v>110</v>
      </c>
      <c r="K2" s="11" t="s">
        <v>110</v>
      </c>
      <c r="L2" s="11" t="s">
        <v>110</v>
      </c>
      <c r="M2" s="130" t="s">
        <v>110</v>
      </c>
      <c r="N2" s="130" t="s">
        <v>110</v>
      </c>
      <c r="O2" s="130" t="s">
        <v>110</v>
      </c>
      <c r="P2" s="130" t="s">
        <v>110</v>
      </c>
      <c r="Q2" s="130" t="s">
        <v>110</v>
      </c>
      <c r="R2" s="130" t="s">
        <v>110</v>
      </c>
      <c r="S2" s="130" t="s">
        <v>110</v>
      </c>
      <c r="T2" s="130" t="s">
        <v>111</v>
      </c>
      <c r="V2" s="11" t="s">
        <v>112</v>
      </c>
      <c r="W2" s="11" t="s">
        <v>112</v>
      </c>
      <c r="X2" s="11" t="s">
        <v>112</v>
      </c>
      <c r="Y2" s="11" t="s">
        <v>112</v>
      </c>
      <c r="Z2" s="11" t="s">
        <v>112</v>
      </c>
      <c r="AA2" s="11" t="s">
        <v>112</v>
      </c>
      <c r="AB2" s="11" t="s">
        <v>112</v>
      </c>
      <c r="AC2" s="11" t="s">
        <v>112</v>
      </c>
      <c r="AD2" s="11" t="s">
        <v>112</v>
      </c>
      <c r="AE2" s="11" t="s">
        <v>112</v>
      </c>
      <c r="AF2" s="11" t="s">
        <v>112</v>
      </c>
      <c r="AG2" s="11" t="s">
        <v>112</v>
      </c>
      <c r="AH2" s="11" t="s">
        <v>112</v>
      </c>
      <c r="AI2" s="11" t="s">
        <v>112</v>
      </c>
      <c r="AJ2" s="11" t="s">
        <v>112</v>
      </c>
      <c r="AK2" s="11" t="s">
        <v>112</v>
      </c>
      <c r="AL2" s="11" t="s">
        <v>112</v>
      </c>
      <c r="AM2" s="11" t="s">
        <v>112</v>
      </c>
      <c r="AN2" s="11" t="s">
        <v>112</v>
      </c>
      <c r="AO2" s="11" t="s">
        <v>112</v>
      </c>
      <c r="AP2" s="11" t="s">
        <v>112</v>
      </c>
      <c r="AQ2" s="11" t="s">
        <v>112</v>
      </c>
      <c r="AR2" s="11" t="s">
        <v>112</v>
      </c>
      <c r="AS2" s="11" t="s">
        <v>112</v>
      </c>
      <c r="AT2" s="11" t="s">
        <v>112</v>
      </c>
      <c r="AU2" s="11" t="s">
        <v>112</v>
      </c>
      <c r="AV2" s="130" t="s">
        <v>112</v>
      </c>
      <c r="AW2" s="11" t="s">
        <v>112</v>
      </c>
      <c r="AX2" s="11" t="s">
        <v>112</v>
      </c>
      <c r="AY2" s="11" t="s">
        <v>112</v>
      </c>
      <c r="AZ2" s="130" t="s">
        <v>112</v>
      </c>
      <c r="BA2" s="11" t="s">
        <v>112</v>
      </c>
      <c r="BB2" s="11" t="s">
        <v>112</v>
      </c>
      <c r="BC2" s="11" t="s">
        <v>112</v>
      </c>
      <c r="BD2" s="130" t="s">
        <v>112</v>
      </c>
      <c r="BE2" s="11" t="s">
        <v>112</v>
      </c>
      <c r="BF2" s="11" t="s">
        <v>112</v>
      </c>
      <c r="BH2" s="11" t="s">
        <v>112</v>
      </c>
    </row>
    <row r="3" spans="2:60">
      <c r="B3" s="10" t="s">
        <v>30</v>
      </c>
      <c r="C3" s="12">
        <v>41274</v>
      </c>
      <c r="D3" s="12">
        <f t="shared" ref="D3:M3" si="0">C3+365</f>
        <v>41639</v>
      </c>
      <c r="E3" s="12">
        <f t="shared" si="0"/>
        <v>42004</v>
      </c>
      <c r="F3" s="12">
        <f t="shared" si="0"/>
        <v>42369</v>
      </c>
      <c r="G3" s="12">
        <f t="shared" si="0"/>
        <v>42734</v>
      </c>
      <c r="H3" s="12">
        <f t="shared" si="0"/>
        <v>43099</v>
      </c>
      <c r="I3" s="12">
        <f t="shared" si="0"/>
        <v>43464</v>
      </c>
      <c r="J3" s="12">
        <f t="shared" si="0"/>
        <v>43829</v>
      </c>
      <c r="K3" s="12">
        <f t="shared" si="0"/>
        <v>44194</v>
      </c>
      <c r="L3" s="12">
        <f t="shared" si="0"/>
        <v>44559</v>
      </c>
      <c r="M3" s="14">
        <f t="shared" si="0"/>
        <v>44924</v>
      </c>
      <c r="N3" s="14">
        <f>M3</f>
        <v>44924</v>
      </c>
      <c r="O3" s="14">
        <f>M3+365</f>
        <v>45289</v>
      </c>
      <c r="P3" s="14">
        <f>N3+365</f>
        <v>45289</v>
      </c>
      <c r="Q3" s="14">
        <f>O3+365</f>
        <v>45654</v>
      </c>
      <c r="R3" s="14">
        <f>P3+365</f>
        <v>45654</v>
      </c>
      <c r="S3" s="14">
        <f>Q3+365</f>
        <v>46019</v>
      </c>
      <c r="T3" s="14">
        <f>BF3</f>
        <v>46111</v>
      </c>
      <c r="V3" s="12">
        <v>42825</v>
      </c>
      <c r="W3" s="12">
        <f t="shared" ref="W3:BF3" si="1">EDATE(V3,3)</f>
        <v>42916</v>
      </c>
      <c r="X3" s="12">
        <f t="shared" si="1"/>
        <v>43008</v>
      </c>
      <c r="Y3" s="12">
        <f t="shared" si="1"/>
        <v>43099</v>
      </c>
      <c r="Z3" s="12">
        <f t="shared" si="1"/>
        <v>43189</v>
      </c>
      <c r="AA3" s="12">
        <f t="shared" si="1"/>
        <v>43281</v>
      </c>
      <c r="AB3" s="12">
        <f t="shared" si="1"/>
        <v>43373</v>
      </c>
      <c r="AC3" s="12">
        <f t="shared" si="1"/>
        <v>43464</v>
      </c>
      <c r="AD3" s="12">
        <f t="shared" si="1"/>
        <v>43554</v>
      </c>
      <c r="AE3" s="12">
        <f t="shared" si="1"/>
        <v>43646</v>
      </c>
      <c r="AF3" s="12">
        <f t="shared" si="1"/>
        <v>43738</v>
      </c>
      <c r="AG3" s="12">
        <f>EDATE(AF3,3)</f>
        <v>43829</v>
      </c>
      <c r="AH3" s="12">
        <f t="shared" si="1"/>
        <v>43920</v>
      </c>
      <c r="AI3" s="12">
        <f t="shared" si="1"/>
        <v>44012</v>
      </c>
      <c r="AJ3" s="12">
        <f t="shared" si="1"/>
        <v>44104</v>
      </c>
      <c r="AK3" s="12">
        <f t="shared" si="1"/>
        <v>44195</v>
      </c>
      <c r="AL3" s="12">
        <f t="shared" si="1"/>
        <v>44285</v>
      </c>
      <c r="AM3" s="12">
        <f t="shared" si="1"/>
        <v>44377</v>
      </c>
      <c r="AN3" s="12">
        <f t="shared" si="1"/>
        <v>44469</v>
      </c>
      <c r="AO3" s="12">
        <f t="shared" si="1"/>
        <v>44560</v>
      </c>
      <c r="AP3" s="12">
        <f t="shared" si="1"/>
        <v>44650</v>
      </c>
      <c r="AQ3" s="12">
        <f t="shared" si="1"/>
        <v>44742</v>
      </c>
      <c r="AR3" s="12">
        <f t="shared" si="1"/>
        <v>44834</v>
      </c>
      <c r="AS3" s="12">
        <f t="shared" si="1"/>
        <v>44925</v>
      </c>
      <c r="AT3" s="12">
        <f t="shared" si="1"/>
        <v>45015</v>
      </c>
      <c r="AU3" s="12">
        <f t="shared" si="1"/>
        <v>45107</v>
      </c>
      <c r="AV3" s="14">
        <f t="shared" si="1"/>
        <v>45199</v>
      </c>
      <c r="AW3" s="12">
        <f t="shared" si="1"/>
        <v>45290</v>
      </c>
      <c r="AX3" s="12">
        <f t="shared" si="1"/>
        <v>45381</v>
      </c>
      <c r="AY3" s="12">
        <f t="shared" si="1"/>
        <v>45473</v>
      </c>
      <c r="AZ3" s="14">
        <f t="shared" si="1"/>
        <v>45565</v>
      </c>
      <c r="BA3" s="12">
        <f t="shared" si="1"/>
        <v>45656</v>
      </c>
      <c r="BB3" s="12">
        <f t="shared" si="1"/>
        <v>45746</v>
      </c>
      <c r="BC3" s="12">
        <f t="shared" si="1"/>
        <v>45838</v>
      </c>
      <c r="BD3" s="14">
        <f t="shared" si="1"/>
        <v>45930</v>
      </c>
      <c r="BE3" s="12">
        <f t="shared" si="1"/>
        <v>46021</v>
      </c>
      <c r="BF3" s="12">
        <f t="shared" si="1"/>
        <v>46111</v>
      </c>
      <c r="BH3" s="12">
        <f>BB3</f>
        <v>45746</v>
      </c>
    </row>
    <row r="4" spans="2:60">
      <c r="B4" s="10"/>
      <c r="C4" s="14" t="s">
        <v>116</v>
      </c>
      <c r="D4" s="14" t="s">
        <v>116</v>
      </c>
      <c r="E4" s="14" t="s">
        <v>116</v>
      </c>
      <c r="F4" s="14" t="s">
        <v>116</v>
      </c>
      <c r="G4" s="14" t="s">
        <v>116</v>
      </c>
      <c r="H4" s="14" t="s">
        <v>116</v>
      </c>
      <c r="I4" s="14" t="s">
        <v>116</v>
      </c>
      <c r="J4" s="14" t="s">
        <v>116</v>
      </c>
      <c r="K4" s="14" t="s">
        <v>116</v>
      </c>
      <c r="L4" s="14" t="s">
        <v>116</v>
      </c>
      <c r="M4" s="14" t="s">
        <v>116</v>
      </c>
      <c r="N4" s="14" t="s">
        <v>116</v>
      </c>
      <c r="O4" s="14" t="s">
        <v>116</v>
      </c>
      <c r="P4" s="14" t="s">
        <v>116</v>
      </c>
      <c r="Q4" s="14" t="s">
        <v>116</v>
      </c>
      <c r="R4" s="14" t="s">
        <v>116</v>
      </c>
      <c r="S4" s="14" t="s">
        <v>116</v>
      </c>
      <c r="T4" s="14" t="s">
        <v>116</v>
      </c>
      <c r="V4" s="14" t="s">
        <v>116</v>
      </c>
      <c r="W4" s="14" t="s">
        <v>116</v>
      </c>
      <c r="X4" s="14" t="s">
        <v>116</v>
      </c>
      <c r="Y4" s="14" t="s">
        <v>116</v>
      </c>
      <c r="Z4" s="14" t="s">
        <v>116</v>
      </c>
      <c r="AA4" s="14" t="s">
        <v>116</v>
      </c>
      <c r="AB4" s="14" t="s">
        <v>116</v>
      </c>
      <c r="AC4" s="14" t="s">
        <v>116</v>
      </c>
      <c r="AD4" s="14" t="s">
        <v>116</v>
      </c>
      <c r="AE4" s="14" t="s">
        <v>116</v>
      </c>
      <c r="AF4" s="14" t="s">
        <v>116</v>
      </c>
      <c r="AG4" s="14" t="s">
        <v>116</v>
      </c>
      <c r="AH4" s="14" t="s">
        <v>116</v>
      </c>
      <c r="AI4" s="14" t="s">
        <v>116</v>
      </c>
      <c r="AJ4" s="14" t="s">
        <v>116</v>
      </c>
      <c r="AK4" s="14" t="s">
        <v>116</v>
      </c>
      <c r="AL4" s="14" t="s">
        <v>116</v>
      </c>
      <c r="AM4" s="14" t="s">
        <v>116</v>
      </c>
      <c r="AN4" s="14" t="s">
        <v>116</v>
      </c>
      <c r="AO4" s="14" t="s">
        <v>116</v>
      </c>
      <c r="AP4" s="14" t="s">
        <v>116</v>
      </c>
      <c r="AQ4" s="14" t="s">
        <v>116</v>
      </c>
      <c r="AR4" s="14" t="s">
        <v>116</v>
      </c>
      <c r="AS4" s="14" t="s">
        <v>116</v>
      </c>
      <c r="AT4" s="14" t="s">
        <v>116</v>
      </c>
      <c r="AU4" s="14" t="s">
        <v>116</v>
      </c>
      <c r="AV4" s="14" t="s">
        <v>116</v>
      </c>
      <c r="AW4" s="14" t="s">
        <v>116</v>
      </c>
      <c r="AX4" s="14" t="s">
        <v>116</v>
      </c>
      <c r="AY4" s="14" t="s">
        <v>116</v>
      </c>
      <c r="AZ4" s="14" t="s">
        <v>116</v>
      </c>
      <c r="BA4" s="14" t="s">
        <v>116</v>
      </c>
      <c r="BB4" s="14" t="s">
        <v>116</v>
      </c>
      <c r="BC4" s="14" t="s">
        <v>116</v>
      </c>
      <c r="BD4" s="14" t="s">
        <v>116</v>
      </c>
      <c r="BE4" s="14" t="s">
        <v>116</v>
      </c>
      <c r="BF4" s="14" t="s">
        <v>116</v>
      </c>
      <c r="BH4" s="14" t="s">
        <v>116</v>
      </c>
    </row>
    <row r="5" spans="2:60">
      <c r="B5" s="3"/>
      <c r="C5" s="4" t="s">
        <v>119</v>
      </c>
      <c r="D5" s="4" t="s">
        <v>119</v>
      </c>
      <c r="E5" s="4" t="s">
        <v>119</v>
      </c>
      <c r="F5" s="4" t="s">
        <v>119</v>
      </c>
      <c r="G5" s="4" t="s">
        <v>119</v>
      </c>
      <c r="H5" s="4" t="s">
        <v>119</v>
      </c>
      <c r="I5" s="4" t="s">
        <v>119</v>
      </c>
      <c r="J5" s="4" t="s">
        <v>119</v>
      </c>
      <c r="K5" s="4" t="s">
        <v>119</v>
      </c>
      <c r="L5" s="4" t="s">
        <v>119</v>
      </c>
      <c r="M5" s="4" t="s">
        <v>119</v>
      </c>
      <c r="N5" s="4" t="s">
        <v>119</v>
      </c>
      <c r="O5" s="4" t="s">
        <v>119</v>
      </c>
      <c r="P5" s="4" t="s">
        <v>119</v>
      </c>
      <c r="Q5" s="4" t="s">
        <v>119</v>
      </c>
      <c r="R5" s="4" t="s">
        <v>119</v>
      </c>
      <c r="S5" s="4" t="s">
        <v>119</v>
      </c>
      <c r="T5" s="4" t="s">
        <v>119</v>
      </c>
      <c r="V5" s="4" t="s">
        <v>120</v>
      </c>
      <c r="W5" s="4" t="s">
        <v>121</v>
      </c>
      <c r="X5" s="4" t="s">
        <v>122</v>
      </c>
      <c r="Y5" s="133" t="s">
        <v>123</v>
      </c>
      <c r="Z5" s="4" t="s">
        <v>120</v>
      </c>
      <c r="AA5" s="4" t="s">
        <v>121</v>
      </c>
      <c r="AB5" s="4" t="s">
        <v>122</v>
      </c>
      <c r="AC5" s="133" t="s">
        <v>123</v>
      </c>
      <c r="AD5" s="4" t="s">
        <v>120</v>
      </c>
      <c r="AE5" s="4" t="s">
        <v>121</v>
      </c>
      <c r="AF5" s="4" t="s">
        <v>122</v>
      </c>
      <c r="AG5" s="133" t="s">
        <v>123</v>
      </c>
      <c r="AH5" s="4" t="s">
        <v>120</v>
      </c>
      <c r="AI5" s="4" t="s">
        <v>121</v>
      </c>
      <c r="AJ5" s="4" t="s">
        <v>122</v>
      </c>
      <c r="AK5" s="133" t="s">
        <v>123</v>
      </c>
      <c r="AL5" s="4" t="s">
        <v>120</v>
      </c>
      <c r="AM5" s="4" t="s">
        <v>121</v>
      </c>
      <c r="AN5" s="4" t="s">
        <v>122</v>
      </c>
      <c r="AO5" s="133" t="s">
        <v>123</v>
      </c>
      <c r="AP5" s="4" t="s">
        <v>120</v>
      </c>
      <c r="AQ5" s="4" t="s">
        <v>121</v>
      </c>
      <c r="AR5" s="4" t="s">
        <v>122</v>
      </c>
      <c r="AS5" s="133" t="s">
        <v>123</v>
      </c>
      <c r="AT5" s="4" t="s">
        <v>120</v>
      </c>
      <c r="AU5" s="4" t="s">
        <v>121</v>
      </c>
      <c r="AV5" s="4" t="s">
        <v>122</v>
      </c>
      <c r="AW5" s="133" t="s">
        <v>123</v>
      </c>
      <c r="AX5" s="4" t="s">
        <v>120</v>
      </c>
      <c r="AY5" s="4" t="s">
        <v>121</v>
      </c>
      <c r="AZ5" s="4" t="s">
        <v>122</v>
      </c>
      <c r="BA5" s="133" t="s">
        <v>123</v>
      </c>
      <c r="BB5" s="4" t="s">
        <v>120</v>
      </c>
      <c r="BC5" s="4" t="s">
        <v>121</v>
      </c>
      <c r="BD5" s="4" t="s">
        <v>122</v>
      </c>
      <c r="BE5" s="133" t="s">
        <v>123</v>
      </c>
      <c r="BF5" s="133" t="s">
        <v>120</v>
      </c>
      <c r="BH5" s="133" t="s">
        <v>120</v>
      </c>
    </row>
    <row r="6" spans="2:60">
      <c r="B6" s="10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5" t="s">
        <v>118</v>
      </c>
      <c r="O6" s="136"/>
      <c r="P6" s="15" t="s">
        <v>118</v>
      </c>
      <c r="Q6" s="136"/>
      <c r="R6" s="15" t="s">
        <v>118</v>
      </c>
      <c r="S6" s="136"/>
      <c r="T6" s="136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H6" s="15" t="s">
        <v>118</v>
      </c>
    </row>
    <row r="8" spans="2:60">
      <c r="B8" s="217" t="s">
        <v>126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V8" s="218"/>
      <c r="W8" s="219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20"/>
      <c r="BH8" s="218"/>
    </row>
    <row r="9" spans="2:60">
      <c r="B9" s="7" t="s">
        <v>127</v>
      </c>
      <c r="C9" s="37">
        <v>63225</v>
      </c>
      <c r="D9" s="37">
        <v>65458</v>
      </c>
      <c r="E9" s="37">
        <v>68343</v>
      </c>
      <c r="F9" s="37">
        <v>62397</v>
      </c>
      <c r="G9" s="37">
        <v>67273.472999999998</v>
      </c>
      <c r="H9" s="37">
        <v>97574.115999999995</v>
      </c>
      <c r="I9" s="37">
        <v>153250.03700000001</v>
      </c>
      <c r="J9" s="37">
        <v>153426.364</v>
      </c>
      <c r="K9" s="37">
        <v>115839.989</v>
      </c>
      <c r="L9" s="37">
        <v>229549.23800000001</v>
      </c>
      <c r="M9" s="37">
        <v>713727</v>
      </c>
      <c r="N9" s="37">
        <v>1353617</v>
      </c>
      <c r="O9" s="37">
        <v>1051742</v>
      </c>
      <c r="P9" s="37">
        <v>1518495</v>
      </c>
      <c r="Q9" s="37">
        <v>1291970</v>
      </c>
      <c r="R9" s="37">
        <v>1691087</v>
      </c>
      <c r="S9" s="37">
        <v>1419042</v>
      </c>
      <c r="T9" s="31">
        <f>SUM(BC9:BF9)</f>
        <v>1558911</v>
      </c>
      <c r="V9" s="37">
        <v>21706.751</v>
      </c>
      <c r="W9" s="37">
        <f>44766.375-V9</f>
        <v>23059.624</v>
      </c>
      <c r="X9" s="37">
        <f>70993.13-W9-V9</f>
        <v>26226.755000000008</v>
      </c>
      <c r="Y9" s="31">
        <f>F9-X9-W9-V9</f>
        <v>-8596.1300000000047</v>
      </c>
      <c r="Z9" s="37">
        <v>25753.227999999999</v>
      </c>
      <c r="AA9" s="37">
        <f>61647.231-Z9</f>
        <v>35894.002999999997</v>
      </c>
      <c r="AB9" s="37">
        <f>111704.372-AA9-Z9</f>
        <v>50057.141000000003</v>
      </c>
      <c r="AC9" s="31">
        <f>G9-AB9-AA9-Z9</f>
        <v>-44430.899000000005</v>
      </c>
      <c r="AD9" s="37">
        <v>35505.985000000001</v>
      </c>
      <c r="AE9" s="37">
        <f>75465.13-AD9</f>
        <v>39959.145000000004</v>
      </c>
      <c r="AF9" s="37">
        <f>115889.709-AE9-AD9</f>
        <v>40424.578999999998</v>
      </c>
      <c r="AG9" s="31">
        <f>H9-AF9-AE9-AD9</f>
        <v>-18315.593000000008</v>
      </c>
      <c r="AH9" s="37">
        <v>29045.338</v>
      </c>
      <c r="AI9" s="37">
        <f>48227.598-AH9</f>
        <v>19182.259999999998</v>
      </c>
      <c r="AJ9" s="37">
        <f>81690.069-AI9-AH9</f>
        <v>33462.471000000005</v>
      </c>
      <c r="AK9" s="31">
        <f>I9-AJ9-AI9-AH9</f>
        <v>71559.968000000008</v>
      </c>
      <c r="AL9" s="37">
        <v>33280.593000000001</v>
      </c>
      <c r="AM9" s="37">
        <f>82076.796-AL9</f>
        <v>48796.203000000001</v>
      </c>
      <c r="AN9" s="37">
        <f>146275.599-AM9-AL9</f>
        <v>64198.802999999978</v>
      </c>
      <c r="AO9" s="31">
        <f>J9-AN9-AM9-AL9</f>
        <v>7150.765000000014</v>
      </c>
      <c r="AP9" s="37">
        <v>113178.053</v>
      </c>
      <c r="AQ9" s="37">
        <f>310142.923-AP9</f>
        <v>196964.87</v>
      </c>
      <c r="AR9" s="37">
        <f>528048.25-AQ9-AP9</f>
        <v>217905.32699999999</v>
      </c>
      <c r="AS9" s="31">
        <f>K9-AR9-AQ9-AP9</f>
        <v>-412208.261</v>
      </c>
      <c r="AT9" s="37">
        <v>253773</v>
      </c>
      <c r="AU9" s="37">
        <v>282047</v>
      </c>
      <c r="AV9" s="37">
        <f>1056315-AU9-AT9</f>
        <v>520495</v>
      </c>
      <c r="AW9" s="31">
        <f>N9-AV9-AU9-AT9</f>
        <v>297302</v>
      </c>
      <c r="AX9" s="37">
        <v>258566</v>
      </c>
      <c r="AY9" s="37">
        <v>288610</v>
      </c>
      <c r="AZ9" s="37">
        <f>948415-AY9-AX9</f>
        <v>401239</v>
      </c>
      <c r="BA9" s="31">
        <f>O9-AZ9-AY9-AX9</f>
        <v>103327</v>
      </c>
      <c r="BB9" s="37">
        <v>264705</v>
      </c>
      <c r="BC9" s="37">
        <v>308079</v>
      </c>
      <c r="BD9" s="37">
        <v>390749</v>
      </c>
      <c r="BE9" s="31">
        <f>S9-BD9-BC9-BB9</f>
        <v>455509</v>
      </c>
      <c r="BF9" s="37">
        <v>404574</v>
      </c>
      <c r="BH9" s="37">
        <v>346406</v>
      </c>
    </row>
    <row r="10" spans="2:60">
      <c r="B10" s="7" t="s">
        <v>128</v>
      </c>
      <c r="C10" s="37">
        <v>22172</v>
      </c>
      <c r="D10" s="37">
        <v>25114</v>
      </c>
      <c r="E10" s="37">
        <v>26829</v>
      </c>
      <c r="F10" s="37">
        <v>35868</v>
      </c>
      <c r="G10" s="37">
        <v>42703.574999999997</v>
      </c>
      <c r="H10" s="37">
        <v>55556.629000000001</v>
      </c>
      <c r="I10" s="37">
        <v>65716.103000000003</v>
      </c>
      <c r="J10" s="37">
        <v>74447.600999999995</v>
      </c>
      <c r="K10" s="37">
        <v>98338.398000000001</v>
      </c>
      <c r="L10" s="37">
        <v>139014.96400000001</v>
      </c>
      <c r="M10" s="37">
        <v>312873</v>
      </c>
      <c r="N10" s="37">
        <v>589035</v>
      </c>
      <c r="O10" s="37">
        <v>739103</v>
      </c>
      <c r="P10" s="37">
        <v>1067110</v>
      </c>
      <c r="Q10" s="37">
        <v>971573</v>
      </c>
      <c r="R10" s="37">
        <v>1271711</v>
      </c>
      <c r="S10" s="37">
        <v>1444986</v>
      </c>
      <c r="T10" s="31">
        <f>SUM(BC10:BF10)</f>
        <v>1559576</v>
      </c>
      <c r="V10" s="37">
        <v>12165.689</v>
      </c>
      <c r="W10" s="37">
        <f>25936.526-V10</f>
        <v>13770.837000000001</v>
      </c>
      <c r="X10" s="37">
        <f>38317.951-W10-V10</f>
        <v>12381.425000000001</v>
      </c>
      <c r="Y10" s="31">
        <f>F10-X10-W10-V10</f>
        <v>-2449.9510000000046</v>
      </c>
      <c r="Z10" s="37">
        <v>14500.697</v>
      </c>
      <c r="AA10" s="37">
        <f>30978.781-Z10</f>
        <v>16478.083999999999</v>
      </c>
      <c r="AB10" s="37">
        <f>46354.832-AA10-Z10</f>
        <v>15376.051000000003</v>
      </c>
      <c r="AC10" s="31">
        <f>G10-AB10-AA10-Z10</f>
        <v>-3651.2570000000051</v>
      </c>
      <c r="AD10" s="37">
        <v>16272.41</v>
      </c>
      <c r="AE10" s="37">
        <f>34500.939-AD10</f>
        <v>18228.528999999999</v>
      </c>
      <c r="AF10" s="37">
        <f>51563.928-AE10-AD10</f>
        <v>17062.989000000005</v>
      </c>
      <c r="AG10" s="31">
        <f>H10-AF10-AE10-AD10</f>
        <v>3992.7010000000009</v>
      </c>
      <c r="AH10" s="37">
        <v>17854.572</v>
      </c>
      <c r="AI10" s="37">
        <f>30904.898-AH10</f>
        <v>13050.326000000001</v>
      </c>
      <c r="AJ10" s="37">
        <f>57973.607-AI10-AH10</f>
        <v>27068.709000000003</v>
      </c>
      <c r="AK10" s="31">
        <f>I10-AJ10-AI10-AH10</f>
        <v>7742.4959999999992</v>
      </c>
      <c r="AL10" s="37">
        <v>30610.845000000001</v>
      </c>
      <c r="AM10" s="37">
        <f>57579.073-AL10</f>
        <v>26968.227999999996</v>
      </c>
      <c r="AN10" s="37">
        <f>90847.275-AM10-AL10</f>
        <v>33268.201999999997</v>
      </c>
      <c r="AO10" s="31">
        <f>J10-AN10-AM10-AL10</f>
        <v>-16399.673999999999</v>
      </c>
      <c r="AP10" s="37">
        <v>50194.506999999998</v>
      </c>
      <c r="AQ10" s="37">
        <f>114997.673-AP10</f>
        <v>64803.165999999997</v>
      </c>
      <c r="AR10" s="37">
        <f>199588.174-AQ10-AP10</f>
        <v>84590.501000000004</v>
      </c>
      <c r="AS10" s="31">
        <f>K10-AR10-AQ10-AP10</f>
        <v>-101249.776</v>
      </c>
      <c r="AT10" s="37">
        <v>196083</v>
      </c>
      <c r="AU10" s="37">
        <v>232543</v>
      </c>
      <c r="AV10" s="37">
        <f>733428-AU10-AT10</f>
        <v>304802</v>
      </c>
      <c r="AW10" s="31">
        <f>N10-AV10-AU10-AT10</f>
        <v>-144393</v>
      </c>
      <c r="AX10" s="37">
        <v>211002</v>
      </c>
      <c r="AY10" s="37">
        <v>182446</v>
      </c>
      <c r="AZ10" s="37">
        <f>668056-AY10-AX10</f>
        <v>274608</v>
      </c>
      <c r="BA10" s="31">
        <f>O10-AZ10-AY10-AX10</f>
        <v>71047</v>
      </c>
      <c r="BB10" s="37">
        <v>236908</v>
      </c>
      <c r="BC10" s="37">
        <v>325057</v>
      </c>
      <c r="BD10" s="37">
        <v>343285</v>
      </c>
      <c r="BE10" s="31">
        <f>S10-BD10-BC10-BB10</f>
        <v>539736</v>
      </c>
      <c r="BF10" s="37">
        <v>351498</v>
      </c>
      <c r="BH10" s="37">
        <v>310030</v>
      </c>
    </row>
    <row r="11" spans="2:60">
      <c r="B11" s="7" t="s">
        <v>129</v>
      </c>
      <c r="C11" s="37">
        <v>11194</v>
      </c>
      <c r="D11" s="37">
        <v>11806</v>
      </c>
      <c r="E11" s="37">
        <v>12941</v>
      </c>
      <c r="F11" s="37">
        <v>14651</v>
      </c>
      <c r="G11" s="37">
        <v>17997.169999999998</v>
      </c>
      <c r="H11" s="37">
        <v>23360.880000000001</v>
      </c>
      <c r="I11" s="37">
        <v>30244.191999999999</v>
      </c>
      <c r="J11" s="37">
        <v>36310.762999999999</v>
      </c>
      <c r="K11" s="37">
        <v>47170.722999999998</v>
      </c>
      <c r="L11" s="37">
        <v>76889.131999999998</v>
      </c>
      <c r="M11" s="37">
        <v>153713</v>
      </c>
      <c r="N11" s="37">
        <v>291269</v>
      </c>
      <c r="O11" s="37">
        <v>297189</v>
      </c>
      <c r="P11" s="37">
        <v>429079</v>
      </c>
      <c r="Q11" s="37">
        <v>485412</v>
      </c>
      <c r="R11" s="37">
        <v>635365</v>
      </c>
      <c r="S11" s="37">
        <v>597907</v>
      </c>
      <c r="T11" s="31">
        <f>SUM(BC11:BF11)</f>
        <v>615784</v>
      </c>
      <c r="V11" s="37">
        <v>5085.7280000000001</v>
      </c>
      <c r="W11" s="37">
        <f>10900.311-V11</f>
        <v>5814.5829999999996</v>
      </c>
      <c r="X11" s="37">
        <f>17034.106-W11-V11</f>
        <v>6133.795000000001</v>
      </c>
      <c r="Y11" s="31">
        <f>F11-X11-W11-V11</f>
        <v>-2383.1060000000016</v>
      </c>
      <c r="Z11" s="37">
        <v>6173.9809999999998</v>
      </c>
      <c r="AA11" s="37">
        <f>13734.803-Z11</f>
        <v>7560.8220000000001</v>
      </c>
      <c r="AB11" s="37">
        <f>22125.788-AA11-Z11</f>
        <v>8390.9850000000006</v>
      </c>
      <c r="AC11" s="31">
        <f>G11-AB11-AA11-Z11</f>
        <v>-4128.6180000000022</v>
      </c>
      <c r="AD11" s="37">
        <v>7886.1989999999996</v>
      </c>
      <c r="AE11" s="37">
        <f>17602.89-AD11</f>
        <v>9716.6909999999989</v>
      </c>
      <c r="AF11" s="37">
        <f>26769.357-AE11-AD11</f>
        <v>9166.4670000000006</v>
      </c>
      <c r="AG11" s="31">
        <f>H11-AF11-AE11-AD11</f>
        <v>-3408.476999999998</v>
      </c>
      <c r="AH11" s="37">
        <v>9028.1260000000002</v>
      </c>
      <c r="AI11" s="37">
        <f>18168.213-AH11</f>
        <v>9140.0869999999995</v>
      </c>
      <c r="AJ11" s="37">
        <f>32219.42-AI11-AH11</f>
        <v>14051.206999999999</v>
      </c>
      <c r="AK11" s="31">
        <f>I11-AJ11-AI11-AH11</f>
        <v>-1975.2279999999992</v>
      </c>
      <c r="AL11" s="37">
        <v>15105.576999999999</v>
      </c>
      <c r="AM11" s="37">
        <f>31855.798-AL11</f>
        <v>16750.220999999998</v>
      </c>
      <c r="AN11" s="37">
        <f>52304.98-AM11-AL11</f>
        <v>20449.182000000008</v>
      </c>
      <c r="AO11" s="31">
        <f>J11-AN11-AM11-AL11</f>
        <v>-15994.217000000006</v>
      </c>
      <c r="AP11" s="37">
        <v>32558.289000000001</v>
      </c>
      <c r="AQ11" s="37">
        <f>70240.258-AP11</f>
        <v>37681.968999999997</v>
      </c>
      <c r="AR11" s="37">
        <f>109212.105-AQ11-AP11</f>
        <v>38971.846999999994</v>
      </c>
      <c r="AS11" s="31">
        <f>K11-AR11-AQ11-AP11</f>
        <v>-62041.381999999998</v>
      </c>
      <c r="AT11" s="37">
        <v>81504</v>
      </c>
      <c r="AU11" s="37">
        <v>94599</v>
      </c>
      <c r="AV11" s="37">
        <f>303150-AU11-AT11</f>
        <v>127047</v>
      </c>
      <c r="AW11" s="31">
        <f>N11-AV11-AU11-AT11</f>
        <v>-11881</v>
      </c>
      <c r="AX11" s="37">
        <v>86490</v>
      </c>
      <c r="AY11" s="37">
        <v>113384</v>
      </c>
      <c r="AZ11" s="37">
        <f>344026-AY11-AX11</f>
        <v>144152</v>
      </c>
      <c r="BA11" s="31">
        <f>O11-AZ11-AY11-AX11</f>
        <v>-46837</v>
      </c>
      <c r="BB11" s="37">
        <v>125545</v>
      </c>
      <c r="BC11" s="37">
        <v>140988</v>
      </c>
      <c r="BD11" s="37">
        <v>140857</v>
      </c>
      <c r="BE11" s="31">
        <f>S11-BD11-BC11-BB11</f>
        <v>190517</v>
      </c>
      <c r="BF11" s="37">
        <v>143422</v>
      </c>
      <c r="BH11" s="37">
        <v>164294</v>
      </c>
    </row>
    <row r="12" spans="2:60">
      <c r="B12" s="7" t="s">
        <v>130</v>
      </c>
      <c r="C12" s="37">
        <v>12985</v>
      </c>
      <c r="D12" s="37">
        <v>13834</v>
      </c>
      <c r="E12" s="37">
        <v>16838</v>
      </c>
      <c r="F12" s="37">
        <v>21514</v>
      </c>
      <c r="G12" s="37">
        <v>24235.787</v>
      </c>
      <c r="H12" s="37">
        <v>29699.776000000002</v>
      </c>
      <c r="I12" s="37">
        <v>43227.186999999998</v>
      </c>
      <c r="J12" s="37">
        <v>47843.542999999998</v>
      </c>
      <c r="K12" s="37">
        <v>45183.224000000002</v>
      </c>
      <c r="L12" s="37">
        <v>73513.573000000004</v>
      </c>
      <c r="M12" s="37">
        <v>168699</v>
      </c>
      <c r="N12" s="37">
        <v>317826</v>
      </c>
      <c r="O12" s="37">
        <v>388576</v>
      </c>
      <c r="P12" s="37">
        <v>561022</v>
      </c>
      <c r="Q12" s="37">
        <v>710437</v>
      </c>
      <c r="R12" s="37">
        <v>929906</v>
      </c>
      <c r="S12" s="37">
        <v>923792</v>
      </c>
      <c r="T12" s="31">
        <f>SUM(BC12:BF12)</f>
        <v>982056</v>
      </c>
      <c r="V12" s="37">
        <v>6839.52</v>
      </c>
      <c r="W12" s="37">
        <f>14096.285-V12</f>
        <v>7256.7649999999994</v>
      </c>
      <c r="X12" s="37">
        <f>21544.943-W12-V12</f>
        <v>7448.6579999999994</v>
      </c>
      <c r="Y12" s="31">
        <f>F12-X12-W12-V12</f>
        <v>-30.942999999999302</v>
      </c>
      <c r="Z12" s="37">
        <v>8405.3580000000002</v>
      </c>
      <c r="AA12" s="37">
        <f>17865.292-Z12</f>
        <v>9459.9340000000011</v>
      </c>
      <c r="AB12" s="37">
        <f>30424.138-AA12-Z12</f>
        <v>12558.845999999998</v>
      </c>
      <c r="AC12" s="31">
        <f>G12-AB12-AA12-Z12</f>
        <v>-6188.3509999999987</v>
      </c>
      <c r="AD12" s="37">
        <v>12149.960999999999</v>
      </c>
      <c r="AE12" s="37">
        <f>24643.626-AD12</f>
        <v>12493.665000000001</v>
      </c>
      <c r="AF12" s="37">
        <f>36596.155-AE12-AD12</f>
        <v>11952.528999999999</v>
      </c>
      <c r="AG12" s="31">
        <f>H12-AF12-AE12-AD12</f>
        <v>-6896.3789999999972</v>
      </c>
      <c r="AH12" s="37">
        <v>10945.379000000001</v>
      </c>
      <c r="AI12" s="37">
        <f>21200.874-AH12</f>
        <v>10255.494999999999</v>
      </c>
      <c r="AJ12" s="37">
        <f>32785.443-AI12-AH12</f>
        <v>11584.569</v>
      </c>
      <c r="AK12" s="31">
        <f>I12-AJ12-AI12-AH12</f>
        <v>10441.743999999999</v>
      </c>
      <c r="AL12" s="37">
        <v>14095.293</v>
      </c>
      <c r="AM12" s="37">
        <f>29611.25-AL12</f>
        <v>15515.957</v>
      </c>
      <c r="AN12" s="37">
        <f>47600.715-AM12-AL12</f>
        <v>17989.464999999997</v>
      </c>
      <c r="AO12" s="31">
        <f>J12-AN12-AM12-AL12</f>
        <v>242.82800000000134</v>
      </c>
      <c r="AP12" s="37">
        <v>27471.108</v>
      </c>
      <c r="AQ12" s="37">
        <f>63841.977-AP12</f>
        <v>36370.868999999999</v>
      </c>
      <c r="AR12" s="37">
        <f>111649.534-AQ12-AP12</f>
        <v>47807.557000000008</v>
      </c>
      <c r="AS12" s="31">
        <f>K12-AR12-AQ12-AP12</f>
        <v>-66466.31</v>
      </c>
      <c r="AT12" s="37">
        <v>86708</v>
      </c>
      <c r="AU12" s="37">
        <v>120107</v>
      </c>
      <c r="AV12" s="37">
        <f>378450-AU12-AT12</f>
        <v>171635</v>
      </c>
      <c r="AW12" s="31">
        <f>N12-AV12-AU12-AT12</f>
        <v>-60624</v>
      </c>
      <c r="AX12" s="37">
        <v>139382</v>
      </c>
      <c r="AY12" s="37">
        <v>156197</v>
      </c>
      <c r="AZ12" s="37">
        <f>503349-AY12-AX12</f>
        <v>207770</v>
      </c>
      <c r="BA12" s="31">
        <f>O12-AZ12-AY12-AX12</f>
        <v>-114773</v>
      </c>
      <c r="BB12" s="37">
        <v>187607</v>
      </c>
      <c r="BC12" s="37">
        <v>201398</v>
      </c>
      <c r="BD12" s="37">
        <v>225849</v>
      </c>
      <c r="BE12" s="31">
        <f>S12-BD12-BC12-BB12</f>
        <v>308938</v>
      </c>
      <c r="BF12" s="37">
        <v>245871</v>
      </c>
      <c r="BH12" s="37">
        <v>245512</v>
      </c>
    </row>
    <row r="13" spans="2:60">
      <c r="B13" s="7" t="s">
        <v>131</v>
      </c>
      <c r="C13" s="37">
        <v>7008</v>
      </c>
      <c r="D13" s="37">
        <v>7265</v>
      </c>
      <c r="E13" s="37">
        <v>8514</v>
      </c>
      <c r="F13" s="37">
        <v>9880</v>
      </c>
      <c r="G13" s="37">
        <v>9581.51</v>
      </c>
      <c r="H13" s="37">
        <v>11107.986999999999</v>
      </c>
      <c r="I13" s="37">
        <v>13837.305</v>
      </c>
      <c r="J13" s="37">
        <v>17014.195</v>
      </c>
      <c r="K13" s="37">
        <v>18365.73</v>
      </c>
      <c r="L13" s="37">
        <v>25364.621999999999</v>
      </c>
      <c r="M13" s="37">
        <v>56527</v>
      </c>
      <c r="N13" s="37">
        <v>106791</v>
      </c>
      <c r="O13" s="37">
        <v>116697</v>
      </c>
      <c r="P13" s="37">
        <v>168486</v>
      </c>
      <c r="Q13" s="37">
        <v>166325</v>
      </c>
      <c r="R13" s="37">
        <v>217706</v>
      </c>
      <c r="S13" s="37">
        <v>217750</v>
      </c>
      <c r="T13" s="31">
        <f>SUM(BC13:BF13)</f>
        <v>230369</v>
      </c>
      <c r="U13" s="33"/>
      <c r="V13" s="37">
        <v>2373.2730000000001</v>
      </c>
      <c r="W13" s="37">
        <f>5057.218-V13</f>
        <v>2683.9449999999997</v>
      </c>
      <c r="X13" s="37">
        <f>7899.816-W13-V13</f>
        <v>2842.598</v>
      </c>
      <c r="Y13" s="31">
        <f>F13-X13-W13-V13</f>
        <v>1980.1840000000002</v>
      </c>
      <c r="Z13" s="37">
        <v>2645.087</v>
      </c>
      <c r="AA13" s="37">
        <f>5882.612-Z13</f>
        <v>3237.5250000000001</v>
      </c>
      <c r="AB13" s="37">
        <f>9555.058-AA13-Z13</f>
        <v>3672.4460000000013</v>
      </c>
      <c r="AC13" s="31">
        <f>G13-AB13-AA13-Z13</f>
        <v>26.451999999998407</v>
      </c>
      <c r="AD13" s="37">
        <v>3580.0010000000002</v>
      </c>
      <c r="AE13" s="37">
        <f>7892.198-AD13</f>
        <v>4312.1970000000001</v>
      </c>
      <c r="AF13" s="37">
        <f>12208.894-AE13-AD13</f>
        <v>4316.6959999999999</v>
      </c>
      <c r="AG13" s="31">
        <f>H13-AF13-AE13-AD13</f>
        <v>-1100.9070000000011</v>
      </c>
      <c r="AH13" s="37">
        <v>3825.7289999999998</v>
      </c>
      <c r="AI13" s="37">
        <f>7625.018-AH13</f>
        <v>3799.2890000000002</v>
      </c>
      <c r="AJ13" s="37">
        <f>11943.176-AI13-AH13</f>
        <v>4318.1579999999994</v>
      </c>
      <c r="AK13" s="31">
        <f>I13-AJ13-AI13-AH13</f>
        <v>1894.1290000000004</v>
      </c>
      <c r="AL13" s="37">
        <v>4584.1369999999997</v>
      </c>
      <c r="AM13" s="37">
        <f>10263.258-AL13</f>
        <v>5679.1210000000001</v>
      </c>
      <c r="AN13" s="37">
        <f>16332.193-AM13-AL13</f>
        <v>6068.9350000000004</v>
      </c>
      <c r="AO13" s="31">
        <f>J13-AN13-AM13-AL13</f>
        <v>682.00199999999859</v>
      </c>
      <c r="AP13" s="37">
        <v>9527.5360000000001</v>
      </c>
      <c r="AQ13" s="37">
        <f>22832.153-AP13</f>
        <v>13304.616999999998</v>
      </c>
      <c r="AR13" s="37">
        <f>37428.86-AQ13-AP13</f>
        <v>14596.707000000002</v>
      </c>
      <c r="AS13" s="31">
        <f>K13-AR13-AQ13-AP13</f>
        <v>-19063.13</v>
      </c>
      <c r="AT13" s="37">
        <v>26204</v>
      </c>
      <c r="AU13" s="37">
        <v>36307</v>
      </c>
      <c r="AV13" s="37">
        <f>110914-AU13-AT13</f>
        <v>48403</v>
      </c>
      <c r="AW13" s="31">
        <f>N13-AV13-AU13-AT13</f>
        <v>-4123</v>
      </c>
      <c r="AX13" s="37">
        <v>30042</v>
      </c>
      <c r="AY13" s="37">
        <v>35894</v>
      </c>
      <c r="AZ13" s="37">
        <f>112056-AY13-AX13</f>
        <v>46120</v>
      </c>
      <c r="BA13" s="31">
        <f>O13-AZ13-AY13-AX13</f>
        <v>4641</v>
      </c>
      <c r="BB13" s="37">
        <v>40111</v>
      </c>
      <c r="BC13" s="37">
        <v>49493</v>
      </c>
      <c r="BD13" s="37">
        <v>52923</v>
      </c>
      <c r="BE13" s="31">
        <f>S13-BD13-BC13-BB13</f>
        <v>75223</v>
      </c>
      <c r="BF13" s="37">
        <v>52730</v>
      </c>
      <c r="BH13" s="37">
        <v>52491</v>
      </c>
    </row>
    <row r="14" spans="2:60">
      <c r="B14" s="6" t="s">
        <v>132</v>
      </c>
      <c r="C14" s="33">
        <f t="shared" ref="C14:O14" si="2">SUM(C9:C13)</f>
        <v>116584</v>
      </c>
      <c r="D14" s="33">
        <f t="shared" si="2"/>
        <v>123477</v>
      </c>
      <c r="E14" s="33">
        <f t="shared" si="2"/>
        <v>133465</v>
      </c>
      <c r="F14" s="33">
        <f t="shared" si="2"/>
        <v>144310</v>
      </c>
      <c r="G14" s="33">
        <f t="shared" si="2"/>
        <v>161791.51500000001</v>
      </c>
      <c r="H14" s="33">
        <f t="shared" si="2"/>
        <v>217299.38800000001</v>
      </c>
      <c r="I14" s="33">
        <f t="shared" si="2"/>
        <v>306274.82400000002</v>
      </c>
      <c r="J14" s="33">
        <f t="shared" si="2"/>
        <v>329042.46600000001</v>
      </c>
      <c r="K14" s="33">
        <f t="shared" si="2"/>
        <v>324898.06399999995</v>
      </c>
      <c r="L14" s="33">
        <f t="shared" si="2"/>
        <v>544331.52899999998</v>
      </c>
      <c r="M14" s="33">
        <f t="shared" si="2"/>
        <v>1405539</v>
      </c>
      <c r="N14" s="33">
        <f t="shared" si="2"/>
        <v>2658538</v>
      </c>
      <c r="O14" s="33">
        <f t="shared" si="2"/>
        <v>2593307</v>
      </c>
      <c r="P14" s="33">
        <f>SUM(P9:P13)</f>
        <v>3744192</v>
      </c>
      <c r="Q14" s="33">
        <f>SUM(Q9:Q13)</f>
        <v>3625717</v>
      </c>
      <c r="R14" s="33">
        <f>SUM(R9:R13)</f>
        <v>4745775</v>
      </c>
      <c r="S14" s="33">
        <f>SUM(S9:S13)</f>
        <v>4603477</v>
      </c>
      <c r="T14" s="33">
        <f>SUM(T9:T13)</f>
        <v>4946696</v>
      </c>
      <c r="U14" s="33"/>
      <c r="V14" s="33">
        <f t="shared" ref="V14:AY14" si="3">SUM(V9:V13)</f>
        <v>48170.96100000001</v>
      </c>
      <c r="W14" s="33">
        <f t="shared" si="3"/>
        <v>52585.754000000001</v>
      </c>
      <c r="X14" s="33">
        <f t="shared" si="3"/>
        <v>55033.231</v>
      </c>
      <c r="Y14" s="33">
        <f t="shared" si="3"/>
        <v>-11479.946000000011</v>
      </c>
      <c r="Z14" s="33">
        <f t="shared" si="3"/>
        <v>57478.351000000002</v>
      </c>
      <c r="AA14" s="33">
        <f t="shared" si="3"/>
        <v>72630.367999999988</v>
      </c>
      <c r="AB14" s="33">
        <f t="shared" si="3"/>
        <v>90055.469000000012</v>
      </c>
      <c r="AC14" s="33">
        <f t="shared" si="3"/>
        <v>-58372.673000000017</v>
      </c>
      <c r="AD14" s="33">
        <f t="shared" si="3"/>
        <v>75394.556000000011</v>
      </c>
      <c r="AE14" s="33">
        <f t="shared" si="3"/>
        <v>84710.226999999999</v>
      </c>
      <c r="AF14" s="33">
        <f t="shared" si="3"/>
        <v>82923.259999999995</v>
      </c>
      <c r="AG14" s="33">
        <f t="shared" si="3"/>
        <v>-25728.655000000006</v>
      </c>
      <c r="AH14" s="33">
        <f t="shared" si="3"/>
        <v>70699.144000000015</v>
      </c>
      <c r="AI14" s="33">
        <f t="shared" si="3"/>
        <v>55427.456999999988</v>
      </c>
      <c r="AJ14" s="33">
        <f t="shared" si="3"/>
        <v>90485.114000000001</v>
      </c>
      <c r="AK14" s="33">
        <f t="shared" si="3"/>
        <v>89663.109000000011</v>
      </c>
      <c r="AL14" s="33">
        <f t="shared" si="3"/>
        <v>97676.445000000007</v>
      </c>
      <c r="AM14" s="33">
        <f t="shared" si="3"/>
        <v>113709.73</v>
      </c>
      <c r="AN14" s="33">
        <f t="shared" si="3"/>
        <v>141974.58699999997</v>
      </c>
      <c r="AO14" s="33">
        <f t="shared" si="3"/>
        <v>-24318.295999999988</v>
      </c>
      <c r="AP14" s="33">
        <f t="shared" si="3"/>
        <v>232929.49299999999</v>
      </c>
      <c r="AQ14" s="33">
        <f t="shared" si="3"/>
        <v>349125.49100000004</v>
      </c>
      <c r="AR14" s="33">
        <f t="shared" si="3"/>
        <v>403871.93900000001</v>
      </c>
      <c r="AS14" s="33">
        <f t="shared" si="3"/>
        <v>-661028.85900000005</v>
      </c>
      <c r="AT14" s="33">
        <f t="shared" si="3"/>
        <v>644272</v>
      </c>
      <c r="AU14" s="33">
        <f t="shared" si="3"/>
        <v>765603</v>
      </c>
      <c r="AV14" s="33">
        <f t="shared" si="3"/>
        <v>1172382</v>
      </c>
      <c r="AW14" s="33">
        <f t="shared" si="3"/>
        <v>76281</v>
      </c>
      <c r="AX14" s="33">
        <f t="shared" si="3"/>
        <v>725482</v>
      </c>
      <c r="AY14" s="33">
        <f t="shared" si="3"/>
        <v>776531</v>
      </c>
      <c r="AZ14" s="33">
        <f t="shared" ref="AZ14:BE14" si="4">SUM(AZ9:AZ13)</f>
        <v>1073889</v>
      </c>
      <c r="BA14" s="33">
        <f t="shared" si="4"/>
        <v>17405</v>
      </c>
      <c r="BB14" s="33">
        <f t="shared" si="4"/>
        <v>854876</v>
      </c>
      <c r="BC14" s="33">
        <f t="shared" si="4"/>
        <v>1025015</v>
      </c>
      <c r="BD14" s="33">
        <f t="shared" si="4"/>
        <v>1153663</v>
      </c>
      <c r="BE14" s="33">
        <f t="shared" si="4"/>
        <v>1569923</v>
      </c>
      <c r="BF14" s="33">
        <f>SUM(BF9:BF13)</f>
        <v>1198095</v>
      </c>
      <c r="BH14" s="33">
        <f>SUM(BH9:BH13)</f>
        <v>1118733</v>
      </c>
    </row>
    <row r="17" spans="2:60">
      <c r="B17" s="216" t="s">
        <v>184</v>
      </c>
    </row>
    <row r="18" spans="2:60">
      <c r="B18" s="7" t="s">
        <v>127</v>
      </c>
      <c r="C18" s="13">
        <f>C9/C$14</f>
        <v>0.54231283881150072</v>
      </c>
      <c r="D18" s="13">
        <f t="shared" ref="D18:Q18" si="5">D9/D$14</f>
        <v>0.53012301886181235</v>
      </c>
      <c r="E18" s="13">
        <f t="shared" si="5"/>
        <v>0.51206683400142361</v>
      </c>
      <c r="F18" s="13">
        <f t="shared" si="5"/>
        <v>0.43238167833136998</v>
      </c>
      <c r="G18" s="13">
        <f t="shared" si="5"/>
        <v>0.4158034678147367</v>
      </c>
      <c r="H18" s="13">
        <f t="shared" si="5"/>
        <v>0.44903079064355206</v>
      </c>
      <c r="I18" s="13">
        <f t="shared" si="5"/>
        <v>0.50036772529497886</v>
      </c>
      <c r="J18" s="13">
        <f t="shared" si="5"/>
        <v>0.46628134618952194</v>
      </c>
      <c r="K18" s="13">
        <f t="shared" si="5"/>
        <v>0.35654256468576562</v>
      </c>
      <c r="L18" s="13">
        <f t="shared" si="5"/>
        <v>0.42170850992539149</v>
      </c>
      <c r="M18" s="13">
        <f t="shared" si="5"/>
        <v>0.50779594162808717</v>
      </c>
      <c r="N18" s="13">
        <f t="shared" si="5"/>
        <v>0.50915841714506249</v>
      </c>
      <c r="O18" s="13">
        <f t="shared" si="5"/>
        <v>0.40556015928696448</v>
      </c>
      <c r="P18" s="13">
        <f t="shared" si="5"/>
        <v>0.40556013153171633</v>
      </c>
      <c r="Q18" s="13">
        <f t="shared" si="5"/>
        <v>0.35633503662861721</v>
      </c>
      <c r="R18" s="13">
        <f t="shared" ref="R18:S22" si="6">R9/R$14</f>
        <v>0.35633526663189891</v>
      </c>
      <c r="S18" s="13">
        <f t="shared" si="6"/>
        <v>0.30825439119170139</v>
      </c>
      <c r="T18" s="13">
        <f>T9/T$14</f>
        <v>0.31514186438786618</v>
      </c>
      <c r="V18" s="13">
        <f t="shared" ref="V18:BD18" si="7">V9/V$14</f>
        <v>0.45061901505348828</v>
      </c>
      <c r="W18" s="13">
        <f t="shared" si="7"/>
        <v>0.43851465931248224</v>
      </c>
      <c r="X18" s="13">
        <f t="shared" si="7"/>
        <v>0.47656215205681834</v>
      </c>
      <c r="Y18" s="13">
        <f t="shared" si="7"/>
        <v>0.74879533405470688</v>
      </c>
      <c r="Z18" s="13">
        <f t="shared" si="7"/>
        <v>0.44805091920608503</v>
      </c>
      <c r="AA18" s="13">
        <f t="shared" si="7"/>
        <v>0.49420103447637775</v>
      </c>
      <c r="AB18" s="13">
        <f t="shared" si="7"/>
        <v>0.55584787415853665</v>
      </c>
      <c r="AC18" s="13">
        <f t="shared" si="7"/>
        <v>0.76115923284856246</v>
      </c>
      <c r="AD18" s="13">
        <f t="shared" si="7"/>
        <v>0.47093566012909466</v>
      </c>
      <c r="AE18" s="13">
        <f t="shared" si="7"/>
        <v>0.4717157114925451</v>
      </c>
      <c r="AF18" s="13">
        <f t="shared" si="7"/>
        <v>0.48749384672044971</v>
      </c>
      <c r="AG18" s="13">
        <f t="shared" si="7"/>
        <v>0.71187526126025646</v>
      </c>
      <c r="AH18" s="13">
        <f t="shared" si="7"/>
        <v>0.41083012263910851</v>
      </c>
      <c r="AI18" s="13">
        <f t="shared" si="7"/>
        <v>0.34607865917427894</v>
      </c>
      <c r="AJ18" s="13">
        <f t="shared" si="7"/>
        <v>0.36981188972144086</v>
      </c>
      <c r="AK18" s="13">
        <f t="shared" si="7"/>
        <v>0.79809822342876824</v>
      </c>
      <c r="AL18" s="13">
        <f t="shared" si="7"/>
        <v>0.34072281193280529</v>
      </c>
      <c r="AM18" s="13">
        <f t="shared" si="7"/>
        <v>0.42912953007627408</v>
      </c>
      <c r="AN18" s="13">
        <f t="shared" si="7"/>
        <v>0.45218517170259487</v>
      </c>
      <c r="AO18" s="13">
        <f t="shared" si="7"/>
        <v>-0.29404876887755693</v>
      </c>
      <c r="AP18" s="13">
        <f t="shared" si="7"/>
        <v>0.48588974947882624</v>
      </c>
      <c r="AQ18" s="13">
        <f t="shared" si="7"/>
        <v>0.56416639597364715</v>
      </c>
      <c r="AR18" s="13">
        <f t="shared" si="7"/>
        <v>0.53954064632353671</v>
      </c>
      <c r="AS18" s="13">
        <f t="shared" si="7"/>
        <v>0.62358587736031046</v>
      </c>
      <c r="AT18" s="13">
        <f t="shared" si="7"/>
        <v>0.3938910894777361</v>
      </c>
      <c r="AU18" s="13">
        <f t="shared" si="7"/>
        <v>0.36839850418558967</v>
      </c>
      <c r="AV18" s="13">
        <f t="shared" si="7"/>
        <v>0.4439636568968135</v>
      </c>
      <c r="AW18" s="13">
        <f t="shared" si="7"/>
        <v>3.8974580826155925</v>
      </c>
      <c r="AX18" s="13">
        <f t="shared" si="7"/>
        <v>0.35640581020618017</v>
      </c>
      <c r="AY18" s="13">
        <f t="shared" si="7"/>
        <v>0.37166578024573393</v>
      </c>
      <c r="AZ18" s="13">
        <f t="shared" si="7"/>
        <v>0.37363172543903511</v>
      </c>
      <c r="BA18" s="13">
        <f t="shared" si="7"/>
        <v>5.9366274059178394</v>
      </c>
      <c r="BB18" s="13">
        <f t="shared" si="7"/>
        <v>0.30964139828466353</v>
      </c>
      <c r="BC18" s="13">
        <f t="shared" si="7"/>
        <v>0.30056047960273752</v>
      </c>
      <c r="BD18" s="13">
        <f t="shared" si="7"/>
        <v>0.3387028967731478</v>
      </c>
      <c r="BE18" s="13">
        <f t="shared" ref="BE18:BF22" si="8">BE9/BE$14</f>
        <v>0.29014735117582202</v>
      </c>
      <c r="BF18" s="13">
        <f t="shared" si="8"/>
        <v>0.33768106869655579</v>
      </c>
      <c r="BH18" s="13">
        <f>BH9/BH$14</f>
        <v>0.30964135320938957</v>
      </c>
    </row>
    <row r="19" spans="2:60">
      <c r="B19" s="7" t="s">
        <v>128</v>
      </c>
      <c r="C19" s="13">
        <f t="shared" ref="C19:Q22" si="9">C10/C$14</f>
        <v>0.19018047073354835</v>
      </c>
      <c r="D19" s="13">
        <f t="shared" si="9"/>
        <v>0.20339010503980498</v>
      </c>
      <c r="E19" s="13">
        <f t="shared" si="9"/>
        <v>0.20101899374367813</v>
      </c>
      <c r="F19" s="13">
        <f t="shared" si="9"/>
        <v>0.24854826415355832</v>
      </c>
      <c r="G19" s="13">
        <f t="shared" si="9"/>
        <v>0.26394199349700131</v>
      </c>
      <c r="H19" s="13">
        <f t="shared" si="9"/>
        <v>0.25566859396769215</v>
      </c>
      <c r="I19" s="13">
        <f t="shared" si="9"/>
        <v>0.21456580120343158</v>
      </c>
      <c r="J19" s="13">
        <f t="shared" si="9"/>
        <v>0.22625529739374126</v>
      </c>
      <c r="K19" s="13">
        <f t="shared" si="9"/>
        <v>0.30267461981552468</v>
      </c>
      <c r="L19" s="13">
        <f t="shared" si="9"/>
        <v>0.25538657342775384</v>
      </c>
      <c r="M19" s="13">
        <f t="shared" si="9"/>
        <v>0.22260001323335746</v>
      </c>
      <c r="N19" s="13">
        <f t="shared" si="9"/>
        <v>0.22156350595703353</v>
      </c>
      <c r="O19" s="13">
        <f t="shared" si="9"/>
        <v>0.28500405081234115</v>
      </c>
      <c r="P19" s="13">
        <f t="shared" si="9"/>
        <v>0.28500408098729979</v>
      </c>
      <c r="Q19" s="13">
        <f t="shared" si="9"/>
        <v>0.26796713587960669</v>
      </c>
      <c r="R19" s="13">
        <f t="shared" si="6"/>
        <v>0.2679669811569238</v>
      </c>
      <c r="S19" s="13">
        <f t="shared" si="6"/>
        <v>0.31389013130727056</v>
      </c>
      <c r="T19" s="13">
        <f>T10/T$14</f>
        <v>0.3152762975529525</v>
      </c>
      <c r="V19" s="13">
        <f t="shared" ref="V19:BD19" si="10">V10/V$14</f>
        <v>0.25255234164832208</v>
      </c>
      <c r="W19" s="13">
        <f t="shared" si="10"/>
        <v>0.26187390980454517</v>
      </c>
      <c r="X19" s="13">
        <f t="shared" si="10"/>
        <v>0.22498088473126357</v>
      </c>
      <c r="Y19" s="13">
        <f t="shared" si="10"/>
        <v>0.21341136970504934</v>
      </c>
      <c r="Z19" s="13">
        <f t="shared" si="10"/>
        <v>0.2522810196833935</v>
      </c>
      <c r="AA19" s="13">
        <f t="shared" si="10"/>
        <v>0.22687595359560897</v>
      </c>
      <c r="AB19" s="13">
        <f t="shared" si="10"/>
        <v>0.17073978039023927</v>
      </c>
      <c r="AC19" s="13">
        <f t="shared" si="10"/>
        <v>6.255079324532567E-2</v>
      </c>
      <c r="AD19" s="13">
        <f t="shared" si="10"/>
        <v>0.21583003950577012</v>
      </c>
      <c r="AE19" s="13">
        <f t="shared" si="10"/>
        <v>0.21518687466154468</v>
      </c>
      <c r="AF19" s="13">
        <f t="shared" si="10"/>
        <v>0.20576842975059118</v>
      </c>
      <c r="AG19" s="13">
        <f t="shared" si="10"/>
        <v>-0.15518498732250091</v>
      </c>
      <c r="AH19" s="13">
        <f t="shared" si="10"/>
        <v>0.25254297279752069</v>
      </c>
      <c r="AI19" s="13">
        <f t="shared" si="10"/>
        <v>0.23544875962828321</v>
      </c>
      <c r="AJ19" s="13">
        <f t="shared" si="10"/>
        <v>0.29915096310758921</v>
      </c>
      <c r="AK19" s="13">
        <f t="shared" si="10"/>
        <v>8.6350965144427444E-2</v>
      </c>
      <c r="AL19" s="13">
        <f t="shared" si="10"/>
        <v>0.31339024470024474</v>
      </c>
      <c r="AM19" s="13">
        <f t="shared" si="10"/>
        <v>0.23716728550846086</v>
      </c>
      <c r="AN19" s="13">
        <f t="shared" si="10"/>
        <v>0.23432504860887537</v>
      </c>
      <c r="AO19" s="13">
        <f t="shared" si="10"/>
        <v>0.67437595134132788</v>
      </c>
      <c r="AP19" s="13">
        <f t="shared" si="10"/>
        <v>0.21549227774260429</v>
      </c>
      <c r="AQ19" s="13">
        <f t="shared" si="10"/>
        <v>0.18561568166903056</v>
      </c>
      <c r="AR19" s="13">
        <f t="shared" si="10"/>
        <v>0.20944881986465516</v>
      </c>
      <c r="AS19" s="13">
        <f t="shared" si="10"/>
        <v>0.15316997831708887</v>
      </c>
      <c r="AT19" s="13">
        <f t="shared" si="10"/>
        <v>0.30434816350858024</v>
      </c>
      <c r="AU19" s="13">
        <f t="shared" si="10"/>
        <v>0.30373836048186853</v>
      </c>
      <c r="AV19" s="13">
        <f t="shared" si="10"/>
        <v>0.25998522665820528</v>
      </c>
      <c r="AW19" s="13">
        <f t="shared" si="10"/>
        <v>-1.8929091123608763</v>
      </c>
      <c r="AX19" s="13">
        <f t="shared" si="10"/>
        <v>0.29084388034437797</v>
      </c>
      <c r="AY19" s="13">
        <f t="shared" si="10"/>
        <v>0.23495005350720061</v>
      </c>
      <c r="AZ19" s="13">
        <f t="shared" si="10"/>
        <v>0.25571357933641187</v>
      </c>
      <c r="BA19" s="13">
        <f t="shared" si="10"/>
        <v>4.0819879345015799</v>
      </c>
      <c r="BB19" s="13">
        <f t="shared" si="10"/>
        <v>0.27712557142790301</v>
      </c>
      <c r="BC19" s="13">
        <f t="shared" si="10"/>
        <v>0.31712413964673686</v>
      </c>
      <c r="BD19" s="13">
        <f t="shared" si="10"/>
        <v>0.297560899500114</v>
      </c>
      <c r="BE19" s="13">
        <f t="shared" si="8"/>
        <v>0.34379775313821126</v>
      </c>
      <c r="BF19" s="13">
        <f t="shared" si="8"/>
        <v>0.29338074192781038</v>
      </c>
      <c r="BH19" s="13">
        <f>BH10/BH$14</f>
        <v>0.27712599878612681</v>
      </c>
    </row>
    <row r="20" spans="2:60">
      <c r="B20" s="7" t="s">
        <v>129</v>
      </c>
      <c r="C20" s="13">
        <f t="shared" si="9"/>
        <v>9.6016606052288483E-2</v>
      </c>
      <c r="D20" s="13">
        <f t="shared" si="9"/>
        <v>9.5612948160386138E-2</v>
      </c>
      <c r="E20" s="13">
        <f t="shared" si="9"/>
        <v>9.6961750271606792E-2</v>
      </c>
      <c r="F20" s="13">
        <f t="shared" si="9"/>
        <v>0.1015244958769316</v>
      </c>
      <c r="G20" s="13">
        <f t="shared" si="9"/>
        <v>0.11123679755393845</v>
      </c>
      <c r="H20" s="13">
        <f t="shared" si="9"/>
        <v>0.10750550296073545</v>
      </c>
      <c r="I20" s="13">
        <f t="shared" si="9"/>
        <v>9.8748540950920588E-2</v>
      </c>
      <c r="J20" s="13">
        <f t="shared" si="9"/>
        <v>0.11035281689142215</v>
      </c>
      <c r="K20" s="13">
        <f t="shared" si="9"/>
        <v>0.14518622370122836</v>
      </c>
      <c r="L20" s="13">
        <f t="shared" si="9"/>
        <v>0.14125423184884078</v>
      </c>
      <c r="M20" s="13">
        <f t="shared" si="9"/>
        <v>0.10936231580909531</v>
      </c>
      <c r="N20" s="13">
        <f t="shared" si="9"/>
        <v>0.10955984078467187</v>
      </c>
      <c r="O20" s="13">
        <f t="shared" si="9"/>
        <v>0.11459846443170824</v>
      </c>
      <c r="P20" s="13">
        <f t="shared" si="9"/>
        <v>0.11459855691161137</v>
      </c>
      <c r="Q20" s="13">
        <f t="shared" si="9"/>
        <v>0.13388027802500857</v>
      </c>
      <c r="R20" s="13">
        <f t="shared" si="6"/>
        <v>0.1338801354889349</v>
      </c>
      <c r="S20" s="13">
        <f t="shared" si="6"/>
        <v>0.12988160905333077</v>
      </c>
      <c r="T20" s="13">
        <f>T11/T$14</f>
        <v>0.12448389793914968</v>
      </c>
      <c r="V20" s="13">
        <f t="shared" ref="V20:BD20" si="11">V11/V$14</f>
        <v>0.10557663568306223</v>
      </c>
      <c r="W20" s="13">
        <f t="shared" si="11"/>
        <v>0.110573350341235</v>
      </c>
      <c r="X20" s="13">
        <f t="shared" si="11"/>
        <v>0.1114562036163205</v>
      </c>
      <c r="Y20" s="13">
        <f t="shared" si="11"/>
        <v>0.20758860712411012</v>
      </c>
      <c r="Z20" s="13">
        <f t="shared" si="11"/>
        <v>0.1074140244559208</v>
      </c>
      <c r="AA20" s="13">
        <f t="shared" si="11"/>
        <v>0.10410000951668043</v>
      </c>
      <c r="AB20" s="13">
        <f t="shared" si="11"/>
        <v>9.3175740387293968E-2</v>
      </c>
      <c r="AC20" s="13">
        <f t="shared" si="11"/>
        <v>7.072860960127697E-2</v>
      </c>
      <c r="AD20" s="13">
        <f t="shared" si="11"/>
        <v>0.10459905089168504</v>
      </c>
      <c r="AE20" s="13">
        <f t="shared" si="11"/>
        <v>0.11470505208302652</v>
      </c>
      <c r="AF20" s="13">
        <f t="shared" si="11"/>
        <v>0.11054156578021657</v>
      </c>
      <c r="AG20" s="13">
        <f t="shared" si="11"/>
        <v>0.1324778539725453</v>
      </c>
      <c r="AH20" s="13">
        <f t="shared" si="11"/>
        <v>0.12769781201311289</v>
      </c>
      <c r="AI20" s="13">
        <f t="shared" si="11"/>
        <v>0.16490179226515844</v>
      </c>
      <c r="AJ20" s="13">
        <f t="shared" si="11"/>
        <v>0.15528749844974499</v>
      </c>
      <c r="AK20" s="13">
        <f t="shared" si="11"/>
        <v>-2.2029439108563576E-2</v>
      </c>
      <c r="AL20" s="13">
        <f t="shared" si="11"/>
        <v>0.15464912753530288</v>
      </c>
      <c r="AM20" s="13">
        <f t="shared" si="11"/>
        <v>0.14730683996875199</v>
      </c>
      <c r="AN20" s="13">
        <f t="shared" si="11"/>
        <v>0.14403410097611352</v>
      </c>
      <c r="AO20" s="13">
        <f t="shared" si="11"/>
        <v>0.65770303149529941</v>
      </c>
      <c r="AP20" s="13">
        <f t="shared" si="11"/>
        <v>0.13977744329697228</v>
      </c>
      <c r="AQ20" s="13">
        <f t="shared" si="11"/>
        <v>0.10793244827831834</v>
      </c>
      <c r="AR20" s="13">
        <f t="shared" si="11"/>
        <v>9.6495555240840816E-2</v>
      </c>
      <c r="AS20" s="13">
        <f t="shared" si="11"/>
        <v>9.3855784290349714E-2</v>
      </c>
      <c r="AT20" s="13">
        <f t="shared" si="11"/>
        <v>0.1265055752849728</v>
      </c>
      <c r="AU20" s="13">
        <f t="shared" si="11"/>
        <v>0.12356142805083052</v>
      </c>
      <c r="AV20" s="13">
        <f t="shared" si="11"/>
        <v>0.10836655629308536</v>
      </c>
      <c r="AW20" s="13">
        <f t="shared" si="11"/>
        <v>-0.15575307088265755</v>
      </c>
      <c r="AX20" s="13">
        <f t="shared" si="11"/>
        <v>0.11921729277914545</v>
      </c>
      <c r="AY20" s="13">
        <f t="shared" si="11"/>
        <v>0.14601348819300194</v>
      </c>
      <c r="AZ20" s="13">
        <f t="shared" si="11"/>
        <v>0.13423361259869501</v>
      </c>
      <c r="BA20" s="13">
        <f t="shared" si="11"/>
        <v>-2.6910083309393853</v>
      </c>
      <c r="BB20" s="13">
        <f t="shared" si="11"/>
        <v>0.14685755594963479</v>
      </c>
      <c r="BC20" s="13">
        <f t="shared" si="11"/>
        <v>0.13754725540601845</v>
      </c>
      <c r="BD20" s="13">
        <f t="shared" si="11"/>
        <v>0.12209544728399888</v>
      </c>
      <c r="BE20" s="13">
        <f t="shared" si="8"/>
        <v>0.12135435941762748</v>
      </c>
      <c r="BF20" s="13">
        <f t="shared" si="8"/>
        <v>0.11970837037129776</v>
      </c>
      <c r="BH20" s="13">
        <f>BH11/BH$14</f>
        <v>0.14685720364018939</v>
      </c>
    </row>
    <row r="21" spans="2:60">
      <c r="B21" s="7" t="s">
        <v>130</v>
      </c>
      <c r="C21" s="13">
        <f t="shared" si="9"/>
        <v>0.11137891992040073</v>
      </c>
      <c r="D21" s="13">
        <f t="shared" si="9"/>
        <v>0.1120370595333544</v>
      </c>
      <c r="E21" s="13">
        <f t="shared" si="9"/>
        <v>0.12616041658861873</v>
      </c>
      <c r="F21" s="13">
        <f t="shared" si="9"/>
        <v>0.14908183771048436</v>
      </c>
      <c r="G21" s="13">
        <f t="shared" si="9"/>
        <v>0.14979640310556458</v>
      </c>
      <c r="H21" s="13">
        <f t="shared" si="9"/>
        <v>0.13667675861102749</v>
      </c>
      <c r="I21" s="13">
        <f t="shared" si="9"/>
        <v>0.14113855796387625</v>
      </c>
      <c r="J21" s="13">
        <f t="shared" si="9"/>
        <v>0.14540233539338959</v>
      </c>
      <c r="K21" s="13">
        <f t="shared" si="9"/>
        <v>0.13906892347625688</v>
      </c>
      <c r="L21" s="13">
        <f t="shared" si="9"/>
        <v>0.13505293940083343</v>
      </c>
      <c r="M21" s="13">
        <f t="shared" si="9"/>
        <v>0.1200244176789118</v>
      </c>
      <c r="N21" s="13">
        <f t="shared" si="9"/>
        <v>0.11954916574448061</v>
      </c>
      <c r="O21" s="13">
        <f t="shared" si="9"/>
        <v>0.14983802534755816</v>
      </c>
      <c r="P21" s="13">
        <f t="shared" si="9"/>
        <v>0.14983793566141906</v>
      </c>
      <c r="Q21" s="13">
        <f t="shared" si="9"/>
        <v>0.1959438643446248</v>
      </c>
      <c r="R21" s="13">
        <f t="shared" si="6"/>
        <v>0.19594397121650309</v>
      </c>
      <c r="S21" s="13">
        <f t="shared" si="6"/>
        <v>0.2006726654656904</v>
      </c>
      <c r="T21" s="13">
        <f>T12/T$14</f>
        <v>0.198527663717358</v>
      </c>
      <c r="V21" s="13">
        <f t="shared" ref="V21:BD21" si="12">V12/V$14</f>
        <v>0.1419842963066483</v>
      </c>
      <c r="W21" s="13">
        <f t="shared" si="12"/>
        <v>0.13799868686869068</v>
      </c>
      <c r="X21" s="13">
        <f t="shared" si="12"/>
        <v>0.13534836797061761</v>
      </c>
      <c r="Y21" s="13">
        <f t="shared" si="12"/>
        <v>2.69539595395303E-3</v>
      </c>
      <c r="Z21" s="13">
        <f t="shared" si="12"/>
        <v>0.14623519731803022</v>
      </c>
      <c r="AA21" s="13">
        <f t="shared" si="12"/>
        <v>0.13024763966499525</v>
      </c>
      <c r="AB21" s="13">
        <f t="shared" si="12"/>
        <v>0.13945678301891912</v>
      </c>
      <c r="AC21" s="13">
        <f t="shared" si="12"/>
        <v>0.10601452155531745</v>
      </c>
      <c r="AD21" s="13">
        <f t="shared" si="12"/>
        <v>0.16115170172233653</v>
      </c>
      <c r="AE21" s="13">
        <f t="shared" si="12"/>
        <v>0.14748709149368708</v>
      </c>
      <c r="AF21" s="13">
        <f t="shared" si="12"/>
        <v>0.14413964188093906</v>
      </c>
      <c r="AG21" s="13">
        <f t="shared" si="12"/>
        <v>0.26804273289839659</v>
      </c>
      <c r="AH21" s="13">
        <f t="shared" si="12"/>
        <v>0.1548162874503827</v>
      </c>
      <c r="AI21" s="13">
        <f t="shared" si="12"/>
        <v>0.18502553707271832</v>
      </c>
      <c r="AJ21" s="13">
        <f t="shared" si="12"/>
        <v>0.12802734602290494</v>
      </c>
      <c r="AK21" s="13">
        <f t="shared" si="12"/>
        <v>0.11645529712782988</v>
      </c>
      <c r="AL21" s="13">
        <f t="shared" si="12"/>
        <v>0.14430595830960063</v>
      </c>
      <c r="AM21" s="13">
        <f t="shared" si="12"/>
        <v>0.13645232470431512</v>
      </c>
      <c r="AN21" s="13">
        <f t="shared" si="12"/>
        <v>0.12670904969774627</v>
      </c>
      <c r="AO21" s="13">
        <f t="shared" si="12"/>
        <v>-9.985403582553707E-3</v>
      </c>
      <c r="AP21" s="13">
        <f t="shared" si="12"/>
        <v>0.1179374395495722</v>
      </c>
      <c r="AQ21" s="13">
        <f t="shared" si="12"/>
        <v>0.1041770650886102</v>
      </c>
      <c r="AR21" s="13">
        <f t="shared" si="12"/>
        <v>0.11837305933750453</v>
      </c>
      <c r="AS21" s="13">
        <f t="shared" si="12"/>
        <v>0.10054978552759372</v>
      </c>
      <c r="AT21" s="13">
        <f t="shared" si="12"/>
        <v>0.13458290908187845</v>
      </c>
      <c r="AU21" s="13">
        <f t="shared" si="12"/>
        <v>0.1568789568483927</v>
      </c>
      <c r="AV21" s="13">
        <f t="shared" si="12"/>
        <v>0.14639852880716353</v>
      </c>
      <c r="AW21" s="13">
        <f t="shared" si="12"/>
        <v>-0.79474574271443743</v>
      </c>
      <c r="AX21" s="13">
        <f t="shared" si="12"/>
        <v>0.19212330560923635</v>
      </c>
      <c r="AY21" s="13">
        <f t="shared" si="12"/>
        <v>0.2011471531722494</v>
      </c>
      <c r="AZ21" s="13">
        <f t="shared" si="12"/>
        <v>0.19347437211853366</v>
      </c>
      <c r="BA21" s="13">
        <f t="shared" si="12"/>
        <v>-6.5942545245619071</v>
      </c>
      <c r="BB21" s="13">
        <f t="shared" si="12"/>
        <v>0.21945521923647407</v>
      </c>
      <c r="BC21" s="13">
        <f t="shared" si="12"/>
        <v>0.19648297829787856</v>
      </c>
      <c r="BD21" s="13">
        <f t="shared" si="12"/>
        <v>0.19576687472858192</v>
      </c>
      <c r="BE21" s="13">
        <f t="shared" si="8"/>
        <v>0.19678544743914192</v>
      </c>
      <c r="BF21" s="13">
        <f t="shared" si="8"/>
        <v>0.2052182840258911</v>
      </c>
      <c r="BH21" s="13">
        <f>BH12/BH$14</f>
        <v>0.21945540178040696</v>
      </c>
    </row>
    <row r="22" spans="2:60">
      <c r="B22" s="7" t="s">
        <v>131</v>
      </c>
      <c r="C22" s="13">
        <f t="shared" si="9"/>
        <v>6.0111164482261718E-2</v>
      </c>
      <c r="D22" s="13">
        <f t="shared" si="9"/>
        <v>5.8836868404642161E-2</v>
      </c>
      <c r="E22" s="13">
        <f t="shared" si="9"/>
        <v>6.3792005394672766E-2</v>
      </c>
      <c r="F22" s="13">
        <f t="shared" si="9"/>
        <v>6.8463723927655748E-2</v>
      </c>
      <c r="G22" s="13">
        <f t="shared" si="9"/>
        <v>5.9221338028758799E-2</v>
      </c>
      <c r="H22" s="13">
        <f t="shared" si="9"/>
        <v>5.1118353816992798E-2</v>
      </c>
      <c r="I22" s="13">
        <f t="shared" si="9"/>
        <v>4.5179374586792678E-2</v>
      </c>
      <c r="J22" s="13">
        <f t="shared" si="9"/>
        <v>5.170820413192502E-2</v>
      </c>
      <c r="K22" s="13">
        <f t="shared" si="9"/>
        <v>5.6527668321224599E-2</v>
      </c>
      <c r="L22" s="13">
        <f t="shared" si="9"/>
        <v>4.6597745397180548E-2</v>
      </c>
      <c r="M22" s="13">
        <f t="shared" si="9"/>
        <v>4.0217311650548294E-2</v>
      </c>
      <c r="N22" s="13">
        <f t="shared" si="9"/>
        <v>4.0169070368751544E-2</v>
      </c>
      <c r="O22" s="13">
        <f t="shared" si="9"/>
        <v>4.4999300121427971E-2</v>
      </c>
      <c r="P22" s="13">
        <f t="shared" si="9"/>
        <v>4.4999294907953437E-2</v>
      </c>
      <c r="Q22" s="13">
        <f t="shared" si="9"/>
        <v>4.5873685122142738E-2</v>
      </c>
      <c r="R22" s="13">
        <f t="shared" si="6"/>
        <v>4.5873645505739316E-2</v>
      </c>
      <c r="S22" s="13">
        <f t="shared" si="6"/>
        <v>4.7301202982006858E-2</v>
      </c>
      <c r="T22" s="13">
        <f>T13/T$14</f>
        <v>4.6570276402673624E-2</v>
      </c>
      <c r="V22" s="13">
        <f t="shared" ref="V22:BD22" si="13">V13/V$14</f>
        <v>4.9267711308478977E-2</v>
      </c>
      <c r="W22" s="13">
        <f t="shared" si="13"/>
        <v>5.1039393673046878E-2</v>
      </c>
      <c r="X22" s="13">
        <f t="shared" si="13"/>
        <v>5.1652391624980185E-2</v>
      </c>
      <c r="Y22" s="13">
        <f t="shared" si="13"/>
        <v>-0.17249070683781947</v>
      </c>
      <c r="Z22" s="13">
        <f t="shared" si="13"/>
        <v>4.6018839336570388E-2</v>
      </c>
      <c r="AA22" s="13">
        <f t="shared" si="13"/>
        <v>4.4575362746337742E-2</v>
      </c>
      <c r="AB22" s="13">
        <f t="shared" si="13"/>
        <v>4.0779822045010954E-2</v>
      </c>
      <c r="AC22" s="13">
        <f t="shared" si="13"/>
        <v>-4.5315725048257423E-4</v>
      </c>
      <c r="AD22" s="13">
        <f t="shared" si="13"/>
        <v>4.7483547751113485E-2</v>
      </c>
      <c r="AE22" s="13">
        <f t="shared" si="13"/>
        <v>5.090527026919666E-2</v>
      </c>
      <c r="AF22" s="13">
        <f t="shared" si="13"/>
        <v>5.2056515867803563E-2</v>
      </c>
      <c r="AG22" s="13">
        <f t="shared" si="13"/>
        <v>4.2789139191302492E-2</v>
      </c>
      <c r="AH22" s="13">
        <f t="shared" si="13"/>
        <v>5.4112805099875032E-2</v>
      </c>
      <c r="AI22" s="13">
        <f t="shared" si="13"/>
        <v>6.8545251859561243E-2</v>
      </c>
      <c r="AJ22" s="13">
        <f t="shared" si="13"/>
        <v>4.772230269832007E-2</v>
      </c>
      <c r="AK22" s="13">
        <f t="shared" si="13"/>
        <v>2.1124953407537988E-2</v>
      </c>
      <c r="AL22" s="13">
        <f t="shared" si="13"/>
        <v>4.6931857522046379E-2</v>
      </c>
      <c r="AM22" s="13">
        <f t="shared" si="13"/>
        <v>4.9944019742197969E-2</v>
      </c>
      <c r="AN22" s="13">
        <f t="shared" si="13"/>
        <v>4.2746629014670079E-2</v>
      </c>
      <c r="AO22" s="13">
        <f t="shared" si="13"/>
        <v>-2.8044810376516467E-2</v>
      </c>
      <c r="AP22" s="13">
        <f t="shared" si="13"/>
        <v>4.0903089932025058E-2</v>
      </c>
      <c r="AQ22" s="13">
        <f t="shared" si="13"/>
        <v>3.8108408990393645E-2</v>
      </c>
      <c r="AR22" s="13">
        <f t="shared" si="13"/>
        <v>3.6141919233462765E-2</v>
      </c>
      <c r="AS22" s="13">
        <f t="shared" si="13"/>
        <v>2.8838574504657141E-2</v>
      </c>
      <c r="AT22" s="13">
        <f t="shared" si="13"/>
        <v>4.0672262646832394E-2</v>
      </c>
      <c r="AU22" s="13">
        <f t="shared" si="13"/>
        <v>4.7422750433318575E-2</v>
      </c>
      <c r="AV22" s="13">
        <f t="shared" si="13"/>
        <v>4.1286031344732348E-2</v>
      </c>
      <c r="AW22" s="13">
        <f t="shared" si="13"/>
        <v>-5.4050156657621161E-2</v>
      </c>
      <c r="AX22" s="13">
        <f t="shared" si="13"/>
        <v>4.1409711061060096E-2</v>
      </c>
      <c r="AY22" s="13">
        <f t="shared" si="13"/>
        <v>4.6223524881814117E-2</v>
      </c>
      <c r="AZ22" s="13">
        <f t="shared" si="13"/>
        <v>4.2946710507324314E-2</v>
      </c>
      <c r="BA22" s="13">
        <f t="shared" si="13"/>
        <v>0.26664751508187301</v>
      </c>
      <c r="BB22" s="13">
        <f t="shared" si="13"/>
        <v>4.6920255101324637E-2</v>
      </c>
      <c r="BC22" s="13">
        <f t="shared" si="13"/>
        <v>4.8285147046628583E-2</v>
      </c>
      <c r="BD22" s="13">
        <f t="shared" si="13"/>
        <v>4.5873881714157426E-2</v>
      </c>
      <c r="BE22" s="13">
        <f t="shared" si="8"/>
        <v>4.7915088829197358E-2</v>
      </c>
      <c r="BF22" s="13">
        <f t="shared" si="8"/>
        <v>4.4011534978444948E-2</v>
      </c>
      <c r="BH22" s="13">
        <f>BH13/BH$14</f>
        <v>4.6920042583887309E-2</v>
      </c>
    </row>
    <row r="23" spans="2:60">
      <c r="B23" s="6" t="s">
        <v>132</v>
      </c>
      <c r="C23" s="151">
        <f>SUM(C18:C22)</f>
        <v>1</v>
      </c>
      <c r="D23" s="151">
        <f t="shared" ref="D23:V23" si="14">SUM(D18:D22)</f>
        <v>1</v>
      </c>
      <c r="E23" s="151">
        <f t="shared" si="14"/>
        <v>1</v>
      </c>
      <c r="F23" s="151">
        <f t="shared" si="14"/>
        <v>1</v>
      </c>
      <c r="G23" s="151">
        <f t="shared" si="14"/>
        <v>0.99999999999999989</v>
      </c>
      <c r="H23" s="151">
        <f t="shared" si="14"/>
        <v>0.99999999999999989</v>
      </c>
      <c r="I23" s="151">
        <f t="shared" si="14"/>
        <v>0.99999999999999989</v>
      </c>
      <c r="J23" s="151">
        <f t="shared" si="14"/>
        <v>1</v>
      </c>
      <c r="K23" s="151">
        <f t="shared" si="14"/>
        <v>1.0000000000000002</v>
      </c>
      <c r="L23" s="151">
        <f t="shared" si="14"/>
        <v>1</v>
      </c>
      <c r="M23" s="151">
        <f t="shared" si="14"/>
        <v>1</v>
      </c>
      <c r="N23" s="151">
        <f t="shared" si="14"/>
        <v>1</v>
      </c>
      <c r="O23" s="151">
        <f t="shared" si="14"/>
        <v>1</v>
      </c>
      <c r="P23" s="151">
        <f t="shared" si="14"/>
        <v>1</v>
      </c>
      <c r="Q23" s="151">
        <f t="shared" si="14"/>
        <v>0.99999999999999989</v>
      </c>
      <c r="R23" s="151">
        <f>SUM(R18:R22)</f>
        <v>1</v>
      </c>
      <c r="S23" s="151">
        <f>SUM(S18:S22)</f>
        <v>1</v>
      </c>
      <c r="T23" s="151">
        <f>SUM(T18:T22)</f>
        <v>1</v>
      </c>
      <c r="V23" s="151">
        <f t="shared" si="14"/>
        <v>0.99999999999999978</v>
      </c>
      <c r="W23" s="151">
        <f t="shared" ref="W23:BD23" si="15">SUM(W18:W22)</f>
        <v>1</v>
      </c>
      <c r="X23" s="151">
        <f t="shared" si="15"/>
        <v>1.0000000000000002</v>
      </c>
      <c r="Y23" s="151">
        <f t="shared" si="15"/>
        <v>1</v>
      </c>
      <c r="Z23" s="151">
        <f t="shared" si="15"/>
        <v>1</v>
      </c>
      <c r="AA23" s="151">
        <f t="shared" si="15"/>
        <v>1</v>
      </c>
      <c r="AB23" s="151">
        <f t="shared" si="15"/>
        <v>0.99999999999999989</v>
      </c>
      <c r="AC23" s="151">
        <f t="shared" si="15"/>
        <v>0.99999999999999989</v>
      </c>
      <c r="AD23" s="151">
        <f t="shared" si="15"/>
        <v>0.99999999999999989</v>
      </c>
      <c r="AE23" s="151">
        <f t="shared" si="15"/>
        <v>1</v>
      </c>
      <c r="AF23" s="151">
        <f t="shared" si="15"/>
        <v>1</v>
      </c>
      <c r="AG23" s="151">
        <f t="shared" si="15"/>
        <v>0.99999999999999978</v>
      </c>
      <c r="AH23" s="151">
        <f t="shared" si="15"/>
        <v>0.99999999999999989</v>
      </c>
      <c r="AI23" s="151">
        <f t="shared" si="15"/>
        <v>1</v>
      </c>
      <c r="AJ23" s="151">
        <f t="shared" si="15"/>
        <v>1</v>
      </c>
      <c r="AK23" s="151">
        <f t="shared" si="15"/>
        <v>0.99999999999999989</v>
      </c>
      <c r="AL23" s="151">
        <f t="shared" si="15"/>
        <v>0.99999999999999989</v>
      </c>
      <c r="AM23" s="151">
        <f t="shared" si="15"/>
        <v>1</v>
      </c>
      <c r="AN23" s="151">
        <f t="shared" si="15"/>
        <v>1.0000000000000002</v>
      </c>
      <c r="AO23" s="151">
        <f t="shared" si="15"/>
        <v>1.0000000000000002</v>
      </c>
      <c r="AP23" s="151">
        <f t="shared" si="15"/>
        <v>1</v>
      </c>
      <c r="AQ23" s="151">
        <f t="shared" si="15"/>
        <v>1</v>
      </c>
      <c r="AR23" s="151">
        <f t="shared" si="15"/>
        <v>1</v>
      </c>
      <c r="AS23" s="151">
        <f t="shared" si="15"/>
        <v>0.99999999999999989</v>
      </c>
      <c r="AT23" s="151">
        <f t="shared" si="15"/>
        <v>1</v>
      </c>
      <c r="AU23" s="151">
        <f t="shared" si="15"/>
        <v>0.99999999999999989</v>
      </c>
      <c r="AV23" s="151">
        <f t="shared" si="15"/>
        <v>0.99999999999999989</v>
      </c>
      <c r="AW23" s="151">
        <f t="shared" si="15"/>
        <v>1</v>
      </c>
      <c r="AX23" s="151">
        <f t="shared" si="15"/>
        <v>1</v>
      </c>
      <c r="AY23" s="151">
        <f t="shared" si="15"/>
        <v>1</v>
      </c>
      <c r="AZ23" s="151">
        <f t="shared" si="15"/>
        <v>1</v>
      </c>
      <c r="BA23" s="151">
        <f t="shared" si="15"/>
        <v>1</v>
      </c>
      <c r="BB23" s="151">
        <f t="shared" si="15"/>
        <v>1</v>
      </c>
      <c r="BC23" s="151">
        <f t="shared" si="15"/>
        <v>0.99999999999999989</v>
      </c>
      <c r="BD23" s="151">
        <f t="shared" si="15"/>
        <v>1</v>
      </c>
      <c r="BE23" s="151">
        <f>SUM(BE18:BE22)</f>
        <v>1</v>
      </c>
      <c r="BF23" s="151">
        <f>SUM(BF18:BF22)</f>
        <v>1</v>
      </c>
      <c r="BH23" s="151">
        <f>SUM(BH18:BH22)</f>
        <v>0.99999999999999989</v>
      </c>
    </row>
    <row r="24" spans="2:60">
      <c r="B24" s="6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H24" s="151"/>
    </row>
    <row r="26" spans="2:60">
      <c r="B26" s="216" t="s">
        <v>184</v>
      </c>
      <c r="BH26" s="222"/>
    </row>
    <row r="27" spans="2:60">
      <c r="B27" s="7" t="s">
        <v>127</v>
      </c>
      <c r="C27" s="221"/>
      <c r="D27" s="13">
        <f>D9/C9-1</f>
        <v>3.5318307631474921E-2</v>
      </c>
      <c r="E27" s="13">
        <f t="shared" ref="E27:O27" si="16">E9/D9-1</f>
        <v>4.4074062757798904E-2</v>
      </c>
      <c r="F27" s="13">
        <f t="shared" si="16"/>
        <v>-8.7002326500153604E-2</v>
      </c>
      <c r="G27" s="13">
        <f t="shared" si="16"/>
        <v>7.8152363094379451E-2</v>
      </c>
      <c r="H27" s="13">
        <f t="shared" si="16"/>
        <v>0.4504099706581226</v>
      </c>
      <c r="I27" s="13">
        <f t="shared" si="16"/>
        <v>0.57060133652658473</v>
      </c>
      <c r="J27" s="13">
        <f t="shared" si="16"/>
        <v>1.1505837352587811E-3</v>
      </c>
      <c r="K27" s="13">
        <f t="shared" si="16"/>
        <v>-0.24497989797894182</v>
      </c>
      <c r="L27" s="13">
        <f t="shared" si="16"/>
        <v>0.98160617919257587</v>
      </c>
      <c r="M27" s="13">
        <f t="shared" si="16"/>
        <v>2.1092544946718577</v>
      </c>
      <c r="N27" s="222"/>
      <c r="O27" s="13">
        <f t="shared" si="16"/>
        <v>-0.2230135998587488</v>
      </c>
      <c r="P27" s="13">
        <f>P9/N9-1</f>
        <v>0.12180550332922824</v>
      </c>
      <c r="Q27" s="13">
        <f>Q9/O9-1</f>
        <v>0.22840962897744888</v>
      </c>
      <c r="R27" s="13">
        <f>R9/P9-1</f>
        <v>0.11365990668392056</v>
      </c>
      <c r="S27" s="13">
        <f t="shared" ref="S27:S32" si="17">S9/R9-1</f>
        <v>-0.16086990202159912</v>
      </c>
      <c r="T27" s="222"/>
      <c r="V27" s="222"/>
      <c r="W27" s="222"/>
      <c r="X27" s="222"/>
      <c r="Y27" s="222"/>
      <c r="Z27" s="13">
        <f>Z9/V9-1</f>
        <v>0.18641559946027852</v>
      </c>
      <c r="AA27" s="13">
        <f>AA9/W9-1</f>
        <v>0.55657364578017399</v>
      </c>
      <c r="AB27" s="13">
        <f t="shared" ref="AB27:BF32" si="18">AB9/X9-1</f>
        <v>0.90862884104419273</v>
      </c>
      <c r="AC27" s="13">
        <f t="shared" si="18"/>
        <v>4.1687095239369318</v>
      </c>
      <c r="AD27" s="13">
        <f t="shared" si="18"/>
        <v>0.37870037107581234</v>
      </c>
      <c r="AE27" s="13">
        <f t="shared" si="18"/>
        <v>0.11325407199637239</v>
      </c>
      <c r="AF27" s="13">
        <f t="shared" si="18"/>
        <v>-0.19243132563244081</v>
      </c>
      <c r="AG27" s="13">
        <f t="shared" si="18"/>
        <v>-0.58777352220579626</v>
      </c>
      <c r="AH27" s="13">
        <f t="shared" si="18"/>
        <v>-0.18195937952432528</v>
      </c>
      <c r="AI27" s="13">
        <f t="shared" si="18"/>
        <v>-0.51995319219167491</v>
      </c>
      <c r="AJ27" s="13">
        <f t="shared" si="18"/>
        <v>-0.17222462601280264</v>
      </c>
      <c r="AK27" s="13">
        <f t="shared" si="18"/>
        <v>-4.9070516581144812</v>
      </c>
      <c r="AL27" s="13">
        <f t="shared" si="18"/>
        <v>0.14581531122137403</v>
      </c>
      <c r="AM27" s="13">
        <f t="shared" si="18"/>
        <v>1.5438192892808256</v>
      </c>
      <c r="AN27" s="13">
        <f t="shared" si="18"/>
        <v>0.91853144975456136</v>
      </c>
      <c r="AO27" s="13">
        <f t="shared" si="18"/>
        <v>-0.90007311070904872</v>
      </c>
      <c r="AP27" s="13">
        <f t="shared" si="18"/>
        <v>2.4007222467460241</v>
      </c>
      <c r="AQ27" s="13">
        <f t="shared" si="18"/>
        <v>3.0364794367299437</v>
      </c>
      <c r="AR27" s="13">
        <f t="shared" si="18"/>
        <v>2.3942272568539957</v>
      </c>
      <c r="AS27" s="13">
        <f t="shared" si="18"/>
        <v>-58.64533738697876</v>
      </c>
      <c r="AT27" s="13">
        <f t="shared" si="18"/>
        <v>1.2422456763768501</v>
      </c>
      <c r="AU27" s="13">
        <f t="shared" si="18"/>
        <v>0.43196601505639065</v>
      </c>
      <c r="AV27" s="13">
        <f t="shared" si="18"/>
        <v>1.3886290765163349</v>
      </c>
      <c r="AW27" s="13">
        <f t="shared" si="18"/>
        <v>-1.7212422169287869</v>
      </c>
      <c r="AX27" s="13">
        <f t="shared" si="18"/>
        <v>1.8886958029419976E-2</v>
      </c>
      <c r="AY27" s="13">
        <f t="shared" si="18"/>
        <v>2.3269171450148285E-2</v>
      </c>
      <c r="AZ27" s="13">
        <f t="shared" si="18"/>
        <v>-0.22912035658363672</v>
      </c>
      <c r="BA27" s="13">
        <f t="shared" si="18"/>
        <v>-0.6524510430471373</v>
      </c>
      <c r="BB27" s="13">
        <f t="shared" si="18"/>
        <v>2.3742487411337887E-2</v>
      </c>
      <c r="BC27" s="13">
        <f t="shared" si="18"/>
        <v>6.745781504452375E-2</v>
      </c>
      <c r="BD27" s="13">
        <f t="shared" si="18"/>
        <v>-2.6144018901452792E-2</v>
      </c>
      <c r="BE27" s="222"/>
      <c r="BF27" s="13">
        <f>BF9/BH9-1</f>
        <v>0.16791856953978868</v>
      </c>
      <c r="BH27" s="222"/>
    </row>
    <row r="28" spans="2:60">
      <c r="B28" s="7" t="s">
        <v>128</v>
      </c>
      <c r="C28" s="221"/>
      <c r="D28" s="13">
        <f t="shared" ref="D28:O32" si="19">D10/C10-1</f>
        <v>0.13268987912682673</v>
      </c>
      <c r="E28" s="13">
        <f t="shared" si="19"/>
        <v>6.8288603965915406E-2</v>
      </c>
      <c r="F28" s="13">
        <f t="shared" si="19"/>
        <v>0.33691155093369107</v>
      </c>
      <c r="G28" s="13">
        <f t="shared" si="19"/>
        <v>0.19057586149213779</v>
      </c>
      <c r="H28" s="13">
        <f t="shared" si="19"/>
        <v>0.30098309099413822</v>
      </c>
      <c r="I28" s="13">
        <f t="shared" si="19"/>
        <v>0.18286699864385225</v>
      </c>
      <c r="J28" s="13">
        <f t="shared" si="19"/>
        <v>0.13286694739035254</v>
      </c>
      <c r="K28" s="13">
        <f t="shared" si="19"/>
        <v>0.32090754677239364</v>
      </c>
      <c r="L28" s="13">
        <f t="shared" si="19"/>
        <v>0.41363868872462217</v>
      </c>
      <c r="M28" s="13">
        <f t="shared" si="19"/>
        <v>1.2506425998858655</v>
      </c>
      <c r="N28" s="222"/>
      <c r="O28" s="13">
        <f t="shared" si="19"/>
        <v>0.25476924121656608</v>
      </c>
      <c r="P28" s="13">
        <f t="shared" ref="P28:R32" si="20">P10/N10-1</f>
        <v>0.8116240970400741</v>
      </c>
      <c r="Q28" s="13">
        <f t="shared" si="20"/>
        <v>0.31452990990430285</v>
      </c>
      <c r="R28" s="13">
        <f t="shared" si="20"/>
        <v>0.1917337481609207</v>
      </c>
      <c r="S28" s="13">
        <f t="shared" si="17"/>
        <v>0.13625344122996497</v>
      </c>
      <c r="T28" s="222"/>
      <c r="V28" s="222"/>
      <c r="W28" s="222"/>
      <c r="X28" s="222"/>
      <c r="Y28" s="222"/>
      <c r="Z28" s="13">
        <f t="shared" ref="Z28:AA32" si="21">Z10/V10-1</f>
        <v>0.19193388882454587</v>
      </c>
      <c r="AA28" s="13">
        <f t="shared" si="21"/>
        <v>0.19659277065003367</v>
      </c>
      <c r="AB28" s="13">
        <f t="shared" si="18"/>
        <v>0.24186440575297286</v>
      </c>
      <c r="AC28" s="13">
        <f t="shared" si="18"/>
        <v>0.49033878636756345</v>
      </c>
      <c r="AD28" s="13">
        <f t="shared" si="18"/>
        <v>0.1221812303229286</v>
      </c>
      <c r="AE28" s="13">
        <f t="shared" si="18"/>
        <v>0.10622867318797491</v>
      </c>
      <c r="AF28" s="13">
        <f t="shared" si="18"/>
        <v>0.10971204504979859</v>
      </c>
      <c r="AG28" s="13">
        <f t="shared" si="18"/>
        <v>-2.0935140966521928</v>
      </c>
      <c r="AH28" s="13">
        <f t="shared" si="18"/>
        <v>9.7229728110341362E-2</v>
      </c>
      <c r="AI28" s="13">
        <f t="shared" si="18"/>
        <v>-0.28407135869273914</v>
      </c>
      <c r="AJ28" s="13">
        <f t="shared" si="18"/>
        <v>0.58639901836659414</v>
      </c>
      <c r="AK28" s="13">
        <f t="shared" si="18"/>
        <v>0.9391624867476922</v>
      </c>
      <c r="AL28" s="13">
        <f t="shared" si="18"/>
        <v>0.7144541465345684</v>
      </c>
      <c r="AM28" s="13">
        <f t="shared" si="18"/>
        <v>1.0664792588323078</v>
      </c>
      <c r="AN28" s="13">
        <f t="shared" si="18"/>
        <v>0.22902802641973041</v>
      </c>
      <c r="AO28" s="13">
        <f t="shared" si="18"/>
        <v>-3.1181378718180803</v>
      </c>
      <c r="AP28" s="13">
        <f t="shared" si="18"/>
        <v>0.6397622149927582</v>
      </c>
      <c r="AQ28" s="13">
        <f t="shared" si="18"/>
        <v>1.4029449024236968</v>
      </c>
      <c r="AR28" s="13">
        <f t="shared" si="18"/>
        <v>1.5426832805692356</v>
      </c>
      <c r="AS28" s="13">
        <f t="shared" si="18"/>
        <v>5.1738895541460153</v>
      </c>
      <c r="AT28" s="13">
        <f t="shared" si="18"/>
        <v>2.9064633108160622</v>
      </c>
      <c r="AU28" s="13">
        <f t="shared" si="18"/>
        <v>2.588451218571636</v>
      </c>
      <c r="AV28" s="13">
        <f t="shared" si="18"/>
        <v>2.6032650994702111</v>
      </c>
      <c r="AW28" s="13">
        <f t="shared" si="18"/>
        <v>0.4261068587450505</v>
      </c>
      <c r="AX28" s="13">
        <f t="shared" si="18"/>
        <v>7.608512721653593E-2</v>
      </c>
      <c r="AY28" s="13">
        <f t="shared" si="18"/>
        <v>-0.21543112456620928</v>
      </c>
      <c r="AZ28" s="13">
        <f t="shared" si="18"/>
        <v>-9.9061029783269139E-2</v>
      </c>
      <c r="BA28" s="13">
        <f t="shared" si="18"/>
        <v>-1.4920390877674126</v>
      </c>
      <c r="BB28" s="13">
        <f t="shared" si="18"/>
        <v>0.12277608743045088</v>
      </c>
      <c r="BC28" s="13">
        <f t="shared" si="18"/>
        <v>0.78166142310601483</v>
      </c>
      <c r="BD28" s="13">
        <f t="shared" si="18"/>
        <v>0.25009103886266959</v>
      </c>
      <c r="BE28" s="222"/>
      <c r="BF28" s="13">
        <f>BF10/BH10-1</f>
        <v>0.13375479792278178</v>
      </c>
      <c r="BH28" s="222"/>
    </row>
    <row r="29" spans="2:60">
      <c r="B29" s="7" t="s">
        <v>129</v>
      </c>
      <c r="C29" s="221"/>
      <c r="D29" s="13">
        <f t="shared" si="19"/>
        <v>5.4672145792388882E-2</v>
      </c>
      <c r="E29" s="13">
        <f t="shared" si="19"/>
        <v>9.6137557174318156E-2</v>
      </c>
      <c r="F29" s="13">
        <f t="shared" si="19"/>
        <v>0.132138165520439</v>
      </c>
      <c r="G29" s="13">
        <f t="shared" si="19"/>
        <v>0.22839191864036579</v>
      </c>
      <c r="H29" s="13">
        <f t="shared" si="19"/>
        <v>0.29803074594505707</v>
      </c>
      <c r="I29" s="13">
        <f t="shared" si="19"/>
        <v>0.29465122889206219</v>
      </c>
      <c r="J29" s="13">
        <f t="shared" si="19"/>
        <v>0.20058631422522377</v>
      </c>
      <c r="K29" s="13">
        <f t="shared" si="19"/>
        <v>0.29908377303996603</v>
      </c>
      <c r="L29" s="13">
        <f t="shared" si="19"/>
        <v>0.63001809406228526</v>
      </c>
      <c r="M29" s="13">
        <f t="shared" si="19"/>
        <v>0.99915119343524395</v>
      </c>
      <c r="N29" s="222"/>
      <c r="O29" s="13">
        <f t="shared" si="19"/>
        <v>2.0324854344266008E-2</v>
      </c>
      <c r="P29" s="13">
        <f t="shared" si="20"/>
        <v>0.47313651641609655</v>
      </c>
      <c r="Q29" s="13">
        <f t="shared" si="20"/>
        <v>0.63334443737823398</v>
      </c>
      <c r="R29" s="13">
        <f t="shared" si="20"/>
        <v>0.48076461444162955</v>
      </c>
      <c r="S29" s="13">
        <f t="shared" si="17"/>
        <v>-5.8955088807221001E-2</v>
      </c>
      <c r="T29" s="222"/>
      <c r="V29" s="222"/>
      <c r="W29" s="222"/>
      <c r="X29" s="222"/>
      <c r="Y29" s="222"/>
      <c r="Z29" s="13">
        <f t="shared" si="21"/>
        <v>0.21398175443122391</v>
      </c>
      <c r="AA29" s="13">
        <f t="shared" si="21"/>
        <v>0.3003205904877444</v>
      </c>
      <c r="AB29" s="13">
        <f t="shared" si="18"/>
        <v>0.3679924092670197</v>
      </c>
      <c r="AC29" s="13">
        <f t="shared" si="18"/>
        <v>0.73245252204475975</v>
      </c>
      <c r="AD29" s="13">
        <f t="shared" si="18"/>
        <v>0.27732803194567657</v>
      </c>
      <c r="AE29" s="13">
        <f t="shared" si="18"/>
        <v>0.2851368541674435</v>
      </c>
      <c r="AF29" s="13">
        <f t="shared" si="18"/>
        <v>9.2418470537130037E-2</v>
      </c>
      <c r="AG29" s="13">
        <f t="shared" si="18"/>
        <v>-0.17442664833607846</v>
      </c>
      <c r="AH29" s="13">
        <f t="shared" si="18"/>
        <v>0.14480068281310188</v>
      </c>
      <c r="AI29" s="13">
        <f t="shared" si="18"/>
        <v>-5.9341600962714458E-2</v>
      </c>
      <c r="AJ29" s="13">
        <f t="shared" si="18"/>
        <v>0.53289233463667052</v>
      </c>
      <c r="AK29" s="13">
        <f t="shared" si="18"/>
        <v>-0.42049542948360796</v>
      </c>
      <c r="AL29" s="13">
        <f t="shared" si="18"/>
        <v>0.67316860664106803</v>
      </c>
      <c r="AM29" s="13">
        <f t="shared" si="18"/>
        <v>0.83261067427476321</v>
      </c>
      <c r="AN29" s="13">
        <f t="shared" si="18"/>
        <v>0.45533276963324298</v>
      </c>
      <c r="AO29" s="13">
        <f t="shared" si="18"/>
        <v>7.0974029327247354</v>
      </c>
      <c r="AP29" s="13">
        <f t="shared" si="18"/>
        <v>1.1553820155297609</v>
      </c>
      <c r="AQ29" s="13">
        <f t="shared" si="18"/>
        <v>1.2496401092260219</v>
      </c>
      <c r="AR29" s="13">
        <f t="shared" si="18"/>
        <v>0.90579002133190367</v>
      </c>
      <c r="AS29" s="13">
        <f t="shared" si="18"/>
        <v>2.8789883868650761</v>
      </c>
      <c r="AT29" s="13">
        <f t="shared" si="18"/>
        <v>1.503325650804316</v>
      </c>
      <c r="AU29" s="13">
        <f t="shared" si="18"/>
        <v>1.5104579858870966</v>
      </c>
      <c r="AV29" s="13">
        <f t="shared" si="18"/>
        <v>2.2599686640461258</v>
      </c>
      <c r="AW29" s="13">
        <f t="shared" si="18"/>
        <v>-0.80849878553640209</v>
      </c>
      <c r="AX29" s="13">
        <f t="shared" si="18"/>
        <v>6.1174911660777376E-2</v>
      </c>
      <c r="AY29" s="13">
        <f t="shared" si="18"/>
        <v>0.19857503779109709</v>
      </c>
      <c r="AZ29" s="13">
        <f t="shared" si="18"/>
        <v>0.13463521373979703</v>
      </c>
      <c r="BA29" s="13">
        <f t="shared" si="18"/>
        <v>2.9421765844625871</v>
      </c>
      <c r="BB29" s="13">
        <f t="shared" si="18"/>
        <v>0.45155509307434394</v>
      </c>
      <c r="BC29" s="13">
        <f t="shared" si="18"/>
        <v>0.24345586678896503</v>
      </c>
      <c r="BD29" s="13">
        <f t="shared" si="18"/>
        <v>-2.2857816748987125E-2</v>
      </c>
      <c r="BE29" s="222"/>
      <c r="BF29" s="13">
        <f>BF11/BH11-1</f>
        <v>-0.12704054925925479</v>
      </c>
      <c r="BH29" s="222"/>
    </row>
    <row r="30" spans="2:60">
      <c r="B30" s="7" t="s">
        <v>130</v>
      </c>
      <c r="C30" s="221"/>
      <c r="D30" s="13">
        <f t="shared" si="19"/>
        <v>6.5383134385829766E-2</v>
      </c>
      <c r="E30" s="13">
        <f t="shared" si="19"/>
        <v>0.21714616163076483</v>
      </c>
      <c r="F30" s="13">
        <f t="shared" si="19"/>
        <v>0.27770519064021859</v>
      </c>
      <c r="G30" s="13">
        <f t="shared" si="19"/>
        <v>0.12651236404201915</v>
      </c>
      <c r="H30" s="13">
        <f t="shared" si="19"/>
        <v>0.22545127170823887</v>
      </c>
      <c r="I30" s="13">
        <f t="shared" si="19"/>
        <v>0.45547181904671596</v>
      </c>
      <c r="J30" s="13">
        <f t="shared" si="19"/>
        <v>0.10679288476485871</v>
      </c>
      <c r="K30" s="13">
        <f t="shared" si="19"/>
        <v>-5.5604556711027819E-2</v>
      </c>
      <c r="L30" s="13">
        <f t="shared" si="19"/>
        <v>0.6270103479114284</v>
      </c>
      <c r="M30" s="13">
        <f t="shared" si="19"/>
        <v>1.29480071659692</v>
      </c>
      <c r="N30" s="222"/>
      <c r="O30" s="13">
        <f t="shared" si="19"/>
        <v>0.22260608005638316</v>
      </c>
      <c r="P30" s="13">
        <f t="shared" si="20"/>
        <v>0.76518598226702661</v>
      </c>
      <c r="Q30" s="13">
        <f t="shared" si="20"/>
        <v>0.8283090051881743</v>
      </c>
      <c r="R30" s="13">
        <f t="shared" si="20"/>
        <v>0.65752145192167144</v>
      </c>
      <c r="S30" s="13">
        <f t="shared" si="17"/>
        <v>-6.574858103937431E-3</v>
      </c>
      <c r="T30" s="222"/>
      <c r="V30" s="222"/>
      <c r="W30" s="222"/>
      <c r="X30" s="222"/>
      <c r="Y30" s="222"/>
      <c r="Z30" s="13">
        <f t="shared" si="21"/>
        <v>0.2289397501579058</v>
      </c>
      <c r="AA30" s="13">
        <f t="shared" si="21"/>
        <v>0.30360208715591619</v>
      </c>
      <c r="AB30" s="13">
        <f t="shared" si="18"/>
        <v>0.68605485712996872</v>
      </c>
      <c r="AC30" s="13">
        <f t="shared" si="18"/>
        <v>198.99195294574341</v>
      </c>
      <c r="AD30" s="13">
        <f t="shared" si="18"/>
        <v>0.44550190485640218</v>
      </c>
      <c r="AE30" s="13">
        <f t="shared" si="18"/>
        <v>0.32069261794004045</v>
      </c>
      <c r="AF30" s="13">
        <f t="shared" si="18"/>
        <v>-4.8278082237810604E-2</v>
      </c>
      <c r="AG30" s="13">
        <f t="shared" si="18"/>
        <v>0.1144130318399843</v>
      </c>
      <c r="AH30" s="13">
        <f t="shared" si="18"/>
        <v>-9.914286967670094E-2</v>
      </c>
      <c r="AI30" s="13">
        <f t="shared" si="18"/>
        <v>-0.17914439037704322</v>
      </c>
      <c r="AJ30" s="13">
        <f t="shared" si="18"/>
        <v>-3.0785116689530656E-2</v>
      </c>
      <c r="AK30" s="13">
        <f t="shared" si="18"/>
        <v>-2.5140908004040963</v>
      </c>
      <c r="AL30" s="13">
        <f t="shared" si="18"/>
        <v>0.28778482682052386</v>
      </c>
      <c r="AM30" s="13">
        <f t="shared" si="18"/>
        <v>0.51294081855629603</v>
      </c>
      <c r="AN30" s="13">
        <f t="shared" si="18"/>
        <v>0.55288168252094638</v>
      </c>
      <c r="AO30" s="13">
        <f t="shared" si="18"/>
        <v>-0.97674449785399819</v>
      </c>
      <c r="AP30" s="13">
        <f t="shared" si="18"/>
        <v>0.94895615153228818</v>
      </c>
      <c r="AQ30" s="13">
        <f t="shared" si="18"/>
        <v>1.3440944699704955</v>
      </c>
      <c r="AR30" s="13">
        <f t="shared" si="18"/>
        <v>1.6575307825997059</v>
      </c>
      <c r="AS30" s="13">
        <f t="shared" si="18"/>
        <v>-274.7176520005915</v>
      </c>
      <c r="AT30" s="13">
        <f t="shared" si="18"/>
        <v>2.1563342840048532</v>
      </c>
      <c r="AU30" s="13">
        <f t="shared" si="18"/>
        <v>2.3022856836332397</v>
      </c>
      <c r="AV30" s="13">
        <f t="shared" si="18"/>
        <v>2.5901227916749643</v>
      </c>
      <c r="AW30" s="13">
        <f t="shared" si="18"/>
        <v>-8.7898816708795735E-2</v>
      </c>
      <c r="AX30" s="13">
        <f t="shared" si="18"/>
        <v>0.60748719841306453</v>
      </c>
      <c r="AY30" s="13">
        <f t="shared" si="18"/>
        <v>0.30048207015411266</v>
      </c>
      <c r="AZ30" s="13">
        <f t="shared" si="18"/>
        <v>0.21053398199667894</v>
      </c>
      <c r="BA30" s="13">
        <f t="shared" si="18"/>
        <v>0.89319411454209563</v>
      </c>
      <c r="BB30" s="13">
        <f t="shared" si="18"/>
        <v>0.34599159145370284</v>
      </c>
      <c r="BC30" s="13">
        <f t="shared" si="18"/>
        <v>0.28938455924249507</v>
      </c>
      <c r="BD30" s="13">
        <f t="shared" si="18"/>
        <v>8.7014487173316724E-2</v>
      </c>
      <c r="BE30" s="222"/>
      <c r="BF30" s="13">
        <f>BF12/BH12-1</f>
        <v>1.4622503177033064E-3</v>
      </c>
      <c r="BH30" s="222"/>
    </row>
    <row r="31" spans="2:60">
      <c r="B31" s="7" t="s">
        <v>131</v>
      </c>
      <c r="C31" s="221"/>
      <c r="D31" s="13">
        <f t="shared" si="19"/>
        <v>3.6672374429223664E-2</v>
      </c>
      <c r="E31" s="13">
        <f t="shared" si="19"/>
        <v>0.17192016517549891</v>
      </c>
      <c r="F31" s="13">
        <f t="shared" si="19"/>
        <v>0.16044162555790464</v>
      </c>
      <c r="G31" s="13">
        <f t="shared" si="19"/>
        <v>-3.0211538461538456E-2</v>
      </c>
      <c r="H31" s="13">
        <f t="shared" si="19"/>
        <v>0.15931486790704175</v>
      </c>
      <c r="I31" s="13">
        <f t="shared" si="19"/>
        <v>0.24570770563559363</v>
      </c>
      <c r="J31" s="13">
        <f t="shared" si="19"/>
        <v>0.22958878191960053</v>
      </c>
      <c r="K31" s="13">
        <f t="shared" si="19"/>
        <v>7.9435729988988513E-2</v>
      </c>
      <c r="L31" s="13">
        <f t="shared" si="19"/>
        <v>0.38108433479093939</v>
      </c>
      <c r="M31" s="13">
        <f t="shared" si="19"/>
        <v>1.2285764794760197</v>
      </c>
      <c r="N31" s="222"/>
      <c r="O31" s="13">
        <f t="shared" si="19"/>
        <v>9.276062589544054E-2</v>
      </c>
      <c r="P31" s="13">
        <f t="shared" si="20"/>
        <v>0.57771722336151932</v>
      </c>
      <c r="Q31" s="13">
        <f t="shared" si="20"/>
        <v>0.42527228634840664</v>
      </c>
      <c r="R31" s="13">
        <f t="shared" si="20"/>
        <v>0.29213109694574024</v>
      </c>
      <c r="S31" s="13">
        <f t="shared" si="17"/>
        <v>2.0210742928528092E-4</v>
      </c>
      <c r="T31" s="222"/>
      <c r="V31" s="222"/>
      <c r="W31" s="222"/>
      <c r="X31" s="222"/>
      <c r="Y31" s="222"/>
      <c r="Z31" s="13">
        <f t="shared" si="21"/>
        <v>0.11453128232613774</v>
      </c>
      <c r="AA31" s="13">
        <f t="shared" si="21"/>
        <v>0.20625608945041729</v>
      </c>
      <c r="AB31" s="13">
        <f t="shared" si="18"/>
        <v>0.29193294303309902</v>
      </c>
      <c r="AC31" s="13">
        <f t="shared" si="18"/>
        <v>-0.98664164542285038</v>
      </c>
      <c r="AD31" s="13">
        <f t="shared" si="18"/>
        <v>0.35345302441847859</v>
      </c>
      <c r="AE31" s="13">
        <f t="shared" si="18"/>
        <v>0.33194245604281059</v>
      </c>
      <c r="AF31" s="13">
        <f t="shared" si="18"/>
        <v>0.17542803896912251</v>
      </c>
      <c r="AG31" s="13">
        <f t="shared" si="18"/>
        <v>-42.619045818844221</v>
      </c>
      <c r="AH31" s="13">
        <f t="shared" si="18"/>
        <v>6.8639086972321905E-2</v>
      </c>
      <c r="AI31" s="13">
        <f t="shared" si="18"/>
        <v>-0.11894354548273189</v>
      </c>
      <c r="AJ31" s="13">
        <f t="shared" si="18"/>
        <v>3.3868495719868719E-4</v>
      </c>
      <c r="AK31" s="13">
        <f t="shared" si="18"/>
        <v>-2.7205168102301087</v>
      </c>
      <c r="AL31" s="13">
        <f t="shared" si="18"/>
        <v>0.19823881932044851</v>
      </c>
      <c r="AM31" s="13">
        <f t="shared" si="18"/>
        <v>0.49478520849558949</v>
      </c>
      <c r="AN31" s="13">
        <f t="shared" si="18"/>
        <v>0.40544533108793179</v>
      </c>
      <c r="AO31" s="13">
        <f t="shared" si="18"/>
        <v>-0.63993899042779112</v>
      </c>
      <c r="AP31" s="13">
        <f t="shared" si="18"/>
        <v>1.0783706944186005</v>
      </c>
      <c r="AQ31" s="13">
        <f t="shared" si="18"/>
        <v>1.3427246927825625</v>
      </c>
      <c r="AR31" s="13">
        <f t="shared" si="18"/>
        <v>1.4051513156756501</v>
      </c>
      <c r="AS31" s="13">
        <f t="shared" si="18"/>
        <v>-28.951721549203729</v>
      </c>
      <c r="AT31" s="13">
        <f t="shared" si="18"/>
        <v>1.7503438454601485</v>
      </c>
      <c r="AU31" s="13">
        <f t="shared" si="18"/>
        <v>1.7289023051170886</v>
      </c>
      <c r="AV31" s="13">
        <f t="shared" si="18"/>
        <v>2.3160218945273061</v>
      </c>
      <c r="AW31" s="13">
        <f t="shared" si="18"/>
        <v>-0.78371862333205511</v>
      </c>
      <c r="AX31" s="13">
        <f t="shared" si="18"/>
        <v>0.14646618836818814</v>
      </c>
      <c r="AY31" s="13">
        <f t="shared" si="18"/>
        <v>-1.1375216900322282E-2</v>
      </c>
      <c r="AZ31" s="13">
        <f t="shared" si="18"/>
        <v>-4.7166497944342245E-2</v>
      </c>
      <c r="BA31" s="13">
        <f t="shared" si="18"/>
        <v>-2.1256366723259763</v>
      </c>
      <c r="BB31" s="13">
        <f t="shared" si="18"/>
        <v>0.33516410358830973</v>
      </c>
      <c r="BC31" s="13">
        <f t="shared" si="18"/>
        <v>0.37886554855964794</v>
      </c>
      <c r="BD31" s="13">
        <f t="shared" si="18"/>
        <v>0.14750650477016469</v>
      </c>
      <c r="BE31" s="222"/>
      <c r="BF31" s="13">
        <f>BF13/BH13-1</f>
        <v>4.5531614943514764E-3</v>
      </c>
      <c r="BH31" s="223"/>
    </row>
    <row r="32" spans="2:60">
      <c r="B32" s="6" t="s">
        <v>132</v>
      </c>
      <c r="C32" s="221"/>
      <c r="D32" s="151">
        <f t="shared" si="19"/>
        <v>5.9124751252315866E-2</v>
      </c>
      <c r="E32" s="151">
        <f t="shared" si="19"/>
        <v>8.0889558379293236E-2</v>
      </c>
      <c r="F32" s="151">
        <f t="shared" si="19"/>
        <v>8.1257258457273496E-2</v>
      </c>
      <c r="G32" s="151">
        <f t="shared" si="19"/>
        <v>0.12113862518190022</v>
      </c>
      <c r="H32" s="151">
        <f t="shared" si="19"/>
        <v>0.34308271975820226</v>
      </c>
      <c r="I32" s="151">
        <f t="shared" si="19"/>
        <v>0.40946013156742067</v>
      </c>
      <c r="J32" s="151">
        <f t="shared" si="19"/>
        <v>7.4337295186887475E-2</v>
      </c>
      <c r="K32" s="151">
        <f t="shared" si="19"/>
        <v>-1.2595340809292588E-2</v>
      </c>
      <c r="L32" s="151">
        <f t="shared" si="19"/>
        <v>0.67539172840377426</v>
      </c>
      <c r="M32" s="151">
        <f t="shared" si="19"/>
        <v>1.5821377692049876</v>
      </c>
      <c r="N32" s="223"/>
      <c r="O32" s="151">
        <f t="shared" si="19"/>
        <v>-2.4536418136584803E-2</v>
      </c>
      <c r="P32" s="151">
        <f t="shared" si="20"/>
        <v>0.40836504875988222</v>
      </c>
      <c r="Q32" s="151">
        <f t="shared" si="20"/>
        <v>0.39810558487676162</v>
      </c>
      <c r="R32" s="151">
        <f t="shared" si="20"/>
        <v>0.26750310881493267</v>
      </c>
      <c r="S32" s="151">
        <f t="shared" si="17"/>
        <v>-2.9984143791056295E-2</v>
      </c>
      <c r="T32" s="223"/>
      <c r="V32" s="223"/>
      <c r="W32" s="223"/>
      <c r="X32" s="223"/>
      <c r="Y32" s="223"/>
      <c r="Z32" s="151">
        <f t="shared" si="21"/>
        <v>0.19321578409033591</v>
      </c>
      <c r="AA32" s="151">
        <f t="shared" si="21"/>
        <v>0.38117954912275254</v>
      </c>
      <c r="AB32" s="151">
        <f t="shared" si="18"/>
        <v>0.63638346074937902</v>
      </c>
      <c r="AC32" s="151">
        <f t="shared" si="18"/>
        <v>4.0847515310612055</v>
      </c>
      <c r="AD32" s="151">
        <f t="shared" si="18"/>
        <v>0.31170353164794173</v>
      </c>
      <c r="AE32" s="151">
        <f t="shared" si="18"/>
        <v>0.16631967223407185</v>
      </c>
      <c r="AF32" s="151">
        <f t="shared" si="18"/>
        <v>-7.9197955206918302E-2</v>
      </c>
      <c r="AG32" s="151">
        <f t="shared" si="18"/>
        <v>-0.55923459252928165</v>
      </c>
      <c r="AH32" s="151">
        <f t="shared" si="18"/>
        <v>-6.2277865261253007E-2</v>
      </c>
      <c r="AI32" s="151">
        <f t="shared" si="18"/>
        <v>-0.34568163770827831</v>
      </c>
      <c r="AJ32" s="151">
        <f t="shared" si="18"/>
        <v>9.1190987908579713E-2</v>
      </c>
      <c r="AK32" s="151">
        <f t="shared" si="18"/>
        <v>-4.4849512732010277</v>
      </c>
      <c r="AL32" s="151">
        <f t="shared" si="18"/>
        <v>0.38157889153509394</v>
      </c>
      <c r="AM32" s="151">
        <f t="shared" si="18"/>
        <v>1.0515054479226786</v>
      </c>
      <c r="AN32" s="151">
        <f t="shared" si="18"/>
        <v>0.56903805193857604</v>
      </c>
      <c r="AO32" s="151">
        <f t="shared" si="18"/>
        <v>-1.2712185231051936</v>
      </c>
      <c r="AP32" s="151">
        <f t="shared" si="18"/>
        <v>1.384704858986217</v>
      </c>
      <c r="AQ32" s="151">
        <f t="shared" si="18"/>
        <v>2.0703220471985997</v>
      </c>
      <c r="AR32" s="151">
        <f t="shared" si="18"/>
        <v>1.8446776816473509</v>
      </c>
      <c r="AS32" s="151">
        <f t="shared" si="18"/>
        <v>26.182367506341745</v>
      </c>
      <c r="AT32" s="151">
        <f t="shared" si="18"/>
        <v>1.7659528714124666</v>
      </c>
      <c r="AU32" s="151">
        <f t="shared" si="18"/>
        <v>1.1929163574022725</v>
      </c>
      <c r="AV32" s="151">
        <f t="shared" si="18"/>
        <v>1.9028557985554921</v>
      </c>
      <c r="AW32" s="151">
        <f t="shared" si="18"/>
        <v>-1.115397382370563</v>
      </c>
      <c r="AX32" s="151">
        <f t="shared" si="18"/>
        <v>0.12604924628107383</v>
      </c>
      <c r="AY32" s="151">
        <f t="shared" si="18"/>
        <v>1.4273716273316639E-2</v>
      </c>
      <c r="AZ32" s="151">
        <f t="shared" si="18"/>
        <v>-8.401101347513007E-2</v>
      </c>
      <c r="BA32" s="151">
        <f t="shared" si="18"/>
        <v>-0.77183046892410956</v>
      </c>
      <c r="BB32" s="151">
        <f t="shared" si="18"/>
        <v>0.17835590683159608</v>
      </c>
      <c r="BC32" s="151">
        <f t="shared" si="18"/>
        <v>0.31999237635071887</v>
      </c>
      <c r="BD32" s="151">
        <f t="shared" si="18"/>
        <v>7.4285144926524049E-2</v>
      </c>
      <c r="BE32" s="223"/>
      <c r="BF32" s="151">
        <f t="shared" si="18"/>
        <v>0.4014839579073457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EB22-89CB-4415-8105-975A18A4838D}">
  <dimension ref="D2:J264"/>
  <sheetViews>
    <sheetView workbookViewId="0"/>
  </sheetViews>
  <sheetFormatPr defaultRowHeight="12.75"/>
  <cols>
    <col min="4" max="4" width="14.42578125" bestFit="1" customWidth="1"/>
    <col min="5" max="5" width="10.5703125" bestFit="1" customWidth="1"/>
    <col min="6" max="6" width="13.140625" customWidth="1"/>
  </cols>
  <sheetData>
    <row r="2" spans="4:10">
      <c r="E2">
        <f>AVERAGE(E3:E134)</f>
        <v>7.5461818181818163</v>
      </c>
    </row>
    <row r="3" spans="4:10" ht="18" thickBot="1">
      <c r="D3" s="108">
        <v>44196</v>
      </c>
      <c r="E3" s="109">
        <v>7.4391999999999996</v>
      </c>
      <c r="F3" s="239">
        <v>7.3810000000000002</v>
      </c>
      <c r="G3" s="239">
        <v>7.4927999999999999</v>
      </c>
      <c r="H3" s="239">
        <v>7.3460999999999999</v>
      </c>
      <c r="I3" s="239" t="s">
        <v>185</v>
      </c>
      <c r="J3" s="110">
        <v>8.3999999999999995E-3</v>
      </c>
    </row>
    <row r="4" spans="4:10" ht="18" thickBot="1">
      <c r="D4" s="108">
        <v>44195</v>
      </c>
      <c r="E4" s="111">
        <v>7.3773999999999997</v>
      </c>
      <c r="F4" s="239">
        <v>7.3864999999999998</v>
      </c>
      <c r="G4" s="239">
        <v>7.3993000000000002</v>
      </c>
      <c r="H4" s="239">
        <v>7.3029999999999999</v>
      </c>
      <c r="I4" s="239" t="s">
        <v>186</v>
      </c>
      <c r="J4" s="112">
        <v>-5.9999999999999995E-4</v>
      </c>
    </row>
    <row r="5" spans="4:10" ht="18" thickBot="1">
      <c r="D5" s="108">
        <v>44194</v>
      </c>
      <c r="E5" s="111">
        <v>7.3815</v>
      </c>
      <c r="F5" s="239">
        <v>7.4466000000000001</v>
      </c>
      <c r="G5" s="239">
        <v>7.4804000000000004</v>
      </c>
      <c r="H5" s="239">
        <v>7.3376000000000001</v>
      </c>
      <c r="I5" s="239" t="s">
        <v>187</v>
      </c>
      <c r="J5" s="112">
        <v>-8.0999999999999996E-3</v>
      </c>
    </row>
    <row r="6" spans="4:10" ht="18" thickBot="1">
      <c r="D6" s="108">
        <v>44193</v>
      </c>
      <c r="E6" s="111">
        <v>7.4416000000000002</v>
      </c>
      <c r="F6" s="239">
        <v>7.5716000000000001</v>
      </c>
      <c r="G6" s="239">
        <v>7.5755999999999997</v>
      </c>
      <c r="H6" s="239">
        <v>7.4035000000000002</v>
      </c>
      <c r="I6" s="239" t="s">
        <v>188</v>
      </c>
      <c r="J6" s="112">
        <v>-1.4E-2</v>
      </c>
    </row>
    <row r="7" spans="4:10" ht="18" thickBot="1">
      <c r="D7" s="108">
        <v>44190</v>
      </c>
      <c r="E7" s="111">
        <v>7.5469999999999997</v>
      </c>
      <c r="F7" s="239">
        <v>7.5800999999999998</v>
      </c>
      <c r="G7" s="239">
        <v>7.6016000000000004</v>
      </c>
      <c r="H7" s="239">
        <v>7.5305</v>
      </c>
      <c r="I7" s="239" t="s">
        <v>189</v>
      </c>
      <c r="J7" s="112">
        <v>-3.7000000000000002E-3</v>
      </c>
    </row>
    <row r="8" spans="4:10" ht="18" thickBot="1">
      <c r="D8" s="108">
        <v>44189</v>
      </c>
      <c r="E8" s="111">
        <v>7.5747</v>
      </c>
      <c r="F8" s="239">
        <v>7.6398000000000001</v>
      </c>
      <c r="G8" s="239">
        <v>7.6757</v>
      </c>
      <c r="H8" s="239">
        <v>7.5460000000000003</v>
      </c>
      <c r="I8" s="239" t="s">
        <v>190</v>
      </c>
      <c r="J8" s="112">
        <v>-8.0000000000000002E-3</v>
      </c>
    </row>
    <row r="9" spans="4:10" ht="18" thickBot="1">
      <c r="D9" s="108">
        <v>44188</v>
      </c>
      <c r="E9" s="111">
        <v>7.6360999999999999</v>
      </c>
      <c r="F9" s="239">
        <v>7.6631999999999998</v>
      </c>
      <c r="G9" s="239">
        <v>7.6711</v>
      </c>
      <c r="H9" s="239">
        <v>7.6139999999999999</v>
      </c>
      <c r="I9" s="239" t="s">
        <v>191</v>
      </c>
      <c r="J9" s="112">
        <v>-2.7000000000000001E-3</v>
      </c>
    </row>
    <row r="10" spans="4:10" ht="18" thickBot="1">
      <c r="D10" s="108">
        <v>44187</v>
      </c>
      <c r="E10" s="109">
        <v>7.657</v>
      </c>
      <c r="F10" s="239">
        <v>7.6505999999999998</v>
      </c>
      <c r="G10" s="239">
        <v>7.6786000000000003</v>
      </c>
      <c r="H10" s="239">
        <v>7.6128999999999998</v>
      </c>
      <c r="I10" s="239" t="s">
        <v>192</v>
      </c>
      <c r="J10" s="110">
        <v>1E-3</v>
      </c>
    </row>
    <row r="11" spans="4:10" ht="18" thickBot="1">
      <c r="D11" s="108">
        <v>44186</v>
      </c>
      <c r="E11" s="109">
        <v>7.6490999999999998</v>
      </c>
      <c r="F11" s="239">
        <v>7.6310000000000002</v>
      </c>
      <c r="G11" s="239">
        <v>7.7375999999999996</v>
      </c>
      <c r="H11" s="239">
        <v>7.6234000000000002</v>
      </c>
      <c r="I11" s="239" t="s">
        <v>193</v>
      </c>
      <c r="J11" s="110">
        <v>3.3E-3</v>
      </c>
    </row>
    <row r="12" spans="4:10" ht="18" thickBot="1">
      <c r="D12" s="108">
        <v>44183</v>
      </c>
      <c r="E12" s="111">
        <v>7.6238999999999999</v>
      </c>
      <c r="F12" s="239">
        <v>7.7008999999999999</v>
      </c>
      <c r="G12" s="239">
        <v>7.7606999999999999</v>
      </c>
      <c r="H12" s="239">
        <v>7.6121999999999996</v>
      </c>
      <c r="I12" s="239" t="s">
        <v>194</v>
      </c>
      <c r="J12" s="112">
        <v>-9.4000000000000004E-3</v>
      </c>
    </row>
    <row r="13" spans="4:10" ht="18" thickBot="1">
      <c r="D13" s="108">
        <v>44182</v>
      </c>
      <c r="E13" s="111">
        <v>7.6959</v>
      </c>
      <c r="F13" s="239">
        <v>7.7999000000000001</v>
      </c>
      <c r="G13" s="239">
        <v>7.8097000000000003</v>
      </c>
      <c r="H13" s="239">
        <v>7.6896000000000004</v>
      </c>
      <c r="I13" s="239" t="s">
        <v>195</v>
      </c>
      <c r="J13" s="112">
        <v>-1.2699999999999999E-2</v>
      </c>
    </row>
    <row r="14" spans="4:10" ht="18" thickBot="1">
      <c r="D14" s="108">
        <v>44181</v>
      </c>
      <c r="E14" s="111">
        <v>7.7949000000000002</v>
      </c>
      <c r="F14" s="239">
        <v>7.8440000000000003</v>
      </c>
      <c r="G14" s="239">
        <v>7.8491999999999997</v>
      </c>
      <c r="H14" s="239">
        <v>7.7572999999999999</v>
      </c>
      <c r="I14" s="239" t="s">
        <v>196</v>
      </c>
      <c r="J14" s="112">
        <v>-4.4999999999999997E-3</v>
      </c>
    </row>
    <row r="15" spans="4:10" ht="18" thickBot="1">
      <c r="D15" s="108">
        <v>44180</v>
      </c>
      <c r="E15" s="111">
        <v>7.83</v>
      </c>
      <c r="F15" s="239">
        <v>7.8533999999999997</v>
      </c>
      <c r="G15" s="239">
        <v>7.8734000000000002</v>
      </c>
      <c r="H15" s="239">
        <v>7.8113000000000001</v>
      </c>
      <c r="I15" s="239" t="s">
        <v>197</v>
      </c>
      <c r="J15" s="112">
        <v>-2.3E-3</v>
      </c>
    </row>
    <row r="16" spans="4:10" ht="18" thickBot="1">
      <c r="D16" s="108">
        <v>44179</v>
      </c>
      <c r="E16" s="111">
        <v>7.8483000000000001</v>
      </c>
      <c r="F16" s="239">
        <v>7.8601000000000001</v>
      </c>
      <c r="G16" s="239">
        <v>7.9391999999999996</v>
      </c>
      <c r="H16" s="239">
        <v>7.8234000000000004</v>
      </c>
      <c r="I16" s="239" t="s">
        <v>198</v>
      </c>
      <c r="J16" s="112">
        <v>-1E-3</v>
      </c>
    </row>
    <row r="17" spans="4:10" ht="18" thickBot="1">
      <c r="D17" s="108">
        <v>44176</v>
      </c>
      <c r="E17" s="111">
        <v>7.8562000000000003</v>
      </c>
      <c r="F17" s="239">
        <v>7.8841000000000001</v>
      </c>
      <c r="G17" s="239">
        <v>8.0347000000000008</v>
      </c>
      <c r="H17" s="239">
        <v>7.8148999999999997</v>
      </c>
      <c r="I17" s="239" t="s">
        <v>199</v>
      </c>
      <c r="J17" s="112">
        <v>-3.8E-3</v>
      </c>
    </row>
    <row r="18" spans="4:10" ht="18" thickBot="1">
      <c r="D18" s="108">
        <v>44175</v>
      </c>
      <c r="E18" s="109">
        <v>7.8864000000000001</v>
      </c>
      <c r="F18" s="239">
        <v>7.8262999999999998</v>
      </c>
      <c r="G18" s="239">
        <v>7.9256000000000002</v>
      </c>
      <c r="H18" s="239">
        <v>7.8163</v>
      </c>
      <c r="I18" s="239" t="s">
        <v>200</v>
      </c>
      <c r="J18" s="110">
        <v>9.1000000000000004E-3</v>
      </c>
    </row>
    <row r="19" spans="4:10" ht="18" thickBot="1">
      <c r="D19" s="108">
        <v>44174</v>
      </c>
      <c r="E19" s="109">
        <v>7.8155999999999999</v>
      </c>
      <c r="F19" s="239">
        <v>7.8155000000000001</v>
      </c>
      <c r="G19" s="239">
        <v>7.8524000000000003</v>
      </c>
      <c r="H19" s="239">
        <v>7.7888000000000002</v>
      </c>
      <c r="I19" s="239" t="s">
        <v>201</v>
      </c>
      <c r="J19" s="110">
        <v>1.2999999999999999E-3</v>
      </c>
    </row>
    <row r="20" spans="4:10" ht="18" thickBot="1">
      <c r="D20" s="108">
        <v>44173</v>
      </c>
      <c r="E20" s="109">
        <v>7.8055000000000003</v>
      </c>
      <c r="F20" s="239">
        <v>7.8007</v>
      </c>
      <c r="G20" s="239">
        <v>7.8529</v>
      </c>
      <c r="H20" s="239">
        <v>7.7865000000000002</v>
      </c>
      <c r="I20" s="239" t="s">
        <v>202</v>
      </c>
      <c r="J20" s="110">
        <v>1.1000000000000001E-3</v>
      </c>
    </row>
    <row r="21" spans="4:10" ht="18" thickBot="1">
      <c r="D21" s="108">
        <v>44172</v>
      </c>
      <c r="E21" s="111">
        <v>7.7972999999999999</v>
      </c>
      <c r="F21" s="239">
        <v>7.8029000000000002</v>
      </c>
      <c r="G21" s="239">
        <v>7.8773999999999997</v>
      </c>
      <c r="H21" s="239">
        <v>7.7957999999999998</v>
      </c>
      <c r="I21" s="239" t="s">
        <v>203</v>
      </c>
      <c r="J21" s="112">
        <v>-1E-4</v>
      </c>
    </row>
    <row r="22" spans="4:10" ht="18" thickBot="1">
      <c r="D22" s="108">
        <v>44169</v>
      </c>
      <c r="E22" s="109">
        <v>7.7980999999999998</v>
      </c>
      <c r="F22" s="239">
        <v>7.7739000000000003</v>
      </c>
      <c r="G22" s="239">
        <v>7.8498000000000001</v>
      </c>
      <c r="H22" s="239">
        <v>7.7477</v>
      </c>
      <c r="I22" s="239" t="s">
        <v>204</v>
      </c>
      <c r="J22" s="110">
        <v>4.1000000000000003E-3</v>
      </c>
    </row>
    <row r="23" spans="4:10" ht="18" thickBot="1">
      <c r="D23" s="108">
        <v>44168</v>
      </c>
      <c r="E23" s="111">
        <v>7.7664999999999997</v>
      </c>
      <c r="F23" s="239">
        <v>7.8524000000000003</v>
      </c>
      <c r="G23" s="239">
        <v>7.9249999999999998</v>
      </c>
      <c r="H23" s="239">
        <v>7.7496999999999998</v>
      </c>
      <c r="I23" s="239" t="s">
        <v>205</v>
      </c>
      <c r="J23" s="112">
        <v>-1.0699999999999999E-2</v>
      </c>
    </row>
    <row r="24" spans="4:10" ht="18" thickBot="1">
      <c r="D24" s="108">
        <v>44167</v>
      </c>
      <c r="E24" s="109">
        <v>7.8502000000000001</v>
      </c>
      <c r="F24" s="239">
        <v>7.8289999999999997</v>
      </c>
      <c r="G24" s="239">
        <v>7.8836000000000004</v>
      </c>
      <c r="H24" s="239">
        <v>7.7717000000000001</v>
      </c>
      <c r="I24" s="239" t="s">
        <v>206</v>
      </c>
      <c r="J24" s="110">
        <v>3.2000000000000002E-3</v>
      </c>
    </row>
    <row r="25" spans="4:10" ht="18" thickBot="1">
      <c r="D25" s="108">
        <v>44166</v>
      </c>
      <c r="E25" s="111">
        <v>7.8247999999999998</v>
      </c>
      <c r="F25" s="239">
        <v>7.8327999999999998</v>
      </c>
      <c r="G25" s="239">
        <v>7.9212999999999996</v>
      </c>
      <c r="H25" s="239">
        <v>7.7961</v>
      </c>
      <c r="I25" s="239" t="s">
        <v>207</v>
      </c>
      <c r="J25" s="112">
        <v>-5.0000000000000001E-4</v>
      </c>
    </row>
    <row r="26" spans="4:10" ht="18" thickBot="1">
      <c r="D26" s="108">
        <v>44165</v>
      </c>
      <c r="E26" s="111">
        <v>7.8284000000000002</v>
      </c>
      <c r="F26" s="239">
        <v>7.8353000000000002</v>
      </c>
      <c r="G26" s="239">
        <v>7.8653000000000004</v>
      </c>
      <c r="H26" s="239">
        <v>7.7423999999999999</v>
      </c>
      <c r="I26" s="239" t="s">
        <v>208</v>
      </c>
      <c r="J26" s="112">
        <v>-5.9999999999999995E-4</v>
      </c>
    </row>
    <row r="27" spans="4:10" ht="18" thickBot="1">
      <c r="D27" s="108">
        <v>44162</v>
      </c>
      <c r="E27" s="111">
        <v>7.8331999999999997</v>
      </c>
      <c r="F27" s="239">
        <v>7.8695000000000004</v>
      </c>
      <c r="G27" s="239">
        <v>7.8952</v>
      </c>
      <c r="H27" s="239">
        <v>7.7613000000000003</v>
      </c>
      <c r="I27" s="239" t="s">
        <v>209</v>
      </c>
      <c r="J27" s="112">
        <v>-4.5999999999999999E-3</v>
      </c>
    </row>
    <row r="28" spans="4:10" ht="18" thickBot="1">
      <c r="D28" s="108">
        <v>44161</v>
      </c>
      <c r="E28" s="111">
        <v>7.8691000000000004</v>
      </c>
      <c r="F28" s="239">
        <v>7.9310999999999998</v>
      </c>
      <c r="G28" s="239">
        <v>7.9734999999999996</v>
      </c>
      <c r="H28" s="239">
        <v>7.8456000000000001</v>
      </c>
      <c r="I28" s="239" t="s">
        <v>210</v>
      </c>
      <c r="J28" s="112">
        <v>-7.6E-3</v>
      </c>
    </row>
    <row r="29" spans="4:10" ht="18" thickBot="1">
      <c r="D29" s="108">
        <v>44160</v>
      </c>
      <c r="E29" s="111">
        <v>7.9297000000000004</v>
      </c>
      <c r="F29" s="239">
        <v>8.0022000000000002</v>
      </c>
      <c r="G29" s="239">
        <v>8.0170999999999992</v>
      </c>
      <c r="H29" s="239">
        <v>7.9051</v>
      </c>
      <c r="I29" s="239" t="s">
        <v>211</v>
      </c>
      <c r="J29" s="112">
        <v>-8.6E-3</v>
      </c>
    </row>
    <row r="30" spans="4:10" ht="18" thickBot="1">
      <c r="D30" s="108">
        <v>44159</v>
      </c>
      <c r="E30" s="109">
        <v>7.9981999999999998</v>
      </c>
      <c r="F30" s="239">
        <v>7.8848000000000003</v>
      </c>
      <c r="G30" s="239">
        <v>8.0530000000000008</v>
      </c>
      <c r="H30" s="239">
        <v>7.8295000000000003</v>
      </c>
      <c r="I30" s="239" t="s">
        <v>212</v>
      </c>
      <c r="J30" s="110">
        <v>1.49E-2</v>
      </c>
    </row>
    <row r="31" spans="4:10" ht="18" thickBot="1">
      <c r="D31" s="108">
        <v>44158</v>
      </c>
      <c r="E31" s="109">
        <v>7.8810000000000002</v>
      </c>
      <c r="F31" s="239">
        <v>7.64</v>
      </c>
      <c r="G31" s="239">
        <v>7.9569000000000001</v>
      </c>
      <c r="H31" s="239">
        <v>7.6349</v>
      </c>
      <c r="I31" s="239" t="s">
        <v>213</v>
      </c>
      <c r="J31" s="110">
        <v>3.2599999999999997E-2</v>
      </c>
    </row>
    <row r="32" spans="4:10" ht="18" thickBot="1">
      <c r="D32" s="108">
        <v>44155</v>
      </c>
      <c r="E32" s="109">
        <v>7.6322999999999999</v>
      </c>
      <c r="F32" s="239">
        <v>7.5529000000000002</v>
      </c>
      <c r="G32" s="239">
        <v>7.7054999999999998</v>
      </c>
      <c r="H32" s="239">
        <v>7.5258000000000003</v>
      </c>
      <c r="I32" s="239" t="s">
        <v>214</v>
      </c>
      <c r="J32" s="110">
        <v>1.0800000000000001E-2</v>
      </c>
    </row>
    <row r="33" spans="4:10" ht="18" thickBot="1">
      <c r="D33" s="108">
        <v>44154</v>
      </c>
      <c r="E33" s="111">
        <v>7.5507</v>
      </c>
      <c r="F33" s="239">
        <v>7.7060000000000004</v>
      </c>
      <c r="G33" s="239">
        <v>7.7431000000000001</v>
      </c>
      <c r="H33" s="239">
        <v>7.5034999999999998</v>
      </c>
      <c r="I33" s="239" t="s">
        <v>215</v>
      </c>
      <c r="J33" s="112">
        <v>-1.9900000000000001E-2</v>
      </c>
    </row>
    <row r="34" spans="4:10" ht="18" thickBot="1">
      <c r="D34" s="108">
        <v>44153</v>
      </c>
      <c r="E34" s="109">
        <v>7.7039999999999997</v>
      </c>
      <c r="F34" s="239">
        <v>7.7001999999999997</v>
      </c>
      <c r="G34" s="239">
        <v>7.7914000000000003</v>
      </c>
      <c r="H34" s="239">
        <v>7.67</v>
      </c>
      <c r="I34" s="239" t="s">
        <v>216</v>
      </c>
      <c r="J34" s="110">
        <v>1E-3</v>
      </c>
    </row>
    <row r="35" spans="4:10" ht="18" thickBot="1">
      <c r="D35" s="108">
        <v>44152</v>
      </c>
      <c r="E35" s="111">
        <v>7.6962000000000002</v>
      </c>
      <c r="F35" s="239">
        <v>7.7015000000000002</v>
      </c>
      <c r="G35" s="239">
        <v>7.8060999999999998</v>
      </c>
      <c r="H35" s="239">
        <v>7.6603000000000003</v>
      </c>
      <c r="I35" s="239" t="s">
        <v>217</v>
      </c>
      <c r="J35" s="112">
        <v>-2.0000000000000001E-4</v>
      </c>
    </row>
    <row r="36" spans="4:10" ht="18" thickBot="1">
      <c r="D36" s="108">
        <v>44151</v>
      </c>
      <c r="E36" s="109">
        <v>7.6976000000000004</v>
      </c>
      <c r="F36" s="239">
        <v>7.6612</v>
      </c>
      <c r="G36" s="239">
        <v>7.7679999999999998</v>
      </c>
      <c r="H36" s="239">
        <v>7.5919999999999996</v>
      </c>
      <c r="I36" s="239" t="s">
        <v>218</v>
      </c>
      <c r="J36" s="110">
        <v>4.8999999999999998E-3</v>
      </c>
    </row>
    <row r="37" spans="4:10" ht="18" thickBot="1">
      <c r="D37" s="108">
        <v>44148</v>
      </c>
      <c r="E37" s="111">
        <v>7.6601999999999997</v>
      </c>
      <c r="F37" s="239">
        <v>7.6898999999999997</v>
      </c>
      <c r="G37" s="239">
        <v>7.7583000000000002</v>
      </c>
      <c r="H37" s="239">
        <v>7.5936000000000003</v>
      </c>
      <c r="I37" s="239" t="s">
        <v>219</v>
      </c>
      <c r="J37" s="112">
        <v>-3.5000000000000001E-3</v>
      </c>
    </row>
    <row r="38" spans="4:10" ht="18" thickBot="1">
      <c r="D38" s="108">
        <v>44147</v>
      </c>
      <c r="E38" s="111">
        <v>7.6868999999999996</v>
      </c>
      <c r="F38" s="239">
        <v>7.7995999999999999</v>
      </c>
      <c r="G38" s="239">
        <v>7.8997000000000002</v>
      </c>
      <c r="H38" s="239">
        <v>7.6547000000000001</v>
      </c>
      <c r="I38" s="239" t="s">
        <v>220</v>
      </c>
      <c r="J38" s="112">
        <v>-1.41E-2</v>
      </c>
    </row>
    <row r="39" spans="4:10" ht="18" thickBot="1">
      <c r="D39" s="108">
        <v>44146</v>
      </c>
      <c r="E39" s="111">
        <v>7.7965999999999998</v>
      </c>
      <c r="F39" s="239">
        <v>8.1452000000000009</v>
      </c>
      <c r="G39" s="239">
        <v>8.2041000000000004</v>
      </c>
      <c r="H39" s="239">
        <v>7.7831999999999999</v>
      </c>
      <c r="I39" s="239" t="s">
        <v>221</v>
      </c>
      <c r="J39" s="112">
        <v>-4.2700000000000002E-2</v>
      </c>
    </row>
    <row r="40" spans="4:10" ht="18" thickBot="1">
      <c r="D40" s="108">
        <v>44145</v>
      </c>
      <c r="E40" s="109">
        <v>8.1446000000000005</v>
      </c>
      <c r="F40" s="239">
        <v>8.0660000000000007</v>
      </c>
      <c r="G40" s="239">
        <v>8.3818999999999999</v>
      </c>
      <c r="H40" s="239">
        <v>8.0510000000000002</v>
      </c>
      <c r="I40" s="239" t="s">
        <v>222</v>
      </c>
      <c r="J40" s="110">
        <v>1.01E-2</v>
      </c>
    </row>
    <row r="41" spans="4:10" ht="18" thickBot="1">
      <c r="D41" s="108">
        <v>44144</v>
      </c>
      <c r="E41" s="111">
        <v>8.0633999999999997</v>
      </c>
      <c r="F41" s="239">
        <v>8.4315999999999995</v>
      </c>
      <c r="G41" s="239">
        <v>8.4542999999999999</v>
      </c>
      <c r="H41" s="239">
        <v>7.9886999999999997</v>
      </c>
      <c r="I41" s="239" t="s">
        <v>223</v>
      </c>
      <c r="J41" s="112">
        <v>-5.3600000000000002E-2</v>
      </c>
    </row>
    <row r="42" spans="4:10" ht="18" thickBot="1">
      <c r="D42" s="108">
        <v>44141</v>
      </c>
      <c r="E42" s="109">
        <v>8.52</v>
      </c>
      <c r="F42" s="239">
        <v>8.4220000000000006</v>
      </c>
      <c r="G42" s="239">
        <v>8.5876000000000001</v>
      </c>
      <c r="H42" s="239">
        <v>8.3993000000000002</v>
      </c>
      <c r="I42" s="239" t="s">
        <v>224</v>
      </c>
      <c r="J42" s="110">
        <v>1.1900000000000001E-2</v>
      </c>
    </row>
    <row r="43" spans="4:10" ht="18" thickBot="1">
      <c r="D43" s="108">
        <v>44140</v>
      </c>
      <c r="E43" s="111">
        <v>8.4201999999999995</v>
      </c>
      <c r="F43" s="239">
        <v>8.4261999999999997</v>
      </c>
      <c r="G43" s="239">
        <v>8.4859000000000009</v>
      </c>
      <c r="H43" s="239">
        <v>8.4023000000000003</v>
      </c>
      <c r="I43" s="239" t="s">
        <v>225</v>
      </c>
      <c r="J43" s="112">
        <v>-5.9999999999999995E-4</v>
      </c>
    </row>
    <row r="44" spans="4:10" ht="18" thickBot="1">
      <c r="D44" s="108">
        <v>44139</v>
      </c>
      <c r="E44" s="109">
        <v>8.4251000000000005</v>
      </c>
      <c r="F44" s="239">
        <v>8.4040999999999997</v>
      </c>
      <c r="G44" s="239">
        <v>8.532</v>
      </c>
      <c r="H44" s="239">
        <v>8.3826999999999998</v>
      </c>
      <c r="I44" s="239" t="s">
        <v>226</v>
      </c>
      <c r="J44" s="110">
        <v>2.8E-3</v>
      </c>
    </row>
    <row r="45" spans="4:10" ht="18" thickBot="1">
      <c r="D45" s="108">
        <v>44138</v>
      </c>
      <c r="E45" s="111">
        <v>8.4016000000000002</v>
      </c>
      <c r="F45" s="239">
        <v>8.4221000000000004</v>
      </c>
      <c r="G45" s="239">
        <v>8.5471000000000004</v>
      </c>
      <c r="H45" s="239">
        <v>8.3924000000000003</v>
      </c>
      <c r="I45" s="239" t="s">
        <v>227</v>
      </c>
      <c r="J45" s="112">
        <v>-2.0999999999999999E-3</v>
      </c>
    </row>
    <row r="46" spans="4:10" ht="18" thickBot="1">
      <c r="D46" s="108">
        <v>44137</v>
      </c>
      <c r="E46" s="109">
        <v>8.4190000000000005</v>
      </c>
      <c r="F46" s="239">
        <v>8.3467000000000002</v>
      </c>
      <c r="G46" s="239">
        <v>8.4486000000000008</v>
      </c>
      <c r="H46" s="239">
        <v>8.3400999999999996</v>
      </c>
      <c r="I46" s="239" t="s">
        <v>228</v>
      </c>
      <c r="J46" s="110">
        <v>8.8999999999999999E-3</v>
      </c>
    </row>
    <row r="47" spans="4:10" ht="18" thickBot="1">
      <c r="D47" s="108">
        <v>44134</v>
      </c>
      <c r="E47" s="109">
        <v>8.3447999999999993</v>
      </c>
      <c r="F47" s="239">
        <v>8.2921999999999993</v>
      </c>
      <c r="G47" s="239">
        <v>8.3899000000000008</v>
      </c>
      <c r="H47" s="239">
        <v>8.2674000000000003</v>
      </c>
      <c r="I47" s="239" t="s">
        <v>229</v>
      </c>
      <c r="J47" s="110">
        <v>6.7999999999999996E-3</v>
      </c>
    </row>
    <row r="48" spans="4:10" ht="18" thickBot="1">
      <c r="D48" s="108">
        <v>44133</v>
      </c>
      <c r="E48" s="109">
        <v>8.2881</v>
      </c>
      <c r="F48" s="239">
        <v>8.2576000000000001</v>
      </c>
      <c r="G48" s="239">
        <v>8.3315000000000001</v>
      </c>
      <c r="H48" s="239">
        <v>8.2568000000000001</v>
      </c>
      <c r="I48" s="239" t="s">
        <v>230</v>
      </c>
      <c r="J48" s="110">
        <v>3.8999999999999998E-3</v>
      </c>
    </row>
    <row r="49" spans="4:10" ht="18" thickBot="1">
      <c r="D49" s="108">
        <v>44132</v>
      </c>
      <c r="E49" s="109">
        <v>8.2559000000000005</v>
      </c>
      <c r="F49" s="239">
        <v>8.1852999999999998</v>
      </c>
      <c r="G49" s="239">
        <v>8.3244000000000007</v>
      </c>
      <c r="H49" s="239">
        <v>8.1827000000000005</v>
      </c>
      <c r="I49" s="239" t="s">
        <v>231</v>
      </c>
      <c r="J49" s="110">
        <v>8.6E-3</v>
      </c>
    </row>
    <row r="50" spans="4:10" ht="18" thickBot="1">
      <c r="D50" s="108">
        <v>44131</v>
      </c>
      <c r="E50" s="109">
        <v>8.1853999999999996</v>
      </c>
      <c r="F50" s="239">
        <v>8.0837000000000003</v>
      </c>
      <c r="G50" s="239">
        <v>8.1989000000000001</v>
      </c>
      <c r="H50" s="239">
        <v>8.0815000000000001</v>
      </c>
      <c r="I50" s="239" t="s">
        <v>232</v>
      </c>
      <c r="J50" s="110">
        <v>1.3100000000000001E-2</v>
      </c>
    </row>
    <row r="51" spans="4:10" ht="18" thickBot="1">
      <c r="D51" s="108">
        <v>44130</v>
      </c>
      <c r="E51" s="109">
        <v>8.0797000000000008</v>
      </c>
      <c r="F51" s="239">
        <v>7.9645000000000001</v>
      </c>
      <c r="G51" s="239">
        <v>8.0995000000000008</v>
      </c>
      <c r="H51" s="239">
        <v>7.9584999999999999</v>
      </c>
      <c r="I51" s="239" t="s">
        <v>233</v>
      </c>
      <c r="J51" s="110">
        <v>1.49E-2</v>
      </c>
    </row>
    <row r="52" spans="4:10" ht="18" thickBot="1">
      <c r="D52" s="108">
        <v>44127</v>
      </c>
      <c r="E52" s="109">
        <v>7.9610000000000003</v>
      </c>
      <c r="F52" s="239">
        <v>7.9351000000000003</v>
      </c>
      <c r="G52" s="239">
        <v>7.9832999999999998</v>
      </c>
      <c r="H52" s="239">
        <v>7.9145000000000003</v>
      </c>
      <c r="I52" s="239" t="s">
        <v>234</v>
      </c>
      <c r="J52" s="110">
        <v>3.5000000000000001E-3</v>
      </c>
    </row>
    <row r="53" spans="4:10" ht="18" thickBot="1">
      <c r="D53" s="108">
        <v>44126</v>
      </c>
      <c r="E53" s="109">
        <v>7.9329000000000001</v>
      </c>
      <c r="F53" s="239">
        <v>7.8125</v>
      </c>
      <c r="G53" s="239">
        <v>7.9880000000000004</v>
      </c>
      <c r="H53" s="239">
        <v>7.7792000000000003</v>
      </c>
      <c r="I53" s="239" t="s">
        <v>235</v>
      </c>
      <c r="J53" s="110">
        <v>1.6E-2</v>
      </c>
    </row>
    <row r="54" spans="4:10" ht="18" thickBot="1">
      <c r="D54" s="108">
        <v>44125</v>
      </c>
      <c r="E54" s="111">
        <v>7.8080999999999996</v>
      </c>
      <c r="F54" s="239">
        <v>7.8662999999999998</v>
      </c>
      <c r="G54" s="239">
        <v>7.8846999999999996</v>
      </c>
      <c r="H54" s="239">
        <v>7.7880000000000003</v>
      </c>
      <c r="I54" s="239" t="s">
        <v>236</v>
      </c>
      <c r="J54" s="112">
        <v>-6.7000000000000002E-3</v>
      </c>
    </row>
    <row r="55" spans="4:10" ht="18" thickBot="1">
      <c r="D55" s="108">
        <v>44124</v>
      </c>
      <c r="E55" s="111">
        <v>7.8609</v>
      </c>
      <c r="F55" s="239">
        <v>7.8837000000000002</v>
      </c>
      <c r="G55" s="239">
        <v>7.9108999999999998</v>
      </c>
      <c r="H55" s="239">
        <v>7.8541999999999996</v>
      </c>
      <c r="I55" s="239" t="s">
        <v>237</v>
      </c>
      <c r="J55" s="112">
        <v>-2.3999999999999998E-3</v>
      </c>
    </row>
    <row r="56" spans="4:10" ht="18" thickBot="1">
      <c r="D56" s="108">
        <v>44123</v>
      </c>
      <c r="E56" s="111">
        <v>7.8796999999999997</v>
      </c>
      <c r="F56" s="239">
        <v>7.9352999999999998</v>
      </c>
      <c r="G56" s="239">
        <v>7.9416000000000002</v>
      </c>
      <c r="H56" s="239">
        <v>7.8691000000000004</v>
      </c>
      <c r="I56" s="239" t="s">
        <v>238</v>
      </c>
      <c r="J56" s="112">
        <v>-6.4000000000000003E-3</v>
      </c>
    </row>
    <row r="57" spans="4:10" ht="18" thickBot="1">
      <c r="D57" s="108">
        <v>44120</v>
      </c>
      <c r="E57" s="111">
        <v>7.9303999999999997</v>
      </c>
      <c r="F57" s="239">
        <v>7.9356</v>
      </c>
      <c r="G57" s="239">
        <v>7.9599000000000002</v>
      </c>
      <c r="H57" s="239">
        <v>7.8856000000000002</v>
      </c>
      <c r="I57" s="239" t="s">
        <v>239</v>
      </c>
      <c r="J57" s="112">
        <v>-1E-4</v>
      </c>
    </row>
    <row r="58" spans="4:10" ht="18" thickBot="1">
      <c r="D58" s="108">
        <v>44119</v>
      </c>
      <c r="E58" s="109">
        <v>7.931</v>
      </c>
      <c r="F58" s="239">
        <v>7.9118000000000004</v>
      </c>
      <c r="G58" s="239">
        <v>7.9538000000000002</v>
      </c>
      <c r="H58" s="239">
        <v>7.9058999999999999</v>
      </c>
      <c r="I58" s="239" t="s">
        <v>240</v>
      </c>
      <c r="J58" s="110">
        <v>2.8999999999999998E-3</v>
      </c>
    </row>
    <row r="59" spans="4:10" ht="18" thickBot="1">
      <c r="D59" s="108">
        <v>44118</v>
      </c>
      <c r="E59" s="111">
        <v>7.9084000000000003</v>
      </c>
      <c r="F59" s="239">
        <v>7.9166999999999996</v>
      </c>
      <c r="G59" s="239">
        <v>7.9611999999999998</v>
      </c>
      <c r="H59" s="239">
        <v>7.8970000000000002</v>
      </c>
      <c r="I59" s="239" t="s">
        <v>241</v>
      </c>
      <c r="J59" s="112">
        <v>-8.0000000000000004E-4</v>
      </c>
    </row>
    <row r="60" spans="4:10" ht="18" thickBot="1">
      <c r="D60" s="108">
        <v>44117</v>
      </c>
      <c r="E60" s="109">
        <v>7.9146000000000001</v>
      </c>
      <c r="F60" s="239">
        <v>7.89</v>
      </c>
      <c r="G60" s="239">
        <v>7.9324000000000003</v>
      </c>
      <c r="H60" s="239">
        <v>7.8738000000000001</v>
      </c>
      <c r="I60" s="239" t="s">
        <v>242</v>
      </c>
      <c r="J60" s="110">
        <v>3.3999999999999998E-3</v>
      </c>
    </row>
    <row r="61" spans="4:10" ht="18" thickBot="1">
      <c r="D61" s="108">
        <v>44116</v>
      </c>
      <c r="E61" s="109">
        <v>7.8879000000000001</v>
      </c>
      <c r="F61" s="239">
        <v>7.8601999999999999</v>
      </c>
      <c r="G61" s="239">
        <v>7.9157000000000002</v>
      </c>
      <c r="H61" s="239">
        <v>7.851</v>
      </c>
      <c r="I61" s="239" t="s">
        <v>243</v>
      </c>
      <c r="J61" s="110">
        <v>4.0000000000000001E-3</v>
      </c>
    </row>
    <row r="62" spans="4:10" ht="18" thickBot="1">
      <c r="D62" s="108">
        <v>44113</v>
      </c>
      <c r="E62" s="111">
        <v>7.8566000000000003</v>
      </c>
      <c r="F62" s="239">
        <v>7.9447000000000001</v>
      </c>
      <c r="G62" s="239">
        <v>7.9591000000000003</v>
      </c>
      <c r="H62" s="239">
        <v>7.8372000000000002</v>
      </c>
      <c r="I62" s="239" t="s">
        <v>244</v>
      </c>
      <c r="J62" s="112">
        <v>-1.06E-2</v>
      </c>
    </row>
    <row r="63" spans="4:10" ht="18" thickBot="1">
      <c r="D63" s="108">
        <v>44112</v>
      </c>
      <c r="E63" s="109">
        <v>7.9405999999999999</v>
      </c>
      <c r="F63" s="239">
        <v>7.8846999999999996</v>
      </c>
      <c r="G63" s="239">
        <v>7.9485000000000001</v>
      </c>
      <c r="H63" s="239">
        <v>7.8741000000000003</v>
      </c>
      <c r="I63" s="239" t="s">
        <v>245</v>
      </c>
      <c r="J63" s="110">
        <v>7.6E-3</v>
      </c>
    </row>
    <row r="64" spans="4:10" ht="18" thickBot="1">
      <c r="D64" s="108">
        <v>44111</v>
      </c>
      <c r="E64" s="109">
        <v>7.8807999999999998</v>
      </c>
      <c r="F64" s="239">
        <v>7.7992999999999997</v>
      </c>
      <c r="G64" s="239">
        <v>7.8967000000000001</v>
      </c>
      <c r="H64" s="239">
        <v>7.7820999999999998</v>
      </c>
      <c r="I64" s="239" t="s">
        <v>246</v>
      </c>
      <c r="J64" s="110">
        <v>1.1299999999999999E-2</v>
      </c>
    </row>
    <row r="65" spans="4:10" ht="18" thickBot="1">
      <c r="D65" s="108">
        <v>44110</v>
      </c>
      <c r="E65" s="109">
        <v>7.7930999999999999</v>
      </c>
      <c r="F65" s="239">
        <v>7.7638999999999996</v>
      </c>
      <c r="G65" s="239">
        <v>7.8083999999999998</v>
      </c>
      <c r="H65" s="239">
        <v>7.7411000000000003</v>
      </c>
      <c r="I65" s="239" t="s">
        <v>247</v>
      </c>
      <c r="J65" s="110">
        <v>4.3E-3</v>
      </c>
    </row>
    <row r="66" spans="4:10" ht="18" thickBot="1">
      <c r="D66" s="108">
        <v>44109</v>
      </c>
      <c r="E66" s="111">
        <v>7.7599</v>
      </c>
      <c r="F66" s="239">
        <v>7.7713999999999999</v>
      </c>
      <c r="G66" s="239">
        <v>7.7906000000000004</v>
      </c>
      <c r="H66" s="239">
        <v>7.7206000000000001</v>
      </c>
      <c r="I66" s="239" t="s">
        <v>248</v>
      </c>
      <c r="J66" s="112">
        <v>-1.4E-3</v>
      </c>
    </row>
    <row r="67" spans="4:10" ht="18" thickBot="1">
      <c r="D67" s="108">
        <v>44106</v>
      </c>
      <c r="E67" s="109">
        <v>7.7708000000000004</v>
      </c>
      <c r="F67" s="239">
        <v>7.7497999999999996</v>
      </c>
      <c r="G67" s="239">
        <v>7.7930999999999999</v>
      </c>
      <c r="H67" s="239">
        <v>7.7065999999999999</v>
      </c>
      <c r="I67" s="239" t="s">
        <v>249</v>
      </c>
      <c r="J67" s="110">
        <v>2.7000000000000001E-3</v>
      </c>
    </row>
    <row r="68" spans="4:10" ht="18" thickBot="1">
      <c r="D68" s="108">
        <v>44105</v>
      </c>
      <c r="E68" s="109">
        <v>7.75</v>
      </c>
      <c r="F68" s="239">
        <v>7.7187000000000001</v>
      </c>
      <c r="G68" s="239">
        <v>7.7880000000000003</v>
      </c>
      <c r="H68" s="239">
        <v>7.6219000000000001</v>
      </c>
      <c r="I68" s="239" t="s">
        <v>250</v>
      </c>
      <c r="J68" s="110">
        <v>4.4000000000000003E-3</v>
      </c>
    </row>
    <row r="69" spans="4:10" ht="18" thickBot="1">
      <c r="D69" s="108">
        <v>44104</v>
      </c>
      <c r="E69" s="111">
        <v>7.7157</v>
      </c>
      <c r="F69" s="239">
        <v>7.8189000000000002</v>
      </c>
      <c r="G69" s="239">
        <v>7.84</v>
      </c>
      <c r="H69" s="239">
        <v>7.6969000000000003</v>
      </c>
      <c r="I69" s="239" t="s">
        <v>251</v>
      </c>
      <c r="J69" s="112">
        <v>-1.26E-2</v>
      </c>
    </row>
    <row r="70" spans="4:10" ht="18" thickBot="1">
      <c r="D70" s="108">
        <v>44103</v>
      </c>
      <c r="E70" s="109">
        <v>7.8139000000000003</v>
      </c>
      <c r="F70" s="239">
        <v>7.8044000000000002</v>
      </c>
      <c r="G70" s="239">
        <v>7.8669000000000002</v>
      </c>
      <c r="H70" s="239">
        <v>7.7590000000000003</v>
      </c>
      <c r="I70" s="239" t="s">
        <v>252</v>
      </c>
      <c r="J70" s="110">
        <v>1.5E-3</v>
      </c>
    </row>
    <row r="71" spans="4:10" ht="18" thickBot="1">
      <c r="D71" s="108">
        <v>44102</v>
      </c>
      <c r="E71" s="109">
        <v>7.8023999999999996</v>
      </c>
      <c r="F71" s="239">
        <v>7.6647999999999996</v>
      </c>
      <c r="G71" s="239">
        <v>7.8409000000000004</v>
      </c>
      <c r="H71" s="239">
        <v>7.6531000000000002</v>
      </c>
      <c r="I71" s="239" t="s">
        <v>253</v>
      </c>
      <c r="J71" s="110">
        <v>1.8499999999999999E-2</v>
      </c>
    </row>
    <row r="72" spans="4:10" ht="18" thickBot="1">
      <c r="D72" s="108">
        <v>44099</v>
      </c>
      <c r="E72" s="109">
        <v>7.6607000000000003</v>
      </c>
      <c r="F72" s="239">
        <v>7.6227999999999998</v>
      </c>
      <c r="G72" s="239">
        <v>7.6864999999999997</v>
      </c>
      <c r="H72" s="239">
        <v>7.4915000000000003</v>
      </c>
      <c r="I72" s="239" t="s">
        <v>254</v>
      </c>
      <c r="J72" s="110">
        <v>5.1000000000000004E-3</v>
      </c>
    </row>
    <row r="73" spans="4:10" ht="18" thickBot="1">
      <c r="D73" s="108">
        <v>44098</v>
      </c>
      <c r="E73" s="111">
        <v>7.6215999999999999</v>
      </c>
      <c r="F73" s="239">
        <v>7.7004999999999999</v>
      </c>
      <c r="G73" s="239">
        <v>7.7228000000000003</v>
      </c>
      <c r="H73" s="239">
        <v>7.5380000000000003</v>
      </c>
      <c r="I73" s="239" t="s">
        <v>255</v>
      </c>
      <c r="J73" s="112">
        <v>-9.7999999999999997E-3</v>
      </c>
    </row>
    <row r="74" spans="4:10" ht="18" thickBot="1">
      <c r="D74" s="108">
        <v>44097</v>
      </c>
      <c r="E74" s="109">
        <v>7.6966999999999999</v>
      </c>
      <c r="F74" s="239">
        <v>7.6657999999999999</v>
      </c>
      <c r="G74" s="239">
        <v>7.7137000000000002</v>
      </c>
      <c r="H74" s="239">
        <v>7.6424000000000003</v>
      </c>
      <c r="I74" s="239" t="s">
        <v>256</v>
      </c>
      <c r="J74" s="110">
        <v>4.4999999999999997E-3</v>
      </c>
    </row>
    <row r="75" spans="4:10" ht="18" thickBot="1">
      <c r="D75" s="108">
        <v>44096</v>
      </c>
      <c r="E75" s="109">
        <v>7.6619000000000002</v>
      </c>
      <c r="F75" s="239">
        <v>7.6318000000000001</v>
      </c>
      <c r="G75" s="239">
        <v>7.6750999999999996</v>
      </c>
      <c r="H75" s="239">
        <v>7.6117999999999997</v>
      </c>
      <c r="I75" s="239" t="s">
        <v>257</v>
      </c>
      <c r="J75" s="110">
        <v>4.1999999999999997E-3</v>
      </c>
    </row>
    <row r="76" spans="4:10" ht="18" thickBot="1">
      <c r="D76" s="108">
        <v>44095</v>
      </c>
      <c r="E76" s="109">
        <v>7.6299000000000001</v>
      </c>
      <c r="F76" s="239">
        <v>7.5608000000000004</v>
      </c>
      <c r="G76" s="239">
        <v>7.6439000000000004</v>
      </c>
      <c r="H76" s="239">
        <v>7.5387000000000004</v>
      </c>
      <c r="I76" s="239" t="s">
        <v>258</v>
      </c>
      <c r="J76" s="110">
        <v>9.7000000000000003E-3</v>
      </c>
    </row>
    <row r="77" spans="4:10" ht="18" thickBot="1">
      <c r="D77" s="108">
        <v>44092</v>
      </c>
      <c r="E77" s="109">
        <v>7.5563000000000002</v>
      </c>
      <c r="F77" s="239">
        <v>7.5503</v>
      </c>
      <c r="G77" s="239">
        <v>7.5932000000000004</v>
      </c>
      <c r="H77" s="239">
        <v>7.524</v>
      </c>
      <c r="I77" s="239" t="s">
        <v>259</v>
      </c>
      <c r="J77" s="110">
        <v>1.2999999999999999E-3</v>
      </c>
    </row>
    <row r="78" spans="4:10" ht="18" thickBot="1">
      <c r="D78" s="108">
        <v>44091</v>
      </c>
      <c r="E78" s="109">
        <v>7.5464000000000002</v>
      </c>
      <c r="F78" s="239">
        <v>7.5052000000000003</v>
      </c>
      <c r="G78" s="239">
        <v>7.5663</v>
      </c>
      <c r="H78" s="239">
        <v>7.4824999999999999</v>
      </c>
      <c r="I78" s="239" t="s">
        <v>260</v>
      </c>
      <c r="J78" s="110">
        <v>5.4999999999999997E-3</v>
      </c>
    </row>
    <row r="79" spans="4:10" ht="18" thickBot="1">
      <c r="D79" s="108">
        <v>44090</v>
      </c>
      <c r="E79" s="109">
        <v>7.5053999999999998</v>
      </c>
      <c r="F79" s="239">
        <v>7.4892000000000003</v>
      </c>
      <c r="G79" s="239">
        <v>7.5182000000000002</v>
      </c>
      <c r="H79" s="239">
        <v>7.4640000000000004</v>
      </c>
      <c r="I79" s="239" t="s">
        <v>261</v>
      </c>
      <c r="J79" s="110">
        <v>2.7000000000000001E-3</v>
      </c>
    </row>
    <row r="80" spans="4:10" ht="18" thickBot="1">
      <c r="D80" s="108">
        <v>44089</v>
      </c>
      <c r="E80" s="109">
        <v>7.4854000000000003</v>
      </c>
      <c r="F80" s="239">
        <v>7.4878999999999998</v>
      </c>
      <c r="G80" s="239">
        <v>7.5022000000000002</v>
      </c>
      <c r="H80" s="239">
        <v>7.4547999999999996</v>
      </c>
      <c r="I80" s="239" t="s">
        <v>262</v>
      </c>
      <c r="J80" s="110">
        <v>2.0000000000000001E-4</v>
      </c>
    </row>
    <row r="81" spans="4:10" ht="18" thickBot="1">
      <c r="D81" s="108">
        <v>44088</v>
      </c>
      <c r="E81" s="109">
        <v>7.484</v>
      </c>
      <c r="F81" s="239">
        <v>7.4720000000000004</v>
      </c>
      <c r="G81" s="239">
        <v>7.5038</v>
      </c>
      <c r="H81" s="239">
        <v>7.4589999999999996</v>
      </c>
      <c r="I81" s="239" t="s">
        <v>263</v>
      </c>
      <c r="J81" s="110">
        <v>1.6000000000000001E-3</v>
      </c>
    </row>
    <row r="82" spans="4:10" ht="18" thickBot="1">
      <c r="D82" s="108">
        <v>44085</v>
      </c>
      <c r="E82" s="109">
        <v>7.4724000000000004</v>
      </c>
      <c r="F82" s="239">
        <v>7.4501999999999997</v>
      </c>
      <c r="G82" s="239">
        <v>7.4828000000000001</v>
      </c>
      <c r="H82" s="239">
        <v>7.4314</v>
      </c>
      <c r="I82" s="239" t="s">
        <v>264</v>
      </c>
      <c r="J82" s="110">
        <v>3.3E-3</v>
      </c>
    </row>
    <row r="83" spans="4:10" ht="18" thickBot="1">
      <c r="D83" s="108">
        <v>44084</v>
      </c>
      <c r="E83" s="111">
        <v>7.4481000000000002</v>
      </c>
      <c r="F83" s="239">
        <v>7.4889000000000001</v>
      </c>
      <c r="G83" s="239">
        <v>7.5015000000000001</v>
      </c>
      <c r="H83" s="239">
        <v>7.3977000000000004</v>
      </c>
      <c r="I83" s="239" t="s">
        <v>265</v>
      </c>
      <c r="J83" s="112">
        <v>-4.8999999999999998E-3</v>
      </c>
    </row>
    <row r="84" spans="4:10" ht="18" thickBot="1">
      <c r="D84" s="108">
        <v>44083</v>
      </c>
      <c r="E84" s="109">
        <v>7.4847999999999999</v>
      </c>
      <c r="F84" s="239">
        <v>7.4850000000000003</v>
      </c>
      <c r="G84" s="239">
        <v>7.5000999999999998</v>
      </c>
      <c r="H84" s="239">
        <v>7.4565000000000001</v>
      </c>
      <c r="I84" s="239" t="s">
        <v>266</v>
      </c>
      <c r="J84" s="110">
        <v>4.0000000000000002E-4</v>
      </c>
    </row>
    <row r="85" spans="4:10" ht="18" thickBot="1">
      <c r="D85" s="108">
        <v>44082</v>
      </c>
      <c r="E85" s="109">
        <v>7.4817</v>
      </c>
      <c r="F85" s="239">
        <v>7.4577</v>
      </c>
      <c r="G85" s="239">
        <v>7.4920999999999998</v>
      </c>
      <c r="H85" s="239">
        <v>7.4390000000000001</v>
      </c>
      <c r="I85" s="239" t="s">
        <v>267</v>
      </c>
      <c r="J85" s="110">
        <v>3.7000000000000002E-3</v>
      </c>
    </row>
    <row r="86" spans="4:10" ht="18" thickBot="1">
      <c r="D86" s="108">
        <v>44081</v>
      </c>
      <c r="E86" s="109">
        <v>7.4542000000000002</v>
      </c>
      <c r="F86" s="239">
        <v>7.4359999999999999</v>
      </c>
      <c r="G86" s="239">
        <v>7.4695999999999998</v>
      </c>
      <c r="H86" s="239">
        <v>7.4203000000000001</v>
      </c>
      <c r="I86" s="239" t="s">
        <v>268</v>
      </c>
      <c r="J86" s="110">
        <v>2.8E-3</v>
      </c>
    </row>
    <row r="87" spans="4:10" ht="18" thickBot="1">
      <c r="D87" s="108">
        <v>44078</v>
      </c>
      <c r="E87" s="111">
        <v>7.4330999999999996</v>
      </c>
      <c r="F87" s="239">
        <v>7.4352</v>
      </c>
      <c r="G87" s="239">
        <v>7.4650999999999996</v>
      </c>
      <c r="H87" s="239">
        <v>7.3979999999999997</v>
      </c>
      <c r="I87" s="239" t="s">
        <v>269</v>
      </c>
      <c r="J87" s="112">
        <v>-1E-4</v>
      </c>
    </row>
    <row r="88" spans="4:10" ht="18" thickBot="1">
      <c r="D88" s="108">
        <v>44077</v>
      </c>
      <c r="E88" s="109">
        <v>7.4335000000000004</v>
      </c>
      <c r="F88" s="239">
        <v>7.3860000000000001</v>
      </c>
      <c r="G88" s="239">
        <v>7.4549000000000003</v>
      </c>
      <c r="H88" s="239">
        <v>7.3661000000000003</v>
      </c>
      <c r="I88" s="239" t="s">
        <v>270</v>
      </c>
      <c r="J88" s="110">
        <v>6.8999999999999999E-3</v>
      </c>
    </row>
    <row r="89" spans="4:10" ht="18" thickBot="1">
      <c r="D89" s="108">
        <v>44076</v>
      </c>
      <c r="E89" s="109">
        <v>7.3822000000000001</v>
      </c>
      <c r="F89" s="239">
        <v>7.3693999999999997</v>
      </c>
      <c r="G89" s="239">
        <v>7.4036</v>
      </c>
      <c r="H89" s="239">
        <v>7.3475000000000001</v>
      </c>
      <c r="I89" s="239" t="s">
        <v>271</v>
      </c>
      <c r="J89" s="110">
        <v>2.3E-3</v>
      </c>
    </row>
    <row r="90" spans="4:10" ht="18" thickBot="1">
      <c r="D90" s="108">
        <v>44075</v>
      </c>
      <c r="E90" s="109">
        <v>7.3651999999999997</v>
      </c>
      <c r="F90" s="239">
        <v>7.3513000000000002</v>
      </c>
      <c r="G90" s="239">
        <v>7.3788999999999998</v>
      </c>
      <c r="H90" s="239">
        <v>7.3158000000000003</v>
      </c>
      <c r="I90" s="239" t="s">
        <v>272</v>
      </c>
      <c r="J90" s="110">
        <v>2.5000000000000001E-3</v>
      </c>
    </row>
    <row r="91" spans="4:10" ht="18" thickBot="1">
      <c r="D91" s="108">
        <v>44074</v>
      </c>
      <c r="E91" s="109">
        <v>7.3465999999999996</v>
      </c>
      <c r="F91" s="239">
        <v>7.3314000000000004</v>
      </c>
      <c r="G91" s="239">
        <v>7.3731</v>
      </c>
      <c r="H91" s="239">
        <v>7.3109999999999999</v>
      </c>
      <c r="I91" s="239" t="s">
        <v>273</v>
      </c>
      <c r="J91" s="110">
        <v>1.9E-3</v>
      </c>
    </row>
    <row r="92" spans="4:10" ht="18" thickBot="1">
      <c r="D92" s="108">
        <v>44071</v>
      </c>
      <c r="E92" s="111">
        <v>7.3329000000000004</v>
      </c>
      <c r="F92" s="239">
        <v>7.3604000000000003</v>
      </c>
      <c r="G92" s="239">
        <v>7.3796999999999997</v>
      </c>
      <c r="H92" s="239">
        <v>7.2727000000000004</v>
      </c>
      <c r="I92" s="239" t="s">
        <v>274</v>
      </c>
      <c r="J92" s="112">
        <v>-3.5000000000000001E-3</v>
      </c>
    </row>
    <row r="93" spans="4:10" ht="18" thickBot="1">
      <c r="D93" s="108">
        <v>44070</v>
      </c>
      <c r="E93" s="111">
        <v>7.3586999999999998</v>
      </c>
      <c r="F93" s="239">
        <v>7.3703000000000003</v>
      </c>
      <c r="G93" s="239">
        <v>7.3914999999999997</v>
      </c>
      <c r="H93" s="239">
        <v>7.2857000000000003</v>
      </c>
      <c r="I93" s="239" t="s">
        <v>275</v>
      </c>
      <c r="J93" s="112">
        <v>-1E-3</v>
      </c>
    </row>
    <row r="94" spans="4:10" ht="18" thickBot="1">
      <c r="D94" s="108">
        <v>44069</v>
      </c>
      <c r="E94" s="111">
        <v>7.3662000000000001</v>
      </c>
      <c r="F94" s="239">
        <v>7.3932000000000002</v>
      </c>
      <c r="G94" s="239">
        <v>7.4211999999999998</v>
      </c>
      <c r="H94" s="239">
        <v>7.3132999999999999</v>
      </c>
      <c r="I94" s="239" t="s">
        <v>276</v>
      </c>
      <c r="J94" s="112">
        <v>-3.0999999999999999E-3</v>
      </c>
    </row>
    <row r="95" spans="4:10" ht="18" thickBot="1">
      <c r="D95" s="108">
        <v>44068</v>
      </c>
      <c r="E95" s="109">
        <v>7.3893000000000004</v>
      </c>
      <c r="F95" s="239">
        <v>7.3783000000000003</v>
      </c>
      <c r="G95" s="239">
        <v>7.4085000000000001</v>
      </c>
      <c r="H95" s="239">
        <v>7.3532999999999999</v>
      </c>
      <c r="I95" s="239" t="s">
        <v>277</v>
      </c>
      <c r="J95" s="110">
        <v>1.6999999999999999E-3</v>
      </c>
    </row>
    <row r="96" spans="4:10" ht="18" thickBot="1">
      <c r="D96" s="108">
        <v>44067</v>
      </c>
      <c r="E96" s="109">
        <v>7.3768000000000002</v>
      </c>
      <c r="F96" s="239">
        <v>7.3331999999999997</v>
      </c>
      <c r="G96" s="239">
        <v>7.3860000000000001</v>
      </c>
      <c r="H96" s="239">
        <v>7.3034999999999997</v>
      </c>
      <c r="I96" s="239" t="s">
        <v>278</v>
      </c>
      <c r="J96" s="110">
        <v>5.4999999999999997E-3</v>
      </c>
    </row>
    <row r="97" spans="4:10" ht="18" thickBot="1">
      <c r="D97" s="108">
        <v>44064</v>
      </c>
      <c r="E97" s="109">
        <v>7.3365</v>
      </c>
      <c r="F97" s="239">
        <v>7.2986000000000004</v>
      </c>
      <c r="G97" s="239">
        <v>7.3526999999999996</v>
      </c>
      <c r="H97" s="239">
        <v>7.1840000000000002</v>
      </c>
      <c r="I97" s="239" t="s">
        <v>279</v>
      </c>
      <c r="J97" s="110">
        <v>5.8999999999999999E-3</v>
      </c>
    </row>
    <row r="98" spans="4:10" ht="18" thickBot="1">
      <c r="D98" s="108">
        <v>44063</v>
      </c>
      <c r="E98" s="109">
        <v>7.2938000000000001</v>
      </c>
      <c r="F98" s="239">
        <v>7.2923</v>
      </c>
      <c r="G98" s="239">
        <v>7.3587999999999996</v>
      </c>
      <c r="H98" s="239">
        <v>7.2640000000000002</v>
      </c>
      <c r="I98" s="239" t="s">
        <v>280</v>
      </c>
      <c r="J98" s="110">
        <v>5.0000000000000001E-4</v>
      </c>
    </row>
    <row r="99" spans="4:10" ht="18" thickBot="1">
      <c r="D99" s="108">
        <v>44062</v>
      </c>
      <c r="E99" s="111">
        <v>7.2904999999999998</v>
      </c>
      <c r="F99" s="239">
        <v>7.3735999999999997</v>
      </c>
      <c r="G99" s="239">
        <v>7.3880999999999997</v>
      </c>
      <c r="H99" s="239">
        <v>7.1932999999999998</v>
      </c>
      <c r="I99" s="239" t="s">
        <v>281</v>
      </c>
      <c r="J99" s="112">
        <v>-1.0699999999999999E-2</v>
      </c>
    </row>
    <row r="100" spans="4:10" ht="18" thickBot="1">
      <c r="D100" s="108">
        <v>44061</v>
      </c>
      <c r="E100" s="111">
        <v>7.3696000000000002</v>
      </c>
      <c r="F100" s="239">
        <v>7.3838999999999997</v>
      </c>
      <c r="G100" s="239">
        <v>7.4036</v>
      </c>
      <c r="H100" s="239">
        <v>7.3354999999999997</v>
      </c>
      <c r="I100" s="239" t="s">
        <v>282</v>
      </c>
      <c r="J100" s="112">
        <v>-1.1999999999999999E-3</v>
      </c>
    </row>
    <row r="101" spans="4:10" ht="18" thickBot="1">
      <c r="D101" s="108">
        <v>44060</v>
      </c>
      <c r="E101" s="109">
        <v>7.3787000000000003</v>
      </c>
      <c r="F101" s="239">
        <v>7.375</v>
      </c>
      <c r="G101" s="239">
        <v>7.4013999999999998</v>
      </c>
      <c r="H101" s="239">
        <v>7.3559000000000001</v>
      </c>
      <c r="I101" s="239" t="s">
        <v>283</v>
      </c>
      <c r="J101" s="110">
        <v>1.6999999999999999E-3</v>
      </c>
    </row>
    <row r="102" spans="4:10" ht="18" thickBot="1">
      <c r="D102" s="108">
        <v>44057</v>
      </c>
      <c r="E102" s="109">
        <v>7.3663999999999996</v>
      </c>
      <c r="F102" s="239">
        <v>7.3383000000000003</v>
      </c>
      <c r="G102" s="239">
        <v>7.3884999999999996</v>
      </c>
      <c r="H102" s="239">
        <v>7.3291000000000004</v>
      </c>
      <c r="I102" s="239" t="s">
        <v>284</v>
      </c>
      <c r="J102" s="110">
        <v>4.1999999999999997E-3</v>
      </c>
    </row>
    <row r="103" spans="4:10" ht="18" thickBot="1">
      <c r="D103" s="108">
        <v>44056</v>
      </c>
      <c r="E103" s="109">
        <v>7.3353999999999999</v>
      </c>
      <c r="F103" s="239">
        <v>7.3327999999999998</v>
      </c>
      <c r="G103" s="239">
        <v>7.3665000000000003</v>
      </c>
      <c r="H103" s="239">
        <v>7.2655000000000003</v>
      </c>
      <c r="I103" s="239" t="s">
        <v>285</v>
      </c>
      <c r="J103" s="110">
        <v>1E-3</v>
      </c>
    </row>
    <row r="104" spans="4:10" ht="18" thickBot="1">
      <c r="D104" s="108">
        <v>44055</v>
      </c>
      <c r="E104" s="109">
        <v>7.3281999999999998</v>
      </c>
      <c r="F104" s="239">
        <v>7.2182000000000004</v>
      </c>
      <c r="G104" s="239">
        <v>7.3483999999999998</v>
      </c>
      <c r="H104" s="239">
        <v>7.1841999999999997</v>
      </c>
      <c r="I104" s="239" t="s">
        <v>286</v>
      </c>
      <c r="J104" s="110">
        <v>1.7500000000000002E-2</v>
      </c>
    </row>
    <row r="105" spans="4:10" ht="18" thickBot="1">
      <c r="D105" s="108">
        <v>44054</v>
      </c>
      <c r="E105" s="111">
        <v>7.2024999999999997</v>
      </c>
      <c r="F105" s="239">
        <v>7.3350999999999997</v>
      </c>
      <c r="G105" s="239">
        <v>7.3564999999999996</v>
      </c>
      <c r="H105" s="239">
        <v>7.1753</v>
      </c>
      <c r="I105" s="239" t="s">
        <v>287</v>
      </c>
      <c r="J105" s="112">
        <v>-1.78E-2</v>
      </c>
    </row>
    <row r="106" spans="4:10" ht="18" thickBot="1">
      <c r="D106" s="108">
        <v>44053</v>
      </c>
      <c r="E106" s="109">
        <v>7.3329000000000004</v>
      </c>
      <c r="F106" s="239">
        <v>7.2897999999999996</v>
      </c>
      <c r="G106" s="239">
        <v>7.3689</v>
      </c>
      <c r="H106" s="239">
        <v>7.2336999999999998</v>
      </c>
      <c r="I106" s="239" t="s">
        <v>288</v>
      </c>
      <c r="J106" s="110">
        <v>5.3E-3</v>
      </c>
    </row>
    <row r="107" spans="4:10" ht="18" thickBot="1">
      <c r="D107" s="108">
        <v>44050</v>
      </c>
      <c r="E107" s="109">
        <v>7.2941000000000003</v>
      </c>
      <c r="F107" s="239">
        <v>7.2396000000000003</v>
      </c>
      <c r="G107" s="239">
        <v>7.3754999999999997</v>
      </c>
      <c r="H107" s="239">
        <v>7.1085000000000003</v>
      </c>
      <c r="I107" s="239" t="s">
        <v>289</v>
      </c>
      <c r="J107" s="110">
        <v>7.6E-3</v>
      </c>
    </row>
    <row r="108" spans="4:10" ht="18" thickBot="1">
      <c r="D108" s="108">
        <v>44049</v>
      </c>
      <c r="E108" s="109">
        <v>7.2389000000000001</v>
      </c>
      <c r="F108" s="239">
        <v>7.0475000000000003</v>
      </c>
      <c r="G108" s="239">
        <v>7.3215000000000003</v>
      </c>
      <c r="H108" s="239">
        <v>7.02</v>
      </c>
      <c r="I108" s="239" t="s">
        <v>290</v>
      </c>
      <c r="J108" s="110">
        <v>2.7099999999999999E-2</v>
      </c>
    </row>
    <row r="109" spans="4:10" ht="18" thickBot="1">
      <c r="D109" s="108">
        <v>44048</v>
      </c>
      <c r="E109" s="109">
        <v>7.0476000000000001</v>
      </c>
      <c r="F109" s="239">
        <v>6.9015000000000004</v>
      </c>
      <c r="G109" s="239">
        <v>7.0895000000000001</v>
      </c>
      <c r="H109" s="239">
        <v>6.8944999999999999</v>
      </c>
      <c r="I109" s="239" t="s">
        <v>291</v>
      </c>
      <c r="J109" s="110">
        <v>2.1299999999999999E-2</v>
      </c>
    </row>
    <row r="110" spans="4:10" ht="18" thickBot="1">
      <c r="D110" s="108">
        <v>44047</v>
      </c>
      <c r="E110" s="111">
        <v>6.9008000000000003</v>
      </c>
      <c r="F110" s="239">
        <v>6.9576000000000002</v>
      </c>
      <c r="G110" s="239">
        <v>7.0342000000000002</v>
      </c>
      <c r="H110" s="239">
        <v>6.8868</v>
      </c>
      <c r="I110" s="239" t="s">
        <v>292</v>
      </c>
      <c r="J110" s="112">
        <v>-8.2000000000000007E-3</v>
      </c>
    </row>
    <row r="111" spans="4:10" ht="18" thickBot="1">
      <c r="D111" s="108">
        <v>44046</v>
      </c>
      <c r="E111" s="111">
        <v>6.9577999999999998</v>
      </c>
      <c r="F111" s="239">
        <v>6.9744999999999999</v>
      </c>
      <c r="G111" s="239">
        <v>6.9943</v>
      </c>
      <c r="H111" s="239">
        <v>6.9471999999999996</v>
      </c>
      <c r="I111" s="239" t="s">
        <v>293</v>
      </c>
      <c r="J111" s="112">
        <v>-2E-3</v>
      </c>
    </row>
    <row r="112" spans="4:10" ht="18" thickBot="1">
      <c r="D112" s="108">
        <v>44043</v>
      </c>
      <c r="E112" s="111">
        <v>6.9720000000000004</v>
      </c>
      <c r="F112" s="239">
        <v>6.9973999999999998</v>
      </c>
      <c r="G112" s="239">
        <v>7.0152999999999999</v>
      </c>
      <c r="H112" s="239">
        <v>6.9569999999999999</v>
      </c>
      <c r="I112" s="239" t="s">
        <v>294</v>
      </c>
      <c r="J112" s="112">
        <v>-3.3999999999999998E-3</v>
      </c>
    </row>
    <row r="113" spans="4:10" ht="18" thickBot="1">
      <c r="D113" s="108">
        <v>44042</v>
      </c>
      <c r="E113" s="109">
        <v>6.9954999999999998</v>
      </c>
      <c r="F113" s="239">
        <v>6.9832000000000001</v>
      </c>
      <c r="G113" s="239">
        <v>7.0151000000000003</v>
      </c>
      <c r="H113" s="239">
        <v>6.9401999999999999</v>
      </c>
      <c r="I113" s="239" t="s">
        <v>295</v>
      </c>
      <c r="J113" s="110">
        <v>1.8E-3</v>
      </c>
    </row>
    <row r="114" spans="4:10" ht="18" thickBot="1">
      <c r="D114" s="108">
        <v>44041</v>
      </c>
      <c r="E114" s="109">
        <v>6.9829999999999997</v>
      </c>
      <c r="F114" s="239">
        <v>6.9363000000000001</v>
      </c>
      <c r="G114" s="239">
        <v>7.0076000000000001</v>
      </c>
      <c r="H114" s="239">
        <v>6.9215</v>
      </c>
      <c r="I114" s="239" t="s">
        <v>296</v>
      </c>
      <c r="J114" s="110">
        <v>6.8999999999999999E-3</v>
      </c>
    </row>
    <row r="115" spans="4:10" ht="18" thickBot="1">
      <c r="D115" s="108">
        <v>44040</v>
      </c>
      <c r="E115" s="109">
        <v>6.9355000000000002</v>
      </c>
      <c r="F115" s="239">
        <v>6.8624999999999998</v>
      </c>
      <c r="G115" s="239">
        <v>6.9785000000000004</v>
      </c>
      <c r="H115" s="239">
        <v>6.8541999999999996</v>
      </c>
      <c r="I115" s="239" t="s">
        <v>297</v>
      </c>
      <c r="J115" s="110">
        <v>1.06E-2</v>
      </c>
    </row>
    <row r="116" spans="4:10" ht="18" thickBot="1">
      <c r="D116" s="108">
        <v>44039</v>
      </c>
      <c r="E116" s="109">
        <v>6.8624999999999998</v>
      </c>
      <c r="F116" s="239">
        <v>6.8468</v>
      </c>
      <c r="G116" s="239">
        <v>6.9654999999999996</v>
      </c>
      <c r="H116" s="239">
        <v>6.8354999999999997</v>
      </c>
      <c r="I116" s="239" t="s">
        <v>298</v>
      </c>
      <c r="J116" s="110">
        <v>2.0999999999999999E-3</v>
      </c>
    </row>
    <row r="117" spans="4:10" ht="18" thickBot="1">
      <c r="D117" s="108">
        <v>44036</v>
      </c>
      <c r="E117" s="109">
        <v>6.8483999999999998</v>
      </c>
      <c r="F117" s="239">
        <v>6.8433000000000002</v>
      </c>
      <c r="G117" s="239">
        <v>6.8547000000000002</v>
      </c>
      <c r="H117" s="239">
        <v>6.8310000000000004</v>
      </c>
      <c r="I117" s="239" t="s">
        <v>299</v>
      </c>
      <c r="J117" s="110">
        <v>6.9999999999999999E-4</v>
      </c>
    </row>
    <row r="118" spans="4:10" ht="18" thickBot="1">
      <c r="D118" s="108">
        <v>44035</v>
      </c>
      <c r="E118" s="111">
        <v>6.8438999999999997</v>
      </c>
      <c r="F118" s="239">
        <v>6.851</v>
      </c>
      <c r="G118" s="239">
        <v>6.8548</v>
      </c>
      <c r="H118" s="239">
        <v>6.8250000000000002</v>
      </c>
      <c r="I118" s="239" t="s">
        <v>300</v>
      </c>
      <c r="J118" s="112">
        <v>-1E-3</v>
      </c>
    </row>
    <row r="119" spans="4:10" ht="18" thickBot="1">
      <c r="D119" s="108">
        <v>44034</v>
      </c>
      <c r="E119" s="109">
        <v>6.8506</v>
      </c>
      <c r="F119" s="239">
        <v>6.8247</v>
      </c>
      <c r="G119" s="239">
        <v>6.8569000000000004</v>
      </c>
      <c r="H119" s="239">
        <v>6.8185000000000002</v>
      </c>
      <c r="I119" s="239" t="s">
        <v>301</v>
      </c>
      <c r="J119" s="110">
        <v>3.7000000000000002E-3</v>
      </c>
    </row>
    <row r="120" spans="4:10" ht="18" thickBot="1">
      <c r="D120" s="108">
        <v>44033</v>
      </c>
      <c r="E120" s="111">
        <v>6.8254000000000001</v>
      </c>
      <c r="F120" s="239">
        <v>6.8577000000000004</v>
      </c>
      <c r="G120" s="239">
        <v>6.8670999999999998</v>
      </c>
      <c r="H120" s="239">
        <v>6.8164999999999996</v>
      </c>
      <c r="I120" s="239" t="s">
        <v>302</v>
      </c>
      <c r="J120" s="112">
        <v>-4.7000000000000002E-3</v>
      </c>
    </row>
    <row r="121" spans="4:10" ht="18" thickBot="1">
      <c r="D121" s="108">
        <v>44032</v>
      </c>
      <c r="E121" s="111">
        <v>6.8578000000000001</v>
      </c>
      <c r="F121" s="239">
        <v>6.8586</v>
      </c>
      <c r="G121" s="239">
        <v>6.8688000000000002</v>
      </c>
      <c r="H121" s="239">
        <v>6.8445</v>
      </c>
      <c r="I121" s="239" t="s">
        <v>303</v>
      </c>
      <c r="J121" s="112">
        <v>-1E-4</v>
      </c>
    </row>
    <row r="122" spans="4:10" ht="18" thickBot="1">
      <c r="D122" s="108">
        <v>44029</v>
      </c>
      <c r="E122" s="109">
        <v>6.8586999999999998</v>
      </c>
      <c r="F122" s="239">
        <v>6.8573000000000004</v>
      </c>
      <c r="G122" s="239">
        <v>6.8776000000000002</v>
      </c>
      <c r="H122" s="239">
        <v>6.8436000000000003</v>
      </c>
      <c r="I122" s="239" t="s">
        <v>304</v>
      </c>
      <c r="J122" s="110">
        <v>2.0000000000000001E-4</v>
      </c>
    </row>
    <row r="123" spans="4:10" ht="18" thickBot="1">
      <c r="D123" s="108">
        <v>44028</v>
      </c>
      <c r="E123" s="109">
        <v>6.8571999999999997</v>
      </c>
      <c r="F123" s="239">
        <v>6.8558000000000003</v>
      </c>
      <c r="G123" s="239">
        <v>6.8659999999999997</v>
      </c>
      <c r="H123" s="239">
        <v>6.8460000000000001</v>
      </c>
      <c r="I123" s="239" t="s">
        <v>305</v>
      </c>
      <c r="J123" s="110">
        <v>2.0000000000000001E-4</v>
      </c>
    </row>
    <row r="124" spans="4:10" ht="18" thickBot="1">
      <c r="D124" s="108">
        <v>44027</v>
      </c>
      <c r="E124" s="111">
        <v>6.8558000000000003</v>
      </c>
      <c r="F124" s="239">
        <v>6.8639000000000001</v>
      </c>
      <c r="G124" s="239">
        <v>6.8704999999999998</v>
      </c>
      <c r="H124" s="239">
        <v>6.851</v>
      </c>
      <c r="I124" s="239" t="s">
        <v>306</v>
      </c>
      <c r="J124" s="112">
        <v>-1.1999999999999999E-3</v>
      </c>
    </row>
    <row r="125" spans="4:10" ht="18" thickBot="1">
      <c r="D125" s="108">
        <v>44026</v>
      </c>
      <c r="E125" s="109">
        <v>6.8642000000000003</v>
      </c>
      <c r="F125" s="239">
        <v>6.8601999999999999</v>
      </c>
      <c r="G125" s="239">
        <v>6.8720999999999997</v>
      </c>
      <c r="H125" s="239">
        <v>6.8522999999999996</v>
      </c>
      <c r="I125" s="239" t="s">
        <v>307</v>
      </c>
      <c r="J125" s="110">
        <v>5.9999999999999995E-4</v>
      </c>
    </row>
    <row r="126" spans="4:10" ht="18" thickBot="1">
      <c r="D126" s="108">
        <v>44025</v>
      </c>
      <c r="E126" s="111">
        <v>6.8601999999999999</v>
      </c>
      <c r="F126" s="239">
        <v>6.8677000000000001</v>
      </c>
      <c r="G126" s="239">
        <v>6.8760000000000003</v>
      </c>
      <c r="H126" s="239">
        <v>6.8422000000000001</v>
      </c>
      <c r="I126" s="239" t="s">
        <v>308</v>
      </c>
      <c r="J126" s="112">
        <v>-8.0000000000000004E-4</v>
      </c>
    </row>
    <row r="127" spans="4:10" ht="18" thickBot="1">
      <c r="D127" s="108">
        <v>44022</v>
      </c>
      <c r="E127" s="109">
        <v>6.8658000000000001</v>
      </c>
      <c r="F127" s="239">
        <v>6.8617999999999997</v>
      </c>
      <c r="G127" s="239">
        <v>6.8723999999999998</v>
      </c>
      <c r="H127" s="239">
        <v>6.8503999999999996</v>
      </c>
      <c r="I127" s="239" t="s">
        <v>309</v>
      </c>
      <c r="J127" s="110">
        <v>5.9999999999999995E-4</v>
      </c>
    </row>
    <row r="128" spans="4:10" ht="18" thickBot="1">
      <c r="D128" s="108">
        <v>44021</v>
      </c>
      <c r="E128" s="109">
        <v>6.8619000000000003</v>
      </c>
      <c r="F128" s="239">
        <v>6.8605</v>
      </c>
      <c r="G128" s="239">
        <v>6.8693</v>
      </c>
      <c r="H128" s="239">
        <v>6.8478000000000003</v>
      </c>
      <c r="I128" s="239" t="s">
        <v>310</v>
      </c>
      <c r="J128" s="110">
        <v>2.0000000000000001E-4</v>
      </c>
    </row>
    <row r="129" spans="4:10" ht="18" thickBot="1">
      <c r="D129" s="108">
        <v>44020</v>
      </c>
      <c r="E129" s="109">
        <v>6.8605</v>
      </c>
      <c r="F129" s="239">
        <v>6.8594999999999997</v>
      </c>
      <c r="G129" s="239">
        <v>6.8689</v>
      </c>
      <c r="H129" s="239">
        <v>6.8456999999999999</v>
      </c>
      <c r="I129" s="239" t="s">
        <v>311</v>
      </c>
      <c r="J129" s="110">
        <v>1E-4</v>
      </c>
    </row>
    <row r="130" spans="4:10" ht="18" thickBot="1">
      <c r="D130" s="108">
        <v>44019</v>
      </c>
      <c r="E130" s="111">
        <v>6.8594999999999997</v>
      </c>
      <c r="F130" s="239">
        <v>6.8605</v>
      </c>
      <c r="G130" s="239">
        <v>6.8705999999999996</v>
      </c>
      <c r="H130" s="239">
        <v>6.8452999999999999</v>
      </c>
      <c r="I130" s="239" t="s">
        <v>312</v>
      </c>
      <c r="J130" s="112">
        <v>-2.0000000000000001E-4</v>
      </c>
    </row>
    <row r="131" spans="4:10" ht="18" thickBot="1">
      <c r="D131" s="108">
        <v>44018</v>
      </c>
      <c r="E131" s="111">
        <v>6.8609</v>
      </c>
      <c r="F131" s="239">
        <v>6.8617999999999997</v>
      </c>
      <c r="G131" s="239">
        <v>6.8742999999999999</v>
      </c>
      <c r="H131" s="239">
        <v>6.8358999999999996</v>
      </c>
      <c r="I131" s="239" t="s">
        <v>313</v>
      </c>
      <c r="J131" s="112">
        <v>-2.0000000000000001E-4</v>
      </c>
    </row>
    <row r="132" spans="4:10" ht="18" thickBot="1">
      <c r="D132" s="108">
        <v>44015</v>
      </c>
      <c r="E132" s="109">
        <v>6.8623000000000003</v>
      </c>
      <c r="F132" s="239">
        <v>6.8509000000000002</v>
      </c>
      <c r="G132" s="239">
        <v>6.9898999999999996</v>
      </c>
      <c r="H132" s="239">
        <v>6.8403999999999998</v>
      </c>
      <c r="I132" s="239" t="s">
        <v>314</v>
      </c>
      <c r="J132" s="110">
        <v>1.6999999999999999E-3</v>
      </c>
    </row>
    <row r="133" spans="4:10" ht="18" thickBot="1">
      <c r="D133" s="108">
        <v>44014</v>
      </c>
      <c r="E133" s="109">
        <v>6.851</v>
      </c>
      <c r="F133" s="239">
        <v>6.8479999999999999</v>
      </c>
      <c r="G133" s="239">
        <v>6.8590999999999998</v>
      </c>
      <c r="H133" s="239">
        <v>6.8365</v>
      </c>
      <c r="I133" s="239" t="s">
        <v>315</v>
      </c>
      <c r="J133" s="110">
        <v>5.0000000000000001E-4</v>
      </c>
    </row>
    <row r="134" spans="4:10" ht="18" thickBot="1">
      <c r="D134" s="108">
        <v>44013</v>
      </c>
      <c r="E134" s="111">
        <v>6.8479000000000001</v>
      </c>
      <c r="F134" s="239">
        <v>6.8533999999999997</v>
      </c>
      <c r="G134" s="239">
        <v>6.8597999999999999</v>
      </c>
      <c r="H134" s="239">
        <v>6.8384999999999998</v>
      </c>
      <c r="I134" s="239" t="s">
        <v>316</v>
      </c>
      <c r="J134" s="112">
        <v>-6.9999999999999999E-4</v>
      </c>
    </row>
    <row r="135" spans="4:10" ht="18" thickBot="1">
      <c r="D135" s="108">
        <v>44012</v>
      </c>
      <c r="E135" s="111">
        <v>6.8525</v>
      </c>
      <c r="F135" s="239">
        <v>6.8548999999999998</v>
      </c>
      <c r="G135" s="239">
        <v>6.859</v>
      </c>
      <c r="H135" s="239">
        <v>6.8385999999999996</v>
      </c>
      <c r="I135" s="239" t="s">
        <v>317</v>
      </c>
      <c r="J135" s="112">
        <v>-2.9999999999999997E-4</v>
      </c>
    </row>
    <row r="136" spans="4:10" ht="18" thickBot="1">
      <c r="D136" s="108">
        <v>44011</v>
      </c>
      <c r="E136" s="109">
        <v>6.8548</v>
      </c>
      <c r="F136" s="239">
        <v>6.8539000000000003</v>
      </c>
      <c r="G136" s="239">
        <v>6.8592000000000004</v>
      </c>
      <c r="H136" s="239">
        <v>6.8414999999999999</v>
      </c>
      <c r="I136" s="239" t="s">
        <v>318</v>
      </c>
      <c r="J136" s="110">
        <v>0</v>
      </c>
    </row>
    <row r="137" spans="4:10" ht="18" thickBot="1">
      <c r="D137" s="108">
        <v>44008</v>
      </c>
      <c r="E137" s="111">
        <v>6.8545999999999996</v>
      </c>
      <c r="F137" s="239">
        <v>6.8548</v>
      </c>
      <c r="G137" s="239">
        <v>6.8631000000000002</v>
      </c>
      <c r="H137" s="239">
        <v>6.8403</v>
      </c>
      <c r="I137" s="239" t="s">
        <v>319</v>
      </c>
      <c r="J137" s="112">
        <v>0</v>
      </c>
    </row>
    <row r="138" spans="4:10" ht="18" thickBot="1">
      <c r="D138" s="108">
        <v>44007</v>
      </c>
      <c r="E138" s="111">
        <v>6.8548999999999998</v>
      </c>
      <c r="F138" s="239">
        <v>6.8563000000000001</v>
      </c>
      <c r="G138" s="239">
        <v>6.8620000000000001</v>
      </c>
      <c r="H138" s="239">
        <v>6.8265000000000002</v>
      </c>
      <c r="I138" s="239" t="s">
        <v>320</v>
      </c>
      <c r="J138" s="112">
        <v>-1E-4</v>
      </c>
    </row>
    <row r="139" spans="4:10" ht="18" thickBot="1">
      <c r="D139" s="108">
        <v>44006</v>
      </c>
      <c r="E139" s="109">
        <v>6.8558000000000003</v>
      </c>
      <c r="F139" s="239">
        <v>6.8514999999999997</v>
      </c>
      <c r="G139" s="239">
        <v>6.8623000000000003</v>
      </c>
      <c r="H139" s="239">
        <v>6.8361999999999998</v>
      </c>
      <c r="I139" s="239" t="s">
        <v>321</v>
      </c>
      <c r="J139" s="110">
        <v>6.9999999999999999E-4</v>
      </c>
    </row>
    <row r="140" spans="4:10" ht="18" thickBot="1">
      <c r="D140" s="108">
        <v>44005</v>
      </c>
      <c r="E140" s="109">
        <v>6.8510999999999997</v>
      </c>
      <c r="F140" s="239">
        <v>6.8491</v>
      </c>
      <c r="G140" s="239">
        <v>6.8627000000000002</v>
      </c>
      <c r="H140" s="239">
        <v>6.8334999999999999</v>
      </c>
      <c r="I140" s="239" t="s">
        <v>322</v>
      </c>
      <c r="J140" s="110">
        <v>4.0000000000000002E-4</v>
      </c>
    </row>
    <row r="141" spans="4:10" ht="18" thickBot="1">
      <c r="D141" s="108">
        <v>44004</v>
      </c>
      <c r="E141" s="111">
        <v>6.8483000000000001</v>
      </c>
      <c r="F141" s="239">
        <v>6.8478000000000003</v>
      </c>
      <c r="G141" s="239">
        <v>6.8611000000000004</v>
      </c>
      <c r="H141" s="239">
        <v>6.8312999999999997</v>
      </c>
      <c r="I141" s="239" t="s">
        <v>323</v>
      </c>
      <c r="J141" s="112">
        <v>-6.9999999999999999E-4</v>
      </c>
    </row>
    <row r="142" spans="4:10" ht="18" thickBot="1">
      <c r="D142" s="108">
        <v>44001</v>
      </c>
      <c r="E142" s="111">
        <v>6.8531000000000004</v>
      </c>
      <c r="F142" s="239">
        <v>6.8563000000000001</v>
      </c>
      <c r="G142" s="239">
        <v>6.8628</v>
      </c>
      <c r="H142" s="239">
        <v>6.8259999999999996</v>
      </c>
      <c r="I142" s="239" t="s">
        <v>324</v>
      </c>
      <c r="J142" s="112">
        <v>-5.0000000000000001E-4</v>
      </c>
    </row>
    <row r="143" spans="4:10" ht="18" thickBot="1">
      <c r="D143" s="108">
        <v>44000</v>
      </c>
      <c r="E143" s="109">
        <v>6.8562000000000003</v>
      </c>
      <c r="F143" s="239">
        <v>6.8448000000000002</v>
      </c>
      <c r="G143" s="239">
        <v>6.8640999999999996</v>
      </c>
      <c r="H143" s="239">
        <v>6.8292000000000002</v>
      </c>
      <c r="I143" s="239" t="s">
        <v>325</v>
      </c>
      <c r="J143" s="110">
        <v>1.6999999999999999E-3</v>
      </c>
    </row>
    <row r="144" spans="4:10" ht="18" thickBot="1">
      <c r="D144" s="108">
        <v>43999</v>
      </c>
      <c r="E144" s="109">
        <v>6.8448000000000002</v>
      </c>
      <c r="F144" s="239">
        <v>6.8441999999999998</v>
      </c>
      <c r="G144" s="239">
        <v>6.8617999999999997</v>
      </c>
      <c r="H144" s="239">
        <v>6.8253000000000004</v>
      </c>
      <c r="I144" s="239" t="s">
        <v>326</v>
      </c>
      <c r="J144" s="110">
        <v>1E-4</v>
      </c>
    </row>
    <row r="145" spans="4:10" ht="18" thickBot="1">
      <c r="D145" s="108">
        <v>43998</v>
      </c>
      <c r="E145" s="109">
        <v>6.8438999999999997</v>
      </c>
      <c r="F145" s="239">
        <v>6.8361999999999998</v>
      </c>
      <c r="G145" s="239">
        <v>6.8540000000000001</v>
      </c>
      <c r="H145" s="239">
        <v>6.8127000000000004</v>
      </c>
      <c r="I145" s="239" t="s">
        <v>327</v>
      </c>
      <c r="J145" s="110">
        <v>1.1000000000000001E-3</v>
      </c>
    </row>
    <row r="146" spans="4:10" ht="18" thickBot="1">
      <c r="D146" s="108">
        <v>43997</v>
      </c>
      <c r="E146" s="109">
        <v>6.8362999999999996</v>
      </c>
      <c r="F146" s="239">
        <v>6.8136000000000001</v>
      </c>
      <c r="G146" s="239">
        <v>6.8636999999999997</v>
      </c>
      <c r="H146" s="239">
        <v>6.8053999999999997</v>
      </c>
      <c r="I146" s="239" t="s">
        <v>328</v>
      </c>
      <c r="J146" s="110">
        <v>3.5000000000000001E-3</v>
      </c>
    </row>
    <row r="147" spans="4:10" ht="18" thickBot="1">
      <c r="D147" s="108">
        <v>43994</v>
      </c>
      <c r="E147" s="111">
        <v>6.8125999999999998</v>
      </c>
      <c r="F147" s="239">
        <v>6.8414999999999999</v>
      </c>
      <c r="G147" s="239">
        <v>6.8467000000000002</v>
      </c>
      <c r="H147" s="239">
        <v>6.7930000000000001</v>
      </c>
      <c r="I147" s="239" t="s">
        <v>329</v>
      </c>
      <c r="J147" s="112">
        <v>-4.1999999999999997E-3</v>
      </c>
    </row>
    <row r="148" spans="4:10" ht="18" thickBot="1">
      <c r="D148" s="108">
        <v>43993</v>
      </c>
      <c r="E148" s="109">
        <v>6.8414000000000001</v>
      </c>
      <c r="F148" s="239">
        <v>6.7767999999999997</v>
      </c>
      <c r="G148" s="239">
        <v>6.8571999999999997</v>
      </c>
      <c r="H148" s="239">
        <v>6.7667000000000002</v>
      </c>
      <c r="I148" s="239" t="s">
        <v>330</v>
      </c>
      <c r="J148" s="110">
        <v>9.4999999999999998E-3</v>
      </c>
    </row>
    <row r="149" spans="4:10" ht="18" thickBot="1">
      <c r="D149" s="108">
        <v>43992</v>
      </c>
      <c r="E149" s="111">
        <v>6.7767999999999997</v>
      </c>
      <c r="F149" s="239">
        <v>6.7965</v>
      </c>
      <c r="G149" s="239">
        <v>6.8029000000000002</v>
      </c>
      <c r="H149" s="239">
        <v>6.7610000000000001</v>
      </c>
      <c r="I149" s="239" t="s">
        <v>331</v>
      </c>
      <c r="J149" s="112">
        <v>-3.0000000000000001E-3</v>
      </c>
    </row>
    <row r="150" spans="4:10" ht="18" thickBot="1">
      <c r="D150" s="108">
        <v>43991</v>
      </c>
      <c r="E150" s="109">
        <v>6.7972999999999999</v>
      </c>
      <c r="F150" s="239">
        <v>6.7888000000000002</v>
      </c>
      <c r="G150" s="239">
        <v>6.8095999999999997</v>
      </c>
      <c r="H150" s="239">
        <v>6.7678000000000003</v>
      </c>
      <c r="I150" s="239" t="s">
        <v>332</v>
      </c>
      <c r="J150" s="110">
        <v>1.4E-3</v>
      </c>
    </row>
    <row r="151" spans="4:10" ht="18" thickBot="1">
      <c r="D151" s="108">
        <v>43990</v>
      </c>
      <c r="E151" s="109">
        <v>6.7876000000000003</v>
      </c>
      <c r="F151" s="239">
        <v>6.7672999999999996</v>
      </c>
      <c r="G151" s="239">
        <v>6.7968999999999999</v>
      </c>
      <c r="H151" s="239">
        <v>6.7569999999999997</v>
      </c>
      <c r="I151" s="239" t="s">
        <v>333</v>
      </c>
      <c r="J151" s="110">
        <v>2.5999999999999999E-3</v>
      </c>
    </row>
    <row r="152" spans="4:10" ht="18" thickBot="1">
      <c r="D152" s="108">
        <v>43987</v>
      </c>
      <c r="E152" s="109">
        <v>6.77</v>
      </c>
      <c r="F152" s="239">
        <v>6.7557</v>
      </c>
      <c r="G152" s="239">
        <v>6.7961999999999998</v>
      </c>
      <c r="H152" s="239">
        <v>6.7324999999999999</v>
      </c>
      <c r="I152" s="239" t="s">
        <v>334</v>
      </c>
      <c r="J152" s="110">
        <v>2.0999999999999999E-3</v>
      </c>
    </row>
    <row r="153" spans="4:10" ht="18" thickBot="1">
      <c r="D153" s="108">
        <v>43986</v>
      </c>
      <c r="E153" s="109">
        <v>6.7557999999999998</v>
      </c>
      <c r="F153" s="239">
        <v>6.7439</v>
      </c>
      <c r="G153" s="239">
        <v>6.7723000000000004</v>
      </c>
      <c r="H153" s="239">
        <v>6.7164999999999999</v>
      </c>
      <c r="I153" s="239" t="s">
        <v>335</v>
      </c>
      <c r="J153" s="110">
        <v>1.6999999999999999E-3</v>
      </c>
    </row>
    <row r="154" spans="4:10" ht="18" thickBot="1">
      <c r="D154" s="108">
        <v>43985</v>
      </c>
      <c r="E154" s="109">
        <v>6.7439999999999998</v>
      </c>
      <c r="F154" s="239">
        <v>6.7047999999999996</v>
      </c>
      <c r="G154" s="239">
        <v>6.7705000000000002</v>
      </c>
      <c r="H154" s="239">
        <v>6.6835000000000004</v>
      </c>
      <c r="I154" s="239" t="s">
        <v>336</v>
      </c>
      <c r="J154" s="110">
        <v>4.4000000000000003E-3</v>
      </c>
    </row>
    <row r="155" spans="4:10" ht="18" thickBot="1">
      <c r="D155" s="108">
        <v>43984</v>
      </c>
      <c r="E155" s="111">
        <v>6.7145000000000001</v>
      </c>
      <c r="F155" s="239">
        <v>6.8143000000000002</v>
      </c>
      <c r="G155" s="239">
        <v>6.8231999999999999</v>
      </c>
      <c r="H155" s="239">
        <v>6.6870000000000003</v>
      </c>
      <c r="I155" s="239" t="s">
        <v>337</v>
      </c>
      <c r="J155" s="112">
        <v>-1.46E-2</v>
      </c>
    </row>
    <row r="156" spans="4:10" ht="18" thickBot="1">
      <c r="D156" s="108">
        <v>43983</v>
      </c>
      <c r="E156" s="111">
        <v>6.8141999999999996</v>
      </c>
      <c r="F156" s="239">
        <v>6.8220999999999998</v>
      </c>
      <c r="G156" s="239">
        <v>6.8292999999999999</v>
      </c>
      <c r="H156" s="239">
        <v>6.7904999999999998</v>
      </c>
      <c r="I156" s="239" t="s">
        <v>287</v>
      </c>
      <c r="J156" s="112">
        <v>-8.9999999999999998E-4</v>
      </c>
    </row>
    <row r="157" spans="4:10" ht="18" thickBot="1">
      <c r="D157" s="108">
        <v>43980</v>
      </c>
      <c r="E157" s="109">
        <v>6.8201999999999998</v>
      </c>
      <c r="F157" s="239">
        <v>6.8156999999999996</v>
      </c>
      <c r="G157" s="239">
        <v>6.8437000000000001</v>
      </c>
      <c r="H157" s="239">
        <v>6.7975000000000003</v>
      </c>
      <c r="I157" s="239" t="s">
        <v>338</v>
      </c>
      <c r="J157" s="110">
        <v>8.9999999999999998E-4</v>
      </c>
    </row>
    <row r="158" spans="4:10" ht="18" thickBot="1">
      <c r="D158" s="108">
        <v>43979</v>
      </c>
      <c r="E158" s="109">
        <v>6.8137999999999996</v>
      </c>
      <c r="F158" s="239">
        <v>6.7732999999999999</v>
      </c>
      <c r="G158" s="239">
        <v>6.8244999999999996</v>
      </c>
      <c r="H158" s="239">
        <v>6.7672999999999996</v>
      </c>
      <c r="I158" s="239" t="s">
        <v>339</v>
      </c>
      <c r="J158" s="110">
        <v>5.8999999999999999E-3</v>
      </c>
    </row>
    <row r="159" spans="4:10" ht="18" thickBot="1">
      <c r="D159" s="108">
        <v>43978</v>
      </c>
      <c r="E159" s="109">
        <v>6.7739000000000003</v>
      </c>
      <c r="F159" s="239">
        <v>6.7279999999999998</v>
      </c>
      <c r="G159" s="239">
        <v>6.7862</v>
      </c>
      <c r="H159" s="239">
        <v>6.7190000000000003</v>
      </c>
      <c r="I159" s="239" t="s">
        <v>340</v>
      </c>
      <c r="J159" s="110">
        <v>6.8999999999999999E-3</v>
      </c>
    </row>
    <row r="160" spans="4:10" ht="18" thickBot="1">
      <c r="D160" s="108">
        <v>43977</v>
      </c>
      <c r="E160" s="111">
        <v>6.7275</v>
      </c>
      <c r="F160" s="239">
        <v>6.8101000000000003</v>
      </c>
      <c r="G160" s="239">
        <v>6.8215000000000003</v>
      </c>
      <c r="H160" s="239">
        <v>6.6957000000000004</v>
      </c>
      <c r="I160" s="239" t="s">
        <v>328</v>
      </c>
      <c r="J160" s="112">
        <v>-1.21E-2</v>
      </c>
    </row>
    <row r="161" spans="4:10" ht="18" thickBot="1">
      <c r="D161" s="108">
        <v>43976</v>
      </c>
      <c r="E161" s="111">
        <v>6.81</v>
      </c>
      <c r="F161" s="239">
        <v>6.8146000000000004</v>
      </c>
      <c r="G161" s="239">
        <v>6.8212999999999999</v>
      </c>
      <c r="H161" s="239">
        <v>6.7983000000000002</v>
      </c>
      <c r="I161" s="239" t="s">
        <v>341</v>
      </c>
      <c r="J161" s="112">
        <v>-6.9999999999999999E-4</v>
      </c>
    </row>
    <row r="162" spans="4:10" ht="18" thickBot="1">
      <c r="D162" s="108">
        <v>43973</v>
      </c>
      <c r="E162" s="109">
        <v>6.8147000000000002</v>
      </c>
      <c r="F162" s="239">
        <v>6.7923</v>
      </c>
      <c r="G162" s="239">
        <v>6.8315999999999999</v>
      </c>
      <c r="H162" s="239">
        <v>6.7817999999999996</v>
      </c>
      <c r="I162" s="239" t="s">
        <v>342</v>
      </c>
      <c r="J162" s="110">
        <v>3.3999999999999998E-3</v>
      </c>
    </row>
    <row r="163" spans="4:10" ht="18" thickBot="1">
      <c r="D163" s="108">
        <v>43972</v>
      </c>
      <c r="E163" s="109">
        <v>6.7915999999999999</v>
      </c>
      <c r="F163" s="239">
        <v>6.7907000000000002</v>
      </c>
      <c r="G163" s="239">
        <v>6.8188000000000004</v>
      </c>
      <c r="H163" s="239">
        <v>6.7778</v>
      </c>
      <c r="I163" s="239" t="s">
        <v>343</v>
      </c>
      <c r="J163" s="110">
        <v>1E-4</v>
      </c>
    </row>
    <row r="164" spans="4:10" ht="18" thickBot="1">
      <c r="D164" s="108">
        <v>43971</v>
      </c>
      <c r="E164" s="109">
        <v>6.7911999999999999</v>
      </c>
      <c r="F164" s="239">
        <v>6.7774999999999999</v>
      </c>
      <c r="G164" s="239">
        <v>6.8018000000000001</v>
      </c>
      <c r="H164" s="239">
        <v>6.7638999999999996</v>
      </c>
      <c r="I164" s="239" t="s">
        <v>344</v>
      </c>
      <c r="J164" s="110">
        <v>2E-3</v>
      </c>
    </row>
    <row r="165" spans="4:10" ht="18" thickBot="1">
      <c r="D165" s="108">
        <v>43970</v>
      </c>
      <c r="E165" s="111">
        <v>6.7774999999999999</v>
      </c>
      <c r="F165" s="239">
        <v>6.8849999999999998</v>
      </c>
      <c r="G165" s="239">
        <v>6.8878000000000004</v>
      </c>
      <c r="H165" s="239">
        <v>6.7535999999999996</v>
      </c>
      <c r="I165" s="239" t="s">
        <v>345</v>
      </c>
      <c r="J165" s="112">
        <v>-1.5599999999999999E-2</v>
      </c>
    </row>
    <row r="166" spans="4:10" ht="18" thickBot="1">
      <c r="D166" s="108">
        <v>43969</v>
      </c>
      <c r="E166" s="111">
        <v>6.8851000000000004</v>
      </c>
      <c r="F166" s="239">
        <v>6.8990999999999998</v>
      </c>
      <c r="G166" s="239">
        <v>6.9036</v>
      </c>
      <c r="H166" s="239">
        <v>6.8235000000000001</v>
      </c>
      <c r="I166" s="239" t="s">
        <v>346</v>
      </c>
      <c r="J166" s="112">
        <v>-2.3E-3</v>
      </c>
    </row>
    <row r="167" spans="4:10" ht="18" thickBot="1">
      <c r="D167" s="108">
        <v>43966</v>
      </c>
      <c r="E167" s="111">
        <v>6.9012000000000002</v>
      </c>
      <c r="F167" s="239">
        <v>6.9221000000000004</v>
      </c>
      <c r="G167" s="239">
        <v>6.9322999999999997</v>
      </c>
      <c r="H167" s="239">
        <v>6.8928000000000003</v>
      </c>
      <c r="I167" s="239" t="s">
        <v>347</v>
      </c>
      <c r="J167" s="112">
        <v>-3.0000000000000001E-3</v>
      </c>
    </row>
    <row r="168" spans="4:10" ht="18" thickBot="1">
      <c r="D168" s="108">
        <v>43965</v>
      </c>
      <c r="E168" s="111">
        <v>6.9219999999999997</v>
      </c>
      <c r="F168" s="239">
        <v>6.9744999999999999</v>
      </c>
      <c r="G168" s="239">
        <v>6.9867999999999997</v>
      </c>
      <c r="H168" s="239">
        <v>6.8987999999999996</v>
      </c>
      <c r="I168" s="239" t="s">
        <v>348</v>
      </c>
      <c r="J168" s="112">
        <v>-7.6E-3</v>
      </c>
    </row>
    <row r="169" spans="4:10" ht="18" thickBot="1">
      <c r="D169" s="108">
        <v>43964</v>
      </c>
      <c r="E169" s="111">
        <v>6.9748000000000001</v>
      </c>
      <c r="F169" s="239">
        <v>6.9970999999999997</v>
      </c>
      <c r="G169" s="239">
        <v>7.0004</v>
      </c>
      <c r="H169" s="239">
        <v>6.9646999999999997</v>
      </c>
      <c r="I169" s="239" t="s">
        <v>349</v>
      </c>
      <c r="J169" s="112">
        <v>-3.2000000000000002E-3</v>
      </c>
    </row>
    <row r="170" spans="4:10" ht="18" thickBot="1">
      <c r="D170" s="108">
        <v>43963</v>
      </c>
      <c r="E170" s="111">
        <v>6.9970999999999997</v>
      </c>
      <c r="F170" s="239">
        <v>7.0712999999999999</v>
      </c>
      <c r="G170" s="239">
        <v>7.0784000000000002</v>
      </c>
      <c r="H170" s="239">
        <v>6.9699</v>
      </c>
      <c r="I170" s="239" t="s">
        <v>350</v>
      </c>
      <c r="J170" s="112">
        <v>-1.12E-2</v>
      </c>
    </row>
    <row r="171" spans="4:10" ht="18" thickBot="1">
      <c r="D171" s="108">
        <v>43962</v>
      </c>
      <c r="E171" s="111">
        <v>7.0762</v>
      </c>
      <c r="F171" s="239">
        <v>7.0843999999999996</v>
      </c>
      <c r="G171" s="239">
        <v>7.1117999999999997</v>
      </c>
      <c r="H171" s="239">
        <v>7.0529999999999999</v>
      </c>
      <c r="I171" s="239" t="s">
        <v>351</v>
      </c>
      <c r="J171" s="112">
        <v>-1.1000000000000001E-3</v>
      </c>
    </row>
    <row r="172" spans="4:10" ht="18" thickBot="1">
      <c r="D172" s="108">
        <v>43959</v>
      </c>
      <c r="E172" s="111">
        <v>7.0839999999999996</v>
      </c>
      <c r="F172" s="239">
        <v>7.1195000000000004</v>
      </c>
      <c r="G172" s="239">
        <v>7.1802000000000001</v>
      </c>
      <c r="H172" s="239">
        <v>7.0575000000000001</v>
      </c>
      <c r="I172" s="239" t="s">
        <v>352</v>
      </c>
      <c r="J172" s="112">
        <v>-5.0000000000000001E-3</v>
      </c>
    </row>
    <row r="173" spans="4:10" ht="18" thickBot="1">
      <c r="D173" s="108">
        <v>43958</v>
      </c>
      <c r="E173" s="111">
        <v>7.1195000000000004</v>
      </c>
      <c r="F173" s="239">
        <v>7.1954000000000002</v>
      </c>
      <c r="G173" s="239">
        <v>7.2712000000000003</v>
      </c>
      <c r="H173" s="239">
        <v>7.0622999999999996</v>
      </c>
      <c r="I173" s="239" t="s">
        <v>353</v>
      </c>
      <c r="J173" s="112">
        <v>-1.0699999999999999E-2</v>
      </c>
    </row>
    <row r="174" spans="4:10" ht="18" thickBot="1">
      <c r="D174" s="108">
        <v>43957</v>
      </c>
      <c r="E174" s="109">
        <v>7.1967999999999996</v>
      </c>
      <c r="F174" s="239">
        <v>7.0744999999999996</v>
      </c>
      <c r="G174" s="239">
        <v>7.2115</v>
      </c>
      <c r="H174" s="239">
        <v>7.0624000000000002</v>
      </c>
      <c r="I174" s="239" t="s">
        <v>354</v>
      </c>
      <c r="J174" s="110">
        <v>1.7299999999999999E-2</v>
      </c>
    </row>
    <row r="175" spans="4:10" ht="18" thickBot="1">
      <c r="D175" s="108">
        <v>43956</v>
      </c>
      <c r="E175" s="109">
        <v>7.0746000000000002</v>
      </c>
      <c r="F175" s="239">
        <v>7.0442</v>
      </c>
      <c r="G175" s="239">
        <v>7.1037999999999997</v>
      </c>
      <c r="H175" s="239">
        <v>7.0205000000000002</v>
      </c>
      <c r="I175" s="239" t="s">
        <v>355</v>
      </c>
      <c r="J175" s="110">
        <v>4.4999999999999997E-3</v>
      </c>
    </row>
    <row r="176" spans="4:10" ht="18" thickBot="1">
      <c r="D176" s="108">
        <v>43955</v>
      </c>
      <c r="E176" s="109">
        <v>7.0430000000000001</v>
      </c>
      <c r="F176" s="239">
        <v>7.0157999999999996</v>
      </c>
      <c r="G176" s="239">
        <v>7.0552999999999999</v>
      </c>
      <c r="H176" s="239">
        <v>6.9965000000000002</v>
      </c>
      <c r="I176" s="239" t="s">
        <v>356</v>
      </c>
      <c r="J176" s="110">
        <v>4.4000000000000003E-3</v>
      </c>
    </row>
    <row r="177" spans="4:10" ht="18" thickBot="1">
      <c r="D177" s="108">
        <v>43952</v>
      </c>
      <c r="E177" s="109">
        <v>7.0119999999999996</v>
      </c>
      <c r="F177" s="239">
        <v>6.9866000000000001</v>
      </c>
      <c r="G177" s="239">
        <v>7.0441000000000003</v>
      </c>
      <c r="H177" s="239">
        <v>6.9785000000000004</v>
      </c>
      <c r="I177" s="239" t="s">
        <v>357</v>
      </c>
      <c r="J177" s="110">
        <v>3.7000000000000002E-3</v>
      </c>
    </row>
    <row r="178" spans="4:10" ht="18" thickBot="1">
      <c r="D178" s="108">
        <v>43951</v>
      </c>
      <c r="E178" s="109">
        <v>6.9863999999999997</v>
      </c>
      <c r="F178" s="239">
        <v>6.9520999999999997</v>
      </c>
      <c r="G178" s="239">
        <v>6.9962999999999997</v>
      </c>
      <c r="H178" s="239">
        <v>6.9432999999999998</v>
      </c>
      <c r="I178" s="239" t="s">
        <v>358</v>
      </c>
      <c r="J178" s="110">
        <v>4.8999999999999998E-3</v>
      </c>
    </row>
    <row r="179" spans="4:10" ht="18" thickBot="1">
      <c r="D179" s="108">
        <v>43950</v>
      </c>
      <c r="E179" s="111">
        <v>6.952</v>
      </c>
      <c r="F179" s="239">
        <v>6.9867999999999997</v>
      </c>
      <c r="G179" s="239">
        <v>6.9960000000000004</v>
      </c>
      <c r="H179" s="239">
        <v>6.9432999999999998</v>
      </c>
      <c r="I179" s="239" t="s">
        <v>359</v>
      </c>
      <c r="J179" s="112">
        <v>-5.0000000000000001E-3</v>
      </c>
    </row>
    <row r="180" spans="4:10" ht="18" thickBot="1">
      <c r="D180" s="108">
        <v>43949</v>
      </c>
      <c r="E180" s="109">
        <v>6.9867999999999997</v>
      </c>
      <c r="F180" s="239">
        <v>6.9862000000000002</v>
      </c>
      <c r="G180" s="239">
        <v>7.0050999999999997</v>
      </c>
      <c r="H180" s="239">
        <v>6.9787999999999997</v>
      </c>
      <c r="I180" s="239" t="s">
        <v>360</v>
      </c>
      <c r="J180" s="110">
        <v>1E-4</v>
      </c>
    </row>
    <row r="181" spans="4:10" ht="18" thickBot="1">
      <c r="D181" s="108">
        <v>43948</v>
      </c>
      <c r="E181" s="109">
        <v>6.9861000000000004</v>
      </c>
      <c r="F181" s="239">
        <v>6.9706999999999999</v>
      </c>
      <c r="G181" s="239">
        <v>6.9973000000000001</v>
      </c>
      <c r="H181" s="239">
        <v>6.9450000000000003</v>
      </c>
      <c r="I181" s="239" t="s">
        <v>361</v>
      </c>
      <c r="J181" s="110">
        <v>1.6999999999999999E-3</v>
      </c>
    </row>
    <row r="182" spans="4:10" ht="18" thickBot="1">
      <c r="D182" s="108">
        <v>43945</v>
      </c>
      <c r="E182" s="109">
        <v>6.9741999999999997</v>
      </c>
      <c r="F182" s="239">
        <v>6.9394999999999998</v>
      </c>
      <c r="G182" s="239">
        <v>6.9969999999999999</v>
      </c>
      <c r="H182" s="239">
        <v>6.9394999999999998</v>
      </c>
      <c r="I182" s="239" t="s">
        <v>362</v>
      </c>
      <c r="J182" s="110">
        <v>4.0000000000000001E-3</v>
      </c>
    </row>
    <row r="183" spans="4:10" ht="18" thickBot="1">
      <c r="D183" s="108">
        <v>43944</v>
      </c>
      <c r="E183" s="111">
        <v>6.9462000000000002</v>
      </c>
      <c r="F183" s="239">
        <v>6.9797000000000002</v>
      </c>
      <c r="G183" s="239">
        <v>7.0004999999999997</v>
      </c>
      <c r="H183" s="239">
        <v>6.9226000000000001</v>
      </c>
      <c r="I183" s="239" t="s">
        <v>363</v>
      </c>
      <c r="J183" s="112">
        <v>-4.7000000000000002E-3</v>
      </c>
    </row>
    <row r="184" spans="4:10" ht="18" thickBot="1">
      <c r="D184" s="108">
        <v>43943</v>
      </c>
      <c r="E184" s="111">
        <v>6.9786999999999999</v>
      </c>
      <c r="F184" s="239">
        <v>6.9812000000000003</v>
      </c>
      <c r="G184" s="239">
        <v>7.0096999999999996</v>
      </c>
      <c r="H184" s="239">
        <v>6.9516</v>
      </c>
      <c r="I184" s="239" t="s">
        <v>364</v>
      </c>
      <c r="J184" s="112">
        <v>-4.0000000000000002E-4</v>
      </c>
    </row>
    <row r="185" spans="4:10" ht="18" thickBot="1">
      <c r="D185" s="108">
        <v>43942</v>
      </c>
      <c r="E185" s="109">
        <v>6.9812000000000003</v>
      </c>
      <c r="F185" s="239">
        <v>6.9394</v>
      </c>
      <c r="G185" s="239">
        <v>7.0007999999999999</v>
      </c>
      <c r="H185" s="239">
        <v>6.9345999999999997</v>
      </c>
      <c r="I185" s="239" t="s">
        <v>365</v>
      </c>
      <c r="J185" s="110">
        <v>5.8999999999999999E-3</v>
      </c>
    </row>
    <row r="186" spans="4:10" ht="18" thickBot="1">
      <c r="D186" s="108">
        <v>43941</v>
      </c>
      <c r="E186" s="109">
        <v>6.9401999999999999</v>
      </c>
      <c r="F186" s="239">
        <v>6.9314</v>
      </c>
      <c r="G186" s="239">
        <v>6.9574999999999996</v>
      </c>
      <c r="H186" s="239">
        <v>6.8714000000000004</v>
      </c>
      <c r="I186" s="239" t="s">
        <v>366</v>
      </c>
      <c r="J186" s="110">
        <v>1.1999999999999999E-3</v>
      </c>
    </row>
    <row r="187" spans="4:10" ht="18" thickBot="1">
      <c r="D187" s="108">
        <v>43938</v>
      </c>
      <c r="E187" s="111">
        <v>6.9317000000000002</v>
      </c>
      <c r="F187" s="239">
        <v>6.9397000000000002</v>
      </c>
      <c r="G187" s="239">
        <v>6.9584000000000001</v>
      </c>
      <c r="H187" s="239">
        <v>6.8253000000000004</v>
      </c>
      <c r="I187" s="239" t="s">
        <v>367</v>
      </c>
      <c r="J187" s="112">
        <v>-1.1000000000000001E-3</v>
      </c>
    </row>
    <row r="188" spans="4:10" ht="18" thickBot="1">
      <c r="D188" s="108">
        <v>43937</v>
      </c>
      <c r="E188" s="109">
        <v>6.9397000000000002</v>
      </c>
      <c r="F188" s="239">
        <v>6.9118000000000004</v>
      </c>
      <c r="G188" s="239">
        <v>6.9604999999999997</v>
      </c>
      <c r="H188" s="239">
        <v>6.8860000000000001</v>
      </c>
      <c r="I188" s="239" t="s">
        <v>368</v>
      </c>
      <c r="J188" s="110">
        <v>4.0000000000000001E-3</v>
      </c>
    </row>
    <row r="189" spans="4:10" ht="18" thickBot="1">
      <c r="D189" s="108">
        <v>43936</v>
      </c>
      <c r="E189" s="109">
        <v>6.9118000000000004</v>
      </c>
      <c r="F189" s="239">
        <v>6.8152999999999997</v>
      </c>
      <c r="G189" s="239">
        <v>6.9283000000000001</v>
      </c>
      <c r="H189" s="239">
        <v>6.8127000000000004</v>
      </c>
      <c r="I189" s="239" t="s">
        <v>369</v>
      </c>
      <c r="J189" s="110">
        <v>1.41E-2</v>
      </c>
    </row>
    <row r="190" spans="4:10" ht="18" thickBot="1">
      <c r="D190" s="108">
        <v>43935</v>
      </c>
      <c r="E190" s="109">
        <v>6.8155000000000001</v>
      </c>
      <c r="F190" s="239">
        <v>6.7723000000000004</v>
      </c>
      <c r="G190" s="239">
        <v>6.8255999999999997</v>
      </c>
      <c r="H190" s="239">
        <v>6.7603</v>
      </c>
      <c r="I190" s="239" t="s">
        <v>370</v>
      </c>
      <c r="J190" s="110">
        <v>6.4000000000000003E-3</v>
      </c>
    </row>
    <row r="191" spans="4:10" ht="18" thickBot="1">
      <c r="D191" s="108">
        <v>43934</v>
      </c>
      <c r="E191" s="109">
        <v>6.7721</v>
      </c>
      <c r="F191" s="239">
        <v>6.7032999999999996</v>
      </c>
      <c r="G191" s="239">
        <v>6.8018000000000001</v>
      </c>
      <c r="H191" s="239">
        <v>6.7008999999999999</v>
      </c>
      <c r="I191" s="239" t="s">
        <v>371</v>
      </c>
      <c r="J191" s="110">
        <v>1.0699999999999999E-2</v>
      </c>
    </row>
    <row r="192" spans="4:10" ht="18" thickBot="1">
      <c r="D192" s="108">
        <v>43931</v>
      </c>
      <c r="E192" s="109">
        <v>6.7000999999999999</v>
      </c>
      <c r="F192" s="239">
        <v>6.6745999999999999</v>
      </c>
      <c r="G192" s="239">
        <v>6.7298</v>
      </c>
      <c r="H192" s="239">
        <v>6.6589999999999998</v>
      </c>
      <c r="I192" s="239" t="s">
        <v>372</v>
      </c>
      <c r="J192" s="110">
        <v>3.8E-3</v>
      </c>
    </row>
    <row r="193" spans="4:10" ht="18" thickBot="1">
      <c r="D193" s="108">
        <v>43930</v>
      </c>
      <c r="E193" s="111">
        <v>6.6745999999999999</v>
      </c>
      <c r="F193" s="239">
        <v>6.7736999999999998</v>
      </c>
      <c r="G193" s="239">
        <v>6.7979000000000003</v>
      </c>
      <c r="H193" s="239">
        <v>6.6163999999999996</v>
      </c>
      <c r="I193" s="239" t="s">
        <v>373</v>
      </c>
      <c r="J193" s="112">
        <v>-1.46E-2</v>
      </c>
    </row>
    <row r="194" spans="4:10" ht="18" thickBot="1">
      <c r="D194" s="108">
        <v>43929</v>
      </c>
      <c r="E194" s="109">
        <v>6.7736999999999998</v>
      </c>
      <c r="F194" s="239">
        <v>6.7549999999999999</v>
      </c>
      <c r="G194" s="239">
        <v>6.7968000000000002</v>
      </c>
      <c r="H194" s="239">
        <v>6.7511999999999999</v>
      </c>
      <c r="I194" s="239" t="s">
        <v>374</v>
      </c>
      <c r="J194" s="110">
        <v>2.8999999999999998E-3</v>
      </c>
    </row>
    <row r="195" spans="4:10" ht="18" thickBot="1">
      <c r="D195" s="108">
        <v>43928</v>
      </c>
      <c r="E195" s="111">
        <v>6.7539999999999996</v>
      </c>
      <c r="F195" s="239">
        <v>6.7801</v>
      </c>
      <c r="G195" s="239">
        <v>6.7895000000000003</v>
      </c>
      <c r="H195" s="239">
        <v>6.6927000000000003</v>
      </c>
      <c r="I195" s="239" t="s">
        <v>375</v>
      </c>
      <c r="J195" s="112">
        <v>-4.1000000000000003E-3</v>
      </c>
    </row>
    <row r="196" spans="4:10" ht="18" thickBot="1">
      <c r="D196" s="108">
        <v>43927</v>
      </c>
      <c r="E196" s="109">
        <v>6.7815000000000003</v>
      </c>
      <c r="F196" s="239">
        <v>6.7290999999999999</v>
      </c>
      <c r="G196" s="239">
        <v>6.7950999999999997</v>
      </c>
      <c r="H196" s="239">
        <v>6.7074999999999996</v>
      </c>
      <c r="I196" s="239" t="s">
        <v>376</v>
      </c>
      <c r="J196" s="110">
        <v>7.4999999999999997E-3</v>
      </c>
    </row>
    <row r="197" spans="4:10" ht="18" thickBot="1">
      <c r="D197" s="108">
        <v>43924</v>
      </c>
      <c r="E197" s="109">
        <v>6.7309999999999999</v>
      </c>
      <c r="F197" s="239">
        <v>6.6136999999999997</v>
      </c>
      <c r="G197" s="239">
        <v>6.7516999999999996</v>
      </c>
      <c r="H197" s="239">
        <v>6.6082999999999998</v>
      </c>
      <c r="I197" s="239" t="s">
        <v>377</v>
      </c>
      <c r="J197" s="110">
        <v>1.7500000000000002E-2</v>
      </c>
    </row>
    <row r="198" spans="4:10" ht="18" thickBot="1">
      <c r="D198" s="108">
        <v>43923</v>
      </c>
      <c r="E198" s="111">
        <v>6.6153000000000004</v>
      </c>
      <c r="F198" s="239">
        <v>6.7023999999999999</v>
      </c>
      <c r="G198" s="239">
        <v>6.7205000000000004</v>
      </c>
      <c r="H198" s="239">
        <v>6.5891000000000002</v>
      </c>
      <c r="I198" s="239" t="s">
        <v>378</v>
      </c>
      <c r="J198" s="112">
        <v>-1.3100000000000001E-2</v>
      </c>
    </row>
    <row r="199" spans="4:10" ht="18" thickBot="1">
      <c r="D199" s="108">
        <v>43922</v>
      </c>
      <c r="E199" s="109">
        <v>6.7030000000000003</v>
      </c>
      <c r="F199" s="239">
        <v>6.6148999999999996</v>
      </c>
      <c r="G199" s="239">
        <v>6.7140000000000004</v>
      </c>
      <c r="H199" s="239">
        <v>6.6086999999999998</v>
      </c>
      <c r="I199" s="239" t="s">
        <v>379</v>
      </c>
      <c r="J199" s="110">
        <v>1.34E-2</v>
      </c>
    </row>
    <row r="200" spans="4:10" ht="18" thickBot="1">
      <c r="D200" s="108">
        <v>43921</v>
      </c>
      <c r="E200" s="109">
        <v>6.6143000000000001</v>
      </c>
      <c r="F200" s="239">
        <v>6.5763999999999996</v>
      </c>
      <c r="G200" s="239">
        <v>6.6272000000000002</v>
      </c>
      <c r="H200" s="239">
        <v>6.5490000000000004</v>
      </c>
      <c r="I200" s="239" t="s">
        <v>380</v>
      </c>
      <c r="J200" s="110">
        <v>5.5999999999999999E-3</v>
      </c>
    </row>
    <row r="201" spans="4:10" ht="18" thickBot="1">
      <c r="D201" s="108">
        <v>43920</v>
      </c>
      <c r="E201" s="109">
        <v>6.5773000000000001</v>
      </c>
      <c r="F201" s="239">
        <v>6.4549000000000003</v>
      </c>
      <c r="G201" s="239">
        <v>6.5974000000000004</v>
      </c>
      <c r="H201" s="239">
        <v>6.4432999999999998</v>
      </c>
      <c r="I201" s="239" t="s">
        <v>381</v>
      </c>
      <c r="J201" s="110">
        <v>1.89E-2</v>
      </c>
    </row>
    <row r="202" spans="4:10" ht="18" thickBot="1">
      <c r="D202" s="108">
        <v>43917</v>
      </c>
      <c r="E202" s="109">
        <v>6.4550000000000001</v>
      </c>
      <c r="F202" s="239">
        <v>6.3982000000000001</v>
      </c>
      <c r="G202" s="239">
        <v>6.4763999999999999</v>
      </c>
      <c r="H202" s="239">
        <v>6.3884999999999996</v>
      </c>
      <c r="I202" s="239" t="s">
        <v>382</v>
      </c>
      <c r="J202" s="110">
        <v>8.8999999999999999E-3</v>
      </c>
    </row>
    <row r="203" spans="4:10" ht="18" thickBot="1">
      <c r="D203" s="108">
        <v>43916</v>
      </c>
      <c r="E203" s="111">
        <v>6.3978999999999999</v>
      </c>
      <c r="F203" s="239">
        <v>6.4169</v>
      </c>
      <c r="G203" s="239">
        <v>6.5117000000000003</v>
      </c>
      <c r="H203" s="239">
        <v>6.3792999999999997</v>
      </c>
      <c r="I203" s="239" t="s">
        <v>383</v>
      </c>
      <c r="J203" s="112">
        <v>-3.0000000000000001E-3</v>
      </c>
    </row>
    <row r="204" spans="4:10" ht="18" thickBot="1">
      <c r="D204" s="108">
        <v>43915</v>
      </c>
      <c r="E204" s="111">
        <v>6.4169999999999998</v>
      </c>
      <c r="F204" s="239">
        <v>6.4204999999999997</v>
      </c>
      <c r="G204" s="239">
        <v>6.4772999999999996</v>
      </c>
      <c r="H204" s="239">
        <v>6.3773</v>
      </c>
      <c r="I204" s="239" t="s">
        <v>384</v>
      </c>
      <c r="J204" s="112">
        <v>-5.0000000000000001E-4</v>
      </c>
    </row>
    <row r="205" spans="4:10" ht="18" thickBot="1">
      <c r="D205" s="108">
        <v>43914</v>
      </c>
      <c r="E205" s="111">
        <v>6.4203000000000001</v>
      </c>
      <c r="F205" s="239">
        <v>6.5605000000000002</v>
      </c>
      <c r="G205" s="239">
        <v>6.5739999999999998</v>
      </c>
      <c r="H205" s="239">
        <v>6.3917000000000002</v>
      </c>
      <c r="I205" s="239" t="s">
        <v>385</v>
      </c>
      <c r="J205" s="112">
        <v>-2.1600000000000001E-2</v>
      </c>
    </row>
    <row r="206" spans="4:10" ht="18" thickBot="1">
      <c r="D206" s="108">
        <v>43913</v>
      </c>
      <c r="E206" s="109">
        <v>6.5617000000000001</v>
      </c>
      <c r="F206" s="239">
        <v>6.5528000000000004</v>
      </c>
      <c r="G206" s="239">
        <v>6.6185</v>
      </c>
      <c r="H206" s="239">
        <v>6.5403000000000002</v>
      </c>
      <c r="I206" s="239" t="s">
        <v>386</v>
      </c>
      <c r="J206" s="110">
        <v>1.4E-3</v>
      </c>
    </row>
    <row r="207" spans="4:10" ht="18" thickBot="1">
      <c r="D207" s="108">
        <v>43910</v>
      </c>
      <c r="E207" s="109">
        <v>6.5525000000000002</v>
      </c>
      <c r="F207" s="239">
        <v>6.5438000000000001</v>
      </c>
      <c r="G207" s="239">
        <v>6.5664999999999996</v>
      </c>
      <c r="H207" s="239">
        <v>6.4547999999999996</v>
      </c>
      <c r="I207" s="239" t="s">
        <v>387</v>
      </c>
      <c r="J207" s="110">
        <v>1.2999999999999999E-3</v>
      </c>
    </row>
    <row r="208" spans="4:10" ht="18" thickBot="1">
      <c r="D208" s="108">
        <v>43909</v>
      </c>
      <c r="E208" s="109">
        <v>6.5438999999999998</v>
      </c>
      <c r="F208" s="239">
        <v>6.484</v>
      </c>
      <c r="G208" s="239">
        <v>6.5582000000000003</v>
      </c>
      <c r="H208" s="239">
        <v>6.4653</v>
      </c>
      <c r="I208" s="239" t="s">
        <v>388</v>
      </c>
      <c r="J208" s="110">
        <v>1.06E-2</v>
      </c>
    </row>
    <row r="209" spans="4:10" ht="18" thickBot="1">
      <c r="D209" s="108">
        <v>43908</v>
      </c>
      <c r="E209" s="109">
        <v>6.4752000000000001</v>
      </c>
      <c r="F209" s="239">
        <v>6.4009999999999998</v>
      </c>
      <c r="G209" s="239">
        <v>6.4945000000000004</v>
      </c>
      <c r="H209" s="239">
        <v>6.3994999999999997</v>
      </c>
      <c r="I209" s="239" t="s">
        <v>389</v>
      </c>
      <c r="J209" s="110">
        <v>1.2200000000000001E-2</v>
      </c>
    </row>
    <row r="210" spans="4:10" ht="18" thickBot="1">
      <c r="D210" s="108">
        <v>43907</v>
      </c>
      <c r="E210" s="111">
        <v>6.3974000000000002</v>
      </c>
      <c r="F210" s="239">
        <v>6.4313000000000002</v>
      </c>
      <c r="G210" s="239">
        <v>6.4980000000000002</v>
      </c>
      <c r="H210" s="239">
        <v>6.3780000000000001</v>
      </c>
      <c r="I210" s="239" t="s">
        <v>390</v>
      </c>
      <c r="J210" s="112">
        <v>-5.3E-3</v>
      </c>
    </row>
    <row r="211" spans="4:10" ht="18" thickBot="1">
      <c r="D211" s="108">
        <v>43906</v>
      </c>
      <c r="E211" s="109">
        <v>6.4314999999999998</v>
      </c>
      <c r="F211" s="239">
        <v>6.3310000000000004</v>
      </c>
      <c r="G211" s="239">
        <v>6.4465000000000003</v>
      </c>
      <c r="H211" s="239">
        <v>6.2779999999999996</v>
      </c>
      <c r="I211" s="239" t="s">
        <v>391</v>
      </c>
      <c r="J211" s="110">
        <v>1.5699999999999999E-2</v>
      </c>
    </row>
    <row r="212" spans="4:10" ht="18" thickBot="1">
      <c r="D212" s="108">
        <v>43903</v>
      </c>
      <c r="E212" s="109">
        <v>6.3320999999999996</v>
      </c>
      <c r="F212" s="239">
        <v>6.3139000000000003</v>
      </c>
      <c r="G212" s="239">
        <v>6.3391999999999999</v>
      </c>
      <c r="H212" s="239">
        <v>6.24</v>
      </c>
      <c r="I212" s="239" t="s">
        <v>392</v>
      </c>
      <c r="J212" s="110">
        <v>2.5999999999999999E-3</v>
      </c>
    </row>
    <row r="213" spans="4:10" ht="18" thickBot="1">
      <c r="D213" s="108">
        <v>43902</v>
      </c>
      <c r="E213" s="109">
        <v>6.3159000000000001</v>
      </c>
      <c r="F213" s="239">
        <v>6.2088999999999999</v>
      </c>
      <c r="G213" s="239">
        <v>6.3209999999999997</v>
      </c>
      <c r="H213" s="239">
        <v>6.2027000000000001</v>
      </c>
      <c r="I213" s="239" t="s">
        <v>393</v>
      </c>
      <c r="J213" s="110">
        <v>1.72E-2</v>
      </c>
    </row>
    <row r="214" spans="4:10" ht="18" thickBot="1">
      <c r="D214" s="108">
        <v>43901</v>
      </c>
      <c r="E214" s="109">
        <v>6.2091000000000003</v>
      </c>
      <c r="F214" s="239">
        <v>6.1584000000000003</v>
      </c>
      <c r="G214" s="239">
        <v>6.2141000000000002</v>
      </c>
      <c r="H214" s="239">
        <v>6.1245000000000003</v>
      </c>
      <c r="I214" s="239" t="s">
        <v>394</v>
      </c>
      <c r="J214" s="110">
        <v>8.3999999999999995E-3</v>
      </c>
    </row>
    <row r="215" spans="4:10" ht="18" thickBot="1">
      <c r="D215" s="108">
        <v>43900</v>
      </c>
      <c r="E215" s="109">
        <v>6.1574999999999998</v>
      </c>
      <c r="F215" s="239">
        <v>6.1485000000000003</v>
      </c>
      <c r="G215" s="239">
        <v>6.1725000000000003</v>
      </c>
      <c r="H215" s="239">
        <v>6.0995999999999997</v>
      </c>
      <c r="I215" s="239" t="s">
        <v>395</v>
      </c>
      <c r="J215" s="110">
        <v>2.2000000000000001E-3</v>
      </c>
    </row>
    <row r="216" spans="4:10" ht="18" thickBot="1">
      <c r="D216" s="108">
        <v>43899</v>
      </c>
      <c r="E216" s="109">
        <v>6.1441999999999997</v>
      </c>
      <c r="F216" s="239">
        <v>6.0918999999999999</v>
      </c>
      <c r="G216" s="239">
        <v>6.1951000000000001</v>
      </c>
      <c r="H216" s="239">
        <v>6.0833000000000004</v>
      </c>
      <c r="I216" s="239" t="s">
        <v>396</v>
      </c>
      <c r="J216" s="110">
        <v>8.6E-3</v>
      </c>
    </row>
    <row r="217" spans="4:10" ht="18" thickBot="1">
      <c r="D217" s="108">
        <v>43896</v>
      </c>
      <c r="E217" s="111">
        <v>6.0918999999999999</v>
      </c>
      <c r="F217" s="239">
        <v>6.1097000000000001</v>
      </c>
      <c r="G217" s="239">
        <v>6.1295999999999999</v>
      </c>
      <c r="H217" s="239">
        <v>6.0644999999999998</v>
      </c>
      <c r="I217" s="239" t="s">
        <v>336</v>
      </c>
      <c r="J217" s="112">
        <v>-3.0000000000000001E-3</v>
      </c>
    </row>
    <row r="218" spans="4:10" ht="18" thickBot="1">
      <c r="D218" s="108">
        <v>43895</v>
      </c>
      <c r="E218" s="109">
        <v>6.1105</v>
      </c>
      <c r="F218" s="239">
        <v>6.0785</v>
      </c>
      <c r="G218" s="239">
        <v>6.1353999999999997</v>
      </c>
      <c r="H218" s="239">
        <v>6.0526999999999997</v>
      </c>
      <c r="I218" s="239" t="s">
        <v>397</v>
      </c>
      <c r="J218" s="110">
        <v>5.4999999999999997E-3</v>
      </c>
    </row>
    <row r="219" spans="4:10" ht="18" thickBot="1">
      <c r="D219" s="108">
        <v>43894</v>
      </c>
      <c r="E219" s="111">
        <v>6.0773000000000001</v>
      </c>
      <c r="F219" s="239">
        <v>6.1058000000000003</v>
      </c>
      <c r="G219" s="239">
        <v>6.1471999999999998</v>
      </c>
      <c r="H219" s="239">
        <v>6.0547000000000004</v>
      </c>
      <c r="I219" s="239" t="s">
        <v>398</v>
      </c>
      <c r="J219" s="112">
        <v>-4.8999999999999998E-3</v>
      </c>
    </row>
    <row r="220" spans="4:10" ht="18" thickBot="1">
      <c r="D220" s="108">
        <v>43893</v>
      </c>
      <c r="E220" s="111">
        <v>6.1070000000000002</v>
      </c>
      <c r="F220" s="239">
        <v>6.1779000000000002</v>
      </c>
      <c r="G220" s="239">
        <v>6.2248000000000001</v>
      </c>
      <c r="H220" s="239">
        <v>6.0307000000000004</v>
      </c>
      <c r="I220" s="239" t="s">
        <v>399</v>
      </c>
      <c r="J220" s="112">
        <v>-1.09E-2</v>
      </c>
    </row>
    <row r="221" spans="4:10" ht="18" thickBot="1">
      <c r="D221" s="108">
        <v>43892</v>
      </c>
      <c r="E221" s="111">
        <v>6.1742999999999997</v>
      </c>
      <c r="F221" s="239">
        <v>6.2453000000000003</v>
      </c>
      <c r="G221" s="239">
        <v>6.2614999999999998</v>
      </c>
      <c r="H221" s="239">
        <v>6.1574999999999998</v>
      </c>
      <c r="I221" s="239" t="s">
        <v>400</v>
      </c>
      <c r="J221" s="112">
        <v>-1.0999999999999999E-2</v>
      </c>
    </row>
    <row r="222" spans="4:10" ht="18" thickBot="1">
      <c r="D222" s="108">
        <v>43889</v>
      </c>
      <c r="E222" s="109">
        <v>6.2427000000000001</v>
      </c>
      <c r="F222" s="239">
        <v>6.2110000000000003</v>
      </c>
      <c r="G222" s="239">
        <v>6.2605000000000004</v>
      </c>
      <c r="H222" s="239">
        <v>6.1950000000000003</v>
      </c>
      <c r="I222" s="239" t="s">
        <v>401</v>
      </c>
      <c r="J222" s="110">
        <v>5.5999999999999999E-3</v>
      </c>
    </row>
    <row r="223" spans="4:10" ht="18" thickBot="1">
      <c r="D223" s="108">
        <v>43888</v>
      </c>
      <c r="E223" s="109">
        <v>6.2077999999999998</v>
      </c>
      <c r="F223" s="239">
        <v>6.157</v>
      </c>
      <c r="G223" s="239">
        <v>6.2115</v>
      </c>
      <c r="H223" s="239">
        <v>6.1452</v>
      </c>
      <c r="I223" s="239" t="s">
        <v>402</v>
      </c>
      <c r="J223" s="110">
        <v>7.9000000000000008E-3</v>
      </c>
    </row>
    <row r="224" spans="4:10" ht="18" thickBot="1">
      <c r="D224" s="108">
        <v>43887</v>
      </c>
      <c r="E224" s="109">
        <v>6.1589999999999998</v>
      </c>
      <c r="F224" s="239">
        <v>6.1440999999999999</v>
      </c>
      <c r="G224" s="239">
        <v>6.1673999999999998</v>
      </c>
      <c r="H224" s="239">
        <v>6.1360000000000001</v>
      </c>
      <c r="I224" s="239" t="s">
        <v>403</v>
      </c>
      <c r="J224" s="110">
        <v>2.3999999999999998E-3</v>
      </c>
    </row>
    <row r="225" spans="4:10" ht="18" thickBot="1">
      <c r="D225" s="108">
        <v>43886</v>
      </c>
      <c r="E225" s="109">
        <v>6.1440999999999999</v>
      </c>
      <c r="F225" s="239">
        <v>6.1189</v>
      </c>
      <c r="G225" s="239">
        <v>6.1612</v>
      </c>
      <c r="H225" s="239">
        <v>6.0659000000000001</v>
      </c>
      <c r="I225" s="239" t="s">
        <v>404</v>
      </c>
      <c r="J225" s="110">
        <v>4.3E-3</v>
      </c>
    </row>
    <row r="226" spans="4:10" ht="18" thickBot="1">
      <c r="D226" s="108">
        <v>43885</v>
      </c>
      <c r="E226" s="109">
        <v>6.1177000000000001</v>
      </c>
      <c r="F226" s="239">
        <v>6.0961999999999996</v>
      </c>
      <c r="G226" s="239">
        <v>6.1623999999999999</v>
      </c>
      <c r="H226" s="239">
        <v>6.0932000000000004</v>
      </c>
      <c r="I226" s="239" t="s">
        <v>405</v>
      </c>
      <c r="J226" s="110">
        <v>3.5000000000000001E-3</v>
      </c>
    </row>
    <row r="227" spans="4:10" ht="18" thickBot="1">
      <c r="D227" s="108">
        <v>43882</v>
      </c>
      <c r="E227" s="111">
        <v>6.0964</v>
      </c>
      <c r="F227" s="239">
        <v>6.1002000000000001</v>
      </c>
      <c r="G227" s="239">
        <v>6.1288999999999998</v>
      </c>
      <c r="H227" s="239">
        <v>6.0869999999999997</v>
      </c>
      <c r="I227" s="239" t="s">
        <v>406</v>
      </c>
      <c r="J227" s="112">
        <v>-6.9999999999999999E-4</v>
      </c>
    </row>
    <row r="228" spans="4:10" ht="18" thickBot="1">
      <c r="D228" s="108">
        <v>43881</v>
      </c>
      <c r="E228" s="109">
        <v>6.1003999999999996</v>
      </c>
      <c r="F228" s="239">
        <v>6.0824999999999996</v>
      </c>
      <c r="G228" s="239">
        <v>6.1113999999999997</v>
      </c>
      <c r="H228" s="239">
        <v>6.0759999999999996</v>
      </c>
      <c r="I228" s="239" t="s">
        <v>407</v>
      </c>
      <c r="J228" s="110">
        <v>3.0000000000000001E-3</v>
      </c>
    </row>
    <row r="229" spans="4:10" ht="18" thickBot="1">
      <c r="D229" s="108">
        <v>43880</v>
      </c>
      <c r="E229" s="109">
        <v>6.0823</v>
      </c>
      <c r="F229" s="239">
        <v>6.0629</v>
      </c>
      <c r="G229" s="239">
        <v>6.0891999999999999</v>
      </c>
      <c r="H229" s="239">
        <v>6.0446999999999997</v>
      </c>
      <c r="I229" s="239" t="s">
        <v>264</v>
      </c>
      <c r="J229" s="110">
        <v>3.0000000000000001E-3</v>
      </c>
    </row>
    <row r="230" spans="4:10" ht="18" thickBot="1">
      <c r="D230" s="108">
        <v>43879</v>
      </c>
      <c r="E230" s="109">
        <v>6.0641999999999996</v>
      </c>
      <c r="F230" s="239">
        <v>6.0454999999999997</v>
      </c>
      <c r="G230" s="239">
        <v>6.0765000000000002</v>
      </c>
      <c r="H230" s="239">
        <v>6.0410000000000004</v>
      </c>
      <c r="I230" s="239" t="s">
        <v>408</v>
      </c>
      <c r="J230" s="110">
        <v>3.2000000000000002E-3</v>
      </c>
    </row>
    <row r="231" spans="4:10" ht="18" thickBot="1">
      <c r="D231" s="108">
        <v>43878</v>
      </c>
      <c r="E231" s="111">
        <v>6.0449000000000002</v>
      </c>
      <c r="F231" s="239">
        <v>6.0541999999999998</v>
      </c>
      <c r="G231" s="239">
        <v>6.0602</v>
      </c>
      <c r="H231" s="239">
        <v>6.0331999999999999</v>
      </c>
      <c r="I231" s="239" t="s">
        <v>409</v>
      </c>
      <c r="J231" s="112">
        <v>-8.9999999999999998E-4</v>
      </c>
    </row>
    <row r="232" spans="4:10" ht="18" thickBot="1">
      <c r="D232" s="108">
        <v>43875</v>
      </c>
      <c r="E232" s="109">
        <v>6.0505000000000004</v>
      </c>
      <c r="F232" s="239">
        <v>6.0377000000000001</v>
      </c>
      <c r="G232" s="239">
        <v>6.0682999999999998</v>
      </c>
      <c r="H232" s="239">
        <v>6.0311000000000003</v>
      </c>
      <c r="I232" s="239" t="s">
        <v>410</v>
      </c>
      <c r="J232" s="110">
        <v>1.6999999999999999E-3</v>
      </c>
    </row>
    <row r="233" spans="4:10" ht="18" thickBot="1">
      <c r="D233" s="108">
        <v>43874</v>
      </c>
      <c r="E233" s="111">
        <v>6.0404999999999998</v>
      </c>
      <c r="F233" s="239">
        <v>6.048</v>
      </c>
      <c r="G233" s="239">
        <v>6.0686</v>
      </c>
      <c r="H233" s="239">
        <v>6.0353000000000003</v>
      </c>
      <c r="I233" s="239" t="s">
        <v>411</v>
      </c>
      <c r="J233" s="112">
        <v>-2.0000000000000001E-4</v>
      </c>
    </row>
    <row r="234" spans="4:10" ht="18" thickBot="1">
      <c r="D234" s="108">
        <v>43873</v>
      </c>
      <c r="E234" s="109">
        <v>6.0419999999999998</v>
      </c>
      <c r="F234" s="239">
        <v>6.0129999999999999</v>
      </c>
      <c r="G234" s="239">
        <v>6.0670000000000002</v>
      </c>
      <c r="H234" s="239">
        <v>5.9960000000000004</v>
      </c>
      <c r="I234" s="239" t="s">
        <v>412</v>
      </c>
      <c r="J234" s="110">
        <v>4.3E-3</v>
      </c>
    </row>
    <row r="235" spans="4:10" ht="18" thickBot="1">
      <c r="D235" s="108">
        <v>43872</v>
      </c>
      <c r="E235" s="109">
        <v>6.0163000000000002</v>
      </c>
      <c r="F235" s="239">
        <v>6.0098000000000003</v>
      </c>
      <c r="G235" s="239">
        <v>6.0500999999999996</v>
      </c>
      <c r="H235" s="239">
        <v>5.9984999999999999</v>
      </c>
      <c r="I235" s="239" t="s">
        <v>413</v>
      </c>
      <c r="J235" s="110">
        <v>8.9999999999999998E-4</v>
      </c>
    </row>
    <row r="236" spans="4:10" ht="18" thickBot="1">
      <c r="D236" s="108">
        <v>43871</v>
      </c>
      <c r="E236" s="111">
        <v>6.0107999999999997</v>
      </c>
      <c r="F236" s="239">
        <v>6.0164</v>
      </c>
      <c r="G236" s="239">
        <v>6.0256999999999996</v>
      </c>
      <c r="H236" s="239">
        <v>5.9720000000000004</v>
      </c>
      <c r="I236" s="239" t="s">
        <v>414</v>
      </c>
      <c r="J236" s="112">
        <v>-6.9999999999999999E-4</v>
      </c>
    </row>
    <row r="237" spans="4:10" ht="18" thickBot="1">
      <c r="D237" s="108">
        <v>43868</v>
      </c>
      <c r="E237" s="109">
        <v>6.0152999999999999</v>
      </c>
      <c r="F237" s="239">
        <v>5.9869000000000003</v>
      </c>
      <c r="G237" s="239">
        <v>6.0476000000000001</v>
      </c>
      <c r="H237" s="239">
        <v>5.9725000000000001</v>
      </c>
      <c r="I237" s="239" t="s">
        <v>415</v>
      </c>
      <c r="J237" s="110">
        <v>4.7000000000000002E-3</v>
      </c>
    </row>
    <row r="238" spans="4:10" ht="18" thickBot="1">
      <c r="D238" s="108">
        <v>43867</v>
      </c>
      <c r="E238" s="109">
        <v>5.9874000000000001</v>
      </c>
      <c r="F238" s="239">
        <v>5.9802999999999997</v>
      </c>
      <c r="G238" s="239">
        <v>5.99</v>
      </c>
      <c r="H238" s="239">
        <v>5.9725999999999999</v>
      </c>
      <c r="I238" s="239" t="s">
        <v>416</v>
      </c>
      <c r="J238" s="110">
        <v>8.0000000000000004E-4</v>
      </c>
    </row>
    <row r="239" spans="4:10" ht="18" thickBot="1">
      <c r="D239" s="108">
        <v>43866</v>
      </c>
      <c r="E239" s="109">
        <v>5.9827000000000004</v>
      </c>
      <c r="F239" s="239">
        <v>5.9820000000000002</v>
      </c>
      <c r="G239" s="239">
        <v>5.992</v>
      </c>
      <c r="H239" s="239">
        <v>5.9687999999999999</v>
      </c>
      <c r="I239" s="239" t="s">
        <v>417</v>
      </c>
      <c r="J239" s="110">
        <v>4.0000000000000002E-4</v>
      </c>
    </row>
    <row r="240" spans="4:10" ht="18" thickBot="1">
      <c r="D240" s="108">
        <v>43865</v>
      </c>
      <c r="E240" s="111">
        <v>5.9801000000000002</v>
      </c>
      <c r="F240" s="239">
        <v>5.9843000000000002</v>
      </c>
      <c r="G240" s="239">
        <v>5.9888000000000003</v>
      </c>
      <c r="H240" s="239">
        <v>5.9574999999999996</v>
      </c>
      <c r="I240" s="239" t="s">
        <v>418</v>
      </c>
      <c r="J240" s="112">
        <v>-6.9999999999999999E-4</v>
      </c>
    </row>
    <row r="241" spans="4:10" ht="18" thickBot="1">
      <c r="D241" s="108">
        <v>43864</v>
      </c>
      <c r="E241" s="109">
        <v>5.9843999999999999</v>
      </c>
      <c r="F241" s="239">
        <v>5.9828999999999999</v>
      </c>
      <c r="G241" s="239">
        <v>5.9877000000000002</v>
      </c>
      <c r="H241" s="239">
        <v>5.9729000000000001</v>
      </c>
      <c r="I241" s="239" t="s">
        <v>419</v>
      </c>
      <c r="J241" s="110">
        <v>4.0000000000000002E-4</v>
      </c>
    </row>
    <row r="242" spans="4:10" ht="18" thickBot="1">
      <c r="D242" s="108">
        <v>43861</v>
      </c>
      <c r="E242" s="109">
        <v>5.9821999999999997</v>
      </c>
      <c r="F242" s="239">
        <v>5.9726999999999997</v>
      </c>
      <c r="G242" s="239">
        <v>5.9870000000000001</v>
      </c>
      <c r="H242" s="239">
        <v>5.9638999999999998</v>
      </c>
      <c r="I242" s="239" t="s">
        <v>420</v>
      </c>
      <c r="J242" s="110">
        <v>1.6000000000000001E-3</v>
      </c>
    </row>
    <row r="243" spans="4:10" ht="18" thickBot="1">
      <c r="D243" s="108">
        <v>43860</v>
      </c>
      <c r="E243" s="109">
        <v>5.9725000000000001</v>
      </c>
      <c r="F243" s="239">
        <v>5.9617000000000004</v>
      </c>
      <c r="G243" s="239">
        <v>5.9934000000000003</v>
      </c>
      <c r="H243" s="239">
        <v>5.9562999999999997</v>
      </c>
      <c r="I243" s="239" t="s">
        <v>421</v>
      </c>
      <c r="J243" s="110">
        <v>2.7000000000000001E-3</v>
      </c>
    </row>
    <row r="244" spans="4:10" ht="18" thickBot="1">
      <c r="D244" s="108">
        <v>43859</v>
      </c>
      <c r="E244" s="109">
        <v>5.9566999999999997</v>
      </c>
      <c r="F244" s="239">
        <v>5.9409000000000001</v>
      </c>
      <c r="G244" s="239">
        <v>5.9752999999999998</v>
      </c>
      <c r="H244" s="239">
        <v>5.9326999999999996</v>
      </c>
      <c r="I244" s="239" t="s">
        <v>422</v>
      </c>
      <c r="J244" s="110">
        <v>2.8E-3</v>
      </c>
    </row>
    <row r="245" spans="4:10" ht="18" thickBot="1">
      <c r="D245" s="108">
        <v>43858</v>
      </c>
      <c r="E245" s="111">
        <v>5.9402999999999997</v>
      </c>
      <c r="F245" s="239">
        <v>5.9421999999999997</v>
      </c>
      <c r="G245" s="239">
        <v>5.9537000000000004</v>
      </c>
      <c r="H245" s="239">
        <v>5.9260000000000002</v>
      </c>
      <c r="I245" s="239" t="s">
        <v>423</v>
      </c>
      <c r="J245" s="112">
        <v>-5.9999999999999995E-4</v>
      </c>
    </row>
    <row r="246" spans="4:10" ht="18" thickBot="1">
      <c r="D246" s="108">
        <v>43857</v>
      </c>
      <c r="E246" s="109">
        <v>5.944</v>
      </c>
      <c r="F246" s="239">
        <v>5.9391999999999996</v>
      </c>
      <c r="G246" s="239">
        <v>5.9573999999999998</v>
      </c>
      <c r="H246" s="239">
        <v>5.9290000000000003</v>
      </c>
      <c r="I246" s="239" t="s">
        <v>424</v>
      </c>
      <c r="J246" s="110">
        <v>8.0000000000000004E-4</v>
      </c>
    </row>
    <row r="247" spans="4:10" ht="18" thickBot="1">
      <c r="D247" s="108">
        <v>43854</v>
      </c>
      <c r="E247" s="109">
        <v>5.9390999999999998</v>
      </c>
      <c r="F247" s="239">
        <v>5.9314</v>
      </c>
      <c r="G247" s="239">
        <v>5.9478</v>
      </c>
      <c r="H247" s="239">
        <v>5.9169999999999998</v>
      </c>
      <c r="I247" s="239" t="s">
        <v>425</v>
      </c>
      <c r="J247" s="110">
        <v>8.0000000000000004E-4</v>
      </c>
    </row>
    <row r="248" spans="4:10" ht="18" thickBot="1">
      <c r="D248" s="108">
        <v>43853</v>
      </c>
      <c r="E248" s="109">
        <v>5.9344000000000001</v>
      </c>
      <c r="F248" s="239">
        <v>5.9219999999999997</v>
      </c>
      <c r="G248" s="239">
        <v>5.9494999999999996</v>
      </c>
      <c r="H248" s="239">
        <v>5.8994</v>
      </c>
      <c r="I248" s="239" t="s">
        <v>426</v>
      </c>
      <c r="J248" s="110">
        <v>2.0999999999999999E-3</v>
      </c>
    </row>
    <row r="249" spans="4:10" ht="18" thickBot="1">
      <c r="D249" s="108">
        <v>43852</v>
      </c>
      <c r="E249" s="111">
        <v>5.9222000000000001</v>
      </c>
      <c r="F249" s="239">
        <v>5.9405000000000001</v>
      </c>
      <c r="G249" s="239">
        <v>5.9478</v>
      </c>
      <c r="H249" s="239">
        <v>5.915</v>
      </c>
      <c r="I249" s="239" t="s">
        <v>427</v>
      </c>
      <c r="J249" s="112">
        <v>-2.5999999999999999E-3</v>
      </c>
    </row>
    <row r="250" spans="4:10" ht="18" thickBot="1">
      <c r="D250" s="108">
        <v>43851</v>
      </c>
      <c r="E250" s="109">
        <v>5.9375999999999998</v>
      </c>
      <c r="F250" s="239">
        <v>5.9120999999999997</v>
      </c>
      <c r="G250" s="239">
        <v>5.9416000000000002</v>
      </c>
      <c r="H250" s="239">
        <v>5.9107000000000003</v>
      </c>
      <c r="I250" s="239" t="s">
        <v>428</v>
      </c>
      <c r="J250" s="110">
        <v>4.1000000000000003E-3</v>
      </c>
    </row>
    <row r="251" spans="4:10" ht="18" thickBot="1">
      <c r="D251" s="108">
        <v>43850</v>
      </c>
      <c r="E251" s="109">
        <v>5.9131999999999998</v>
      </c>
      <c r="F251" s="239">
        <v>5.8810000000000002</v>
      </c>
      <c r="G251" s="239">
        <v>5.9218000000000002</v>
      </c>
      <c r="H251" s="239">
        <v>5.8810000000000002</v>
      </c>
      <c r="I251" s="239" t="s">
        <v>429</v>
      </c>
      <c r="J251" s="110">
        <v>3.8E-3</v>
      </c>
    </row>
    <row r="252" spans="4:10" ht="18" thickBot="1">
      <c r="D252" s="108">
        <v>43847</v>
      </c>
      <c r="E252" s="109">
        <v>5.8907999999999996</v>
      </c>
      <c r="F252" s="239">
        <v>5.8574000000000002</v>
      </c>
      <c r="G252" s="239">
        <v>5.9105999999999996</v>
      </c>
      <c r="H252" s="239">
        <v>5.8410000000000002</v>
      </c>
      <c r="I252" s="239" t="s">
        <v>430</v>
      </c>
      <c r="J252" s="110">
        <v>5.3E-3</v>
      </c>
    </row>
    <row r="253" spans="4:10" ht="18" thickBot="1">
      <c r="D253" s="108">
        <v>43846</v>
      </c>
      <c r="E253" s="111">
        <v>5.8597000000000001</v>
      </c>
      <c r="F253" s="239">
        <v>5.8773</v>
      </c>
      <c r="G253" s="239">
        <v>5.8963000000000001</v>
      </c>
      <c r="H253" s="239">
        <v>5.835</v>
      </c>
      <c r="I253" s="239" t="s">
        <v>431</v>
      </c>
      <c r="J253" s="112">
        <v>-2.7000000000000001E-3</v>
      </c>
    </row>
    <row r="254" spans="4:10" ht="18" thickBot="1">
      <c r="D254" s="108">
        <v>43845</v>
      </c>
      <c r="E254" s="111">
        <v>5.8757999999999999</v>
      </c>
      <c r="F254" s="239">
        <v>5.8815</v>
      </c>
      <c r="G254" s="239">
        <v>5.9008000000000003</v>
      </c>
      <c r="H254" s="239">
        <v>5.8654000000000002</v>
      </c>
      <c r="I254" s="239" t="s">
        <v>432</v>
      </c>
      <c r="J254" s="112">
        <v>-1E-3</v>
      </c>
    </row>
    <row r="255" spans="4:10" ht="18" thickBot="1">
      <c r="D255" s="108">
        <v>43844</v>
      </c>
      <c r="E255" s="109">
        <v>5.8818999999999999</v>
      </c>
      <c r="F255" s="239">
        <v>5.8673999999999999</v>
      </c>
      <c r="G255" s="239">
        <v>5.9036</v>
      </c>
      <c r="H255" s="239">
        <v>5.8578999999999999</v>
      </c>
      <c r="I255" s="239" t="s">
        <v>433</v>
      </c>
      <c r="J255" s="110">
        <v>2.5000000000000001E-3</v>
      </c>
    </row>
    <row r="256" spans="4:10" ht="18" thickBot="1">
      <c r="D256" s="108">
        <v>43843</v>
      </c>
      <c r="E256" s="111">
        <v>5.8670999999999998</v>
      </c>
      <c r="F256" s="239">
        <v>5.8838999999999997</v>
      </c>
      <c r="G256" s="239">
        <v>5.8845000000000001</v>
      </c>
      <c r="H256" s="239">
        <v>5.8509000000000002</v>
      </c>
      <c r="I256" s="239" t="s">
        <v>434</v>
      </c>
      <c r="J256" s="112">
        <v>-1.8E-3</v>
      </c>
    </row>
    <row r="257" spans="4:10" ht="18" thickBot="1">
      <c r="D257" s="108">
        <v>43840</v>
      </c>
      <c r="E257" s="109">
        <v>5.8776999999999999</v>
      </c>
      <c r="F257" s="239">
        <v>5.8705999999999996</v>
      </c>
      <c r="G257" s="239">
        <v>5.8966000000000003</v>
      </c>
      <c r="H257" s="239">
        <v>5.8535000000000004</v>
      </c>
      <c r="I257" s="239" t="s">
        <v>435</v>
      </c>
      <c r="J257" s="110">
        <v>5.9999999999999995E-4</v>
      </c>
    </row>
    <row r="258" spans="4:10" ht="18" thickBot="1">
      <c r="D258" s="108">
        <v>43839</v>
      </c>
      <c r="E258" s="111">
        <v>5.8738999999999999</v>
      </c>
      <c r="F258" s="239">
        <v>5.9093</v>
      </c>
      <c r="G258" s="239">
        <v>5.9306000000000001</v>
      </c>
      <c r="H258" s="239">
        <v>5.8593000000000002</v>
      </c>
      <c r="I258" s="239" t="s">
        <v>436</v>
      </c>
      <c r="J258" s="112">
        <v>-6.0000000000000001E-3</v>
      </c>
    </row>
    <row r="259" spans="4:10" ht="18" thickBot="1">
      <c r="D259" s="108">
        <v>43838</v>
      </c>
      <c r="E259" s="111">
        <v>5.9090999999999996</v>
      </c>
      <c r="F259" s="239">
        <v>5.9710000000000001</v>
      </c>
      <c r="G259" s="239">
        <v>5.9881000000000002</v>
      </c>
      <c r="H259" s="239">
        <v>5.8949999999999996</v>
      </c>
      <c r="I259" s="239" t="s">
        <v>437</v>
      </c>
      <c r="J259" s="112">
        <v>-1.06E-2</v>
      </c>
    </row>
    <row r="260" spans="4:10" ht="18" thickBot="1">
      <c r="D260" s="108">
        <v>43837</v>
      </c>
      <c r="E260" s="109">
        <v>5.9726999999999997</v>
      </c>
      <c r="F260" s="239">
        <v>5.9676999999999998</v>
      </c>
      <c r="G260" s="239">
        <v>5.9790999999999999</v>
      </c>
      <c r="H260" s="239">
        <v>5.9459</v>
      </c>
      <c r="I260" s="239" t="s">
        <v>438</v>
      </c>
      <c r="J260" s="110">
        <v>5.9999999999999995E-4</v>
      </c>
    </row>
    <row r="261" spans="4:10" ht="18" thickBot="1">
      <c r="D261" s="108">
        <v>43836</v>
      </c>
      <c r="E261" s="111">
        <v>5.9690000000000003</v>
      </c>
      <c r="F261" s="239">
        <v>5.9757999999999996</v>
      </c>
      <c r="G261" s="239">
        <v>5.9810999999999996</v>
      </c>
      <c r="H261" s="239">
        <v>5.9630999999999998</v>
      </c>
      <c r="I261" s="239" t="s">
        <v>439</v>
      </c>
      <c r="J261" s="112">
        <v>-5.9999999999999995E-4</v>
      </c>
    </row>
    <row r="262" spans="4:10" ht="18" thickBot="1">
      <c r="D262" s="108">
        <v>43833</v>
      </c>
      <c r="E262" s="109">
        <v>5.9722999999999997</v>
      </c>
      <c r="F262" s="239">
        <v>5.9545000000000003</v>
      </c>
      <c r="G262" s="239">
        <v>5.9785000000000004</v>
      </c>
      <c r="H262" s="239">
        <v>5.9459999999999997</v>
      </c>
      <c r="I262" s="239" t="s">
        <v>440</v>
      </c>
      <c r="J262" s="110">
        <v>2.5999999999999999E-3</v>
      </c>
    </row>
    <row r="263" spans="4:10" ht="18" thickBot="1">
      <c r="D263" s="108">
        <v>43832</v>
      </c>
      <c r="E263" s="109">
        <v>5.9565999999999999</v>
      </c>
      <c r="F263" s="239">
        <v>5.9458000000000002</v>
      </c>
      <c r="G263" s="239">
        <v>5.9615</v>
      </c>
      <c r="H263" s="239">
        <v>5.9414999999999996</v>
      </c>
      <c r="I263" s="239" t="s">
        <v>441</v>
      </c>
      <c r="J263" s="110">
        <v>1.6999999999999999E-3</v>
      </c>
    </row>
    <row r="264" spans="4:10" ht="18" thickBot="1">
      <c r="D264" s="108">
        <v>43831</v>
      </c>
      <c r="E264" s="111">
        <v>5.9466000000000001</v>
      </c>
      <c r="F264" s="239">
        <v>5.9461000000000004</v>
      </c>
      <c r="G264" s="239">
        <v>5.9490999999999996</v>
      </c>
      <c r="H264" s="239">
        <v>5.9375</v>
      </c>
      <c r="I264" s="239" t="s">
        <v>442</v>
      </c>
      <c r="J264" s="112">
        <v>-4.0000000000000002E-4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574A-EAE9-42CB-8373-7C2168CDF166}">
  <sheetPr>
    <pageSetUpPr fitToPage="1"/>
  </sheetPr>
  <dimension ref="B2:H26"/>
  <sheetViews>
    <sheetView workbookViewId="0"/>
  </sheetViews>
  <sheetFormatPr defaultRowHeight="12.75"/>
  <cols>
    <col min="1" max="1" width="9.140625" style="1"/>
    <col min="2" max="2" width="37.42578125" style="1" customWidth="1"/>
    <col min="3" max="3" width="16.42578125" style="1" customWidth="1"/>
    <col min="4" max="6" width="9.140625" style="1"/>
    <col min="7" max="7" width="19.5703125" style="1" customWidth="1"/>
    <col min="8" max="16384" width="9.140625" style="1"/>
  </cols>
  <sheetData>
    <row r="2" spans="2:3" ht="16.5" customHeight="1">
      <c r="B2" s="60" t="s">
        <v>443</v>
      </c>
      <c r="C2" s="61" t="s">
        <v>444</v>
      </c>
    </row>
    <row r="3" spans="2:3" ht="16.5" customHeight="1">
      <c r="B3" s="62" t="s">
        <v>445</v>
      </c>
      <c r="C3" s="63" t="s">
        <v>446</v>
      </c>
    </row>
    <row r="4" spans="2:3" ht="16.5" customHeight="1">
      <c r="B4" s="62" t="s">
        <v>447</v>
      </c>
      <c r="C4" s="63" t="s">
        <v>448</v>
      </c>
    </row>
    <row r="5" spans="2:3" ht="16.5" customHeight="1">
      <c r="B5" s="62" t="s">
        <v>449</v>
      </c>
      <c r="C5" s="63" t="s">
        <v>450</v>
      </c>
    </row>
    <row r="6" spans="2:3" ht="16.5" customHeight="1">
      <c r="B6" s="62" t="s">
        <v>451</v>
      </c>
      <c r="C6" s="63" t="s">
        <v>452</v>
      </c>
    </row>
    <row r="7" spans="2:3" ht="16.5" customHeight="1">
      <c r="B7" s="62" t="s">
        <v>453</v>
      </c>
      <c r="C7" s="63" t="s">
        <v>454</v>
      </c>
    </row>
    <row r="8" spans="2:3" ht="16.5" customHeight="1">
      <c r="B8" s="62" t="s">
        <v>455</v>
      </c>
      <c r="C8" s="63" t="s">
        <v>456</v>
      </c>
    </row>
    <row r="9" spans="2:3" ht="16.5" customHeight="1">
      <c r="B9" s="62" t="s">
        <v>457</v>
      </c>
      <c r="C9" s="64">
        <v>43222</v>
      </c>
    </row>
    <row r="10" spans="2:3" ht="16.5" customHeight="1">
      <c r="B10" s="62" t="s">
        <v>458</v>
      </c>
      <c r="C10" s="63" t="s">
        <v>459</v>
      </c>
    </row>
    <row r="11" spans="2:3" ht="16.5" customHeight="1">
      <c r="B11" s="62" t="s">
        <v>460</v>
      </c>
      <c r="C11" s="63" t="s">
        <v>459</v>
      </c>
    </row>
    <row r="12" spans="2:3" ht="16.5" customHeight="1">
      <c r="B12" s="62" t="s">
        <v>461</v>
      </c>
      <c r="C12" s="63" t="s">
        <v>462</v>
      </c>
    </row>
    <row r="13" spans="2:3" ht="16.5" customHeight="1">
      <c r="B13" s="62" t="s">
        <v>463</v>
      </c>
      <c r="C13" s="63">
        <v>92.125</v>
      </c>
    </row>
    <row r="14" spans="2:3" ht="16.5" customHeight="1">
      <c r="B14" s="62" t="s">
        <v>464</v>
      </c>
      <c r="C14" s="63">
        <v>293.87</v>
      </c>
    </row>
    <row r="15" spans="2:3" ht="16.5" customHeight="1">
      <c r="B15" s="62" t="s">
        <v>465</v>
      </c>
      <c r="C15" s="63" t="s">
        <v>466</v>
      </c>
    </row>
    <row r="16" spans="2:3" ht="16.5" customHeight="1">
      <c r="B16" s="62" t="s">
        <v>467</v>
      </c>
      <c r="C16" s="63">
        <v>326.39999999999998</v>
      </c>
    </row>
    <row r="17" spans="2:8" ht="16.5" customHeight="1">
      <c r="B17" s="62" t="s">
        <v>468</v>
      </c>
      <c r="C17" s="65">
        <v>5.5399999999999998E-2</v>
      </c>
    </row>
    <row r="18" spans="2:8" ht="16.5" customHeight="1">
      <c r="B18" s="62" t="s">
        <v>469</v>
      </c>
      <c r="C18" s="65">
        <v>5.5399999999999998E-2</v>
      </c>
    </row>
    <row r="19" spans="2:8" ht="16.5" customHeight="1">
      <c r="B19" s="62" t="s">
        <v>470</v>
      </c>
      <c r="C19" s="63">
        <v>6.81</v>
      </c>
      <c r="H19" s="66"/>
    </row>
    <row r="20" spans="2:8" ht="16.5" customHeight="1">
      <c r="B20" s="62" t="s">
        <v>471</v>
      </c>
      <c r="C20" s="63" t="s">
        <v>472</v>
      </c>
      <c r="H20" s="66"/>
    </row>
    <row r="21" spans="2:8" ht="16.5" customHeight="1">
      <c r="B21" s="62" t="s">
        <v>473</v>
      </c>
      <c r="C21" s="63" t="s">
        <v>459</v>
      </c>
      <c r="H21" s="66"/>
    </row>
    <row r="22" spans="2:8" ht="16.5" customHeight="1">
      <c r="B22" s="62" t="s">
        <v>474</v>
      </c>
      <c r="C22" s="63" t="s">
        <v>475</v>
      </c>
    </row>
    <row r="23" spans="2:8" ht="16.5" customHeight="1">
      <c r="B23" s="62" t="s">
        <v>476</v>
      </c>
      <c r="C23" s="63" t="s">
        <v>477</v>
      </c>
    </row>
    <row r="24" spans="2:8" ht="16.5" customHeight="1">
      <c r="B24" s="62" t="s">
        <v>478</v>
      </c>
      <c r="C24" s="63" t="s">
        <v>479</v>
      </c>
    </row>
    <row r="26" spans="2:8">
      <c r="C26" s="67"/>
    </row>
  </sheetData>
  <pageMargins left="0.7" right="0.7" top="0.75" bottom="0.75" header="0.3" footer="0.3"/>
  <pageSetup scale="57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acheModel xmlns:xsi="http://www.w3.org/2001/XMLSchema-instance" xmlns:xsd="http://www.w3.org/2001/XMLSchema" xmlns="TagniFiModelState">
  <SerializedJson>[]</SerializedJson>
</CacheModel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E483FB-5650-4919-A1CD-85953B7136B8}"/>
</file>

<file path=customXml/itemProps2.xml><?xml version="1.0" encoding="utf-8"?>
<ds:datastoreItem xmlns:ds="http://schemas.openxmlformats.org/officeDocument/2006/customXml" ds:itemID="{5F958986-EF99-4C2E-BA7F-33B5D6DC7870}"/>
</file>

<file path=customXml/itemProps3.xml><?xml version="1.0" encoding="utf-8"?>
<ds:datastoreItem xmlns:ds="http://schemas.openxmlformats.org/officeDocument/2006/customXml" ds:itemID="{B78BA866-035D-4D64-B5E8-25FF84085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X</cp:lastModifiedBy>
  <cp:revision/>
  <dcterms:created xsi:type="dcterms:W3CDTF">2008-03-12T15:44:19Z</dcterms:created>
  <dcterms:modified xsi:type="dcterms:W3CDTF">2026-08-09T16:14:48Z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{FC157C26-ABC1-4711-8BB8-6D1616F1BFF0}</vt:lpwstr>
  </property>
  <property fmtid="{D5CDD505-2E9C-101B-9397-08002B2CF9AE}" pid="3" name="WorkbookGuid">
    <vt:lpwstr>f8e18e21-3a1f-4a13-8c62-6050e4d7f743</vt:lpwstr>
  </property>
</Properties>
</file>