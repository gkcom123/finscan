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codeName="ThisWorkbook"/>
  <mc:AlternateContent xmlns:mc="http://schemas.openxmlformats.org/markup-compatibility/2006">
    <mc:Choice Requires="x15">
      <x15ac:absPath xmlns:x15ac="http://schemas.microsoft.com/office/spreadsheetml/2010/11/ac" url="https://crisil-my.sharepoint.com/personal/lokeshk_ad_crisil_com/Documents/1_Team_Fixed Income (Credit)/Bara Model Work/Bara - Model Update/WIP/Jun 2026 - CCU/1Q26/"/>
    </mc:Choice>
  </mc:AlternateContent>
  <xr:revisionPtr revIDLastSave="0" documentId="8_{4C186D4A-1119-4ABA-A84C-5A7224FE531D}" xr6:coauthVersionLast="47" xr6:coauthVersionMax="47" xr10:uidLastSave="{00000000-0000-0000-0000-000000000000}"/>
  <bookViews>
    <workbookView xWindow="-120" yWindow="-120" windowWidth="29040" windowHeight="15720" xr2:uid="{00000000-000D-0000-FFFF-FFFF00000000}"/>
  </bookViews>
  <sheets>
    <sheet name="Capitalisation" sheetId="22" r:id="rId1"/>
    <sheet name="Model" sheetId="23" r:id="rId2"/>
    <sheet name="Adjusted EBITDA" sheetId="26" r:id="rId3"/>
    <sheet name="KPIs" sheetId="25"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A">#REF!</definedName>
    <definedName name="\B">#REF!</definedName>
    <definedName name="\C">#REF!</definedName>
    <definedName name="\L">#REF!</definedName>
    <definedName name="\M">#REF!</definedName>
    <definedName name="\P">#REF!</definedName>
    <definedName name="\Y">#REF!</definedName>
    <definedName name="__FDS_HYPERLINK_TOGGLE_STATE__" hidden="1">"ON"</definedName>
    <definedName name="_01_30_04" localSheetId="3">MonthlyOpStats</definedName>
    <definedName name="_01_30_04">MonthlyOpStats</definedName>
    <definedName name="_1_30_01" localSheetId="3">MonthlyOpStats</definedName>
    <definedName name="_1_30_01">MonthlyOpStats</definedName>
    <definedName name="_1_30_02" localSheetId="3">MonthlyOpStats</definedName>
    <definedName name="_1_30_02">MonthlyOpStats</definedName>
    <definedName name="_1_31_01" localSheetId="3">MonthlyOpStats</definedName>
    <definedName name="_1_31_01">MonthlyOpStats</definedName>
    <definedName name="_1_31_02" localSheetId="3">MonthlyOpStats</definedName>
    <definedName name="_1_31_02">MonthlyOpStats</definedName>
    <definedName name="_12_31_05" localSheetId="3">MonthlyOpStats</definedName>
    <definedName name="_12_31_05">MonthlyOpStats</definedName>
    <definedName name="_A">#REF!</definedName>
    <definedName name="_A___0">#REF!</definedName>
    <definedName name="_B">#REF!</definedName>
    <definedName name="_B___0">#REF!</definedName>
    <definedName name="_C">#REF!</definedName>
    <definedName name="_C___0">#REF!</definedName>
    <definedName name="_ent1">[1]Inputs!$J$17</definedName>
    <definedName name="_ent10">[1]Inputs!$J$476</definedName>
    <definedName name="_ent11">[1]Inputs!$J$527</definedName>
    <definedName name="_ent12">[1]Inputs!$J$578</definedName>
    <definedName name="_ent13">[1]Inputs!$J$629</definedName>
    <definedName name="_ent14">[1]Inputs!$J$680</definedName>
    <definedName name="_ent15">[1]Inputs!$J$731</definedName>
    <definedName name="_ent2">[1]Inputs!$J$68</definedName>
    <definedName name="_ent3">[1]Inputs!$J$119</definedName>
    <definedName name="_ent4">[1]Inputs!$J$170</definedName>
    <definedName name="_ent5">[1]Inputs!$J$221</definedName>
    <definedName name="_ent6">[1]Inputs!$J$272</definedName>
    <definedName name="_ent7">[1]Inputs!$J$323</definedName>
    <definedName name="_ent8">[1]Inputs!$J$374</definedName>
    <definedName name="_ent9">[1]Inputs!$J$425</definedName>
    <definedName name="_eps1">[1]Inputs!$P$42</definedName>
    <definedName name="_eps10">[1]Inputs!$P$501</definedName>
    <definedName name="_eps11">[1]Inputs!$P$552</definedName>
    <definedName name="_eps12">[1]Inputs!$P$603</definedName>
    <definedName name="_eps13">[1]Inputs!$P$654</definedName>
    <definedName name="_eps14">[1]Inputs!$P$705</definedName>
    <definedName name="_eps15">[1]Inputs!$P$756</definedName>
    <definedName name="_eps2">[1]Inputs!$P$93</definedName>
    <definedName name="_eps3">[1]Inputs!$P$144</definedName>
    <definedName name="_eps4">[1]Inputs!$P$195</definedName>
    <definedName name="_eps5">[1]Inputs!$P$246</definedName>
    <definedName name="_eps6">[1]Inputs!$P$297</definedName>
    <definedName name="_eps7">[1]Inputs!$P$348</definedName>
    <definedName name="_eps8">[1]Inputs!$P$399</definedName>
    <definedName name="_eps9">[1]Inputs!$P$450</definedName>
    <definedName name="_Fill" hidden="1">[2]FxdChg!#REF!</definedName>
    <definedName name="_fye1">[1]Inputs!$E$12</definedName>
    <definedName name="_fye10">[1]Inputs!$E$471</definedName>
    <definedName name="_fye11">[1]Inputs!$E$522</definedName>
    <definedName name="_fye12">[1]Inputs!$E$573</definedName>
    <definedName name="_fye13">[1]Inputs!$E$624</definedName>
    <definedName name="_fye14">[1]Inputs!$E$675</definedName>
    <definedName name="_fye15">[1]Inputs!$E$726</definedName>
    <definedName name="_fye2">[1]Inputs!$E$63</definedName>
    <definedName name="_fye3">[1]Inputs!$E$114</definedName>
    <definedName name="_fye4">[1]Inputs!$E$165</definedName>
    <definedName name="_fye5">[1]Inputs!$E$216</definedName>
    <definedName name="_fye6">[1]Inputs!$E$267</definedName>
    <definedName name="_fye7">[1]Inputs!$E$318</definedName>
    <definedName name="_fye8">[1]Inputs!$E$369</definedName>
    <definedName name="_fye9">[1]Inputs!$E$420</definedName>
    <definedName name="_GEI_Returns">[3]Model!#REF!</definedName>
    <definedName name="_L">#REF!</definedName>
    <definedName name="_L___0">#REF!</definedName>
    <definedName name="_mv1">[1]Inputs!$J$16</definedName>
    <definedName name="_mv10">[1]Inputs!$J$475</definedName>
    <definedName name="_mv11">[1]Inputs!$J$526</definedName>
    <definedName name="_mv12">[1]Inputs!$J$577</definedName>
    <definedName name="_mv13">[1]Inputs!$J$628</definedName>
    <definedName name="_mv14">[1]Inputs!$J$679</definedName>
    <definedName name="_mv15">[1]Inputs!$J$730</definedName>
    <definedName name="_mv2">[1]Inputs!$J$67</definedName>
    <definedName name="_mv3">[1]Inputs!$J$118</definedName>
    <definedName name="_mv4">[1]Inputs!$J$169</definedName>
    <definedName name="_mv5">[1]Inputs!$J$220</definedName>
    <definedName name="_mv6">[1]Inputs!$J$271</definedName>
    <definedName name="_mv7">[1]Inputs!$J$322</definedName>
    <definedName name="_mv8">[1]Inputs!$J$373</definedName>
    <definedName name="_mv9">[1]Inputs!$J$424</definedName>
    <definedName name="_Order1" hidden="1">0</definedName>
    <definedName name="_Order2" hidden="1">0</definedName>
    <definedName name="_P">#REF!</definedName>
    <definedName name="_P___0">#REF!</definedName>
    <definedName name="_Table2_Out" hidden="1">#REF!</definedName>
    <definedName name="_Y">#REF!</definedName>
    <definedName name="_Y___0">#REF!</definedName>
    <definedName name="Aa_Recovery">#REF!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crued_Comp_Sales">'[4]Tanning Assumptions'!#REF!</definedName>
    <definedName name="acq">#REF!</definedName>
    <definedName name="acquiror">#REF!</definedName>
    <definedName name="AdSalesCash">#REF!</definedName>
    <definedName name="AdSalesTrade">#REF!</definedName>
    <definedName name="AdSalesWebsite">#REF!</definedName>
    <definedName name="AICORR">#REF!</definedName>
    <definedName name="AllBH">#REF!</definedName>
    <definedName name="allProjects">#REF!</definedName>
    <definedName name="amort">[5]Inputs!#REF!</definedName>
    <definedName name="AP_Sales">'[4]Tanning Assumptions'!#REF!</definedName>
    <definedName name="AR_Other_Sales">'[4]Tanning Assumptions'!#REF!</definedName>
    <definedName name="AR_Trade_Sales">'[4]Tanning Assumptions'!#REF!</definedName>
    <definedName name="As_Of_Date">[6]Selections!$C$2</definedName>
    <definedName name="asdfa">#REF!</definedName>
    <definedName name="AsOfDate">'[7]AUM YTD 2000'!$W$1</definedName>
    <definedName name="ASSUMPTIONS">#REF!</definedName>
    <definedName name="B_S">#REF!</definedName>
    <definedName name="Baa_Recovery">#REF!</definedName>
    <definedName name="bal">#REF!</definedName>
    <definedName name="banner2">[8]CONTROL!$D$10</definedName>
    <definedName name="banner2___0">[8]CONTROL!$D$10</definedName>
    <definedName name="Base_Case">#REF!</definedName>
    <definedName name="Billable">#REF!</definedName>
    <definedName name="BillableHeadcount">#REF!</definedName>
    <definedName name="body">#REF!</definedName>
    <definedName name="BREAK_EVEN">#REF!</definedName>
    <definedName name="BREAK_EVEN___0">#REF!</definedName>
    <definedName name="Broadwing__Inc__Cincinnati_Bell">#REF!</definedName>
    <definedName name="brob">#REF!</definedName>
    <definedName name="bs">[5]Inputs!#REF!</definedName>
    <definedName name="case">#REF!</definedName>
    <definedName name="case1">[9]CONTROL!$A$12</definedName>
    <definedName name="case2">[9]CONTROL!$A$13</definedName>
    <definedName name="case3">[9]CONTROL!$A$14</definedName>
    <definedName name="CASH_FLOW">#REF!</definedName>
    <definedName name="Cash_Sales">'[4]Tanning Assumptions'!#REF!</definedName>
    <definedName name="CASHBUDGET">#REF!</definedName>
    <definedName name="CASHBUDGET___0">#REF!</definedName>
    <definedName name="CASHFLOWS_MONTH">#REF!</definedName>
    <definedName name="CASHFLOWS_MONTH___0">#REF!</definedName>
    <definedName name="CASHFLOWS_YEARS">#REF!</definedName>
    <definedName name="CASHFLOWS_YEARS___0">#REF!</definedName>
    <definedName name="cashint">#REF!</definedName>
    <definedName name="cashint___0">#REF!</definedName>
    <definedName name="CBHC">#REF!</definedName>
    <definedName name="cfl">#REF!</definedName>
    <definedName name="ChartDataRange">#REF!</definedName>
    <definedName name="CINC">#REF!</definedName>
    <definedName name="CIQWBGuid" hidden="1">"a8ce2156-b5bf-4ee3-830d-6b3237f21d17"</definedName>
    <definedName name="CIQWBInfo" hidden="1">"{ ""CIQVersion"":""9.45.614.5792"" }"</definedName>
    <definedName name="circ">[5]Inputs!#REF!</definedName>
    <definedName name="CircRev">#REF!</definedName>
    <definedName name="Class_3_Agg_Cash">[10]Revolver!#REF!</definedName>
    <definedName name="Class_3_Amt_BET">[10]Revolver!#REF!</definedName>
    <definedName name="Class_A_Interest">#REF!</definedName>
    <definedName name="Class_A_Principal">#REF!</definedName>
    <definedName name="Class_B_Interest">#REF!</definedName>
    <definedName name="Class_B_Principal">#REF!</definedName>
    <definedName name="Class_C_Payment">#REF!</definedName>
    <definedName name="ClassABC">'[6]Debt Structure'!$AN$7</definedName>
    <definedName name="ClassABCD">'[6]Debt Structure'!$AN$8</definedName>
    <definedName name="ClassABCDE">'[6]Debt Structure'!$AN$9</definedName>
    <definedName name="Clients">#REF!</definedName>
    <definedName name="closing_date">#REF!</definedName>
    <definedName name="closingttmrevenue">#REF!</definedName>
    <definedName name="CMBSIG">#REF!</definedName>
    <definedName name="Column_Lookup">'[11]MASTER DRIVER'!$C$5:$D$29</definedName>
    <definedName name="COMBINED_J_W__3_111403_JUP_IND_PROFORMA_List">#REF!</definedName>
    <definedName name="company">[12]CONTROL!$D$7</definedName>
    <definedName name="company___0">[8]CONTROL!$D$7</definedName>
    <definedName name="cons">#REF!</definedName>
    <definedName name="consultants">#REF!</definedName>
    <definedName name="contrib2" localSheetId="3"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3" hidden="1">{"page1",#N/A,FALSE,"Temp";"page2",#N/A,FALSE,"Temp";"page3",#N/A,FALSE,"Temp";"page4",#N/A,FALSE,"Temp";"page5",#N/A,FALSE,"Temp";"page6",#N/A,FALSE,"Temp"}</definedName>
    <definedName name="contrib3" hidden="1">{"page1",#N/A,FALSE,"Temp";"page2",#N/A,FALSE,"Temp";"page3",#N/A,FALSE,"Temp";"page4",#N/A,FALSE,"Temp";"page5",#N/A,FALSE,"Temp";"page6",#N/A,FALSE,"Temp"}</definedName>
    <definedName name="convertamt">#REF!</definedName>
    <definedName name="convertamt___0">#REF!</definedName>
    <definedName name="convertper">#REF!</definedName>
    <definedName name="convertper___0">#REF!</definedName>
    <definedName name="CorpName">'[13]MASTER DRIVERS'!$A$1</definedName>
    <definedName name="COSTREPORT">#REF!</definedName>
    <definedName name="COSTREPORT___0">#REF!</definedName>
    <definedName name="counter">'[14]Portfolio Input'!#REF!</definedName>
    <definedName name="counter2">'[14]Portfolio Input'!#REF!</definedName>
    <definedName name="Coupon">[15]Inputs!$J$30</definedName>
    <definedName name="CSEnd">#REF!</definedName>
    <definedName name="CSHO">#REF!</definedName>
    <definedName name="CSHPRI">#REF!</definedName>
    <definedName name="current1">[1]Inputs!$E$21</definedName>
    <definedName name="current10">[1]Inputs!$E$480</definedName>
    <definedName name="current11">[1]Inputs!$E$531</definedName>
    <definedName name="current12">[1]Inputs!$E$582</definedName>
    <definedName name="current13">[1]Inputs!$E$633</definedName>
    <definedName name="current14">[1]Inputs!$E$684</definedName>
    <definedName name="current15">[1]Inputs!$E$735</definedName>
    <definedName name="current2">[1]Inputs!$E$72</definedName>
    <definedName name="current3">[1]Inputs!$E$123</definedName>
    <definedName name="current4">[1]Inputs!$E$174</definedName>
    <definedName name="current5">[1]Inputs!$E$225</definedName>
    <definedName name="current6">[1]Inputs!$E$276</definedName>
    <definedName name="current7">[1]Inputs!$E$327</definedName>
    <definedName name="current8">[1]Inputs!$E$378</definedName>
    <definedName name="current9">[1]Inputs!$E$429</definedName>
    <definedName name="CustomPubSales">#REF!</definedName>
    <definedName name="Date">[16]Comps!#REF!</definedName>
    <definedName name="Date_OC1">OFFSET([6]OCTrends!$B$2,0,0,COUNTA([6]OCTrends!$B$1:$B$65536)-1)</definedName>
    <definedName name="Date_OC2">OFFSET([6]OCTrends!$G$2,0,0,COUNTA([6]OCTrends!$G$1:$G$65536)-1)</definedName>
    <definedName name="Date_OC3">OFFSET([6]OCTrends!$L$2,0,0,COUNTA([6]OCTrends!$L$1:$L$65536)-1)</definedName>
    <definedName name="debtsched">[5]Inputs!#REF!</definedName>
    <definedName name="decconsultants">#REF!</definedName>
    <definedName name="decemberemployees">#REF!</definedName>
    <definedName name="decemployees">#REF!</definedName>
    <definedName name="default">#REF!</definedName>
    <definedName name="Default_Scenario">#REF!</definedName>
    <definedName name="Default_Table">#REF!</definedName>
    <definedName name="Default_Timing">#REF!</definedName>
    <definedName name="depsched">[5]Inputs!#REF!</definedName>
    <definedName name="DivActual">OFFSET([6]DivTrends!$C$2,0,0,COUNTA([6]DivTrends!$C$1:$C$65536)-1)</definedName>
    <definedName name="DivCovenant">OFFSET([6]DivTrends!$D$2,0,0,COUNTA([6]DivTrends!$D$1:$D$65536)-1)</definedName>
    <definedName name="DivDate">OFFSET([6]DivTrends!$B$2,0,0,COUNTA([6]DivTrends!$B$1:$B$65536)-1)</definedName>
    <definedName name="Diversity">'[7]Actual vs Covenant'!$P$41:$Q$48</definedName>
    <definedName name="DiversityScore">#REF!</definedName>
    <definedName name="earnout">#REF!</definedName>
    <definedName name="earnout___0">#REF!</definedName>
    <definedName name="EBIT">#REF!</definedName>
    <definedName name="EBITDA">#REF!</definedName>
    <definedName name="ebitda1">[1]Inputs!$P$46</definedName>
    <definedName name="ebitda10">[1]Inputs!$P$505</definedName>
    <definedName name="ebitda11">[1]Inputs!$P$556</definedName>
    <definedName name="ebitda12">[1]Inputs!$P$607</definedName>
    <definedName name="ebitda13">[1]Inputs!$P$658</definedName>
    <definedName name="ebitda14">[1]Inputs!$P$709</definedName>
    <definedName name="ebitda15">[1]Inputs!$P$760</definedName>
    <definedName name="ebitda2">[1]Inputs!$P$97</definedName>
    <definedName name="ebitda3">[1]Inputs!$P$148</definedName>
    <definedName name="ebitda4">[1]Inputs!$P$199</definedName>
    <definedName name="ebitda5">[1]Inputs!$P$250</definedName>
    <definedName name="ebitda6">[1]Inputs!$P$301</definedName>
    <definedName name="ebitda7">[1]Inputs!$P$352</definedName>
    <definedName name="ebitda8">[1]Inputs!$P$403</definedName>
    <definedName name="ebitda9">[1]Inputs!$P$454</definedName>
    <definedName name="effective_date">#REF!</definedName>
    <definedName name="ELC1_Top3">[7]TOP10!$D$3</definedName>
    <definedName name="ELC1_Top4">[7]TOP10!$D$8</definedName>
    <definedName name="ELC1FitchRatingChartData">[7]ELC1!$G$2:$H$11</definedName>
    <definedName name="ELC1FitchRatingChartSerial1">[7]ELC1!$H$2:$H$11</definedName>
    <definedName name="ELC1FitchRatingChartXScale">[7]ELC1!$G$2:$G$11</definedName>
    <definedName name="ELC1MoodyRatingChartData">[7]ELC1!$A$2:$B$14</definedName>
    <definedName name="ELC1MoodyRatingChartSerial1">[7]ELC1!$B$2:$B$14</definedName>
    <definedName name="ELC1MoodyRatingChartXScale">[7]ELC1!$A$2:$A$14</definedName>
    <definedName name="ELC1SPRatingChartData">[7]ELC1!$D$2:$E$14</definedName>
    <definedName name="ELC1SPRatingChartSerial1">[7]ELC1!$E$2:$E$14</definedName>
    <definedName name="ELC1SPRatingChartXScale">[7]ELC1!$D$2:$D$14</definedName>
    <definedName name="ELC2_Top3">[7]TOP10!$G$3</definedName>
    <definedName name="ELC2_Top4">[7]TOP10!$G$8</definedName>
    <definedName name="ELC2FitchRatingChartData">[7]ELC2!$G$2:$H$12</definedName>
    <definedName name="ELC2FitchRatingChartSerial1">[7]ELC2!$H$2:$H$12</definedName>
    <definedName name="ELC2FitchRatingChartXScale">[7]ELC2!$G$2:$G$12</definedName>
    <definedName name="ELC2MoodyRatingChartData">[7]ELC2!$A$2:$B$15</definedName>
    <definedName name="ELC2MoodyRatingChartSerial1">[7]ELC2!$B$2:$B$15</definedName>
    <definedName name="ELC2MoodyRatingChartXScale">[7]ELC2!$A$2:$A$15</definedName>
    <definedName name="ELC2SPRatingChartData">[7]ELC2!$D$2:$E$15</definedName>
    <definedName name="ELC2SPRatingChartSerial1">[7]ELC2!$E$2:$E$15</definedName>
    <definedName name="ELC2SPRatingChartXScale">[7]ELC2!$D$2:$D$15</definedName>
    <definedName name="ELC3_Top3">[7]TOP10!$J$3</definedName>
    <definedName name="ELC3_Top4">[7]TOP10!$J$8</definedName>
    <definedName name="ELC3FitchRatingChartData">[7]ELC3!$G$2:$H$14</definedName>
    <definedName name="ELC3FitchRatingChartSerial1">[7]ELC3!$H$2:$H$14</definedName>
    <definedName name="ELC3FitchRatingChartXScale">[7]ELC3!$G$2:$G$14</definedName>
    <definedName name="ELC3MoodyRatingChartData">[7]ELC3!$A$2:$B$15</definedName>
    <definedName name="ELC3MoodyRatingChartSerial1">[7]ELC3!$B$2:$B$15</definedName>
    <definedName name="ELC3MoodyRatingChartXScale">[7]ELC3!$A$2:$A$15</definedName>
    <definedName name="ELC3SPRatingChartData">[7]ELC3!$D$2:$E$16</definedName>
    <definedName name="ELC3SPRatingChartSerial1">[7]ELC3!$E$2:$E$16</definedName>
    <definedName name="ELC3SPRatingChartXScale">[7]ELC3!$D$2:$D$16</definedName>
    <definedName name="ELC4_Top3">[7]TOP10!$M$3</definedName>
    <definedName name="ELC4_Top4">[7]TOP10!$M$8</definedName>
    <definedName name="ELC4FitchRatingChartData">[7]ELC4!$G$2:$H$8</definedName>
    <definedName name="ELC4FitchRatingChartSerial1">[7]ELC4!$H$2:$H$8</definedName>
    <definedName name="ELC4FitchRatingChartXScale">[7]ELC4!$G$2:$G$8</definedName>
    <definedName name="ELC4MoodyRatingChartData">[7]ELC4!$A$2:$B$13</definedName>
    <definedName name="ELC4MoodyRatingChartSerial1">[7]ELC4!$B$2:$B$13</definedName>
    <definedName name="ELC4MoodyRatingChartXScale">[7]ELC4!$A$2:$A$13</definedName>
    <definedName name="ELC4SPRatingChartData">[7]ELC4!$D$2:$E$14</definedName>
    <definedName name="ELC4SPRatingChartSerial1">[7]ELC4!$E$2:$E$14</definedName>
    <definedName name="ELC4SPRatingChartXScale">[7]ELC4!$D$2:$D$14</definedName>
    <definedName name="ELC5_Top3">[7]TOP10!$P$3</definedName>
    <definedName name="ELC5_Top4">[7]TOP10!$P$8</definedName>
    <definedName name="ELC5FitchRatingChartData">[7]ELC5!$G$2:$H$9</definedName>
    <definedName name="ELC5FitchRatingChartSerial1">[7]ELC5!$H$2:$H$9</definedName>
    <definedName name="ELC5FitchRatingChartXScale">[7]ELC5!$G$2:$G$9</definedName>
    <definedName name="ELC5MoodyRatingChartData">[7]ELC5!$A$2:$B$14</definedName>
    <definedName name="ELC5MoodyRatingChartSerial1">[7]ELC5!$B$2:$B$14</definedName>
    <definedName name="ELC5MoodyRatingChartXScale">[7]ELC5!$A$2:$A$14</definedName>
    <definedName name="ELC5SPRatingChartData">[7]ELC5!$D$2:$E$14</definedName>
    <definedName name="ELC5SPRatingChartSerial1">[7]ELC5!$E$2:$E$14</definedName>
    <definedName name="ELC5SPRatingChartXScale">[7]ELC5!$D$2:$D$14</definedName>
    <definedName name="employees">#REF!</definedName>
    <definedName name="EndDay">[6]Selections!$R$3</definedName>
    <definedName name="EndMonth">[6]Selections!$R$2</definedName>
    <definedName name="EndYear">[6]Selections!$R$1</definedName>
    <definedName name="ePrint">[17]Consolidated!#REF!</definedName>
    <definedName name="EQUITY">'[9]S&amp;U'!$E$12</definedName>
    <definedName name="equityamt">#REF!</definedName>
    <definedName name="equityamt___0">#REF!</definedName>
    <definedName name="equityper">#REF!</definedName>
    <definedName name="equityper___0">#REF!</definedName>
    <definedName name="ev.Calculation" hidden="1">-4105</definedName>
    <definedName name="ev.Initialized" hidden="1">FALSE</definedName>
    <definedName name="exe">#REF!</definedName>
    <definedName name="fianal">[18]Preliminary!$A$1:$D$65</definedName>
    <definedName name="filename">[6]Selections!$U$2</definedName>
    <definedName name="Final_Number">#REF!</definedName>
    <definedName name="FinanceRev">#REF!</definedName>
    <definedName name="FinanceRev2">#REF!</definedName>
    <definedName name="firstHourDate">#REF!</definedName>
    <definedName name="firstProject">#REF!</definedName>
    <definedName name="Flat_Swap">#REF!</definedName>
    <definedName name="FSoPacific" localSheetId="3" hidden="1">{"BS",#N/A,FALSE,"USA"}</definedName>
    <definedName name="FSoPacific" hidden="1">{"BS",#N/A,FALSE,"USA"}</definedName>
    <definedName name="Fund">[6]Selections!$A$1</definedName>
    <definedName name="Fwd_Curve">#REF!</definedName>
    <definedName name="FYEMarker">#REF!</definedName>
    <definedName name="FYEMonth">#REF!</definedName>
    <definedName name="G_A_SUMMARY">#REF!</definedName>
    <definedName name="group_quarterly">#REF!</definedName>
    <definedName name="Header1">[19]_01_05_v_Wicks_xls__01_05_v_Wic!$N$1</definedName>
    <definedName name="high1">[1]Inputs!$E$23</definedName>
    <definedName name="high10">[1]Inputs!$E$482</definedName>
    <definedName name="high11">[1]Inputs!$E$533</definedName>
    <definedName name="high12">[1]Inputs!$E$584</definedName>
    <definedName name="high13">[1]Inputs!$E$635</definedName>
    <definedName name="high14">[1]Inputs!$E$686</definedName>
    <definedName name="high15">[1]Inputs!$E$737</definedName>
    <definedName name="high2">[1]Inputs!$E$74</definedName>
    <definedName name="high3">[1]Inputs!$E$125</definedName>
    <definedName name="high4">[1]Inputs!$E$176</definedName>
    <definedName name="high5">[1]Inputs!$E$227</definedName>
    <definedName name="high6">[1]Inputs!$E$278</definedName>
    <definedName name="high7">[1]Inputs!$E$329</definedName>
    <definedName name="high8">[1]Inputs!$E$380</definedName>
    <definedName name="high9">[1]Inputs!$E$431</definedName>
    <definedName name="hl">'[20]LBO Summary'!#REF!</definedName>
    <definedName name="hn.ExtDb" hidden="1">FALSE</definedName>
    <definedName name="hn.ModelType" hidden="1">"DEAL"</definedName>
    <definedName name="hn.ModelVersion" hidden="1">1</definedName>
    <definedName name="hn.NoUpload" hidden="1">0</definedName>
    <definedName name="IC1Actual">OFFSET([6]ICTrends!$C$2,0,0,COUNTA([6]ICTrends!$C$1:$C$65536)-1)</definedName>
    <definedName name="IC1ChartTitle">[6]ICTrends!$W$1</definedName>
    <definedName name="IC1Covenant">OFFSET([6]ICTrends!$D$2,0,0,COUNTA([6]ICTrends!$D$1:$D$65536)-1)</definedName>
    <definedName name="IC1Date">OFFSET([6]ICTrends!$B$2,0,0,COUNTA([6]ICTrends!$B$1:$B$65536)-1)</definedName>
    <definedName name="IC2Actual">OFFSET([6]ICTrends!$H$2,0,0,COUNTA([6]ICTrends!$H$1:$H$65536)-1)</definedName>
    <definedName name="IC2Covenant">OFFSET([6]ICTrends!$I$2,0,0,COUNTA([6]ICTrends!$I$1:$I$65536)-1)</definedName>
    <definedName name="IC2Date">OFFSET([6]ICTrends!$G$2,0,0,COUNTA([6]ICTrends!$G$1:$G$65536)-1)</definedName>
    <definedName name="IC3Actual">OFFSET([6]ICTrends!$M$2,0,0,COUNTA([6]ICTrends!$M$1:$M$65536)-1)</definedName>
    <definedName name="IC3Covenant">OFFSET([6]ICTrends!$N$2,0,0,COUNTA([6]ICTrends!$N$1:$N$65536)-1)</definedName>
    <definedName name="IC3Date">OFFSET([6]ICTrends!$L$2,0,0,COUNTA([6]ICTrends!$L$1:$L$65536)-1)</definedName>
    <definedName name="IC4Actual">OFFSET([6]ICTrends!$R$2,0,0,COUNTA([6]ICTrends!$R$1:$R$65536)-1)</definedName>
    <definedName name="IC4Covenant">OFFSET([6]ICTrends!$S$2,0,0,COUNTA([6]ICTrends!$S$1:$S$65536)-1)</definedName>
    <definedName name="IC4Date">OFFSET([6]ICTrends!$Q$2,0,0,COUNTA([6]ICTrends!$Q$1:$Q$65536)-1)</definedName>
    <definedName name="inc">#REF!</definedName>
    <definedName name="incsyntog">#REF!</definedName>
    <definedName name="incsyntog___0">#REF!</definedName>
    <definedName name="inputs">#REF!</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BONDRATING_FITCH" hidden="1">"IQ_BONDRATING_FITCH"</definedName>
    <definedName name="IQ_BONDRATING_SP" hidden="1">"IQ_BONDRATING_SP"</definedName>
    <definedName name="IQ_BOOK_VALUE" hidden="1">"IQ_BOOK_VALUE"</definedName>
    <definedName name="IQ_CAPEX_BR" hidden="1">"c111"</definedName>
    <definedName name="IQ_CH">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IT_10K" hidden="1">"IQ_EBIT_10K"</definedName>
    <definedName name="IQ_EBIT_10Q" hidden="1">"IQ_EBIT_10Q"</definedName>
    <definedName name="IQ_EBIT_10Q1" hidden="1">"IQ_EBIT_10Q1"</definedName>
    <definedName name="IQ_EBIT_GROWTH_1" hidden="1">"IQ_EBIT_GROWTH_1"</definedName>
    <definedName name="IQ_EBIT_GROWTH_2" hidden="1">"IQ_EBIT_GROWTH_2"</definedName>
    <definedName name="IQ_EBITDA_10K" hidden="1">"IQ_EBITDA_10K"</definedName>
    <definedName name="IQ_EBITDA_10Q" hidden="1">"IQ_EBITDA_10Q"</definedName>
    <definedName name="IQ_EBITDA_10Q1" hidden="1">"IQ_EBITDA_10Q1"</definedName>
    <definedName name="IQ_EBITDA_GROWTH_1" hidden="1">"IQ_EBITDA_GROWTH_1"</definedName>
    <definedName name="IQ_EBITDA_GROWTH_2" hidden="1">"IQ_EBITDA_GROWTH_2"</definedName>
    <definedName name="IQ_EBT_BR" hidden="1">"c378"</definedName>
    <definedName name="IQ_EBT_EXCL_BR" hidden="1">"c381"</definedName>
    <definedName name="IQ_EPS" hidden="1">"IQ_EPS"</definedName>
    <definedName name="IQ_EPS_10K" hidden="1">"IQ_EPS_10K"</definedName>
    <definedName name="IQ_EPS_10Q" hidden="1">"IQ_EPS_10Q"</definedName>
    <definedName name="IQ_EPS_10Q1" hidden="1">"IQ_EPS_10Q1"</definedName>
    <definedName name="IQ_EPS_EST_1" hidden="1">"IQ_EPS_EST_1"</definedName>
    <definedName name="IQ_EST_EPS_SURPRISE" hidden="1">"c1635"</definedName>
    <definedName name="IQ_EV_OVER_REVENUE_EST" hidden="1">"IQ_EV_OVER_REVENUE_EST"</definedName>
    <definedName name="IQ_EV_OVER_REVENUE_EST_1" hidden="1">"IQ_EV_OVER_REVENUE_EST_1"</definedName>
    <definedName name="IQ_EXTRA_ACC_ITEMS_BR" hidden="1">"c412"</definedName>
    <definedName name="IQ_FH">100000</definedName>
    <definedName name="IQ_FQ">500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1" hidden="1">"LTM"</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TEREST_INC_10K" hidden="1">"IQ_INTEREST_INC_10K"</definedName>
    <definedName name="IQ_INTEREST_INC_10Q" hidden="1">"IQ_INTEREST_INC_10Q"</definedName>
    <definedName name="IQ_INTEREST_INC_10Q1" hidden="1">"IQ_INTEREST_INC_10Q1"</definedName>
    <definedName name="IQ_INVEST_LOANS_CF_BR" hidden="1">"c630"</definedName>
    <definedName name="IQ_INVEST_SECURITY_CF_BR" hidden="1">"c639"</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44297.3725</definedName>
    <definedName name="IQ_NET_DEBT_ISSUED_BR" hidden="1">"c753"</definedName>
    <definedName name="IQ_NET_INC_10K" hidden="1">"IQ_NET_INC_10K"</definedName>
    <definedName name="IQ_NET_INC_10Q" hidden="1">"IQ_NET_INC_10Q"</definedName>
    <definedName name="IQ_NET_INC_10Q1" hidden="1">"IQ_NET_INC_10Q1"</definedName>
    <definedName name="IQ_NET_INC_GROWTH_1" hidden="1">"IQ_NET_INC_GROWTH_1"</definedName>
    <definedName name="IQ_NET_INC_GROWTH_2" hidden="1">"IQ_NET_INC_GROWTH_2"</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ICE_OVER_EPS_EST" hidden="1">"IQ_PRICE_OVER_EPS_EST"</definedName>
    <definedName name="IQ_PRICE_OVER_EPS_EST_1" hidden="1">"IQ_PRICE_OVER_EPS_EST_1"</definedName>
    <definedName name="IQ_PRICEDATETIME" hidden="1">"IQ_PRICEDATETIME"</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REVENUE_10K" hidden="1">"IQ_REVENUE_10K"</definedName>
    <definedName name="IQ_REVENUE_10Q" hidden="1">"IQ_REVENUE_10Q"</definedName>
    <definedName name="IQ_REVENUE_10Q1" hidden="1">"IQ_REVENUE_10Q1"</definedName>
    <definedName name="IQ_REVENUE_EST_1" hidden="1">"IQ_REVENUE_EST_1"</definedName>
    <definedName name="IQ_REVENUE_GROWTH_1" hidden="1">"IQ_REVENUE_GROWTH_1"</definedName>
    <definedName name="IQ_REVENUE_GROWTH_2" hidden="1">"IQ_REVENUE_GROWTH_2"</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ColHidden" hidden="1">FALSE</definedName>
    <definedName name="IsLTMColHidden" hidden="1">FALSE</definedName>
    <definedName name="Item">#REF!</definedName>
    <definedName name="K2_WBEVMODE" hidden="1">-1</definedName>
    <definedName name="lastCol">#REF!</definedName>
    <definedName name="latest1">[1]Inputs!$E$13</definedName>
    <definedName name="latest10">[1]Inputs!$E$472</definedName>
    <definedName name="latest11">[1]Inputs!$E$523</definedName>
    <definedName name="latest12">[1]Inputs!$E$574</definedName>
    <definedName name="latest13">[1]Inputs!$E$625</definedName>
    <definedName name="latest14">[1]Inputs!$E$676</definedName>
    <definedName name="latest15">[1]Inputs!$E$727</definedName>
    <definedName name="latest2">[1]Inputs!$E$64</definedName>
    <definedName name="latest3">[1]Inputs!$E$115</definedName>
    <definedName name="latest4">[1]Inputs!$E$166</definedName>
    <definedName name="latest5">[1]Inputs!$E$217</definedName>
    <definedName name="latest6">[1]Inputs!$E$268</definedName>
    <definedName name="latest7">[1]Inputs!$E$319</definedName>
    <definedName name="latest8">[1]Inputs!$E$370</definedName>
    <definedName name="latest9">[1]Inputs!$E$421</definedName>
    <definedName name="LBO">'[9]S&amp;U'!#REF!</definedName>
    <definedName name="left">#REF!</definedName>
    <definedName name="lett">#REF!</definedName>
    <definedName name="LIBOR">[21]Portfolio!$E$2</definedName>
    <definedName name="Libor_Assumptions">#REF!</definedName>
    <definedName name="Libor_Curve">#REF!</definedName>
    <definedName name="Libor_Down">#REF!</definedName>
    <definedName name="Libor_Down_Up">#REF!</definedName>
    <definedName name="LIBOR_Minus_1SD">[10]Revolver!#REF!</definedName>
    <definedName name="Libor_Minus_2SD">[10]Revolver!#REF!</definedName>
    <definedName name="Libor_Plus_0SD">[10]Revolver!#REF!</definedName>
    <definedName name="Libor_Plus_1SD">[10]Revolver!#REF!</definedName>
    <definedName name="Libor_Plus_2SD">[10]Revolver!#REF!</definedName>
    <definedName name="Libor_Scenario">#REF!</definedName>
    <definedName name="Libor_Up">#REF!</definedName>
    <definedName name="longterm">[5]Inputs!#REF!</definedName>
    <definedName name="LTM_DATE">#REF!</definedName>
    <definedName name="Marketable_securities">'[22]Fly-by-night - problem 5'!#REF!</definedName>
    <definedName name="MaxMarkDate">[7]SaleData!$M$3</definedName>
    <definedName name="mcs03g.ReqArray" localSheetId="3">{"Price","ICTG","TS131","D","0","0","H"}</definedName>
    <definedName name="mcs03g.ReqArray">{"Price","ICTG","TS131","D","0","0","H"}</definedName>
    <definedName name="mcs03g.ReqArray___0">#N/A</definedName>
    <definedName name="mcs03g.ReqArray___12">#N/A</definedName>
    <definedName name="mcs03g.ReqArray___2">#N/A</definedName>
    <definedName name="MKVALM">#REF!</definedName>
    <definedName name="MONTHLYSALES">#REF!</definedName>
    <definedName name="MONTHLYSALES___0">#REF!</definedName>
    <definedName name="moodys">#REF!</definedName>
    <definedName name="mu">'[23]LBO Summary'!$G$130</definedName>
    <definedName name="Name">[5]Info!$C$8</definedName>
    <definedName name="name1">[1]Inputs!$E$10</definedName>
    <definedName name="name10">[1]Inputs!$E$469</definedName>
    <definedName name="name11">[1]Inputs!$E$520</definedName>
    <definedName name="name12">[1]Inputs!$E$571</definedName>
    <definedName name="name13">[1]Inputs!$E$622</definedName>
    <definedName name="name14">[1]Inputs!$E$673</definedName>
    <definedName name="name15">[1]Inputs!$E$724</definedName>
    <definedName name="name2">[1]Inputs!$E$61</definedName>
    <definedName name="name3">[1]Inputs!$E$112</definedName>
    <definedName name="name4">[1]Inputs!$E$163</definedName>
    <definedName name="name5">[1]Inputs!$E$214</definedName>
    <definedName name="name6">[1]Inputs!$E$265</definedName>
    <definedName name="name7">[1]Inputs!$E$316</definedName>
    <definedName name="name8">[1]Inputs!$E$367</definedName>
    <definedName name="name9">[1]Inputs!$E$418</definedName>
    <definedName name="NDY">#REF!</definedName>
    <definedName name="NDYWGT">#REF!</definedName>
    <definedName name="OC1Actual">OFFSET([6]OCTrends!$C$2,0,0,COUNTA([6]OCTrends!$C$1:$C$65536)-1)</definedName>
    <definedName name="OC1ChartTitle">[6]OCTrends!$W$1</definedName>
    <definedName name="OC1Covenant">OFFSET([6]OCTrends!$D$2,0,0,COUNTA([6]OCTrends!$D$1:$D$65536)-1)</definedName>
    <definedName name="OC1Date">OFFSET([6]OCTrends!$B$2,0,0,COUNTA([6]OCTrends!$B$1:$B$65536)-1)</definedName>
    <definedName name="OC2Actual">OFFSET([6]OCTrends!$H$2,0,0,COUNTA([6]OCTrends!$H$1:$H$65536)-1)</definedName>
    <definedName name="OC2Covenant">OFFSET([6]OCTrends!$I$2,0,0,COUNTA([6]OCTrends!$I$1:$I$65536)-1)</definedName>
    <definedName name="OC2Date">OFFSET([6]OCTrends!$G$2,0,0,COUNTA([6]OCTrends!$G$1:$G$65536)-1)</definedName>
    <definedName name="OC3Actual">OFFSET([6]OCTrends!$M$2,0,0,COUNTA([6]OCTrends!$M$1:$M$65536)-1)</definedName>
    <definedName name="OC3Covenant">OFFSET([6]OCTrends!$N$2,0,0,COUNTA([6]OCTrends!$N$1:$N$65536)-1)</definedName>
    <definedName name="OC3Date">OFFSET([6]OCTrends!$L$2,0,0,COUNTA([6]OCTrends!$L$1:$L$65536)-1)</definedName>
    <definedName name="OC4Actual">OFFSET([6]OCTrends!$R$2,0,0,COUNTA([6]OCTrends!$R$1:$R$65536)-1)</definedName>
    <definedName name="OC4Covenant">OFFSET([6]OCTrends!$S$2,0,0,COUNTA([6]OCTrends!$S$1:$S$65536)-1)</definedName>
    <definedName name="OC4Date">OFFSET([6]OCTrends!$Q$2,0,0,COUNTA([6]OCTrends!$Q$1:$Q$65536)-1)</definedName>
    <definedName name="Order">#REF!</definedName>
    <definedName name="Other_assets">'[22]Fly-by-night - problem 5'!#REF!</definedName>
    <definedName name="Other_current_liabilities_Sales">'[4]Tanning Assumptions'!#REF!</definedName>
    <definedName name="Other_long_term_liabilities">'[4]Tanning Assumptions'!#REF!</definedName>
    <definedName name="OtherRev">#REF!</definedName>
    <definedName name="P_L">#REF!</definedName>
    <definedName name="PCV">[6]Calcs!$B$1</definedName>
    <definedName name="Percentage">#REF!</definedName>
    <definedName name="Period">#REF!</definedName>
    <definedName name="Period1">#REF!</definedName>
    <definedName name="Period2">#REF!</definedName>
    <definedName name="Period3">#REF!</definedName>
    <definedName name="Period4">#REF!</definedName>
    <definedName name="Period5">#REF!</definedName>
    <definedName name="Period6">#REF!</definedName>
    <definedName name="Period7">#REF!</definedName>
    <definedName name="Period8">#REF!</definedName>
    <definedName name="PERSONAL_FINANCIAL">#REF!</definedName>
    <definedName name="PERSONAL_FINANCIAL___0">#REF!</definedName>
    <definedName name="PFLTM">'[24]VeCTOR Import'!#REF!</definedName>
    <definedName name="pik">'[9]S&amp;U'!#REF!</definedName>
    <definedName name="portion1">[1]Inputs!$E$14</definedName>
    <definedName name="portion10">[1]Inputs!$E$473</definedName>
    <definedName name="portion11">[1]Inputs!$E$524</definedName>
    <definedName name="portion12">[1]Inputs!$E$575</definedName>
    <definedName name="portion13">[1]Inputs!$E$626</definedName>
    <definedName name="portion14">[1]Inputs!$E$677</definedName>
    <definedName name="portion15">[1]Inputs!$E$728</definedName>
    <definedName name="portion2">[1]Inputs!$E$65</definedName>
    <definedName name="portion3">[1]Inputs!$E$116</definedName>
    <definedName name="portion4">[1]Inputs!$E$167</definedName>
    <definedName name="portion5">[1]Inputs!$E$218</definedName>
    <definedName name="portion6">[1]Inputs!$E$269</definedName>
    <definedName name="portion7">[1]Inputs!$E$320</definedName>
    <definedName name="portion8">[1]Inputs!$E$371</definedName>
    <definedName name="portion9">[1]Inputs!$E$422</definedName>
    <definedName name="PP_E_Sales">'[4]Tanning Assumptions'!#REF!</definedName>
    <definedName name="prefbamt">#REF!</definedName>
    <definedName name="prefbamt___0">#REF!</definedName>
    <definedName name="prefbper">#REF!</definedName>
    <definedName name="prefbper___0">#REF!</definedName>
    <definedName name="Preliminary">#REF!</definedName>
    <definedName name="Prepaids_Sales">'[4]Tanning Assumptions'!#REF!</definedName>
    <definedName name="PRICES">#REF!</definedName>
    <definedName name="PRICES___0">#REF!</definedName>
    <definedName name="_xlnm.Print_Area">#REF!</definedName>
    <definedName name="_xlnm.Print_Titles">#REF!</definedName>
    <definedName name="project">[12]CONTROL!$D$8</definedName>
    <definedName name="project___0">[8]CONTROL!$D$8</definedName>
    <definedName name="ProjList">#REF!</definedName>
    <definedName name="PublicCompany">#REF!</definedName>
    <definedName name="purchase">[25]TRANSACTION!$Q$2</definedName>
    <definedName name="PURCHASE_PRICE">[26]Sheet5:D!$A$1:$H$23</definedName>
    <definedName name="qryWSO_Positions_ByFunds_CrossTab">#REF!</definedName>
    <definedName name="quarterly">#REF!</definedName>
    <definedName name="rate">#REF!</definedName>
    <definedName name="RateTable">[27]MASTER!#REF!</definedName>
    <definedName name="Rating">'[7]Actual vs Covenant'!$P$11:$Q$18</definedName>
    <definedName name="RatingFactors">#REF!</definedName>
    <definedName name="RATIOS">#REF!</definedName>
    <definedName name="RATIOS___0">#REF!</definedName>
    <definedName name="recovery">#REF!</definedName>
    <definedName name="refi">'[28]OBS - REFI'!$AP$5</definedName>
    <definedName name="REPORT">#REF!</definedName>
    <definedName name="REPORT___0">#REF!</definedName>
    <definedName name="ReprintRev">#REF!</definedName>
    <definedName name="ret">#REF!</definedName>
    <definedName name="rhl">'[20]LBO Summary'!#REF!</definedName>
    <definedName name="RoyaltyRev">#REF!</definedName>
    <definedName name="rptData">#REF!</definedName>
    <definedName name="rr">'[20]LBO Summary'!#REF!</definedName>
    <definedName name="s">#REF!</definedName>
    <definedName name="s.outstand">[5]Inputs!#REF!</definedName>
    <definedName name="SALES">#REF!</definedName>
    <definedName name="SALES___0">#REF!</definedName>
    <definedName name="sales1">[1]Inputs!$P$29</definedName>
    <definedName name="sales10">[1]Inputs!$P$488</definedName>
    <definedName name="sales11">[1]Inputs!$P$539</definedName>
    <definedName name="sales12">[1]Inputs!$P$590</definedName>
    <definedName name="sales13">[1]Inputs!$P$641</definedName>
    <definedName name="sales14">[1]Inputs!$P$692</definedName>
    <definedName name="sales15">[1]Inputs!$P$743</definedName>
    <definedName name="sales2">[1]Inputs!$P$80</definedName>
    <definedName name="sales3">[1]Inputs!$P$131</definedName>
    <definedName name="sales4">[1]Inputs!$P$182</definedName>
    <definedName name="sales5">[1]Inputs!$P$233</definedName>
    <definedName name="sales6">[1]Inputs!$P$284</definedName>
    <definedName name="sales7">[1]Inputs!$P$335</definedName>
    <definedName name="sales8">[1]Inputs!$P$386</definedName>
    <definedName name="sales9">[1]Inputs!$P$437</definedName>
    <definedName name="scen">#REF!</definedName>
    <definedName name="Scenario_11">#REF!</definedName>
    <definedName name="Scenario_12">#REF!</definedName>
    <definedName name="Scenario_13">#REF!</definedName>
    <definedName name="Scenario_14">#REF!</definedName>
    <definedName name="Scenario_15">#REF!</definedName>
    <definedName name="Scenario_16">#REF!</definedName>
    <definedName name="Scenario_17">#REF!</definedName>
    <definedName name="Scenario_18">#REF!</definedName>
    <definedName name="Scenario_19">#REF!</definedName>
    <definedName name="Scenario_20">#REF!</definedName>
    <definedName name="Scenario_21">#REF!</definedName>
    <definedName name="Scenario_22">#REF!</definedName>
    <definedName name="Scenario_23">#REF!</definedName>
    <definedName name="Scenario_24">#REF!</definedName>
    <definedName name="Scenario_25">#REF!</definedName>
    <definedName name="Scenario_26">#REF!</definedName>
    <definedName name="Scenario_27">#REF!</definedName>
    <definedName name="Scenario_28">#REF!</definedName>
    <definedName name="Scenario_31">#REF!</definedName>
    <definedName name="Scenario_32">#REF!</definedName>
    <definedName name="Scenario_33">#REF!</definedName>
    <definedName name="Scenario_34">#REF!</definedName>
    <definedName name="Scenario_35">#REF!</definedName>
    <definedName name="Scenario_36">#REF!</definedName>
    <definedName name="Scenario_37">#REF!</definedName>
    <definedName name="Scenario_38">#REF!</definedName>
    <definedName name="Scenario_39">#REF!</definedName>
    <definedName name="Scenario_41">#REF!</definedName>
    <definedName name="Scenario_42">#REF!</definedName>
    <definedName name="Scenario_43">#REF!</definedName>
    <definedName name="Scenario_44">#REF!</definedName>
    <definedName name="Scenario_51">#REF!</definedName>
    <definedName name="Scenario_52">#REF!</definedName>
    <definedName name="Scenario_53">#REF!</definedName>
    <definedName name="Section">#REF!</definedName>
    <definedName name="SENSITIVITY">#REF!</definedName>
    <definedName name="SENSITIVITY___0">#REF!</definedName>
    <definedName name="sh.equity">[5]Inputs!#REF!</definedName>
    <definedName name="sl">'[20]LBO Summary'!#REF!</definedName>
    <definedName name="snapshotdate">#REF!</definedName>
    <definedName name="sort_range">#REF!</definedName>
    <definedName name="sponsor">'[9]S&amp;U'!$J$21</definedName>
    <definedName name="Start">#REF!</definedName>
    <definedName name="Start_Date">[6]Selections!$C$1</definedName>
    <definedName name="StartDay">[6]Selections!$P$3</definedName>
    <definedName name="StartMonth">[6]Selections!$P$2</definedName>
    <definedName name="StartRefresh">'[14]Portfolio Input'!#REF!</definedName>
    <definedName name="StartYear">[6]Selections!$P$1</definedName>
    <definedName name="Strip_Amount">#REF!</definedName>
    <definedName name="Strip_PV">#REF!</definedName>
    <definedName name="stub">#REF!</definedName>
    <definedName name="stubmonths">'[29]D&amp;A'!$C$5</definedName>
    <definedName name="sub">'[20]LBO Summary'!#REF!</definedName>
    <definedName name="subdebtamount">[15]Inputs!$J$26</definedName>
    <definedName name="subdebtdate">[15]Inputs!$J$28</definedName>
    <definedName name="Subhead1">[19]_01_05_v_Wicks_xls__01_05_v_Wic!$N$2</definedName>
    <definedName name="subHeading">#REF!</definedName>
    <definedName name="summary">#REF!</definedName>
    <definedName name="support">#REF!</definedName>
    <definedName name="sweep___9">[30]COVS_ACTUAL!#REF!</definedName>
    <definedName name="target">#REF!</definedName>
    <definedName name="tax">[31]ISCF!#REF!</definedName>
    <definedName name="Taxes_Receivable_Sales">'[4]Tanning Assumptions'!#REF!</definedName>
    <definedName name="Test">#REF!</definedName>
    <definedName name="tgt">#REF!</definedName>
    <definedName name="ticker1">[1]Inputs!$E$11</definedName>
    <definedName name="ticker10">[1]Inputs!$E$470</definedName>
    <definedName name="ticker11">[1]Inputs!$E$521</definedName>
    <definedName name="ticker12">[1]Inputs!$E$572</definedName>
    <definedName name="ticker13">[1]Inputs!$E$623</definedName>
    <definedName name="ticker14">[1]Inputs!$E$674</definedName>
    <definedName name="ticker15">[1]Inputs!$E$725</definedName>
    <definedName name="ticker2">[1]Inputs!$E$62</definedName>
    <definedName name="ticker3">[1]Inputs!$E$113</definedName>
    <definedName name="ticker4">[1]Inputs!$E$164</definedName>
    <definedName name="ticker5">[1]Inputs!$E$215</definedName>
    <definedName name="ticker6">[1]Inputs!$E$266</definedName>
    <definedName name="ticker7">[1]Inputs!$E$317</definedName>
    <definedName name="ticker8">[1]Inputs!$E$368</definedName>
    <definedName name="ticker9">[1]Inputs!$E$419</definedName>
    <definedName name="TimeEnd">[6]Selections!$L$3</definedName>
    <definedName name="TimeStart">[6]Selections!$L$2</definedName>
    <definedName name="title">[28]SUM!$A$2</definedName>
    <definedName name="today">#REF!</definedName>
    <definedName name="top">#REF!</definedName>
    <definedName name="TopIC">'[7]Actual vs Covenant'!$P$31:$Q$38</definedName>
    <definedName name="TopOC">'[7]Actual vs Covenant'!$P$21:$Q$28</definedName>
    <definedName name="TOTAL">#REF!</definedName>
    <definedName name="TOTAL___0">#REF!</definedName>
    <definedName name="Total_Europe">#REF!</definedName>
    <definedName name="TotalRev">#REF!</definedName>
    <definedName name="TradedCash">[6]Principal!$G$5</definedName>
    <definedName name="trigger">[8]OBS!$U$5</definedName>
    <definedName name="TRYN_Top3">[7]TOP10!$S$3</definedName>
    <definedName name="TRYN_Top4">[7]TOP10!$S$8</definedName>
    <definedName name="TryonFitchRatingChartData">[7]TRYN!$G$2:$H$9</definedName>
    <definedName name="TryonFitchRatingChartSerial1">[7]TRYN!$H$2:$H$9</definedName>
    <definedName name="TryonFitchRatingChartXScale">[7]TRYN!$G$2:$G$9</definedName>
    <definedName name="TryonMoodyRatingChartData">[7]TRYN!$A$2:$B$15</definedName>
    <definedName name="TryonMoodyRatingChartSerial1">[7]TRYN!$B$2:$B$15</definedName>
    <definedName name="TryonMoodyRatingChartXScale">[7]TRYN!$A$2:$A$15</definedName>
    <definedName name="TryonSPRatingChartData">[7]TRYN!$D$2:$E$15</definedName>
    <definedName name="TryonSPRatingChartSerial1">[7]TRYN!$E$2:$E$15</definedName>
    <definedName name="TryonSPRatingChartXScale">[7]TRYN!$D$2:$D$15</definedName>
    <definedName name="units">'[9]S&amp;U'!$K$2</definedName>
    <definedName name="version">[28]SUM!$AE$2</definedName>
    <definedName name="version___0">[8]CONTROL!$D$9</definedName>
    <definedName name="WACActual">OFFSET([6]WACTrends!$C$2,0,0,COUNTA([6]WACTrends!$C$1:$C$65536)-1)</definedName>
    <definedName name="WACCovenant">OFFSET([6]WACTrends!$D$2,0,0,COUNTA([6]WACTrends!$D$1:$D$65536)-1)</definedName>
    <definedName name="WACDate">OFFSET([6]WACTrends!$B$2,0,0,COUNTA([6]WACTrends!$B$1:$B$65536)-1)</definedName>
    <definedName name="WALActual">OFFSET([6]WALTrends!$C$2,0,0,COUNTA([6]WALTrends!$C$1:$C$65536)-1)</definedName>
    <definedName name="WALCovenant">OFFSET([6]WALTrends!$D$2,0,0,COUNTA([6]WALTrends!$D$1:$D$65536)-1)</definedName>
    <definedName name="WALDate">OFFSET([6]WALTrends!$B$2,0,0,COUNTA([6]WALTrends!$B$1:$B$65536)-1)</definedName>
    <definedName name="WARFActual">OFFSET([6]WARFTrends!$C$2,0,0,COUNTA([6]WARFTrends!$C$1:$C$65536)-1)</definedName>
    <definedName name="WARFCovenant">OFFSET([6]WARFTrends!$D$2,0,0,COUNTA([6]WARFTrends!$D$1:$D$65536)-1)</definedName>
    <definedName name="WARFDate">OFFSET([6]WARFTrends!$B$2,0,0,COUNTA([6]WARFTrends!$B$1:$B$65536)-1)</definedName>
    <definedName name="WARFFitchActual">OFFSET([6]WARFFitchTrends!$C$2,0,0,COUNTA([6]WARFFitchTrends!$C$1:$C$65536)-1)</definedName>
    <definedName name="WARFFitchCovenant">OFFSET([6]WARFFitchTrends!$D$2,0,0,COUNTA([6]WARFFitchTrends!$D$1:$D$65536)-1)</definedName>
    <definedName name="WARFFitchDate">OFFSET([6]WARFFitchTrends!$B$2,0,0,COUNTA([6]WARFFitchTrends!$B$1:$B$65536)-1)</definedName>
    <definedName name="warrants">[15]Inputs!$O$13</definedName>
    <definedName name="WASActual">OFFSET([6]WASTrends!$C$2,0,0,COUNTA([6]WASTrends!$C$1:$C$65536)-1)</definedName>
    <definedName name="WASCovenant">OFFSET([6]WASTrends!$D$2,0,0,COUNTA([6]WASTrends!$D$1:$D$65536)-1)</definedName>
    <definedName name="WASDate">OFFSET([6]WASTrends!$B$2,0,0,COUNTA([6]WASTrends!$B$1:$B$65536)-1)</definedName>
    <definedName name="WBMIN">'[14]Portfolio Input'!#REF!</definedName>
    <definedName name="WHAT_IF">#REF!</definedName>
    <definedName name="WHAT_IF___0">#REF!</definedName>
    <definedName name="whec">[28]WHEC!$AX$2</definedName>
    <definedName name="wicksequity">[15]Inputs!$E$35</definedName>
    <definedName name="WORKING_CAPITAL">#REF!</definedName>
    <definedName name="WORKING_CAPITAL___0">#REF!</definedName>
    <definedName name="wrn.Alloutput." localSheetId="3"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CGIC._.PLICO._.Statutory._.Results." localSheetId="3"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IS." localSheetId="3"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rossroads." localSheetId="3"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3" hidden="1">{#N/A,#N/A,FALSE,"RENT ROLL";#N/A,#N/A,FALSE,"CAM";#N/A,#N/A,FALSE,"TAXES";#N/A,#N/A,FALSE,"INSURANCE";#N/A,#N/A,FALSE,"HVAC";#N/A,#N/A,FALSE,"MARKETING"}</definedName>
    <definedName name="wrn.crossroads2" hidden="1">{#N/A,#N/A,FALSE,"RENT ROLL";#N/A,#N/A,FALSE,"CAM";#N/A,#N/A,FALSE,"TAXES";#N/A,#N/A,FALSE,"INSURANCE";#N/A,#N/A,FALSE,"HVAC";#N/A,#N/A,FALSE,"MARKETING"}</definedName>
    <definedName name="wrn.dcf." localSheetId="3"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print._.graphs." localSheetId="3"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3" hidden="1">{"inputs raw data",#N/A,TRUE,"INPUT"}</definedName>
    <definedName name="wrn.print._.raw._.data._.entry." hidden="1">{"inputs raw data",#N/A,TRUE,"INPUT"}</definedName>
    <definedName name="wrn.print._.summary._.sheets." localSheetId="3" hidden="1">{"summary1",#N/A,TRUE,"Comps";"summary2",#N/A,TRUE,"Comps";"summary3",#N/A,TRUE,"Comps"}</definedName>
    <definedName name="wrn.print._.summary._.sheets." hidden="1">{"summary1",#N/A,TRUE,"Comps";"summary2",#N/A,TRUE,"Comps";"summary3",#N/A,TRUE,"Comps"}</definedName>
    <definedName name="wrn.quick." localSheetId="3"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Sales._.Activity." localSheetId="3" hidden="1">{#N/A,#N/A,FALSE,"Integration Systems"}</definedName>
    <definedName name="wrn.Sales._.Activity." hidden="1">{#N/A,#N/A,FALSE,"Integration Systems"}</definedName>
    <definedName name="wrn.Summary." localSheetId="3"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UHCO._.Statutory._.Results." localSheetId="3"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Weekly._.Inventory._.Report." localSheetId="3" hidden="1">{#N/A,#N/A,FALSE,"Combo"}</definedName>
    <definedName name="wrn.Weekly._.Inventory._.Report." hidden="1">{#N/A,#N/A,FALSE,"Combo"}</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zip">#REF!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2" l="1"/>
  <c r="J3" i="22"/>
  <c r="AE229" i="23"/>
  <c r="AE221" i="23"/>
  <c r="I209" i="23"/>
  <c r="H209" i="23"/>
  <c r="G209" i="23"/>
  <c r="F209" i="23"/>
  <c r="E209" i="23"/>
  <c r="D209" i="23"/>
  <c r="C209" i="23"/>
  <c r="I208" i="23"/>
  <c r="H208" i="23"/>
  <c r="G208" i="23"/>
  <c r="F208" i="23"/>
  <c r="E208" i="23"/>
  <c r="D208" i="23"/>
  <c r="C208" i="23"/>
  <c r="F112" i="22"/>
  <c r="F111" i="22"/>
  <c r="F110" i="22"/>
  <c r="F109" i="22"/>
  <c r="F108" i="22"/>
  <c r="F107" i="22"/>
  <c r="F102" i="22"/>
  <c r="F101" i="22"/>
  <c r="F100" i="22"/>
  <c r="F99" i="22"/>
  <c r="F98" i="22"/>
  <c r="F97" i="22"/>
  <c r="F89" i="22"/>
  <c r="F88" i="22"/>
  <c r="F87" i="22"/>
  <c r="F86" i="22"/>
  <c r="F85" i="22"/>
  <c r="F84" i="22"/>
  <c r="F83" i="22"/>
  <c r="F78" i="22"/>
  <c r="F77" i="22"/>
  <c r="F76"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J118" i="22"/>
  <c r="E14" i="22"/>
  <c r="E90" i="22"/>
  <c r="E91" i="22" s="1"/>
  <c r="I203" i="23"/>
  <c r="I205" i="23"/>
  <c r="I204" i="23"/>
  <c r="I202" i="23"/>
  <c r="I7" i="23"/>
  <c r="AE262" i="23"/>
  <c r="AE72" i="23"/>
  <c r="AE241" i="23" s="1"/>
  <c r="C38" i="22"/>
  <c r="C37" i="22"/>
  <c r="C36" i="22"/>
  <c r="C25" i="22"/>
  <c r="C23" i="22"/>
  <c r="C21" i="22"/>
  <c r="C30" i="22" s="1"/>
  <c r="C18" i="22"/>
  <c r="C17" i="22"/>
  <c r="E113" i="22"/>
  <c r="E114" i="22" s="1"/>
  <c r="E103" i="22"/>
  <c r="E104" i="22" s="1"/>
  <c r="E79" i="22"/>
  <c r="E80" i="22" s="1"/>
  <c r="C35" i="22"/>
  <c r="C12" i="22"/>
  <c r="C8" i="22"/>
  <c r="I44" i="25"/>
  <c r="I43" i="25"/>
  <c r="I42" i="25"/>
  <c r="I41" i="25"/>
  <c r="I19" i="25"/>
  <c r="I18" i="25"/>
  <c r="I35" i="25" s="1"/>
  <c r="I17" i="25"/>
  <c r="I20" i="25" s="1"/>
  <c r="I28" i="25" s="1"/>
  <c r="I16" i="25"/>
  <c r="I9" i="25"/>
  <c r="I10" i="25"/>
  <c r="I11" i="25"/>
  <c r="I8" i="25"/>
  <c r="I3" i="25"/>
  <c r="AE45" i="25"/>
  <c r="AE46" i="25" s="1"/>
  <c r="AE36" i="25"/>
  <c r="AE35" i="25"/>
  <c r="AE34" i="25"/>
  <c r="AE33" i="25"/>
  <c r="AE20" i="25"/>
  <c r="AE28" i="25" s="1"/>
  <c r="AE12" i="25"/>
  <c r="G3" i="26"/>
  <c r="Q16" i="26"/>
  <c r="Q14" i="26"/>
  <c r="Q13" i="26"/>
  <c r="Q12" i="26"/>
  <c r="Q11" i="26"/>
  <c r="Q10" i="26"/>
  <c r="Q9" i="26"/>
  <c r="Q8" i="26"/>
  <c r="Q7" i="26"/>
  <c r="Q15" i="26" s="1"/>
  <c r="Q17" i="26" s="1"/>
  <c r="Q18" i="26" s="1"/>
  <c r="I123" i="23"/>
  <c r="I122" i="23"/>
  <c r="I119" i="23"/>
  <c r="I112" i="23"/>
  <c r="I111" i="23"/>
  <c r="I107" i="23"/>
  <c r="I106" i="23"/>
  <c r="I97" i="23"/>
  <c r="I96" i="23"/>
  <c r="I95" i="23"/>
  <c r="I94" i="23"/>
  <c r="I55" i="23"/>
  <c r="I53" i="23"/>
  <c r="I51" i="23"/>
  <c r="I50" i="23"/>
  <c r="I48" i="23"/>
  <c r="I46" i="23"/>
  <c r="I45" i="23"/>
  <c r="I44" i="23"/>
  <c r="AE203" i="23"/>
  <c r="AE254" i="23" s="1"/>
  <c r="AE107" i="23"/>
  <c r="AE106" i="23"/>
  <c r="AE97" i="23"/>
  <c r="AA101" i="23"/>
  <c r="AE96" i="23"/>
  <c r="AE94" i="23"/>
  <c r="AE68" i="23"/>
  <c r="AE71" i="23"/>
  <c r="I71" i="23" s="1"/>
  <c r="AE172" i="23"/>
  <c r="AE60" i="23"/>
  <c r="AE40" i="23" s="1"/>
  <c r="AE65" i="23"/>
  <c r="AE234" i="23" s="1"/>
  <c r="I65" i="23"/>
  <c r="AE64" i="23"/>
  <c r="I64" i="23" s="1"/>
  <c r="I75" i="23"/>
  <c r="I70" i="23"/>
  <c r="I69" i="23"/>
  <c r="I66" i="23"/>
  <c r="I62" i="23"/>
  <c r="I61" i="23"/>
  <c r="I29" i="23"/>
  <c r="I26" i="23"/>
  <c r="I24" i="23"/>
  <c r="I23" i="23"/>
  <c r="I22" i="23"/>
  <c r="I21" i="23"/>
  <c r="I20" i="23"/>
  <c r="I19" i="23"/>
  <c r="I17" i="23"/>
  <c r="I16" i="23"/>
  <c r="I15" i="23"/>
  <c r="I14" i="23"/>
  <c r="I13" i="23"/>
  <c r="I9" i="23"/>
  <c r="I3" i="23"/>
  <c r="AE239" i="23"/>
  <c r="AE235" i="23"/>
  <c r="AE231" i="23"/>
  <c r="AE222" i="23"/>
  <c r="AE218" i="23"/>
  <c r="AE207" i="23"/>
  <c r="AE204" i="23"/>
  <c r="AE244" i="23"/>
  <c r="AE183" i="23"/>
  <c r="AE179" i="23"/>
  <c r="AE174" i="23"/>
  <c r="AE173" i="23"/>
  <c r="AE170" i="23"/>
  <c r="AE166" i="23"/>
  <c r="AE165" i="23"/>
  <c r="AE159" i="23"/>
  <c r="AE156" i="23"/>
  <c r="AE157" i="23" s="1"/>
  <c r="AE153" i="23"/>
  <c r="AE147" i="23"/>
  <c r="AE142" i="23"/>
  <c r="AE126" i="23"/>
  <c r="AE113" i="23"/>
  <c r="AE117" i="23"/>
  <c r="AE108" i="23"/>
  <c r="AE36" i="23" s="1"/>
  <c r="AE101" i="23"/>
  <c r="AE103" i="23"/>
  <c r="AE102" i="23"/>
  <c r="AE92" i="23"/>
  <c r="AE87" i="23"/>
  <c r="AE86" i="23"/>
  <c r="AE144" i="23" s="1"/>
  <c r="AE83" i="23"/>
  <c r="AE143" i="23" s="1"/>
  <c r="AE82" i="23"/>
  <c r="AE89" i="23"/>
  <c r="AE59" i="23"/>
  <c r="AE228" i="23" s="1"/>
  <c r="AE256" i="23" s="1"/>
  <c r="AE58" i="23"/>
  <c r="AE53" i="23"/>
  <c r="AE161" i="23" s="1"/>
  <c r="AE52" i="23"/>
  <c r="AE160" i="23" s="1"/>
  <c r="AE43" i="23"/>
  <c r="AE37" i="23"/>
  <c r="AE35" i="23"/>
  <c r="AE34" i="23"/>
  <c r="AE33" i="23"/>
  <c r="AE10" i="23"/>
  <c r="AE11" i="23" s="1"/>
  <c r="AE8" i="23"/>
  <c r="H203" i="23"/>
  <c r="H205" i="23" s="1"/>
  <c r="I33" i="25"/>
  <c r="I36" i="25"/>
  <c r="AD229" i="23"/>
  <c r="AD205" i="23"/>
  <c r="AC205" i="23"/>
  <c r="AB205" i="23"/>
  <c r="AA205" i="23"/>
  <c r="Z205" i="23"/>
  <c r="Y205" i="23"/>
  <c r="X205" i="23"/>
  <c r="W205" i="23"/>
  <c r="V205" i="23"/>
  <c r="U205" i="23"/>
  <c r="T205" i="23"/>
  <c r="S205" i="23"/>
  <c r="R205" i="23"/>
  <c r="Q205" i="23"/>
  <c r="P205" i="23"/>
  <c r="O205" i="23"/>
  <c r="N205" i="23"/>
  <c r="M205" i="23"/>
  <c r="L205" i="23"/>
  <c r="K205" i="23"/>
  <c r="G205" i="23"/>
  <c r="F205" i="23"/>
  <c r="E205" i="23"/>
  <c r="D205" i="23"/>
  <c r="C205" i="23"/>
  <c r="H71" i="23"/>
  <c r="H72" i="23"/>
  <c r="AC35" i="23"/>
  <c r="AB35" i="23"/>
  <c r="AA35" i="23"/>
  <c r="Y35" i="23"/>
  <c r="X35" i="23"/>
  <c r="U35" i="23"/>
  <c r="T35" i="23"/>
  <c r="S35" i="23"/>
  <c r="Q35" i="23"/>
  <c r="P35" i="23"/>
  <c r="O35" i="23"/>
  <c r="M35" i="23"/>
  <c r="L35" i="23"/>
  <c r="K35" i="23"/>
  <c r="H35" i="23"/>
  <c r="G35" i="23"/>
  <c r="F35" i="23"/>
  <c r="E35" i="23"/>
  <c r="D35" i="23"/>
  <c r="C35" i="23"/>
  <c r="B35" i="23"/>
  <c r="AC34" i="23"/>
  <c r="AB34" i="23"/>
  <c r="AA34" i="23"/>
  <c r="Y34" i="23"/>
  <c r="X34" i="23"/>
  <c r="U34" i="23"/>
  <c r="T34" i="23"/>
  <c r="S34" i="23"/>
  <c r="Q34" i="23"/>
  <c r="P34" i="23"/>
  <c r="O34" i="23"/>
  <c r="M34" i="23"/>
  <c r="L34" i="23"/>
  <c r="K34" i="23"/>
  <c r="H34" i="23"/>
  <c r="G34" i="23"/>
  <c r="F34" i="23"/>
  <c r="E34" i="23"/>
  <c r="D34" i="23"/>
  <c r="C34" i="23"/>
  <c r="B34" i="23"/>
  <c r="AB8" i="23"/>
  <c r="AC8" i="23"/>
  <c r="AD44" i="25"/>
  <c r="AD43" i="25"/>
  <c r="AD42" i="25"/>
  <c r="AD41" i="25"/>
  <c r="AD19" i="25"/>
  <c r="AD18" i="25"/>
  <c r="AD17" i="25"/>
  <c r="AD16" i="25"/>
  <c r="AD11" i="25"/>
  <c r="AD10" i="25"/>
  <c r="AD9" i="25"/>
  <c r="AD8" i="25"/>
  <c r="AD12" i="25" s="1"/>
  <c r="AD45" i="25"/>
  <c r="H45" i="25"/>
  <c r="H46" i="25" s="1"/>
  <c r="H36" i="25"/>
  <c r="H35" i="25"/>
  <c r="H34" i="25"/>
  <c r="H33" i="25"/>
  <c r="H20" i="25"/>
  <c r="H27" i="25" s="1"/>
  <c r="H12" i="25"/>
  <c r="F16" i="26"/>
  <c r="F14" i="26"/>
  <c r="F13" i="26"/>
  <c r="F12" i="26"/>
  <c r="F11" i="26"/>
  <c r="F10" i="26"/>
  <c r="F9" i="26"/>
  <c r="F8" i="26"/>
  <c r="E196" i="22"/>
  <c r="C153" i="22"/>
  <c r="C152" i="22"/>
  <c r="C151" i="22"/>
  <c r="E23" i="22" l="1"/>
  <c r="I72" i="23"/>
  <c r="D36" i="22"/>
  <c r="E9" i="22"/>
  <c r="E17" i="22"/>
  <c r="E10" i="22"/>
  <c r="D37" i="22"/>
  <c r="E18" i="22"/>
  <c r="D38" i="22"/>
  <c r="C16" i="22"/>
  <c r="C20" i="22" s="1"/>
  <c r="C26" i="22" s="1"/>
  <c r="D35" i="22"/>
  <c r="D30" i="22"/>
  <c r="D31" i="22" s="1"/>
  <c r="C31" i="22"/>
  <c r="E21" i="22"/>
  <c r="C39" i="22"/>
  <c r="C40" i="22" s="1"/>
  <c r="E13" i="22"/>
  <c r="E12" i="22" s="1"/>
  <c r="I45" i="25"/>
  <c r="I46" i="25" s="1"/>
  <c r="I34" i="25"/>
  <c r="AE21" i="25"/>
  <c r="AE25" i="25"/>
  <c r="AE37" i="25"/>
  <c r="AE26" i="25"/>
  <c r="AE27" i="25"/>
  <c r="AE248" i="23"/>
  <c r="AE212" i="23"/>
  <c r="AE253" i="23"/>
  <c r="AE205" i="23"/>
  <c r="AE208" i="23"/>
  <c r="AE209" i="23"/>
  <c r="AE210" i="23" s="1"/>
  <c r="I230" i="23"/>
  <c r="I60" i="23"/>
  <c r="AE240" i="23"/>
  <c r="AE237" i="23"/>
  <c r="I68" i="23"/>
  <c r="AE169" i="23"/>
  <c r="AE136" i="23"/>
  <c r="AE196" i="23" s="1"/>
  <c r="AE137" i="23"/>
  <c r="AE197" i="23" s="1"/>
  <c r="AE18" i="23"/>
  <c r="AE25" i="23" s="1"/>
  <c r="AE38" i="23" s="1"/>
  <c r="AE267" i="23"/>
  <c r="AE98" i="23"/>
  <c r="AE99" i="23" s="1"/>
  <c r="AE164" i="23"/>
  <c r="AE41" i="23"/>
  <c r="AE116" i="23"/>
  <c r="AE118" i="23" s="1"/>
  <c r="AE230" i="23"/>
  <c r="AE238" i="23"/>
  <c r="AE56" i="23"/>
  <c r="AE145" i="23"/>
  <c r="AE175" i="23"/>
  <c r="AE168" i="23"/>
  <c r="AE176" i="23"/>
  <c r="AE224" i="23"/>
  <c r="AE233" i="23"/>
  <c r="AE266" i="23" s="1"/>
  <c r="AE55" i="23"/>
  <c r="AE63" i="23"/>
  <c r="AE163" i="23"/>
  <c r="I12" i="25"/>
  <c r="I21" i="25"/>
  <c r="I25" i="25"/>
  <c r="I26" i="25"/>
  <c r="I37" i="25"/>
  <c r="I27" i="25"/>
  <c r="AD20" i="25"/>
  <c r="AD27" i="25" s="1"/>
  <c r="H26" i="25"/>
  <c r="H25" i="25"/>
  <c r="H28" i="25"/>
  <c r="H21" i="25"/>
  <c r="AD123" i="23"/>
  <c r="C138" i="22" s="1"/>
  <c r="AD122" i="23"/>
  <c r="AD119" i="23"/>
  <c r="C136" i="22" s="1"/>
  <c r="AD112" i="23"/>
  <c r="C133" i="22" s="1"/>
  <c r="AD111" i="23"/>
  <c r="C132" i="22" s="1"/>
  <c r="AD95" i="23"/>
  <c r="AD51" i="23"/>
  <c r="AD45" i="23"/>
  <c r="P16" i="26" s="1"/>
  <c r="AD29" i="23"/>
  <c r="AD26" i="23"/>
  <c r="P14" i="26" s="1"/>
  <c r="AD24" i="23"/>
  <c r="AD23" i="23"/>
  <c r="P13" i="26" s="1"/>
  <c r="AD22" i="23"/>
  <c r="P12" i="26" s="1"/>
  <c r="AD21" i="23"/>
  <c r="P11" i="26" s="1"/>
  <c r="AD20" i="23"/>
  <c r="P10" i="26" s="1"/>
  <c r="AD19" i="23"/>
  <c r="P9" i="26" s="1"/>
  <c r="AD17" i="23"/>
  <c r="P8" i="26" s="1"/>
  <c r="AD16" i="23"/>
  <c r="AD15" i="23"/>
  <c r="AD14" i="23"/>
  <c r="AD13" i="23"/>
  <c r="AD9" i="23"/>
  <c r="I101" i="23" s="1"/>
  <c r="AD7" i="23"/>
  <c r="I218" i="23"/>
  <c r="I207" i="23"/>
  <c r="I153" i="23"/>
  <c r="I142" i="23"/>
  <c r="I126" i="23"/>
  <c r="I92" i="23"/>
  <c r="I82" i="23"/>
  <c r="I58" i="23"/>
  <c r="I43" i="23"/>
  <c r="E8" i="22" l="1"/>
  <c r="D39" i="22"/>
  <c r="E16" i="22"/>
  <c r="E20" i="22" s="1"/>
  <c r="E22" i="22" s="1"/>
  <c r="C22" i="22"/>
  <c r="D20" i="22"/>
  <c r="D22" i="22"/>
  <c r="C24" i="22"/>
  <c r="F164" i="22"/>
  <c r="AE29" i="25"/>
  <c r="AE44" i="23"/>
  <c r="AE46" i="23" s="1"/>
  <c r="AE48" i="23" s="1"/>
  <c r="AE27" i="23"/>
  <c r="AE28" i="23" s="1"/>
  <c r="AE124" i="23"/>
  <c r="AE146" i="23"/>
  <c r="AE120" i="23"/>
  <c r="AE132" i="23"/>
  <c r="AE247" i="23"/>
  <c r="AE182" i="23"/>
  <c r="AE129" i="23"/>
  <c r="AE189" i="23" s="1"/>
  <c r="AE232" i="23"/>
  <c r="AE167" i="23"/>
  <c r="AE67" i="23"/>
  <c r="AE226" i="23"/>
  <c r="AE225" i="23"/>
  <c r="I29" i="25"/>
  <c r="AD46" i="25"/>
  <c r="I35" i="23"/>
  <c r="AD35" i="23"/>
  <c r="I34" i="23"/>
  <c r="AD34" i="23"/>
  <c r="G13" i="26"/>
  <c r="G8" i="26"/>
  <c r="I113" i="23"/>
  <c r="I186" i="23"/>
  <c r="I156" i="23"/>
  <c r="I10" i="23"/>
  <c r="I11" i="23" s="1"/>
  <c r="I83" i="23"/>
  <c r="I143" i="23" s="1"/>
  <c r="G14" i="26"/>
  <c r="G16" i="26"/>
  <c r="I33" i="23"/>
  <c r="G10" i="26"/>
  <c r="G11" i="26"/>
  <c r="G12" i="26"/>
  <c r="AD21" i="25"/>
  <c r="AD26" i="25"/>
  <c r="AD25" i="25"/>
  <c r="AD28" i="25"/>
  <c r="H29" i="25"/>
  <c r="F113" i="22" l="1"/>
  <c r="F103" i="22"/>
  <c r="F79" i="22"/>
  <c r="F90" i="22"/>
  <c r="E24" i="22"/>
  <c r="AE30" i="23"/>
  <c r="AE47" i="23"/>
  <c r="AE50" i="23"/>
  <c r="AE149" i="23"/>
  <c r="AE192" i="23"/>
  <c r="AE249" i="23"/>
  <c r="AE259" i="23"/>
  <c r="AE236" i="23"/>
  <c r="AE171" i="23"/>
  <c r="AE73" i="23"/>
  <c r="AE74" i="23" s="1"/>
  <c r="AE80" i="23" s="1"/>
  <c r="AE90" i="23"/>
  <c r="AE139" i="23"/>
  <c r="AE199" i="23" s="1"/>
  <c r="AE131" i="23"/>
  <c r="AE184" i="23"/>
  <c r="AE128" i="23"/>
  <c r="AE188" i="23" s="1"/>
  <c r="AE148" i="23"/>
  <c r="AE213" i="23" s="1"/>
  <c r="AE215" i="23" s="1"/>
  <c r="AE211" i="23"/>
  <c r="AE214" i="23" s="1"/>
  <c r="AD29" i="25"/>
  <c r="I37" i="23"/>
  <c r="G9" i="26"/>
  <c r="I18" i="23"/>
  <c r="I84" i="23" s="1"/>
  <c r="I147" i="23"/>
  <c r="I183" i="23"/>
  <c r="I161" i="23"/>
  <c r="I159" i="23"/>
  <c r="I86" i="23"/>
  <c r="I59" i="23"/>
  <c r="I74" i="23" l="1"/>
  <c r="AE242" i="23"/>
  <c r="AE177" i="23"/>
  <c r="AE251" i="23"/>
  <c r="AE264" i="23" s="1"/>
  <c r="AE186" i="23"/>
  <c r="AE134" i="23"/>
  <c r="AE194" i="23" s="1"/>
  <c r="AE191" i="23"/>
  <c r="AE150" i="23"/>
  <c r="AE269" i="23"/>
  <c r="AE261" i="23"/>
  <c r="AE258" i="23"/>
  <c r="I85" i="23"/>
  <c r="I25" i="23"/>
  <c r="I163" i="23"/>
  <c r="I134" i="23"/>
  <c r="I194" i="23" s="1"/>
  <c r="I144" i="23"/>
  <c r="I145" i="23" s="1"/>
  <c r="AE243" i="23" l="1"/>
  <c r="AE178" i="23"/>
  <c r="AE76" i="23"/>
  <c r="I27" i="23"/>
  <c r="G7" i="26" s="1"/>
  <c r="G15" i="26" s="1"/>
  <c r="G17" i="26" s="1"/>
  <c r="G18" i="26" s="1"/>
  <c r="I38" i="23"/>
  <c r="AD202" i="23"/>
  <c r="AD203" i="23"/>
  <c r="E230" i="22"/>
  <c r="E231" i="22" s="1"/>
  <c r="E220" i="22"/>
  <c r="E221" i="22" s="1"/>
  <c r="E207" i="22"/>
  <c r="E208" i="22" s="1"/>
  <c r="E197" i="22"/>
  <c r="C150" i="22"/>
  <c r="C145" i="22"/>
  <c r="C131" i="22"/>
  <c r="C127" i="22"/>
  <c r="C123" i="22"/>
  <c r="H107" i="23"/>
  <c r="H106" i="23"/>
  <c r="AD106" i="23" s="1"/>
  <c r="H97" i="23"/>
  <c r="AD97" i="23" s="1"/>
  <c r="I103" i="23" s="1"/>
  <c r="H96" i="23"/>
  <c r="AD96" i="23" s="1"/>
  <c r="H94" i="23"/>
  <c r="AD94" i="23" s="1"/>
  <c r="H68" i="23"/>
  <c r="H172" i="23" s="1"/>
  <c r="H176" i="23"/>
  <c r="H64" i="23"/>
  <c r="H60" i="23"/>
  <c r="AD218" i="23"/>
  <c r="AD207" i="23"/>
  <c r="AD153" i="23"/>
  <c r="AD142" i="23"/>
  <c r="AD126" i="23"/>
  <c r="AD254" i="23"/>
  <c r="AD248" i="23"/>
  <c r="AD101" i="23"/>
  <c r="AD92" i="23"/>
  <c r="AD82" i="23"/>
  <c r="AD58" i="23"/>
  <c r="AD43" i="23"/>
  <c r="AD37" i="23"/>
  <c r="AD33" i="23"/>
  <c r="H218" i="23"/>
  <c r="H207" i="23"/>
  <c r="H186" i="23"/>
  <c r="H183" i="23"/>
  <c r="H179" i="23"/>
  <c r="H174" i="23"/>
  <c r="H173" i="23"/>
  <c r="H169" i="23"/>
  <c r="H166" i="23"/>
  <c r="H165" i="23"/>
  <c r="H159" i="23"/>
  <c r="H156" i="23"/>
  <c r="H153" i="23"/>
  <c r="H147" i="23"/>
  <c r="H142" i="23"/>
  <c r="H126" i="23"/>
  <c r="H113" i="23"/>
  <c r="H101" i="23"/>
  <c r="H92" i="23"/>
  <c r="H87" i="23"/>
  <c r="H86" i="23"/>
  <c r="H83" i="23"/>
  <c r="H143" i="23" s="1"/>
  <c r="H82" i="23"/>
  <c r="H59" i="23"/>
  <c r="H58" i="23"/>
  <c r="H53" i="23"/>
  <c r="H161" i="23" s="1"/>
  <c r="H52" i="23"/>
  <c r="H160" i="23" s="1"/>
  <c r="H43" i="23"/>
  <c r="H37" i="23"/>
  <c r="H33" i="23"/>
  <c r="H10" i="23"/>
  <c r="H18" i="23" s="1"/>
  <c r="H8" i="23"/>
  <c r="C270" i="22"/>
  <c r="C269" i="22"/>
  <c r="C268" i="22"/>
  <c r="C255" i="22"/>
  <c r="C253" i="22"/>
  <c r="C262" i="22" s="1"/>
  <c r="C263" i="22" s="1"/>
  <c r="C250" i="22"/>
  <c r="C249" i="22"/>
  <c r="E352" i="22"/>
  <c r="E353" i="22" s="1"/>
  <c r="E342" i="22"/>
  <c r="E343" i="22" s="1"/>
  <c r="E329" i="22"/>
  <c r="E330" i="22" s="1"/>
  <c r="E316" i="22"/>
  <c r="E317" i="22" s="1"/>
  <c r="C267" i="22"/>
  <c r="C244" i="22"/>
  <c r="C240" i="22"/>
  <c r="AB36" i="25"/>
  <c r="AA36" i="25"/>
  <c r="Y36" i="25"/>
  <c r="X36" i="25"/>
  <c r="W36" i="25"/>
  <c r="U36" i="25"/>
  <c r="T36" i="25"/>
  <c r="S36" i="25"/>
  <c r="Q36" i="25"/>
  <c r="P36" i="25"/>
  <c r="O36" i="25"/>
  <c r="AB35" i="25"/>
  <c r="AA35" i="25"/>
  <c r="Y35" i="25"/>
  <c r="X35" i="25"/>
  <c r="W35" i="25"/>
  <c r="U35" i="25"/>
  <c r="T35" i="25"/>
  <c r="S35" i="25"/>
  <c r="Q35" i="25"/>
  <c r="P35" i="25"/>
  <c r="O35" i="25"/>
  <c r="AB34" i="25"/>
  <c r="AA34" i="25"/>
  <c r="Y34" i="25"/>
  <c r="X34" i="25"/>
  <c r="W34" i="25"/>
  <c r="U34" i="25"/>
  <c r="T34" i="25"/>
  <c r="S34" i="25"/>
  <c r="Q34" i="25"/>
  <c r="P34" i="25"/>
  <c r="O34" i="25"/>
  <c r="AB33" i="25"/>
  <c r="AA33" i="25"/>
  <c r="Y33" i="25"/>
  <c r="X33" i="25"/>
  <c r="W33" i="25"/>
  <c r="U33" i="25"/>
  <c r="T33" i="25"/>
  <c r="S33" i="25"/>
  <c r="Q33" i="25"/>
  <c r="P33" i="25"/>
  <c r="O33" i="25"/>
  <c r="AC36" i="25"/>
  <c r="AC35" i="25"/>
  <c r="AC34" i="25"/>
  <c r="AC33" i="25"/>
  <c r="G36" i="25"/>
  <c r="F36" i="25"/>
  <c r="E36" i="25"/>
  <c r="G35" i="25"/>
  <c r="F35" i="25"/>
  <c r="E35" i="25"/>
  <c r="G34" i="25"/>
  <c r="F34" i="25"/>
  <c r="E34" i="25"/>
  <c r="G33" i="25"/>
  <c r="F33" i="25"/>
  <c r="E33" i="25"/>
  <c r="D36" i="25"/>
  <c r="D35" i="25"/>
  <c r="D34" i="25"/>
  <c r="D33" i="25"/>
  <c r="AC12" i="25"/>
  <c r="AC45" i="25"/>
  <c r="AC46" i="25" s="1"/>
  <c r="AC20" i="25"/>
  <c r="AC21" i="25" s="1"/>
  <c r="O16" i="26"/>
  <c r="O14" i="26"/>
  <c r="O13" i="26"/>
  <c r="O12" i="26"/>
  <c r="O11" i="26"/>
  <c r="O10" i="26"/>
  <c r="O9" i="26"/>
  <c r="O8" i="26"/>
  <c r="AC202" i="23"/>
  <c r="AC203" i="23"/>
  <c r="J235" i="22" s="1"/>
  <c r="AC107" i="23"/>
  <c r="AC106" i="23"/>
  <c r="AC97" i="23"/>
  <c r="AC96" i="23"/>
  <c r="AC94" i="23"/>
  <c r="AE77" i="23" l="1"/>
  <c r="AE79" i="23" s="1"/>
  <c r="AE245" i="23"/>
  <c r="AE180" i="23"/>
  <c r="AC28" i="25"/>
  <c r="H116" i="23"/>
  <c r="I28" i="23"/>
  <c r="I30" i="23"/>
  <c r="I88" i="23"/>
  <c r="H164" i="23"/>
  <c r="H168" i="23"/>
  <c r="H103" i="23"/>
  <c r="I102" i="23"/>
  <c r="I98" i="23"/>
  <c r="I99" i="23" s="1"/>
  <c r="I116" i="23"/>
  <c r="H108" i="23"/>
  <c r="H36" i="23" s="1"/>
  <c r="AD107" i="23"/>
  <c r="I117" i="23" s="1"/>
  <c r="H102" i="23"/>
  <c r="C135" i="22"/>
  <c r="AD147" i="23"/>
  <c r="AD212" i="23" s="1"/>
  <c r="AD113" i="23"/>
  <c r="AD253" i="23" s="1"/>
  <c r="C248" i="22"/>
  <c r="C252" i="22" s="1"/>
  <c r="H117" i="23"/>
  <c r="AD53" i="23"/>
  <c r="AD161" i="23" s="1"/>
  <c r="C146" i="22"/>
  <c r="C154" i="22"/>
  <c r="C155" i="22" s="1"/>
  <c r="H137" i="23"/>
  <c r="H197" i="23" s="1"/>
  <c r="H56" i="23"/>
  <c r="H40" i="23"/>
  <c r="AD59" i="23"/>
  <c r="AD86" i="23"/>
  <c r="C140" i="22" s="1"/>
  <c r="AD156" i="23"/>
  <c r="AD183" i="23"/>
  <c r="AD221" i="23"/>
  <c r="AD10" i="23"/>
  <c r="AD18" i="23" s="1"/>
  <c r="AE84" i="23" s="1"/>
  <c r="AD159" i="23"/>
  <c r="AD224" i="23"/>
  <c r="AD83" i="23"/>
  <c r="AD143" i="23" s="1"/>
  <c r="H84" i="23"/>
  <c r="H25" i="23"/>
  <c r="H44" i="23"/>
  <c r="H46" i="23" s="1"/>
  <c r="F347" i="22"/>
  <c r="F328" i="22"/>
  <c r="F320" i="22"/>
  <c r="F309" i="22"/>
  <c r="F301" i="22"/>
  <c r="F293" i="22"/>
  <c r="F285" i="22"/>
  <c r="F340" i="22"/>
  <c r="F306" i="22"/>
  <c r="F298" i="22"/>
  <c r="F282" i="22"/>
  <c r="F348" i="22"/>
  <c r="F346" i="22"/>
  <c r="F327" i="22"/>
  <c r="F308" i="22"/>
  <c r="F300" i="22"/>
  <c r="F292" i="22"/>
  <c r="F284" i="22"/>
  <c r="F325" i="22"/>
  <c r="F290" i="22"/>
  <c r="F321" i="22"/>
  <c r="F341" i="22"/>
  <c r="F326" i="22"/>
  <c r="F315" i="22"/>
  <c r="F307" i="22"/>
  <c r="F299" i="22"/>
  <c r="F291" i="22"/>
  <c r="F283" i="22"/>
  <c r="F314" i="22"/>
  <c r="F336" i="22"/>
  <c r="F302" i="22"/>
  <c r="F294" i="22"/>
  <c r="F278" i="22"/>
  <c r="F351" i="22"/>
  <c r="F339" i="22"/>
  <c r="F324" i="22"/>
  <c r="F313" i="22"/>
  <c r="F305" i="22"/>
  <c r="F297" i="22"/>
  <c r="F289" i="22"/>
  <c r="F281" i="22"/>
  <c r="F349" i="22"/>
  <c r="F350" i="22"/>
  <c r="F338" i="22"/>
  <c r="F323" i="22"/>
  <c r="F312" i="22"/>
  <c r="F304" i="22"/>
  <c r="F296" i="22"/>
  <c r="F288" i="22"/>
  <c r="F280" i="22"/>
  <c r="F337" i="22"/>
  <c r="F322" i="22"/>
  <c r="F311" i="22"/>
  <c r="F303" i="22"/>
  <c r="F295" i="22"/>
  <c r="F287" i="22"/>
  <c r="F279" i="22"/>
  <c r="F310" i="22"/>
  <c r="F286" i="22"/>
  <c r="H41" i="23"/>
  <c r="H55" i="23"/>
  <c r="H144" i="23"/>
  <c r="H98" i="23"/>
  <c r="H99" i="23" s="1"/>
  <c r="H89" i="23"/>
  <c r="H136" i="23" s="1"/>
  <c r="H196" i="23" s="1"/>
  <c r="H175" i="23"/>
  <c r="H134" i="23"/>
  <c r="H194" i="23" s="1"/>
  <c r="H11" i="23"/>
  <c r="H170" i="23"/>
  <c r="H63" i="23"/>
  <c r="H163" i="23"/>
  <c r="D262" i="22"/>
  <c r="D267" i="22"/>
  <c r="D268" i="22"/>
  <c r="E241" i="22"/>
  <c r="D269" i="22"/>
  <c r="D270" i="22"/>
  <c r="E255" i="22"/>
  <c r="E250" i="22"/>
  <c r="E249" i="22"/>
  <c r="E242" i="22"/>
  <c r="E253" i="22"/>
  <c r="C271" i="22"/>
  <c r="C272" i="22" s="1"/>
  <c r="E245" i="22"/>
  <c r="E246" i="22"/>
  <c r="AC27" i="25"/>
  <c r="AC26" i="25"/>
  <c r="AC25" i="25"/>
  <c r="H118" i="23" l="1"/>
  <c r="H146" i="23" s="1"/>
  <c r="C137" i="22"/>
  <c r="C139" i="22" s="1"/>
  <c r="I118" i="23"/>
  <c r="I108" i="23"/>
  <c r="I36" i="23" s="1"/>
  <c r="AC29" i="25"/>
  <c r="AD226" i="23"/>
  <c r="AD228" i="23"/>
  <c r="AD163" i="23"/>
  <c r="AD11" i="23"/>
  <c r="AD144" i="23"/>
  <c r="H145" i="23"/>
  <c r="H85" i="23"/>
  <c r="H50" i="23"/>
  <c r="H48" i="23"/>
  <c r="H38" i="23"/>
  <c r="H27" i="23"/>
  <c r="F7" i="26" s="1"/>
  <c r="F15" i="26" s="1"/>
  <c r="F17" i="26" s="1"/>
  <c r="F18" i="26" s="1"/>
  <c r="H167" i="23"/>
  <c r="H67" i="23"/>
  <c r="E248" i="22"/>
  <c r="D263" i="22"/>
  <c r="E244" i="22"/>
  <c r="E240" i="22"/>
  <c r="D271" i="22"/>
  <c r="F316" i="22"/>
  <c r="F352" i="22"/>
  <c r="C254" i="22"/>
  <c r="F329" i="22"/>
  <c r="F342" i="22"/>
  <c r="G37" i="23"/>
  <c r="F37" i="23"/>
  <c r="E37" i="23"/>
  <c r="D37" i="23"/>
  <c r="C37" i="23"/>
  <c r="AC218" i="23"/>
  <c r="AC207" i="23"/>
  <c r="AC254" i="23"/>
  <c r="AC183" i="23"/>
  <c r="AC159" i="23"/>
  <c r="AC156" i="23"/>
  <c r="AC153" i="23"/>
  <c r="AC147" i="23"/>
  <c r="AC212" i="23" s="1"/>
  <c r="AC142" i="23"/>
  <c r="AC126" i="23"/>
  <c r="AC117" i="23"/>
  <c r="AC116" i="23"/>
  <c r="AC113" i="23"/>
  <c r="AC253" i="23" s="1"/>
  <c r="AC108" i="23"/>
  <c r="AC103" i="23"/>
  <c r="AC102" i="23"/>
  <c r="AC101" i="23"/>
  <c r="AC98" i="23"/>
  <c r="AC92" i="23"/>
  <c r="AC82" i="23"/>
  <c r="AC59" i="23"/>
  <c r="AC58" i="23"/>
  <c r="AC53" i="23"/>
  <c r="AC161" i="23" s="1"/>
  <c r="AC52" i="23"/>
  <c r="AC160" i="23" s="1"/>
  <c r="AC43" i="23"/>
  <c r="AC33" i="23"/>
  <c r="AC10" i="23"/>
  <c r="AC11" i="23" s="1"/>
  <c r="C394" i="22"/>
  <c r="C393" i="22"/>
  <c r="C392" i="22"/>
  <c r="C368" i="22"/>
  <c r="C379" i="22"/>
  <c r="C377" i="22"/>
  <c r="C386" i="22" s="1"/>
  <c r="C388" i="22" s="1"/>
  <c r="C374" i="22"/>
  <c r="C373" i="22"/>
  <c r="E473" i="22"/>
  <c r="E474" i="22" s="1"/>
  <c r="E463" i="22"/>
  <c r="E464" i="22" s="1"/>
  <c r="E450" i="22"/>
  <c r="E451" i="22" s="1"/>
  <c r="E437" i="22"/>
  <c r="E438" i="22" s="1"/>
  <c r="C391" i="22"/>
  <c r="C364" i="22"/>
  <c r="AB45" i="25"/>
  <c r="AB46" i="25" s="1"/>
  <c r="AB20" i="25"/>
  <c r="AB12" i="25"/>
  <c r="N16" i="26"/>
  <c r="N14" i="26"/>
  <c r="N13" i="26"/>
  <c r="N12" i="26"/>
  <c r="N11" i="26"/>
  <c r="N10" i="26"/>
  <c r="N9" i="26"/>
  <c r="N8" i="26"/>
  <c r="AB203" i="23"/>
  <c r="J359" i="22" s="1"/>
  <c r="F435" i="22" s="1"/>
  <c r="AB107" i="23"/>
  <c r="AB117" i="23" s="1"/>
  <c r="AB106" i="23"/>
  <c r="AB116" i="23" s="1"/>
  <c r="AB113" i="23"/>
  <c r="AB97" i="23"/>
  <c r="AB96" i="23"/>
  <c r="AB94" i="23"/>
  <c r="H182" i="23" l="1"/>
  <c r="H129" i="23"/>
  <c r="H189" i="23" s="1"/>
  <c r="H132" i="23"/>
  <c r="H192" i="23" s="1"/>
  <c r="H120" i="23"/>
  <c r="H139" i="23" s="1"/>
  <c r="H199" i="23" s="1"/>
  <c r="H124" i="23"/>
  <c r="I132" i="23"/>
  <c r="I182" i="23"/>
  <c r="I146" i="23"/>
  <c r="I124" i="23"/>
  <c r="I129" i="23"/>
  <c r="I189" i="23" s="1"/>
  <c r="I120" i="23"/>
  <c r="AD44" i="23"/>
  <c r="AD46" i="23" s="1"/>
  <c r="AD25" i="23"/>
  <c r="AD145" i="23"/>
  <c r="H149" i="23"/>
  <c r="H148" i="23"/>
  <c r="H131" i="23"/>
  <c r="H128" i="23"/>
  <c r="H188" i="23" s="1"/>
  <c r="H171" i="23"/>
  <c r="H73" i="23"/>
  <c r="H74" i="23" s="1"/>
  <c r="H90" i="23"/>
  <c r="H30" i="23"/>
  <c r="H88" i="23"/>
  <c r="H28" i="23"/>
  <c r="E252" i="22"/>
  <c r="E254" i="22" s="1"/>
  <c r="E256" i="22" s="1"/>
  <c r="C256" i="22"/>
  <c r="AB21" i="25"/>
  <c r="AB25" i="25"/>
  <c r="AB26" i="25"/>
  <c r="AB28" i="25"/>
  <c r="AB27" i="25"/>
  <c r="AC118" i="23"/>
  <c r="AC182" i="23" s="1"/>
  <c r="AC18" i="23"/>
  <c r="AC248" i="23"/>
  <c r="AC163" i="23"/>
  <c r="E374" i="22"/>
  <c r="E373" i="22"/>
  <c r="E368" i="22"/>
  <c r="E393" i="22"/>
  <c r="C395" i="22"/>
  <c r="C396" i="22" s="1"/>
  <c r="E392" i="22"/>
  <c r="F444" i="22"/>
  <c r="E394" i="22"/>
  <c r="F409" i="22"/>
  <c r="F460" i="22"/>
  <c r="E377" i="22"/>
  <c r="E386" i="22" s="1"/>
  <c r="E388" i="22" s="1"/>
  <c r="F419" i="22"/>
  <c r="F427" i="22"/>
  <c r="F468" i="22"/>
  <c r="F467" i="22"/>
  <c r="F410" i="22"/>
  <c r="F436" i="22"/>
  <c r="F445" i="22"/>
  <c r="E370" i="22"/>
  <c r="F403" i="22"/>
  <c r="F411" i="22"/>
  <c r="F421" i="22"/>
  <c r="F429" i="22"/>
  <c r="F446" i="22"/>
  <c r="F462" i="22"/>
  <c r="F470" i="22"/>
  <c r="C372" i="22"/>
  <c r="C376" i="22" s="1"/>
  <c r="F404" i="22"/>
  <c r="F412" i="22"/>
  <c r="F422" i="22"/>
  <c r="F430" i="22"/>
  <c r="F447" i="22"/>
  <c r="F471" i="22"/>
  <c r="F420" i="22"/>
  <c r="F461" i="22"/>
  <c r="E364" i="22"/>
  <c r="F413" i="22"/>
  <c r="E365" i="22"/>
  <c r="F406" i="22"/>
  <c r="F414" i="22"/>
  <c r="F424" i="22"/>
  <c r="F432" i="22"/>
  <c r="F441" i="22"/>
  <c r="F449" i="22"/>
  <c r="F457" i="22"/>
  <c r="E369" i="22"/>
  <c r="F402" i="22"/>
  <c r="F428" i="22"/>
  <c r="E379" i="22"/>
  <c r="F405" i="22"/>
  <c r="F423" i="22"/>
  <c r="F431" i="22"/>
  <c r="F448" i="22"/>
  <c r="F472" i="22"/>
  <c r="E366" i="22"/>
  <c r="F407" i="22"/>
  <c r="F415" i="22"/>
  <c r="F425" i="22"/>
  <c r="F433" i="22"/>
  <c r="F442" i="22"/>
  <c r="F458" i="22"/>
  <c r="F469" i="22"/>
  <c r="E391" i="22"/>
  <c r="F408" i="22"/>
  <c r="F416" i="22"/>
  <c r="F426" i="22"/>
  <c r="F434" i="22"/>
  <c r="F443" i="22"/>
  <c r="F459" i="22"/>
  <c r="AB118" i="23"/>
  <c r="AB124" i="23" s="1"/>
  <c r="AB108" i="23"/>
  <c r="AB75" i="23"/>
  <c r="AB70" i="23"/>
  <c r="AB69" i="23"/>
  <c r="AB68" i="23"/>
  <c r="AB66" i="23"/>
  <c r="AB62" i="23"/>
  <c r="AB61" i="23"/>
  <c r="AD50" i="23" l="1"/>
  <c r="AE85" i="23"/>
  <c r="H184" i="23"/>
  <c r="AC247" i="23"/>
  <c r="AC249" i="23" s="1"/>
  <c r="AC66" i="23"/>
  <c r="AD66" i="23" s="1"/>
  <c r="I170" i="23" s="1"/>
  <c r="AC61" i="23"/>
  <c r="AD61" i="23" s="1"/>
  <c r="I165" i="23" s="1"/>
  <c r="AC146" i="23"/>
  <c r="AC148" i="23" s="1"/>
  <c r="AC213" i="23" s="1"/>
  <c r="I139" i="23"/>
  <c r="I199" i="23" s="1"/>
  <c r="I184" i="23"/>
  <c r="I128" i="23"/>
  <c r="I188" i="23" s="1"/>
  <c r="I131" i="23"/>
  <c r="AC62" i="23"/>
  <c r="AD62" i="23" s="1"/>
  <c r="AC68" i="23"/>
  <c r="AD68" i="23" s="1"/>
  <c r="I172" i="23" s="1"/>
  <c r="I148" i="23"/>
  <c r="AC69" i="23"/>
  <c r="AD69" i="23"/>
  <c r="AC70" i="23"/>
  <c r="AD70" i="23"/>
  <c r="AC75" i="23"/>
  <c r="AC179" i="23" s="1"/>
  <c r="I192" i="23"/>
  <c r="I149" i="23"/>
  <c r="H80" i="23"/>
  <c r="AB29" i="25"/>
  <c r="AD27" i="23"/>
  <c r="AD38" i="23"/>
  <c r="AD48" i="23"/>
  <c r="H76" i="23"/>
  <c r="H177" i="23"/>
  <c r="AC124" i="23"/>
  <c r="C258" i="22"/>
  <c r="AC120" i="23"/>
  <c r="AC139" i="23" s="1"/>
  <c r="AC199" i="23" s="1"/>
  <c r="H191" i="23"/>
  <c r="H150" i="23"/>
  <c r="AC25" i="23"/>
  <c r="AC44" i="23"/>
  <c r="AC46" i="23" s="1"/>
  <c r="AC221" i="23"/>
  <c r="AC224" i="23"/>
  <c r="AC230" i="23"/>
  <c r="AC165" i="23"/>
  <c r="AC228" i="23"/>
  <c r="AC238" i="23"/>
  <c r="E372" i="22"/>
  <c r="E376" i="22" s="1"/>
  <c r="E378" i="22" s="1"/>
  <c r="C382" i="22"/>
  <c r="F473" i="22"/>
  <c r="E395" i="22"/>
  <c r="F463" i="22"/>
  <c r="F450" i="22"/>
  <c r="C378" i="22"/>
  <c r="F437" i="22"/>
  <c r="AB120" i="23"/>
  <c r="AB122" i="23" s="1"/>
  <c r="AB253" i="23"/>
  <c r="AB218" i="23"/>
  <c r="AB207" i="23"/>
  <c r="AB248" i="23"/>
  <c r="AB202" i="23"/>
  <c r="AB183" i="23"/>
  <c r="AB174" i="23"/>
  <c r="AB173" i="23"/>
  <c r="AB166" i="23"/>
  <c r="AB165" i="23"/>
  <c r="AB159" i="23"/>
  <c r="AB156" i="23"/>
  <c r="AB153" i="23"/>
  <c r="AB147" i="23"/>
  <c r="AB212" i="23" s="1"/>
  <c r="AB142" i="23"/>
  <c r="AB126" i="23"/>
  <c r="AB103" i="23"/>
  <c r="AB102" i="23"/>
  <c r="AB101" i="23"/>
  <c r="AB98" i="23"/>
  <c r="AB92" i="23"/>
  <c r="AB82" i="23"/>
  <c r="AB59" i="23"/>
  <c r="AB58" i="23"/>
  <c r="AB53" i="23"/>
  <c r="AB161" i="23" s="1"/>
  <c r="AB52" i="23"/>
  <c r="AB160" i="23" s="1"/>
  <c r="AB43" i="23"/>
  <c r="AB33" i="23"/>
  <c r="AB10" i="23"/>
  <c r="AB18" i="23" s="1"/>
  <c r="AB25" i="23" s="1"/>
  <c r="AB38" i="23" s="1"/>
  <c r="AA254" i="23"/>
  <c r="K60" i="23"/>
  <c r="L60" i="23" s="1"/>
  <c r="O60" i="23"/>
  <c r="P60" i="23" s="1"/>
  <c r="Q60" i="23" s="1"/>
  <c r="S60" i="23"/>
  <c r="T60" i="23" s="1"/>
  <c r="U60" i="23" s="1"/>
  <c r="W60" i="23"/>
  <c r="X60" i="23" s="1"/>
  <c r="Y60" i="23" s="1"/>
  <c r="AA60" i="23"/>
  <c r="C60" i="23"/>
  <c r="D60" i="23"/>
  <c r="E60" i="23"/>
  <c r="F60" i="23"/>
  <c r="G60" i="23"/>
  <c r="C514" i="22"/>
  <c r="C513" i="22"/>
  <c r="C512" i="22"/>
  <c r="C497" i="22"/>
  <c r="C506" i="22" s="1"/>
  <c r="C508" i="22" s="1"/>
  <c r="C494" i="22"/>
  <c r="C493" i="22"/>
  <c r="C499" i="22"/>
  <c r="J479" i="22"/>
  <c r="E596" i="22"/>
  <c r="E597" i="22" s="1"/>
  <c r="E586" i="22"/>
  <c r="E587" i="22" s="1"/>
  <c r="E572" i="22"/>
  <c r="E573" i="22" s="1"/>
  <c r="E555" i="22"/>
  <c r="E556" i="22" s="1"/>
  <c r="C511" i="22"/>
  <c r="C488" i="22"/>
  <c r="C484" i="22"/>
  <c r="AA45" i="25"/>
  <c r="AA46" i="25" s="1"/>
  <c r="AA20" i="25"/>
  <c r="AA12" i="25"/>
  <c r="C16" i="26"/>
  <c r="C14" i="26"/>
  <c r="C13" i="26"/>
  <c r="C12" i="26"/>
  <c r="C11" i="26"/>
  <c r="C10" i="26"/>
  <c r="C9" i="26"/>
  <c r="C8" i="26"/>
  <c r="D16" i="26"/>
  <c r="D14" i="26"/>
  <c r="D13" i="26"/>
  <c r="D12" i="26"/>
  <c r="D11" i="26"/>
  <c r="D10" i="26"/>
  <c r="D9" i="26"/>
  <c r="D8" i="26"/>
  <c r="E16" i="26"/>
  <c r="E14" i="26"/>
  <c r="E13" i="26"/>
  <c r="E12" i="26"/>
  <c r="E11" i="26"/>
  <c r="E10" i="26"/>
  <c r="E9" i="26"/>
  <c r="E8" i="26"/>
  <c r="J16" i="26"/>
  <c r="J14" i="26"/>
  <c r="J13" i="26"/>
  <c r="J12" i="26"/>
  <c r="J11" i="26"/>
  <c r="J10" i="26"/>
  <c r="J9" i="26"/>
  <c r="J8" i="26"/>
  <c r="K16" i="26"/>
  <c r="K14" i="26"/>
  <c r="K13" i="26"/>
  <c r="K12" i="26"/>
  <c r="K11" i="26"/>
  <c r="K10" i="26"/>
  <c r="K9" i="26"/>
  <c r="K8" i="26"/>
  <c r="M16" i="26"/>
  <c r="M14" i="26"/>
  <c r="M13" i="26"/>
  <c r="M12" i="26"/>
  <c r="M11" i="26"/>
  <c r="M10" i="26"/>
  <c r="M9" i="26"/>
  <c r="M8" i="26"/>
  <c r="AA107" i="23"/>
  <c r="AA117" i="23" s="1"/>
  <c r="AA106" i="23"/>
  <c r="AA116" i="23" s="1"/>
  <c r="AA97" i="23"/>
  <c r="AA103" i="23" s="1"/>
  <c r="AA96" i="23"/>
  <c r="AA94" i="23"/>
  <c r="AA113" i="23"/>
  <c r="AA253" i="23" s="1"/>
  <c r="AA72" i="23"/>
  <c r="AA71" i="23"/>
  <c r="AA65" i="23"/>
  <c r="AA64" i="23"/>
  <c r="AA218" i="23"/>
  <c r="AA207" i="23"/>
  <c r="AA174" i="23"/>
  <c r="AA170" i="23"/>
  <c r="AA153" i="23"/>
  <c r="AA142" i="23"/>
  <c r="AA126" i="23"/>
  <c r="AA248" i="23"/>
  <c r="AA92" i="23"/>
  <c r="AA82" i="23"/>
  <c r="AA58" i="23"/>
  <c r="AA43" i="23"/>
  <c r="AA33" i="23"/>
  <c r="C634" i="22"/>
  <c r="C633" i="22"/>
  <c r="C632" i="22"/>
  <c r="C619" i="22"/>
  <c r="C617" i="22"/>
  <c r="C626" i="22" s="1"/>
  <c r="C628" i="22" s="1"/>
  <c r="C614" i="22"/>
  <c r="C613" i="22"/>
  <c r="E711" i="22"/>
  <c r="E712" i="22" s="1"/>
  <c r="E701" i="22"/>
  <c r="E702" i="22" s="1"/>
  <c r="E687" i="22"/>
  <c r="E688" i="22" s="1"/>
  <c r="E670" i="22"/>
  <c r="E671" i="22" s="1"/>
  <c r="C631" i="22"/>
  <c r="C608" i="22"/>
  <c r="C604" i="22"/>
  <c r="Z44" i="25"/>
  <c r="Z43" i="25"/>
  <c r="Z42" i="25"/>
  <c r="Z41" i="25"/>
  <c r="Z19" i="25"/>
  <c r="AD36" i="25" s="1"/>
  <c r="Z18" i="25"/>
  <c r="AD35" i="25" s="1"/>
  <c r="Z17" i="25"/>
  <c r="AD34" i="25" s="1"/>
  <c r="Z16" i="25"/>
  <c r="AD33" i="25" s="1"/>
  <c r="Z10" i="25"/>
  <c r="Z9" i="25"/>
  <c r="Z8" i="25"/>
  <c r="G45" i="25"/>
  <c r="G46" i="25" s="1"/>
  <c r="G20" i="25"/>
  <c r="H37" i="25" s="1"/>
  <c r="G12" i="25"/>
  <c r="Z123" i="23"/>
  <c r="Z119" i="23"/>
  <c r="Z112" i="23"/>
  <c r="Z111" i="23"/>
  <c r="Z95" i="23"/>
  <c r="Z24" i="23"/>
  <c r="Z203" i="23"/>
  <c r="G203" i="23" s="1"/>
  <c r="G254" i="23" s="1"/>
  <c r="G72" i="23"/>
  <c r="G71" i="23"/>
  <c r="G68" i="23"/>
  <c r="G66" i="23"/>
  <c r="G64" i="23"/>
  <c r="G89" i="23" s="1"/>
  <c r="G107" i="23"/>
  <c r="G117" i="23" s="1"/>
  <c r="G106" i="23"/>
  <c r="G116" i="23" s="1"/>
  <c r="F106" i="23"/>
  <c r="G97" i="23"/>
  <c r="Z97" i="23" s="1"/>
  <c r="G96" i="23"/>
  <c r="G102" i="23" s="1"/>
  <c r="G94" i="23"/>
  <c r="Z94" i="23" s="1"/>
  <c r="Z218" i="23"/>
  <c r="Z207" i="23"/>
  <c r="Z153" i="23"/>
  <c r="Z142" i="23"/>
  <c r="Z126" i="23"/>
  <c r="Z92" i="23"/>
  <c r="Z82" i="23"/>
  <c r="Z58" i="23"/>
  <c r="Z43" i="23"/>
  <c r="G218" i="23"/>
  <c r="G207" i="23"/>
  <c r="G183" i="23"/>
  <c r="G179" i="23"/>
  <c r="G174" i="23"/>
  <c r="G173" i="23"/>
  <c r="G169" i="23"/>
  <c r="G166" i="23"/>
  <c r="G165" i="23"/>
  <c r="G159" i="23"/>
  <c r="G156" i="23"/>
  <c r="H157" i="23" s="1"/>
  <c r="G153" i="23"/>
  <c r="G147" i="23"/>
  <c r="G142" i="23"/>
  <c r="G126" i="23"/>
  <c r="G113" i="23"/>
  <c r="G101" i="23"/>
  <c r="G92" i="23"/>
  <c r="G87" i="23"/>
  <c r="G86" i="23"/>
  <c r="G144" i="23" s="1"/>
  <c r="G83" i="23"/>
  <c r="G143" i="23" s="1"/>
  <c r="G82" i="23"/>
  <c r="G59" i="23"/>
  <c r="G58" i="23"/>
  <c r="G53" i="23"/>
  <c r="G161" i="23" s="1"/>
  <c r="G52" i="23"/>
  <c r="G160" i="23" s="1"/>
  <c r="G43" i="23"/>
  <c r="G33" i="23"/>
  <c r="G10" i="23"/>
  <c r="G18" i="23" s="1"/>
  <c r="G84" i="23" s="1"/>
  <c r="G8" i="23"/>
  <c r="E791" i="22"/>
  <c r="E808" i="22"/>
  <c r="E809" i="22" s="1"/>
  <c r="P7" i="26" l="1"/>
  <c r="P15" i="26" s="1"/>
  <c r="P17" i="26" s="1"/>
  <c r="P18" i="26" s="1"/>
  <c r="AE88" i="23"/>
  <c r="AC172" i="23"/>
  <c r="AC170" i="23"/>
  <c r="AC235" i="23"/>
  <c r="I173" i="23"/>
  <c r="AC166" i="23"/>
  <c r="AC231" i="23"/>
  <c r="AC184" i="23"/>
  <c r="AC244" i="23"/>
  <c r="I174" i="23"/>
  <c r="AC173" i="23"/>
  <c r="I87" i="23"/>
  <c r="I137" i="23" s="1"/>
  <c r="I197" i="23" s="1"/>
  <c r="I166" i="23"/>
  <c r="AB60" i="23"/>
  <c r="AC60" i="23" s="1"/>
  <c r="AC174" i="23"/>
  <c r="AC211" i="23"/>
  <c r="AC239" i="23"/>
  <c r="AC237" i="23"/>
  <c r="AD75" i="23"/>
  <c r="I179" i="23" s="1"/>
  <c r="I191" i="23"/>
  <c r="I150" i="23"/>
  <c r="M60" i="23"/>
  <c r="AB224" i="23"/>
  <c r="AD30" i="23"/>
  <c r="AD28" i="23"/>
  <c r="H180" i="23"/>
  <c r="H178" i="23"/>
  <c r="Z147" i="23"/>
  <c r="Z212" i="23" s="1"/>
  <c r="AB228" i="23"/>
  <c r="G21" i="25"/>
  <c r="G26" i="25"/>
  <c r="G28" i="25"/>
  <c r="G25" i="25"/>
  <c r="G27" i="25"/>
  <c r="AA21" i="25"/>
  <c r="AA26" i="25"/>
  <c r="AA25" i="25"/>
  <c r="AA27" i="25"/>
  <c r="AA28" i="25"/>
  <c r="Z20" i="25"/>
  <c r="AD37" i="25" s="1"/>
  <c r="AC50" i="23"/>
  <c r="AC48" i="23"/>
  <c r="AC27" i="23"/>
  <c r="O7" i="26" s="1"/>
  <c r="O15" i="26" s="1"/>
  <c r="O17" i="26" s="1"/>
  <c r="O18" i="26" s="1"/>
  <c r="AC38" i="23"/>
  <c r="AB71" i="23"/>
  <c r="AB240" i="23" s="1"/>
  <c r="AB64" i="23"/>
  <c r="AC64" i="23" s="1"/>
  <c r="AB72" i="23"/>
  <c r="AB176" i="23" s="1"/>
  <c r="AB244" i="23"/>
  <c r="AB65" i="23"/>
  <c r="AB234" i="23" s="1"/>
  <c r="AC251" i="23"/>
  <c r="AC186" i="23"/>
  <c r="AC269" i="23"/>
  <c r="AC226" i="23"/>
  <c r="E514" i="22"/>
  <c r="E511" i="22"/>
  <c r="E512" i="22"/>
  <c r="E513" i="22"/>
  <c r="E490" i="22"/>
  <c r="F594" i="22"/>
  <c r="F582" i="22"/>
  <c r="F567" i="22"/>
  <c r="F559" i="22"/>
  <c r="F547" i="22"/>
  <c r="F539" i="22"/>
  <c r="F531" i="22"/>
  <c r="F523" i="22"/>
  <c r="F544" i="22"/>
  <c r="F570" i="22"/>
  <c r="F542" i="22"/>
  <c r="F548" i="22"/>
  <c r="F593" i="22"/>
  <c r="F581" i="22"/>
  <c r="F566" i="22"/>
  <c r="F554" i="22"/>
  <c r="F546" i="22"/>
  <c r="F538" i="22"/>
  <c r="F530" i="22"/>
  <c r="F522" i="22"/>
  <c r="F537" i="22"/>
  <c r="F591" i="22"/>
  <c r="F564" i="22"/>
  <c r="F536" i="22"/>
  <c r="F561" i="22"/>
  <c r="F533" i="22"/>
  <c r="F583" i="22"/>
  <c r="F540" i="22"/>
  <c r="F592" i="22"/>
  <c r="F580" i="22"/>
  <c r="F565" i="22"/>
  <c r="F553" i="22"/>
  <c r="F545" i="22"/>
  <c r="F529" i="22"/>
  <c r="F579" i="22"/>
  <c r="F552" i="22"/>
  <c r="F528" i="22"/>
  <c r="F585" i="22"/>
  <c r="F550" i="22"/>
  <c r="F526" i="22"/>
  <c r="F584" i="22"/>
  <c r="F549" i="22"/>
  <c r="F525" i="22"/>
  <c r="F595" i="22"/>
  <c r="F560" i="22"/>
  <c r="F524" i="22"/>
  <c r="F590" i="22"/>
  <c r="F571" i="22"/>
  <c r="F563" i="22"/>
  <c r="F551" i="22"/>
  <c r="F543" i="22"/>
  <c r="F535" i="22"/>
  <c r="F527" i="22"/>
  <c r="F562" i="22"/>
  <c r="F534" i="22"/>
  <c r="F569" i="22"/>
  <c r="F541" i="22"/>
  <c r="F568" i="22"/>
  <c r="F532" i="22"/>
  <c r="C380" i="22"/>
  <c r="E380" i="22"/>
  <c r="Z45" i="25"/>
  <c r="AB237" i="23"/>
  <c r="AB235" i="23"/>
  <c r="AB170" i="23"/>
  <c r="AB27" i="23"/>
  <c r="N7" i="26" s="1"/>
  <c r="N15" i="26" s="1"/>
  <c r="N17" i="26" s="1"/>
  <c r="N18" i="26" s="1"/>
  <c r="AB44" i="23"/>
  <c r="AB46" i="23" s="1"/>
  <c r="Z254" i="23"/>
  <c r="AB239" i="23"/>
  <c r="AB231" i="23"/>
  <c r="AB221" i="23"/>
  <c r="AB238" i="23"/>
  <c r="AB230" i="23"/>
  <c r="AB11" i="23"/>
  <c r="AB163" i="23"/>
  <c r="AB179" i="23"/>
  <c r="G253" i="23"/>
  <c r="AB172" i="23"/>
  <c r="AB254" i="23"/>
  <c r="AA98" i="23"/>
  <c r="G248" i="23"/>
  <c r="Z113" i="23"/>
  <c r="Z253" i="23" s="1"/>
  <c r="AA102" i="23"/>
  <c r="AA202" i="23"/>
  <c r="F656" i="22"/>
  <c r="F699" i="22"/>
  <c r="E632" i="22"/>
  <c r="E631" i="22"/>
  <c r="F663" i="22"/>
  <c r="F710" i="22"/>
  <c r="E485" i="22"/>
  <c r="F664" i="22"/>
  <c r="F675" i="22"/>
  <c r="E634" i="22"/>
  <c r="E633" i="22"/>
  <c r="F676" i="22"/>
  <c r="F647" i="22"/>
  <c r="F683" i="22"/>
  <c r="F648" i="22"/>
  <c r="F684" i="22"/>
  <c r="F655" i="22"/>
  <c r="F698" i="22"/>
  <c r="F649" i="22"/>
  <c r="F657" i="22"/>
  <c r="F665" i="22"/>
  <c r="F677" i="22"/>
  <c r="F685" i="22"/>
  <c r="F700" i="22"/>
  <c r="E484" i="22"/>
  <c r="F642" i="22"/>
  <c r="F650" i="22"/>
  <c r="F658" i="22"/>
  <c r="F666" i="22"/>
  <c r="F678" i="22"/>
  <c r="F686" i="22"/>
  <c r="F705" i="22"/>
  <c r="E494" i="22"/>
  <c r="F643" i="22"/>
  <c r="F651" i="22"/>
  <c r="F659" i="22"/>
  <c r="F667" i="22"/>
  <c r="F679" i="22"/>
  <c r="F694" i="22"/>
  <c r="F706" i="22"/>
  <c r="F644" i="22"/>
  <c r="F652" i="22"/>
  <c r="F660" i="22"/>
  <c r="F668" i="22"/>
  <c r="F680" i="22"/>
  <c r="F695" i="22"/>
  <c r="F707" i="22"/>
  <c r="E499" i="22"/>
  <c r="F645" i="22"/>
  <c r="F653" i="22"/>
  <c r="F661" i="22"/>
  <c r="F669" i="22"/>
  <c r="F681" i="22"/>
  <c r="F696" i="22"/>
  <c r="F708" i="22"/>
  <c r="F646" i="22"/>
  <c r="F654" i="22"/>
  <c r="F662" i="22"/>
  <c r="F674" i="22"/>
  <c r="F682" i="22"/>
  <c r="F697" i="22"/>
  <c r="F709" i="22"/>
  <c r="C515" i="22"/>
  <c r="C516" i="22" s="1"/>
  <c r="E493" i="22"/>
  <c r="C492" i="22"/>
  <c r="C496" i="22" s="1"/>
  <c r="E486" i="22"/>
  <c r="E497" i="22"/>
  <c r="E506" i="22" s="1"/>
  <c r="E508" i="22" s="1"/>
  <c r="E488" i="22"/>
  <c r="E489" i="22"/>
  <c r="AA118" i="23"/>
  <c r="AA124" i="23" s="1"/>
  <c r="AA108" i="23"/>
  <c r="AA10" i="23"/>
  <c r="AA41" i="23"/>
  <c r="AA147" i="23"/>
  <c r="AA212" i="23" s="1"/>
  <c r="AA169" i="23"/>
  <c r="AA53" i="23"/>
  <c r="AA161" i="23" s="1"/>
  <c r="AA179" i="23"/>
  <c r="AA55" i="23"/>
  <c r="AA172" i="23"/>
  <c r="AA165" i="23"/>
  <c r="AA173" i="23"/>
  <c r="AA156" i="23"/>
  <c r="AA183" i="23"/>
  <c r="AA59" i="23"/>
  <c r="AA175" i="23"/>
  <c r="AA166" i="23"/>
  <c r="AA159" i="23"/>
  <c r="AA168" i="23"/>
  <c r="AA176" i="23"/>
  <c r="Z96" i="23"/>
  <c r="Z107" i="23"/>
  <c r="Z117" i="23" s="1"/>
  <c r="Z106" i="23"/>
  <c r="Z116" i="23" s="1"/>
  <c r="J599" i="22"/>
  <c r="E609" i="22" s="1"/>
  <c r="C621" i="22"/>
  <c r="C635" i="22"/>
  <c r="C636" i="22" s="1"/>
  <c r="C612" i="22"/>
  <c r="C616" i="22" s="1"/>
  <c r="Z248" i="23"/>
  <c r="G98" i="23"/>
  <c r="G99" i="23" s="1"/>
  <c r="G108" i="23"/>
  <c r="G36" i="23" s="1"/>
  <c r="G163" i="23"/>
  <c r="G118" i="23"/>
  <c r="G182" i="23" s="1"/>
  <c r="Z183" i="23"/>
  <c r="G212" i="23"/>
  <c r="G145" i="23"/>
  <c r="G44" i="23"/>
  <c r="G46" i="23" s="1"/>
  <c r="H47" i="23" s="1"/>
  <c r="G25" i="23"/>
  <c r="G103" i="23"/>
  <c r="G168" i="23"/>
  <c r="G11" i="23"/>
  <c r="G136" i="23"/>
  <c r="G196" i="23" s="1"/>
  <c r="G176" i="23"/>
  <c r="G137" i="23"/>
  <c r="G197" i="23" s="1"/>
  <c r="G170" i="23"/>
  <c r="G41" i="23"/>
  <c r="G172" i="23"/>
  <c r="G55" i="23"/>
  <c r="G175" i="23"/>
  <c r="C749" i="22"/>
  <c r="C748" i="22"/>
  <c r="C747" i="22"/>
  <c r="AB56" i="23" l="1"/>
  <c r="AB241" i="23"/>
  <c r="AC72" i="23"/>
  <c r="AD72" i="23" s="1"/>
  <c r="AD60" i="23"/>
  <c r="AB164" i="23"/>
  <c r="AD64" i="23"/>
  <c r="AB229" i="23"/>
  <c r="AD71" i="23"/>
  <c r="AB40" i="23"/>
  <c r="AB63" i="23"/>
  <c r="AB167" i="23" s="1"/>
  <c r="AB233" i="23"/>
  <c r="I237" i="23"/>
  <c r="AB175" i="23"/>
  <c r="AD40" i="23"/>
  <c r="AD204" i="23"/>
  <c r="H202" i="23"/>
  <c r="I235" i="23" s="1"/>
  <c r="AB169" i="23"/>
  <c r="AC71" i="23"/>
  <c r="AC65" i="23"/>
  <c r="AC234" i="23" s="1"/>
  <c r="AA29" i="25"/>
  <c r="Z28" i="25"/>
  <c r="Z25" i="25"/>
  <c r="Z27" i="25"/>
  <c r="Z26" i="25"/>
  <c r="G29" i="25"/>
  <c r="AC30" i="23"/>
  <c r="AC28" i="23"/>
  <c r="AC233" i="23"/>
  <c r="AC55" i="23"/>
  <c r="AC41" i="23"/>
  <c r="AC168" i="23"/>
  <c r="AC56" i="23"/>
  <c r="AC63" i="23"/>
  <c r="AC40" i="23"/>
  <c r="AC229" i="23"/>
  <c r="AC164" i="23"/>
  <c r="AB55" i="23"/>
  <c r="AB41" i="23"/>
  <c r="AB168" i="23"/>
  <c r="AC240" i="23"/>
  <c r="AB67" i="23"/>
  <c r="AB247" i="23"/>
  <c r="AB182" i="23"/>
  <c r="AB146" i="23"/>
  <c r="AB50" i="23"/>
  <c r="AB48" i="23"/>
  <c r="AB30" i="23"/>
  <c r="AB28" i="23"/>
  <c r="AB226" i="23"/>
  <c r="C502" i="22"/>
  <c r="E608" i="22"/>
  <c r="E492" i="22"/>
  <c r="E496" i="22" s="1"/>
  <c r="E498" i="22" s="1"/>
  <c r="C498" i="22"/>
  <c r="AA120" i="23"/>
  <c r="AA122" i="23" s="1"/>
  <c r="AA40" i="23"/>
  <c r="AA56" i="23"/>
  <c r="AA164" i="23"/>
  <c r="AA163" i="23"/>
  <c r="AA63" i="23"/>
  <c r="AA18" i="23"/>
  <c r="AD84" i="23" s="1"/>
  <c r="AA11" i="23"/>
  <c r="AA146" i="23"/>
  <c r="AA247" i="23"/>
  <c r="AA182" i="23"/>
  <c r="C622" i="22"/>
  <c r="E606" i="22"/>
  <c r="E605" i="22"/>
  <c r="E617" i="22"/>
  <c r="E626" i="22" s="1"/>
  <c r="E628" i="22" s="1"/>
  <c r="E604" i="22"/>
  <c r="E619" i="22"/>
  <c r="E614" i="22"/>
  <c r="E610" i="22"/>
  <c r="E613" i="22"/>
  <c r="D616" i="22"/>
  <c r="C618" i="22"/>
  <c r="G124" i="23"/>
  <c r="G132" i="23"/>
  <c r="G192" i="23" s="1"/>
  <c r="G146" i="23"/>
  <c r="G148" i="23" s="1"/>
  <c r="G213" i="23" s="1"/>
  <c r="G129" i="23"/>
  <c r="G189" i="23" s="1"/>
  <c r="G247" i="23"/>
  <c r="G120" i="23"/>
  <c r="G128" i="23" s="1"/>
  <c r="G188" i="23" s="1"/>
  <c r="G85" i="23"/>
  <c r="G50" i="23"/>
  <c r="G48" i="23"/>
  <c r="G27" i="23"/>
  <c r="E7" i="26" s="1"/>
  <c r="E15" i="26" s="1"/>
  <c r="E17" i="26" s="1"/>
  <c r="E18" i="26" s="1"/>
  <c r="G38" i="23"/>
  <c r="C746" i="22"/>
  <c r="C734" i="22"/>
  <c r="C732" i="22"/>
  <c r="C741" i="22" s="1"/>
  <c r="C743" i="22" s="1"/>
  <c r="C729" i="22"/>
  <c r="C728" i="22"/>
  <c r="E832" i="22"/>
  <c r="E833" i="22" s="1"/>
  <c r="E822" i="22"/>
  <c r="E823" i="22" s="1"/>
  <c r="C723" i="22"/>
  <c r="C719" i="22"/>
  <c r="Y11" i="25"/>
  <c r="Y45" i="25"/>
  <c r="Y46" i="25" s="1"/>
  <c r="Y20" i="25"/>
  <c r="Y218" i="23"/>
  <c r="Y207" i="23"/>
  <c r="Y203" i="23"/>
  <c r="Y254" i="23" s="1"/>
  <c r="Y183" i="23"/>
  <c r="Y159" i="23"/>
  <c r="Y156" i="23"/>
  <c r="AC157" i="23" s="1"/>
  <c r="Y153" i="23"/>
  <c r="Y147" i="23"/>
  <c r="Y142" i="23"/>
  <c r="Y126" i="23"/>
  <c r="Y113" i="23"/>
  <c r="Y107" i="23"/>
  <c r="Y117" i="23" s="1"/>
  <c r="Y106" i="23"/>
  <c r="Y101" i="23"/>
  <c r="Y97" i="23"/>
  <c r="Y103" i="23" s="1"/>
  <c r="Y96" i="23"/>
  <c r="Y94" i="23"/>
  <c r="F94" i="23"/>
  <c r="V94" i="23" s="1"/>
  <c r="Y92" i="23"/>
  <c r="Y82" i="23"/>
  <c r="Y59" i="23"/>
  <c r="Y163" i="23" s="1"/>
  <c r="Y58" i="23"/>
  <c r="Y52" i="23"/>
  <c r="Y160" i="23" s="1"/>
  <c r="Y53" i="23"/>
  <c r="Y161" i="23" s="1"/>
  <c r="X53" i="23"/>
  <c r="X161" i="23" s="1"/>
  <c r="X52" i="23"/>
  <c r="X160" i="23" s="1"/>
  <c r="U52" i="23"/>
  <c r="Y43" i="23"/>
  <c r="Y33" i="23"/>
  <c r="Y10" i="23"/>
  <c r="Y8" i="23"/>
  <c r="C870" i="22"/>
  <c r="C869" i="22"/>
  <c r="C868" i="22"/>
  <c r="C855" i="22"/>
  <c r="C853" i="22"/>
  <c r="C850" i="22"/>
  <c r="C849" i="22"/>
  <c r="X203" i="23"/>
  <c r="X107" i="23"/>
  <c r="X117" i="23" s="1"/>
  <c r="X106" i="23"/>
  <c r="X97" i="23"/>
  <c r="X96" i="23"/>
  <c r="X102" i="23" s="1"/>
  <c r="X94" i="23"/>
  <c r="X70" i="23"/>
  <c r="X66" i="23"/>
  <c r="X45" i="25"/>
  <c r="X46" i="25" s="1"/>
  <c r="X20" i="25"/>
  <c r="X12" i="25"/>
  <c r="X218" i="23"/>
  <c r="X207" i="23"/>
  <c r="X183" i="23"/>
  <c r="X159" i="23"/>
  <c r="X156" i="23"/>
  <c r="AB157" i="23" s="1"/>
  <c r="X153" i="23"/>
  <c r="X147" i="23"/>
  <c r="X142" i="23"/>
  <c r="X126" i="23"/>
  <c r="X113" i="23"/>
  <c r="X101" i="23"/>
  <c r="X92" i="23"/>
  <c r="X82" i="23"/>
  <c r="X59" i="23"/>
  <c r="X163" i="23" s="1"/>
  <c r="X58" i="23"/>
  <c r="X43" i="23"/>
  <c r="X33" i="23"/>
  <c r="X10" i="23"/>
  <c r="X8" i="23"/>
  <c r="E954" i="22"/>
  <c r="E955" i="22" s="1"/>
  <c r="E944" i="22"/>
  <c r="E930" i="22"/>
  <c r="E931" i="22" s="1"/>
  <c r="E911" i="22"/>
  <c r="E912" i="22" s="1"/>
  <c r="C844" i="22"/>
  <c r="W203" i="23"/>
  <c r="W45" i="25"/>
  <c r="W20" i="25"/>
  <c r="W12" i="25"/>
  <c r="E1044" i="22"/>
  <c r="E1024" i="22"/>
  <c r="C992" i="22"/>
  <c r="C991" i="22"/>
  <c r="C990" i="22"/>
  <c r="W107" i="23"/>
  <c r="C968" i="22"/>
  <c r="C967" i="22"/>
  <c r="C964" i="22"/>
  <c r="C963" i="22"/>
  <c r="E1069" i="22"/>
  <c r="E1058" i="22"/>
  <c r="W123" i="23"/>
  <c r="W119" i="23"/>
  <c r="W112" i="23"/>
  <c r="C972" i="22" s="1"/>
  <c r="W111" i="23"/>
  <c r="C971" i="22" s="1"/>
  <c r="F116" i="23"/>
  <c r="V116" i="23" s="1"/>
  <c r="W106" i="23"/>
  <c r="W97" i="23"/>
  <c r="W96" i="23"/>
  <c r="W95" i="23"/>
  <c r="W94" i="23"/>
  <c r="W75" i="23"/>
  <c r="W72" i="23"/>
  <c r="W71" i="23"/>
  <c r="W69" i="23"/>
  <c r="W68" i="23"/>
  <c r="W65" i="23"/>
  <c r="W64" i="23"/>
  <c r="W62" i="23"/>
  <c r="W61" i="23"/>
  <c r="W51" i="23"/>
  <c r="W45" i="23"/>
  <c r="W29" i="23"/>
  <c r="Z29" i="23" s="1"/>
  <c r="W26" i="23"/>
  <c r="W23" i="23"/>
  <c r="W22" i="23"/>
  <c r="W21" i="23"/>
  <c r="W20" i="23"/>
  <c r="W16" i="23"/>
  <c r="W15" i="23"/>
  <c r="W14" i="23"/>
  <c r="Z14" i="23" s="1"/>
  <c r="W9" i="23"/>
  <c r="W13" i="23"/>
  <c r="Z13" i="23" s="1"/>
  <c r="W19" i="23"/>
  <c r="W17" i="23"/>
  <c r="W7" i="23"/>
  <c r="AA8" i="23" s="1"/>
  <c r="W218" i="23"/>
  <c r="W207" i="23"/>
  <c r="W170" i="23"/>
  <c r="W153" i="23"/>
  <c r="W142" i="23"/>
  <c r="W126" i="23"/>
  <c r="W92" i="23"/>
  <c r="W82" i="23"/>
  <c r="W174" i="23"/>
  <c r="W58" i="23"/>
  <c r="W43" i="23"/>
  <c r="F68" i="23"/>
  <c r="F172" i="23" s="1"/>
  <c r="F66" i="23"/>
  <c r="F170" i="23" s="1"/>
  <c r="C1092" i="22"/>
  <c r="C1090" i="22"/>
  <c r="C1099" i="22" s="1"/>
  <c r="C1101" i="22" s="1"/>
  <c r="C1087" i="22"/>
  <c r="C1086" i="22"/>
  <c r="V203" i="23"/>
  <c r="F203" i="23"/>
  <c r="F202" i="23"/>
  <c r="C1107" i="22"/>
  <c r="C1106" i="22"/>
  <c r="C1105" i="22"/>
  <c r="C1104" i="22"/>
  <c r="E1189" i="22"/>
  <c r="E1190" i="22" s="1"/>
  <c r="E1178" i="22"/>
  <c r="E1179" i="22" s="1"/>
  <c r="E1164" i="22"/>
  <c r="E1165" i="22" s="1"/>
  <c r="E1143" i="22"/>
  <c r="E1144" i="22" s="1"/>
  <c r="C1081" i="22"/>
  <c r="C1077" i="22"/>
  <c r="V123" i="23"/>
  <c r="V119" i="23"/>
  <c r="V112" i="23"/>
  <c r="V111" i="23"/>
  <c r="V95" i="23"/>
  <c r="F107" i="23"/>
  <c r="F117" i="23" s="1"/>
  <c r="V117" i="23" s="1"/>
  <c r="F97" i="23"/>
  <c r="V97" i="23" s="1"/>
  <c r="F96" i="23"/>
  <c r="F102" i="23" s="1"/>
  <c r="F72" i="23"/>
  <c r="F71" i="23"/>
  <c r="F64" i="23"/>
  <c r="F168" i="23" s="1"/>
  <c r="R51" i="23"/>
  <c r="N51" i="23"/>
  <c r="V51" i="23"/>
  <c r="V45" i="23"/>
  <c r="V29" i="23"/>
  <c r="V26" i="23"/>
  <c r="V24" i="23"/>
  <c r="V23" i="23"/>
  <c r="V22" i="23"/>
  <c r="V13" i="23"/>
  <c r="V21" i="23"/>
  <c r="V20" i="23"/>
  <c r="V19" i="23"/>
  <c r="V17" i="23"/>
  <c r="V16" i="23"/>
  <c r="V35" i="23" s="1"/>
  <c r="V15" i="23"/>
  <c r="V34" i="23" s="1"/>
  <c r="V14" i="23"/>
  <c r="V9" i="23"/>
  <c r="V7" i="23"/>
  <c r="V44" i="25"/>
  <c r="V43" i="25"/>
  <c r="V42" i="25"/>
  <c r="V41" i="25"/>
  <c r="V19" i="25"/>
  <c r="V18" i="25"/>
  <c r="V17" i="25"/>
  <c r="V16" i="25"/>
  <c r="V11" i="25"/>
  <c r="V10" i="25"/>
  <c r="V9" i="25"/>
  <c r="V8" i="25"/>
  <c r="F45" i="25"/>
  <c r="F46" i="25" s="1"/>
  <c r="F20" i="25"/>
  <c r="F12" i="25"/>
  <c r="F218" i="23"/>
  <c r="F207" i="23"/>
  <c r="F183" i="23"/>
  <c r="F179" i="23"/>
  <c r="F174" i="23"/>
  <c r="F173" i="23"/>
  <c r="F169" i="23"/>
  <c r="F166" i="23"/>
  <c r="F165" i="23"/>
  <c r="F159" i="23"/>
  <c r="F156" i="23"/>
  <c r="G157" i="23" s="1"/>
  <c r="F153" i="23"/>
  <c r="F147" i="23"/>
  <c r="F142" i="23"/>
  <c r="F126" i="23"/>
  <c r="F113" i="23"/>
  <c r="F253" i="23" s="1"/>
  <c r="F101" i="23"/>
  <c r="F92" i="23"/>
  <c r="F87" i="23"/>
  <c r="F86" i="23"/>
  <c r="F144" i="23" s="1"/>
  <c r="F83" i="23"/>
  <c r="F143" i="23" s="1"/>
  <c r="F82" i="23"/>
  <c r="F59" i="23"/>
  <c r="F58" i="23"/>
  <c r="F53" i="23"/>
  <c r="F161" i="23" s="1"/>
  <c r="F52" i="23"/>
  <c r="F160" i="23" s="1"/>
  <c r="F43" i="23"/>
  <c r="F33" i="23"/>
  <c r="F10" i="23"/>
  <c r="F18" i="23" s="1"/>
  <c r="F8" i="23"/>
  <c r="V218" i="23"/>
  <c r="V207" i="23"/>
  <c r="V153" i="23"/>
  <c r="V142" i="23"/>
  <c r="V126" i="23"/>
  <c r="V92" i="23"/>
  <c r="V82" i="23"/>
  <c r="V58" i="23"/>
  <c r="V43" i="23"/>
  <c r="E1310" i="22"/>
  <c r="E1311" i="22" s="1"/>
  <c r="E1299" i="22"/>
  <c r="E1300" i="22" s="1"/>
  <c r="E1285" i="22"/>
  <c r="E1286" i="22" s="1"/>
  <c r="E1264" i="22"/>
  <c r="E1265" i="22" s="1"/>
  <c r="U203" i="23"/>
  <c r="T203" i="23"/>
  <c r="T254" i="23" s="1"/>
  <c r="S203" i="23"/>
  <c r="S254" i="23" s="1"/>
  <c r="R203" i="23"/>
  <c r="Q203" i="23"/>
  <c r="Q254" i="23" s="1"/>
  <c r="P203" i="23"/>
  <c r="P254" i="23" s="1"/>
  <c r="O203" i="23"/>
  <c r="O254" i="23" s="1"/>
  <c r="N203" i="23"/>
  <c r="M203" i="23"/>
  <c r="L203" i="23"/>
  <c r="L254" i="23" s="1"/>
  <c r="K203" i="23"/>
  <c r="K254" i="23" s="1"/>
  <c r="AD164" i="23" l="1"/>
  <c r="AB232" i="23"/>
  <c r="Z16" i="23"/>
  <c r="W35" i="23"/>
  <c r="Z15" i="23"/>
  <c r="W34" i="23"/>
  <c r="I221" i="23"/>
  <c r="AD56" i="23"/>
  <c r="AC241" i="23"/>
  <c r="I224" i="23"/>
  <c r="AC176" i="23"/>
  <c r="I228" i="23"/>
  <c r="I256" i="23" s="1"/>
  <c r="I244" i="23"/>
  <c r="I176" i="23"/>
  <c r="I231" i="23"/>
  <c r="I240" i="23"/>
  <c r="I239" i="23"/>
  <c r="I175" i="23"/>
  <c r="I89" i="23"/>
  <c r="I136" i="23" s="1"/>
  <c r="I196" i="23" s="1"/>
  <c r="I168" i="23"/>
  <c r="I41" i="23"/>
  <c r="AC175" i="23"/>
  <c r="I238" i="23"/>
  <c r="I233" i="23"/>
  <c r="I229" i="23"/>
  <c r="Y253" i="23"/>
  <c r="AD65" i="23"/>
  <c r="I164" i="23"/>
  <c r="I40" i="23"/>
  <c r="I56" i="23"/>
  <c r="I63" i="23"/>
  <c r="AD208" i="23"/>
  <c r="AD209" i="23"/>
  <c r="AC169" i="23"/>
  <c r="V147" i="23"/>
  <c r="V212" i="23" s="1"/>
  <c r="V37" i="23"/>
  <c r="W147" i="23"/>
  <c r="W37" i="23"/>
  <c r="Y37" i="23"/>
  <c r="X37" i="23"/>
  <c r="G37" i="25"/>
  <c r="Z35" i="25"/>
  <c r="AB37" i="25"/>
  <c r="Z36" i="25"/>
  <c r="AA37" i="25"/>
  <c r="Z33" i="25"/>
  <c r="AC37" i="25"/>
  <c r="Z34" i="25"/>
  <c r="X21" i="25"/>
  <c r="X27" i="25"/>
  <c r="X28" i="25"/>
  <c r="X26" i="25"/>
  <c r="X25" i="25"/>
  <c r="Y21" i="25"/>
  <c r="Y27" i="25"/>
  <c r="Y28" i="25"/>
  <c r="Y26" i="25"/>
  <c r="Y25" i="25"/>
  <c r="F21" i="25"/>
  <c r="F28" i="25"/>
  <c r="F25" i="25"/>
  <c r="F27" i="25"/>
  <c r="F26" i="25"/>
  <c r="W28" i="25"/>
  <c r="W25" i="25"/>
  <c r="W27" i="25"/>
  <c r="W26" i="25"/>
  <c r="Z29" i="25"/>
  <c r="AC67" i="23"/>
  <c r="AC232" i="23"/>
  <c r="AC167" i="23"/>
  <c r="S202" i="23"/>
  <c r="X202" i="23"/>
  <c r="Y83" i="23"/>
  <c r="Y143" i="23" s="1"/>
  <c r="AB249" i="23"/>
  <c r="AB139" i="23"/>
  <c r="AB199" i="23" s="1"/>
  <c r="AB184" i="23"/>
  <c r="AB236" i="23"/>
  <c r="AB171" i="23"/>
  <c r="AB73" i="23"/>
  <c r="X253" i="23"/>
  <c r="G249" i="23"/>
  <c r="AB148" i="23"/>
  <c r="AB213" i="23" s="1"/>
  <c r="AB211" i="23"/>
  <c r="F248" i="23"/>
  <c r="F254" i="23"/>
  <c r="C977" i="22"/>
  <c r="W254" i="23"/>
  <c r="V202" i="23"/>
  <c r="V224" i="23" s="1"/>
  <c r="U254" i="23"/>
  <c r="Y202" i="23"/>
  <c r="X254" i="23"/>
  <c r="N202" i="23"/>
  <c r="M254" i="23"/>
  <c r="V254" i="23"/>
  <c r="R202" i="23"/>
  <c r="T202" i="23"/>
  <c r="W116" i="23"/>
  <c r="M202" i="23"/>
  <c r="U202" i="23"/>
  <c r="W202" i="23"/>
  <c r="Z45" i="23"/>
  <c r="L16" i="26" s="1"/>
  <c r="I16" i="26"/>
  <c r="J714" i="22"/>
  <c r="E720" i="22" s="1"/>
  <c r="Z202" i="23"/>
  <c r="Z23" i="23"/>
  <c r="L13" i="26" s="1"/>
  <c r="I13" i="26"/>
  <c r="K202" i="23"/>
  <c r="L202" i="23"/>
  <c r="Z26" i="23"/>
  <c r="L14" i="26" s="1"/>
  <c r="I14" i="26"/>
  <c r="O202" i="23"/>
  <c r="Z20" i="23"/>
  <c r="I10" i="26"/>
  <c r="P202" i="23"/>
  <c r="Z17" i="23"/>
  <c r="L8" i="26" s="1"/>
  <c r="I8" i="26"/>
  <c r="Z21" i="23"/>
  <c r="L11" i="26" s="1"/>
  <c r="I11" i="26"/>
  <c r="Q202" i="23"/>
  <c r="Z19" i="23"/>
  <c r="Z37" i="23" s="1"/>
  <c r="I9" i="26"/>
  <c r="Z22" i="23"/>
  <c r="L12" i="26" s="1"/>
  <c r="I12" i="26"/>
  <c r="F555" i="22"/>
  <c r="F572" i="22"/>
  <c r="F586" i="22"/>
  <c r="E500" i="22"/>
  <c r="E515" i="22"/>
  <c r="C500" i="22"/>
  <c r="F596" i="22"/>
  <c r="Z11" i="25"/>
  <c r="Z12" i="25" s="1"/>
  <c r="X18" i="23"/>
  <c r="X44" i="23" s="1"/>
  <c r="X46" i="23" s="1"/>
  <c r="AB47" i="23" s="1"/>
  <c r="AA232" i="23"/>
  <c r="AA167" i="23"/>
  <c r="AA67" i="23"/>
  <c r="AA184" i="23"/>
  <c r="AA139" i="23"/>
  <c r="AA199" i="23" s="1"/>
  <c r="Y11" i="23"/>
  <c r="Y18" i="23"/>
  <c r="AA249" i="23"/>
  <c r="Z51" i="23"/>
  <c r="AA52" i="23"/>
  <c r="AA160" i="23" s="1"/>
  <c r="AA25" i="23"/>
  <c r="AA44" i="23"/>
  <c r="AA46" i="23" s="1"/>
  <c r="AD85" i="23" s="1"/>
  <c r="AA211" i="23"/>
  <c r="AA148" i="23"/>
  <c r="AA213" i="23" s="1"/>
  <c r="Z7" i="23"/>
  <c r="J835" i="22"/>
  <c r="F922" i="22" s="1"/>
  <c r="Y98" i="23"/>
  <c r="V101" i="23"/>
  <c r="E612" i="22"/>
  <c r="E616" i="22" s="1"/>
  <c r="E618" i="22" s="1"/>
  <c r="E620" i="22" s="1"/>
  <c r="W101" i="23"/>
  <c r="W173" i="23"/>
  <c r="V118" i="23"/>
  <c r="V120" i="23" s="1"/>
  <c r="Y70" i="23"/>
  <c r="Z70" i="23" s="1"/>
  <c r="W165" i="23"/>
  <c r="W179" i="23"/>
  <c r="Y212" i="23"/>
  <c r="X72" i="23"/>
  <c r="X176" i="23" s="1"/>
  <c r="W113" i="23"/>
  <c r="W253" i="23" s="1"/>
  <c r="W46" i="25"/>
  <c r="G211" i="23"/>
  <c r="Y66" i="23"/>
  <c r="Y170" i="23" s="1"/>
  <c r="X65" i="23"/>
  <c r="X169" i="23" s="1"/>
  <c r="Y108" i="23"/>
  <c r="Y36" i="23" s="1"/>
  <c r="W86" i="23"/>
  <c r="W144" i="23" s="1"/>
  <c r="Z9" i="23"/>
  <c r="Z101" i="23" s="1"/>
  <c r="W172" i="23"/>
  <c r="X62" i="23"/>
  <c r="C620" i="22"/>
  <c r="D618" i="22"/>
  <c r="G149" i="23"/>
  <c r="G131" i="23"/>
  <c r="G191" i="23" s="1"/>
  <c r="W52" i="23"/>
  <c r="W160" i="23" s="1"/>
  <c r="Y102" i="23"/>
  <c r="G184" i="23"/>
  <c r="X71" i="23"/>
  <c r="Y71" i="23" s="1"/>
  <c r="Y175" i="23" s="1"/>
  <c r="W41" i="23"/>
  <c r="W117" i="23"/>
  <c r="X83" i="23"/>
  <c r="X143" i="23" s="1"/>
  <c r="W166" i="23"/>
  <c r="W156" i="23"/>
  <c r="AA157" i="23" s="1"/>
  <c r="J957" i="22"/>
  <c r="F1010" i="22" s="1"/>
  <c r="G139" i="23"/>
  <c r="G199" i="23" s="1"/>
  <c r="X61" i="23"/>
  <c r="Y61" i="23" s="1"/>
  <c r="Y116" i="23"/>
  <c r="Y118" i="23" s="1"/>
  <c r="Y182" i="23" s="1"/>
  <c r="F103" i="23"/>
  <c r="F41" i="23"/>
  <c r="X86" i="23"/>
  <c r="X69" i="23"/>
  <c r="X173" i="23" s="1"/>
  <c r="Y86" i="23"/>
  <c r="Y248" i="23"/>
  <c r="G88" i="23"/>
  <c r="G30" i="23"/>
  <c r="G28" i="23"/>
  <c r="V248" i="23"/>
  <c r="W212" i="23"/>
  <c r="X108" i="23"/>
  <c r="X36" i="23" s="1"/>
  <c r="F55" i="23"/>
  <c r="V96" i="23"/>
  <c r="W103" i="23"/>
  <c r="X248" i="23"/>
  <c r="X64" i="23"/>
  <c r="X75" i="23"/>
  <c r="Y75" i="23" s="1"/>
  <c r="X116" i="23"/>
  <c r="X118" i="23" s="1"/>
  <c r="X247" i="23" s="1"/>
  <c r="W83" i="23"/>
  <c r="W143" i="23" s="1"/>
  <c r="X212" i="23"/>
  <c r="X68" i="23"/>
  <c r="C750" i="22"/>
  <c r="C751" i="22" s="1"/>
  <c r="C727" i="22"/>
  <c r="X11" i="23"/>
  <c r="C848" i="22"/>
  <c r="X221" i="23"/>
  <c r="AB222" i="23" s="1"/>
  <c r="W55" i="23"/>
  <c r="W59" i="23"/>
  <c r="W168" i="23"/>
  <c r="X103" i="23"/>
  <c r="W21" i="25"/>
  <c r="X170" i="23"/>
  <c r="X98" i="23"/>
  <c r="W159" i="23"/>
  <c r="W33" i="23"/>
  <c r="E1059" i="22"/>
  <c r="V113" i="23"/>
  <c r="V253" i="23" s="1"/>
  <c r="C975" i="22"/>
  <c r="C984" i="22" s="1"/>
  <c r="C986" i="22" s="1"/>
  <c r="X174" i="23"/>
  <c r="C862" i="22"/>
  <c r="C864" i="22" s="1"/>
  <c r="C867" i="22"/>
  <c r="C840" i="22"/>
  <c r="E945" i="22"/>
  <c r="E1070" i="22"/>
  <c r="E1045" i="22"/>
  <c r="E1025" i="22"/>
  <c r="C966" i="22"/>
  <c r="C989" i="22"/>
  <c r="C962" i="22"/>
  <c r="C970" i="22"/>
  <c r="W108" i="23"/>
  <c r="W36" i="23" s="1"/>
  <c r="W248" i="23"/>
  <c r="W183" i="23"/>
  <c r="W102" i="23"/>
  <c r="W98" i="23"/>
  <c r="W8" i="23"/>
  <c r="W53" i="23"/>
  <c r="W161" i="23" s="1"/>
  <c r="W10" i="23"/>
  <c r="W18" i="23" s="1"/>
  <c r="W175" i="23"/>
  <c r="W169" i="23"/>
  <c r="W176" i="23"/>
  <c r="F98" i="23"/>
  <c r="F99" i="23" s="1"/>
  <c r="F240" i="23"/>
  <c r="V106" i="23"/>
  <c r="C1094" i="22"/>
  <c r="V107" i="23"/>
  <c r="F176" i="23"/>
  <c r="J1072" i="22"/>
  <c r="F224" i="23"/>
  <c r="V33" i="23"/>
  <c r="F237" i="23"/>
  <c r="F212" i="23"/>
  <c r="F228" i="23"/>
  <c r="F256" i="23" s="1"/>
  <c r="F233" i="23"/>
  <c r="C1085" i="22"/>
  <c r="C1089" i="22" s="1"/>
  <c r="C1108" i="22"/>
  <c r="C1109" i="22" s="1"/>
  <c r="F118" i="23"/>
  <c r="F182" i="23" s="1"/>
  <c r="F89" i="23"/>
  <c r="F136" i="23" s="1"/>
  <c r="F196" i="23" s="1"/>
  <c r="V10" i="23"/>
  <c r="V18" i="23" s="1"/>
  <c r="F25" i="23"/>
  <c r="F27" i="23" s="1"/>
  <c r="D7" i="26" s="1"/>
  <c r="D15" i="26" s="1"/>
  <c r="D17" i="26" s="1"/>
  <c r="D18" i="26" s="1"/>
  <c r="F44" i="23"/>
  <c r="F46" i="23" s="1"/>
  <c r="F11" i="23"/>
  <c r="V45" i="25"/>
  <c r="V46" i="25" s="1"/>
  <c r="V20" i="25"/>
  <c r="V12" i="25"/>
  <c r="F145" i="23"/>
  <c r="F137" i="23"/>
  <c r="F197" i="23" s="1"/>
  <c r="F235" i="23"/>
  <c r="F241" i="23"/>
  <c r="F84" i="23"/>
  <c r="F234" i="23"/>
  <c r="F108" i="23"/>
  <c r="F36" i="23" s="1"/>
  <c r="F163" i="23"/>
  <c r="F204" i="23"/>
  <c r="J1073" i="22" s="1"/>
  <c r="F244" i="23"/>
  <c r="F230" i="23"/>
  <c r="F238" i="23"/>
  <c r="F221" i="23"/>
  <c r="F231" i="23"/>
  <c r="F239" i="23"/>
  <c r="F175" i="23"/>
  <c r="V53" i="23"/>
  <c r="V161" i="23" s="1"/>
  <c r="V83" i="23"/>
  <c r="V143" i="23" s="1"/>
  <c r="V86" i="23"/>
  <c r="V156" i="23"/>
  <c r="V183" i="23"/>
  <c r="V159" i="23"/>
  <c r="P68" i="23"/>
  <c r="Q68" i="23" s="1"/>
  <c r="O72" i="23"/>
  <c r="P72" i="23" s="1"/>
  <c r="Q72" i="23" s="1"/>
  <c r="J119" i="22" l="1"/>
  <c r="E25" i="22"/>
  <c r="I226" i="23"/>
  <c r="Z59" i="23"/>
  <c r="I266" i="23"/>
  <c r="I267" i="23"/>
  <c r="Z35" i="23"/>
  <c r="I241" i="23"/>
  <c r="I210" i="23"/>
  <c r="Z34" i="23"/>
  <c r="I169" i="23"/>
  <c r="I234" i="23"/>
  <c r="Z8" i="23"/>
  <c r="AD8" i="23"/>
  <c r="I67" i="23"/>
  <c r="I167" i="23"/>
  <c r="I232" i="23"/>
  <c r="F29" i="25"/>
  <c r="AD210" i="23"/>
  <c r="AC86" i="23"/>
  <c r="AC131" i="23" s="1"/>
  <c r="AD52" i="23"/>
  <c r="AD160" i="23" s="1"/>
  <c r="AC83" i="23"/>
  <c r="AC143" i="23" s="1"/>
  <c r="H254" i="23"/>
  <c r="H251" i="23"/>
  <c r="H253" i="23"/>
  <c r="H248" i="23"/>
  <c r="H212" i="23"/>
  <c r="H247" i="23"/>
  <c r="H211" i="23"/>
  <c r="H213" i="23"/>
  <c r="L9" i="26"/>
  <c r="AC37" i="23"/>
  <c r="AB37" i="23"/>
  <c r="AA37" i="23"/>
  <c r="L10" i="26"/>
  <c r="AC36" i="23"/>
  <c r="AB36" i="23"/>
  <c r="AA36" i="23"/>
  <c r="AC204" i="23"/>
  <c r="J236" i="22"/>
  <c r="F816" i="22"/>
  <c r="V21" i="25"/>
  <c r="Z37" i="25"/>
  <c r="X29" i="25"/>
  <c r="W29" i="25"/>
  <c r="V25" i="25"/>
  <c r="V28" i="25"/>
  <c r="V26" i="25"/>
  <c r="V27" i="25"/>
  <c r="Y29" i="25"/>
  <c r="F759" i="22"/>
  <c r="AC144" i="23"/>
  <c r="AC236" i="23"/>
  <c r="AC171" i="23"/>
  <c r="AC73" i="23"/>
  <c r="Y99" i="23"/>
  <c r="F805" i="22"/>
  <c r="E747" i="22"/>
  <c r="F776" i="22"/>
  <c r="F765" i="22"/>
  <c r="F763" i="22"/>
  <c r="F784" i="22"/>
  <c r="F771" i="22"/>
  <c r="F818" i="22"/>
  <c r="F761" i="22"/>
  <c r="F787" i="22"/>
  <c r="F801" i="22"/>
  <c r="F777" i="22"/>
  <c r="F788" i="22"/>
  <c r="F795" i="22"/>
  <c r="F767" i="22"/>
  <c r="E719" i="22"/>
  <c r="F766" i="22"/>
  <c r="E734" i="22"/>
  <c r="F773" i="22"/>
  <c r="F775" i="22"/>
  <c r="F778" i="22"/>
  <c r="F797" i="22"/>
  <c r="T204" i="23"/>
  <c r="G269" i="23"/>
  <c r="AA86" i="23"/>
  <c r="C501" i="22" s="1"/>
  <c r="D498" i="22" s="1"/>
  <c r="AB86" i="23"/>
  <c r="AB242" i="23"/>
  <c r="AB177" i="23"/>
  <c r="AB269" i="23"/>
  <c r="AA269" i="23"/>
  <c r="Z33" i="23"/>
  <c r="AB83" i="23"/>
  <c r="F267" i="23"/>
  <c r="F266" i="23"/>
  <c r="E746" i="22"/>
  <c r="F757" i="22"/>
  <c r="F774" i="22"/>
  <c r="F800" i="22"/>
  <c r="AA204" i="23"/>
  <c r="J480" i="22" s="1"/>
  <c r="AB204" i="23"/>
  <c r="J360" i="22" s="1"/>
  <c r="AB251" i="23"/>
  <c r="AB186" i="23"/>
  <c r="F821" i="22"/>
  <c r="W118" i="23"/>
  <c r="W120" i="23" s="1"/>
  <c r="W122" i="23" s="1"/>
  <c r="F815" i="22"/>
  <c r="Y204" i="23"/>
  <c r="F790" i="22"/>
  <c r="F781" i="22"/>
  <c r="F769" i="22"/>
  <c r="F782" i="22"/>
  <c r="F779" i="22"/>
  <c r="E728" i="22"/>
  <c r="F828" i="22"/>
  <c r="F799" i="22"/>
  <c r="F802" i="22"/>
  <c r="F796" i="22"/>
  <c r="E729" i="22"/>
  <c r="F798" i="22"/>
  <c r="F807" i="22"/>
  <c r="F803" i="22"/>
  <c r="F804" i="22"/>
  <c r="E725" i="22"/>
  <c r="F760" i="22"/>
  <c r="F785" i="22"/>
  <c r="F783" i="22"/>
  <c r="F764" i="22"/>
  <c r="E732" i="22"/>
  <c r="E741" i="22" s="1"/>
  <c r="E743" i="22" s="1"/>
  <c r="F806" i="22"/>
  <c r="F820" i="22"/>
  <c r="F826" i="22"/>
  <c r="F817" i="22"/>
  <c r="E748" i="22"/>
  <c r="F758" i="22"/>
  <c r="F786" i="22"/>
  <c r="F762" i="22"/>
  <c r="F772" i="22"/>
  <c r="E721" i="22"/>
  <c r="F819" i="22"/>
  <c r="F830" i="22"/>
  <c r="F831" i="22"/>
  <c r="F827" i="22"/>
  <c r="E724" i="22"/>
  <c r="F768" i="22"/>
  <c r="E749" i="22"/>
  <c r="F770" i="22"/>
  <c r="F780" i="22"/>
  <c r="E723" i="22"/>
  <c r="F829" i="22"/>
  <c r="F789" i="22"/>
  <c r="F794" i="22"/>
  <c r="F908" i="22"/>
  <c r="X204" i="23"/>
  <c r="N204" i="23"/>
  <c r="Y174" i="23"/>
  <c r="Z204" i="23"/>
  <c r="V204" i="23"/>
  <c r="R204" i="23"/>
  <c r="W204" i="23"/>
  <c r="U204" i="23"/>
  <c r="F885" i="22"/>
  <c r="F942" i="22"/>
  <c r="Q204" i="23"/>
  <c r="X240" i="23"/>
  <c r="P204" i="23"/>
  <c r="Z86" i="23"/>
  <c r="Z144" i="23" s="1"/>
  <c r="Z46" i="25"/>
  <c r="S204" i="23"/>
  <c r="O204" i="23"/>
  <c r="F937" i="22"/>
  <c r="F895" i="22"/>
  <c r="F882" i="22"/>
  <c r="E868" i="22"/>
  <c r="E870" i="22"/>
  <c r="F929" i="22"/>
  <c r="F916" i="22"/>
  <c r="F941" i="22"/>
  <c r="F888" i="22"/>
  <c r="F927" i="22"/>
  <c r="E841" i="22"/>
  <c r="E842" i="22"/>
  <c r="F900" i="22"/>
  <c r="F910" i="22"/>
  <c r="F890" i="22"/>
  <c r="F899" i="22"/>
  <c r="F907" i="22"/>
  <c r="E845" i="22"/>
  <c r="E840" i="22"/>
  <c r="F911" i="22"/>
  <c r="F918" i="22"/>
  <c r="F881" i="22"/>
  <c r="E867" i="22"/>
  <c r="F943" i="22"/>
  <c r="F903" i="22"/>
  <c r="F939" i="22"/>
  <c r="E853" i="22"/>
  <c r="E862" i="22" s="1"/>
  <c r="E864" i="22" s="1"/>
  <c r="F893" i="22"/>
  <c r="F880" i="22"/>
  <c r="F902" i="22"/>
  <c r="F886" i="22"/>
  <c r="E844" i="22"/>
  <c r="F892" i="22"/>
  <c r="F928" i="22"/>
  <c r="F919" i="22"/>
  <c r="F887" i="22"/>
  <c r="F896" i="22"/>
  <c r="F938" i="22"/>
  <c r="F926" i="22"/>
  <c r="F920" i="22"/>
  <c r="F923" i="22"/>
  <c r="F889" i="22"/>
  <c r="F884" i="22"/>
  <c r="F940" i="22"/>
  <c r="E855" i="22"/>
  <c r="F906" i="22"/>
  <c r="F905" i="22"/>
  <c r="F891" i="22"/>
  <c r="F925" i="22"/>
  <c r="F924" i="22"/>
  <c r="F915" i="22"/>
  <c r="E849" i="22"/>
  <c r="F878" i="22"/>
  <c r="E869" i="22"/>
  <c r="F909" i="22"/>
  <c r="F904" i="22"/>
  <c r="F883" i="22"/>
  <c r="E850" i="22"/>
  <c r="E846" i="22"/>
  <c r="F901" i="22"/>
  <c r="F898" i="22"/>
  <c r="F894" i="22"/>
  <c r="F879" i="22"/>
  <c r="F917" i="22"/>
  <c r="F921" i="22"/>
  <c r="F897" i="22"/>
  <c r="Z21" i="25"/>
  <c r="AA83" i="23"/>
  <c r="AA251" i="23"/>
  <c r="AA186" i="23"/>
  <c r="X239" i="23"/>
  <c r="X55" i="23"/>
  <c r="AA236" i="23"/>
  <c r="AA171" i="23"/>
  <c r="AA73" i="23"/>
  <c r="AA74" i="23" s="1"/>
  <c r="AA48" i="23"/>
  <c r="AA50" i="23"/>
  <c r="C979" i="22"/>
  <c r="X237" i="23"/>
  <c r="AA27" i="23"/>
  <c r="AA38" i="23"/>
  <c r="AA239" i="23"/>
  <c r="AA235" i="23"/>
  <c r="AA241" i="23"/>
  <c r="AA238" i="23"/>
  <c r="AA231" i="23"/>
  <c r="AA244" i="23"/>
  <c r="AA234" i="23"/>
  <c r="AA233" i="23"/>
  <c r="AA237" i="23"/>
  <c r="AA224" i="23"/>
  <c r="AA221" i="23"/>
  <c r="AA240" i="23"/>
  <c r="AA230" i="23"/>
  <c r="AA229" i="23"/>
  <c r="AA228" i="23"/>
  <c r="AD256" i="23" s="1"/>
  <c r="X50" i="23"/>
  <c r="G202" i="23"/>
  <c r="G230" i="23" s="1"/>
  <c r="X224" i="23"/>
  <c r="AA129" i="23"/>
  <c r="AA189" i="23" s="1"/>
  <c r="X25" i="23"/>
  <c r="Y129" i="23"/>
  <c r="Y189" i="23" s="1"/>
  <c r="Y84" i="23"/>
  <c r="X234" i="23"/>
  <c r="Y65" i="23"/>
  <c r="Z65" i="23" s="1"/>
  <c r="X124" i="23"/>
  <c r="Y62" i="23"/>
  <c r="Z61" i="23"/>
  <c r="G150" i="23"/>
  <c r="X175" i="23"/>
  <c r="X228" i="23"/>
  <c r="Z66" i="23"/>
  <c r="Z75" i="23"/>
  <c r="X99" i="23"/>
  <c r="X241" i="23"/>
  <c r="G251" i="23"/>
  <c r="Z122" i="23"/>
  <c r="Z251" i="23" s="1"/>
  <c r="Z71" i="23"/>
  <c r="X235" i="23"/>
  <c r="X238" i="23"/>
  <c r="Y72" i="23"/>
  <c r="Y176" i="23" s="1"/>
  <c r="Y235" i="23"/>
  <c r="Y228" i="23"/>
  <c r="F1037" i="22"/>
  <c r="F1007" i="22"/>
  <c r="F1043" i="22"/>
  <c r="F1018" i="22"/>
  <c r="F948" i="22"/>
  <c r="E971" i="22"/>
  <c r="F1011" i="22"/>
  <c r="F1009" i="22"/>
  <c r="F1029" i="22"/>
  <c r="F951" i="22"/>
  <c r="F1002" i="22"/>
  <c r="F1014" i="22"/>
  <c r="F1066" i="22"/>
  <c r="E963" i="22"/>
  <c r="F1032" i="22"/>
  <c r="F950" i="22"/>
  <c r="F1052" i="22"/>
  <c r="F1016" i="22"/>
  <c r="F1006" i="22"/>
  <c r="F1062" i="22"/>
  <c r="E972" i="22"/>
  <c r="F1003" i="22"/>
  <c r="F1005" i="22"/>
  <c r="F1022" i="22"/>
  <c r="F1065" i="22"/>
  <c r="E991" i="22"/>
  <c r="F1035" i="22"/>
  <c r="F1031" i="22"/>
  <c r="E977" i="22"/>
  <c r="E962" i="22"/>
  <c r="E964" i="22"/>
  <c r="E989" i="22"/>
  <c r="F1017" i="22"/>
  <c r="F1053" i="22"/>
  <c r="F1063" i="22"/>
  <c r="F1057" i="22"/>
  <c r="F1041" i="22"/>
  <c r="E967" i="22"/>
  <c r="F1008" i="22"/>
  <c r="F1019" i="22"/>
  <c r="F1015" i="22"/>
  <c r="F1038" i="22"/>
  <c r="F1051" i="22"/>
  <c r="F1042" i="22"/>
  <c r="F1056" i="22"/>
  <c r="F952" i="22"/>
  <c r="F1023" i="22"/>
  <c r="F1012" i="22"/>
  <c r="E966" i="22"/>
  <c r="F1067" i="22"/>
  <c r="F1030" i="22"/>
  <c r="F1036" i="22"/>
  <c r="F1034" i="22"/>
  <c r="F1039" i="22"/>
  <c r="F1000" i="22"/>
  <c r="F1004" i="22"/>
  <c r="F1001" i="22"/>
  <c r="F1020" i="22"/>
  <c r="F1055" i="22"/>
  <c r="E992" i="22"/>
  <c r="F1028" i="22"/>
  <c r="F1068" i="22"/>
  <c r="F1054" i="22"/>
  <c r="F1033" i="22"/>
  <c r="E968" i="22"/>
  <c r="F1024" i="22"/>
  <c r="F1013" i="22"/>
  <c r="F1021" i="22"/>
  <c r="F1040" i="22"/>
  <c r="F1064" i="22"/>
  <c r="E990" i="22"/>
  <c r="F949" i="22"/>
  <c r="F953" i="22"/>
  <c r="G134" i="23"/>
  <c r="G194" i="23" s="1"/>
  <c r="G186" i="23"/>
  <c r="W40" i="23"/>
  <c r="W164" i="23"/>
  <c r="W56" i="23"/>
  <c r="W240" i="23"/>
  <c r="Z83" i="23"/>
  <c r="Z143" i="23" s="1"/>
  <c r="W238" i="23"/>
  <c r="W145" i="23"/>
  <c r="Y120" i="23"/>
  <c r="Y128" i="23" s="1"/>
  <c r="Y188" i="23" s="1"/>
  <c r="Z10" i="23"/>
  <c r="Z18" i="23" s="1"/>
  <c r="Z221" i="23"/>
  <c r="AD222" i="23" s="1"/>
  <c r="Z156" i="23"/>
  <c r="W244" i="23"/>
  <c r="X182" i="23"/>
  <c r="Y247" i="23"/>
  <c r="Z224" i="23"/>
  <c r="AD225" i="23" s="1"/>
  <c r="Z159" i="23"/>
  <c r="Z52" i="23"/>
  <c r="Z160" i="23" s="1"/>
  <c r="Z53" i="23"/>
  <c r="Z161" i="23" s="1"/>
  <c r="Y69" i="23"/>
  <c r="Z69" i="23" s="1"/>
  <c r="Y124" i="23"/>
  <c r="W99" i="23"/>
  <c r="Y146" i="23"/>
  <c r="Y148" i="23" s="1"/>
  <c r="Y213" i="23" s="1"/>
  <c r="Y240" i="23"/>
  <c r="W237" i="23"/>
  <c r="W221" i="23"/>
  <c r="X172" i="23"/>
  <c r="W63" i="23"/>
  <c r="W167" i="23" s="1"/>
  <c r="Y68" i="23"/>
  <c r="Z68" i="23" s="1"/>
  <c r="X144" i="23"/>
  <c r="X145" i="23" s="1"/>
  <c r="C857" i="22"/>
  <c r="W239" i="23"/>
  <c r="V221" i="23"/>
  <c r="V226" i="23" s="1"/>
  <c r="Y179" i="23"/>
  <c r="Y244" i="23"/>
  <c r="Y44" i="23"/>
  <c r="Y46" i="23" s="1"/>
  <c r="AC47" i="23" s="1"/>
  <c r="Y25" i="23"/>
  <c r="Y132" i="23"/>
  <c r="W233" i="23"/>
  <c r="W224" i="23"/>
  <c r="Y221" i="23"/>
  <c r="AC222" i="23" s="1"/>
  <c r="Y224" i="23"/>
  <c r="AC225" i="23" s="1"/>
  <c r="W231" i="23"/>
  <c r="W228" i="23"/>
  <c r="Y165" i="23"/>
  <c r="Y230" i="23"/>
  <c r="G40" i="23"/>
  <c r="G56" i="23"/>
  <c r="G164" i="23"/>
  <c r="G63" i="23"/>
  <c r="F50" i="23"/>
  <c r="G47" i="23"/>
  <c r="X56" i="23"/>
  <c r="Y239" i="23"/>
  <c r="W229" i="23"/>
  <c r="W234" i="23"/>
  <c r="W241" i="23"/>
  <c r="Y64" i="23"/>
  <c r="Y144" i="23"/>
  <c r="C736" i="22"/>
  <c r="C731" i="22"/>
  <c r="C993" i="22"/>
  <c r="C994" i="22" s="1"/>
  <c r="E975" i="22"/>
  <c r="E984" i="22" s="1"/>
  <c r="E986" i="22" s="1"/>
  <c r="X132" i="23"/>
  <c r="X149" i="23" s="1"/>
  <c r="X129" i="23"/>
  <c r="X189" i="23" s="1"/>
  <c r="X120" i="23"/>
  <c r="X128" i="23" s="1"/>
  <c r="X188" i="23" s="1"/>
  <c r="X146" i="23"/>
  <c r="X148" i="23" s="1"/>
  <c r="X213" i="23" s="1"/>
  <c r="X41" i="23"/>
  <c r="X168" i="23"/>
  <c r="X233" i="23"/>
  <c r="C1095" i="22"/>
  <c r="W163" i="23"/>
  <c r="X48" i="23"/>
  <c r="X244" i="23"/>
  <c r="X179" i="23"/>
  <c r="X249" i="23"/>
  <c r="X230" i="23"/>
  <c r="X165" i="23"/>
  <c r="W235" i="23"/>
  <c r="W230" i="23"/>
  <c r="X231" i="23"/>
  <c r="X166" i="23"/>
  <c r="C871" i="22"/>
  <c r="C872" i="22" s="1"/>
  <c r="C852" i="22"/>
  <c r="C858" i="22" s="1"/>
  <c r="E1081" i="22"/>
  <c r="E1094" i="22"/>
  <c r="C974" i="22"/>
  <c r="C976" i="22" s="1"/>
  <c r="E1090" i="22"/>
  <c r="E1099" i="22" s="1"/>
  <c r="E1101" i="22" s="1"/>
  <c r="E1078" i="22"/>
  <c r="E1086" i="22"/>
  <c r="E1092" i="22"/>
  <c r="E1077" i="22"/>
  <c r="E1079" i="22"/>
  <c r="E1087" i="22"/>
  <c r="E1082" i="22"/>
  <c r="W146" i="23"/>
  <c r="W148" i="23" s="1"/>
  <c r="W213" i="23" s="1"/>
  <c r="W132" i="23"/>
  <c r="W149" i="23" s="1"/>
  <c r="W129" i="23"/>
  <c r="W189" i="23" s="1"/>
  <c r="W182" i="23"/>
  <c r="W247" i="23"/>
  <c r="W124" i="23"/>
  <c r="W25" i="23"/>
  <c r="W27" i="23" s="1"/>
  <c r="I7" i="26" s="1"/>
  <c r="I15" i="26" s="1"/>
  <c r="I17" i="26" s="1"/>
  <c r="I18" i="26" s="1"/>
  <c r="W44" i="23"/>
  <c r="W46" i="23" s="1"/>
  <c r="AA47" i="23" s="1"/>
  <c r="W11" i="23"/>
  <c r="W139" i="23"/>
  <c r="W199" i="23" s="1"/>
  <c r="W184" i="23"/>
  <c r="W128" i="23"/>
  <c r="W188" i="23" s="1"/>
  <c r="W131" i="23"/>
  <c r="F210" i="23"/>
  <c r="E1083" i="22"/>
  <c r="F1182" i="22"/>
  <c r="F1163" i="22"/>
  <c r="F1155" i="22"/>
  <c r="F1147" i="22"/>
  <c r="F1135" i="22"/>
  <c r="F1127" i="22"/>
  <c r="F1119" i="22"/>
  <c r="F1177" i="22"/>
  <c r="F1162" i="22"/>
  <c r="F1154" i="22"/>
  <c r="F1142" i="22"/>
  <c r="F1134" i="22"/>
  <c r="F1126" i="22"/>
  <c r="F1118" i="22"/>
  <c r="F1120" i="22"/>
  <c r="F1188" i="22"/>
  <c r="F1176" i="22"/>
  <c r="F1161" i="22"/>
  <c r="F1153" i="22"/>
  <c r="F1141" i="22"/>
  <c r="F1133" i="22"/>
  <c r="F1125" i="22"/>
  <c r="F1117" i="22"/>
  <c r="F1187" i="22"/>
  <c r="F1175" i="22"/>
  <c r="F1160" i="22"/>
  <c r="F1152" i="22"/>
  <c r="F1140" i="22"/>
  <c r="F1132" i="22"/>
  <c r="F1124" i="22"/>
  <c r="F1116" i="22"/>
  <c r="F1186" i="22"/>
  <c r="F1174" i="22"/>
  <c r="F1159" i="22"/>
  <c r="F1151" i="22"/>
  <c r="F1139" i="22"/>
  <c r="F1131" i="22"/>
  <c r="F1123" i="22"/>
  <c r="F1115" i="22"/>
  <c r="F1171" i="22"/>
  <c r="F1185" i="22"/>
  <c r="F1173" i="22"/>
  <c r="F1158" i="22"/>
  <c r="F1150" i="22"/>
  <c r="F1138" i="22"/>
  <c r="F1130" i="22"/>
  <c r="F1122" i="22"/>
  <c r="F1156" i="22"/>
  <c r="F1184" i="22"/>
  <c r="F1172" i="22"/>
  <c r="F1157" i="22"/>
  <c r="F1149" i="22"/>
  <c r="F1137" i="22"/>
  <c r="F1129" i="22"/>
  <c r="F1121" i="22"/>
  <c r="F1183" i="22"/>
  <c r="F1148" i="22"/>
  <c r="F1136" i="22"/>
  <c r="F1128" i="22"/>
  <c r="D1089" i="22"/>
  <c r="C1091" i="22"/>
  <c r="C1093" i="22" s="1"/>
  <c r="F124" i="23"/>
  <c r="F247" i="23"/>
  <c r="F146" i="23"/>
  <c r="F211" i="23" s="1"/>
  <c r="F214" i="23" s="1"/>
  <c r="F132" i="23"/>
  <c r="F192" i="23" s="1"/>
  <c r="F120" i="23"/>
  <c r="F184" i="23" s="1"/>
  <c r="F129" i="23"/>
  <c r="F189" i="23" s="1"/>
  <c r="V11" i="23"/>
  <c r="F38" i="23"/>
  <c r="F48" i="23"/>
  <c r="F85" i="23"/>
  <c r="F226" i="23"/>
  <c r="F28" i="23"/>
  <c r="F88" i="23"/>
  <c r="F30" i="23"/>
  <c r="V25" i="23"/>
  <c r="V44" i="23"/>
  <c r="V46" i="23" s="1"/>
  <c r="V144" i="23"/>
  <c r="F22" i="22" l="1"/>
  <c r="F20" i="22"/>
  <c r="AC129" i="23"/>
  <c r="AC189" i="23" s="1"/>
  <c r="AC132" i="23"/>
  <c r="AC99" i="23"/>
  <c r="AC134" i="23"/>
  <c r="AC194" i="23" s="1"/>
  <c r="AC128" i="23"/>
  <c r="AC188" i="23" s="1"/>
  <c r="AA144" i="23"/>
  <c r="AA209" i="23" s="1"/>
  <c r="I90" i="23"/>
  <c r="I73" i="23"/>
  <c r="I171" i="23"/>
  <c r="I236" i="23"/>
  <c r="AA80" i="23"/>
  <c r="I254" i="23"/>
  <c r="I251" i="23"/>
  <c r="I264" i="23" s="1"/>
  <c r="I248" i="23"/>
  <c r="I212" i="23"/>
  <c r="I253" i="23"/>
  <c r="I247" i="23"/>
  <c r="I211" i="23"/>
  <c r="I214" i="23" s="1"/>
  <c r="I213" i="23"/>
  <c r="I215" i="23" s="1"/>
  <c r="H249" i="23"/>
  <c r="H269" i="23" s="1"/>
  <c r="F170" i="22"/>
  <c r="F229" i="22"/>
  <c r="F201" i="22"/>
  <c r="F224" i="22"/>
  <c r="F202" i="22"/>
  <c r="F216" i="22"/>
  <c r="F215" i="22"/>
  <c r="F203" i="22"/>
  <c r="F204" i="22"/>
  <c r="F205" i="22"/>
  <c r="F226" i="22"/>
  <c r="F218" i="22"/>
  <c r="F206" i="22"/>
  <c r="F217" i="22"/>
  <c r="F227" i="22"/>
  <c r="F219" i="22"/>
  <c r="F200" i="22"/>
  <c r="F228" i="22"/>
  <c r="F214" i="22"/>
  <c r="F225" i="22"/>
  <c r="F184" i="22"/>
  <c r="F183" i="22"/>
  <c r="F189" i="22"/>
  <c r="F178" i="22"/>
  <c r="F193" i="22"/>
  <c r="F175" i="22"/>
  <c r="F181" i="22"/>
  <c r="F195" i="22"/>
  <c r="F191" i="22"/>
  <c r="F192" i="22"/>
  <c r="F167" i="22"/>
  <c r="F173" i="22"/>
  <c r="F187" i="22"/>
  <c r="F182" i="22"/>
  <c r="F162" i="22"/>
  <c r="F161" i="22"/>
  <c r="F177" i="22"/>
  <c r="F190" i="22"/>
  <c r="F165" i="22"/>
  <c r="F179" i="22"/>
  <c r="F176" i="22"/>
  <c r="F171" i="22"/>
  <c r="F169" i="22"/>
  <c r="F174" i="22"/>
  <c r="F188" i="22"/>
  <c r="F163" i="22"/>
  <c r="F168" i="22"/>
  <c r="F166" i="22"/>
  <c r="F180" i="22"/>
  <c r="F194" i="22"/>
  <c r="F185" i="22"/>
  <c r="F172" i="22"/>
  <c r="F186" i="22"/>
  <c r="D152" i="22"/>
  <c r="E136" i="22"/>
  <c r="E125" i="22"/>
  <c r="E129" i="22"/>
  <c r="E128" i="22"/>
  <c r="E133" i="22"/>
  <c r="E138" i="22"/>
  <c r="D151" i="22"/>
  <c r="D150" i="22"/>
  <c r="D153" i="22"/>
  <c r="E132" i="22"/>
  <c r="D145" i="22"/>
  <c r="D146" i="22" s="1"/>
  <c r="E124" i="22"/>
  <c r="AC208" i="23"/>
  <c r="V29" i="25"/>
  <c r="Z157" i="23"/>
  <c r="AD157" i="23"/>
  <c r="M7" i="26"/>
  <c r="M15" i="26" s="1"/>
  <c r="M17" i="26" s="1"/>
  <c r="M18" i="26" s="1"/>
  <c r="AD88" i="23"/>
  <c r="C257" i="22"/>
  <c r="AA131" i="23"/>
  <c r="H244" i="23"/>
  <c r="H204" i="23"/>
  <c r="H224" i="23"/>
  <c r="H237" i="23"/>
  <c r="H234" i="23"/>
  <c r="H241" i="23"/>
  <c r="H229" i="23"/>
  <c r="H239" i="23"/>
  <c r="H231" i="23"/>
  <c r="H221" i="23"/>
  <c r="H238" i="23"/>
  <c r="H230" i="23"/>
  <c r="H235" i="23"/>
  <c r="H233" i="23"/>
  <c r="H240" i="23"/>
  <c r="H228" i="23"/>
  <c r="H256" i="23" s="1"/>
  <c r="H232" i="23"/>
  <c r="H236" i="23"/>
  <c r="H242" i="23"/>
  <c r="H245" i="23"/>
  <c r="H243" i="23"/>
  <c r="AA128" i="23"/>
  <c r="AA188" i="23" s="1"/>
  <c r="AA132" i="23"/>
  <c r="AA149" i="23" s="1"/>
  <c r="AA134" i="23"/>
  <c r="AA194" i="23" s="1"/>
  <c r="AC242" i="23"/>
  <c r="AC177" i="23"/>
  <c r="AC191" i="23"/>
  <c r="AC150" i="23"/>
  <c r="AC149" i="23"/>
  <c r="AC192" i="23"/>
  <c r="AC145" i="23"/>
  <c r="AC209" i="23"/>
  <c r="G244" i="23"/>
  <c r="AA84" i="23"/>
  <c r="AC84" i="23"/>
  <c r="G241" i="23"/>
  <c r="G235" i="23"/>
  <c r="AB134" i="23"/>
  <c r="AB194" i="23" s="1"/>
  <c r="C381" i="22"/>
  <c r="AB74" i="23"/>
  <c r="AB80" i="23" s="1"/>
  <c r="F832" i="22"/>
  <c r="E727" i="22"/>
  <c r="E731" i="22" s="1"/>
  <c r="E733" i="22" s="1"/>
  <c r="E735" i="22" s="1"/>
  <c r="E501" i="22"/>
  <c r="F496" i="22" s="1"/>
  <c r="D496" i="22"/>
  <c r="F808" i="22"/>
  <c r="F822" i="22"/>
  <c r="Y166" i="23"/>
  <c r="AB144" i="23"/>
  <c r="AB132" i="23"/>
  <c r="AB129" i="23"/>
  <c r="AB189" i="23" s="1"/>
  <c r="AB131" i="23"/>
  <c r="AB128" i="23"/>
  <c r="AB188" i="23" s="1"/>
  <c r="Z64" i="23"/>
  <c r="AA89" i="23" s="1"/>
  <c r="AB84" i="23"/>
  <c r="X269" i="23"/>
  <c r="Y249" i="23"/>
  <c r="X226" i="23"/>
  <c r="AB225" i="23"/>
  <c r="AB143" i="23"/>
  <c r="AB208" i="23" s="1"/>
  <c r="AB99" i="23"/>
  <c r="F249" i="23"/>
  <c r="F262" i="23"/>
  <c r="F259" i="23"/>
  <c r="G238" i="23"/>
  <c r="G229" i="23"/>
  <c r="G221" i="23"/>
  <c r="G222" i="23" s="1"/>
  <c r="E750" i="22"/>
  <c r="G233" i="23"/>
  <c r="Y169" i="23"/>
  <c r="G234" i="23"/>
  <c r="G228" i="23"/>
  <c r="G256" i="23" s="1"/>
  <c r="G264" i="23" s="1"/>
  <c r="G237" i="23"/>
  <c r="Y234" i="23"/>
  <c r="E871" i="22"/>
  <c r="E848" i="22"/>
  <c r="E852" i="22" s="1"/>
  <c r="E854" i="22" s="1"/>
  <c r="E856" i="22" s="1"/>
  <c r="F944" i="22"/>
  <c r="F930" i="22"/>
  <c r="G215" i="23"/>
  <c r="AA30" i="23"/>
  <c r="AA28" i="23"/>
  <c r="AA242" i="23"/>
  <c r="AA177" i="23"/>
  <c r="AA76" i="23"/>
  <c r="G239" i="23"/>
  <c r="G204" i="23"/>
  <c r="J600" i="22" s="1"/>
  <c r="E621" i="22" s="1"/>
  <c r="F616" i="22" s="1"/>
  <c r="Y139" i="23"/>
  <c r="Y199" i="23" s="1"/>
  <c r="X38" i="23"/>
  <c r="X27" i="23"/>
  <c r="J7" i="26" s="1"/>
  <c r="J15" i="26" s="1"/>
  <c r="J17" i="26" s="1"/>
  <c r="J18" i="26" s="1"/>
  <c r="AA222" i="23"/>
  <c r="Y122" i="23"/>
  <c r="Y186" i="23" s="1"/>
  <c r="G240" i="23"/>
  <c r="G224" i="23"/>
  <c r="G225" i="23" s="1"/>
  <c r="AA150" i="23"/>
  <c r="AA191" i="23"/>
  <c r="AA226" i="23"/>
  <c r="AA225" i="23"/>
  <c r="AA143" i="23"/>
  <c r="AA208" i="23" s="1"/>
  <c r="AA99" i="23"/>
  <c r="Y184" i="23"/>
  <c r="G231" i="23"/>
  <c r="W226" i="23"/>
  <c r="Y211" i="23"/>
  <c r="W67" i="23"/>
  <c r="W73" i="23" s="1"/>
  <c r="W74" i="23" s="1"/>
  <c r="W80" i="23" s="1"/>
  <c r="Y241" i="23"/>
  <c r="Y173" i="23"/>
  <c r="Y238" i="23"/>
  <c r="Y231" i="23"/>
  <c r="Z222" i="23"/>
  <c r="Z72" i="23"/>
  <c r="Z62" i="23"/>
  <c r="Y85" i="23"/>
  <c r="W232" i="23"/>
  <c r="E970" i="22"/>
  <c r="E974" i="22" s="1"/>
  <c r="E976" i="22" s="1"/>
  <c r="F687" i="22"/>
  <c r="F954" i="22"/>
  <c r="F711" i="22"/>
  <c r="F701" i="22"/>
  <c r="F670" i="22"/>
  <c r="Z208" i="23"/>
  <c r="Z226" i="23"/>
  <c r="Z225" i="23"/>
  <c r="Z11" i="23"/>
  <c r="X131" i="23"/>
  <c r="X150" i="23" s="1"/>
  <c r="Z145" i="23"/>
  <c r="Z209" i="23"/>
  <c r="X164" i="23"/>
  <c r="Y131" i="23"/>
  <c r="Y191" i="23" s="1"/>
  <c r="J715" i="22"/>
  <c r="E736" i="22" s="1"/>
  <c r="Y208" i="23"/>
  <c r="X229" i="23"/>
  <c r="Y237" i="23"/>
  <c r="Y172" i="23"/>
  <c r="X40" i="23"/>
  <c r="X63" i="23"/>
  <c r="X67" i="23" s="1"/>
  <c r="Y145" i="23"/>
  <c r="Y209" i="23"/>
  <c r="Y215" i="23" s="1"/>
  <c r="Z60" i="23"/>
  <c r="Y149" i="23"/>
  <c r="Y192" i="23"/>
  <c r="Y233" i="23"/>
  <c r="Y168" i="23"/>
  <c r="Y55" i="23"/>
  <c r="Y41" i="23"/>
  <c r="Y27" i="23"/>
  <c r="Y38" i="23"/>
  <c r="G232" i="23"/>
  <c r="G167" i="23"/>
  <c r="G67" i="23"/>
  <c r="Y50" i="23"/>
  <c r="Y48" i="23"/>
  <c r="X139" i="23"/>
  <c r="X199" i="23" s="1"/>
  <c r="X122" i="23"/>
  <c r="X134" i="23" s="1"/>
  <c r="X194" i="23" s="1"/>
  <c r="Y226" i="23"/>
  <c r="C733" i="22"/>
  <c r="C737" i="22"/>
  <c r="D731" i="22"/>
  <c r="X211" i="23"/>
  <c r="X192" i="23"/>
  <c r="X184" i="23"/>
  <c r="F128" i="23"/>
  <c r="F188" i="23" s="1"/>
  <c r="F131" i="23"/>
  <c r="F150" i="23" s="1"/>
  <c r="D852" i="22"/>
  <c r="C854" i="22"/>
  <c r="C980" i="22"/>
  <c r="E1085" i="22"/>
  <c r="E1089" i="22" s="1"/>
  <c r="C978" i="22"/>
  <c r="D976" i="22"/>
  <c r="D974" i="22"/>
  <c r="F1069" i="22"/>
  <c r="F1044" i="22"/>
  <c r="F1058" i="22"/>
  <c r="W211" i="23"/>
  <c r="W192" i="23"/>
  <c r="W249" i="23"/>
  <c r="W38" i="23"/>
  <c r="W48" i="23"/>
  <c r="W50" i="23"/>
  <c r="W30" i="23"/>
  <c r="W28" i="23"/>
  <c r="W186" i="23"/>
  <c r="W134" i="23"/>
  <c r="W194" i="23" s="1"/>
  <c r="W251" i="23"/>
  <c r="W191" i="23"/>
  <c r="W150" i="23"/>
  <c r="F148" i="23"/>
  <c r="F213" i="23" s="1"/>
  <c r="F215" i="23" s="1"/>
  <c r="D1091" i="22"/>
  <c r="F122" i="23"/>
  <c r="F186" i="23" s="1"/>
  <c r="F149" i="23"/>
  <c r="F139" i="23"/>
  <c r="F199" i="23" s="1"/>
  <c r="V145" i="23"/>
  <c r="V48" i="23"/>
  <c r="V27" i="23"/>
  <c r="V38" i="23"/>
  <c r="K97" i="23"/>
  <c r="L97" i="23"/>
  <c r="AD103" i="23" s="1"/>
  <c r="L62" i="23"/>
  <c r="AA192" i="23" l="1"/>
  <c r="E123" i="22"/>
  <c r="E127" i="22"/>
  <c r="D154" i="22"/>
  <c r="F230" i="22"/>
  <c r="F196" i="22"/>
  <c r="I249" i="23"/>
  <c r="I259" i="23"/>
  <c r="I262" i="23"/>
  <c r="F220" i="22"/>
  <c r="I177" i="23"/>
  <c r="I242" i="23"/>
  <c r="E131" i="22"/>
  <c r="F207" i="22"/>
  <c r="AD87" i="23"/>
  <c r="AD137" i="23" s="1"/>
  <c r="AD197" i="23" s="1"/>
  <c r="AD166" i="23"/>
  <c r="AD231" i="23"/>
  <c r="AD267" i="23" s="1"/>
  <c r="D252" i="22"/>
  <c r="D254" i="22"/>
  <c r="E257" i="22"/>
  <c r="E140" i="22"/>
  <c r="D135" i="22"/>
  <c r="D137" i="22"/>
  <c r="H226" i="23"/>
  <c r="H225" i="23"/>
  <c r="H222" i="23"/>
  <c r="H210" i="23"/>
  <c r="H214" i="23"/>
  <c r="H215" i="23"/>
  <c r="H267" i="23"/>
  <c r="H266" i="23"/>
  <c r="H264" i="23"/>
  <c r="H259" i="23"/>
  <c r="H262" i="23"/>
  <c r="H258" i="23"/>
  <c r="H261" i="23"/>
  <c r="AC74" i="23"/>
  <c r="AA87" i="23"/>
  <c r="AA137" i="23" s="1"/>
  <c r="AA197" i="23" s="1"/>
  <c r="AC87" i="23"/>
  <c r="AC137" i="23" s="1"/>
  <c r="AC197" i="23" s="1"/>
  <c r="AB89" i="23"/>
  <c r="AC89" i="23"/>
  <c r="AC210" i="23"/>
  <c r="AC215" i="23"/>
  <c r="AC214" i="23"/>
  <c r="G210" i="23"/>
  <c r="E381" i="22"/>
  <c r="D376" i="22"/>
  <c r="D378" i="22"/>
  <c r="F498" i="22"/>
  <c r="Y269" i="23"/>
  <c r="AB243" i="23"/>
  <c r="AB178" i="23"/>
  <c r="AB76" i="23"/>
  <c r="AB209" i="23"/>
  <c r="AB145" i="23"/>
  <c r="W269" i="23"/>
  <c r="F261" i="23"/>
  <c r="F258" i="23"/>
  <c r="F269" i="23"/>
  <c r="AB150" i="23"/>
  <c r="AB191" i="23"/>
  <c r="AB87" i="23"/>
  <c r="K7" i="26"/>
  <c r="K15" i="26" s="1"/>
  <c r="K17" i="26" s="1"/>
  <c r="K18" i="26" s="1"/>
  <c r="G267" i="23"/>
  <c r="G266" i="23"/>
  <c r="G259" i="23"/>
  <c r="G262" i="23"/>
  <c r="G261" i="23"/>
  <c r="G258" i="23"/>
  <c r="AB192" i="23"/>
  <c r="AB149" i="23"/>
  <c r="Y88" i="23"/>
  <c r="Y251" i="23"/>
  <c r="G226" i="23"/>
  <c r="Y134" i="23"/>
  <c r="Y194" i="23" s="1"/>
  <c r="W171" i="23"/>
  <c r="W236" i="23"/>
  <c r="G214" i="23"/>
  <c r="F618" i="22"/>
  <c r="AA245" i="23"/>
  <c r="AA180" i="23"/>
  <c r="AA243" i="23"/>
  <c r="AA178" i="23"/>
  <c r="AA210" i="23"/>
  <c r="AA215" i="23"/>
  <c r="AA214" i="23"/>
  <c r="X28" i="23"/>
  <c r="X30" i="23"/>
  <c r="AA145" i="23"/>
  <c r="X251" i="23"/>
  <c r="X167" i="23"/>
  <c r="X232" i="23"/>
  <c r="Y150" i="23"/>
  <c r="Z210" i="23"/>
  <c r="F191" i="23"/>
  <c r="X73" i="23"/>
  <c r="X74" i="23" s="1"/>
  <c r="X80" i="23" s="1"/>
  <c r="X191" i="23"/>
  <c r="Z25" i="23"/>
  <c r="Z44" i="23"/>
  <c r="Z46" i="23" s="1"/>
  <c r="Z50" i="23" s="1"/>
  <c r="Z84" i="23"/>
  <c r="Z231" i="23"/>
  <c r="Z166" i="23"/>
  <c r="Z87" i="23"/>
  <c r="Z137" i="23" s="1"/>
  <c r="Z197" i="23" s="1"/>
  <c r="V103" i="23"/>
  <c r="Z103" i="23"/>
  <c r="F733" i="22"/>
  <c r="F731" i="22"/>
  <c r="Y210" i="23"/>
  <c r="G90" i="23"/>
  <c r="G236" i="23"/>
  <c r="G171" i="23"/>
  <c r="G73" i="23"/>
  <c r="G74" i="23" s="1"/>
  <c r="Y214" i="23"/>
  <c r="Y28" i="23"/>
  <c r="Y30" i="23"/>
  <c r="Y164" i="23"/>
  <c r="Y229" i="23"/>
  <c r="Y63" i="23"/>
  <c r="Y56" i="23"/>
  <c r="Y40" i="23"/>
  <c r="C735" i="22"/>
  <c r="D733" i="22"/>
  <c r="X186" i="23"/>
  <c r="X171" i="23"/>
  <c r="X236" i="23"/>
  <c r="D854" i="22"/>
  <c r="C856" i="22"/>
  <c r="F1089" i="22"/>
  <c r="E1091" i="22"/>
  <c r="E1093" i="22" s="1"/>
  <c r="E978" i="22"/>
  <c r="W76" i="23"/>
  <c r="W242" i="23"/>
  <c r="W177" i="23"/>
  <c r="F134" i="23"/>
  <c r="F194" i="23" s="1"/>
  <c r="V122" i="23"/>
  <c r="F251" i="23"/>
  <c r="F264" i="23" s="1"/>
  <c r="V28" i="23"/>
  <c r="V30" i="23"/>
  <c r="M107" i="23"/>
  <c r="L107" i="23"/>
  <c r="AD117" i="23" s="1"/>
  <c r="K107" i="23"/>
  <c r="M106" i="23"/>
  <c r="L106" i="23"/>
  <c r="K106" i="23"/>
  <c r="M97" i="23"/>
  <c r="M96" i="23"/>
  <c r="L96" i="23"/>
  <c r="K96" i="23"/>
  <c r="M94" i="23"/>
  <c r="L94" i="23"/>
  <c r="K94" i="23"/>
  <c r="L75" i="23"/>
  <c r="K72" i="23"/>
  <c r="L72" i="23" s="1"/>
  <c r="K71" i="23"/>
  <c r="L70" i="23"/>
  <c r="L69" i="23"/>
  <c r="L68" i="23"/>
  <c r="L66" i="23"/>
  <c r="K65" i="23"/>
  <c r="K64" i="23"/>
  <c r="M62" i="23"/>
  <c r="K61" i="23"/>
  <c r="E135" i="22" l="1"/>
  <c r="E137" i="22" s="1"/>
  <c r="E139" i="22" s="1"/>
  <c r="AC80" i="23"/>
  <c r="AD74" i="23"/>
  <c r="I269" i="23"/>
  <c r="I261" i="23"/>
  <c r="I258" i="23"/>
  <c r="AD172" i="23"/>
  <c r="AD237" i="23"/>
  <c r="AD238" i="23"/>
  <c r="AD173" i="23"/>
  <c r="F252" i="22"/>
  <c r="F254" i="22"/>
  <c r="AD239" i="23"/>
  <c r="AD174" i="23"/>
  <c r="AD102" i="23"/>
  <c r="AD98" i="23"/>
  <c r="AD99" i="23" s="1"/>
  <c r="AC85" i="23"/>
  <c r="AD47" i="23"/>
  <c r="AD170" i="23"/>
  <c r="AD235" i="23"/>
  <c r="AD241" i="23"/>
  <c r="AD176" i="23"/>
  <c r="AD179" i="23"/>
  <c r="AD244" i="23"/>
  <c r="AD108" i="23"/>
  <c r="AD36" i="23" s="1"/>
  <c r="AD116" i="23"/>
  <c r="AD118" i="23" s="1"/>
  <c r="C141" i="22" s="1"/>
  <c r="AC136" i="23"/>
  <c r="AC196" i="23" s="1"/>
  <c r="AA136" i="23"/>
  <c r="AA196" i="23" s="1"/>
  <c r="AC243" i="23"/>
  <c r="AC178" i="23"/>
  <c r="AC76" i="23"/>
  <c r="F376" i="22"/>
  <c r="F378" i="22"/>
  <c r="AA85" i="23"/>
  <c r="AB85" i="23"/>
  <c r="AB136" i="23"/>
  <c r="AB196" i="23" s="1"/>
  <c r="AB137" i="23"/>
  <c r="AB197" i="23" s="1"/>
  <c r="AB210" i="23"/>
  <c r="AB214" i="23"/>
  <c r="AB215" i="23"/>
  <c r="AB245" i="23"/>
  <c r="AB180" i="23"/>
  <c r="G80" i="23"/>
  <c r="V108" i="23"/>
  <c r="V36" i="23" s="1"/>
  <c r="Z108" i="23"/>
  <c r="Z36" i="23" s="1"/>
  <c r="Z48" i="23"/>
  <c r="Z47" i="23"/>
  <c r="Z85" i="23"/>
  <c r="Z238" i="23"/>
  <c r="Z173" i="23"/>
  <c r="Z27" i="23"/>
  <c r="Z38" i="23"/>
  <c r="X76" i="23"/>
  <c r="Z239" i="23"/>
  <c r="Z174" i="23"/>
  <c r="M66" i="23"/>
  <c r="Z237" i="23"/>
  <c r="Z172" i="23"/>
  <c r="Z102" i="23"/>
  <c r="Z98" i="23"/>
  <c r="Z99" i="23" s="1"/>
  <c r="Z241" i="23"/>
  <c r="Z176" i="23"/>
  <c r="Z244" i="23"/>
  <c r="Z179" i="23"/>
  <c r="Y67" i="23"/>
  <c r="Y167" i="23"/>
  <c r="Y232" i="23"/>
  <c r="G242" i="23"/>
  <c r="G177" i="23"/>
  <c r="X242" i="23"/>
  <c r="X177" i="23"/>
  <c r="F1091" i="22"/>
  <c r="W245" i="23"/>
  <c r="W180" i="23"/>
  <c r="W243" i="23"/>
  <c r="W178" i="23"/>
  <c r="M68" i="23"/>
  <c r="L61" i="23"/>
  <c r="M69" i="23"/>
  <c r="V98" i="23"/>
  <c r="V99" i="23" s="1"/>
  <c r="V102" i="23"/>
  <c r="M70" i="23"/>
  <c r="L64" i="23"/>
  <c r="M75" i="23"/>
  <c r="M72" i="23"/>
  <c r="L71" i="23"/>
  <c r="L65" i="23"/>
  <c r="F135" i="22" l="1"/>
  <c r="F137" i="22"/>
  <c r="I178" i="23"/>
  <c r="I243" i="23"/>
  <c r="I76" i="23"/>
  <c r="I77" i="23" s="1"/>
  <c r="AD132" i="23"/>
  <c r="AD120" i="23"/>
  <c r="AD247" i="23"/>
  <c r="AD182" i="23"/>
  <c r="AD129" i="23"/>
  <c r="AD189" i="23" s="1"/>
  <c r="AD124" i="23"/>
  <c r="AD146" i="23"/>
  <c r="AD233" i="23"/>
  <c r="AD266" i="23" s="1"/>
  <c r="AD41" i="23"/>
  <c r="AD168" i="23"/>
  <c r="AD55" i="23"/>
  <c r="AD89" i="23"/>
  <c r="AD136" i="23" s="1"/>
  <c r="AD196" i="23" s="1"/>
  <c r="AD234" i="23"/>
  <c r="AD169" i="23"/>
  <c r="AD165" i="23"/>
  <c r="AD230" i="23"/>
  <c r="AD63" i="23"/>
  <c r="AD175" i="23"/>
  <c r="AD240" i="23"/>
  <c r="AC245" i="23"/>
  <c r="AC180" i="23"/>
  <c r="AB88" i="23"/>
  <c r="AC88" i="23"/>
  <c r="AA88" i="23"/>
  <c r="L7" i="26"/>
  <c r="L15" i="26" s="1"/>
  <c r="L17" i="26" s="1"/>
  <c r="L18" i="26" s="1"/>
  <c r="Z28" i="23"/>
  <c r="Z30" i="23"/>
  <c r="Z88" i="23"/>
  <c r="Z235" i="23"/>
  <c r="Z170" i="23"/>
  <c r="Z230" i="23"/>
  <c r="Z165" i="23"/>
  <c r="Z234" i="23"/>
  <c r="Z169" i="23"/>
  <c r="Z240" i="23"/>
  <c r="Z175" i="23"/>
  <c r="M64" i="23"/>
  <c r="G243" i="23"/>
  <c r="G178" i="23"/>
  <c r="G76" i="23"/>
  <c r="Y236" i="23"/>
  <c r="Y171" i="23"/>
  <c r="Y73" i="23"/>
  <c r="X245" i="23"/>
  <c r="X180" i="23"/>
  <c r="X243" i="23"/>
  <c r="X178" i="23"/>
  <c r="M61" i="23"/>
  <c r="M65" i="23"/>
  <c r="M71" i="23"/>
  <c r="I180" i="23" l="1"/>
  <c r="I245" i="23"/>
  <c r="AD262" i="23"/>
  <c r="AD249" i="23"/>
  <c r="AD259" i="23"/>
  <c r="AD211" i="23"/>
  <c r="AD214" i="23" s="1"/>
  <c r="AD148" i="23"/>
  <c r="AD213" i="23" s="1"/>
  <c r="AD215" i="23" s="1"/>
  <c r="AD131" i="23"/>
  <c r="AD128" i="23"/>
  <c r="AD188" i="23" s="1"/>
  <c r="AD184" i="23"/>
  <c r="AD139" i="23"/>
  <c r="AD199" i="23" s="1"/>
  <c r="AD232" i="23"/>
  <c r="AD167" i="23"/>
  <c r="AD67" i="23"/>
  <c r="AD149" i="23"/>
  <c r="AD192" i="23"/>
  <c r="Z233" i="23"/>
  <c r="Z168" i="23"/>
  <c r="Z41" i="23"/>
  <c r="Z55" i="23"/>
  <c r="Z89" i="23"/>
  <c r="Z136" i="23" s="1"/>
  <c r="Z196" i="23" s="1"/>
  <c r="Y177" i="23"/>
  <c r="Y242" i="23"/>
  <c r="Y74" i="23"/>
  <c r="G245" i="23"/>
  <c r="G180" i="23"/>
  <c r="AD191" i="23" l="1"/>
  <c r="AD150" i="23"/>
  <c r="AD73" i="23"/>
  <c r="AD236" i="23"/>
  <c r="AD171" i="23"/>
  <c r="AD90" i="23"/>
  <c r="AD269" i="23"/>
  <c r="AD261" i="23"/>
  <c r="AD258" i="23"/>
  <c r="Y76" i="23"/>
  <c r="Y180" i="23" s="1"/>
  <c r="Z74" i="23"/>
  <c r="X208" i="23"/>
  <c r="Y80" i="23"/>
  <c r="Y178" i="23"/>
  <c r="Y243" i="23"/>
  <c r="C202" i="23"/>
  <c r="C203" i="23"/>
  <c r="C254" i="23" s="1"/>
  <c r="D202" i="23"/>
  <c r="D203" i="23"/>
  <c r="D254" i="23" s="1"/>
  <c r="E203" i="23"/>
  <c r="E254" i="23" s="1"/>
  <c r="E202" i="23"/>
  <c r="N123" i="23"/>
  <c r="N254" i="23" s="1"/>
  <c r="N119" i="23"/>
  <c r="N37" i="23" s="1"/>
  <c r="N112" i="23"/>
  <c r="N111" i="23"/>
  <c r="N95" i="23"/>
  <c r="N75" i="23"/>
  <c r="N70" i="23"/>
  <c r="N69" i="23"/>
  <c r="N66" i="23"/>
  <c r="N65" i="23"/>
  <c r="N62" i="23"/>
  <c r="O87" i="23" s="1"/>
  <c r="N61" i="23"/>
  <c r="N45" i="23"/>
  <c r="N29" i="23"/>
  <c r="N26" i="23"/>
  <c r="N24" i="23"/>
  <c r="N23" i="23"/>
  <c r="N22" i="23"/>
  <c r="N13" i="23"/>
  <c r="N21" i="23"/>
  <c r="N20" i="23"/>
  <c r="N19" i="23"/>
  <c r="N17" i="23"/>
  <c r="N16" i="23"/>
  <c r="N15" i="23"/>
  <c r="N14" i="23"/>
  <c r="N9" i="23"/>
  <c r="N7" i="23"/>
  <c r="O83" i="23" s="1"/>
  <c r="Q86" i="23"/>
  <c r="K59" i="23"/>
  <c r="N35" i="23" l="1"/>
  <c r="N34" i="23"/>
  <c r="AD242" i="23"/>
  <c r="AD177" i="23"/>
  <c r="O37" i="23"/>
  <c r="Q37" i="23"/>
  <c r="P37" i="23"/>
  <c r="Y245" i="23"/>
  <c r="J836" i="22"/>
  <c r="E857" i="22" s="1"/>
  <c r="X209" i="23"/>
  <c r="X214" i="23" s="1"/>
  <c r="J958" i="22"/>
  <c r="E979" i="22" s="1"/>
  <c r="W208" i="23"/>
  <c r="W209" i="23"/>
  <c r="V209" i="23"/>
  <c r="N87" i="23"/>
  <c r="O86" i="23"/>
  <c r="P86" i="23"/>
  <c r="N86" i="23"/>
  <c r="P83" i="23"/>
  <c r="N83" i="23"/>
  <c r="Q83" i="23"/>
  <c r="X215" i="23" l="1"/>
  <c r="X210" i="23"/>
  <c r="V208" i="23"/>
  <c r="V210" i="23" s="1"/>
  <c r="W210" i="23"/>
  <c r="W215" i="23"/>
  <c r="W214" i="23"/>
  <c r="F974" i="22"/>
  <c r="F976" i="22"/>
  <c r="F852" i="22"/>
  <c r="F854" i="22"/>
  <c r="O137" i="23"/>
  <c r="N137" i="23"/>
  <c r="C40" i="23"/>
  <c r="E33" i="23"/>
  <c r="D33" i="23"/>
  <c r="C33" i="23"/>
  <c r="O41" i="23"/>
  <c r="K41" i="23"/>
  <c r="T33" i="23"/>
  <c r="S33" i="23"/>
  <c r="Q33" i="23"/>
  <c r="P33" i="23"/>
  <c r="O33" i="23"/>
  <c r="N33" i="23"/>
  <c r="M33" i="23"/>
  <c r="L33" i="23"/>
  <c r="K33" i="23"/>
  <c r="S244" i="23"/>
  <c r="O244" i="23"/>
  <c r="O241" i="23"/>
  <c r="O239" i="23"/>
  <c r="S238" i="23"/>
  <c r="O238" i="23"/>
  <c r="S237" i="23"/>
  <c r="O237" i="23"/>
  <c r="S235" i="23"/>
  <c r="O235" i="23"/>
  <c r="O234" i="23"/>
  <c r="O233" i="23"/>
  <c r="O231" i="23"/>
  <c r="O230" i="23"/>
  <c r="S179" i="23"/>
  <c r="O179" i="23"/>
  <c r="K179" i="23"/>
  <c r="O176" i="23"/>
  <c r="K176" i="23"/>
  <c r="K175" i="23"/>
  <c r="O174" i="23"/>
  <c r="K174" i="23"/>
  <c r="S173" i="23"/>
  <c r="O173" i="23"/>
  <c r="K173" i="23"/>
  <c r="S172" i="23"/>
  <c r="O172" i="23"/>
  <c r="K172" i="23"/>
  <c r="S170" i="23"/>
  <c r="O170" i="23"/>
  <c r="K170" i="23"/>
  <c r="O169" i="23"/>
  <c r="K169" i="23"/>
  <c r="O168" i="23"/>
  <c r="K168" i="23"/>
  <c r="O166" i="23"/>
  <c r="K166" i="23"/>
  <c r="O165" i="23"/>
  <c r="K165" i="23"/>
  <c r="K163" i="23"/>
  <c r="R123" i="23"/>
  <c r="R254" i="23" s="1"/>
  <c r="U119" i="23"/>
  <c r="R119" i="23"/>
  <c r="S112" i="23"/>
  <c r="R112" i="23"/>
  <c r="S111" i="23"/>
  <c r="R111" i="23"/>
  <c r="U107" i="23"/>
  <c r="T107" i="23"/>
  <c r="S107" i="23"/>
  <c r="Q107" i="23"/>
  <c r="P107" i="23"/>
  <c r="O107" i="23"/>
  <c r="U106" i="23"/>
  <c r="T106" i="23"/>
  <c r="S106" i="23"/>
  <c r="Q106" i="23"/>
  <c r="P106" i="23"/>
  <c r="O106" i="23"/>
  <c r="U97" i="23"/>
  <c r="T97" i="23"/>
  <c r="S97" i="23"/>
  <c r="Q97" i="23"/>
  <c r="P97" i="23"/>
  <c r="O97" i="23"/>
  <c r="U96" i="23"/>
  <c r="T96" i="23"/>
  <c r="S96" i="23"/>
  <c r="Q96" i="23"/>
  <c r="P96" i="23"/>
  <c r="O96" i="23"/>
  <c r="R95" i="23"/>
  <c r="U94" i="23"/>
  <c r="T94" i="23"/>
  <c r="S94" i="23"/>
  <c r="Q94" i="23"/>
  <c r="P94" i="23"/>
  <c r="O94" i="23"/>
  <c r="T75" i="23"/>
  <c r="U75" i="23" s="1"/>
  <c r="P75" i="23"/>
  <c r="P244" i="23" s="1"/>
  <c r="S72" i="23"/>
  <c r="S71" i="23"/>
  <c r="O71" i="23"/>
  <c r="S70" i="23"/>
  <c r="P70" i="23"/>
  <c r="P239" i="23" s="1"/>
  <c r="T69" i="23"/>
  <c r="U69" i="23" s="1"/>
  <c r="P69" i="23"/>
  <c r="P238" i="23" s="1"/>
  <c r="T68" i="23"/>
  <c r="R68" i="23"/>
  <c r="R172" i="23" s="1"/>
  <c r="T66" i="23"/>
  <c r="P66" i="23"/>
  <c r="Q66" i="23" s="1"/>
  <c r="R66" i="23" s="1"/>
  <c r="R235" i="23" s="1"/>
  <c r="S65" i="23"/>
  <c r="P65" i="23"/>
  <c r="P169" i="23" s="1"/>
  <c r="S64" i="23"/>
  <c r="P64" i="23"/>
  <c r="P168" i="23" s="1"/>
  <c r="S62" i="23"/>
  <c r="P62" i="23"/>
  <c r="S61" i="23"/>
  <c r="P61" i="23"/>
  <c r="P165" i="23" s="1"/>
  <c r="R45" i="23"/>
  <c r="R29" i="23"/>
  <c r="R26" i="23"/>
  <c r="R24" i="23"/>
  <c r="R23" i="23"/>
  <c r="R22" i="23"/>
  <c r="R13" i="23"/>
  <c r="R21" i="23"/>
  <c r="R20" i="23"/>
  <c r="R19" i="23"/>
  <c r="R17" i="23"/>
  <c r="R16" i="23"/>
  <c r="R15" i="23"/>
  <c r="R14" i="23"/>
  <c r="R9" i="23"/>
  <c r="C107" i="23"/>
  <c r="C106" i="23"/>
  <c r="D107" i="23"/>
  <c r="N107" i="23" s="1"/>
  <c r="D106" i="23"/>
  <c r="N106" i="23" s="1"/>
  <c r="E107" i="23"/>
  <c r="R107" i="23" s="1"/>
  <c r="E106" i="23"/>
  <c r="R106" i="23" s="1"/>
  <c r="T37" i="23" l="1"/>
  <c r="S37" i="23"/>
  <c r="R37" i="23"/>
  <c r="U37" i="23"/>
  <c r="S169" i="23"/>
  <c r="S165" i="23"/>
  <c r="S240" i="23"/>
  <c r="S176" i="23"/>
  <c r="S231" i="23"/>
  <c r="Q69" i="23"/>
  <c r="R69" i="23" s="1"/>
  <c r="S166" i="23"/>
  <c r="P174" i="23"/>
  <c r="P234" i="23"/>
  <c r="U173" i="23"/>
  <c r="U179" i="23"/>
  <c r="S168" i="23"/>
  <c r="P173" i="23"/>
  <c r="S175" i="23"/>
  <c r="P230" i="23"/>
  <c r="T65" i="23"/>
  <c r="U65" i="23" s="1"/>
  <c r="U169" i="23" s="1"/>
  <c r="S174" i="23"/>
  <c r="P233" i="23"/>
  <c r="S234" i="23"/>
  <c r="S241" i="23"/>
  <c r="U66" i="23"/>
  <c r="U170" i="23" s="1"/>
  <c r="T70" i="23"/>
  <c r="U70" i="23" s="1"/>
  <c r="U174" i="23" s="1"/>
  <c r="P170" i="23"/>
  <c r="S230" i="23"/>
  <c r="P41" i="23"/>
  <c r="Q62" i="23"/>
  <c r="Q87" i="23" s="1"/>
  <c r="Q137" i="23" s="1"/>
  <c r="P87" i="23"/>
  <c r="P137" i="23" s="1"/>
  <c r="Q170" i="23"/>
  <c r="P179" i="23"/>
  <c r="P235" i="23"/>
  <c r="S239" i="23"/>
  <c r="T62" i="23"/>
  <c r="U62" i="23" s="1"/>
  <c r="U68" i="23"/>
  <c r="U172" i="23" s="1"/>
  <c r="T71" i="23"/>
  <c r="U71" i="23" s="1"/>
  <c r="U175" i="23" s="1"/>
  <c r="P166" i="23"/>
  <c r="R170" i="23"/>
  <c r="O175" i="23"/>
  <c r="P231" i="23"/>
  <c r="S233" i="23"/>
  <c r="Q235" i="23"/>
  <c r="O240" i="23"/>
  <c r="V52" i="23"/>
  <c r="V160" i="23" s="1"/>
  <c r="S86" i="23"/>
  <c r="R86" i="23"/>
  <c r="U86" i="23"/>
  <c r="S41" i="23"/>
  <c r="P237" i="23"/>
  <c r="R237" i="23"/>
  <c r="Q172" i="23"/>
  <c r="Q237" i="23"/>
  <c r="P172" i="23"/>
  <c r="Q75" i="23"/>
  <c r="P71" i="23"/>
  <c r="Q71" i="23" s="1"/>
  <c r="Q70" i="23"/>
  <c r="T72" i="23"/>
  <c r="U72" i="23" s="1"/>
  <c r="U176" i="23" s="1"/>
  <c r="Q64" i="23"/>
  <c r="T64" i="23"/>
  <c r="U64" i="23" s="1"/>
  <c r="U55" i="23" s="1"/>
  <c r="Q65" i="23"/>
  <c r="T61" i="23"/>
  <c r="U61" i="23" s="1"/>
  <c r="Q61" i="23"/>
  <c r="U165" i="23" l="1"/>
  <c r="V66" i="23"/>
  <c r="V170" i="23" s="1"/>
  <c r="V71" i="23"/>
  <c r="V61" i="23"/>
  <c r="V68" i="23"/>
  <c r="V237" i="23" s="1"/>
  <c r="V69" i="23"/>
  <c r="V75" i="23"/>
  <c r="V179" i="23" s="1"/>
  <c r="V72" i="23"/>
  <c r="V241" i="23" s="1"/>
  <c r="V70" i="23"/>
  <c r="V65" i="23"/>
  <c r="Q240" i="23"/>
  <c r="Q175" i="23"/>
  <c r="Q179" i="23"/>
  <c r="Q244" i="23"/>
  <c r="R238" i="23"/>
  <c r="R173" i="23"/>
  <c r="Q238" i="23"/>
  <c r="Q173" i="23"/>
  <c r="R65" i="23"/>
  <c r="Q169" i="23"/>
  <c r="Q234" i="23"/>
  <c r="V235" i="23"/>
  <c r="R75" i="23"/>
  <c r="T41" i="23"/>
  <c r="Q168" i="23"/>
  <c r="Q41" i="23"/>
  <c r="Q233" i="23"/>
  <c r="P240" i="23"/>
  <c r="P175" i="23"/>
  <c r="Q231" i="23"/>
  <c r="Q166" i="23"/>
  <c r="R61" i="23"/>
  <c r="Q230" i="23"/>
  <c r="Q165" i="23"/>
  <c r="R62" i="23"/>
  <c r="R87" i="23" s="1"/>
  <c r="R70" i="23"/>
  <c r="Q239" i="23"/>
  <c r="Q174" i="23"/>
  <c r="P241" i="23"/>
  <c r="P176" i="23"/>
  <c r="V244" i="23" l="1"/>
  <c r="R231" i="23"/>
  <c r="V172" i="23"/>
  <c r="U166" i="23"/>
  <c r="V62" i="23"/>
  <c r="V231" i="23" s="1"/>
  <c r="V176" i="23"/>
  <c r="U168" i="23"/>
  <c r="V64" i="23"/>
  <c r="V55" i="23" s="1"/>
  <c r="R166" i="23"/>
  <c r="R169" i="23"/>
  <c r="R234" i="23"/>
  <c r="V230" i="23"/>
  <c r="V165" i="23"/>
  <c r="S87" i="23"/>
  <c r="S137" i="23" s="1"/>
  <c r="V238" i="23"/>
  <c r="V173" i="23"/>
  <c r="V239" i="23"/>
  <c r="V174" i="23"/>
  <c r="R239" i="23"/>
  <c r="R174" i="23"/>
  <c r="R230" i="23"/>
  <c r="R165" i="23"/>
  <c r="V234" i="23"/>
  <c r="V169" i="23"/>
  <c r="R179" i="23"/>
  <c r="R244" i="23"/>
  <c r="U87" i="23"/>
  <c r="U137" i="23" s="1"/>
  <c r="V240" i="23"/>
  <c r="V175" i="23"/>
  <c r="V87" i="23"/>
  <c r="V137" i="23" s="1"/>
  <c r="V197" i="23" s="1"/>
  <c r="R137" i="23"/>
  <c r="Q176" i="23"/>
  <c r="Q241" i="23"/>
  <c r="C97" i="23"/>
  <c r="D97" i="23"/>
  <c r="N97" i="23" s="1"/>
  <c r="E97" i="23"/>
  <c r="R97" i="23" s="1"/>
  <c r="C96" i="23"/>
  <c r="D96" i="23"/>
  <c r="N96" i="23" s="1"/>
  <c r="E96" i="23"/>
  <c r="C94" i="23"/>
  <c r="D94" i="23"/>
  <c r="N94" i="23" s="1"/>
  <c r="E94" i="23"/>
  <c r="R94" i="23" s="1"/>
  <c r="C72" i="23"/>
  <c r="D72" i="23"/>
  <c r="N72" i="23" s="1"/>
  <c r="E72" i="23"/>
  <c r="R72" i="23" s="1"/>
  <c r="C71" i="23"/>
  <c r="D71" i="23"/>
  <c r="N71" i="23" s="1"/>
  <c r="E71" i="23"/>
  <c r="R71" i="23" s="1"/>
  <c r="R240" i="23" s="1"/>
  <c r="D68" i="23"/>
  <c r="N68" i="23" s="1"/>
  <c r="C68" i="23"/>
  <c r="C66" i="23"/>
  <c r="C64" i="23"/>
  <c r="C41" i="23" s="1"/>
  <c r="D64" i="23"/>
  <c r="E64" i="23"/>
  <c r="C1224" i="22"/>
  <c r="C1206" i="22"/>
  <c r="C1207" i="22"/>
  <c r="V166" i="23" l="1"/>
  <c r="V41" i="23"/>
  <c r="V168" i="23"/>
  <c r="V233" i="23"/>
  <c r="V89" i="23"/>
  <c r="V136" i="23" s="1"/>
  <c r="V196" i="23" s="1"/>
  <c r="W89" i="23"/>
  <c r="X89" i="23"/>
  <c r="Y89" i="23"/>
  <c r="W87" i="23"/>
  <c r="W137" i="23" s="1"/>
  <c r="W197" i="23" s="1"/>
  <c r="Y87" i="23"/>
  <c r="Y137" i="23" s="1"/>
  <c r="Y197" i="23" s="1"/>
  <c r="X87" i="23"/>
  <c r="X137" i="23" s="1"/>
  <c r="X197" i="23" s="1"/>
  <c r="R96" i="23"/>
  <c r="R175" i="23"/>
  <c r="E41" i="23"/>
  <c r="R64" i="23"/>
  <c r="N64" i="23"/>
  <c r="D41" i="23"/>
  <c r="R176" i="23"/>
  <c r="R241" i="23"/>
  <c r="C1212" i="22"/>
  <c r="C1210" i="22"/>
  <c r="R44" i="25"/>
  <c r="R43" i="25"/>
  <c r="R42" i="25"/>
  <c r="R41" i="25"/>
  <c r="N44" i="25"/>
  <c r="N43" i="25"/>
  <c r="N42" i="25"/>
  <c r="N41" i="25"/>
  <c r="R19" i="25"/>
  <c r="R18" i="25"/>
  <c r="R17" i="25"/>
  <c r="R16" i="25"/>
  <c r="N19" i="25"/>
  <c r="N18" i="25"/>
  <c r="N17" i="25"/>
  <c r="N16" i="25"/>
  <c r="U45" i="25"/>
  <c r="U46" i="25" s="1"/>
  <c r="T45" i="25"/>
  <c r="T46" i="25" s="1"/>
  <c r="S45" i="25"/>
  <c r="S46" i="25" s="1"/>
  <c r="Q45" i="25"/>
  <c r="Q46" i="25" s="1"/>
  <c r="P45" i="25"/>
  <c r="P46" i="25" s="1"/>
  <c r="O45" i="25"/>
  <c r="O46" i="25" s="1"/>
  <c r="M45" i="25"/>
  <c r="M46" i="25" s="1"/>
  <c r="L45" i="25"/>
  <c r="L46" i="25" s="1"/>
  <c r="K45" i="25"/>
  <c r="K46" i="25" s="1"/>
  <c r="E45" i="25"/>
  <c r="E46" i="25" s="1"/>
  <c r="D45" i="25"/>
  <c r="D46" i="25" s="1"/>
  <c r="C45" i="25"/>
  <c r="C46" i="25" s="1"/>
  <c r="U20" i="25"/>
  <c r="T20" i="25"/>
  <c r="S20" i="25"/>
  <c r="Q20" i="25"/>
  <c r="P20" i="25"/>
  <c r="O20" i="25"/>
  <c r="M20" i="25"/>
  <c r="L20" i="25"/>
  <c r="K20" i="25"/>
  <c r="E20" i="25"/>
  <c r="D20" i="25"/>
  <c r="C20" i="25"/>
  <c r="R11" i="25"/>
  <c r="N11" i="25"/>
  <c r="U12" i="25"/>
  <c r="T12" i="25"/>
  <c r="S12" i="25"/>
  <c r="Q12" i="25"/>
  <c r="P12" i="25"/>
  <c r="O12" i="25"/>
  <c r="M12" i="25"/>
  <c r="L12" i="25"/>
  <c r="K12" i="25"/>
  <c r="E12" i="25"/>
  <c r="C12" i="25"/>
  <c r="D12" i="25"/>
  <c r="R10" i="25"/>
  <c r="N10" i="25"/>
  <c r="R9" i="25"/>
  <c r="R8" i="25"/>
  <c r="N9" i="25"/>
  <c r="N8" i="25"/>
  <c r="P37" i="25" l="1"/>
  <c r="O37" i="25"/>
  <c r="R36" i="25"/>
  <c r="V36" i="25"/>
  <c r="D37" i="25"/>
  <c r="T37" i="25"/>
  <c r="X37" i="25"/>
  <c r="R34" i="25"/>
  <c r="V34" i="25"/>
  <c r="Q37" i="25"/>
  <c r="S37" i="25"/>
  <c r="W37" i="25"/>
  <c r="E37" i="25"/>
  <c r="F37" i="25"/>
  <c r="U37" i="25"/>
  <c r="Y37" i="25"/>
  <c r="R35" i="25"/>
  <c r="V35" i="25"/>
  <c r="R33" i="25"/>
  <c r="V33" i="25"/>
  <c r="P21" i="25"/>
  <c r="P27" i="25"/>
  <c r="P28" i="25"/>
  <c r="P26" i="25"/>
  <c r="P25" i="25"/>
  <c r="Q21" i="25"/>
  <c r="Q27" i="25"/>
  <c r="Q28" i="25"/>
  <c r="Q25" i="25"/>
  <c r="Q26" i="25"/>
  <c r="D21" i="25"/>
  <c r="D25" i="25"/>
  <c r="D27" i="25"/>
  <c r="D26" i="25"/>
  <c r="D28" i="25"/>
  <c r="T21" i="25"/>
  <c r="T25" i="25"/>
  <c r="T26" i="25"/>
  <c r="T27" i="25"/>
  <c r="T28" i="25"/>
  <c r="M21" i="25"/>
  <c r="M25" i="25"/>
  <c r="M26" i="25"/>
  <c r="M27" i="25"/>
  <c r="M28" i="25"/>
  <c r="O21" i="25"/>
  <c r="O28" i="25"/>
  <c r="O25" i="25"/>
  <c r="O27" i="25"/>
  <c r="O26" i="25"/>
  <c r="C21" i="25"/>
  <c r="C28" i="25"/>
  <c r="C27" i="25"/>
  <c r="C26" i="25"/>
  <c r="C25" i="25"/>
  <c r="S21" i="25"/>
  <c r="S26" i="25"/>
  <c r="S27" i="25"/>
  <c r="S25" i="25"/>
  <c r="S28" i="25"/>
  <c r="E21" i="25"/>
  <c r="E26" i="25"/>
  <c r="E25" i="25"/>
  <c r="E27" i="25"/>
  <c r="E28" i="25"/>
  <c r="K21" i="25"/>
  <c r="K25" i="25"/>
  <c r="K27" i="25"/>
  <c r="K28" i="25"/>
  <c r="K26" i="25"/>
  <c r="U21" i="25"/>
  <c r="U25" i="25"/>
  <c r="U28" i="25"/>
  <c r="U26" i="25"/>
  <c r="U27" i="25"/>
  <c r="L21" i="25"/>
  <c r="L25" i="25"/>
  <c r="L28" i="25"/>
  <c r="L26" i="25"/>
  <c r="L27" i="25"/>
  <c r="W136" i="23"/>
  <c r="W196" i="23" s="1"/>
  <c r="Y136" i="23"/>
  <c r="Y196" i="23" s="1"/>
  <c r="S40" i="23"/>
  <c r="T40" i="23"/>
  <c r="S164" i="23"/>
  <c r="S229" i="23"/>
  <c r="X136" i="23"/>
  <c r="X196" i="23" s="1"/>
  <c r="F40" i="23"/>
  <c r="F164" i="23"/>
  <c r="F56" i="23"/>
  <c r="F229" i="23"/>
  <c r="F63" i="23"/>
  <c r="U89" i="23"/>
  <c r="U136" i="23" s="1"/>
  <c r="R233" i="23"/>
  <c r="R168" i="23"/>
  <c r="S89" i="23"/>
  <c r="S136" i="23" s="1"/>
  <c r="R89" i="23"/>
  <c r="R136" i="23" s="1"/>
  <c r="E40" i="23"/>
  <c r="D40" i="23"/>
  <c r="K63" i="23"/>
  <c r="K40" i="23"/>
  <c r="K164" i="23"/>
  <c r="N89" i="23"/>
  <c r="N136" i="23" s="1"/>
  <c r="P89" i="23"/>
  <c r="P136" i="23" s="1"/>
  <c r="O89" i="23"/>
  <c r="O136" i="23" s="1"/>
  <c r="Q89" i="23"/>
  <c r="Q136" i="23" s="1"/>
  <c r="O40" i="23"/>
  <c r="O229" i="23"/>
  <c r="O164" i="23"/>
  <c r="R45" i="25"/>
  <c r="R46" i="25" s="1"/>
  <c r="N45" i="25"/>
  <c r="N46" i="25" s="1"/>
  <c r="N20" i="25"/>
  <c r="N28" i="25" s="1"/>
  <c r="R20" i="25"/>
  <c r="R26" i="25" s="1"/>
  <c r="R12" i="25"/>
  <c r="N12" i="25"/>
  <c r="J1192" i="22"/>
  <c r="P29" i="25" l="1"/>
  <c r="C29" i="25"/>
  <c r="M29" i="25"/>
  <c r="E29" i="25"/>
  <c r="S29" i="25"/>
  <c r="R25" i="25"/>
  <c r="R37" i="25"/>
  <c r="V37" i="25"/>
  <c r="R27" i="25"/>
  <c r="R28" i="25"/>
  <c r="T29" i="25"/>
  <c r="K29" i="25"/>
  <c r="U29" i="25"/>
  <c r="N26" i="25"/>
  <c r="L29" i="25"/>
  <c r="Q29" i="25"/>
  <c r="N27" i="25"/>
  <c r="O29" i="25"/>
  <c r="D29" i="25"/>
  <c r="N25" i="25"/>
  <c r="Z40" i="23"/>
  <c r="Z56" i="23"/>
  <c r="Z229" i="23"/>
  <c r="Z164" i="23"/>
  <c r="U56" i="23"/>
  <c r="F232" i="23"/>
  <c r="F67" i="23"/>
  <c r="F167" i="23"/>
  <c r="E1105" i="22"/>
  <c r="E1104" i="22"/>
  <c r="N60" i="23"/>
  <c r="K67" i="23"/>
  <c r="K167" i="23"/>
  <c r="Q229" i="23"/>
  <c r="Q164" i="23"/>
  <c r="Q40" i="23"/>
  <c r="P229" i="23"/>
  <c r="P164" i="23"/>
  <c r="P40" i="23"/>
  <c r="R60" i="23"/>
  <c r="F1308" i="22"/>
  <c r="F1307" i="22"/>
  <c r="F1305" i="22"/>
  <c r="F1306" i="22"/>
  <c r="F1303" i="22"/>
  <c r="F1309" i="22"/>
  <c r="F1304" i="22"/>
  <c r="F1297" i="22"/>
  <c r="F1296" i="22"/>
  <c r="F1293" i="22"/>
  <c r="F1292" i="22"/>
  <c r="F1298" i="22"/>
  <c r="F1295" i="22"/>
  <c r="F1294" i="22"/>
  <c r="F1277" i="22"/>
  <c r="F1269" i="22"/>
  <c r="F1282" i="22"/>
  <c r="F1273" i="22"/>
  <c r="F1284" i="22"/>
  <c r="F1276" i="22"/>
  <c r="F1268" i="22"/>
  <c r="F1274" i="22"/>
  <c r="F1281" i="22"/>
  <c r="F1283" i="22"/>
  <c r="F1275" i="22"/>
  <c r="F1280" i="22"/>
  <c r="F1272" i="22"/>
  <c r="F1278" i="22"/>
  <c r="F1270" i="22"/>
  <c r="F1279" i="22"/>
  <c r="F1271" i="22"/>
  <c r="E1224" i="22"/>
  <c r="F1257" i="22"/>
  <c r="F1249" i="22"/>
  <c r="F1241" i="22"/>
  <c r="F1263" i="22"/>
  <c r="F1255" i="22"/>
  <c r="F1247" i="22"/>
  <c r="F1239" i="22"/>
  <c r="F1253" i="22"/>
  <c r="F1245" i="22"/>
  <c r="F1244" i="22"/>
  <c r="F1236" i="22"/>
  <c r="F1262" i="22"/>
  <c r="F1254" i="22"/>
  <c r="F1246" i="22"/>
  <c r="F1238" i="22"/>
  <c r="F1261" i="22"/>
  <c r="F1237" i="22"/>
  <c r="F1252" i="22"/>
  <c r="F1240" i="22"/>
  <c r="F1260" i="22"/>
  <c r="F1259" i="22"/>
  <c r="F1251" i="22"/>
  <c r="F1243" i="22"/>
  <c r="F1235" i="22"/>
  <c r="F1258" i="22"/>
  <c r="F1250" i="22"/>
  <c r="F1242" i="22"/>
  <c r="F1256" i="22"/>
  <c r="F1248" i="22"/>
  <c r="U59" i="23"/>
  <c r="U103" i="23"/>
  <c r="U248" i="23"/>
  <c r="U197" i="23"/>
  <c r="U196" i="23"/>
  <c r="S197" i="23"/>
  <c r="S196" i="23"/>
  <c r="O197" i="23"/>
  <c r="O196" i="23"/>
  <c r="Q197" i="23"/>
  <c r="Q196" i="23"/>
  <c r="M221" i="23"/>
  <c r="N218" i="23"/>
  <c r="M218" i="23"/>
  <c r="L218" i="23"/>
  <c r="K218" i="23"/>
  <c r="N207" i="23"/>
  <c r="M207" i="23"/>
  <c r="L207" i="23"/>
  <c r="K207" i="23"/>
  <c r="N224" i="23"/>
  <c r="M224" i="23"/>
  <c r="N159" i="23"/>
  <c r="M159" i="23"/>
  <c r="L159" i="23"/>
  <c r="K159" i="23"/>
  <c r="M156" i="23"/>
  <c r="L156" i="23"/>
  <c r="K156" i="23"/>
  <c r="N153" i="23"/>
  <c r="M153" i="23"/>
  <c r="L153" i="23"/>
  <c r="K153" i="23"/>
  <c r="N142" i="23"/>
  <c r="M142" i="23"/>
  <c r="L142" i="23"/>
  <c r="K142" i="23"/>
  <c r="N126" i="23"/>
  <c r="M126" i="23"/>
  <c r="L126" i="23"/>
  <c r="K126" i="23"/>
  <c r="N248" i="23"/>
  <c r="M248" i="23"/>
  <c r="L248" i="23"/>
  <c r="K248" i="23"/>
  <c r="M117" i="23"/>
  <c r="L117" i="23"/>
  <c r="K117" i="23"/>
  <c r="M116" i="23"/>
  <c r="L116" i="23"/>
  <c r="Z118" i="23" s="1"/>
  <c r="K116" i="23"/>
  <c r="M113" i="23"/>
  <c r="M253" i="23" s="1"/>
  <c r="L113" i="23"/>
  <c r="L253" i="23" s="1"/>
  <c r="K113" i="23"/>
  <c r="K253" i="23" s="1"/>
  <c r="M108" i="23"/>
  <c r="L108" i="23"/>
  <c r="K108" i="23"/>
  <c r="N108" i="23"/>
  <c r="N36" i="23" s="1"/>
  <c r="M103" i="23"/>
  <c r="L103" i="23"/>
  <c r="K103" i="23"/>
  <c r="M102" i="23"/>
  <c r="L102" i="23"/>
  <c r="K102" i="23"/>
  <c r="M101" i="23"/>
  <c r="L101" i="23"/>
  <c r="K101" i="23"/>
  <c r="M98" i="23"/>
  <c r="L98" i="23"/>
  <c r="K98" i="23"/>
  <c r="N103" i="23"/>
  <c r="N92" i="23"/>
  <c r="M92" i="23"/>
  <c r="L92" i="23"/>
  <c r="K92" i="23"/>
  <c r="N82" i="23"/>
  <c r="M82" i="23"/>
  <c r="L82" i="23"/>
  <c r="K82" i="23"/>
  <c r="M59" i="23"/>
  <c r="L59" i="23"/>
  <c r="N58" i="23"/>
  <c r="M58" i="23"/>
  <c r="L58" i="23"/>
  <c r="K58" i="23"/>
  <c r="L56" i="23"/>
  <c r="K56" i="23"/>
  <c r="K55" i="23"/>
  <c r="M53" i="23"/>
  <c r="M161" i="23" s="1"/>
  <c r="L53" i="23"/>
  <c r="L161" i="23" s="1"/>
  <c r="K53" i="23"/>
  <c r="K161" i="23" s="1"/>
  <c r="N43" i="23"/>
  <c r="M43" i="23"/>
  <c r="L43" i="23"/>
  <c r="K43" i="23"/>
  <c r="M10" i="23"/>
  <c r="M11" i="23" s="1"/>
  <c r="L10" i="23"/>
  <c r="L11" i="23" s="1"/>
  <c r="K10" i="23"/>
  <c r="K11" i="23" s="1"/>
  <c r="N21" i="25"/>
  <c r="U218" i="23"/>
  <c r="T218" i="23"/>
  <c r="U207" i="23"/>
  <c r="T207" i="23"/>
  <c r="U159" i="23"/>
  <c r="T159" i="23"/>
  <c r="U156" i="23"/>
  <c r="Y157" i="23" s="1"/>
  <c r="T156" i="23"/>
  <c r="X157" i="23" s="1"/>
  <c r="U153" i="23"/>
  <c r="T153" i="23"/>
  <c r="U142" i="23"/>
  <c r="T142" i="23"/>
  <c r="U126" i="23"/>
  <c r="T126" i="23"/>
  <c r="T183" i="23"/>
  <c r="U117" i="23"/>
  <c r="T117" i="23"/>
  <c r="U116" i="23"/>
  <c r="T116" i="23"/>
  <c r="U113" i="23"/>
  <c r="U253" i="23" s="1"/>
  <c r="T113" i="23"/>
  <c r="T253" i="23" s="1"/>
  <c r="U108" i="23"/>
  <c r="U36" i="23" s="1"/>
  <c r="T108" i="23"/>
  <c r="T36" i="23" s="1"/>
  <c r="T103" i="23"/>
  <c r="U102" i="23"/>
  <c r="T102" i="23"/>
  <c r="U101" i="23"/>
  <c r="T101" i="23"/>
  <c r="U98" i="23"/>
  <c r="T98" i="23"/>
  <c r="U92" i="23"/>
  <c r="T92" i="23"/>
  <c r="T86" i="23"/>
  <c r="U82" i="23"/>
  <c r="T82" i="23"/>
  <c r="T179" i="23"/>
  <c r="T172" i="23"/>
  <c r="T164" i="23"/>
  <c r="T59" i="23"/>
  <c r="T163" i="23" s="1"/>
  <c r="U58" i="23"/>
  <c r="T58" i="23"/>
  <c r="T55" i="23"/>
  <c r="U53" i="23"/>
  <c r="U161" i="23" s="1"/>
  <c r="T53" i="23"/>
  <c r="T161" i="23" s="1"/>
  <c r="U160" i="23"/>
  <c r="T52" i="23"/>
  <c r="T160" i="23" s="1"/>
  <c r="U43" i="23"/>
  <c r="T43" i="23"/>
  <c r="U33" i="23"/>
  <c r="U10" i="23"/>
  <c r="T10" i="23"/>
  <c r="T11" i="23" s="1"/>
  <c r="U8" i="23"/>
  <c r="T8" i="23"/>
  <c r="S59" i="23"/>
  <c r="Q55" i="23"/>
  <c r="O59" i="23"/>
  <c r="Q59" i="23"/>
  <c r="S55" i="23"/>
  <c r="O56" i="23"/>
  <c r="O55" i="23"/>
  <c r="C1228" i="22"/>
  <c r="C1229" i="22" s="1"/>
  <c r="C1205" i="22"/>
  <c r="C1201" i="22"/>
  <c r="C1197" i="22"/>
  <c r="S8" i="23"/>
  <c r="S218" i="23"/>
  <c r="S207" i="23"/>
  <c r="S156" i="23"/>
  <c r="W157" i="23" s="1"/>
  <c r="S153" i="23"/>
  <c r="S142" i="23"/>
  <c r="S126" i="23"/>
  <c r="S117" i="23"/>
  <c r="S116" i="23"/>
  <c r="S113" i="23"/>
  <c r="S253" i="23" s="1"/>
  <c r="S108" i="23"/>
  <c r="S36" i="23" s="1"/>
  <c r="S103" i="23"/>
  <c r="S102" i="23"/>
  <c r="S101" i="23"/>
  <c r="S98" i="23"/>
  <c r="S92" i="23"/>
  <c r="S82" i="23"/>
  <c r="S58" i="23"/>
  <c r="S43" i="23"/>
  <c r="S10" i="23"/>
  <c r="S18" i="23" s="1"/>
  <c r="E179" i="23"/>
  <c r="E174" i="23"/>
  <c r="E173" i="23"/>
  <c r="E170" i="23"/>
  <c r="E169" i="23"/>
  <c r="E166" i="23"/>
  <c r="E165" i="23"/>
  <c r="E87" i="23"/>
  <c r="D87" i="23"/>
  <c r="E175" i="23"/>
  <c r="E164" i="23"/>
  <c r="O101" i="23"/>
  <c r="P101" i="23"/>
  <c r="Q101" i="23"/>
  <c r="O102" i="23"/>
  <c r="P102" i="23"/>
  <c r="Q102" i="23"/>
  <c r="O103" i="23"/>
  <c r="P103" i="23"/>
  <c r="Q103" i="23"/>
  <c r="C101" i="23"/>
  <c r="D101" i="23"/>
  <c r="E101" i="23"/>
  <c r="C102" i="23"/>
  <c r="D102" i="23"/>
  <c r="E102" i="23"/>
  <c r="C103" i="23"/>
  <c r="D103" i="23"/>
  <c r="E103" i="23"/>
  <c r="R29" i="25" l="1"/>
  <c r="N29" i="25"/>
  <c r="U164" i="23"/>
  <c r="U18" i="23"/>
  <c r="X84" i="23" s="1"/>
  <c r="V59" i="23"/>
  <c r="E635" i="22"/>
  <c r="V60" i="23"/>
  <c r="V40" i="23" s="1"/>
  <c r="Z146" i="23"/>
  <c r="Z132" i="23"/>
  <c r="Z120" i="23"/>
  <c r="Z247" i="23"/>
  <c r="Z182" i="23"/>
  <c r="Z129" i="23"/>
  <c r="Z189" i="23" s="1"/>
  <c r="Z124" i="23"/>
  <c r="Z163" i="23"/>
  <c r="Z228" i="23"/>
  <c r="AC256" i="23" s="1"/>
  <c r="Z63" i="23"/>
  <c r="E993" i="22"/>
  <c r="F90" i="23"/>
  <c r="F171" i="23"/>
  <c r="F73" i="23"/>
  <c r="F236" i="23"/>
  <c r="E1108" i="22"/>
  <c r="F1189" i="22"/>
  <c r="F1143" i="22"/>
  <c r="F1178" i="22"/>
  <c r="F1164" i="22"/>
  <c r="O63" i="23"/>
  <c r="O232" i="23" s="1"/>
  <c r="O163" i="23"/>
  <c r="O228" i="23"/>
  <c r="R164" i="23"/>
  <c r="R229" i="23"/>
  <c r="K73" i="23"/>
  <c r="K171" i="23"/>
  <c r="S228" i="23"/>
  <c r="S163" i="23"/>
  <c r="V146" i="23"/>
  <c r="V132" i="23"/>
  <c r="V247" i="23"/>
  <c r="V182" i="23"/>
  <c r="V129" i="23"/>
  <c r="V189" i="23" s="1"/>
  <c r="V124" i="23"/>
  <c r="Q228" i="23"/>
  <c r="Q163" i="23"/>
  <c r="F1299" i="22"/>
  <c r="F1310" i="22"/>
  <c r="F1285" i="22"/>
  <c r="F1264" i="22"/>
  <c r="L163" i="23"/>
  <c r="M163" i="23"/>
  <c r="M228" i="23"/>
  <c r="L228" i="23"/>
  <c r="L170" i="23"/>
  <c r="L172" i="23"/>
  <c r="L41" i="23"/>
  <c r="L168" i="23"/>
  <c r="L173" i="23"/>
  <c r="L179" i="23"/>
  <c r="L164" i="23"/>
  <c r="L40" i="23"/>
  <c r="L174" i="23"/>
  <c r="L165" i="23"/>
  <c r="L175" i="23"/>
  <c r="L169" i="23"/>
  <c r="L166" i="23"/>
  <c r="L176" i="23"/>
  <c r="U221" i="23"/>
  <c r="Y222" i="23" s="1"/>
  <c r="U244" i="23"/>
  <c r="U240" i="23"/>
  <c r="U239" i="23"/>
  <c r="U235" i="23"/>
  <c r="U231" i="23"/>
  <c r="U238" i="23"/>
  <c r="U234" i="23"/>
  <c r="U230" i="23"/>
  <c r="U241" i="23"/>
  <c r="U237" i="23"/>
  <c r="U233" i="23"/>
  <c r="U229" i="23"/>
  <c r="U228" i="23"/>
  <c r="U163" i="23"/>
  <c r="U144" i="23"/>
  <c r="C1214" i="22"/>
  <c r="U63" i="23"/>
  <c r="M118" i="23"/>
  <c r="M247" i="23" s="1"/>
  <c r="M249" i="23" s="1"/>
  <c r="M269" i="23" s="1"/>
  <c r="T18" i="23"/>
  <c r="N98" i="23"/>
  <c r="T118" i="23"/>
  <c r="T132" i="23" s="1"/>
  <c r="N113" i="23"/>
  <c r="N253" i="23" s="1"/>
  <c r="N143" i="23"/>
  <c r="N102" i="23"/>
  <c r="N101" i="23"/>
  <c r="N156" i="23"/>
  <c r="M226" i="23"/>
  <c r="L63" i="23"/>
  <c r="K118" i="23"/>
  <c r="K124" i="23" s="1"/>
  <c r="L118" i="23"/>
  <c r="L124" i="23" s="1"/>
  <c r="K147" i="23"/>
  <c r="K212" i="23" s="1"/>
  <c r="L147" i="23"/>
  <c r="L212" i="23" s="1"/>
  <c r="N10" i="23"/>
  <c r="N18" i="23" s="1"/>
  <c r="N144" i="23"/>
  <c r="M147" i="23"/>
  <c r="M212" i="23" s="1"/>
  <c r="K183" i="23"/>
  <c r="N221" i="23"/>
  <c r="N226" i="23" s="1"/>
  <c r="N53" i="23"/>
  <c r="N161" i="23" s="1"/>
  <c r="N147" i="23"/>
  <c r="N212" i="23" s="1"/>
  <c r="L183" i="23"/>
  <c r="M183" i="23"/>
  <c r="M204" i="23"/>
  <c r="L55" i="23"/>
  <c r="N183" i="23"/>
  <c r="T221" i="23"/>
  <c r="X222" i="23" s="1"/>
  <c r="U11" i="23"/>
  <c r="U118" i="23"/>
  <c r="T56" i="23"/>
  <c r="T175" i="23"/>
  <c r="U41" i="23"/>
  <c r="U25" i="23"/>
  <c r="U44" i="23"/>
  <c r="T165" i="23"/>
  <c r="T173" i="23"/>
  <c r="T166" i="23"/>
  <c r="T174" i="23"/>
  <c r="T147" i="23"/>
  <c r="T212" i="23" s="1"/>
  <c r="U147" i="23"/>
  <c r="U212" i="23" s="1"/>
  <c r="T168" i="23"/>
  <c r="T176" i="23"/>
  <c r="U183" i="23"/>
  <c r="U224" i="23"/>
  <c r="T63" i="23"/>
  <c r="T144" i="23"/>
  <c r="T169" i="23"/>
  <c r="T248" i="23"/>
  <c r="T170" i="23"/>
  <c r="S248" i="23"/>
  <c r="E172" i="23"/>
  <c r="C1219" i="22"/>
  <c r="C1221" i="22" s="1"/>
  <c r="E168" i="23"/>
  <c r="E89" i="23"/>
  <c r="S118" i="23"/>
  <c r="C1209" i="22"/>
  <c r="S25" i="23"/>
  <c r="S38" i="23" s="1"/>
  <c r="S11" i="23"/>
  <c r="S183" i="23"/>
  <c r="S147" i="23"/>
  <c r="S212" i="23" s="1"/>
  <c r="E183" i="23"/>
  <c r="R7" i="23"/>
  <c r="R35" i="23" s="1"/>
  <c r="R218" i="23"/>
  <c r="R207" i="23"/>
  <c r="R153" i="23"/>
  <c r="R142" i="23"/>
  <c r="R126" i="23"/>
  <c r="R92" i="23"/>
  <c r="R82" i="23"/>
  <c r="R58" i="23"/>
  <c r="R43" i="23"/>
  <c r="E218" i="23"/>
  <c r="E207" i="23"/>
  <c r="E156" i="23"/>
  <c r="F157" i="23" s="1"/>
  <c r="E153" i="23"/>
  <c r="E142" i="23"/>
  <c r="E126" i="23"/>
  <c r="E117" i="23"/>
  <c r="R117" i="23" s="1"/>
  <c r="E116" i="23"/>
  <c r="R116" i="23" s="1"/>
  <c r="E113" i="23"/>
  <c r="E253" i="23" s="1"/>
  <c r="E108" i="23"/>
  <c r="E36" i="23" s="1"/>
  <c r="E98" i="23"/>
  <c r="E92" i="23"/>
  <c r="E83" i="23"/>
  <c r="E143" i="23" s="1"/>
  <c r="E82" i="23"/>
  <c r="E56" i="23"/>
  <c r="E58" i="23"/>
  <c r="E55" i="23"/>
  <c r="E43" i="23"/>
  <c r="E10" i="23"/>
  <c r="E18" i="23" s="1"/>
  <c r="E8" i="23"/>
  <c r="R40" i="23" l="1"/>
  <c r="R34" i="23"/>
  <c r="AC267" i="23"/>
  <c r="AC266" i="23"/>
  <c r="AC262" i="23"/>
  <c r="AC259" i="23"/>
  <c r="AC261" i="23"/>
  <c r="AC258" i="23"/>
  <c r="AC264" i="23"/>
  <c r="AB256" i="23"/>
  <c r="AA256" i="23"/>
  <c r="Z256" i="23"/>
  <c r="V164" i="23"/>
  <c r="V229" i="23"/>
  <c r="V56" i="23"/>
  <c r="Y225" i="23"/>
  <c r="Z249" i="23"/>
  <c r="Z184" i="23"/>
  <c r="Z131" i="23"/>
  <c r="Z139" i="23"/>
  <c r="Z199" i="23" s="1"/>
  <c r="Z128" i="23"/>
  <c r="Z188" i="23" s="1"/>
  <c r="Z232" i="23"/>
  <c r="Z167" i="23"/>
  <c r="Z67" i="23"/>
  <c r="AC90" i="23" s="1"/>
  <c r="Z192" i="23"/>
  <c r="Z149" i="23"/>
  <c r="Z211" i="23"/>
  <c r="Z214" i="23" s="1"/>
  <c r="Z148" i="23"/>
  <c r="Z213" i="23" s="1"/>
  <c r="Z215" i="23" s="1"/>
  <c r="U46" i="23"/>
  <c r="U48" i="23" s="1"/>
  <c r="O67" i="23"/>
  <c r="O236" i="23" s="1"/>
  <c r="T44" i="23"/>
  <c r="T46" i="23" s="1"/>
  <c r="T50" i="23" s="1"/>
  <c r="W84" i="23"/>
  <c r="O167" i="23"/>
  <c r="C1215" i="22"/>
  <c r="F74" i="23"/>
  <c r="F76" i="23" s="1"/>
  <c r="F177" i="23"/>
  <c r="F242" i="23"/>
  <c r="V192" i="23"/>
  <c r="V149" i="23"/>
  <c r="V211" i="23"/>
  <c r="V214" i="23" s="1"/>
  <c r="V148" i="23"/>
  <c r="V213" i="23" s="1"/>
  <c r="V215" i="23" s="1"/>
  <c r="V63" i="23"/>
  <c r="V228" i="23"/>
  <c r="Y256" i="23" s="1"/>
  <c r="V163" i="23"/>
  <c r="U124" i="23"/>
  <c r="U132" i="23"/>
  <c r="U192" i="23" s="1"/>
  <c r="U129" i="23"/>
  <c r="U189" i="23" s="1"/>
  <c r="V249" i="23"/>
  <c r="R21" i="25"/>
  <c r="V8" i="23"/>
  <c r="U83" i="23"/>
  <c r="S83" i="23"/>
  <c r="R83" i="23"/>
  <c r="R143" i="23" s="1"/>
  <c r="R33" i="23"/>
  <c r="R41" i="23"/>
  <c r="S124" i="23"/>
  <c r="S129" i="23"/>
  <c r="S132" i="23"/>
  <c r="V184" i="23"/>
  <c r="V131" i="23"/>
  <c r="V128" i="23"/>
  <c r="V188" i="23" s="1"/>
  <c r="V139" i="23"/>
  <c r="V199" i="23" s="1"/>
  <c r="K74" i="23"/>
  <c r="K76" i="23" s="1"/>
  <c r="K177" i="23"/>
  <c r="V84" i="23"/>
  <c r="N208" i="23"/>
  <c r="L233" i="23"/>
  <c r="L229" i="23"/>
  <c r="L244" i="23"/>
  <c r="L240" i="23"/>
  <c r="L237" i="23"/>
  <c r="L221" i="23"/>
  <c r="L235" i="23"/>
  <c r="L224" i="23"/>
  <c r="K204" i="23"/>
  <c r="L241" i="23"/>
  <c r="L230" i="23"/>
  <c r="K221" i="23"/>
  <c r="L238" i="23"/>
  <c r="L231" i="23"/>
  <c r="L239" i="23"/>
  <c r="L204" i="23"/>
  <c r="L234" i="23"/>
  <c r="M124" i="23"/>
  <c r="M182" i="23"/>
  <c r="M120" i="23"/>
  <c r="M184" i="23" s="1"/>
  <c r="M146" i="23"/>
  <c r="M148" i="23" s="1"/>
  <c r="M213" i="23" s="1"/>
  <c r="K241" i="23"/>
  <c r="K237" i="23"/>
  <c r="K235" i="23"/>
  <c r="K231" i="23"/>
  <c r="K244" i="23"/>
  <c r="K238" i="23"/>
  <c r="K236" i="23"/>
  <c r="K230" i="23"/>
  <c r="K229" i="23"/>
  <c r="K234" i="23"/>
  <c r="K242" i="23"/>
  <c r="K228" i="23"/>
  <c r="K240" i="23"/>
  <c r="K232" i="23"/>
  <c r="K239" i="23"/>
  <c r="K233" i="23"/>
  <c r="K224" i="23"/>
  <c r="N84" i="23"/>
  <c r="L167" i="23"/>
  <c r="L232" i="23"/>
  <c r="M169" i="23"/>
  <c r="M234" i="23"/>
  <c r="M175" i="23"/>
  <c r="M240" i="23"/>
  <c r="M237" i="23"/>
  <c r="M172" i="23"/>
  <c r="M170" i="23"/>
  <c r="M235" i="23"/>
  <c r="M238" i="23"/>
  <c r="M173" i="23"/>
  <c r="M230" i="23"/>
  <c r="M165" i="23"/>
  <c r="M229" i="23"/>
  <c r="M40" i="23"/>
  <c r="M164" i="23"/>
  <c r="M174" i="23"/>
  <c r="M239" i="23"/>
  <c r="M231" i="23"/>
  <c r="M166" i="23"/>
  <c r="M179" i="23"/>
  <c r="M244" i="23"/>
  <c r="M241" i="23"/>
  <c r="M176" i="23"/>
  <c r="M168" i="23"/>
  <c r="M41" i="23"/>
  <c r="M233" i="23"/>
  <c r="T182" i="23"/>
  <c r="T129" i="23"/>
  <c r="T189" i="23" s="1"/>
  <c r="T146" i="23"/>
  <c r="T148" i="23" s="1"/>
  <c r="T213" i="23" s="1"/>
  <c r="T247" i="23"/>
  <c r="U67" i="23"/>
  <c r="U73" i="23" s="1"/>
  <c r="U232" i="23"/>
  <c r="U167" i="23"/>
  <c r="T124" i="23"/>
  <c r="T120" i="23"/>
  <c r="T131" i="23" s="1"/>
  <c r="S63" i="23"/>
  <c r="S56" i="23"/>
  <c r="Q56" i="23"/>
  <c r="N56" i="23"/>
  <c r="T229" i="23"/>
  <c r="M56" i="23"/>
  <c r="K182" i="23"/>
  <c r="L182" i="23"/>
  <c r="T244" i="23"/>
  <c r="E1212" i="22"/>
  <c r="E1225" i="22"/>
  <c r="K247" i="23"/>
  <c r="K249" i="23" s="1"/>
  <c r="K269" i="23" s="1"/>
  <c r="K120" i="23"/>
  <c r="K184" i="23" s="1"/>
  <c r="K146" i="23"/>
  <c r="K211" i="23" s="1"/>
  <c r="T240" i="23"/>
  <c r="L67" i="23"/>
  <c r="L247" i="23"/>
  <c r="L249" i="23" s="1"/>
  <c r="L269" i="23" s="1"/>
  <c r="T234" i="23"/>
  <c r="N99" i="23"/>
  <c r="N197" i="23"/>
  <c r="L120" i="23"/>
  <c r="L122" i="23" s="1"/>
  <c r="T233" i="23"/>
  <c r="T231" i="23"/>
  <c r="T239" i="23"/>
  <c r="L146" i="23"/>
  <c r="L211" i="23" s="1"/>
  <c r="T228" i="23"/>
  <c r="V256" i="23" s="1"/>
  <c r="M55" i="23"/>
  <c r="N11" i="23"/>
  <c r="K38" i="23"/>
  <c r="K44" i="23"/>
  <c r="K46" i="23" s="1"/>
  <c r="N145" i="23"/>
  <c r="M63" i="23"/>
  <c r="M38" i="23"/>
  <c r="M44" i="23"/>
  <c r="M46" i="23" s="1"/>
  <c r="L38" i="23"/>
  <c r="L44" i="23"/>
  <c r="L46" i="23" s="1"/>
  <c r="T230" i="23"/>
  <c r="T237" i="23"/>
  <c r="T224" i="23"/>
  <c r="T238" i="23"/>
  <c r="T241" i="23"/>
  <c r="Q63" i="23"/>
  <c r="T235" i="23"/>
  <c r="U182" i="23"/>
  <c r="U120" i="23"/>
  <c r="T87" i="23"/>
  <c r="T137" i="23" s="1"/>
  <c r="T197" i="23" s="1"/>
  <c r="U247" i="23"/>
  <c r="U146" i="23"/>
  <c r="U148" i="23" s="1"/>
  <c r="U213" i="23" s="1"/>
  <c r="T83" i="23"/>
  <c r="T25" i="23"/>
  <c r="T38" i="23" s="1"/>
  <c r="T192" i="23"/>
  <c r="T149" i="23"/>
  <c r="U226" i="23"/>
  <c r="U27" i="23"/>
  <c r="X88" i="23" s="1"/>
  <c r="U38" i="23"/>
  <c r="T232" i="23"/>
  <c r="T67" i="23"/>
  <c r="T167" i="23"/>
  <c r="U40" i="23"/>
  <c r="R56" i="23"/>
  <c r="E1210" i="22"/>
  <c r="E1219" i="22" s="1"/>
  <c r="E1221" i="22" s="1"/>
  <c r="E1206" i="22"/>
  <c r="R102" i="23"/>
  <c r="S44" i="23"/>
  <c r="S46" i="23" s="1"/>
  <c r="E1197" i="22"/>
  <c r="E1201" i="22"/>
  <c r="C1211" i="22"/>
  <c r="C1213" i="22" s="1"/>
  <c r="E1203" i="22"/>
  <c r="E1198" i="22"/>
  <c r="E1207" i="22"/>
  <c r="R101" i="23"/>
  <c r="S221" i="23"/>
  <c r="W222" i="23" s="1"/>
  <c r="E1199" i="22"/>
  <c r="E176" i="23"/>
  <c r="R103" i="23"/>
  <c r="E1202" i="22"/>
  <c r="S120" i="23"/>
  <c r="S146" i="23"/>
  <c r="S211" i="23" s="1"/>
  <c r="S182" i="23"/>
  <c r="S247" i="23"/>
  <c r="S27" i="23"/>
  <c r="R98" i="23"/>
  <c r="R108" i="23"/>
  <c r="R36" i="23" s="1"/>
  <c r="E25" i="23"/>
  <c r="E38" i="23" s="1"/>
  <c r="E118" i="23"/>
  <c r="E182" i="23" s="1"/>
  <c r="R10" i="23"/>
  <c r="R18" i="23" s="1"/>
  <c r="U84" i="23" s="1"/>
  <c r="E99" i="23"/>
  <c r="R113" i="23"/>
  <c r="R253" i="23" s="1"/>
  <c r="R156" i="23"/>
  <c r="V157" i="23" s="1"/>
  <c r="E147" i="23"/>
  <c r="E11" i="23"/>
  <c r="Q113" i="23"/>
  <c r="Q253" i="23" s="1"/>
  <c r="AD251" i="23" l="1"/>
  <c r="AD264" i="23" s="1"/>
  <c r="AD186" i="23"/>
  <c r="AD134" i="23"/>
  <c r="AD194" i="23" s="1"/>
  <c r="V267" i="23"/>
  <c r="V266" i="23"/>
  <c r="AB266" i="23"/>
  <c r="AB267" i="23"/>
  <c r="Z264" i="23"/>
  <c r="Z266" i="23"/>
  <c r="Z267" i="23"/>
  <c r="Y266" i="23"/>
  <c r="Y267" i="23"/>
  <c r="AA266" i="23"/>
  <c r="AA267" i="23"/>
  <c r="V259" i="23"/>
  <c r="V262" i="23"/>
  <c r="AA262" i="23"/>
  <c r="AA259" i="23"/>
  <c r="AA258" i="23"/>
  <c r="AA261" i="23"/>
  <c r="AA264" i="23"/>
  <c r="Z259" i="23"/>
  <c r="T249" i="23"/>
  <c r="Z261" i="23"/>
  <c r="Z258" i="23"/>
  <c r="Z269" i="23"/>
  <c r="Z262" i="23"/>
  <c r="X256" i="23"/>
  <c r="AB259" i="23"/>
  <c r="AB262" i="23"/>
  <c r="AB261" i="23"/>
  <c r="AB258" i="23"/>
  <c r="AB264" i="23"/>
  <c r="V258" i="23"/>
  <c r="V269" i="23"/>
  <c r="V261" i="23"/>
  <c r="AA90" i="23"/>
  <c r="AB90" i="23"/>
  <c r="W256" i="23"/>
  <c r="Y259" i="23"/>
  <c r="Y262" i="23"/>
  <c r="Y261" i="23"/>
  <c r="Y258" i="23"/>
  <c r="Y264" i="23"/>
  <c r="M122" i="23"/>
  <c r="M251" i="23" s="1"/>
  <c r="T211" i="23"/>
  <c r="O171" i="23"/>
  <c r="T139" i="23"/>
  <c r="T199" i="23" s="1"/>
  <c r="T48" i="23"/>
  <c r="O73" i="23"/>
  <c r="O242" i="23" s="1"/>
  <c r="Z191" i="23"/>
  <c r="Z150" i="23"/>
  <c r="Z186" i="23"/>
  <c r="Z134" i="23"/>
  <c r="Z194" i="23" s="1"/>
  <c r="Z73" i="23"/>
  <c r="Z171" i="23"/>
  <c r="Z236" i="23"/>
  <c r="Z90" i="23"/>
  <c r="U50" i="23"/>
  <c r="Y47" i="23"/>
  <c r="K243" i="23"/>
  <c r="X85" i="23"/>
  <c r="V85" i="23"/>
  <c r="W47" i="23"/>
  <c r="M211" i="23"/>
  <c r="T226" i="23"/>
  <c r="X225" i="23"/>
  <c r="X47" i="23"/>
  <c r="W85" i="23"/>
  <c r="K180" i="23"/>
  <c r="K245" i="23"/>
  <c r="F180" i="23"/>
  <c r="F245" i="23"/>
  <c r="T184" i="23"/>
  <c r="T128" i="23"/>
  <c r="T188" i="23" s="1"/>
  <c r="T122" i="23"/>
  <c r="T134" i="23" s="1"/>
  <c r="T194" i="23" s="1"/>
  <c r="F80" i="23"/>
  <c r="F178" i="23"/>
  <c r="F243" i="23"/>
  <c r="N209" i="23"/>
  <c r="N210" i="23" s="1"/>
  <c r="V150" i="23"/>
  <c r="V191" i="23"/>
  <c r="S131" i="23"/>
  <c r="S128" i="23"/>
  <c r="S139" i="23"/>
  <c r="S199" i="23" s="1"/>
  <c r="V232" i="23"/>
  <c r="V167" i="23"/>
  <c r="V67" i="23"/>
  <c r="U128" i="23"/>
  <c r="U188" i="23" s="1"/>
  <c r="U139" i="23"/>
  <c r="U199" i="23" s="1"/>
  <c r="U131" i="23"/>
  <c r="U150" i="23" s="1"/>
  <c r="V251" i="23"/>
  <c r="V264" i="23" s="1"/>
  <c r="V186" i="23"/>
  <c r="V134" i="23"/>
  <c r="V194" i="23" s="1"/>
  <c r="S67" i="23"/>
  <c r="S167" i="23"/>
  <c r="S232" i="23"/>
  <c r="K178" i="23"/>
  <c r="K80" i="23"/>
  <c r="L226" i="23"/>
  <c r="U249" i="23"/>
  <c r="S249" i="23"/>
  <c r="K226" i="23"/>
  <c r="K122" i="23"/>
  <c r="K186" i="23" s="1"/>
  <c r="Q67" i="23"/>
  <c r="Q232" i="23"/>
  <c r="Q167" i="23"/>
  <c r="N231" i="23"/>
  <c r="N166" i="23"/>
  <c r="N175" i="23"/>
  <c r="N240" i="23"/>
  <c r="N173" i="23"/>
  <c r="N238" i="23"/>
  <c r="M67" i="23"/>
  <c r="M232" i="23"/>
  <c r="M167" i="23"/>
  <c r="N241" i="23"/>
  <c r="N176" i="23"/>
  <c r="N235" i="23"/>
  <c r="N170" i="23"/>
  <c r="N174" i="23"/>
  <c r="N239" i="23"/>
  <c r="N169" i="23"/>
  <c r="N234" i="23"/>
  <c r="N229" i="23"/>
  <c r="N164" i="23"/>
  <c r="N40" i="23"/>
  <c r="N165" i="23"/>
  <c r="N230" i="23"/>
  <c r="L73" i="23"/>
  <c r="L74" i="23" s="1"/>
  <c r="L171" i="23"/>
  <c r="L236" i="23"/>
  <c r="N179" i="23"/>
  <c r="N244" i="23"/>
  <c r="N237" i="23"/>
  <c r="N172" i="23"/>
  <c r="N41" i="23"/>
  <c r="N168" i="23"/>
  <c r="N233" i="23"/>
  <c r="U236" i="23"/>
  <c r="U171" i="23"/>
  <c r="K148" i="23"/>
  <c r="K213" i="23" s="1"/>
  <c r="L148" i="23"/>
  <c r="L213" i="23" s="1"/>
  <c r="E1228" i="22"/>
  <c r="L184" i="23"/>
  <c r="N196" i="23"/>
  <c r="U211" i="23"/>
  <c r="N25" i="23"/>
  <c r="N38" i="23" s="1"/>
  <c r="N44" i="23"/>
  <c r="N46" i="23" s="1"/>
  <c r="L251" i="23"/>
  <c r="L186" i="23"/>
  <c r="N55" i="23"/>
  <c r="M50" i="23"/>
  <c r="M48" i="23"/>
  <c r="K50" i="23"/>
  <c r="K48" i="23"/>
  <c r="L48" i="23"/>
  <c r="L50" i="23"/>
  <c r="U184" i="23"/>
  <c r="U122" i="23"/>
  <c r="U149" i="23"/>
  <c r="T27" i="23"/>
  <c r="J1193" i="22"/>
  <c r="E1214" i="22" s="1"/>
  <c r="U99" i="23"/>
  <c r="U143" i="23"/>
  <c r="T143" i="23"/>
  <c r="T99" i="23"/>
  <c r="T191" i="23"/>
  <c r="T150" i="23"/>
  <c r="U28" i="23"/>
  <c r="U30" i="23"/>
  <c r="T73" i="23"/>
  <c r="T171" i="23"/>
  <c r="T236" i="23"/>
  <c r="S48" i="23"/>
  <c r="E1205" i="22"/>
  <c r="E1209" i="22" s="1"/>
  <c r="E1211" i="22" s="1"/>
  <c r="E1213" i="22" s="1"/>
  <c r="S143" i="23"/>
  <c r="S99" i="23"/>
  <c r="E221" i="23"/>
  <c r="F222" i="23" s="1"/>
  <c r="E238" i="23"/>
  <c r="E230" i="23"/>
  <c r="E240" i="23"/>
  <c r="E231" i="23"/>
  <c r="E244" i="23"/>
  <c r="E235" i="23"/>
  <c r="E239" i="23"/>
  <c r="E234" i="23"/>
  <c r="E229" i="23"/>
  <c r="E233" i="23"/>
  <c r="E237" i="23"/>
  <c r="R221" i="23"/>
  <c r="V222" i="23" s="1"/>
  <c r="E241" i="23"/>
  <c r="S148" i="23"/>
  <c r="S213" i="23" s="1"/>
  <c r="S122" i="23"/>
  <c r="S184" i="23"/>
  <c r="S28" i="23"/>
  <c r="S30" i="23"/>
  <c r="S53" i="23"/>
  <c r="S161" i="23" s="1"/>
  <c r="S159" i="23"/>
  <c r="S224" i="23"/>
  <c r="S50" i="23"/>
  <c r="E212" i="23"/>
  <c r="E204" i="23"/>
  <c r="E248" i="23"/>
  <c r="E120" i="23"/>
  <c r="E184" i="23" s="1"/>
  <c r="E247" i="23"/>
  <c r="E146" i="23"/>
  <c r="E148" i="23" s="1"/>
  <c r="E213" i="23" s="1"/>
  <c r="E124" i="23"/>
  <c r="E44" i="23"/>
  <c r="E46" i="23" s="1"/>
  <c r="E84" i="23"/>
  <c r="R11" i="23"/>
  <c r="R99" i="23"/>
  <c r="E27" i="23"/>
  <c r="C7" i="26" s="1"/>
  <c r="C15" i="26" s="1"/>
  <c r="C17" i="26" s="1"/>
  <c r="C18" i="26" s="1"/>
  <c r="AD243" i="23" l="1"/>
  <c r="AD178" i="23"/>
  <c r="AD76" i="23"/>
  <c r="W266" i="23"/>
  <c r="W267" i="23"/>
  <c r="X267" i="23"/>
  <c r="X266" i="23"/>
  <c r="U269" i="23"/>
  <c r="W259" i="23"/>
  <c r="W262" i="23"/>
  <c r="W261" i="23"/>
  <c r="W258" i="23"/>
  <c r="W264" i="23"/>
  <c r="T269" i="23"/>
  <c r="S269" i="23"/>
  <c r="X259" i="23"/>
  <c r="X262" i="23"/>
  <c r="X261" i="23"/>
  <c r="X258" i="23"/>
  <c r="X264" i="23"/>
  <c r="M186" i="23"/>
  <c r="T251" i="23"/>
  <c r="O177" i="23"/>
  <c r="O74" i="23"/>
  <c r="O80" i="23" s="1"/>
  <c r="W225" i="23"/>
  <c r="U191" i="23"/>
  <c r="Z76" i="23"/>
  <c r="Z242" i="23"/>
  <c r="Z177" i="23"/>
  <c r="Z243" i="23"/>
  <c r="Z178" i="23"/>
  <c r="X90" i="23"/>
  <c r="Y90" i="23"/>
  <c r="W90" i="23"/>
  <c r="T186" i="23"/>
  <c r="T28" i="23"/>
  <c r="W88" i="23"/>
  <c r="K251" i="23"/>
  <c r="E59" i="23"/>
  <c r="E63" i="23" s="1"/>
  <c r="F47" i="23"/>
  <c r="S186" i="23"/>
  <c r="S134" i="23"/>
  <c r="L80" i="23"/>
  <c r="V88" i="23"/>
  <c r="V73" i="23"/>
  <c r="V236" i="23"/>
  <c r="V171" i="23"/>
  <c r="U134" i="23"/>
  <c r="U194" i="23" s="1"/>
  <c r="S73" i="23"/>
  <c r="V90" i="23"/>
  <c r="S171" i="23"/>
  <c r="S236" i="23"/>
  <c r="Q73" i="23"/>
  <c r="Q171" i="23"/>
  <c r="Q236" i="23"/>
  <c r="N48" i="23"/>
  <c r="N85" i="23"/>
  <c r="L76" i="23"/>
  <c r="L178" i="23"/>
  <c r="L243" i="23"/>
  <c r="L177" i="23"/>
  <c r="L242" i="23"/>
  <c r="M73" i="23"/>
  <c r="M74" i="23" s="1"/>
  <c r="M80" i="23" s="1"/>
  <c r="M171" i="23"/>
  <c r="M236" i="23"/>
  <c r="U177" i="23"/>
  <c r="U242" i="23"/>
  <c r="F1211" i="22"/>
  <c r="U186" i="23"/>
  <c r="U251" i="23"/>
  <c r="N27" i="23"/>
  <c r="T30" i="23"/>
  <c r="T145" i="23"/>
  <c r="U209" i="23"/>
  <c r="U208" i="23"/>
  <c r="U145" i="23"/>
  <c r="T242" i="23"/>
  <c r="T177" i="23"/>
  <c r="E211" i="23"/>
  <c r="S251" i="23"/>
  <c r="S226" i="23"/>
  <c r="E249" i="23"/>
  <c r="E122" i="23"/>
  <c r="R122" i="23" s="1"/>
  <c r="R134" i="23" s="1"/>
  <c r="E139" i="23"/>
  <c r="E199" i="23" s="1"/>
  <c r="E85" i="23"/>
  <c r="E48" i="23"/>
  <c r="E53" i="23"/>
  <c r="E161" i="23" s="1"/>
  <c r="E159" i="23"/>
  <c r="E86" i="23"/>
  <c r="E128" i="23" s="1"/>
  <c r="E188" i="23" s="1"/>
  <c r="E50" i="23"/>
  <c r="N50" i="23" s="1"/>
  <c r="V50" i="23" s="1"/>
  <c r="E224" i="23"/>
  <c r="E30" i="23"/>
  <c r="E88" i="23"/>
  <c r="E28" i="23"/>
  <c r="AD245" i="23" l="1"/>
  <c r="AD180" i="23"/>
  <c r="O178" i="23"/>
  <c r="O243" i="23"/>
  <c r="E269" i="23"/>
  <c r="O76" i="23"/>
  <c r="O180" i="23" s="1"/>
  <c r="F225" i="23"/>
  <c r="Z245" i="23"/>
  <c r="Z180" i="23"/>
  <c r="E228" i="23"/>
  <c r="E256" i="23" s="1"/>
  <c r="E163" i="23"/>
  <c r="V177" i="23"/>
  <c r="V242" i="23"/>
  <c r="S74" i="23"/>
  <c r="T74" i="23" s="1"/>
  <c r="T243" i="23" s="1"/>
  <c r="S242" i="23"/>
  <c r="S177" i="23"/>
  <c r="Q242" i="23"/>
  <c r="Q177" i="23"/>
  <c r="N88" i="23"/>
  <c r="M177" i="23"/>
  <c r="M242" i="23"/>
  <c r="L180" i="23"/>
  <c r="L245" i="23"/>
  <c r="E131" i="23"/>
  <c r="E150" i="23" s="1"/>
  <c r="N28" i="23"/>
  <c r="N30" i="23"/>
  <c r="U210" i="23"/>
  <c r="U214" i="23"/>
  <c r="U215" i="23"/>
  <c r="E67" i="23"/>
  <c r="E167" i="23"/>
  <c r="E232" i="23"/>
  <c r="E136" i="23"/>
  <c r="E196" i="23" s="1"/>
  <c r="E137" i="23"/>
  <c r="E197" i="23" s="1"/>
  <c r="E251" i="23"/>
  <c r="E186" i="23"/>
  <c r="E144" i="23"/>
  <c r="E129" i="23"/>
  <c r="E189" i="23" s="1"/>
  <c r="E132" i="23"/>
  <c r="E226" i="23"/>
  <c r="E134" i="23"/>
  <c r="E194" i="23" s="1"/>
  <c r="E264" i="23" l="1"/>
  <c r="E267" i="23"/>
  <c r="E266" i="23"/>
  <c r="E259" i="23"/>
  <c r="E262" i="23"/>
  <c r="E258" i="23"/>
  <c r="E261" i="23"/>
  <c r="O245" i="23"/>
  <c r="U74" i="23"/>
  <c r="U76" i="23" s="1"/>
  <c r="T178" i="23"/>
  <c r="T80" i="23"/>
  <c r="S243" i="23"/>
  <c r="S178" i="23"/>
  <c r="S80" i="23"/>
  <c r="S76" i="23"/>
  <c r="T76" i="23"/>
  <c r="T180" i="23" s="1"/>
  <c r="M76" i="23"/>
  <c r="M178" i="23"/>
  <c r="M243" i="23"/>
  <c r="E191" i="23"/>
  <c r="E73" i="23"/>
  <c r="E74" i="23" s="1"/>
  <c r="E80" i="23" s="1"/>
  <c r="E90" i="23"/>
  <c r="E171" i="23"/>
  <c r="E236" i="23"/>
  <c r="E192" i="23"/>
  <c r="E149" i="23"/>
  <c r="E145" i="23"/>
  <c r="Q218" i="23"/>
  <c r="Q207" i="23"/>
  <c r="Q156" i="23"/>
  <c r="U157" i="23" s="1"/>
  <c r="Q153" i="23"/>
  <c r="Q142" i="23"/>
  <c r="Q126" i="23"/>
  <c r="Q117" i="23"/>
  <c r="Q116" i="23"/>
  <c r="Q108" i="23"/>
  <c r="Q36" i="23" s="1"/>
  <c r="Q98" i="23"/>
  <c r="Q92" i="23"/>
  <c r="Q82" i="23"/>
  <c r="Q58" i="23"/>
  <c r="Q43" i="23"/>
  <c r="Q10" i="23"/>
  <c r="Q18" i="23" s="1"/>
  <c r="Q8" i="23"/>
  <c r="V74" i="23" l="1"/>
  <c r="V243" i="23" s="1"/>
  <c r="T245" i="23"/>
  <c r="S245" i="23"/>
  <c r="S180" i="23"/>
  <c r="U80" i="23"/>
  <c r="U243" i="23"/>
  <c r="U178" i="23"/>
  <c r="M180" i="23"/>
  <c r="M245" i="23"/>
  <c r="T209" i="23"/>
  <c r="T208" i="23"/>
  <c r="E177" i="23"/>
  <c r="E76" i="23"/>
  <c r="E242" i="23"/>
  <c r="Q118" i="23"/>
  <c r="Q183" i="23"/>
  <c r="E210" i="23"/>
  <c r="E214" i="23"/>
  <c r="E215" i="23"/>
  <c r="Q147" i="23"/>
  <c r="Q212" i="23" s="1"/>
  <c r="Q248" i="23"/>
  <c r="Q11" i="23"/>
  <c r="Q221" i="23"/>
  <c r="U222" i="23" s="1"/>
  <c r="V76" i="23" l="1"/>
  <c r="V180" i="23" s="1"/>
  <c r="V178" i="23"/>
  <c r="U180" i="23"/>
  <c r="U245" i="23"/>
  <c r="Q247" i="23"/>
  <c r="Q129" i="23"/>
  <c r="Q132" i="23"/>
  <c r="Q25" i="23"/>
  <c r="T210" i="23"/>
  <c r="T214" i="23"/>
  <c r="T215" i="23"/>
  <c r="E178" i="23"/>
  <c r="E243" i="23"/>
  <c r="E180" i="23"/>
  <c r="E245" i="23"/>
  <c r="T89" i="23"/>
  <c r="T136" i="23" s="1"/>
  <c r="T196" i="23" s="1"/>
  <c r="Q146" i="23"/>
  <c r="Q211" i="23" s="1"/>
  <c r="Q124" i="23"/>
  <c r="Q182" i="23"/>
  <c r="Q120" i="23"/>
  <c r="Q44" i="23"/>
  <c r="Q46" i="23" s="1"/>
  <c r="Q249" i="23" l="1"/>
  <c r="V245" i="23"/>
  <c r="Q27" i="23"/>
  <c r="Q28" i="23" s="1"/>
  <c r="Q38" i="23"/>
  <c r="Q184" i="23"/>
  <c r="Q139" i="23"/>
  <c r="Q199" i="23" s="1"/>
  <c r="Q131" i="23"/>
  <c r="Q128" i="23"/>
  <c r="U47" i="23"/>
  <c r="R55" i="23"/>
  <c r="Q122" i="23"/>
  <c r="Q148" i="23"/>
  <c r="Q213" i="23" s="1"/>
  <c r="Q48" i="23"/>
  <c r="Q269" i="23" l="1"/>
  <c r="Q30" i="23"/>
  <c r="Q251" i="23"/>
  <c r="Q134" i="23"/>
  <c r="Q186" i="23"/>
  <c r="Q224" i="23"/>
  <c r="Q50" i="23"/>
  <c r="Q53" i="23"/>
  <c r="Q161" i="23" s="1"/>
  <c r="Q159" i="23"/>
  <c r="P248" i="23"/>
  <c r="P218" i="23"/>
  <c r="P207" i="23"/>
  <c r="P183" i="23"/>
  <c r="P156" i="23"/>
  <c r="T157" i="23" s="1"/>
  <c r="P153" i="23"/>
  <c r="P142" i="23"/>
  <c r="P126" i="23"/>
  <c r="P147" i="23"/>
  <c r="P212" i="23" s="1"/>
  <c r="P117" i="23"/>
  <c r="P116" i="23"/>
  <c r="P113" i="23"/>
  <c r="P253" i="23" s="1"/>
  <c r="P108" i="23"/>
  <c r="P36" i="23" s="1"/>
  <c r="P98" i="23"/>
  <c r="P92" i="23"/>
  <c r="P82" i="23"/>
  <c r="P58" i="23"/>
  <c r="P56" i="23"/>
  <c r="P55" i="23"/>
  <c r="P43" i="23"/>
  <c r="P10" i="23"/>
  <c r="P8" i="23"/>
  <c r="U225" i="23" l="1"/>
  <c r="P11" i="23"/>
  <c r="P18" i="23"/>
  <c r="S84" i="23" s="1"/>
  <c r="S208" i="23"/>
  <c r="Q226" i="23"/>
  <c r="P118" i="23"/>
  <c r="P221" i="23"/>
  <c r="T222" i="23" s="1"/>
  <c r="P25" i="23" l="1"/>
  <c r="P38" i="23" s="1"/>
  <c r="P132" i="23"/>
  <c r="P129" i="23"/>
  <c r="P124" i="23"/>
  <c r="P247" i="23"/>
  <c r="P120" i="23"/>
  <c r="P182" i="23"/>
  <c r="P146" i="23"/>
  <c r="P148" i="23" s="1"/>
  <c r="P213" i="23" s="1"/>
  <c r="P44" i="23"/>
  <c r="P46" i="23" s="1"/>
  <c r="O248" i="23"/>
  <c r="O218" i="23"/>
  <c r="O207" i="23"/>
  <c r="O156" i="23"/>
  <c r="S157" i="23" s="1"/>
  <c r="O153" i="23"/>
  <c r="O142" i="23"/>
  <c r="O126" i="23"/>
  <c r="O117" i="23"/>
  <c r="O116" i="23"/>
  <c r="O113" i="23"/>
  <c r="O253" i="23" s="1"/>
  <c r="O108" i="23"/>
  <c r="O36" i="23" s="1"/>
  <c r="O98" i="23"/>
  <c r="O92" i="23"/>
  <c r="O82" i="23"/>
  <c r="O58" i="23"/>
  <c r="O43" i="23"/>
  <c r="O10" i="23"/>
  <c r="O8" i="23"/>
  <c r="D248" i="23"/>
  <c r="D175" i="23"/>
  <c r="D173" i="23"/>
  <c r="D218" i="23"/>
  <c r="D207" i="23"/>
  <c r="D239" i="23"/>
  <c r="D179" i="23"/>
  <c r="D174" i="23"/>
  <c r="D170" i="23"/>
  <c r="D169" i="23"/>
  <c r="D166" i="23"/>
  <c r="D165" i="23"/>
  <c r="D156" i="23"/>
  <c r="E157" i="23" s="1"/>
  <c r="D153" i="23"/>
  <c r="D142" i="23"/>
  <c r="D126" i="23"/>
  <c r="D117" i="23"/>
  <c r="N117" i="23" s="1"/>
  <c r="D116" i="23"/>
  <c r="N116" i="23" s="1"/>
  <c r="D113" i="23"/>
  <c r="D253" i="23" s="1"/>
  <c r="D108" i="23"/>
  <c r="D36" i="23" s="1"/>
  <c r="D98" i="23"/>
  <c r="D92" i="23"/>
  <c r="D83" i="23"/>
  <c r="D143" i="23" s="1"/>
  <c r="D82" i="23"/>
  <c r="D58" i="23"/>
  <c r="D43" i="23"/>
  <c r="D10" i="23"/>
  <c r="D18" i="23" s="1"/>
  <c r="D8" i="23"/>
  <c r="C10" i="23"/>
  <c r="C18" i="23" s="1"/>
  <c r="P249" i="23" l="1"/>
  <c r="N118" i="23"/>
  <c r="N124" i="23" s="1"/>
  <c r="P27" i="23"/>
  <c r="P30" i="23" s="1"/>
  <c r="P139" i="23"/>
  <c r="P199" i="23" s="1"/>
  <c r="P131" i="23"/>
  <c r="P128" i="23"/>
  <c r="T47" i="23"/>
  <c r="D11" i="23"/>
  <c r="D25" i="23"/>
  <c r="D38" i="23" s="1"/>
  <c r="O11" i="23"/>
  <c r="O18" i="23"/>
  <c r="P50" i="23"/>
  <c r="D147" i="23"/>
  <c r="D212" i="23" s="1"/>
  <c r="R8" i="23"/>
  <c r="R248" i="23"/>
  <c r="R147" i="23"/>
  <c r="R212" i="23" s="1"/>
  <c r="R183" i="23"/>
  <c r="O143" i="23"/>
  <c r="P184" i="23"/>
  <c r="P211" i="23"/>
  <c r="P122" i="23"/>
  <c r="D99" i="23"/>
  <c r="P48" i="23"/>
  <c r="O221" i="23"/>
  <c r="S222" i="23" s="1"/>
  <c r="O118" i="23"/>
  <c r="O147" i="23"/>
  <c r="O212" i="23" s="1"/>
  <c r="O183" i="23"/>
  <c r="D183" i="23"/>
  <c r="D204" i="23"/>
  <c r="R157" i="23"/>
  <c r="D118" i="23"/>
  <c r="D124" i="23" s="1"/>
  <c r="D233" i="23"/>
  <c r="D168" i="23"/>
  <c r="D234" i="23"/>
  <c r="D244" i="23"/>
  <c r="D229" i="23"/>
  <c r="D164" i="23"/>
  <c r="D230" i="23"/>
  <c r="D238" i="23"/>
  <c r="D235" i="23"/>
  <c r="D55" i="23"/>
  <c r="D221" i="23"/>
  <c r="E222" i="23" s="1"/>
  <c r="D231" i="23"/>
  <c r="D56" i="23"/>
  <c r="D89" i="23"/>
  <c r="D240" i="23"/>
  <c r="C11" i="23"/>
  <c r="N146" i="23" l="1"/>
  <c r="N211" i="23" s="1"/>
  <c r="N214" i="23" s="1"/>
  <c r="N120" i="23"/>
  <c r="N122" i="23" s="1"/>
  <c r="N182" i="23"/>
  <c r="N247" i="23"/>
  <c r="N249" i="23" s="1"/>
  <c r="N129" i="23"/>
  <c r="N189" i="23" s="1"/>
  <c r="P28" i="23"/>
  <c r="N132" i="23"/>
  <c r="N192" i="23" s="1"/>
  <c r="P269" i="23"/>
  <c r="P186" i="23"/>
  <c r="P134" i="23"/>
  <c r="O120" i="23"/>
  <c r="O184" i="23" s="1"/>
  <c r="O132" i="23"/>
  <c r="O129" i="23"/>
  <c r="O25" i="23"/>
  <c r="O38" i="23" s="1"/>
  <c r="R84" i="23"/>
  <c r="P84" i="23"/>
  <c r="O84" i="23"/>
  <c r="Q84" i="23"/>
  <c r="R25" i="23"/>
  <c r="T84" i="23"/>
  <c r="C25" i="23"/>
  <c r="P53" i="23"/>
  <c r="P161" i="23" s="1"/>
  <c r="P224" i="23"/>
  <c r="P159" i="23"/>
  <c r="P59" i="23"/>
  <c r="R44" i="23"/>
  <c r="R222" i="23"/>
  <c r="O99" i="23"/>
  <c r="Q143" i="23"/>
  <c r="Q208" i="23" s="1"/>
  <c r="Q99" i="23"/>
  <c r="P251" i="23"/>
  <c r="O124" i="23"/>
  <c r="P99" i="23"/>
  <c r="P143" i="23"/>
  <c r="O247" i="23"/>
  <c r="O146" i="23"/>
  <c r="O211" i="23" s="1"/>
  <c r="O182" i="23"/>
  <c r="O44" i="23"/>
  <c r="O46" i="23" s="1"/>
  <c r="D241" i="23"/>
  <c r="D182" i="23"/>
  <c r="D120" i="23"/>
  <c r="D122" i="23" s="1"/>
  <c r="D247" i="23"/>
  <c r="D146" i="23"/>
  <c r="D176" i="23"/>
  <c r="D84" i="23"/>
  <c r="D44" i="23"/>
  <c r="D46" i="23" s="1"/>
  <c r="E47" i="23" s="1"/>
  <c r="D172" i="23"/>
  <c r="D237" i="23"/>
  <c r="N128" i="23" l="1"/>
  <c r="N188" i="23" s="1"/>
  <c r="N131" i="23"/>
  <c r="N191" i="23" s="1"/>
  <c r="N184" i="23"/>
  <c r="N139" i="23"/>
  <c r="N199" i="23" s="1"/>
  <c r="N148" i="23"/>
  <c r="N213" i="23" s="1"/>
  <c r="N215" i="23" s="1"/>
  <c r="N269" i="23"/>
  <c r="D249" i="23"/>
  <c r="N149" i="23"/>
  <c r="O249" i="23"/>
  <c r="T225" i="23"/>
  <c r="O122" i="23"/>
  <c r="O134" i="23" s="1"/>
  <c r="P163" i="23"/>
  <c r="P228" i="23"/>
  <c r="O139" i="23"/>
  <c r="O199" i="23" s="1"/>
  <c r="O128" i="23"/>
  <c r="O131" i="23"/>
  <c r="C27" i="23"/>
  <c r="C30" i="23" s="1"/>
  <c r="C38" i="23"/>
  <c r="R27" i="23"/>
  <c r="R30" i="23" s="1"/>
  <c r="R38" i="23"/>
  <c r="N186" i="23"/>
  <c r="N134" i="23"/>
  <c r="N194" i="23" s="1"/>
  <c r="N251" i="23"/>
  <c r="S47" i="23"/>
  <c r="O85" i="23"/>
  <c r="P85" i="23"/>
  <c r="Q85" i="23"/>
  <c r="O27" i="23"/>
  <c r="P226" i="23"/>
  <c r="R59" i="23"/>
  <c r="P63" i="23"/>
  <c r="O48" i="23"/>
  <c r="O148" i="23"/>
  <c r="O213" i="23" s="1"/>
  <c r="S52" i="23"/>
  <c r="S160" i="23" s="1"/>
  <c r="D184" i="23"/>
  <c r="D211" i="23"/>
  <c r="D148" i="23"/>
  <c r="D213" i="23" s="1"/>
  <c r="D139" i="23"/>
  <c r="D199" i="23" s="1"/>
  <c r="D251" i="23"/>
  <c r="D186" i="23"/>
  <c r="E52" i="23"/>
  <c r="E160" i="23" s="1"/>
  <c r="D85" i="23"/>
  <c r="D48" i="23"/>
  <c r="D27" i="23"/>
  <c r="N150" i="23" l="1"/>
  <c r="C28" i="23"/>
  <c r="D269" i="23"/>
  <c r="O269" i="23"/>
  <c r="O251" i="23"/>
  <c r="R28" i="23"/>
  <c r="T88" i="23"/>
  <c r="O186" i="23"/>
  <c r="U88" i="23"/>
  <c r="S88" i="23"/>
  <c r="R88" i="23"/>
  <c r="Q88" i="23"/>
  <c r="P88" i="23"/>
  <c r="O88" i="23"/>
  <c r="R228" i="23"/>
  <c r="R256" i="23" s="1"/>
  <c r="R163" i="23"/>
  <c r="P67" i="23"/>
  <c r="P73" i="23" s="1"/>
  <c r="P167" i="23"/>
  <c r="P232" i="23"/>
  <c r="O28" i="23"/>
  <c r="O30" i="23"/>
  <c r="R63" i="23"/>
  <c r="O53" i="23"/>
  <c r="O161" i="23" s="1"/>
  <c r="O50" i="23"/>
  <c r="R50" i="23" s="1"/>
  <c r="O224" i="23"/>
  <c r="O159" i="23"/>
  <c r="D224" i="23"/>
  <c r="D50" i="23"/>
  <c r="D53" i="23"/>
  <c r="D161" i="23" s="1"/>
  <c r="D86" i="23"/>
  <c r="D159" i="23"/>
  <c r="D59" i="23"/>
  <c r="N59" i="23" s="1"/>
  <c r="D28" i="23"/>
  <c r="D88" i="23"/>
  <c r="D30" i="23"/>
  <c r="R266" i="23" l="1"/>
  <c r="R267" i="23"/>
  <c r="U256" i="23"/>
  <c r="T256" i="23"/>
  <c r="S256" i="23"/>
  <c r="E225" i="23"/>
  <c r="N163" i="23"/>
  <c r="N63" i="23"/>
  <c r="N228" i="23"/>
  <c r="P74" i="23"/>
  <c r="P80" i="23" s="1"/>
  <c r="P242" i="23"/>
  <c r="P177" i="23"/>
  <c r="R232" i="23"/>
  <c r="R167" i="23"/>
  <c r="P171" i="23"/>
  <c r="P236" i="23"/>
  <c r="R67" i="23"/>
  <c r="S90" i="23" s="1"/>
  <c r="O226" i="23"/>
  <c r="S225" i="23"/>
  <c r="D128" i="23"/>
  <c r="D188" i="23" s="1"/>
  <c r="D131" i="23"/>
  <c r="D163" i="23"/>
  <c r="D228" i="23"/>
  <c r="D256" i="23" s="1"/>
  <c r="D63" i="23"/>
  <c r="D144" i="23"/>
  <c r="D136" i="23"/>
  <c r="D196" i="23" s="1"/>
  <c r="D137" i="23"/>
  <c r="D197" i="23" s="1"/>
  <c r="D129" i="23"/>
  <c r="D189" i="23" s="1"/>
  <c r="D132" i="23"/>
  <c r="D134" i="23"/>
  <c r="D194" i="23" s="1"/>
  <c r="D226" i="23"/>
  <c r="S267" i="23" l="1"/>
  <c r="S266" i="23"/>
  <c r="T266" i="23"/>
  <c r="T267" i="23"/>
  <c r="U266" i="23"/>
  <c r="U267" i="23"/>
  <c r="Q256" i="23"/>
  <c r="P256" i="23"/>
  <c r="O256" i="23"/>
  <c r="N256" i="23"/>
  <c r="S262" i="23"/>
  <c r="S259" i="23"/>
  <c r="S261" i="23"/>
  <c r="S258" i="23"/>
  <c r="S264" i="23"/>
  <c r="D267" i="23"/>
  <c r="D266" i="23"/>
  <c r="D262" i="23"/>
  <c r="D259" i="23"/>
  <c r="D264" i="23"/>
  <c r="D258" i="23"/>
  <c r="D261" i="23"/>
  <c r="T262" i="23"/>
  <c r="T259" i="23"/>
  <c r="T258" i="23"/>
  <c r="T261" i="23"/>
  <c r="T264" i="23"/>
  <c r="U259" i="23"/>
  <c r="U262" i="23"/>
  <c r="U258" i="23"/>
  <c r="U261" i="23"/>
  <c r="U264" i="23"/>
  <c r="N167" i="23"/>
  <c r="N232" i="23"/>
  <c r="N67" i="23"/>
  <c r="Q74" i="23"/>
  <c r="Q80" i="23" s="1"/>
  <c r="T90" i="23"/>
  <c r="U90" i="23"/>
  <c r="R171" i="23"/>
  <c r="R236" i="23"/>
  <c r="R90" i="23"/>
  <c r="P243" i="23"/>
  <c r="P178" i="23"/>
  <c r="P76" i="23"/>
  <c r="R73" i="23"/>
  <c r="R46" i="23"/>
  <c r="D150" i="23"/>
  <c r="D191" i="23"/>
  <c r="D192" i="23"/>
  <c r="D149" i="23"/>
  <c r="D145" i="23"/>
  <c r="D167" i="23"/>
  <c r="D232" i="23"/>
  <c r="D67" i="23"/>
  <c r="Q266" i="23" l="1"/>
  <c r="Q267" i="23"/>
  <c r="P267" i="23"/>
  <c r="P266" i="23"/>
  <c r="N267" i="23"/>
  <c r="N266" i="23"/>
  <c r="O266" i="23"/>
  <c r="O267" i="23"/>
  <c r="N259" i="23"/>
  <c r="N262" i="23"/>
  <c r="N258" i="23"/>
  <c r="N261" i="23"/>
  <c r="N264" i="23"/>
  <c r="P259" i="23"/>
  <c r="P262" i="23"/>
  <c r="P258" i="23"/>
  <c r="P261" i="23"/>
  <c r="P264" i="23"/>
  <c r="O259" i="23"/>
  <c r="O262" i="23"/>
  <c r="O261" i="23"/>
  <c r="O258" i="23"/>
  <c r="O264" i="23"/>
  <c r="Q259" i="23"/>
  <c r="Q262" i="23"/>
  <c r="Q261" i="23"/>
  <c r="Q258" i="23"/>
  <c r="Q264" i="23"/>
  <c r="N236" i="23"/>
  <c r="N90" i="23"/>
  <c r="N171" i="23"/>
  <c r="O90" i="23"/>
  <c r="N73" i="23"/>
  <c r="P90" i="23"/>
  <c r="Q90" i="23"/>
  <c r="V47" i="23"/>
  <c r="U85" i="23"/>
  <c r="S85" i="23"/>
  <c r="R85" i="23"/>
  <c r="R74" i="23"/>
  <c r="R76" i="23" s="1"/>
  <c r="Q243" i="23"/>
  <c r="Q178" i="23"/>
  <c r="Q76" i="23"/>
  <c r="R242" i="23"/>
  <c r="R177" i="23"/>
  <c r="P180" i="23"/>
  <c r="P245" i="23"/>
  <c r="T85" i="23"/>
  <c r="R48" i="23"/>
  <c r="R224" i="23"/>
  <c r="R53" i="23"/>
  <c r="R161" i="23" s="1"/>
  <c r="R159" i="23"/>
  <c r="R47" i="23"/>
  <c r="D210" i="23"/>
  <c r="D214" i="23"/>
  <c r="D215" i="23"/>
  <c r="D90" i="23"/>
  <c r="D73" i="23"/>
  <c r="D74" i="23" s="1"/>
  <c r="D171" i="23"/>
  <c r="D236" i="23"/>
  <c r="V225" i="23" l="1"/>
  <c r="R243" i="23"/>
  <c r="R178" i="23"/>
  <c r="N177" i="23"/>
  <c r="N242" i="23"/>
  <c r="N74" i="23"/>
  <c r="D80" i="23"/>
  <c r="Q245" i="23"/>
  <c r="Q180" i="23"/>
  <c r="R245" i="23"/>
  <c r="R180" i="23"/>
  <c r="S188" i="23"/>
  <c r="R197" i="23"/>
  <c r="R196" i="23"/>
  <c r="R52" i="23"/>
  <c r="R160" i="23" s="1"/>
  <c r="S189" i="23"/>
  <c r="S144" i="23"/>
  <c r="S194" i="23"/>
  <c r="R226" i="23"/>
  <c r="R144" i="23"/>
  <c r="D177" i="23"/>
  <c r="D242" i="23"/>
  <c r="N178" i="23" l="1"/>
  <c r="N243" i="23"/>
  <c r="S150" i="23"/>
  <c r="S191" i="23"/>
  <c r="R225" i="23"/>
  <c r="S145" i="23"/>
  <c r="S209" i="23"/>
  <c r="D1209" i="22"/>
  <c r="D1211" i="22"/>
  <c r="S192" i="23"/>
  <c r="S149" i="23"/>
  <c r="R145" i="23"/>
  <c r="D243" i="23"/>
  <c r="D178" i="23"/>
  <c r="D76" i="23"/>
  <c r="N76" i="23" s="1"/>
  <c r="N245" i="23" l="1"/>
  <c r="N180" i="23"/>
  <c r="Q189" i="23"/>
  <c r="Q188" i="23"/>
  <c r="Q192" i="23"/>
  <c r="Q144" i="23"/>
  <c r="Q145" i="23" s="1"/>
  <c r="Q194" i="23"/>
  <c r="S210" i="23"/>
  <c r="S215" i="23"/>
  <c r="S214" i="23"/>
  <c r="F1209" i="22"/>
  <c r="D180" i="23"/>
  <c r="D245" i="23"/>
  <c r="Q150" i="23" l="1"/>
  <c r="Q191" i="23"/>
  <c r="Q209" i="23"/>
  <c r="Q149" i="23"/>
  <c r="Q215" i="23" l="1"/>
  <c r="Q214" i="23"/>
  <c r="Q210" i="23"/>
  <c r="O208" i="23" l="1"/>
  <c r="P208" i="23" l="1"/>
  <c r="C248" i="23"/>
  <c r="C147" i="23"/>
  <c r="C116" i="23" l="1"/>
  <c r="C113" i="23"/>
  <c r="C253" i="23" s="1"/>
  <c r="C108" i="23"/>
  <c r="C36" i="23" s="1"/>
  <c r="C117" i="23"/>
  <c r="R118" i="23" l="1"/>
  <c r="C118" i="23"/>
  <c r="C98" i="23"/>
  <c r="R132" i="23" l="1"/>
  <c r="R129" i="23"/>
  <c r="R189" i="23" s="1"/>
  <c r="R182" i="23"/>
  <c r="R124" i="23"/>
  <c r="R247" i="23"/>
  <c r="R146" i="23"/>
  <c r="R120" i="23"/>
  <c r="C120" i="23"/>
  <c r="C122" i="23" s="1"/>
  <c r="C124" i="23"/>
  <c r="R262" i="23" l="1"/>
  <c r="R259" i="23"/>
  <c r="R131" i="23"/>
  <c r="R128" i="23"/>
  <c r="R188" i="23" s="1"/>
  <c r="R139" i="23"/>
  <c r="R199" i="23" s="1"/>
  <c r="R149" i="23"/>
  <c r="R192" i="23"/>
  <c r="R184" i="23"/>
  <c r="R211" i="23"/>
  <c r="R148" i="23"/>
  <c r="R213" i="23" s="1"/>
  <c r="R249" i="23"/>
  <c r="R251" i="23"/>
  <c r="R264" i="23" s="1"/>
  <c r="R186" i="23"/>
  <c r="R194" i="23"/>
  <c r="C43" i="23"/>
  <c r="B33" i="23"/>
  <c r="C56" i="23"/>
  <c r="R261" i="23" l="1"/>
  <c r="R269" i="23"/>
  <c r="R258" i="23"/>
  <c r="R191" i="23"/>
  <c r="R150" i="23"/>
  <c r="C55" i="23"/>
  <c r="Q47" i="23" l="1"/>
  <c r="Q52" i="23"/>
  <c r="Q160" i="23" s="1"/>
  <c r="C44" i="23"/>
  <c r="C46" i="23" s="1"/>
  <c r="O47" i="23"/>
  <c r="P47" i="23"/>
  <c r="P52" i="23" l="1"/>
  <c r="P160" i="23" s="1"/>
  <c r="O52" i="23"/>
  <c r="O160" i="23" s="1"/>
  <c r="D47" i="23"/>
  <c r="C48" i="23"/>
  <c r="P188" i="23" l="1"/>
  <c r="P197" i="23"/>
  <c r="P196" i="23"/>
  <c r="P189" i="23"/>
  <c r="P194" i="23"/>
  <c r="P144" i="23"/>
  <c r="C50" i="23"/>
  <c r="C53" i="23"/>
  <c r="D52" i="23"/>
  <c r="D160" i="23" s="1"/>
  <c r="O188" i="23" l="1"/>
  <c r="P150" i="23"/>
  <c r="P191" i="23"/>
  <c r="P145" i="23"/>
  <c r="P209" i="23"/>
  <c r="P192" i="23"/>
  <c r="P149" i="23"/>
  <c r="O189" i="23"/>
  <c r="O144" i="23"/>
  <c r="O194" i="23"/>
  <c r="O150" i="23" l="1"/>
  <c r="O191" i="23"/>
  <c r="P210" i="23"/>
  <c r="P214" i="23"/>
  <c r="P215" i="23"/>
  <c r="O149" i="23"/>
  <c r="O192" i="23"/>
  <c r="O145" i="23"/>
  <c r="O209" i="23"/>
  <c r="O210" i="23" l="1"/>
  <c r="O214" i="23"/>
  <c r="O215" i="23"/>
  <c r="C204" i="23" l="1"/>
  <c r="C84" i="23" l="1"/>
  <c r="C58" i="23" l="1"/>
  <c r="C82" i="23"/>
  <c r="B83" i="23"/>
  <c r="C83" i="23"/>
  <c r="C87" i="23"/>
  <c r="C92" i="23"/>
  <c r="C126" i="23"/>
  <c r="C142" i="23"/>
  <c r="C212" i="23"/>
  <c r="C153" i="23"/>
  <c r="B156" i="23"/>
  <c r="C156" i="23"/>
  <c r="D157" i="23" s="1"/>
  <c r="O157" i="23"/>
  <c r="Q157" i="23"/>
  <c r="B159" i="23"/>
  <c r="B160" i="23"/>
  <c r="B161" i="23"/>
  <c r="B163" i="23"/>
  <c r="B164" i="23"/>
  <c r="B165" i="23"/>
  <c r="C165" i="23"/>
  <c r="B166" i="23"/>
  <c r="C166" i="23"/>
  <c r="B167" i="23"/>
  <c r="B168" i="23"/>
  <c r="B169" i="23"/>
  <c r="C169" i="23"/>
  <c r="B170" i="23"/>
  <c r="C170" i="23"/>
  <c r="B171" i="23"/>
  <c r="B172" i="23"/>
  <c r="C172" i="23"/>
  <c r="B173" i="23"/>
  <c r="B174" i="23"/>
  <c r="C174" i="23"/>
  <c r="B175" i="23"/>
  <c r="B176" i="23"/>
  <c r="B177" i="23"/>
  <c r="B178" i="23"/>
  <c r="B179" i="23"/>
  <c r="C179" i="23"/>
  <c r="B180" i="23"/>
  <c r="B182" i="23"/>
  <c r="B183" i="23"/>
  <c r="C183" i="23"/>
  <c r="B184" i="23"/>
  <c r="B186" i="23"/>
  <c r="B188" i="23"/>
  <c r="B189" i="23"/>
  <c r="B191" i="23"/>
  <c r="B192" i="23"/>
  <c r="B194" i="23"/>
  <c r="B196" i="23"/>
  <c r="B197" i="23"/>
  <c r="B199" i="23"/>
  <c r="C207" i="23"/>
  <c r="C218" i="23"/>
  <c r="B221" i="23"/>
  <c r="C221" i="23"/>
  <c r="D222" i="23" s="1"/>
  <c r="O222" i="23"/>
  <c r="Q222" i="23"/>
  <c r="B224" i="23"/>
  <c r="B225" i="23"/>
  <c r="B226" i="23"/>
  <c r="B228" i="23"/>
  <c r="B229" i="23"/>
  <c r="C229" i="23"/>
  <c r="B230" i="23"/>
  <c r="C230" i="23"/>
  <c r="B231" i="23"/>
  <c r="C231" i="23"/>
  <c r="B232" i="23"/>
  <c r="B233" i="23"/>
  <c r="B234" i="23"/>
  <c r="C234" i="23"/>
  <c r="B235" i="23"/>
  <c r="C235" i="23"/>
  <c r="B236" i="23"/>
  <c r="B237" i="23"/>
  <c r="B238" i="23"/>
  <c r="B239" i="23"/>
  <c r="C239" i="23"/>
  <c r="B240" i="23"/>
  <c r="B241" i="23"/>
  <c r="B242" i="23"/>
  <c r="B243" i="23"/>
  <c r="B244" i="23"/>
  <c r="C244" i="23"/>
  <c r="B245" i="23"/>
  <c r="B247" i="23"/>
  <c r="B248" i="23"/>
  <c r="B249" i="23"/>
  <c r="B251" i="23"/>
  <c r="B258" i="23"/>
  <c r="B259" i="23"/>
  <c r="B261" i="23"/>
  <c r="B262" i="23"/>
  <c r="B264" i="23"/>
  <c r="B266" i="23"/>
  <c r="B267" i="23"/>
  <c r="B269" i="23"/>
  <c r="C143" i="23" l="1"/>
  <c r="C99" i="23"/>
  <c r="C164" i="23"/>
  <c r="C240" i="23"/>
  <c r="C175" i="23"/>
  <c r="C237" i="23"/>
  <c r="C168" i="23"/>
  <c r="C173" i="23"/>
  <c r="C238" i="23"/>
  <c r="C241" i="23"/>
  <c r="C89" i="23"/>
  <c r="C233" i="23"/>
  <c r="C176" i="23"/>
  <c r="P157" i="23"/>
  <c r="P222" i="23"/>
  <c r="C59" i="23" l="1"/>
  <c r="C85" i="23"/>
  <c r="C63" i="23" l="1"/>
  <c r="C247" i="23"/>
  <c r="C182" i="23"/>
  <c r="C146" i="23"/>
  <c r="C86" i="23"/>
  <c r="C224" i="23"/>
  <c r="C161" i="23"/>
  <c r="C159" i="23"/>
  <c r="C186" i="23"/>
  <c r="C251" i="23"/>
  <c r="C249" i="23" l="1"/>
  <c r="C67" i="23"/>
  <c r="C73" i="23" s="1"/>
  <c r="C74" i="23" s="1"/>
  <c r="C80" i="23" s="1"/>
  <c r="C226" i="23"/>
  <c r="D225" i="23"/>
  <c r="C137" i="23"/>
  <c r="C197" i="23" s="1"/>
  <c r="C136" i="23"/>
  <c r="C196" i="23" s="1"/>
  <c r="C128" i="23"/>
  <c r="C188" i="23" s="1"/>
  <c r="C131" i="23"/>
  <c r="C139" i="23"/>
  <c r="C199" i="23" s="1"/>
  <c r="C184" i="23"/>
  <c r="C211" i="23"/>
  <c r="C148" i="23"/>
  <c r="C213" i="23" s="1"/>
  <c r="C144" i="23"/>
  <c r="C129" i="23"/>
  <c r="C189" i="23" s="1"/>
  <c r="C132" i="23"/>
  <c r="C228" i="23"/>
  <c r="C256" i="23" s="1"/>
  <c r="C163" i="23"/>
  <c r="C134" i="23"/>
  <c r="C267" i="23" l="1"/>
  <c r="C266" i="23"/>
  <c r="C269" i="23"/>
  <c r="C258" i="23"/>
  <c r="C261" i="23"/>
  <c r="C259" i="23"/>
  <c r="C262" i="23"/>
  <c r="C264" i="23"/>
  <c r="C76" i="23"/>
  <c r="C77" i="23" s="1"/>
  <c r="K77" i="23" s="1"/>
  <c r="Q225" i="23"/>
  <c r="C194" i="23"/>
  <c r="C167" i="23"/>
  <c r="C232" i="23"/>
  <c r="C150" i="23"/>
  <c r="C191" i="23"/>
  <c r="C145" i="23"/>
  <c r="C192" i="23"/>
  <c r="C149" i="23"/>
  <c r="K79" i="23" l="1"/>
  <c r="L77" i="23"/>
  <c r="C210" i="23"/>
  <c r="C214" i="23"/>
  <c r="C215" i="23"/>
  <c r="C236" i="23"/>
  <c r="C171" i="23"/>
  <c r="C90" i="23"/>
  <c r="L79" i="23" l="1"/>
  <c r="M77" i="23"/>
  <c r="C177" i="23"/>
  <c r="C242" i="23"/>
  <c r="N77" i="23" l="1"/>
  <c r="M79" i="23"/>
  <c r="C180" i="23"/>
  <c r="C178" i="23"/>
  <c r="C243" i="23"/>
  <c r="N79" i="23" l="1"/>
  <c r="O77" i="23"/>
  <c r="D77" i="23"/>
  <c r="E77" i="23" s="1"/>
  <c r="F77" i="23" s="1"/>
  <c r="C79" i="23"/>
  <c r="C245" i="23"/>
  <c r="F79" i="23" l="1"/>
  <c r="G77" i="23"/>
  <c r="O79" i="23"/>
  <c r="P77" i="23"/>
  <c r="Q77" i="23" s="1"/>
  <c r="D79" i="23"/>
  <c r="E79" i="23"/>
  <c r="G79" i="23" l="1"/>
  <c r="H77" i="23"/>
  <c r="Q79" i="23"/>
  <c r="R77" i="23"/>
  <c r="P79" i="23"/>
  <c r="H79" i="23" l="1"/>
  <c r="I79" i="23"/>
  <c r="S77" i="23"/>
  <c r="R79" i="23"/>
  <c r="C88" i="23"/>
  <c r="T77" i="23" l="1"/>
  <c r="U77" i="23" s="1"/>
  <c r="S79" i="23"/>
  <c r="O225" i="23"/>
  <c r="T79" i="23" l="1"/>
  <c r="P225" i="23"/>
  <c r="U79" i="23" l="1"/>
  <c r="V77" i="23"/>
  <c r="R209" i="23"/>
  <c r="R215" i="23" s="1"/>
  <c r="R208" i="23"/>
  <c r="V79" i="23" l="1"/>
  <c r="W77" i="23"/>
  <c r="X77" i="23" s="1"/>
  <c r="R214" i="23"/>
  <c r="R210" i="23"/>
  <c r="X79" i="23" l="1"/>
  <c r="Y77" i="23"/>
  <c r="W79" i="23"/>
  <c r="Y79" i="23" l="1"/>
  <c r="Z77" i="23"/>
  <c r="Z79" i="23" l="1"/>
  <c r="AA77" i="23"/>
  <c r="AA79" i="23" l="1"/>
  <c r="AB77" i="23"/>
  <c r="AB79" i="23" l="1"/>
  <c r="AC77" i="23"/>
  <c r="AC79" i="23" l="1"/>
  <c r="AD77" i="23"/>
  <c r="AD79"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Crisil Integral IQ</author>
    <author>CRISIL GR&amp;RS</author>
  </authors>
  <commentList>
    <comment ref="B82" authorId="0" shapeId="0" xr:uid="{5E69D3D0-CF67-4A73-B9CF-20D6570F5346}">
      <text>
        <r>
          <rPr>
            <b/>
            <sz val="9"/>
            <color indexed="81"/>
            <rFont val="Tahoma"/>
            <family val="2"/>
          </rPr>
          <t>Crisil Integral IQ:</t>
        </r>
        <r>
          <rPr>
            <sz val="9"/>
            <color indexed="81"/>
            <rFont val="Tahoma"/>
            <family val="2"/>
          </rPr>
          <t xml:space="preserve">
Compania-Cervecerias-Unidas-SA-eeff-6K.pdf, PAGE NO 104/147</t>
        </r>
      </text>
    </comment>
    <comment ref="B94" authorId="0" shapeId="0" xr:uid="{6B59EBE5-0E82-4DE7-B560-01DE353BC5AA}">
      <text>
        <r>
          <rPr>
            <b/>
            <sz val="9"/>
            <color indexed="81"/>
            <rFont val="Tahoma"/>
            <family val="2"/>
          </rPr>
          <t>Crisil Integral IQ:</t>
        </r>
        <r>
          <rPr>
            <sz val="9"/>
            <color indexed="81"/>
            <rFont val="Tahoma"/>
            <family val="2"/>
          </rPr>
          <t xml:space="preserve">
Compania-Cervecerias-Unidas-SA-eeff-6K.pdf , PAGE NO 103/147</t>
        </r>
      </text>
    </comment>
    <comment ref="I121" authorId="0" shapeId="0" xr:uid="{2B569AAB-FE4B-48A3-B7EF-87DB57A4BE44}">
      <text>
        <r>
          <rPr>
            <b/>
            <sz val="9"/>
            <color indexed="81"/>
            <rFont val="Tahoma"/>
            <family val="2"/>
          </rPr>
          <t>Crisil Integral IQ:</t>
        </r>
        <r>
          <rPr>
            <sz val="9"/>
            <color indexed="81"/>
            <rFont val="Tahoma"/>
            <family val="2"/>
          </rPr>
          <t xml:space="preserve">
Press release, page no  12/13</t>
        </r>
      </text>
    </comment>
    <comment ref="C124" authorId="0" shapeId="0" xr:uid="{BA671ED0-CF75-4D2E-A501-2822E0D4A990}">
      <text>
        <r>
          <rPr>
            <b/>
            <sz val="9"/>
            <color indexed="81"/>
            <rFont val="Tahoma"/>
            <family val="2"/>
          </rPr>
          <t>Crisil Integral IQ:</t>
        </r>
        <r>
          <rPr>
            <sz val="9"/>
            <color indexed="81"/>
            <rFont val="Tahoma"/>
            <family val="2"/>
          </rPr>
          <t xml:space="preserve">
all the numbers taken from:  Compania-Cervecerias-Unidas-SA-eeff-6K -page no 57/147</t>
        </r>
      </text>
    </comment>
    <comment ref="B149" authorId="0" shapeId="0" xr:uid="{0F07A6A4-FFF8-4A7B-9329-A0F25E136D91}">
      <text>
        <r>
          <rPr>
            <b/>
            <sz val="9"/>
            <color indexed="81"/>
            <rFont val="Tahoma"/>
            <family val="2"/>
          </rPr>
          <t>Crisil Integral IQ:</t>
        </r>
        <r>
          <rPr>
            <sz val="9"/>
            <color indexed="81"/>
            <rFont val="Tahoma"/>
            <family val="2"/>
          </rPr>
          <t xml:space="preserve">
Compania-Cervecerias-Unidas-SA-eeff-6K.pdf , PAGE NO 104/147</t>
        </r>
      </text>
    </comment>
    <comment ref="B158" authorId="0" shapeId="0" xr:uid="{B33E4B0D-0FF2-4E83-9B19-C13F7E4C433D}">
      <text>
        <r>
          <rPr>
            <b/>
            <sz val="9"/>
            <color indexed="81"/>
            <rFont val="Tahoma"/>
            <family val="2"/>
          </rPr>
          <t>Crisil Integral IQ:</t>
        </r>
        <r>
          <rPr>
            <sz val="9"/>
            <color indexed="81"/>
            <rFont val="Tahoma"/>
            <family val="2"/>
          </rPr>
          <t xml:space="preserve">
Compania-Cervecerias-Unidas-SA-eeff-6K.pdf , PAGE NO 103/147</t>
        </r>
      </text>
    </comment>
    <comment ref="B199" authorId="0" shapeId="0" xr:uid="{A0529F37-4A68-4336-90A7-872619FC0EAA}">
      <text>
        <r>
          <rPr>
            <b/>
            <sz val="9"/>
            <color indexed="81"/>
            <rFont val="Tahoma"/>
            <family val="2"/>
          </rPr>
          <t>Crisil Integral IQ:</t>
        </r>
        <r>
          <rPr>
            <sz val="9"/>
            <color indexed="81"/>
            <rFont val="Tahoma"/>
            <family val="2"/>
          </rPr>
          <t xml:space="preserve">
Compania-Cervecerias-Unidas-SA-eeff-6K.pdf, PAGE NO 104/147</t>
        </r>
      </text>
    </comment>
    <comment ref="B211" authorId="0" shapeId="0" xr:uid="{BC22A19A-D588-4444-A232-FD5AB476BE93}">
      <text>
        <r>
          <rPr>
            <b/>
            <sz val="9"/>
            <color indexed="81"/>
            <rFont val="Tahoma"/>
            <family val="2"/>
          </rPr>
          <t>Crisil Integral IQ:</t>
        </r>
        <r>
          <rPr>
            <sz val="9"/>
            <color indexed="81"/>
            <rFont val="Tahoma"/>
            <family val="2"/>
          </rPr>
          <t xml:space="preserve">
Compania-Cervecerias-Unidas-SA-eeff-6K.pdf , PAGE NO 103/147</t>
        </r>
      </text>
    </comment>
    <comment ref="E790" authorId="1" shapeId="0" xr:uid="{0AD6AFCE-845B-4848-BD82-9E303EB670C9}">
      <text>
        <r>
          <rPr>
            <b/>
            <sz val="9"/>
            <color indexed="81"/>
            <rFont val="Tahoma"/>
            <family val="2"/>
          </rPr>
          <t>CRISIL GR&amp;RS:</t>
        </r>
        <r>
          <rPr>
            <sz val="9"/>
            <color indexed="81"/>
            <rFont val="Tahoma"/>
            <family val="2"/>
          </rPr>
          <t xml:space="preserve">
Hard coded as per reported total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PradeepG</author>
    <author>Crisil Integral IQ</author>
    <author>CRISIL</author>
    <author>Crisil GR&amp;RS</author>
    <author>GR&amp;RS</author>
  </authors>
  <commentList>
    <comment ref="B51" authorId="0" shapeId="0" xr:uid="{04D435F6-858E-45A8-BD65-6D234D15605D}">
      <text>
        <r>
          <rPr>
            <b/>
            <sz val="9"/>
            <color indexed="81"/>
            <rFont val="Tahoma"/>
            <family val="2"/>
          </rPr>
          <t>Crisil GR&amp;RS:</t>
        </r>
        <r>
          <rPr>
            <sz val="9"/>
            <color indexed="81"/>
            <rFont val="Tahoma"/>
            <family val="2"/>
          </rPr>
          <t xml:space="preserve">
ROADA, from the English “Operating Result Before Depreciation and Amortization”. For Management purposes, ROADA is defined as Adjusted Operating Result plus Depreciation and Amortization.</t>
        </r>
      </text>
    </comment>
    <comment ref="G51" authorId="0" shapeId="0" xr:uid="{25DB4E4A-07AD-4FEB-9463-FDD90C6B5B9C}">
      <text>
        <r>
          <rPr>
            <b/>
            <sz val="9"/>
            <color indexed="81"/>
            <rFont val="Tahoma"/>
            <family val="2"/>
          </rPr>
          <t>Crisil GR&amp;RS:</t>
        </r>
        <r>
          <rPr>
            <sz val="9"/>
            <color indexed="81"/>
            <rFont val="Tahoma"/>
            <family val="2"/>
          </rPr>
          <t xml:space="preserve">
ROADA, from the English “Operating Result Before Depreciation and Amortization”. For Management purposes, ROADA is defined as Adjusted Operating Result plus Depreciation and Amortization.</t>
        </r>
      </text>
    </comment>
    <comment ref="H51" authorId="1" shapeId="0" xr:uid="{31753A73-DD35-43F1-9462-4C0FA7346D7A}">
      <text>
        <r>
          <rPr>
            <b/>
            <sz val="9"/>
            <color indexed="81"/>
            <rFont val="Tahoma"/>
            <family val="2"/>
          </rPr>
          <t>Crisil Integral IQ:</t>
        </r>
        <r>
          <rPr>
            <sz val="9"/>
            <color indexed="81"/>
            <rFont val="Tahoma"/>
            <family val="2"/>
          </rPr>
          <t xml:space="preserve">
Crisil GR&amp;RS:
ROADA, from the English “Operating Result Before Depreciation and Amortization”. For Management purposes, ROADA is defined as Adjusted Operating Result plus Depreciation and Amortization.</t>
        </r>
      </text>
    </comment>
    <comment ref="B60" authorId="2" shapeId="0" xr:uid="{D2C34E3E-C890-4A55-8946-B21ADBC565DF}">
      <text>
        <r>
          <rPr>
            <b/>
            <sz val="9"/>
            <color indexed="81"/>
            <rFont val="Tahoma"/>
            <family val="2"/>
          </rPr>
          <t>CRISIL:</t>
        </r>
        <r>
          <rPr>
            <sz val="9"/>
            <color indexed="81"/>
            <rFont val="Tahoma"/>
            <family val="2"/>
          </rPr>
          <t xml:space="preserve">
Following line items are considered for direct cash flow approach- as suggested by Yejide. 
* Payments to suppliers for the supply of goods and services
* Proceeds from goods sold and services rendered / Payments of operating activities</t>
        </r>
      </text>
    </comment>
    <comment ref="H66" authorId="2" shapeId="0" xr:uid="{B11188A3-DC75-421D-AE39-5C3016A851D1}">
      <text>
        <r>
          <rPr>
            <b/>
            <sz val="9"/>
            <color indexed="81"/>
            <rFont val="Tahoma"/>
            <family val="2"/>
          </rPr>
          <t>CRISIL:</t>
        </r>
        <r>
          <rPr>
            <sz val="9"/>
            <color indexed="81"/>
            <rFont val="Tahoma"/>
            <family val="2"/>
          </rPr>
          <t xml:space="preserve">
Others payments to acquire interests in joint ventures</t>
        </r>
      </text>
    </comment>
    <comment ref="AC66" authorId="2" shapeId="0" xr:uid="{6E1DF2AB-FE9E-4A21-90ED-4666F1182D5B}">
      <text>
        <r>
          <rPr>
            <b/>
            <sz val="9"/>
            <color indexed="81"/>
            <rFont val="Tahoma"/>
            <family val="2"/>
          </rPr>
          <t>CRISIL:</t>
        </r>
        <r>
          <rPr>
            <sz val="9"/>
            <color indexed="81"/>
            <rFont val="Tahoma"/>
            <family val="2"/>
          </rPr>
          <t xml:space="preserve">
Others payments to acquire interests in joint ventures</t>
        </r>
      </text>
    </comment>
    <comment ref="H68" authorId="1" shapeId="0" xr:uid="{AF6AB7E1-768E-4A59-B1B9-55AB02EFE41D}">
      <text>
        <r>
          <rPr>
            <b/>
            <sz val="9"/>
            <color indexed="81"/>
            <rFont val="Tahoma"/>
            <family val="2"/>
          </rPr>
          <t>Crisil Integral IQ:</t>
        </r>
        <r>
          <rPr>
            <sz val="9"/>
            <color indexed="81"/>
            <rFont val="Tahoma"/>
            <family val="2"/>
          </rPr>
          <t xml:space="preserve">
FY inlcudes:
* Other cash movements : -324.907
* Repayment of loan by related entities : 966.365</t>
        </r>
      </text>
    </comment>
    <comment ref="AC68" authorId="2" shapeId="0" xr:uid="{CDAEF8B4-8BBB-48CB-941B-24726670AA49}">
      <text>
        <r>
          <rPr>
            <b/>
            <sz val="9"/>
            <color indexed="81"/>
            <rFont val="Tahoma"/>
            <family val="2"/>
          </rPr>
          <t>CRISIL:</t>
        </r>
        <r>
          <rPr>
            <sz val="9"/>
            <color indexed="81"/>
            <rFont val="Tahoma"/>
            <family val="2"/>
          </rPr>
          <t xml:space="preserve">
9M inlcudes:
* Repayment of loan by related entities : 964.809</t>
        </r>
      </text>
    </comment>
    <comment ref="AE68" authorId="1" shapeId="0" xr:uid="{30644E7B-B525-4422-8F0E-BE2AC691E7E1}">
      <text>
        <r>
          <rPr>
            <b/>
            <sz val="9"/>
            <color indexed="81"/>
            <rFont val="Tahoma"/>
            <charset val="1"/>
          </rPr>
          <t>Crisil Integral IQ:</t>
        </r>
        <r>
          <rPr>
            <sz val="9"/>
            <color indexed="81"/>
            <rFont val="Tahoma"/>
            <charset val="1"/>
          </rPr>
          <t xml:space="preserve">
3m inlcudes:
* Repayment of loan by related entities : 27,180</t>
        </r>
      </text>
    </comment>
    <comment ref="H72" authorId="1" shapeId="0" xr:uid="{823DE7FF-0189-4314-BC15-4119FBE4D997}">
      <text>
        <r>
          <rPr>
            <b/>
            <sz val="9"/>
            <color indexed="81"/>
            <rFont val="Tahoma"/>
            <family val="2"/>
          </rPr>
          <t>Crisil Integral IQ:</t>
        </r>
        <r>
          <rPr>
            <sz val="9"/>
            <color indexed="81"/>
            <rFont val="Tahoma"/>
            <family val="2"/>
          </rPr>
          <t xml:space="preserve">
FY inlcudes:
* Other cash movements : 3,637.150
</t>
        </r>
      </text>
    </comment>
    <comment ref="AC72" authorId="2" shapeId="0" xr:uid="{31E87471-C4A0-4B80-A6A5-6BDE95DF5154}">
      <text>
        <r>
          <rPr>
            <b/>
            <sz val="9"/>
            <color indexed="81"/>
            <rFont val="Tahoma"/>
            <family val="2"/>
          </rPr>
          <t>CRISIL:</t>
        </r>
        <r>
          <rPr>
            <sz val="9"/>
            <color indexed="81"/>
            <rFont val="Tahoma"/>
            <family val="2"/>
          </rPr>
          <t xml:space="preserve">
9M inlcudes:
* Other cash movements : 3,637.150 </t>
        </r>
      </text>
    </comment>
    <comment ref="AE72" authorId="1" shapeId="0" xr:uid="{9588B328-CE8E-415B-BE41-B5C6483A90BF}">
      <text>
        <r>
          <rPr>
            <b/>
            <sz val="9"/>
            <color indexed="81"/>
            <rFont val="Tahoma"/>
            <family val="2"/>
          </rPr>
          <t>Crisil Integral IQ:</t>
        </r>
        <r>
          <rPr>
            <sz val="9"/>
            <color indexed="81"/>
            <rFont val="Tahoma"/>
            <family val="2"/>
          </rPr>
          <t xml:space="preserve">
3M includes:
* Payments from changes in ownership interests in subsidiaries that do not result in loss of control (440,074)</t>
        </r>
      </text>
    </comment>
    <comment ref="C74" authorId="2" shapeId="0" xr:uid="{FBD30B41-6EEF-429B-BEB5-75D7AA04399B}">
      <text>
        <r>
          <rPr>
            <b/>
            <sz val="9"/>
            <color indexed="81"/>
            <rFont val="Tahoma"/>
            <family val="2"/>
          </rPr>
          <t>CRISIL:</t>
        </r>
        <r>
          <rPr>
            <sz val="9"/>
            <color indexed="81"/>
            <rFont val="Tahoma"/>
            <family val="2"/>
          </rPr>
          <t xml:space="preserve">
-The balancing figure is high due to direct cash flow method used by the company, with cash receipts used in OCF isntead of Adj. EBITDA
- Company also includes cash from other operations</t>
        </r>
      </text>
    </comment>
    <comment ref="D74" authorId="2" shapeId="0" xr:uid="{18B7CE3B-6284-403A-BADC-13A1E9017C0C}">
      <text>
        <r>
          <rPr>
            <b/>
            <sz val="9"/>
            <color indexed="81"/>
            <rFont val="Tahoma"/>
            <family val="2"/>
          </rPr>
          <t>CRISIL:</t>
        </r>
        <r>
          <rPr>
            <sz val="9"/>
            <color indexed="81"/>
            <rFont val="Tahoma"/>
            <family val="2"/>
          </rPr>
          <t xml:space="preserve">
-The balancing figure is high due to direct cash flow method used by the company, with cash receipts used in OCF isntead of Adj. EBITDA
- Company also includes cash from other operations</t>
        </r>
      </text>
    </comment>
    <comment ref="E74" authorId="2" shapeId="0" xr:uid="{A086A399-C29E-43ED-953E-5DA9A9E4D9B7}">
      <text>
        <r>
          <rPr>
            <b/>
            <sz val="9"/>
            <color indexed="81"/>
            <rFont val="Tahoma"/>
            <family val="2"/>
          </rPr>
          <t>CRISIL:</t>
        </r>
        <r>
          <rPr>
            <sz val="9"/>
            <color indexed="81"/>
            <rFont val="Tahoma"/>
            <family val="2"/>
          </rPr>
          <t xml:space="preserve">
-The balancing figure is high due to direct cash flow method used by the company, with cash receipts used in OCF isntead of Adj. EBITDA
- Company also includes cash from other operations</t>
        </r>
      </text>
    </comment>
    <comment ref="F74" authorId="2" shapeId="0" xr:uid="{CAAA2F43-B0FA-47E8-9052-165CB3828C09}">
      <text>
        <r>
          <rPr>
            <b/>
            <sz val="9"/>
            <color indexed="81"/>
            <rFont val="Tahoma"/>
            <family val="2"/>
          </rPr>
          <t>CRISIL:</t>
        </r>
        <r>
          <rPr>
            <sz val="9"/>
            <color indexed="81"/>
            <rFont val="Tahoma"/>
            <family val="2"/>
          </rPr>
          <t xml:space="preserve">
-The balancing figure is high due to direct cash flow method used by the company, with cash receipts used in OCF isntead of Adj. EBITDA
- Company also includes cash from other operations</t>
        </r>
      </text>
    </comment>
    <comment ref="G74" authorId="2" shapeId="0" xr:uid="{07842E8C-CD36-449A-87F6-A492FFFB7BD8}">
      <text>
        <r>
          <rPr>
            <b/>
            <sz val="9"/>
            <color indexed="81"/>
            <rFont val="Tahoma"/>
            <family val="2"/>
          </rPr>
          <t>CRISIL:</t>
        </r>
        <r>
          <rPr>
            <sz val="9"/>
            <color indexed="81"/>
            <rFont val="Tahoma"/>
            <family val="2"/>
          </rPr>
          <t xml:space="preserve">
-The balancing figure is high due to direct cash flow method used by the company, with cash receipts used in OCF isntead of Adj. EBITDA
- Company also includes cash from other operations</t>
        </r>
      </text>
    </comment>
    <comment ref="H74" authorId="2" shapeId="0" xr:uid="{45A95733-C96D-4934-9A34-40020544D087}">
      <text>
        <r>
          <rPr>
            <b/>
            <sz val="9"/>
            <color indexed="81"/>
            <rFont val="Tahoma"/>
            <family val="2"/>
          </rPr>
          <t>CRISIL:</t>
        </r>
        <r>
          <rPr>
            <sz val="9"/>
            <color indexed="81"/>
            <rFont val="Tahoma"/>
            <family val="2"/>
          </rPr>
          <t xml:space="preserve">
It is high as we have used EBITDA and direct cash receipts to calculate CFO while company is following direct cash flow approach. It is also includes other adjsutments in direct CF method, majorly:
* Others proceeds from operating activities: 55,409.302
* Collections from royalties, fees and commissions : 216.358
* Payments relating royaties, fees and commissions: (40,318.473)
* Payments of salaries: (420,467.573)
* Others payments for operating activities: (432,874.468)</t>
        </r>
      </text>
    </comment>
    <comment ref="K74" authorId="2" shapeId="0" xr:uid="{80C9B78B-0AC4-4193-B899-BED2716332A2}">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L74" authorId="2" shapeId="0" xr:uid="{81FDA303-DE5F-49E6-88E7-939072F42B6F}">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M74" authorId="2" shapeId="0" xr:uid="{D9745B73-17C5-4B3F-8442-57EAF4B130D6}">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N74" authorId="2" shapeId="0" xr:uid="{EB34CAA4-74BB-4C95-B618-1AA84E14EAD9}">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O74" authorId="2" shapeId="0" xr:uid="{38EE8DE9-51AD-4F22-ACD5-5DC001714350}">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P74" authorId="2" shapeId="0" xr:uid="{44EAF026-1B1C-4E5C-AE26-E5AB2D4A070B}">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Q74" authorId="2" shapeId="0" xr:uid="{11AEAAEA-DBC1-475C-9A3F-6126810C19B4}">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R74" authorId="2" shapeId="0" xr:uid="{C555FFD2-6427-4F5B-9EA9-B120B58AD1D4}">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S74" authorId="2" shapeId="0" xr:uid="{2C9408A6-81B7-468E-90F6-6489581D5C21}">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T74" authorId="2" shapeId="0" xr:uid="{DA088B30-38D1-48BC-9C3B-FD9187CA2126}">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U74" authorId="2" shapeId="0" xr:uid="{205372B7-8FFA-4DA2-862B-2BF84DD659D8}">
      <text>
        <r>
          <rPr>
            <b/>
            <sz val="9"/>
            <color indexed="81"/>
            <rFont val="Tahoma"/>
            <family val="2"/>
          </rPr>
          <t>CRISIL:</t>
        </r>
        <r>
          <rPr>
            <sz val="9"/>
            <color indexed="81"/>
            <rFont val="Tahoma"/>
            <family val="2"/>
          </rPr>
          <t xml:space="preserve">
-The balancing figure is high due to indirect cash flow used by the company, with cash receipts used as starting point for calculating OCF isntead of Adj. EBITDA
- Company also includes cash from other operations</t>
        </r>
      </text>
    </comment>
    <comment ref="V74" authorId="2" shapeId="0" xr:uid="{3FD96FE0-4F0C-402A-ABB5-642EA9DD7567}">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W74" authorId="2" shapeId="0" xr:uid="{DF757C38-078F-4125-88D5-A399C52AD7D1}">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X74" authorId="2" shapeId="0" xr:uid="{098D21E8-5B9B-4830-A4CD-1093E603BF24}">
      <text>
        <r>
          <rPr>
            <b/>
            <sz val="9"/>
            <color indexed="81"/>
            <rFont val="Tahoma"/>
            <family val="2"/>
          </rPr>
          <t>CRISIL:</t>
        </r>
        <r>
          <rPr>
            <sz val="9"/>
            <color indexed="81"/>
            <rFont val="Tahoma"/>
            <family val="2"/>
          </rPr>
          <t xml:space="preserve">
-The balancing figure is high due to indirect cash flow used by the company, with cash receipts used in OCF isntead of Adj. EBITDA
- Company also includes cash from other operations</t>
        </r>
      </text>
    </comment>
    <comment ref="Y74" authorId="2" shapeId="0" xr:uid="{32FBE051-DC19-48AB-AAE7-4CDFC2C41FDF}">
      <text>
        <r>
          <rPr>
            <b/>
            <sz val="9"/>
            <color indexed="81"/>
            <rFont val="Tahoma"/>
            <family val="2"/>
          </rPr>
          <t>CRISIL:</t>
        </r>
        <r>
          <rPr>
            <sz val="9"/>
            <color indexed="81"/>
            <rFont val="Tahoma"/>
            <family val="2"/>
          </rPr>
          <t xml:space="preserve">
-The balancing figure is high due to indirect cash flow used by the company, with cash receipts used as starting point for calculating OCF isntead of Adj. EBITDA
- Company also includes cash from other operations</t>
        </r>
      </text>
    </comment>
    <comment ref="Z74" authorId="2" shapeId="0" xr:uid="{7ECD6C21-FD78-419C-B47E-0ADFE07A1493}">
      <text>
        <r>
          <rPr>
            <b/>
            <sz val="9"/>
            <color indexed="81"/>
            <rFont val="Tahoma"/>
            <family val="2"/>
          </rPr>
          <t>CRISIL:</t>
        </r>
        <r>
          <rPr>
            <sz val="9"/>
            <color indexed="81"/>
            <rFont val="Tahoma"/>
            <family val="2"/>
          </rPr>
          <t xml:space="preserve">
-The balancing figure is high due to direct cash flow method used by the company, with cash receipts used in OCF isntead of Adj. EBITDA
- Company also includes cash from other operations</t>
        </r>
      </text>
    </comment>
    <comment ref="AA74" authorId="2" shapeId="0" xr:uid="{50A65F8D-8510-42BB-AABC-1027FE2B1A9B}">
      <text>
        <r>
          <rPr>
            <b/>
            <sz val="9"/>
            <color indexed="81"/>
            <rFont val="Tahoma"/>
            <family val="2"/>
          </rPr>
          <t>CRISIL:</t>
        </r>
        <r>
          <rPr>
            <sz val="9"/>
            <color indexed="81"/>
            <rFont val="Tahoma"/>
            <family val="2"/>
          </rPr>
          <t xml:space="preserve">
-The balancing figure is high due to direct cash flow method used by the company, with cash receipts used in OCF isntead of Adj. EBITDA
- Company also includes cash from other operations</t>
        </r>
      </text>
    </comment>
    <comment ref="AB74" authorId="2" shapeId="0" xr:uid="{673B7256-2D96-43F5-A59D-7CB0516EE04B}">
      <text>
        <r>
          <rPr>
            <b/>
            <sz val="9"/>
            <color indexed="81"/>
            <rFont val="Tahoma"/>
            <family val="2"/>
          </rPr>
          <t>CRISIL:</t>
        </r>
        <r>
          <rPr>
            <sz val="9"/>
            <color indexed="81"/>
            <rFont val="Tahoma"/>
            <family val="2"/>
          </rPr>
          <t xml:space="preserve">
-The balancing figure is high due to direct cash flow method used by the company, with cash receipts used in OCF isntead of Adj. EBITDA
- Company also includes cash from other operations</t>
        </r>
      </text>
    </comment>
    <comment ref="AC74" authorId="2" shapeId="0" xr:uid="{FACD6172-0942-4B0B-96F6-6427399E9FE6}">
      <text>
        <r>
          <rPr>
            <b/>
            <sz val="9"/>
            <color indexed="81"/>
            <rFont val="Tahoma"/>
            <family val="2"/>
          </rPr>
          <t>CRISIL:</t>
        </r>
        <r>
          <rPr>
            <sz val="9"/>
            <color indexed="81"/>
            <rFont val="Tahoma"/>
            <family val="2"/>
          </rPr>
          <t xml:space="preserve">
-The balancing figure is high due to direct cash flow method used by the company, with cash receipts used in OCF isntead of Adj. EBITDA
- Company also includes cash from other operations</t>
        </r>
      </text>
    </comment>
    <comment ref="AE74" authorId="2" shapeId="0" xr:uid="{EA47B967-3FCE-4A8C-B0A2-8D475D88404B}">
      <text>
        <r>
          <rPr>
            <b/>
            <sz val="9"/>
            <color indexed="81"/>
            <rFont val="Tahoma"/>
            <family val="2"/>
          </rPr>
          <t>CRISIL:</t>
        </r>
        <r>
          <rPr>
            <sz val="9"/>
            <color indexed="81"/>
            <rFont val="Tahoma"/>
            <family val="2"/>
          </rPr>
          <t xml:space="preserve">
It is high as we have used EBITDA and direct cash receipts to calculate CFO while company is following direct cash flow approach. It is also includes other adjsutments in direct CF method, majorly:
* Others proceeds from operating activities: 12,254.972
* Collections from royalties, fees and commissions : 91.261
* Payments relating royaties, fees and commissions: (9,759.825)
* Payments of salaries: (122,365.599)
* Others payments for operating activities: (136,336.566)</t>
        </r>
      </text>
    </comment>
    <comment ref="C77" authorId="0" shapeId="0" xr:uid="{8F4A9A77-EA42-4907-B56F-B2E141CBD653}">
      <text>
        <r>
          <rPr>
            <b/>
            <sz val="9"/>
            <color indexed="81"/>
            <rFont val="Tahoma"/>
            <family val="2"/>
          </rPr>
          <t>CRISIL GRA:</t>
        </r>
        <r>
          <rPr>
            <sz val="9"/>
            <color indexed="81"/>
            <rFont val="Tahoma"/>
            <family val="2"/>
          </rPr>
          <t xml:space="preserve">
Hardcoded opening cash balance of 2020</t>
        </r>
      </text>
    </comment>
    <comment ref="B94" authorId="3" shapeId="0" xr:uid="{22864618-3615-4D26-9341-9A372C16ACCB}">
      <text>
        <r>
          <rPr>
            <b/>
            <sz val="9"/>
            <color indexed="81"/>
            <rFont val="Tahoma"/>
            <family val="2"/>
          </rPr>
          <t>Crisil GR&amp;RS:</t>
        </r>
        <r>
          <rPr>
            <sz val="9"/>
            <color indexed="81"/>
            <rFont val="Tahoma"/>
            <family val="2"/>
          </rPr>
          <t xml:space="preserve">
Includes PPE, Right of use assets, and Investment property</t>
        </r>
      </text>
    </comment>
    <comment ref="B96" authorId="2" shapeId="0" xr:uid="{E12EBD42-4366-4569-861E-3A0A7848DB6A}">
      <text>
        <r>
          <rPr>
            <b/>
            <sz val="9"/>
            <color indexed="81"/>
            <rFont val="Tahoma"/>
            <family val="2"/>
          </rPr>
          <t>CRISIL:</t>
        </r>
        <r>
          <rPr>
            <sz val="9"/>
            <color indexed="81"/>
            <rFont val="Tahoma"/>
            <family val="2"/>
          </rPr>
          <t xml:space="preserve">
includes:
* Trade and other current receivables
* Accounts receivable from related parties</t>
        </r>
      </text>
    </comment>
    <comment ref="B97" authorId="2" shapeId="0" xr:uid="{F1E2BACF-2894-4A4F-9B9D-2488521286C8}">
      <text>
        <r>
          <rPr>
            <b/>
            <sz val="9"/>
            <color indexed="81"/>
            <rFont val="Tahoma"/>
            <family val="2"/>
          </rPr>
          <t>CRISIL:</t>
        </r>
        <r>
          <rPr>
            <sz val="9"/>
            <color indexed="81"/>
            <rFont val="Tahoma"/>
            <family val="2"/>
          </rPr>
          <t xml:space="preserve">
includes:
* Trade and other current payables
* Accounts payable to related parties </t>
        </r>
      </text>
    </comment>
    <comment ref="B105" authorId="2" shapeId="0" xr:uid="{A94F42CA-FDF6-494E-96B0-2E4C37A73FBC}">
      <text>
        <r>
          <rPr>
            <b/>
            <sz val="9"/>
            <color indexed="81"/>
            <rFont val="Tahoma"/>
            <family val="2"/>
          </rPr>
          <t>CRISIL:</t>
        </r>
        <r>
          <rPr>
            <sz val="9"/>
            <color indexed="81"/>
            <rFont val="Tahoma"/>
            <family val="2"/>
          </rPr>
          <t xml:space="preserve">
includes:
* bank borrowings
* bond payable</t>
        </r>
      </text>
    </comment>
    <comment ref="B119" authorId="4" shapeId="0" xr:uid="{00000000-0006-0000-0100-000002000000}">
      <text>
        <r>
          <rPr>
            <b/>
            <sz val="9"/>
            <color indexed="81"/>
            <rFont val="Tahoma"/>
            <family val="2"/>
          </rPr>
          <t>GR&amp;RS:</t>
        </r>
        <r>
          <rPr>
            <sz val="9"/>
            <color indexed="81"/>
            <rFont val="Tahoma"/>
            <family val="2"/>
          </rPr>
          <t xml:space="preserve">
Includes Short-term Bank Deposits and Short-term Investments</t>
        </r>
      </text>
    </comment>
    <comment ref="AA120" authorId="2" shapeId="0" xr:uid="{C48B1961-618F-4585-A247-43DFB2431CEA}">
      <text>
        <r>
          <rPr>
            <b/>
            <sz val="9"/>
            <color indexed="81"/>
            <rFont val="Tahoma"/>
            <family val="2"/>
          </rPr>
          <t>CRISIL:</t>
        </r>
        <r>
          <rPr>
            <sz val="9"/>
            <color indexed="81"/>
            <rFont val="Tahoma"/>
            <family val="2"/>
          </rPr>
          <t xml:space="preserve">
Differs from company reported net debt since company includes trade payables and security deposits as part of net debt</t>
        </r>
      </text>
    </comment>
    <comment ref="AE120" authorId="2" shapeId="0" xr:uid="{06F5DDB4-1700-4893-A481-2867B2B9E46D}">
      <text>
        <r>
          <rPr>
            <b/>
            <sz val="9"/>
            <color indexed="81"/>
            <rFont val="Tahoma"/>
            <family val="2"/>
          </rPr>
          <t>CRISIL:</t>
        </r>
        <r>
          <rPr>
            <sz val="9"/>
            <color indexed="81"/>
            <rFont val="Tahoma"/>
            <family val="2"/>
          </rPr>
          <t xml:space="preserve">
Differs from company reported net debt since company includes trade payables and security deposits as part of net debt</t>
        </r>
      </text>
    </comment>
    <comment ref="H122" authorId="1" shapeId="0" xr:uid="{DDC55D8A-7D95-4789-AEFD-0F0952A3AB81}">
      <text>
        <r>
          <rPr>
            <b/>
            <sz val="9"/>
            <color indexed="81"/>
            <rFont val="Tahoma"/>
            <family val="2"/>
          </rPr>
          <t>Crisil Integral IQ:</t>
        </r>
        <r>
          <rPr>
            <sz val="9"/>
            <color indexed="81"/>
            <rFont val="Tahoma"/>
            <family val="2"/>
          </rPr>
          <t xml:space="preserve">
Taken from Press release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Crisil Integral IQ</author>
    <author>CRISIL</author>
    <author>Vaishali Dhar</author>
  </authors>
  <commentList>
    <comment ref="H8" authorId="0" shapeId="0" xr:uid="{005FA9B1-23D6-4E10-9E10-D705F8A7AA48}">
      <text>
        <r>
          <rPr>
            <b/>
            <sz val="9"/>
            <color indexed="81"/>
            <rFont val="Tahoma"/>
            <family val="2"/>
          </rPr>
          <t>Crisil Integral IQ:</t>
        </r>
        <r>
          <rPr>
            <sz val="9"/>
            <color indexed="81"/>
            <rFont val="Tahoma"/>
            <family val="2"/>
          </rPr>
          <t xml:space="preserve">
Crisil Integral IQ:
Take from press release . Page no 11/13</t>
        </r>
      </text>
    </comment>
    <comment ref="AC8" authorId="1" shapeId="0" xr:uid="{526748FC-841E-49E1-8CA1-A09665B64AE7}">
      <text>
        <r>
          <rPr>
            <b/>
            <sz val="9"/>
            <color indexed="81"/>
            <rFont val="Tahoma"/>
            <family val="2"/>
          </rPr>
          <t>CRISIL:</t>
        </r>
        <r>
          <rPr>
            <sz val="9"/>
            <color indexed="81"/>
            <rFont val="Tahoma"/>
            <family val="2"/>
          </rPr>
          <t xml:space="preserve">
from PR</t>
        </r>
      </text>
    </comment>
    <comment ref="E11" authorId="2" shapeId="0" xr:uid="{63742337-D017-40B1-BAEA-F5389E1C70C0}">
      <text>
        <r>
          <rPr>
            <b/>
            <sz val="9"/>
            <color indexed="81"/>
            <rFont val="Tahoma"/>
            <family val="2"/>
          </rPr>
          <t>CRISIL:</t>
        </r>
        <r>
          <rPr>
            <sz val="9"/>
            <color indexed="81"/>
            <rFont val="Tahoma"/>
            <family val="2"/>
          </rPr>
          <t xml:space="preserve">
restated (change is after one decimal point)</t>
        </r>
      </text>
    </comment>
    <comment ref="H16" authorId="0" shapeId="0" xr:uid="{727E588F-7DF4-47D7-81F0-2DB52C992488}">
      <text>
        <r>
          <rPr>
            <b/>
            <sz val="9"/>
            <color indexed="81"/>
            <rFont val="Tahoma"/>
            <family val="2"/>
          </rPr>
          <t>Crisil Integral IQ:</t>
        </r>
        <r>
          <rPr>
            <sz val="9"/>
            <color indexed="81"/>
            <rFont val="Tahoma"/>
            <family val="2"/>
          </rPr>
          <t xml:space="preserve">
taken from Compania-Cervecerias-Unidas-SA-eeff-6K.pdf - page no 51/147</t>
        </r>
      </text>
    </comment>
    <comment ref="AC16" authorId="1" shapeId="0" xr:uid="{3F13FF2A-BAB6-4FFE-9DFC-F60CC38903BF}">
      <text>
        <r>
          <rPr>
            <b/>
            <sz val="9"/>
            <color indexed="81"/>
            <rFont val="Tahoma"/>
            <family val="2"/>
          </rPr>
          <t>CRISIL:</t>
        </r>
        <r>
          <rPr>
            <sz val="9"/>
            <color indexed="81"/>
            <rFont val="Tahoma"/>
            <family val="2"/>
          </rPr>
          <t xml:space="preserve">
from FS</t>
        </r>
      </text>
    </comment>
    <comment ref="H41" authorId="0" shapeId="0" xr:uid="{57E5E9E5-45A5-452D-A2D5-5E1B5192C964}">
      <text>
        <r>
          <rPr>
            <b/>
            <sz val="9"/>
            <color indexed="81"/>
            <rFont val="Tahoma"/>
            <family val="2"/>
          </rPr>
          <t>Crisil Integral IQ:</t>
        </r>
        <r>
          <rPr>
            <sz val="9"/>
            <color indexed="81"/>
            <rFont val="Tahoma"/>
            <family val="2"/>
          </rPr>
          <t xml:space="preserve">
taken from Compania-Cervecerias-Unidas-SA-eeff-6K.pdf - page no 51/147</t>
        </r>
      </text>
    </comment>
  </commentList>
</comments>
</file>

<file path=xl/sharedStrings.xml><?xml version="1.0" encoding="utf-8"?>
<sst xmlns="http://schemas.openxmlformats.org/spreadsheetml/2006/main" count="2254" uniqueCount="278">
  <si>
    <t>1Q26</t>
  </si>
  <si>
    <t>Exchange rate as at end</t>
  </si>
  <si>
    <t>LTM Average exchange rate</t>
  </si>
  <si>
    <t>Debt Breakdown as on 31-Mar-2026</t>
  </si>
  <si>
    <t>CLP millions</t>
  </si>
  <si>
    <t xml:space="preserve">Leverage </t>
  </si>
  <si>
    <t>USD mn</t>
  </si>
  <si>
    <t>Company Reported</t>
  </si>
  <si>
    <t>Total Financial Debt</t>
  </si>
  <si>
    <t>Included in non-current liabilities</t>
  </si>
  <si>
    <t>Net Financial Debt</t>
  </si>
  <si>
    <t>Bank borrowings</t>
  </si>
  <si>
    <t>Net Financial Debt / EBITDA</t>
  </si>
  <si>
    <t>1.69x</t>
  </si>
  <si>
    <t>Bonds payable</t>
  </si>
  <si>
    <t>Included in current liabilities</t>
  </si>
  <si>
    <t>Lease Obligations</t>
  </si>
  <si>
    <t>Short-term</t>
  </si>
  <si>
    <t>Long-term</t>
  </si>
  <si>
    <t>Total Loans &amp; Borrowings</t>
  </si>
  <si>
    <t>Cash and Cash Equivalents</t>
  </si>
  <si>
    <t>Net debt</t>
  </si>
  <si>
    <t>Equity</t>
  </si>
  <si>
    <t xml:space="preserve">Total Capitalisation </t>
  </si>
  <si>
    <t>LTM Adjusted EBITDA</t>
  </si>
  <si>
    <t>check</t>
  </si>
  <si>
    <t>Liquidity at 1Q26</t>
  </si>
  <si>
    <t>Total liquidity</t>
  </si>
  <si>
    <t>Debt Maturity</t>
  </si>
  <si>
    <t>1 year</t>
  </si>
  <si>
    <t>&gt;1-3 years</t>
  </si>
  <si>
    <t>&gt;3-5 years</t>
  </si>
  <si>
    <t>More than 5 years</t>
  </si>
  <si>
    <t>Total</t>
  </si>
  <si>
    <t>Bank Borrowings</t>
  </si>
  <si>
    <t>Company</t>
  </si>
  <si>
    <t>Creditor name</t>
  </si>
  <si>
    <t>Interest rate</t>
  </si>
  <si>
    <t>Current:</t>
  </si>
  <si>
    <t>Viña San Pedro Tarapacá S.A</t>
  </si>
  <si>
    <t>Banco Itaú</t>
  </si>
  <si>
    <t>Cervecería Kunstmann S.A.</t>
  </si>
  <si>
    <t>Banco del Estado de Chile</t>
  </si>
  <si>
    <t>Compañía Pisquera de Chile S.A.</t>
  </si>
  <si>
    <t>Aguas de Origen S.A.</t>
  </si>
  <si>
    <t>Banco BBVA</t>
  </si>
  <si>
    <t>Banco Patagonia</t>
  </si>
  <si>
    <t>Finca La Celia S.A.</t>
  </si>
  <si>
    <t>Banco Santander</t>
  </si>
  <si>
    <t>Banco Supervielle</t>
  </si>
  <si>
    <t>Banco Macro</t>
  </si>
  <si>
    <t>Banco Galicia</t>
  </si>
  <si>
    <t>Bebidas Bolivianas BBO S.A.</t>
  </si>
  <si>
    <t>Banco Mercantil Santa Cruz S.A.</t>
  </si>
  <si>
    <t>Check</t>
  </si>
  <si>
    <t>Non-current:</t>
  </si>
  <si>
    <t>Bond payable</t>
  </si>
  <si>
    <t>Compañía Cervecerías Unidas S.A.</t>
  </si>
  <si>
    <t>4Q25</t>
  </si>
  <si>
    <t>Debt Breakdown as on 31-Dec-2025</t>
  </si>
  <si>
    <t>Liquidity at FY25</t>
  </si>
  <si>
    <t>Compañía Cervecerías Unidas S.A</t>
  </si>
  <si>
    <t>Compañía Industrial Cervecera S.A.</t>
  </si>
  <si>
    <t>3Q25</t>
  </si>
  <si>
    <t>Exchange rate as at end 3Q25</t>
  </si>
  <si>
    <t>LTM Average exchange rate 3Q25</t>
  </si>
  <si>
    <t>Debt Breakdown as on 30-Sep-2025</t>
  </si>
  <si>
    <t>1.96x</t>
  </si>
  <si>
    <t>Liquidity at 3Q25</t>
  </si>
  <si>
    <t>Cervecera Guayacán SpA.</t>
  </si>
  <si>
    <t>Banco de Chile</t>
  </si>
  <si>
    <t>Viña San Pedro Tarapacá S.A.</t>
  </si>
  <si>
    <t>Banco BCI</t>
  </si>
  <si>
    <t>Banco Scotiabank Chile</t>
  </si>
  <si>
    <t>Banco Balanz</t>
  </si>
  <si>
    <t>2Q25</t>
  </si>
  <si>
    <t>Exchange rate as at end 2Q25</t>
  </si>
  <si>
    <t>LTM Average exchange rate 2Q25</t>
  </si>
  <si>
    <t>Debt Breakdown as on 30-Jun-2025</t>
  </si>
  <si>
    <t>Liquidity at 2Q25</t>
  </si>
  <si>
    <t>1Q25</t>
  </si>
  <si>
    <t>Exchange rate as at end 1Q25</t>
  </si>
  <si>
    <t>LTM Average exchange rate 1Q25</t>
  </si>
  <si>
    <t>Debt Breakdown as on 31-Mar-2025</t>
  </si>
  <si>
    <t>Liquidity at 1Q25</t>
  </si>
  <si>
    <t>D&amp;D SpA.</t>
  </si>
  <si>
    <t>Banco de Crédito e Inversiones</t>
  </si>
  <si>
    <t xml:space="preserve">Compañía Cervecerías Unidas S.A. </t>
  </si>
  <si>
    <t xml:space="preserve">Viña San Pedro Tarapacá S.A. </t>
  </si>
  <si>
    <t>FY24</t>
  </si>
  <si>
    <t>Exchange rate as at end FY23</t>
  </si>
  <si>
    <t>LTM Average exchange rate FY23</t>
  </si>
  <si>
    <t>Debt Breakdown as on 31-Dec-2024</t>
  </si>
  <si>
    <t>Liquidity at 4Q24</t>
  </si>
  <si>
    <t>Banco Citibank</t>
  </si>
  <si>
    <t>Aguas de Origen S.A</t>
  </si>
  <si>
    <t xml:space="preserve">Banco Macro </t>
  </si>
  <si>
    <t>Banco Mercantil Santa Cruz S.A</t>
  </si>
  <si>
    <t>5,65%</t>
  </si>
  <si>
    <t>Compañía Cervecerías Unidas S.A. (1)</t>
  </si>
  <si>
    <t>Viña San Pedro Tarapacá S.A. (2)</t>
  </si>
  <si>
    <t>3Q24</t>
  </si>
  <si>
    <t>Exchange rate as at end 3Q24</t>
  </si>
  <si>
    <t>LTM Average exchange rate 3Q24</t>
  </si>
  <si>
    <t>Debt Breakdown as on 30-Sep-2024</t>
  </si>
  <si>
    <t>Liquidity at 3Q24</t>
  </si>
  <si>
    <t>1-3 years</t>
  </si>
  <si>
    <t>3-5 years</t>
  </si>
  <si>
    <t>Banco Itaú Corpbanca</t>
  </si>
  <si>
    <t>Banco HSBC</t>
  </si>
  <si>
    <t>Banco ICBC</t>
  </si>
  <si>
    <t>2Q24</t>
  </si>
  <si>
    <t>Exchange rate as at end 2Q24</t>
  </si>
  <si>
    <t>LTM Average exchange rate 2Q24</t>
  </si>
  <si>
    <t>Debt Breakdown as on 30-Jun-2024</t>
  </si>
  <si>
    <t>Liquidity at 2Q24</t>
  </si>
  <si>
    <t>Banco Itau Corpbanca</t>
  </si>
  <si>
    <t>Scotiabank Chile</t>
  </si>
  <si>
    <t>Compañía Industrial Cervecera S.A</t>
  </si>
  <si>
    <t>Banco Patagona</t>
  </si>
  <si>
    <t>Banco San Juan</t>
  </si>
  <si>
    <t>1Q24</t>
  </si>
  <si>
    <t>Exchange rate as at end 1Q24</t>
  </si>
  <si>
    <t>LTM Average exchange rate 1Q24</t>
  </si>
  <si>
    <t>Debt Breakdown as on 31-Mar-2024</t>
  </si>
  <si>
    <t>Liquidity at 1Q24</t>
  </si>
  <si>
    <t>FY23</t>
  </si>
  <si>
    <t>Debt Breakdown as on 31-Dec-2023</t>
  </si>
  <si>
    <t>Liquidity at 4Q23</t>
  </si>
  <si>
    <t>BBVA</t>
  </si>
  <si>
    <t>Santander</t>
  </si>
  <si>
    <t>Citibank</t>
  </si>
  <si>
    <t>3Q23</t>
  </si>
  <si>
    <t>Exchange rate as at end 3Q23</t>
  </si>
  <si>
    <t>LTM Average exchange rate 3Q23</t>
  </si>
  <si>
    <t>Debt Breakdown as on 30-Sep-2023</t>
  </si>
  <si>
    <t>Liquidity at 3Q23</t>
  </si>
  <si>
    <t>Supervielle</t>
  </si>
  <si>
    <t>Annual</t>
  </si>
  <si>
    <t>LTM</t>
  </si>
  <si>
    <t xml:space="preserve">Quarters </t>
  </si>
  <si>
    <t>(CLP millions)</t>
  </si>
  <si>
    <t>Act</t>
  </si>
  <si>
    <t>FY</t>
  </si>
  <si>
    <t>1Q</t>
  </si>
  <si>
    <t>2Q</t>
  </si>
  <si>
    <t>3Q</t>
  </si>
  <si>
    <t>4Q</t>
  </si>
  <si>
    <t>INCOME STATEMENT</t>
  </si>
  <si>
    <t>Revenue</t>
  </si>
  <si>
    <t xml:space="preserve">% of growth </t>
  </si>
  <si>
    <t>Cost of sales</t>
  </si>
  <si>
    <t>Gross Profit</t>
  </si>
  <si>
    <t>Gross Profit margin</t>
  </si>
  <si>
    <t>Operating expenses:</t>
  </si>
  <si>
    <t>Other income</t>
  </si>
  <si>
    <t>Distribution costs</t>
  </si>
  <si>
    <t>Administrative expenses</t>
  </si>
  <si>
    <t>Other expenses by function</t>
  </si>
  <si>
    <t>Other gains (losses)</t>
  </si>
  <si>
    <t xml:space="preserve">Operating profit </t>
  </si>
  <si>
    <t>Finance income</t>
  </si>
  <si>
    <t>Finance exps</t>
  </si>
  <si>
    <t>Share of profit of equity-accounted investees</t>
  </si>
  <si>
    <t>Gains (losses) on exchange differences</t>
  </si>
  <si>
    <t>Result as per adjustment units</t>
  </si>
  <si>
    <t>Other expenses</t>
  </si>
  <si>
    <t>Profit before tax</t>
  </si>
  <si>
    <t>Income tax (expense)/benefit</t>
  </si>
  <si>
    <t>Net profit/loss</t>
  </si>
  <si>
    <t>% margin</t>
  </si>
  <si>
    <t>Non-controlling interest</t>
  </si>
  <si>
    <t>% of sales or stated otherwise</t>
  </si>
  <si>
    <t>Finance exps as % of debt</t>
  </si>
  <si>
    <t>Finance income as % of cash and cash equivalents</t>
  </si>
  <si>
    <t>Tax %  of PBT</t>
  </si>
  <si>
    <t>Working capital /sales</t>
  </si>
  <si>
    <t>Capex/sales</t>
  </si>
  <si>
    <t xml:space="preserve">EBITDA </t>
  </si>
  <si>
    <t>Depreciation, depletion &amp; amortization</t>
  </si>
  <si>
    <t xml:space="preserve">% growth </t>
  </si>
  <si>
    <t>Adjustment</t>
  </si>
  <si>
    <t xml:space="preserve">Adj. EBITDA </t>
  </si>
  <si>
    <t>Capex sales</t>
  </si>
  <si>
    <t xml:space="preserve">WC SALES </t>
  </si>
  <si>
    <t>CASH FLOW</t>
  </si>
  <si>
    <t>Working Capital</t>
  </si>
  <si>
    <t>Taxes</t>
  </si>
  <si>
    <t>Cash interest paid</t>
  </si>
  <si>
    <t xml:space="preserve">Net cash from operations </t>
  </si>
  <si>
    <t>Net Capex</t>
  </si>
  <si>
    <t>Purchase of intangible assets</t>
  </si>
  <si>
    <t>Disposals/ Acquistion, of subsidiaries, businesses</t>
  </si>
  <si>
    <t xml:space="preserve">Free cash flow </t>
  </si>
  <si>
    <t xml:space="preserve">Other Investing </t>
  </si>
  <si>
    <t>Equity Issuance</t>
  </si>
  <si>
    <t>Dividends</t>
  </si>
  <si>
    <t>Net Change in debt</t>
  </si>
  <si>
    <t>Other financing activities</t>
  </si>
  <si>
    <t>Cash flow after financing activities</t>
  </si>
  <si>
    <t>Balancing figure</t>
  </si>
  <si>
    <t xml:space="preserve">FX </t>
  </si>
  <si>
    <t xml:space="preserve">Net change in cash </t>
  </si>
  <si>
    <t>Cash and cash equivalents</t>
  </si>
  <si>
    <t>check 1</t>
  </si>
  <si>
    <t>check 2</t>
  </si>
  <si>
    <t xml:space="preserve">LTM </t>
  </si>
  <si>
    <t>EBITDA</t>
  </si>
  <si>
    <t>Adjusted EBITDA</t>
  </si>
  <si>
    <t>Net Income</t>
  </si>
  <si>
    <t>Capex</t>
  </si>
  <si>
    <t xml:space="preserve">BALANCE SHEET </t>
  </si>
  <si>
    <t>Tangible fixed assets</t>
  </si>
  <si>
    <t>Inventory</t>
  </si>
  <si>
    <t>Trade accounts receivable</t>
  </si>
  <si>
    <t>Trade accounts payable</t>
  </si>
  <si>
    <t>Net working capital</t>
  </si>
  <si>
    <t>% of revenues</t>
  </si>
  <si>
    <t>Inventory Days</t>
  </si>
  <si>
    <t>Receivable Days</t>
  </si>
  <si>
    <t>Payable Days</t>
  </si>
  <si>
    <t xml:space="preserve">Debt  Breakdown </t>
  </si>
  <si>
    <t>Short-term debt</t>
  </si>
  <si>
    <t>Long-term debt</t>
  </si>
  <si>
    <t>Total Debt</t>
  </si>
  <si>
    <t>Total Lease</t>
  </si>
  <si>
    <t>Debt  Including Lease obligations</t>
  </si>
  <si>
    <t>Total debt</t>
  </si>
  <si>
    <t xml:space="preserve">Net debt </t>
  </si>
  <si>
    <t>Company reported net debt</t>
  </si>
  <si>
    <t>Equity (as reported on balance sheet)</t>
  </si>
  <si>
    <t>Total debt + Equity</t>
  </si>
  <si>
    <t>CREDIT RATIOS</t>
  </si>
  <si>
    <t>Net Leverage excluding lease obligations</t>
  </si>
  <si>
    <t>Gross Leverage  excluding lease obligations</t>
  </si>
  <si>
    <t>Net Leverage including lease obligations</t>
  </si>
  <si>
    <t>Gross Leverage  including lease obligations</t>
  </si>
  <si>
    <t>Company reported net leverage</t>
  </si>
  <si>
    <t>EBITDA - Capex / Interest</t>
  </si>
  <si>
    <t>EBITDA/Interest</t>
  </si>
  <si>
    <t xml:space="preserve">Gearing (Net debt / Equity) </t>
  </si>
  <si>
    <t>Key  Credit Metrics (CLP millions)</t>
  </si>
  <si>
    <t xml:space="preserve">Revenues </t>
  </si>
  <si>
    <t>Adj. EBITDA</t>
  </si>
  <si>
    <t>Adj. EBITDA Margin</t>
  </si>
  <si>
    <t>Cash</t>
  </si>
  <si>
    <t>Net Debt</t>
  </si>
  <si>
    <t>Gross Leverage</t>
  </si>
  <si>
    <t xml:space="preserve">Net Leverage </t>
  </si>
  <si>
    <t>Summary Financials</t>
  </si>
  <si>
    <t>% growth</t>
  </si>
  <si>
    <t>FX rate average - CLP/USD</t>
  </si>
  <si>
    <t>FX rate  - CLP/USD (as at end of period)</t>
  </si>
  <si>
    <t>LTM - CLP/USD</t>
  </si>
  <si>
    <t>USD to CLP (EOP)</t>
  </si>
  <si>
    <t>Key  Credit Metrics (USD millions where applicable)</t>
  </si>
  <si>
    <t>(USD millions)</t>
  </si>
  <si>
    <t>Leases</t>
  </si>
  <si>
    <t>LTM EBITDA</t>
  </si>
  <si>
    <t>Profit (loss) for the year</t>
  </si>
  <si>
    <t>Financial income</t>
  </si>
  <si>
    <t>Financial costs</t>
  </si>
  <si>
    <t>Share in profit (loss) of associates and joint ventures accounted for using the equity method</t>
  </si>
  <si>
    <t>Foreign currency exchange gains (losses)</t>
  </si>
  <si>
    <t>Result by adjustment units</t>
  </si>
  <si>
    <t>Income taxes</t>
  </si>
  <si>
    <t>Adjusted operating result</t>
  </si>
  <si>
    <t>Depreciation and amortization</t>
  </si>
  <si>
    <t>ROADA</t>
  </si>
  <si>
    <t>Volume by segment</t>
  </si>
  <si>
    <t>Chile</t>
  </si>
  <si>
    <t>Interntional Business</t>
  </si>
  <si>
    <t>Wine</t>
  </si>
  <si>
    <t>Other/Eliminations</t>
  </si>
  <si>
    <t>Revenue by segment</t>
  </si>
  <si>
    <t>Revenue by segment (% Share)</t>
  </si>
  <si>
    <t>Revenue by segment (% YoY Growth)</t>
  </si>
  <si>
    <t>EBITDA by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</si>
</sst>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2">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 #,##0.00_ ;_ * \-#,##0.00_ ;_ * &quot;-&quot;??_ ;_ @_ "/>
    <numFmt numFmtId="165" formatCode="_-* #,##0.00_-;\-* #,##0.00_-;_-* &quot;-&quot;??_-;_-@_-"/>
    <numFmt numFmtId="166" formatCode="#,##0.0_);\(#,##0.0\)"/>
    <numFmt numFmtId="167" formatCode="#0.0%_);\(#0.0%\)"/>
    <numFmt numFmtId="168" formatCode="#0.00\x"/>
    <numFmt numFmtId="169" formatCode="mmm\ yyyy"/>
    <numFmt numFmtId="170" formatCode="0.0%"/>
    <numFmt numFmtId="171" formatCode="_(* #,##0.0_);_(* \(#,##0.0\);_(* &quot;-&quot;??_);_(@_)"/>
    <numFmt numFmtId="172" formatCode="_(* #,##0.000_);_(* \(#,##0.000\);_(* &quot;-&quot;??_);_(@_)"/>
    <numFmt numFmtId="173" formatCode="_(* #,##0_);_(* \(#,##0\);_(* &quot;-&quot;??_);_(@_)"/>
    <numFmt numFmtId="174" formatCode="#,##0.0\ ;\(#,##0.0\)"/>
    <numFmt numFmtId="175" formatCode="&quot;$&quot;#,##0.00_)&quot;per share&quot;;\(&quot;$&quot;#,##0.00\)&quot; per share&quot;"/>
    <numFmt numFmtId="176" formatCode="0.0_)\%;\(0.0\)\%;0.0_)\%;@_)_%"/>
    <numFmt numFmtId="177" formatCode="#,##0.0_)_%;\(#,##0.0\)_%;0.0_)_%;@_)_%"/>
    <numFmt numFmtId="178" formatCode="#,##0.0_);\(#,##0.0\);#,##0.0_);@_)"/>
    <numFmt numFmtId="179" formatCode="&quot;$&quot;_(#,##0.00_);&quot;$&quot;\(#,##0.00\);&quot;$&quot;_(0.00_);@_)"/>
    <numFmt numFmtId="180" formatCode="&quot;$&quot;_(#,##0.00_);&quot;$&quot;\(#,##0.00\)"/>
    <numFmt numFmtId="181" formatCode="#,##0.00_);\(#,##0.00\);0.00_);@_)"/>
    <numFmt numFmtId="182" formatCode="\€_(#,##0.00_);\€\(#,##0.00\);\€_(0.00_);@_)"/>
    <numFmt numFmtId="183" formatCode="#,##0_)\x;\(#,##0\)\x;0_)\x;@_)_x"/>
    <numFmt numFmtId="184" formatCode="#,##0.0_)\x;\(#,##0.0\)\x"/>
    <numFmt numFmtId="185" formatCode="#,##0_)_x;\(#,##0\)_x;0_)_x;@_)_x"/>
    <numFmt numFmtId="186" formatCode="#,##0.0_)_x;\(#,##0.0\)_x"/>
    <numFmt numFmtId="187" formatCode="0.0_)\%;\(0.0\)\%"/>
    <numFmt numFmtId="188" formatCode="#,##0.0_)_%;\(#,##0.0\)_%"/>
    <numFmt numFmtId="189" formatCode="_(\£* #,##0_);_(\£* \(#,##0\);_(\£* &quot;-&quot;_);_(@_)"/>
    <numFmt numFmtId="190" formatCode="_(\£* #,##0.0_);_(\£* \(#,##0.0\);_(\£* &quot;-&quot;_);_(@_)"/>
    <numFmt numFmtId="191" formatCode="_(\£* #,##0.00_);_(\£* \(#,##0.00\);_(\£* &quot;-&quot;_);_(@_)"/>
    <numFmt numFmtId="192" formatCode="_(* #,##0\p_);_(* \(#,##0\p\);_(* &quot;-&quot;\ \p_);_(@_)"/>
    <numFmt numFmtId="193" formatCode="_(* #,##0.00\p_);_(* \(#,##0.00\p\);_(* &quot;-&quot;\ \p_);_(@_)"/>
    <numFmt numFmtId="194" formatCode="\£#,##0.00"/>
    <numFmt numFmtId="195" formatCode="&quot;$&quot;&quot; &quot;#,##0_);\(&quot;$&quot;&quot; &quot;#,##0\);\-_)"/>
    <numFmt numFmtId="196" formatCode="#,##0_);\(#,##0\);\-_)"/>
    <numFmt numFmtId="197" formatCode="&quot;$&quot;#,##0_);[Red]\(&quot;$&quot;#,##0\);&quot;-&quot;"/>
    <numFmt numFmtId="198" formatCode="[Blue]0.0%;[Blue]\-0.0%"/>
    <numFmt numFmtId="199" formatCode="\£#,##0_);\(\£#,##0\)"/>
    <numFmt numFmtId="200" formatCode="&quot;fl&quot;#,##0_);\(&quot;fl&quot;#,##0\)"/>
    <numFmt numFmtId="201" formatCode="&quot;$&quot;\ #,##0_);\(&quot;$&quot;\ #,##0\)"/>
    <numFmt numFmtId="202" formatCode="_(&quot;R$&quot;* #,##0.00_);_(&quot;R$&quot;* \(#,##0.00\);_(&quot;R$&quot;* &quot;-&quot;??_);_(@_)"/>
    <numFmt numFmtId="203" formatCode="0.0\x;[Red]\(0.0\x\)"/>
    <numFmt numFmtId="204" formatCode="#,##0.0_);\(#,##0.0\);&quot;—&quot;_)"/>
    <numFmt numFmtId="205" formatCode="&quot;$&quot;#,##0.0_);\(&quot;$&quot;#,##0.0\);&quot;—&quot;_)"/>
    <numFmt numFmtId="206" formatCode="0.000000000%"/>
    <numFmt numFmtId="207" formatCode="#,##0.0000"/>
    <numFmt numFmtId="208" formatCode="mm/dd/yy"/>
    <numFmt numFmtId="209" formatCode="&quot;$&quot;#,##0.00"/>
    <numFmt numFmtId="210" formatCode="_([$€-2]* #,##0.00_);_([$€-2]* \(#,##0.00\);_([$€-2]* &quot;-&quot;??_)"/>
    <numFmt numFmtId="211" formatCode="#&quot; mon&quot;"/>
    <numFmt numFmtId="212" formatCode="#,##0\ &quot;F&quot;;[Red]\-#,##0\ &quot;F&quot;"/>
    <numFmt numFmtId="213" formatCode="#,##0.00\ &quot;F&quot;;[Red]\-#,##0.00\ &quot;F&quot;"/>
    <numFmt numFmtId="214" formatCode="#,##0.0\x_)_);\(#,##0.0\x\)_);#,##0.0\x_)_);@_%_)"/>
    <numFmt numFmtId="215" formatCode="_(* #,##0.00\ ___);_(* \(#,##0.00\ __\);_(* &quot;-&quot;??_);_(@_)"/>
    <numFmt numFmtId="216" formatCode="0%\);[Red]\(0%"/>
    <numFmt numFmtId="217" formatCode="_(* #,##0\ ___);_(* \(#,##0\ __\);_(* &quot;-&quot;??_);_(@_)"/>
    <numFmt numFmtId="218" formatCode="_(* #,##0\ \x_);_(* \(#,##0\ \x\);_(* &quot;-&quot;??_);_(@_)"/>
    <numFmt numFmtId="219" formatCode="0%_);[Red]\(0%\)"/>
    <numFmt numFmtId="220" formatCode="_(* #,##0.0\ ___);_(* \(#,##0.0\ __\);_(* &quot;-&quot;??_);_(@_)"/>
    <numFmt numFmtId="221" formatCode="_(* #,##0.0\ \x_);_(* \(#,##0.0\ \x\);_(* &quot;-&quot;??_);_(@_)"/>
    <numFmt numFmtId="222" formatCode="#,##0&quot; F&quot;_);\(#,##0&quot; F&quot;\)"/>
    <numFmt numFmtId="223" formatCode="_(* #,##0.00_);_(* \(\ #,##0.00\ \);_(* &quot;&quot;??_);_(\ @_ \)"/>
    <numFmt numFmtId="224" formatCode="0.00_)"/>
    <numFmt numFmtId="225" formatCode="_(* #,##0.0_);_(* \(#,##0.0\);_(* &quot;-&quot;?_);_(@_)"/>
    <numFmt numFmtId="226" formatCode="0.00%\ &quot;Ramped&quot;\ "/>
    <numFmt numFmtId="227" formatCode="0.00%\ &quot;Ramped&quot;"/>
    <numFmt numFmtId="228" formatCode="0.0000"/>
    <numFmt numFmtId="229" formatCode="0.000"/>
    <numFmt numFmtId="230" formatCode="&quot;Diversity =&quot;\ #.0"/>
    <numFmt numFmtId="231" formatCode="&quot;Ratings Factor =&quot;\ #"/>
    <numFmt numFmtId="232" formatCode="&quot;Page &quot;0"/>
    <numFmt numFmtId="233" formatCode="&quot;\&quot;#,##0.00;[Red]\-&quot;\&quot;#,##0.00"/>
    <numFmt numFmtId="234" formatCode="0.0_%"/>
    <numFmt numFmtId="235" formatCode="_(0.0%;_(* \(0.0\)%"/>
    <numFmt numFmtId="236" formatCode="_(* #,##0.0000_);_(* \(#,##0.0000\);_(* &quot;-&quot;??_);_(@_)"/>
    <numFmt numFmtId="237" formatCode="0&quot; bps&quot;"/>
    <numFmt numFmtId="238" formatCode="&quot;WAS =&quot;\ #.00"/>
    <numFmt numFmtId="239" formatCode="&quot;Avg. Px.=&quot;#.00"/>
    <numFmt numFmtId="240" formatCode="&quot;WAL=&quot;#.00"/>
    <numFmt numFmtId="241" formatCode="#.00\ &quot;years&quot;"/>
    <numFmt numFmtId="242" formatCode="&quot;2nd Lien=&quot;#"/>
    <numFmt numFmtId="243" formatCode="&quot;WAPP=&quot;#.00"/>
    <numFmt numFmtId="244" formatCode="&quot;WAS=&quot;#.00"/>
    <numFmt numFmtId="245" formatCode="&quot;WAC=&quot;#.00"/>
    <numFmt numFmtId="246" formatCode="&quot;$&quot;#,##0.0_);\(&quot;$&quot;#,##0.0\)"/>
    <numFmt numFmtId="247" formatCode="#,###,;\(#,###,\)"/>
    <numFmt numFmtId="248" formatCode="000\-00\-0000"/>
    <numFmt numFmtId="249" formatCode="&quot;$&quot;#,##0.0000"/>
    <numFmt numFmtId="250" formatCode="&quot;$&quot;#,##0.000000"/>
    <numFmt numFmtId="251" formatCode="&quot;$&quot;#,##0.000"/>
    <numFmt numFmtId="252" formatCode="000000000"/>
    <numFmt numFmtId="253" formatCode="000"/>
    <numFmt numFmtId="254" formatCode="hh:mm\ AM/PM_)"/>
    <numFmt numFmtId="255" formatCode="#.0&quot;x&quot;"/>
    <numFmt numFmtId="256" formatCode="yyyy"/>
    <numFmt numFmtId="257" formatCode="\¥#,##0_);\(\¥#,##0\)"/>
    <numFmt numFmtId="258" formatCode="#0.0\x"/>
    <numFmt numFmtId="259" formatCode="0.0\x"/>
    <numFmt numFmtId="260" formatCode="0.0"/>
    <numFmt numFmtId="261" formatCode="#,##0.000_);\(#,##0.000\)"/>
    <numFmt numFmtId="262" formatCode="#,##0.0"/>
    <numFmt numFmtId="263" formatCode="_ * #,##0.0_ ;_ * \-#,##0.0_ ;_ * &quot;-&quot;??_ ;_ @_ "/>
    <numFmt numFmtId="264" formatCode="_-* #,##0.00\ _$_-;\-* #,##0.00\ _$_-;_-* &quot;-&quot;??\ _$_-;_-@_-"/>
    <numFmt numFmtId="265" formatCode="0.0_);\(0.0\)"/>
    <numFmt numFmtId="266" formatCode="#,##0.0000_);\(#,##0.0000\)"/>
    <numFmt numFmtId="267" formatCode="_ * #,##0_ ;_ * \-#,##0_ ;_ * &quot;-&quot;??_ ;_ @_ "/>
  </numFmts>
  <fonts count="139">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indexed="12"/>
      <name val="Arial"/>
      <family val="2"/>
    </font>
    <font>
      <sz val="10"/>
      <color indexed="8"/>
      <name val="Arial"/>
      <family val="2"/>
    </font>
    <font>
      <b/>
      <sz val="10"/>
      <name val="Arial"/>
      <family val="2"/>
    </font>
    <font>
      <sz val="10"/>
      <name val="Arial"/>
      <family val="2"/>
    </font>
    <font>
      <b/>
      <i/>
      <sz val="9"/>
      <name val="Arial"/>
      <family val="2"/>
    </font>
    <font>
      <b/>
      <u val="singleAccounting"/>
      <sz val="8"/>
      <color indexed="8"/>
      <name val="Arial"/>
      <family val="2"/>
    </font>
    <font>
      <sz val="1"/>
      <color indexed="9"/>
      <name val="Symbol"/>
      <family val="1"/>
    </font>
    <font>
      <b/>
      <u val="singleAccounting"/>
      <sz val="8"/>
      <color indexed="8"/>
      <name val="Verdana"/>
      <family val="2"/>
    </font>
    <font>
      <b/>
      <sz val="10"/>
      <color indexed="9"/>
      <name val="Arial"/>
      <family val="2"/>
    </font>
    <font>
      <b/>
      <sz val="12"/>
      <color indexed="8"/>
      <name val="Verdana"/>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name val="Arial"/>
      <family val="2"/>
    </font>
    <font>
      <u val="singleAccounting"/>
      <sz val="10"/>
      <name val="Arial"/>
      <family val="2"/>
    </font>
    <font>
      <sz val="10"/>
      <name val="Times New Roman"/>
      <family val="1"/>
    </font>
    <font>
      <b/>
      <sz val="10"/>
      <name val="Times New Roman"/>
      <family val="1"/>
    </font>
    <font>
      <b/>
      <sz val="10"/>
      <color indexed="12"/>
      <name val="Times New Roman"/>
      <family val="1"/>
    </font>
    <font>
      <i/>
      <sz val="10"/>
      <name val="Times New Roman"/>
      <family val="1"/>
    </font>
    <font>
      <sz val="9"/>
      <name val="Arial"/>
      <family val="2"/>
    </font>
    <font>
      <sz val="8"/>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color indexed="8"/>
      <name val="Times New Roman"/>
      <family val="1"/>
    </font>
    <font>
      <sz val="8"/>
      <color indexed="14"/>
      <name val="Times New Roman"/>
      <family val="1"/>
    </font>
    <font>
      <sz val="10"/>
      <name val="Book Antiqua"/>
      <family val="1"/>
    </font>
    <font>
      <sz val="8"/>
      <name val="Times"/>
      <family val="1"/>
    </font>
    <font>
      <b/>
      <sz val="12"/>
      <name val="Times"/>
      <family val="1"/>
    </font>
    <font>
      <sz val="12"/>
      <name val="Arial"/>
      <family val="2"/>
    </font>
    <font>
      <sz val="10"/>
      <color indexed="8"/>
      <name val="Times New Roman"/>
      <family val="1"/>
    </font>
    <font>
      <sz val="8"/>
      <color indexed="12"/>
      <name val="Times"/>
      <family val="1"/>
    </font>
    <font>
      <sz val="8"/>
      <name val="Helv"/>
    </font>
    <font>
      <sz val="12"/>
      <name val="Times"/>
      <family val="1"/>
    </font>
    <font>
      <b/>
      <i/>
      <sz val="10"/>
      <name val="Arial"/>
      <family val="2"/>
    </font>
    <font>
      <b/>
      <i/>
      <sz val="12"/>
      <name val="Times New Roman"/>
      <family val="1"/>
    </font>
    <font>
      <b/>
      <u/>
      <sz val="8"/>
      <color indexed="8"/>
      <name val="Times New Roman"/>
      <family val="1"/>
    </font>
    <font>
      <b/>
      <sz val="9"/>
      <color indexed="8"/>
      <name val="Times New Roman"/>
      <family val="1"/>
    </font>
    <font>
      <i/>
      <sz val="8"/>
      <name val="Arial"/>
      <family val="2"/>
    </font>
    <font>
      <b/>
      <i/>
      <sz val="8"/>
      <name val="Arial"/>
      <family val="2"/>
    </font>
    <font>
      <b/>
      <sz val="8"/>
      <name val="Book Antiqua"/>
      <family val="1"/>
    </font>
    <font>
      <sz val="14"/>
      <name val="Arial"/>
      <family val="2"/>
    </font>
    <font>
      <sz val="8"/>
      <color indexed="12"/>
      <name val="Times New Roman"/>
      <family val="1"/>
    </font>
    <font>
      <b/>
      <sz val="14"/>
      <name val="Book Antiqua"/>
      <family val="1"/>
    </font>
    <font>
      <sz val="10"/>
      <name val="MS Serif"/>
      <family val="1"/>
    </font>
    <font>
      <sz val="10"/>
      <name val="MS Sans Serif"/>
      <family val="2"/>
    </font>
    <font>
      <sz val="12"/>
      <name val="Times New Roman"/>
      <family val="1"/>
    </font>
    <font>
      <u val="doubleAccounting"/>
      <sz val="10"/>
      <name val="Arial"/>
      <family val="2"/>
    </font>
    <font>
      <sz val="10"/>
      <color indexed="16"/>
      <name val="MS Serif"/>
      <family val="1"/>
    </font>
    <font>
      <b/>
      <i/>
      <sz val="9"/>
      <color indexed="4"/>
      <name val="Times New Roman"/>
      <family val="1"/>
    </font>
    <font>
      <sz val="7"/>
      <name val="Arial"/>
      <family val="2"/>
    </font>
    <font>
      <b/>
      <sz val="14"/>
      <name val="Arial"/>
      <family val="2"/>
    </font>
    <font>
      <u/>
      <sz val="8"/>
      <name val="Times New Roman"/>
      <family val="1"/>
    </font>
    <font>
      <b/>
      <sz val="12"/>
      <color indexed="9"/>
      <name val="Times"/>
      <family val="1"/>
    </font>
    <font>
      <b/>
      <i/>
      <sz val="18"/>
      <color indexed="4"/>
      <name val="Times New Roman"/>
      <family val="1"/>
    </font>
    <font>
      <b/>
      <sz val="12"/>
      <name val="Arial"/>
      <family val="2"/>
    </font>
    <font>
      <b/>
      <sz val="8"/>
      <name val="Palatino"/>
      <family val="1"/>
    </font>
    <font>
      <b/>
      <sz val="9"/>
      <name val="Arial"/>
      <family val="2"/>
    </font>
    <font>
      <b/>
      <sz val="8"/>
      <name val="MS Sans Serif"/>
      <family val="2"/>
    </font>
    <font>
      <b/>
      <i/>
      <sz val="10"/>
      <name val="Times New Roman"/>
      <family val="1"/>
    </font>
    <font>
      <b/>
      <sz val="10"/>
      <name val="Palatino"/>
      <family val="1"/>
    </font>
    <font>
      <sz val="8"/>
      <name val="Book Antiqua"/>
      <family val="1"/>
    </font>
    <font>
      <sz val="10"/>
      <name val="Geneva"/>
      <family val="2"/>
    </font>
    <font>
      <i/>
      <sz val="7"/>
      <name val="Book Antiqua"/>
      <family val="1"/>
    </font>
    <font>
      <sz val="8"/>
      <name val="Palatino"/>
      <family val="1"/>
    </font>
    <font>
      <b/>
      <i/>
      <sz val="16"/>
      <name val="Helv"/>
    </font>
    <font>
      <sz val="10"/>
      <color indexed="12"/>
      <name val="Times New Roman"/>
      <family val="1"/>
    </font>
    <font>
      <b/>
      <sz val="11"/>
      <name val="Times New Roman"/>
      <family val="1"/>
    </font>
    <font>
      <sz val="11"/>
      <name val="Times New Roman"/>
      <family val="1"/>
    </font>
    <font>
      <b/>
      <u/>
      <sz val="10"/>
      <color indexed="12"/>
      <name val="Times New Roman"/>
      <family val="1"/>
    </font>
    <font>
      <b/>
      <sz val="12"/>
      <name val="Times New Roman"/>
      <family val="1"/>
    </font>
    <font>
      <b/>
      <sz val="15"/>
      <name val="Times New Roman"/>
      <family val="1"/>
    </font>
    <font>
      <sz val="8"/>
      <color indexed="72"/>
      <name val="Arial"/>
      <family val="2"/>
    </font>
    <font>
      <sz val="11"/>
      <color indexed="8"/>
      <name val="Times New Roman"/>
      <family val="1"/>
    </font>
    <font>
      <b/>
      <i/>
      <sz val="11"/>
      <color indexed="8"/>
      <name val="Times New Roman"/>
      <family val="1"/>
    </font>
    <font>
      <b/>
      <sz val="11"/>
      <color indexed="16"/>
      <name val="Times New Roman"/>
      <family val="1"/>
    </font>
    <font>
      <u/>
      <sz val="8"/>
      <name val="Book Antiqua"/>
      <family val="1"/>
    </font>
    <font>
      <sz val="9"/>
      <name val="Times New Roman"/>
      <family val="1"/>
    </font>
    <font>
      <b/>
      <sz val="9"/>
      <name val="Times New Roman"/>
      <family val="1"/>
    </font>
    <font>
      <sz val="12"/>
      <name val="Arial MT"/>
    </font>
    <font>
      <b/>
      <sz val="10"/>
      <color indexed="8"/>
      <name val="Arial Narrow"/>
      <family val="2"/>
    </font>
    <font>
      <b/>
      <sz val="10"/>
      <name val="MS Sans Serif"/>
      <family val="2"/>
    </font>
    <font>
      <sz val="7"/>
      <color indexed="12"/>
      <name val="Arial"/>
      <family val="2"/>
    </font>
    <font>
      <sz val="8"/>
      <name val="Wingdings"/>
      <charset val="2"/>
    </font>
    <font>
      <sz val="9"/>
      <color indexed="8"/>
      <name val="Times New Roman"/>
      <family val="1"/>
    </font>
    <font>
      <sz val="8"/>
      <name val="MS Sans Serif"/>
      <family val="2"/>
    </font>
    <font>
      <b/>
      <sz val="8"/>
      <color indexed="10"/>
      <name val="Times New Roman"/>
      <family val="1"/>
    </font>
    <font>
      <b/>
      <sz val="8"/>
      <color indexed="8"/>
      <name val="Helv"/>
    </font>
    <font>
      <b/>
      <sz val="14"/>
      <color indexed="8"/>
      <name val="Times New Roman"/>
      <family val="1"/>
    </font>
    <font>
      <b/>
      <u/>
      <sz val="14"/>
      <name val="Book Antiqua"/>
      <family val="1"/>
    </font>
    <font>
      <b/>
      <sz val="10"/>
      <name val="Book Antiqua"/>
      <family val="1"/>
    </font>
    <font>
      <b/>
      <sz val="7"/>
      <name val="Arial"/>
      <family val="2"/>
    </font>
    <font>
      <b/>
      <sz val="7"/>
      <color indexed="12"/>
      <name val="Arial"/>
      <family val="2"/>
    </font>
    <font>
      <b/>
      <u/>
      <sz val="10"/>
      <name val="Book Antiqua"/>
      <family val="1"/>
    </font>
    <font>
      <b/>
      <sz val="8"/>
      <name val="Times New Roman"/>
      <family val="1"/>
    </font>
    <font>
      <b/>
      <sz val="11"/>
      <color indexed="9"/>
      <name val="Calibri"/>
      <family val="2"/>
    </font>
    <font>
      <sz val="10"/>
      <name val="Calibri"/>
      <family val="2"/>
      <scheme val="minor"/>
    </font>
    <font>
      <b/>
      <sz val="10"/>
      <color indexed="9"/>
      <name val="Calibri"/>
      <family val="2"/>
      <scheme val="minor"/>
    </font>
    <font>
      <b/>
      <sz val="10"/>
      <color indexed="12"/>
      <name val="Calibri"/>
      <family val="2"/>
      <scheme val="minor"/>
    </font>
    <font>
      <sz val="10"/>
      <color indexed="12"/>
      <name val="Calibri"/>
      <family val="2"/>
      <scheme val="minor"/>
    </font>
    <font>
      <b/>
      <sz val="10"/>
      <name val="Calibri"/>
      <family val="2"/>
      <scheme val="minor"/>
    </font>
    <font>
      <i/>
      <sz val="10"/>
      <name val="Calibri"/>
      <family val="2"/>
      <scheme val="minor"/>
    </font>
    <font>
      <i/>
      <sz val="10"/>
      <color indexed="8"/>
      <name val="Calibri"/>
      <family val="2"/>
      <scheme val="minor"/>
    </font>
    <font>
      <sz val="10"/>
      <color rgb="FFFF0000"/>
      <name val="Calibri"/>
      <family val="2"/>
      <scheme val="minor"/>
    </font>
    <font>
      <b/>
      <sz val="10"/>
      <color indexed="8"/>
      <name val="Calibri"/>
      <family val="2"/>
      <scheme val="minor"/>
    </font>
    <font>
      <i/>
      <sz val="10"/>
      <color rgb="FFFF0000"/>
      <name val="Calibri"/>
      <family val="2"/>
      <scheme val="minor"/>
    </font>
    <font>
      <sz val="10"/>
      <color rgb="FF0000FF"/>
      <name val="Calibri"/>
      <family val="2"/>
      <scheme val="minor"/>
    </font>
    <font>
      <i/>
      <sz val="8"/>
      <color rgb="FFFF0000"/>
      <name val="Calibri"/>
      <family val="2"/>
      <scheme val="minor"/>
    </font>
    <font>
      <b/>
      <sz val="10"/>
      <color theme="1"/>
      <name val="Calibri"/>
      <family val="2"/>
      <scheme val="minor"/>
    </font>
    <font>
      <b/>
      <u/>
      <sz val="16"/>
      <name val="Calibri"/>
      <family val="2"/>
      <scheme val="minor"/>
    </font>
    <font>
      <b/>
      <sz val="9"/>
      <color indexed="81"/>
      <name val="Tahoma"/>
      <family val="2"/>
    </font>
    <font>
      <sz val="9"/>
      <color indexed="81"/>
      <name val="Tahoma"/>
      <family val="2"/>
    </font>
    <font>
      <sz val="10"/>
      <color theme="1"/>
      <name val="Calibri"/>
      <family val="2"/>
      <scheme val="minor"/>
    </font>
    <font>
      <i/>
      <sz val="9"/>
      <color rgb="FFFF0000"/>
      <name val="Calibri"/>
      <family val="2"/>
      <scheme val="minor"/>
    </font>
    <font>
      <sz val="8"/>
      <name val="Calibri"/>
      <family val="2"/>
      <scheme val="minor"/>
    </font>
    <font>
      <b/>
      <sz val="10"/>
      <color rgb="FF0000FF"/>
      <name val="Calibri"/>
      <family val="2"/>
      <scheme val="minor"/>
    </font>
    <font>
      <i/>
      <sz val="8"/>
      <color rgb="FF0000FF"/>
      <name val="Calibri"/>
      <family val="2"/>
      <scheme val="minor"/>
    </font>
    <font>
      <sz val="11"/>
      <color rgb="FF0000FF"/>
      <name val="Calibri"/>
      <family val="2"/>
      <scheme val="minor"/>
    </font>
    <font>
      <b/>
      <sz val="10"/>
      <color rgb="FFFF0000"/>
      <name val="Calibri"/>
      <family val="2"/>
      <scheme val="minor"/>
    </font>
    <font>
      <sz val="11"/>
      <name val="Calibri"/>
      <family val="2"/>
      <scheme val="minor"/>
    </font>
    <font>
      <i/>
      <sz val="8"/>
      <name val="Calibri"/>
      <family val="2"/>
      <scheme val="minor"/>
    </font>
    <font>
      <i/>
      <sz val="10"/>
      <color theme="1"/>
      <name val="Calibri"/>
      <family val="2"/>
      <scheme val="minor"/>
    </font>
    <font>
      <b/>
      <sz val="11"/>
      <color theme="1"/>
      <name val="Calibri"/>
      <family val="2"/>
      <scheme val="minor"/>
    </font>
    <font>
      <sz val="9"/>
      <color indexed="81"/>
      <name val="Tahoma"/>
      <charset val="1"/>
    </font>
    <font>
      <b/>
      <sz val="9"/>
      <color indexed="81"/>
      <name val="Tahoma"/>
      <charset val="1"/>
    </font>
  </fonts>
  <fills count="31">
    <fill>
      <patternFill patternType="none"/>
    </fill>
    <fill>
      <patternFill patternType="gray125"/>
    </fill>
    <fill>
      <patternFill patternType="solid">
        <fgColor indexed="43"/>
      </patternFill>
    </fill>
    <fill>
      <patternFill patternType="solid">
        <fgColor indexed="44"/>
      </patternFill>
    </fill>
    <fill>
      <patternFill patternType="lightGray">
        <fgColor indexed="15"/>
      </patternFill>
    </fill>
    <fill>
      <patternFill patternType="solid">
        <fgColor indexed="60"/>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62"/>
        <bgColor indexed="64"/>
      </patternFill>
    </fill>
    <fill>
      <patternFill patternType="solid">
        <fgColor indexed="63"/>
        <bgColor indexed="64"/>
      </patternFill>
    </fill>
    <fill>
      <patternFill patternType="solid">
        <fgColor indexed="13"/>
        <bgColor indexed="64"/>
      </patternFill>
    </fill>
    <fill>
      <patternFill patternType="solid">
        <fgColor indexed="4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50"/>
        <bgColor indexed="64"/>
      </patternFill>
    </fill>
    <fill>
      <patternFill patternType="mediumGray">
        <fgColor indexed="22"/>
      </patternFill>
    </fill>
    <fill>
      <patternFill patternType="darkVertical"/>
    </fill>
    <fill>
      <patternFill patternType="solid">
        <fgColor indexed="56"/>
        <bgColor indexed="64"/>
      </patternFill>
    </fill>
    <fill>
      <patternFill patternType="solid">
        <fgColor indexed="15"/>
        <bgColor indexed="64"/>
      </patternFill>
    </fill>
    <fill>
      <patternFill patternType="lightGray">
        <fgColor indexed="13"/>
      </patternFill>
    </fill>
    <fill>
      <patternFill patternType="solid">
        <fgColor rgb="FF4F81BD"/>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DDEBF7"/>
        <bgColor indexed="64"/>
      </patternFill>
    </fill>
    <fill>
      <patternFill patternType="solid">
        <fgColor theme="9" tint="0.79998168889431442"/>
        <bgColor indexed="64"/>
      </patternFill>
    </fill>
    <fill>
      <patternFill patternType="solid">
        <fgColor theme="6" tint="0.79998168889431442"/>
        <bgColor indexed="64"/>
      </patternFill>
    </fill>
  </fills>
  <borders count="52">
    <border>
      <left/>
      <right/>
      <top/>
      <bottom/>
      <diagonal/>
    </border>
    <border>
      <left/>
      <right/>
      <top style="hair">
        <color indexed="8"/>
      </top>
      <bottom style="hair">
        <color indexed="8"/>
      </bottom>
      <diagonal/>
    </border>
    <border>
      <left/>
      <right/>
      <top/>
      <bottom style="medium">
        <color indexed="18"/>
      </bottom>
      <diagonal/>
    </border>
    <border>
      <left/>
      <right/>
      <top/>
      <bottom style="thin">
        <color indexed="64"/>
      </bottom>
      <diagonal/>
    </border>
    <border>
      <left/>
      <right/>
      <top style="thin">
        <color indexed="8"/>
      </top>
      <bottom/>
      <diagonal/>
    </border>
    <border>
      <left/>
      <right/>
      <top/>
      <bottom style="thin">
        <color indexed="8"/>
      </bottom>
      <diagonal/>
    </border>
    <border>
      <left/>
      <right/>
      <top style="double">
        <color indexed="64"/>
      </top>
      <bottom style="double">
        <color indexed="64"/>
      </bottom>
      <diagonal/>
    </border>
    <border>
      <left/>
      <right/>
      <top/>
      <bottom style="double">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45"/>
      </bottom>
      <diagonal/>
    </border>
    <border>
      <left style="thin">
        <color indexed="64"/>
      </left>
      <right style="thin">
        <color indexed="64"/>
      </right>
      <top/>
      <bottom/>
      <diagonal/>
    </border>
    <border>
      <left/>
      <right/>
      <top/>
      <bottom style="thin">
        <color indexed="45"/>
      </bottom>
      <diagonal/>
    </border>
    <border>
      <left/>
      <right/>
      <top style="medium">
        <color indexed="45"/>
      </top>
      <bottom/>
      <diagonal/>
    </border>
    <border>
      <left/>
      <right/>
      <top/>
      <bottom style="double">
        <color indexed="45"/>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right/>
      <top/>
      <bottom style="thin">
        <color indexed="9"/>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s>
  <cellStyleXfs count="1041">
    <xf numFmtId="0" fontId="0" fillId="0" borderId="0"/>
    <xf numFmtId="174" fontId="31" fillId="0" borderId="0"/>
    <xf numFmtId="0" fontId="32" fillId="0" borderId="0">
      <alignment horizontal="right"/>
    </xf>
    <xf numFmtId="0" fontId="11" fillId="0" borderId="0"/>
    <xf numFmtId="175" fontId="27" fillId="0" borderId="0" applyFont="0" applyFill="0" applyBorder="0" applyAlignment="0"/>
    <xf numFmtId="176" fontId="11" fillId="0" borderId="0" applyFont="0" applyFill="0" applyBorder="0" applyAlignment="0" applyProtection="0"/>
    <xf numFmtId="177" fontId="11" fillId="0" borderId="0" applyFont="0" applyFill="0" applyBorder="0" applyAlignment="0" applyProtection="0"/>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pplyNumberFormat="0" applyFill="0" applyBorder="0" applyAlignment="0" applyProtection="0">
      <alignment horizontal="left" wrapText="1"/>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1" fillId="0" borderId="0" applyNumberFormat="0" applyFill="0" applyBorder="0" applyAlignment="0" applyProtection="0">
      <alignment horizontal="left" wrapText="1"/>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vertical="top"/>
    </xf>
    <xf numFmtId="0" fontId="11" fillId="0" borderId="0" applyNumberFormat="0" applyFill="0" applyBorder="0" applyAlignment="0" applyProtection="0">
      <alignment horizontal="left" wrapText="1"/>
    </xf>
    <xf numFmtId="0" fontId="11" fillId="0" borderId="0">
      <alignment vertical="top"/>
    </xf>
    <xf numFmtId="178" fontId="11" fillId="0" borderId="0" applyFont="0" applyFill="0" applyBorder="0" applyAlignment="0" applyProtection="0"/>
    <xf numFmtId="166" fontId="11" fillId="0" borderId="0" applyFont="0" applyFill="0" applyBorder="0" applyAlignment="0" applyProtection="0"/>
    <xf numFmtId="179" fontId="11" fillId="0" borderId="0" applyFont="0" applyFill="0" applyBorder="0" applyAlignment="0" applyProtection="0"/>
    <xf numFmtId="180" fontId="11" fillId="0" borderId="0" applyFont="0" applyFill="0" applyBorder="0" applyAlignment="0" applyProtection="0"/>
    <xf numFmtId="181" fontId="11" fillId="0" borderId="0" applyFont="0" applyFill="0" applyBorder="0" applyAlignment="0" applyProtection="0"/>
    <xf numFmtId="39" fontId="11" fillId="0" borderId="0" applyFont="0" applyFill="0" applyBorder="0" applyAlignment="0" applyProtection="0"/>
    <xf numFmtId="182" fontId="11" fillId="0" borderId="0" applyFont="0" applyFill="0" applyBorder="0" applyAlignment="0" applyProtection="0"/>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33" fillId="0" borderId="0" applyNumberFormat="0" applyFill="0" applyBorder="0" applyAlignment="0" applyProtection="0"/>
    <xf numFmtId="0" fontId="33" fillId="0" borderId="0" applyNumberFormat="0" applyFill="0" applyBorder="0" applyAlignment="0" applyProtection="0"/>
    <xf numFmtId="0" fontId="11" fillId="2" borderId="0" applyNumberFormat="0" applyFont="0" applyAlignment="0" applyProtection="0"/>
    <xf numFmtId="0" fontId="11" fillId="0" borderId="0" applyFont="0" applyFill="0" applyBorder="0" applyAlignment="0" applyProtection="0"/>
    <xf numFmtId="183" fontId="11" fillId="0" borderId="0" applyFont="0" applyFill="0" applyBorder="0" applyAlignment="0" applyProtection="0"/>
    <xf numFmtId="184" fontId="11" fillId="0" borderId="0" applyFont="0" applyFill="0" applyBorder="0" applyAlignment="0" applyProtection="0"/>
    <xf numFmtId="185" fontId="11" fillId="0" borderId="0" applyFont="0" applyFill="0" applyBorder="0" applyProtection="0">
      <alignment horizontal="right"/>
    </xf>
    <xf numFmtId="186" fontId="11" fillId="0" borderId="0" applyFont="0" applyFill="0" applyBorder="0" applyAlignment="0" applyProtection="0"/>
    <xf numFmtId="0" fontId="11" fillId="0" borderId="0">
      <alignment horizontal="left" wrapText="1"/>
    </xf>
    <xf numFmtId="0" fontId="11" fillId="0" borderId="0">
      <alignment horizontal="left" wrapText="1"/>
    </xf>
    <xf numFmtId="187" fontId="11" fillId="0" borderId="0" applyFont="0" applyFill="0" applyBorder="0" applyAlignment="0" applyProtection="0"/>
    <xf numFmtId="188" fontId="11" fillId="0" borderId="0" applyFont="0" applyFill="0" applyBorder="0" applyAlignment="0" applyProtection="0"/>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11" fillId="0" borderId="0" applyFont="0" applyFill="0" applyBorder="0" applyAlignment="0" applyProtection="0"/>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1" fillId="0" borderId="0">
      <alignment horizontal="left" wrapText="1"/>
    </xf>
    <xf numFmtId="0" fontId="11" fillId="0" borderId="0">
      <alignment horizontal="left" wrapText="1"/>
    </xf>
    <xf numFmtId="0" fontId="11" fillId="0" borderId="0">
      <alignment horizontal="left" wrapText="1"/>
    </xf>
    <xf numFmtId="0" fontId="11" fillId="0" borderId="0">
      <alignment horizontal="left" wrapText="1"/>
    </xf>
    <xf numFmtId="0" fontId="34" fillId="0" borderId="0" applyNumberFormat="0" applyFill="0" applyBorder="0" applyProtection="0">
      <alignment vertical="top"/>
    </xf>
    <xf numFmtId="0" fontId="34" fillId="0" borderId="0" applyNumberFormat="0" applyFill="0" applyBorder="0" applyProtection="0">
      <alignment vertical="top"/>
    </xf>
    <xf numFmtId="0" fontId="35" fillId="0" borderId="1" applyNumberFormat="0" applyFill="0" applyAlignment="0" applyProtection="0"/>
    <xf numFmtId="0" fontId="36" fillId="0" borderId="2" applyNumberFormat="0" applyFill="0" applyProtection="0">
      <alignment horizontal="center"/>
    </xf>
    <xf numFmtId="0" fontId="36" fillId="0" borderId="0" applyNumberFormat="0" applyFill="0" applyBorder="0" applyProtection="0">
      <alignment horizontal="left"/>
    </xf>
    <xf numFmtId="0" fontId="37" fillId="0" borderId="0" applyNumberFormat="0" applyFill="0" applyBorder="0" applyProtection="0">
      <alignment horizontal="centerContinuous"/>
    </xf>
    <xf numFmtId="189" fontId="38" fillId="0" borderId="0" applyFont="0" applyFill="0" applyBorder="0" applyAlignment="0" applyProtection="0"/>
    <xf numFmtId="190" fontId="38" fillId="0" borderId="0" applyFont="0" applyFill="0" applyBorder="0" applyAlignment="0" applyProtection="0"/>
    <xf numFmtId="191" fontId="38" fillId="0" borderId="0" applyFont="0" applyFill="0" applyBorder="0" applyAlignment="0" applyProtection="0"/>
    <xf numFmtId="192" fontId="38" fillId="0" borderId="0" applyFont="0" applyFill="0" applyBorder="0" applyAlignment="0" applyProtection="0"/>
    <xf numFmtId="193" fontId="38" fillId="0" borderId="0" applyFont="0" applyFill="0" applyBorder="0" applyAlignment="0" applyProtection="0"/>
    <xf numFmtId="194" fontId="39" fillId="0" borderId="0" applyFont="0" applyFill="0" applyBorder="0" applyAlignment="0" applyProtection="0"/>
    <xf numFmtId="42" fontId="11" fillId="0" borderId="0" applyFont="0" applyFill="0" applyBorder="0" applyAlignment="0" applyProtection="0"/>
    <xf numFmtId="0" fontId="40" fillId="0" borderId="0" applyNumberFormat="0" applyFont="0" applyFill="0" applyBorder="0" applyProtection="0">
      <alignment horizontal="centerContinuous"/>
    </xf>
    <xf numFmtId="0" fontId="8" fillId="0" borderId="0" applyNumberFormat="0" applyFill="0" applyBorder="0" applyAlignment="0">
      <protection locked="0"/>
    </xf>
    <xf numFmtId="0" fontId="41" fillId="0" borderId="0"/>
    <xf numFmtId="0" fontId="42" fillId="0" borderId="0"/>
    <xf numFmtId="0" fontId="32" fillId="0" borderId="0">
      <alignment horizontal="center" wrapText="1"/>
      <protection locked="0"/>
    </xf>
    <xf numFmtId="0" fontId="11" fillId="0" borderId="0" applyNumberFormat="0" applyFill="0" applyBorder="0" applyAlignment="0" applyProtection="0"/>
    <xf numFmtId="0" fontId="43" fillId="0" borderId="0" applyNumberFormat="0" applyFill="0" applyBorder="0" applyAlignment="0" applyProtection="0"/>
    <xf numFmtId="0" fontId="27" fillId="3" borderId="0" applyNumberFormat="0" applyBorder="0" applyAlignment="0">
      <protection locked="0"/>
    </xf>
    <xf numFmtId="195" fontId="27" fillId="0" borderId="0" applyFont="0" applyFill="0" applyBorder="0" applyAlignment="0" applyProtection="0"/>
    <xf numFmtId="196" fontId="44" fillId="0" borderId="0" applyFont="0" applyFill="0" applyBorder="0" applyAlignment="0" applyProtection="0"/>
    <xf numFmtId="197" fontId="27" fillId="0" borderId="0" applyFont="0" applyFill="0" applyBorder="0" applyAlignment="0" applyProtection="0"/>
    <xf numFmtId="0" fontId="109" fillId="25" borderId="0"/>
    <xf numFmtId="0" fontId="45" fillId="0" borderId="0" applyNumberFormat="0" applyFill="0" applyBorder="0" applyAlignment="0" applyProtection="0"/>
    <xf numFmtId="198" fontId="46" fillId="0" borderId="0"/>
    <xf numFmtId="0" fontId="47" fillId="0" borderId="0" applyNumberFormat="0" applyFill="0" applyBorder="0" applyAlignment="0" applyProtection="0"/>
    <xf numFmtId="0" fontId="10" fillId="0" borderId="0"/>
    <xf numFmtId="0" fontId="48" fillId="0" borderId="0"/>
    <xf numFmtId="0" fontId="40" fillId="0" borderId="3" applyNumberFormat="0" applyFont="0" applyFill="0" applyAlignment="0" applyProtection="0"/>
    <xf numFmtId="0" fontId="49" fillId="0" borderId="4" applyFill="0" applyProtection="0">
      <alignment horizontal="right"/>
    </xf>
    <xf numFmtId="199" fontId="26" fillId="0" borderId="0" applyFont="0" applyFill="0" applyBorder="0" applyAlignment="0" applyProtection="0"/>
    <xf numFmtId="0" fontId="12" fillId="0" borderId="0" applyNumberFormat="0" applyFill="0" applyBorder="0" applyAlignment="0" applyProtection="0"/>
    <xf numFmtId="0" fontId="50" fillId="0" borderId="0"/>
    <xf numFmtId="0" fontId="31" fillId="0" borderId="0" applyFill="0" applyBorder="0" applyAlignment="0"/>
    <xf numFmtId="0" fontId="31" fillId="0" borderId="0" applyFill="0" applyBorder="0" applyAlignment="0"/>
    <xf numFmtId="200" fontId="31" fillId="0" borderId="0" applyFill="0" applyBorder="0" applyAlignment="0"/>
    <xf numFmtId="201" fontId="31" fillId="0" borderId="0" applyFill="0" applyBorder="0" applyAlignment="0"/>
    <xf numFmtId="202" fontId="11" fillId="0" borderId="0" applyFill="0" applyBorder="0" applyAlignment="0"/>
    <xf numFmtId="0" fontId="31" fillId="0" borderId="0" applyFill="0" applyBorder="0" applyAlignment="0"/>
    <xf numFmtId="0" fontId="31" fillId="0" borderId="0" applyFill="0" applyBorder="0" applyAlignment="0"/>
    <xf numFmtId="0" fontId="31" fillId="0" borderId="0" applyFill="0" applyBorder="0" applyAlignment="0"/>
    <xf numFmtId="39" fontId="32" fillId="4" borderId="0" applyNumberFormat="0" applyFont="0" applyBorder="0" applyAlignment="0"/>
    <xf numFmtId="0" fontId="51" fillId="0" borderId="0"/>
    <xf numFmtId="0" fontId="40" fillId="0" borderId="0" applyNumberFormat="0" applyFont="0" applyFill="0" applyBorder="0" applyProtection="0">
      <alignment horizontal="center"/>
    </xf>
    <xf numFmtId="49" fontId="25" fillId="0" borderId="0" applyFill="0" applyBorder="0" applyProtection="0">
      <alignment horizontal="center"/>
    </xf>
    <xf numFmtId="49" fontId="52" fillId="0" borderId="0" applyFill="0" applyBorder="0" applyProtection="0">
      <alignment horizontal="center"/>
    </xf>
    <xf numFmtId="8" fontId="11" fillId="0" borderId="5" applyFont="0" applyFill="0" applyBorder="0" applyProtection="0">
      <alignment horizontal="right"/>
    </xf>
    <xf numFmtId="0" fontId="9" fillId="0" borderId="0"/>
    <xf numFmtId="0" fontId="7" fillId="0" borderId="0" applyNumberFormat="0" applyFill="0" applyBorder="0" applyAlignment="0" applyProtection="0"/>
    <xf numFmtId="0" fontId="53" fillId="0" borderId="0" applyNumberFormat="0" applyFill="0" applyBorder="0" applyAlignment="0" applyProtection="0"/>
    <xf numFmtId="0" fontId="7" fillId="0" borderId="0" applyNumberFormat="0" applyFill="0" applyBorder="0" applyAlignment="0" applyProtection="0"/>
    <xf numFmtId="0" fontId="54" fillId="0" borderId="3" applyNumberFormat="0" applyFill="0" applyBorder="0" applyAlignment="0" applyProtection="0">
      <alignment horizontal="center"/>
    </xf>
    <xf numFmtId="0" fontId="13" fillId="5" borderId="0"/>
    <xf numFmtId="203" fontId="11" fillId="0" borderId="0"/>
    <xf numFmtId="203" fontId="11" fillId="0" borderId="0"/>
    <xf numFmtId="203" fontId="11" fillId="0" borderId="0"/>
    <xf numFmtId="203" fontId="11" fillId="0" borderId="0"/>
    <xf numFmtId="203" fontId="11" fillId="0" borderId="0"/>
    <xf numFmtId="203" fontId="11" fillId="0" borderId="0"/>
    <xf numFmtId="203" fontId="11" fillId="0" borderId="0"/>
    <xf numFmtId="203" fontId="11" fillId="0" borderId="0"/>
    <xf numFmtId="204" fontId="55" fillId="0" borderId="0"/>
    <xf numFmtId="0" fontId="31" fillId="0" borderId="0" applyFont="0" applyFill="0" applyBorder="0" applyAlignment="0" applyProtection="0"/>
    <xf numFmtId="171" fontId="56" fillId="0" borderId="0" applyFont="0" applyFill="0" applyBorder="0" applyAlignment="0" applyProtection="0"/>
    <xf numFmtId="40" fontId="11" fillId="0" borderId="0" applyFont="0" applyFill="0" applyBorder="0" applyProtection="0">
      <alignment horizontal="right"/>
    </xf>
    <xf numFmtId="3" fontId="11" fillId="0" borderId="0" applyFill="0" applyBorder="0" applyAlignment="0" applyProtection="0"/>
    <xf numFmtId="3" fontId="7" fillId="0" borderId="0" applyFont="0" applyFill="0" applyBorder="0" applyAlignment="0" applyProtection="0"/>
    <xf numFmtId="3" fontId="25" fillId="0" borderId="0" applyFill="0" applyBorder="0" applyAlignment="0" applyProtection="0"/>
    <xf numFmtId="38" fontId="57" fillId="0" borderId="0" applyNumberFormat="0" applyFill="0" applyBorder="0">
      <alignment vertical="center"/>
    </xf>
    <xf numFmtId="0" fontId="58" fillId="0" borderId="0" applyNumberFormat="0" applyAlignment="0">
      <alignment horizontal="left"/>
    </xf>
    <xf numFmtId="7" fontId="11" fillId="0" borderId="0" applyFont="0" applyFill="0" applyBorder="0" applyAlignment="0" applyProtection="0"/>
    <xf numFmtId="205" fontId="55" fillId="0" borderId="0"/>
    <xf numFmtId="0" fontId="31" fillId="0" borderId="0" applyFont="0" applyFill="0" applyBorder="0" applyAlignment="0" applyProtection="0"/>
    <xf numFmtId="206" fontId="27" fillId="0" borderId="0" applyFont="0" applyFill="0" applyBorder="0" applyAlignment="0" applyProtection="0"/>
    <xf numFmtId="8" fontId="40" fillId="0" borderId="0" applyBorder="0"/>
    <xf numFmtId="207" fontId="11" fillId="0" borderId="0" applyNumberFormat="0">
      <alignment horizontal="right"/>
    </xf>
    <xf numFmtId="15" fontId="11" fillId="0" borderId="0" applyFont="0" applyFill="0" applyBorder="0" applyProtection="0">
      <alignment horizontal="right"/>
    </xf>
    <xf numFmtId="14" fontId="9" fillId="0" borderId="0" applyFill="0" applyBorder="0" applyAlignment="0"/>
    <xf numFmtId="15" fontId="11" fillId="0" borderId="0" applyFont="0" applyFill="0" applyBorder="0" applyProtection="0">
      <alignment horizontal="right"/>
    </xf>
    <xf numFmtId="208" fontId="25" fillId="0" borderId="0" applyFill="0" applyBorder="0" applyProtection="0">
      <alignment horizontal="left"/>
    </xf>
    <xf numFmtId="0" fontId="11" fillId="0" borderId="0">
      <alignment horizontal="left"/>
    </xf>
    <xf numFmtId="38" fontId="59" fillId="0" borderId="6">
      <alignment vertical="center"/>
    </xf>
    <xf numFmtId="209" fontId="39" fillId="0" borderId="0" applyFont="0" applyFill="0" applyBorder="0" applyAlignment="0" applyProtection="0"/>
    <xf numFmtId="4" fontId="60" fillId="0" borderId="0" applyFont="0" applyFill="0" applyBorder="0" applyAlignment="0" applyProtection="0"/>
    <xf numFmtId="0" fontId="39" fillId="0" borderId="0" applyFont="0" applyFill="0" applyBorder="0" applyAlignment="0" applyProtection="0"/>
    <xf numFmtId="0" fontId="40" fillId="0" borderId="7" applyNumberFormat="0" applyFont="0" applyFill="0" applyAlignment="0" applyProtection="0"/>
    <xf numFmtId="42" fontId="61" fillId="0" borderId="0" applyFill="0" applyBorder="0" applyAlignment="0" applyProtection="0"/>
    <xf numFmtId="0" fontId="31" fillId="0" borderId="0" applyFill="0" applyBorder="0" applyAlignment="0"/>
    <xf numFmtId="0" fontId="31" fillId="0" borderId="0" applyFill="0" applyBorder="0" applyAlignment="0"/>
    <xf numFmtId="0" fontId="31" fillId="0" borderId="0" applyFill="0" applyBorder="0" applyAlignment="0"/>
    <xf numFmtId="0" fontId="31" fillId="0" borderId="0" applyFill="0" applyBorder="0" applyAlignment="0"/>
    <xf numFmtId="0" fontId="31" fillId="0" borderId="0" applyFill="0" applyBorder="0" applyAlignment="0"/>
    <xf numFmtId="0" fontId="62" fillId="0" borderId="0" applyNumberFormat="0" applyAlignment="0">
      <alignment horizontal="left"/>
    </xf>
    <xf numFmtId="210" fontId="11" fillId="0" borderId="0" applyFont="0" applyFill="0" applyBorder="0" applyAlignment="0" applyProtection="0"/>
    <xf numFmtId="170" fontId="40" fillId="0" borderId="0" applyNumberFormat="0" applyFont="0" applyAlignment="0">
      <alignment vertical="center"/>
    </xf>
    <xf numFmtId="0" fontId="63" fillId="0" borderId="0">
      <alignment horizontal="center"/>
    </xf>
    <xf numFmtId="0" fontId="64" fillId="0" borderId="0" applyNumberFormat="0" applyFill="0" applyBorder="0" applyAlignment="0" applyProtection="0"/>
    <xf numFmtId="38" fontId="7" fillId="6" borderId="0" applyNumberFormat="0" applyBorder="0" applyAlignment="0" applyProtection="0"/>
    <xf numFmtId="0" fontId="10" fillId="7" borderId="8" applyAlignment="0" applyProtection="0"/>
    <xf numFmtId="0" fontId="65" fillId="0" borderId="3" applyFill="0" applyProtection="0">
      <alignment horizontal="centerContinuous"/>
    </xf>
    <xf numFmtId="41" fontId="66" fillId="0" borderId="0">
      <alignment horizontal="center"/>
    </xf>
    <xf numFmtId="0" fontId="11" fillId="0" borderId="0">
      <alignment horizontal="center"/>
    </xf>
    <xf numFmtId="0" fontId="11" fillId="0" borderId="0">
      <alignment horizontal="left"/>
    </xf>
    <xf numFmtId="0" fontId="11" fillId="0" borderId="0">
      <alignment horizontal="right"/>
    </xf>
    <xf numFmtId="0" fontId="67" fillId="8" borderId="0"/>
    <xf numFmtId="0" fontId="68" fillId="0" borderId="0">
      <alignment horizontal="center" vertical="center"/>
    </xf>
    <xf numFmtId="0" fontId="69" fillId="0" borderId="9" applyNumberFormat="0" applyAlignment="0" applyProtection="0">
      <alignment horizontal="left" vertical="center"/>
    </xf>
    <xf numFmtId="0" fontId="69" fillId="0" borderId="8">
      <alignment horizontal="left" vertical="center"/>
    </xf>
    <xf numFmtId="0" fontId="70" fillId="0" borderId="0">
      <alignment horizontal="center"/>
    </xf>
    <xf numFmtId="0" fontId="71" fillId="0" borderId="0" applyFill="0" applyBorder="0" applyProtection="0">
      <alignment horizontal="right"/>
    </xf>
    <xf numFmtId="0" fontId="72" fillId="0" borderId="10">
      <alignment horizontal="center"/>
    </xf>
    <xf numFmtId="0" fontId="72" fillId="0" borderId="0">
      <alignment horizontal="center"/>
    </xf>
    <xf numFmtId="10" fontId="45" fillId="0" borderId="0" applyNumberFormat="0" applyFill="0" applyBorder="0" applyAlignment="0" applyProtection="0">
      <alignment horizontal="right"/>
    </xf>
    <xf numFmtId="10" fontId="7" fillId="9" borderId="11" applyNumberFormat="0" applyBorder="0" applyAlignment="0" applyProtection="0"/>
    <xf numFmtId="0" fontId="14" fillId="0" borderId="0"/>
    <xf numFmtId="0" fontId="73" fillId="0" borderId="0"/>
    <xf numFmtId="0" fontId="7" fillId="0" borderId="0" applyNumberFormat="0" applyFill="0" applyBorder="0" applyAlignment="0" applyProtection="0"/>
    <xf numFmtId="0" fontId="25" fillId="0" borderId="0" applyNumberFormat="0" applyFill="0" applyBorder="0" applyAlignment="0" applyProtection="0"/>
    <xf numFmtId="0" fontId="7" fillId="0" borderId="0" applyNumberFormat="0" applyFill="0" applyBorder="0" applyAlignment="0" applyProtection="0"/>
    <xf numFmtId="49" fontId="7" fillId="0" borderId="0" applyFont="0" applyFill="0" applyBorder="0" applyProtection="0">
      <alignment horizontal="left"/>
    </xf>
    <xf numFmtId="49" fontId="25" fillId="0" borderId="0" applyFill="0" applyBorder="0" applyProtection="0">
      <alignment horizontal="left"/>
    </xf>
    <xf numFmtId="49" fontId="25" fillId="0" borderId="3" applyFill="0" applyProtection="0">
      <alignment horizontal="left"/>
    </xf>
    <xf numFmtId="49" fontId="25" fillId="0" borderId="12" applyFill="0" applyProtection="0">
      <alignment horizontal="left"/>
    </xf>
    <xf numFmtId="0" fontId="74" fillId="0" borderId="0"/>
    <xf numFmtId="0" fontId="31" fillId="0" borderId="0" applyFill="0" applyBorder="0" applyAlignment="0"/>
    <xf numFmtId="0" fontId="31" fillId="0" borderId="0" applyFill="0" applyBorder="0" applyAlignment="0"/>
    <xf numFmtId="0" fontId="31" fillId="0" borderId="0" applyFill="0" applyBorder="0" applyAlignment="0"/>
    <xf numFmtId="0" fontId="31" fillId="0" borderId="0" applyFill="0" applyBorder="0" applyAlignment="0"/>
    <xf numFmtId="0" fontId="31" fillId="0" borderId="0" applyFill="0" applyBorder="0" applyAlignment="0"/>
    <xf numFmtId="166" fontId="11" fillId="0" borderId="0" applyNumberFormat="0" applyFont="0" applyFill="0" applyBorder="0" applyAlignment="0"/>
    <xf numFmtId="17" fontId="27" fillId="0" borderId="0"/>
    <xf numFmtId="0" fontId="32" fillId="0" borderId="0" applyNumberFormat="0" applyFill="0" applyBorder="0" applyProtection="0"/>
    <xf numFmtId="0" fontId="27" fillId="0" borderId="0" applyNumberFormat="0" applyFill="0" applyBorder="0" applyProtection="0"/>
    <xf numFmtId="38" fontId="75" fillId="0" borderId="0" applyNumberFormat="0" applyFill="0" applyBorder="0">
      <alignment horizontal="left" vertical="center"/>
    </xf>
    <xf numFmtId="165" fontId="11" fillId="0" borderId="0" applyFont="0" applyFill="0" applyBorder="0" applyAlignment="0" applyProtection="0"/>
    <xf numFmtId="38" fontId="76" fillId="0" borderId="0" applyFont="0" applyFill="0" applyBorder="0" applyAlignment="0" applyProtection="0"/>
    <xf numFmtId="40" fontId="76" fillId="0" borderId="0" applyFont="0" applyFill="0" applyBorder="0" applyAlignment="0" applyProtection="0"/>
    <xf numFmtId="170" fontId="77" fillId="0" borderId="0" applyFill="0" applyBorder="0">
      <alignment vertical="center"/>
    </xf>
    <xf numFmtId="211" fontId="32" fillId="0" borderId="0">
      <alignment horizontal="center"/>
    </xf>
    <xf numFmtId="212" fontId="76" fillId="0" borderId="0" applyFont="0" applyFill="0" applyBorder="0" applyAlignment="0" applyProtection="0"/>
    <xf numFmtId="213" fontId="76" fillId="0" borderId="0" applyFont="0" applyFill="0" applyBorder="0" applyAlignment="0" applyProtection="0"/>
    <xf numFmtId="7" fontId="11" fillId="0" borderId="0"/>
    <xf numFmtId="214" fontId="78" fillId="0" borderId="0" applyFont="0" applyFill="0" applyBorder="0" applyProtection="0">
      <alignment horizontal="right"/>
    </xf>
    <xf numFmtId="215" fontId="60" fillId="0" borderId="0" applyFont="0" applyFill="0" applyBorder="0" applyAlignment="0" applyProtection="0"/>
    <xf numFmtId="216" fontId="27" fillId="0" borderId="0" applyFont="0" applyFill="0" applyBorder="0" applyAlignment="0" applyProtection="0"/>
    <xf numFmtId="217" fontId="60" fillId="0" borderId="0" applyFont="0" applyFill="0" applyBorder="0" applyAlignment="0" applyProtection="0"/>
    <xf numFmtId="218" fontId="32" fillId="0" borderId="0" applyFont="0" applyFill="0" applyBorder="0" applyAlignment="0" applyProtection="0"/>
    <xf numFmtId="219" fontId="27" fillId="0" borderId="0" applyFont="0" applyFill="0" applyBorder="0" applyAlignment="0" applyProtection="0"/>
    <xf numFmtId="220" fontId="60" fillId="0" borderId="0" applyFont="0" applyFill="0" applyBorder="0" applyAlignment="0" applyProtection="0"/>
    <xf numFmtId="221" fontId="60" fillId="0" borderId="0" applyFont="0" applyFill="0" applyBorder="0" applyAlignment="0" applyProtection="0"/>
    <xf numFmtId="222" fontId="27" fillId="0" borderId="0" applyFont="0" applyFill="0" applyBorder="0" applyAlignment="0" applyProtection="0"/>
    <xf numFmtId="223" fontId="11" fillId="0" borderId="0"/>
    <xf numFmtId="0" fontId="15" fillId="10" borderId="0"/>
    <xf numFmtId="0" fontId="16" fillId="11" borderId="0"/>
    <xf numFmtId="0" fontId="17" fillId="0" borderId="0"/>
    <xf numFmtId="224" fontId="79" fillId="0" borderId="0"/>
    <xf numFmtId="0" fontId="11" fillId="0" borderId="0"/>
    <xf numFmtId="0" fontId="11" fillId="0" borderId="0"/>
    <xf numFmtId="0" fontId="80" fillId="0" borderId="0">
      <alignment horizontal="center"/>
    </xf>
    <xf numFmtId="0" fontId="28" fillId="0" borderId="0">
      <alignment horizontal="center" vertical="center"/>
    </xf>
    <xf numFmtId="0" fontId="27" fillId="0" borderId="13"/>
    <xf numFmtId="0" fontId="27" fillId="0" borderId="14"/>
    <xf numFmtId="49" fontId="27" fillId="0" borderId="14">
      <alignment horizontal="left"/>
    </xf>
    <xf numFmtId="0" fontId="27" fillId="0" borderId="15"/>
    <xf numFmtId="0" fontId="27" fillId="0" borderId="3"/>
    <xf numFmtId="0" fontId="27" fillId="0" borderId="16"/>
    <xf numFmtId="0" fontId="27" fillId="6" borderId="17"/>
    <xf numFmtId="0" fontId="28" fillId="6" borderId="12">
      <alignment horizontal="left"/>
    </xf>
    <xf numFmtId="0" fontId="28" fillId="6" borderId="18">
      <alignment horizontal="left"/>
    </xf>
    <xf numFmtId="0" fontId="27" fillId="6" borderId="12"/>
    <xf numFmtId="0" fontId="27" fillId="0" borderId="0">
      <alignment horizontal="left"/>
    </xf>
    <xf numFmtId="0" fontId="28" fillId="6" borderId="12">
      <alignment horizontal="left"/>
    </xf>
    <xf numFmtId="0" fontId="44" fillId="6" borderId="12">
      <alignment horizontal="left"/>
    </xf>
    <xf numFmtId="0" fontId="27" fillId="6" borderId="18"/>
    <xf numFmtId="0" fontId="27" fillId="0" borderId="13">
      <alignment horizontal="left"/>
    </xf>
    <xf numFmtId="0" fontId="27" fillId="0" borderId="0">
      <alignment horizontal="left"/>
    </xf>
    <xf numFmtId="0" fontId="27" fillId="0" borderId="14">
      <alignment horizontal="center"/>
    </xf>
    <xf numFmtId="0" fontId="27" fillId="0" borderId="0">
      <alignment horizontal="left"/>
    </xf>
    <xf numFmtId="0" fontId="28" fillId="6" borderId="17">
      <alignment horizontal="left"/>
    </xf>
    <xf numFmtId="0" fontId="27" fillId="0" borderId="13">
      <alignment horizontal="left"/>
    </xf>
    <xf numFmtId="0" fontId="27" fillId="0" borderId="13">
      <alignment horizontal="right"/>
    </xf>
    <xf numFmtId="173" fontId="28" fillId="0" borderId="0"/>
    <xf numFmtId="0" fontId="27" fillId="0" borderId="13"/>
    <xf numFmtId="170" fontId="27" fillId="0" borderId="14"/>
    <xf numFmtId="0" fontId="27" fillId="0" borderId="13"/>
    <xf numFmtId="0" fontId="27" fillId="0" borderId="13">
      <alignment horizontal="left"/>
    </xf>
    <xf numFmtId="0" fontId="28" fillId="6" borderId="17"/>
    <xf numFmtId="0" fontId="81" fillId="6" borderId="13">
      <alignment horizontal="left"/>
    </xf>
    <xf numFmtId="0" fontId="27" fillId="6" borderId="14"/>
    <xf numFmtId="0" fontId="28" fillId="6" borderId="13">
      <alignment horizontal="left"/>
    </xf>
    <xf numFmtId="0" fontId="27" fillId="0" borderId="13">
      <alignment horizontal="left"/>
    </xf>
    <xf numFmtId="0" fontId="27" fillId="0" borderId="13">
      <alignment horizontal="left"/>
    </xf>
    <xf numFmtId="14" fontId="80" fillId="0" borderId="0">
      <alignment horizontal="center"/>
    </xf>
    <xf numFmtId="49" fontId="82" fillId="0" borderId="13">
      <alignment horizontal="left"/>
    </xf>
    <xf numFmtId="0" fontId="82" fillId="0" borderId="13"/>
    <xf numFmtId="0" fontId="28" fillId="6" borderId="13">
      <alignment horizontal="left"/>
    </xf>
    <xf numFmtId="0" fontId="28" fillId="6" borderId="13"/>
    <xf numFmtId="49" fontId="27" fillId="0" borderId="14">
      <alignment horizontal="left"/>
    </xf>
    <xf numFmtId="0" fontId="80" fillId="0" borderId="13"/>
    <xf numFmtId="0" fontId="80" fillId="0" borderId="0">
      <alignment horizontal="center"/>
    </xf>
    <xf numFmtId="14" fontId="80" fillId="0" borderId="0">
      <alignment horizontal="center"/>
    </xf>
    <xf numFmtId="0" fontId="80" fillId="0" borderId="15"/>
    <xf numFmtId="0" fontId="27" fillId="0" borderId="3">
      <alignment horizontal="center"/>
    </xf>
    <xf numFmtId="0" fontId="27" fillId="0" borderId="0"/>
    <xf numFmtId="0" fontId="80" fillId="0" borderId="3">
      <alignment horizontal="center"/>
    </xf>
    <xf numFmtId="14" fontId="80" fillId="0" borderId="3">
      <alignment horizontal="center"/>
    </xf>
    <xf numFmtId="0" fontId="28" fillId="0" borderId="0">
      <alignment horizontal="left" vertical="center" wrapText="1"/>
    </xf>
    <xf numFmtId="0" fontId="28" fillId="6" borderId="9">
      <alignment horizontal="left" wrapText="1"/>
    </xf>
    <xf numFmtId="0" fontId="28" fillId="0" borderId="0">
      <alignment horizontal="right" vertical="center"/>
    </xf>
    <xf numFmtId="173" fontId="28" fillId="0" borderId="0">
      <alignment horizontal="right"/>
    </xf>
    <xf numFmtId="14" fontId="83" fillId="0" borderId="0">
      <alignment horizontal="center"/>
    </xf>
    <xf numFmtId="0" fontId="28" fillId="6" borderId="19">
      <alignment horizontal="center" wrapText="1"/>
    </xf>
    <xf numFmtId="0" fontId="60" fillId="0" borderId="0">
      <alignment horizontal="center" vertical="center"/>
    </xf>
    <xf numFmtId="1" fontId="84" fillId="0" borderId="0">
      <alignment horizontal="center" wrapText="1"/>
    </xf>
    <xf numFmtId="0" fontId="28" fillId="6" borderId="9">
      <alignment horizontal="center" wrapText="1"/>
    </xf>
    <xf numFmtId="0" fontId="84" fillId="6" borderId="20">
      <alignment horizontal="center" wrapText="1"/>
    </xf>
    <xf numFmtId="0" fontId="84" fillId="6" borderId="19">
      <alignment horizontal="left" wrapText="1"/>
    </xf>
    <xf numFmtId="0" fontId="27" fillId="0" borderId="14">
      <alignment horizontal="left"/>
    </xf>
    <xf numFmtId="0" fontId="60" fillId="0" borderId="0">
      <alignment horizontal="center"/>
    </xf>
    <xf numFmtId="2" fontId="60" fillId="12" borderId="0">
      <alignment horizontal="center"/>
    </xf>
    <xf numFmtId="0" fontId="27" fillId="0" borderId="0">
      <alignment horizontal="left" vertical="top"/>
    </xf>
    <xf numFmtId="16" fontId="27" fillId="0" borderId="0"/>
    <xf numFmtId="0" fontId="27" fillId="12" borderId="0"/>
    <xf numFmtId="14" fontId="27" fillId="0" borderId="0">
      <alignment horizontal="center"/>
    </xf>
    <xf numFmtId="2" fontId="60" fillId="0" borderId="12">
      <alignment horizontal="center" vertical="center"/>
    </xf>
    <xf numFmtId="0" fontId="28" fillId="6" borderId="0">
      <alignment horizontal="center"/>
    </xf>
    <xf numFmtId="2" fontId="60" fillId="0" borderId="0">
      <alignment horizontal="center"/>
    </xf>
    <xf numFmtId="2" fontId="60" fillId="0" borderId="0">
      <alignment horizontal="center"/>
    </xf>
    <xf numFmtId="0" fontId="27" fillId="0" borderId="0">
      <alignment horizontal="left" vertical="top"/>
    </xf>
    <xf numFmtId="15" fontId="27" fillId="0" borderId="0">
      <alignment horizontal="left" vertical="top"/>
    </xf>
    <xf numFmtId="0" fontId="27" fillId="0" borderId="0">
      <alignment horizontal="left" vertical="top"/>
    </xf>
    <xf numFmtId="14" fontId="27" fillId="0" borderId="0">
      <alignment horizontal="center" vertical="top"/>
    </xf>
    <xf numFmtId="0" fontId="60" fillId="0" borderId="0"/>
    <xf numFmtId="0" fontId="84" fillId="0" borderId="3"/>
    <xf numFmtId="14" fontId="84" fillId="0" borderId="3"/>
    <xf numFmtId="2" fontId="60" fillId="0" borderId="3">
      <alignment horizontal="center"/>
    </xf>
    <xf numFmtId="0" fontId="27" fillId="0" borderId="0">
      <alignment horizontal="center"/>
    </xf>
    <xf numFmtId="2" fontId="60" fillId="0" borderId="3">
      <alignment horizontal="center"/>
    </xf>
    <xf numFmtId="0" fontId="60" fillId="0" borderId="3"/>
    <xf numFmtId="0" fontId="60" fillId="0" borderId="3">
      <alignment horizontal="center"/>
    </xf>
    <xf numFmtId="0" fontId="60" fillId="0" borderId="3">
      <alignment horizontal="center"/>
    </xf>
    <xf numFmtId="0" fontId="28" fillId="0" borderId="0">
      <alignment horizontal="left" vertical="top"/>
    </xf>
    <xf numFmtId="0" fontId="28" fillId="0" borderId="0">
      <alignment horizontal="left" vertical="top"/>
    </xf>
    <xf numFmtId="0" fontId="27" fillId="0" borderId="0">
      <alignment horizontal="center" vertical="top"/>
    </xf>
    <xf numFmtId="43" fontId="60" fillId="0" borderId="0">
      <alignment horizontal="left"/>
    </xf>
    <xf numFmtId="173" fontId="27" fillId="0" borderId="0"/>
    <xf numFmtId="0" fontId="27" fillId="0" borderId="0">
      <alignment horizontal="center"/>
    </xf>
    <xf numFmtId="0" fontId="80" fillId="0" borderId="0"/>
    <xf numFmtId="43" fontId="27" fillId="0" borderId="0"/>
    <xf numFmtId="1" fontId="27" fillId="0" borderId="0"/>
    <xf numFmtId="0" fontId="28" fillId="0" borderId="0"/>
    <xf numFmtId="43" fontId="27" fillId="0" borderId="0">
      <alignment horizontal="center"/>
    </xf>
    <xf numFmtId="43" fontId="27" fillId="0" borderId="21"/>
    <xf numFmtId="43" fontId="27" fillId="0" borderId="22"/>
    <xf numFmtId="0" fontId="27" fillId="0" borderId="10"/>
    <xf numFmtId="43" fontId="27" fillId="0" borderId="0"/>
    <xf numFmtId="1" fontId="84" fillId="0" borderId="16">
      <alignment horizontal="center" wrapText="1"/>
    </xf>
    <xf numFmtId="0" fontId="60" fillId="0" borderId="0">
      <alignment horizontal="center"/>
    </xf>
    <xf numFmtId="0" fontId="27" fillId="0" borderId="0">
      <alignment horizontal="left"/>
    </xf>
    <xf numFmtId="0" fontId="60" fillId="0" borderId="0"/>
    <xf numFmtId="43" fontId="27" fillId="0" borderId="0">
      <alignment horizontal="center"/>
    </xf>
    <xf numFmtId="0" fontId="28" fillId="0" borderId="3">
      <alignment horizontal="left" vertical="top"/>
    </xf>
    <xf numFmtId="0" fontId="27" fillId="0" borderId="3">
      <alignment horizontal="center" vertical="top"/>
    </xf>
    <xf numFmtId="14" fontId="27" fillId="0" borderId="3">
      <alignment horizontal="center" vertical="top"/>
    </xf>
    <xf numFmtId="15" fontId="27" fillId="0" borderId="3">
      <alignment horizontal="left" vertical="top"/>
    </xf>
    <xf numFmtId="0" fontId="30" fillId="0" borderId="0"/>
    <xf numFmtId="225" fontId="27" fillId="0" borderId="0">
      <alignment vertical="top"/>
    </xf>
    <xf numFmtId="0" fontId="27" fillId="0" borderId="3">
      <alignment horizontal="left" vertical="top"/>
    </xf>
    <xf numFmtId="0" fontId="27" fillId="0" borderId="0">
      <alignment horizontal="center" wrapText="1"/>
    </xf>
    <xf numFmtId="0" fontId="27" fillId="0" borderId="0">
      <alignment horizontal="center"/>
    </xf>
    <xf numFmtId="0" fontId="27" fillId="0" borderId="0">
      <alignment horizontal="center" vertical="top"/>
    </xf>
    <xf numFmtId="0" fontId="28" fillId="0" borderId="0"/>
    <xf numFmtId="14" fontId="27" fillId="0" borderId="0">
      <alignment horizontal="center"/>
    </xf>
    <xf numFmtId="14" fontId="27" fillId="0" borderId="0">
      <alignment horizontal="left" vertical="top"/>
    </xf>
    <xf numFmtId="41" fontId="27" fillId="0" borderId="0"/>
    <xf numFmtId="3" fontId="28" fillId="0" borderId="23">
      <alignment horizontal="right" vertical="center"/>
    </xf>
    <xf numFmtId="173" fontId="28" fillId="0" borderId="22">
      <alignment horizontal="right"/>
    </xf>
    <xf numFmtId="226" fontId="84" fillId="0" borderId="0">
      <alignment wrapText="1"/>
    </xf>
    <xf numFmtId="0" fontId="27" fillId="0" borderId="0">
      <alignment horizontal="center"/>
    </xf>
    <xf numFmtId="227" fontId="28" fillId="0" borderId="10"/>
    <xf numFmtId="227" fontId="28" fillId="0" borderId="0"/>
    <xf numFmtId="0" fontId="27" fillId="0" borderId="0">
      <alignment vertical="top"/>
    </xf>
    <xf numFmtId="3" fontId="28" fillId="0" borderId="21">
      <alignment horizontal="right" vertical="center"/>
    </xf>
    <xf numFmtId="0" fontId="84" fillId="0" borderId="15">
      <alignment horizontal="center" wrapText="1"/>
    </xf>
    <xf numFmtId="3" fontId="28" fillId="0" borderId="24">
      <alignment horizontal="right" vertical="center"/>
    </xf>
    <xf numFmtId="3" fontId="28" fillId="0" borderId="0">
      <alignment horizontal="right" vertical="center"/>
    </xf>
    <xf numFmtId="173" fontId="28" fillId="0" borderId="10">
      <alignment horizontal="right"/>
    </xf>
    <xf numFmtId="0" fontId="9" fillId="0" borderId="25">
      <alignment wrapText="1"/>
    </xf>
    <xf numFmtId="228" fontId="9" fillId="0" borderId="25">
      <alignment horizontal="right" wrapText="1"/>
    </xf>
    <xf numFmtId="4" fontId="27" fillId="0" borderId="0">
      <alignment horizontal="center"/>
    </xf>
    <xf numFmtId="0" fontId="28" fillId="6" borderId="9">
      <alignment horizontal="center"/>
    </xf>
    <xf numFmtId="0" fontId="28" fillId="6" borderId="20">
      <alignment horizontal="center"/>
    </xf>
    <xf numFmtId="14" fontId="27" fillId="0" borderId="0">
      <alignment horizontal="center" vertical="top"/>
    </xf>
    <xf numFmtId="0" fontId="27" fillId="13" borderId="0">
      <alignment vertical="top"/>
    </xf>
    <xf numFmtId="0" fontId="27" fillId="13" borderId="0"/>
    <xf numFmtId="0" fontId="9" fillId="0" borderId="25">
      <alignment wrapText="1"/>
    </xf>
    <xf numFmtId="229" fontId="31" fillId="0" borderId="0">
      <alignment horizontal="right" vertical="center" wrapText="1"/>
    </xf>
    <xf numFmtId="0" fontId="31" fillId="0" borderId="0">
      <alignment horizontal="right" vertical="center" wrapText="1"/>
    </xf>
    <xf numFmtId="0" fontId="9" fillId="0" borderId="0">
      <alignment wrapText="1"/>
    </xf>
    <xf numFmtId="173" fontId="27" fillId="0" borderId="0"/>
    <xf numFmtId="0" fontId="27" fillId="13" borderId="0">
      <alignment horizontal="center"/>
    </xf>
    <xf numFmtId="0" fontId="28" fillId="13" borderId="0"/>
    <xf numFmtId="0" fontId="27" fillId="13" borderId="0">
      <alignment horizontal="center" vertical="top"/>
    </xf>
    <xf numFmtId="0" fontId="27" fillId="0" borderId="0">
      <alignment vertical="top"/>
    </xf>
    <xf numFmtId="14" fontId="27" fillId="13" borderId="0">
      <alignment horizontal="center" vertical="top"/>
    </xf>
    <xf numFmtId="15" fontId="27" fillId="13" borderId="0">
      <alignment horizontal="left" vertical="top"/>
    </xf>
    <xf numFmtId="0" fontId="27" fillId="13" borderId="0">
      <alignment horizontal="left" vertical="top"/>
    </xf>
    <xf numFmtId="14" fontId="27" fillId="13" borderId="0">
      <alignment horizontal="left" vertical="top"/>
    </xf>
    <xf numFmtId="0" fontId="27" fillId="14" borderId="0">
      <alignment horizontal="center"/>
    </xf>
    <xf numFmtId="0" fontId="28" fillId="14" borderId="0"/>
    <xf numFmtId="0" fontId="27" fillId="14" borderId="0">
      <alignment horizontal="center" vertical="top"/>
    </xf>
    <xf numFmtId="14" fontId="27" fillId="14" borderId="0">
      <alignment horizontal="center" vertical="top"/>
    </xf>
    <xf numFmtId="0" fontId="27" fillId="14" borderId="0">
      <alignment vertical="top"/>
    </xf>
    <xf numFmtId="15" fontId="27" fillId="14" borderId="0">
      <alignment horizontal="left" vertical="top"/>
    </xf>
    <xf numFmtId="15" fontId="80" fillId="0" borderId="0">
      <alignment horizontal="left"/>
    </xf>
    <xf numFmtId="0" fontId="27" fillId="14" borderId="0">
      <alignment horizontal="left" vertical="top"/>
    </xf>
    <xf numFmtId="173" fontId="27" fillId="14" borderId="0">
      <alignment vertical="top"/>
    </xf>
    <xf numFmtId="14" fontId="27" fillId="14" borderId="0">
      <alignment horizontal="left" vertical="top"/>
    </xf>
    <xf numFmtId="0" fontId="27" fillId="14" borderId="0">
      <alignment horizontal="center"/>
    </xf>
    <xf numFmtId="0" fontId="27" fillId="14" borderId="0"/>
    <xf numFmtId="0" fontId="28" fillId="14" borderId="0">
      <alignment horizontal="left" vertical="top"/>
    </xf>
    <xf numFmtId="14" fontId="27" fillId="14" borderId="0">
      <alignment horizontal="center" vertical="top"/>
    </xf>
    <xf numFmtId="0" fontId="60" fillId="14" borderId="0">
      <alignment horizontal="center"/>
    </xf>
    <xf numFmtId="0" fontId="80" fillId="14" borderId="0">
      <alignment horizontal="center"/>
    </xf>
    <xf numFmtId="0" fontId="27" fillId="14" borderId="0"/>
    <xf numFmtId="0" fontId="60" fillId="0" borderId="0"/>
    <xf numFmtId="0" fontId="28" fillId="0" borderId="0">
      <alignment horizontal="center"/>
    </xf>
    <xf numFmtId="0" fontId="28" fillId="0" borderId="0">
      <alignment horizontal="center"/>
    </xf>
    <xf numFmtId="173" fontId="28" fillId="6" borderId="23">
      <alignment horizontal="center"/>
    </xf>
    <xf numFmtId="173" fontId="28" fillId="6" borderId="24">
      <alignment horizontal="center"/>
    </xf>
    <xf numFmtId="2" fontId="60" fillId="0" borderId="0"/>
    <xf numFmtId="0" fontId="60" fillId="0" borderId="0"/>
    <xf numFmtId="2" fontId="60" fillId="0" borderId="0">
      <alignment horizontal="center"/>
    </xf>
    <xf numFmtId="0" fontId="60" fillId="0" borderId="0">
      <alignment horizontal="center"/>
    </xf>
    <xf numFmtId="0" fontId="80" fillId="0" borderId="0">
      <alignment wrapText="1"/>
    </xf>
    <xf numFmtId="0" fontId="60" fillId="0" borderId="0">
      <alignment horizontal="center"/>
    </xf>
    <xf numFmtId="0" fontId="84" fillId="0" borderId="0">
      <alignment horizontal="left" vertical="center"/>
    </xf>
    <xf numFmtId="2" fontId="60" fillId="0" borderId="12">
      <alignment horizontal="center" vertical="center"/>
    </xf>
    <xf numFmtId="0" fontId="60" fillId="0" borderId="12">
      <alignment horizontal="center" vertical="center"/>
    </xf>
    <xf numFmtId="0" fontId="60" fillId="0" borderId="18">
      <alignment horizontal="center" vertical="center"/>
    </xf>
    <xf numFmtId="0" fontId="60" fillId="0" borderId="0">
      <alignment horizontal="center" vertical="center"/>
    </xf>
    <xf numFmtId="0" fontId="60" fillId="0" borderId="0">
      <alignment horizontal="left" vertical="center"/>
    </xf>
    <xf numFmtId="0" fontId="84" fillId="0" borderId="0">
      <alignment horizontal="left"/>
    </xf>
    <xf numFmtId="0" fontId="84" fillId="0" borderId="0">
      <alignment horizontal="left"/>
    </xf>
    <xf numFmtId="0" fontId="84" fillId="0" borderId="0">
      <alignment horizontal="center"/>
    </xf>
    <xf numFmtId="0" fontId="27" fillId="0" borderId="0">
      <alignment horizontal="center" vertical="center" wrapText="1"/>
    </xf>
    <xf numFmtId="0" fontId="84" fillId="0" borderId="0">
      <alignment horizontal="center" wrapText="1"/>
    </xf>
    <xf numFmtId="0" fontId="84" fillId="0" borderId="13">
      <alignment horizontal="center" wrapText="1"/>
    </xf>
    <xf numFmtId="1" fontId="84" fillId="0" borderId="14">
      <alignment horizontal="center" wrapText="1"/>
    </xf>
    <xf numFmtId="0" fontId="84" fillId="0" borderId="0">
      <alignment horizontal="center"/>
    </xf>
    <xf numFmtId="230" fontId="84" fillId="0" borderId="0">
      <alignment horizontal="center" wrapText="1"/>
    </xf>
    <xf numFmtId="43" fontId="84" fillId="0" borderId="0"/>
    <xf numFmtId="0" fontId="84" fillId="0" borderId="0"/>
    <xf numFmtId="0" fontId="60" fillId="0" borderId="0">
      <alignment wrapText="1"/>
    </xf>
    <xf numFmtId="0" fontId="84" fillId="0" borderId="0">
      <alignment horizontal="center" wrapText="1"/>
    </xf>
    <xf numFmtId="0" fontId="84" fillId="0" borderId="0">
      <alignment horizontal="center" wrapText="1"/>
    </xf>
    <xf numFmtId="43" fontId="27" fillId="0" borderId="0">
      <alignment horizontal="center" vertical="center" wrapText="1"/>
    </xf>
    <xf numFmtId="0" fontId="84" fillId="0" borderId="0">
      <alignment horizontal="center" wrapText="1"/>
    </xf>
    <xf numFmtId="231" fontId="84" fillId="0" borderId="0">
      <alignment horizontal="center" wrapText="1"/>
    </xf>
    <xf numFmtId="0" fontId="84" fillId="6" borderId="9">
      <alignment horizontal="center" wrapText="1"/>
    </xf>
    <xf numFmtId="2" fontId="84" fillId="6" borderId="9">
      <alignment horizontal="center" wrapText="1"/>
    </xf>
    <xf numFmtId="0" fontId="84" fillId="6" borderId="9">
      <alignment horizontal="center" wrapText="1"/>
    </xf>
    <xf numFmtId="0" fontId="84" fillId="0" borderId="0">
      <alignment horizontal="center" wrapText="1"/>
    </xf>
    <xf numFmtId="0" fontId="27" fillId="0" borderId="0"/>
    <xf numFmtId="0" fontId="27" fillId="0" borderId="0"/>
    <xf numFmtId="0" fontId="85" fillId="0" borderId="0">
      <alignment horizontal="left" vertical="center"/>
    </xf>
    <xf numFmtId="173" fontId="85" fillId="0" borderId="0">
      <alignment horizontal="left" vertical="center"/>
    </xf>
    <xf numFmtId="0" fontId="28" fillId="0" borderId="0">
      <alignment horizontal="center" vertical="center" wrapText="1"/>
    </xf>
    <xf numFmtId="0" fontId="85" fillId="0" borderId="0">
      <alignment horizontal="center" vertical="center"/>
    </xf>
    <xf numFmtId="0" fontId="28" fillId="0" borderId="23">
      <alignment horizontal="left"/>
    </xf>
    <xf numFmtId="41" fontId="28" fillId="0" borderId="26"/>
    <xf numFmtId="0" fontId="28" fillId="0" borderId="23"/>
    <xf numFmtId="41" fontId="28" fillId="0" borderId="0"/>
    <xf numFmtId="0" fontId="28" fillId="0" borderId="21"/>
    <xf numFmtId="173" fontId="28" fillId="0" borderId="27"/>
    <xf numFmtId="173" fontId="28" fillId="0" borderId="0"/>
    <xf numFmtId="43" fontId="28" fillId="0" borderId="27"/>
    <xf numFmtId="43" fontId="28" fillId="0" borderId="0"/>
    <xf numFmtId="0" fontId="27" fillId="0" borderId="0">
      <alignment wrapText="1"/>
    </xf>
    <xf numFmtId="0" fontId="28" fillId="0" borderId="22"/>
    <xf numFmtId="43" fontId="28" fillId="0" borderId="28"/>
    <xf numFmtId="0" fontId="28" fillId="0" borderId="0">
      <alignment horizontal="center"/>
    </xf>
    <xf numFmtId="0" fontId="28" fillId="6" borderId="23">
      <alignment horizontal="center"/>
    </xf>
    <xf numFmtId="173" fontId="28" fillId="6" borderId="24">
      <alignment horizontal="center"/>
    </xf>
    <xf numFmtId="0" fontId="28" fillId="6" borderId="24">
      <alignment horizontal="center"/>
    </xf>
    <xf numFmtId="0" fontId="28" fillId="6" borderId="26">
      <alignment horizontal="center"/>
    </xf>
    <xf numFmtId="0" fontId="28" fillId="6" borderId="22">
      <alignment horizontal="center"/>
    </xf>
    <xf numFmtId="173" fontId="28" fillId="6" borderId="10">
      <alignment horizontal="right"/>
    </xf>
    <xf numFmtId="0" fontId="28" fillId="6" borderId="10">
      <alignment horizontal="center"/>
    </xf>
    <xf numFmtId="0" fontId="27" fillId="0" borderId="0">
      <alignment horizontal="left" vertical="center" wrapText="1"/>
    </xf>
    <xf numFmtId="0" fontId="28" fillId="6" borderId="28">
      <alignment horizontal="center"/>
    </xf>
    <xf numFmtId="0" fontId="28" fillId="15" borderId="0">
      <alignment horizontal="center"/>
    </xf>
    <xf numFmtId="173" fontId="28" fillId="6" borderId="22">
      <alignment horizontal="center"/>
    </xf>
    <xf numFmtId="173" fontId="28" fillId="6" borderId="10">
      <alignment horizontal="center"/>
    </xf>
    <xf numFmtId="0" fontId="28" fillId="6" borderId="10">
      <alignment horizontal="center"/>
    </xf>
    <xf numFmtId="173" fontId="28" fillId="6" borderId="28">
      <alignment horizontal="center"/>
    </xf>
    <xf numFmtId="0" fontId="28" fillId="6" borderId="29">
      <alignment horizontal="center"/>
    </xf>
    <xf numFmtId="0" fontId="28" fillId="6" borderId="3">
      <alignment horizontal="center"/>
    </xf>
    <xf numFmtId="0" fontId="28" fillId="6" borderId="3">
      <alignment horizontal="center"/>
    </xf>
    <xf numFmtId="0" fontId="28" fillId="6" borderId="30">
      <alignment horizontal="center"/>
    </xf>
    <xf numFmtId="0" fontId="27" fillId="0" borderId="0"/>
    <xf numFmtId="0" fontId="28" fillId="6" borderId="21">
      <alignment horizontal="center"/>
    </xf>
    <xf numFmtId="0" fontId="28" fillId="6" borderId="0">
      <alignment horizontal="center"/>
    </xf>
    <xf numFmtId="0" fontId="28" fillId="6" borderId="27">
      <alignment horizontal="center"/>
    </xf>
    <xf numFmtId="0" fontId="44" fillId="0" borderId="0">
      <alignment horizontal="left"/>
    </xf>
    <xf numFmtId="49" fontId="27" fillId="0" borderId="0">
      <alignment horizontal="left"/>
    </xf>
    <xf numFmtId="0" fontId="44" fillId="0" borderId="0">
      <alignment horizontal="left"/>
    </xf>
    <xf numFmtId="15" fontId="80" fillId="15" borderId="0">
      <alignment horizontal="left"/>
    </xf>
    <xf numFmtId="0" fontId="27" fillId="0" borderId="0">
      <alignment horizontal="right"/>
    </xf>
    <xf numFmtId="49" fontId="27" fillId="0" borderId="0">
      <alignment horizontal="left"/>
    </xf>
    <xf numFmtId="49" fontId="27" fillId="0" borderId="0">
      <alignment horizontal="left"/>
    </xf>
    <xf numFmtId="10" fontId="80" fillId="0" borderId="0"/>
    <xf numFmtId="0" fontId="7" fillId="0" borderId="0" applyNumberFormat="0" applyFill="0" applyBorder="0" applyAlignment="0" applyProtection="0"/>
    <xf numFmtId="0" fontId="11" fillId="0" borderId="0" applyNumberFormat="0" applyFill="0" applyBorder="0" applyAlignment="0" applyProtection="0"/>
    <xf numFmtId="0" fontId="53" fillId="0" borderId="0" applyNumberFormat="0" applyFill="0" applyBorder="0" applyAlignment="0" applyProtection="0"/>
    <xf numFmtId="0" fontId="11" fillId="0" borderId="0" applyNumberFormat="0" applyFill="0" applyBorder="0" applyAlignment="0" applyProtection="0"/>
    <xf numFmtId="0" fontId="75" fillId="0" borderId="0" applyNumberFormat="0" applyFill="0" applyBorder="0" applyAlignment="0" applyProtection="0"/>
    <xf numFmtId="0" fontId="7" fillId="0" borderId="0" applyNumberFormat="0" applyFill="0" applyBorder="0" applyAlignment="0" applyProtection="0"/>
    <xf numFmtId="0" fontId="86" fillId="0" borderId="0">
      <alignment horizontal="left" vertical="top"/>
      <protection locked="0"/>
    </xf>
    <xf numFmtId="0" fontId="40" fillId="0" borderId="11" applyNumberFormat="0" applyFont="0" applyFill="0" applyAlignment="0" applyProtection="0"/>
    <xf numFmtId="40" fontId="87" fillId="15" borderId="0">
      <alignment horizontal="right"/>
    </xf>
    <xf numFmtId="0" fontId="88" fillId="15" borderId="0">
      <alignment horizontal="right"/>
    </xf>
    <xf numFmtId="0" fontId="89" fillId="15" borderId="14"/>
    <xf numFmtId="0" fontId="89" fillId="0" borderId="0" applyBorder="0">
      <alignment horizontal="centerContinuous"/>
    </xf>
    <xf numFmtId="232" fontId="90" fillId="0" borderId="0" applyFill="0">
      <alignment horizontal="center" vertical="center"/>
    </xf>
    <xf numFmtId="0" fontId="28" fillId="0" borderId="31" applyNumberFormat="0" applyAlignment="0" applyProtection="0"/>
    <xf numFmtId="0" fontId="27" fillId="16" borderId="0" applyNumberFormat="0" applyFont="0" applyBorder="0" applyAlignment="0" applyProtection="0"/>
    <xf numFmtId="0" fontId="7" fillId="17" borderId="32" applyNumberFormat="0" applyFont="0" applyBorder="0" applyAlignment="0" applyProtection="0">
      <alignment horizontal="center"/>
    </xf>
    <xf numFmtId="0" fontId="7" fillId="18" borderId="32" applyNumberFormat="0" applyFont="0" applyBorder="0" applyAlignment="0" applyProtection="0">
      <alignment horizontal="center"/>
    </xf>
    <xf numFmtId="0" fontId="27" fillId="0" borderId="33" applyNumberFormat="0" applyAlignment="0" applyProtection="0"/>
    <xf numFmtId="0" fontId="27" fillId="0" borderId="34" applyNumberFormat="0" applyAlignment="0" applyProtection="0"/>
    <xf numFmtId="0" fontId="28" fillId="0" borderId="35" applyNumberFormat="0" applyAlignment="0" applyProtection="0"/>
    <xf numFmtId="14" fontId="32" fillId="0" borderId="0">
      <alignment horizontal="center" wrapText="1"/>
      <protection locked="0"/>
    </xf>
    <xf numFmtId="9" fontId="60" fillId="0" borderId="0" applyFont="0" applyFill="0" applyBorder="0" applyAlignment="0" applyProtection="0"/>
    <xf numFmtId="233" fontId="91" fillId="0" borderId="0" applyFont="0" applyFill="0" applyBorder="0" applyAlignment="0" applyProtection="0"/>
    <xf numFmtId="170" fontId="60" fillId="0" borderId="0" applyFont="0" applyFill="0" applyBorder="0" applyAlignment="0" applyProtection="0"/>
    <xf numFmtId="234" fontId="60" fillId="0" borderId="0" applyFont="0" applyFill="0" applyBorder="0" applyAlignment="0" applyProtection="0"/>
    <xf numFmtId="235" fontId="60" fillId="0" borderId="0" applyFont="0" applyFill="0" applyBorder="0" applyAlignment="0" applyProtection="0"/>
    <xf numFmtId="10" fontId="11" fillId="0" borderId="0" applyFont="0" applyFill="0" applyBorder="0" applyAlignment="0" applyProtection="0"/>
    <xf numFmtId="0" fontId="11" fillId="0" borderId="0" applyFont="0" applyFill="0" applyBorder="0" applyProtection="0">
      <alignment horizontal="right"/>
    </xf>
    <xf numFmtId="173" fontId="80" fillId="0" borderId="0">
      <alignment horizontal="right"/>
    </xf>
    <xf numFmtId="173" fontId="28" fillId="0" borderId="0">
      <alignment horizontal="left" vertical="center"/>
    </xf>
    <xf numFmtId="172" fontId="7" fillId="0" borderId="0"/>
    <xf numFmtId="173" fontId="80" fillId="0" borderId="0">
      <alignment horizontal="right"/>
    </xf>
    <xf numFmtId="173" fontId="80" fillId="0" borderId="0">
      <alignment horizontal="center"/>
    </xf>
    <xf numFmtId="171" fontId="80" fillId="0" borderId="0">
      <alignment horizontal="right"/>
    </xf>
    <xf numFmtId="173" fontId="80" fillId="0" borderId="3">
      <alignment horizontal="right"/>
    </xf>
    <xf numFmtId="173" fontId="80" fillId="0" borderId="3">
      <alignment horizontal="center"/>
    </xf>
    <xf numFmtId="171" fontId="80" fillId="0" borderId="3">
      <alignment horizontal="right"/>
    </xf>
    <xf numFmtId="43" fontId="80" fillId="0" borderId="3">
      <alignment horizontal="center"/>
    </xf>
    <xf numFmtId="236" fontId="80" fillId="0" borderId="12"/>
    <xf numFmtId="237" fontId="80" fillId="0" borderId="12">
      <alignment horizontal="center"/>
    </xf>
    <xf numFmtId="173" fontId="28" fillId="0" borderId="0">
      <alignment horizontal="right" vertical="center"/>
    </xf>
    <xf numFmtId="237" fontId="80" fillId="0" borderId="18">
      <alignment horizontal="center" wrapText="1"/>
    </xf>
    <xf numFmtId="237" fontId="80" fillId="0" borderId="0">
      <alignment horizontal="center"/>
    </xf>
    <xf numFmtId="237" fontId="80" fillId="0" borderId="14">
      <alignment horizontal="center" wrapText="1"/>
    </xf>
    <xf numFmtId="236" fontId="80" fillId="0" borderId="14">
      <alignment wrapText="1"/>
    </xf>
    <xf numFmtId="236" fontId="80" fillId="0" borderId="3"/>
    <xf numFmtId="236" fontId="80" fillId="0" borderId="16">
      <alignment wrapText="1"/>
    </xf>
    <xf numFmtId="238" fontId="28" fillId="0" borderId="0">
      <alignment horizontal="left"/>
    </xf>
    <xf numFmtId="239" fontId="28" fillId="0" borderId="0">
      <alignment horizontal="left"/>
    </xf>
    <xf numFmtId="240" fontId="28" fillId="0" borderId="0">
      <alignment horizontal="left"/>
    </xf>
    <xf numFmtId="173" fontId="27" fillId="0" borderId="0">
      <alignment vertical="top"/>
    </xf>
    <xf numFmtId="241" fontId="28" fillId="0" borderId="0">
      <alignment horizontal="center"/>
    </xf>
    <xf numFmtId="236" fontId="83" fillId="0" borderId="0"/>
    <xf numFmtId="173" fontId="60" fillId="0" borderId="0">
      <alignment horizontal="right"/>
    </xf>
    <xf numFmtId="173" fontId="60" fillId="0" borderId="0">
      <alignment horizontal="center"/>
    </xf>
    <xf numFmtId="237" fontId="27" fillId="0" borderId="0">
      <alignment horizontal="center" vertical="top"/>
    </xf>
    <xf numFmtId="173" fontId="25" fillId="0" borderId="3">
      <alignment horizontal="centerContinuous"/>
    </xf>
    <xf numFmtId="173" fontId="7" fillId="0" borderId="3">
      <alignment horizontal="center"/>
    </xf>
    <xf numFmtId="173" fontId="7" fillId="0" borderId="0"/>
    <xf numFmtId="173" fontId="7" fillId="0" borderId="3"/>
    <xf numFmtId="43" fontId="7" fillId="0" borderId="3"/>
    <xf numFmtId="43" fontId="25" fillId="0" borderId="0">
      <alignment horizontal="right"/>
    </xf>
    <xf numFmtId="171" fontId="28" fillId="0" borderId="0">
      <alignment horizontal="right" vertical="center"/>
    </xf>
    <xf numFmtId="166" fontId="84" fillId="0" borderId="0">
      <alignment horizontal="center" wrapText="1"/>
    </xf>
    <xf numFmtId="2" fontId="84" fillId="0" borderId="0">
      <alignment horizontal="center"/>
    </xf>
    <xf numFmtId="43" fontId="60" fillId="0" borderId="0"/>
    <xf numFmtId="0" fontId="7" fillId="0" borderId="0">
      <alignment horizontal="center"/>
    </xf>
    <xf numFmtId="43" fontId="27" fillId="0" borderId="0">
      <alignment horizontal="center" vertical="top"/>
    </xf>
    <xf numFmtId="236" fontId="27" fillId="0" borderId="0">
      <alignment horizontal="center" vertical="top"/>
    </xf>
    <xf numFmtId="237" fontId="27" fillId="0" borderId="0">
      <alignment horizontal="center" vertical="top" wrapText="1"/>
    </xf>
    <xf numFmtId="43" fontId="27" fillId="0" borderId="0">
      <alignment horizontal="left" vertical="top"/>
    </xf>
    <xf numFmtId="173" fontId="27" fillId="0" borderId="0">
      <alignment horizontal="right" vertical="top"/>
    </xf>
    <xf numFmtId="43" fontId="27" fillId="0" borderId="0">
      <alignment horizontal="center" vertical="top"/>
    </xf>
    <xf numFmtId="43" fontId="28" fillId="0" borderId="0">
      <alignment horizontal="center"/>
    </xf>
    <xf numFmtId="236" fontId="27" fillId="0" borderId="0">
      <alignment horizontal="center" vertical="top"/>
    </xf>
    <xf numFmtId="237" fontId="27" fillId="0" borderId="0">
      <alignment horizontal="center" vertical="top" wrapText="1"/>
    </xf>
    <xf numFmtId="173" fontId="27" fillId="0" borderId="0">
      <alignment horizontal="left" vertical="top"/>
    </xf>
    <xf numFmtId="43" fontId="27" fillId="0" borderId="0">
      <alignment horizontal="left" vertical="top"/>
    </xf>
    <xf numFmtId="173" fontId="7" fillId="0" borderId="0">
      <alignment horizontal="left"/>
    </xf>
    <xf numFmtId="173" fontId="25" fillId="0" borderId="0">
      <alignment horizontal="centerContinuous"/>
    </xf>
    <xf numFmtId="173" fontId="25" fillId="0" borderId="0">
      <alignment horizontal="left"/>
    </xf>
    <xf numFmtId="173" fontId="25" fillId="0" borderId="3">
      <alignment horizontal="left"/>
    </xf>
    <xf numFmtId="43" fontId="60" fillId="0" borderId="0"/>
    <xf numFmtId="43" fontId="60" fillId="0" borderId="3">
      <alignment horizontal="center"/>
    </xf>
    <xf numFmtId="236" fontId="28" fillId="0" borderId="0">
      <alignment horizontal="center"/>
    </xf>
    <xf numFmtId="43" fontId="60" fillId="0" borderId="3"/>
    <xf numFmtId="43" fontId="25" fillId="0" borderId="0"/>
    <xf numFmtId="173" fontId="7" fillId="14" borderId="0">
      <alignment horizontal="center"/>
    </xf>
    <xf numFmtId="173" fontId="7" fillId="14" borderId="0">
      <alignment horizontal="center"/>
    </xf>
    <xf numFmtId="173" fontId="25" fillId="14" borderId="0">
      <alignment horizontal="centerContinuous"/>
    </xf>
    <xf numFmtId="173" fontId="25" fillId="14" borderId="3">
      <alignment horizontal="center" wrapText="1"/>
    </xf>
    <xf numFmtId="173" fontId="7" fillId="19" borderId="0">
      <alignment horizontal="center"/>
    </xf>
    <xf numFmtId="173" fontId="7" fillId="19" borderId="0">
      <alignment horizontal="center"/>
    </xf>
    <xf numFmtId="173" fontId="25" fillId="19" borderId="0">
      <alignment horizontal="centerContinuous"/>
    </xf>
    <xf numFmtId="173" fontId="25" fillId="19" borderId="3">
      <alignment horizontal="centerContinuous"/>
    </xf>
    <xf numFmtId="236" fontId="28" fillId="0" borderId="0">
      <alignment horizontal="center" wrapText="1"/>
    </xf>
    <xf numFmtId="173" fontId="27" fillId="0" borderId="0"/>
    <xf numFmtId="43" fontId="27" fillId="0" borderId="0"/>
    <xf numFmtId="43" fontId="27" fillId="0" borderId="0">
      <alignment horizontal="center"/>
    </xf>
    <xf numFmtId="173" fontId="27" fillId="0" borderId="0"/>
    <xf numFmtId="172" fontId="27" fillId="0" borderId="0"/>
    <xf numFmtId="43" fontId="27" fillId="0" borderId="27"/>
    <xf numFmtId="173" fontId="27" fillId="0" borderId="3"/>
    <xf numFmtId="43" fontId="27" fillId="0" borderId="28"/>
    <xf numFmtId="172" fontId="27" fillId="0" borderId="10"/>
    <xf numFmtId="10" fontId="27" fillId="0" borderId="0"/>
    <xf numFmtId="238" fontId="28" fillId="0" borderId="0">
      <alignment horizontal="center"/>
    </xf>
    <xf numFmtId="43" fontId="27" fillId="0" borderId="0"/>
    <xf numFmtId="242" fontId="28" fillId="0" borderId="0">
      <alignment horizontal="center" vertical="top"/>
    </xf>
    <xf numFmtId="14" fontId="25" fillId="0" borderId="0">
      <alignment horizontal="center"/>
    </xf>
    <xf numFmtId="4" fontId="60" fillId="0" borderId="0">
      <alignment horizontal="right" vertical="top"/>
    </xf>
    <xf numFmtId="173" fontId="60" fillId="0" borderId="0">
      <alignment horizontal="center" vertical="top"/>
    </xf>
    <xf numFmtId="173" fontId="27" fillId="0" borderId="3">
      <alignment horizontal="right" vertical="top"/>
    </xf>
    <xf numFmtId="171" fontId="27" fillId="0" borderId="3">
      <alignment horizontal="center" vertical="top"/>
    </xf>
    <xf numFmtId="43" fontId="27" fillId="0" borderId="3">
      <alignment horizontal="center" vertical="top"/>
    </xf>
    <xf numFmtId="236" fontId="27" fillId="0" borderId="3">
      <alignment horizontal="center" vertical="top"/>
    </xf>
    <xf numFmtId="237" fontId="27" fillId="0" borderId="3">
      <alignment horizontal="center" vertical="top" wrapText="1"/>
    </xf>
    <xf numFmtId="238" fontId="28" fillId="0" borderId="0">
      <alignment horizontal="center" wrapText="1"/>
    </xf>
    <xf numFmtId="173" fontId="27" fillId="0" borderId="3">
      <alignment horizontal="center" vertical="top"/>
    </xf>
    <xf numFmtId="173" fontId="27" fillId="0" borderId="3">
      <alignment horizontal="left" vertical="top"/>
    </xf>
    <xf numFmtId="173" fontId="27" fillId="0" borderId="3">
      <alignment vertical="top"/>
    </xf>
    <xf numFmtId="43" fontId="27" fillId="0" borderId="3">
      <alignment horizontal="left" vertical="top"/>
    </xf>
    <xf numFmtId="237" fontId="27" fillId="0" borderId="3">
      <alignment horizontal="center" vertical="top"/>
    </xf>
    <xf numFmtId="43" fontId="7" fillId="0" borderId="0">
      <alignment horizontal="center"/>
    </xf>
    <xf numFmtId="173" fontId="28" fillId="0" borderId="24">
      <alignment horizontal="right" vertical="center"/>
    </xf>
    <xf numFmtId="240" fontId="28" fillId="0" borderId="24">
      <alignment horizontal="left"/>
    </xf>
    <xf numFmtId="243" fontId="28" fillId="0" borderId="24">
      <alignment horizontal="left"/>
    </xf>
    <xf numFmtId="171" fontId="28" fillId="0" borderId="24">
      <alignment horizontal="right" vertical="center"/>
    </xf>
    <xf numFmtId="173" fontId="28" fillId="0" borderId="0">
      <alignment horizontal="left"/>
    </xf>
    <xf numFmtId="173" fontId="28" fillId="0" borderId="10">
      <alignment horizontal="right" vertical="center"/>
    </xf>
    <xf numFmtId="240" fontId="28" fillId="0" borderId="10">
      <alignment horizontal="left"/>
    </xf>
    <xf numFmtId="243" fontId="28" fillId="0" borderId="10">
      <alignment horizontal="left"/>
    </xf>
    <xf numFmtId="171" fontId="28" fillId="0" borderId="10">
      <alignment horizontal="right"/>
    </xf>
    <xf numFmtId="244" fontId="28" fillId="0" borderId="28">
      <alignment horizontal="left"/>
    </xf>
    <xf numFmtId="173" fontId="28" fillId="0" borderId="10">
      <alignment horizontal="left" vertical="center"/>
    </xf>
    <xf numFmtId="172" fontId="7" fillId="0" borderId="0">
      <alignment horizontal="center"/>
    </xf>
    <xf numFmtId="43" fontId="7" fillId="14" borderId="0">
      <alignment horizontal="center"/>
    </xf>
    <xf numFmtId="43" fontId="7" fillId="19" borderId="0">
      <alignment horizontal="center"/>
    </xf>
    <xf numFmtId="243" fontId="28" fillId="0" borderId="0">
      <alignment horizontal="left"/>
    </xf>
    <xf numFmtId="170" fontId="25" fillId="0" borderId="0" applyFill="0" applyBorder="0" applyAlignment="0" applyProtection="0"/>
    <xf numFmtId="173" fontId="80" fillId="0" borderId="0">
      <alignment horizontal="center"/>
    </xf>
    <xf numFmtId="173" fontId="28" fillId="0" borderId="0">
      <alignment horizontal="right"/>
    </xf>
    <xf numFmtId="244" fontId="28" fillId="0" borderId="27">
      <alignment horizontal="left"/>
    </xf>
    <xf numFmtId="43" fontId="27" fillId="0" borderId="26">
      <alignment horizontal="center"/>
    </xf>
    <xf numFmtId="173" fontId="28" fillId="0" borderId="3">
      <alignment horizontal="right" vertical="center"/>
    </xf>
    <xf numFmtId="245" fontId="28" fillId="0" borderId="27">
      <alignment horizontal="left"/>
    </xf>
    <xf numFmtId="173" fontId="27" fillId="13" borderId="0"/>
    <xf numFmtId="173" fontId="27" fillId="13" borderId="0">
      <alignment horizontal="center" vertical="top"/>
    </xf>
    <xf numFmtId="173" fontId="27" fillId="0" borderId="10"/>
    <xf numFmtId="173" fontId="27" fillId="13" borderId="0">
      <alignment horizontal="center" vertical="top"/>
    </xf>
    <xf numFmtId="173" fontId="27" fillId="13" borderId="0">
      <alignment horizontal="right" vertical="top"/>
    </xf>
    <xf numFmtId="171" fontId="27" fillId="13" borderId="0">
      <alignment horizontal="center" vertical="top"/>
    </xf>
    <xf numFmtId="171" fontId="28" fillId="0" borderId="0">
      <alignment horizontal="right"/>
    </xf>
    <xf numFmtId="43" fontId="27" fillId="13" borderId="0">
      <alignment horizontal="center" vertical="top"/>
    </xf>
    <xf numFmtId="236" fontId="27" fillId="13" borderId="0">
      <alignment horizontal="center" vertical="top"/>
    </xf>
    <xf numFmtId="237" fontId="27" fillId="13" borderId="0">
      <alignment horizontal="center" vertical="top"/>
    </xf>
    <xf numFmtId="237" fontId="27" fillId="13" borderId="0">
      <alignment horizontal="center" vertical="top" wrapText="1"/>
    </xf>
    <xf numFmtId="173" fontId="27" fillId="13" borderId="0">
      <alignment horizontal="left" vertical="top"/>
    </xf>
    <xf numFmtId="43" fontId="27" fillId="13" borderId="0">
      <alignment horizontal="left" vertical="top"/>
    </xf>
    <xf numFmtId="43" fontId="27" fillId="13" borderId="0"/>
    <xf numFmtId="173" fontId="27" fillId="14" borderId="0">
      <alignment horizontal="center" vertical="top"/>
    </xf>
    <xf numFmtId="173" fontId="27" fillId="14" borderId="0">
      <alignment horizontal="right" vertical="top"/>
    </xf>
    <xf numFmtId="171" fontId="27" fillId="14" borderId="0">
      <alignment horizontal="center" vertical="top"/>
    </xf>
    <xf numFmtId="173" fontId="27" fillId="0" borderId="0">
      <alignment horizontal="right"/>
    </xf>
    <xf numFmtId="43" fontId="27" fillId="14" borderId="0">
      <alignment horizontal="center" vertical="top"/>
    </xf>
    <xf numFmtId="236" fontId="27" fillId="14" borderId="0">
      <alignment horizontal="center" vertical="top"/>
    </xf>
    <xf numFmtId="237" fontId="27" fillId="14" borderId="0">
      <alignment horizontal="center" vertical="top"/>
    </xf>
    <xf numFmtId="237" fontId="27" fillId="14" borderId="0">
      <alignment horizontal="center" vertical="top" wrapText="1"/>
    </xf>
    <xf numFmtId="173" fontId="27" fillId="14" borderId="0">
      <alignment horizontal="center" vertical="top"/>
    </xf>
    <xf numFmtId="173" fontId="27" fillId="14" borderId="0">
      <alignment horizontal="left" vertical="top"/>
    </xf>
    <xf numFmtId="173" fontId="27" fillId="14" borderId="0"/>
    <xf numFmtId="43" fontId="27" fillId="14" borderId="0">
      <alignment horizontal="left" vertical="top"/>
    </xf>
    <xf numFmtId="236" fontId="27" fillId="14" borderId="0">
      <alignment horizontal="center" vertical="top"/>
    </xf>
    <xf numFmtId="237" fontId="80" fillId="14" borderId="0">
      <alignment horizontal="center" wrapText="1"/>
    </xf>
    <xf numFmtId="173" fontId="27" fillId="0" borderId="0"/>
    <xf numFmtId="173" fontId="27" fillId="14" borderId="0">
      <alignment horizontal="left" vertical="top"/>
    </xf>
    <xf numFmtId="173" fontId="27" fillId="14" borderId="0">
      <alignment horizontal="right"/>
    </xf>
    <xf numFmtId="173" fontId="27" fillId="14" borderId="0">
      <alignment horizontal="right"/>
    </xf>
    <xf numFmtId="4" fontId="60" fillId="14" borderId="0">
      <alignment horizontal="right" vertical="top"/>
    </xf>
    <xf numFmtId="43" fontId="27" fillId="14" borderId="0">
      <alignment horizontal="center" vertical="top"/>
    </xf>
    <xf numFmtId="237" fontId="27" fillId="14" borderId="0">
      <alignment horizontal="center" vertical="top" wrapText="1"/>
    </xf>
    <xf numFmtId="43" fontId="27" fillId="14" borderId="0">
      <alignment horizontal="left" vertical="top"/>
    </xf>
    <xf numFmtId="173" fontId="28" fillId="6" borderId="9">
      <alignment horizontal="right" wrapText="1"/>
    </xf>
    <xf numFmtId="173" fontId="28" fillId="6" borderId="9">
      <alignment horizontal="center" wrapText="1"/>
    </xf>
    <xf numFmtId="171" fontId="28" fillId="6" borderId="9">
      <alignment horizontal="right" wrapText="1"/>
    </xf>
    <xf numFmtId="43" fontId="28" fillId="6" borderId="9">
      <alignment horizontal="center" wrapText="1"/>
    </xf>
    <xf numFmtId="236" fontId="28" fillId="6" borderId="9">
      <alignment horizontal="center" wrapText="1"/>
    </xf>
    <xf numFmtId="236" fontId="28" fillId="6" borderId="9">
      <alignment horizontal="center" wrapText="1"/>
    </xf>
    <xf numFmtId="208" fontId="29" fillId="0" borderId="0">
      <alignment horizontal="left" vertical="center" wrapText="1"/>
    </xf>
    <xf numFmtId="173" fontId="27" fillId="0" borderId="0">
      <alignment horizontal="right"/>
    </xf>
    <xf numFmtId="173" fontId="27" fillId="0" borderId="0"/>
    <xf numFmtId="171" fontId="27" fillId="0" borderId="0">
      <alignment horizontal="right"/>
    </xf>
    <xf numFmtId="43" fontId="27" fillId="0" borderId="0">
      <alignment horizontal="center"/>
    </xf>
    <xf numFmtId="236" fontId="27" fillId="0" borderId="0"/>
    <xf numFmtId="236" fontId="27" fillId="0" borderId="0">
      <alignment wrapText="1"/>
    </xf>
    <xf numFmtId="171" fontId="27" fillId="0" borderId="0">
      <alignment horizontal="center" vertical="top"/>
    </xf>
    <xf numFmtId="173" fontId="27" fillId="0" borderId="0">
      <alignment horizontal="center" vertical="top"/>
    </xf>
    <xf numFmtId="173" fontId="27" fillId="0" borderId="0">
      <alignment horizontal="center" vertical="top"/>
    </xf>
    <xf numFmtId="173" fontId="27" fillId="0" borderId="0">
      <alignment horizontal="left" vertical="top"/>
    </xf>
    <xf numFmtId="173" fontId="27" fillId="0" borderId="0">
      <alignment horizontal="right" vertical="center" wrapText="1"/>
    </xf>
    <xf numFmtId="173" fontId="27" fillId="0" borderId="0">
      <alignment horizontal="right" vertical="top"/>
    </xf>
    <xf numFmtId="171" fontId="27" fillId="0" borderId="0">
      <alignment horizontal="center" vertical="top"/>
    </xf>
    <xf numFmtId="171" fontId="80" fillId="0" borderId="0">
      <alignment horizontal="right"/>
    </xf>
    <xf numFmtId="43" fontId="80" fillId="0" borderId="0">
      <alignment horizontal="center"/>
    </xf>
    <xf numFmtId="236" fontId="80" fillId="0" borderId="0"/>
    <xf numFmtId="237" fontId="80" fillId="0" borderId="0">
      <alignment horizontal="center"/>
    </xf>
    <xf numFmtId="237" fontId="80" fillId="0" borderId="0">
      <alignment horizontal="center" wrapText="1"/>
    </xf>
    <xf numFmtId="236" fontId="80" fillId="0" borderId="0">
      <alignment wrapText="1"/>
    </xf>
    <xf numFmtId="43" fontId="60" fillId="0" borderId="0">
      <alignment horizontal="center"/>
    </xf>
    <xf numFmtId="43" fontId="60" fillId="0" borderId="0"/>
    <xf numFmtId="173" fontId="27" fillId="0" borderId="0">
      <alignment horizontal="center" vertical="center" wrapText="1"/>
    </xf>
    <xf numFmtId="43" fontId="60" fillId="0" borderId="17">
      <alignment horizontal="center" vertical="center"/>
    </xf>
    <xf numFmtId="43" fontId="60" fillId="0" borderId="12">
      <alignment horizontal="center" vertical="center"/>
    </xf>
    <xf numFmtId="43" fontId="84" fillId="0" borderId="12">
      <alignment horizontal="center" vertical="center"/>
    </xf>
    <xf numFmtId="43" fontId="84" fillId="0" borderId="13">
      <alignment horizontal="center"/>
    </xf>
    <xf numFmtId="43" fontId="84" fillId="0" borderId="0">
      <alignment horizontal="center"/>
    </xf>
    <xf numFmtId="2" fontId="84" fillId="0" borderId="0">
      <alignment horizontal="center"/>
    </xf>
    <xf numFmtId="43" fontId="84" fillId="0" borderId="14">
      <alignment horizontal="center"/>
    </xf>
    <xf numFmtId="43" fontId="84" fillId="0" borderId="0">
      <alignment horizontal="center"/>
    </xf>
    <xf numFmtId="173" fontId="84" fillId="0" borderId="0">
      <alignment horizontal="center" wrapText="1"/>
    </xf>
    <xf numFmtId="173" fontId="84" fillId="0" borderId="3">
      <alignment horizontal="center" wrapText="1"/>
    </xf>
    <xf numFmtId="171" fontId="27" fillId="0" borderId="0">
      <alignment horizontal="right" vertical="center" wrapText="1"/>
    </xf>
    <xf numFmtId="166" fontId="84" fillId="0" borderId="3">
      <alignment horizontal="center" wrapText="1"/>
    </xf>
    <xf numFmtId="43" fontId="92" fillId="0" borderId="0">
      <alignment horizontal="left"/>
    </xf>
    <xf numFmtId="43" fontId="84" fillId="0" borderId="0">
      <alignment horizontal="center" wrapText="1"/>
    </xf>
    <xf numFmtId="43" fontId="84" fillId="0" borderId="0">
      <alignment wrapText="1"/>
    </xf>
    <xf numFmtId="43" fontId="84" fillId="6" borderId="9">
      <alignment horizontal="right" wrapText="1"/>
    </xf>
    <xf numFmtId="43" fontId="84" fillId="6" borderId="9">
      <alignment horizontal="center" wrapText="1"/>
    </xf>
    <xf numFmtId="173" fontId="7" fillId="0" borderId="0"/>
    <xf numFmtId="173" fontId="7" fillId="0" borderId="0">
      <alignment horizontal="center"/>
    </xf>
    <xf numFmtId="173" fontId="7" fillId="0" borderId="0">
      <alignment horizontal="left"/>
    </xf>
    <xf numFmtId="173" fontId="7" fillId="0" borderId="0">
      <alignment horizontal="center"/>
    </xf>
    <xf numFmtId="43" fontId="28" fillId="0" borderId="0">
      <alignment horizontal="center" vertical="center" wrapText="1"/>
    </xf>
    <xf numFmtId="173" fontId="25" fillId="0" borderId="0">
      <alignment horizontal="center"/>
    </xf>
    <xf numFmtId="173" fontId="7" fillId="0" borderId="0"/>
    <xf numFmtId="173" fontId="85" fillId="0" borderId="0">
      <alignment horizontal="left" vertical="center"/>
    </xf>
    <xf numFmtId="173" fontId="28" fillId="0" borderId="27"/>
    <xf numFmtId="173" fontId="28" fillId="0" borderId="0"/>
    <xf numFmtId="43" fontId="28" fillId="0" borderId="0"/>
    <xf numFmtId="43" fontId="28" fillId="0" borderId="0">
      <alignment horizontal="center"/>
    </xf>
    <xf numFmtId="173" fontId="28" fillId="0" borderId="0">
      <alignment horizontal="center"/>
    </xf>
    <xf numFmtId="173" fontId="28" fillId="6" borderId="24">
      <alignment horizontal="center"/>
    </xf>
    <xf numFmtId="49" fontId="27" fillId="0" borderId="0">
      <alignment horizontal="left"/>
    </xf>
    <xf numFmtId="236" fontId="28" fillId="0" borderId="0">
      <alignment horizontal="center" vertical="center" wrapText="1"/>
    </xf>
    <xf numFmtId="49" fontId="27" fillId="0" borderId="13">
      <alignment horizontal="left"/>
    </xf>
    <xf numFmtId="49" fontId="27" fillId="0" borderId="15">
      <alignment horizontal="left"/>
    </xf>
    <xf numFmtId="173" fontId="82" fillId="0" borderId="14"/>
    <xf numFmtId="49" fontId="27" fillId="0" borderId="14">
      <alignment horizontal="left"/>
    </xf>
    <xf numFmtId="173" fontId="7" fillId="0" borderId="0">
      <alignment horizontal="center"/>
    </xf>
    <xf numFmtId="173" fontId="7" fillId="0" borderId="0"/>
    <xf numFmtId="173" fontId="7" fillId="0" borderId="0"/>
    <xf numFmtId="173" fontId="25" fillId="0" borderId="0">
      <alignment horizontal="right"/>
    </xf>
    <xf numFmtId="173" fontId="25" fillId="0" borderId="0">
      <alignment horizontal="center"/>
    </xf>
    <xf numFmtId="173" fontId="25" fillId="0" borderId="3"/>
    <xf numFmtId="173" fontId="28" fillId="0" borderId="0">
      <alignment horizontal="left" vertical="center" wrapText="1"/>
    </xf>
    <xf numFmtId="173" fontId="25" fillId="0" borderId="3">
      <alignment horizontal="center"/>
    </xf>
    <xf numFmtId="173" fontId="25" fillId="0" borderId="3">
      <alignment horizontal="center" wrapText="1"/>
    </xf>
    <xf numFmtId="173" fontId="25" fillId="0" borderId="0"/>
    <xf numFmtId="173" fontId="25" fillId="0" borderId="3">
      <alignment horizontal="center" wrapText="1"/>
    </xf>
    <xf numFmtId="173" fontId="25" fillId="0" borderId="0">
      <alignment horizontal="center"/>
    </xf>
    <xf numFmtId="173" fontId="25" fillId="0" borderId="3">
      <alignment horizontal="center"/>
    </xf>
    <xf numFmtId="173" fontId="25" fillId="0" borderId="0"/>
    <xf numFmtId="173" fontId="25" fillId="0" borderId="3">
      <alignment horizontal="left" wrapText="1"/>
    </xf>
    <xf numFmtId="237" fontId="7" fillId="0" borderId="0">
      <alignment horizontal="center"/>
    </xf>
    <xf numFmtId="237" fontId="7" fillId="0" borderId="0">
      <alignment horizontal="left"/>
    </xf>
    <xf numFmtId="0" fontId="93" fillId="0" borderId="0"/>
    <xf numFmtId="10" fontId="11" fillId="0" borderId="0"/>
    <xf numFmtId="0" fontId="31" fillId="0" borderId="0" applyFill="0" applyBorder="0" applyAlignment="0"/>
    <xf numFmtId="0" fontId="31" fillId="0" borderId="0" applyFill="0" applyBorder="0" applyAlignment="0"/>
    <xf numFmtId="0" fontId="31" fillId="0" borderId="0" applyFill="0" applyBorder="0" applyAlignment="0"/>
    <xf numFmtId="0" fontId="31" fillId="0" borderId="0" applyFill="0" applyBorder="0" applyAlignment="0"/>
    <xf numFmtId="0" fontId="31" fillId="0" borderId="0" applyFill="0" applyBorder="0" applyAlignment="0"/>
    <xf numFmtId="228" fontId="11" fillId="0" borderId="0"/>
    <xf numFmtId="0" fontId="94" fillId="6" borderId="0"/>
    <xf numFmtId="0" fontId="59" fillId="0" borderId="0" applyNumberFormat="0" applyFont="0" applyFill="0" applyBorder="0" applyAlignment="0" applyProtection="0">
      <alignment horizontal="left"/>
    </xf>
    <xf numFmtId="15" fontId="59" fillId="0" borderId="0" applyFont="0" applyFill="0" applyBorder="0" applyAlignment="0" applyProtection="0"/>
    <xf numFmtId="4" fontId="59" fillId="0" borderId="0" applyFont="0" applyFill="0" applyBorder="0" applyAlignment="0" applyProtection="0"/>
    <xf numFmtId="0" fontId="95" fillId="0" borderId="10">
      <alignment horizontal="center"/>
    </xf>
    <xf numFmtId="3" fontId="59" fillId="0" borderId="0" applyFont="0" applyFill="0" applyBorder="0" applyAlignment="0" applyProtection="0"/>
    <xf numFmtId="0" fontId="59" fillId="20" borderId="0" applyNumberFormat="0" applyFont="0" applyBorder="0" applyAlignment="0" applyProtection="0"/>
    <xf numFmtId="0" fontId="27" fillId="0" borderId="0">
      <alignment vertical="top"/>
    </xf>
    <xf numFmtId="0" fontId="27" fillId="0" borderId="0">
      <alignment vertical="top"/>
    </xf>
    <xf numFmtId="0" fontId="27" fillId="0" borderId="0">
      <alignment vertical="top"/>
    </xf>
    <xf numFmtId="0" fontId="27" fillId="0" borderId="0">
      <alignment vertical="top"/>
    </xf>
    <xf numFmtId="246" fontId="96" fillId="0" borderId="0"/>
    <xf numFmtId="0" fontId="11" fillId="0" borderId="0" applyFont="0" applyFill="0" applyBorder="0" applyProtection="0">
      <alignment horizontal="right"/>
    </xf>
    <xf numFmtId="0" fontId="11" fillId="0" borderId="0" applyFont="0" applyFill="0" applyBorder="0" applyProtection="0">
      <alignment horizontal="right"/>
    </xf>
    <xf numFmtId="0" fontId="11" fillId="0" borderId="0" applyFont="0" applyFill="0" applyBorder="0" applyProtection="0">
      <alignment horizontal="right"/>
    </xf>
    <xf numFmtId="0" fontId="97" fillId="21" borderId="0" applyNumberFormat="0" applyFont="0" applyBorder="0" applyAlignment="0">
      <alignment horizontal="center"/>
    </xf>
    <xf numFmtId="14" fontId="46" fillId="0" borderId="0" applyNumberFormat="0" applyFill="0" applyBorder="0" applyAlignment="0" applyProtection="0">
      <alignment horizontal="left"/>
    </xf>
    <xf numFmtId="49" fontId="7" fillId="0" borderId="0" applyFont="0" applyFill="0" applyBorder="0" applyProtection="0">
      <alignment horizontal="right"/>
    </xf>
    <xf numFmtId="49" fontId="25" fillId="0" borderId="0" applyFill="0" applyBorder="0" applyProtection="0">
      <alignment horizontal="right"/>
    </xf>
    <xf numFmtId="49" fontId="25" fillId="0" borderId="3" applyFill="0" applyProtection="0">
      <alignment horizontal="right"/>
    </xf>
    <xf numFmtId="49" fontId="25" fillId="0" borderId="12" applyFill="0" applyProtection="0">
      <alignment horizontal="right"/>
    </xf>
    <xf numFmtId="0" fontId="69" fillId="0" borderId="0" applyFill="0" applyBorder="0" applyProtection="0">
      <alignment horizontal="left"/>
    </xf>
    <xf numFmtId="0" fontId="18" fillId="22" borderId="0"/>
    <xf numFmtId="0" fontId="97" fillId="1" borderId="8" applyNumberFormat="0" applyFont="0" applyAlignment="0">
      <alignment horizontal="center"/>
    </xf>
    <xf numFmtId="247" fontId="98" fillId="0" borderId="0" applyFont="0" applyFill="0" applyBorder="0" applyAlignment="0" applyProtection="0"/>
    <xf numFmtId="1" fontId="11" fillId="0" borderId="0"/>
    <xf numFmtId="0" fontId="7" fillId="0" borderId="0" applyFont="0" applyFill="0" applyBorder="0" applyAlignment="0" applyProtection="0"/>
    <xf numFmtId="0" fontId="25" fillId="0" borderId="0" applyFill="0" applyBorder="0" applyAlignment="0" applyProtection="0"/>
    <xf numFmtId="42" fontId="26" fillId="0" borderId="0" applyFill="0" applyBorder="0" applyAlignment="0" applyProtection="0"/>
    <xf numFmtId="0" fontId="99" fillId="0" borderId="0" applyNumberFormat="0" applyFill="0" applyBorder="0" applyAlignment="0">
      <alignment horizontal="center"/>
    </xf>
    <xf numFmtId="12" fontId="11" fillId="0" borderId="0" applyFont="0" applyFill="0" applyBorder="0" applyProtection="0">
      <alignment horizontal="right"/>
    </xf>
    <xf numFmtId="0" fontId="11" fillId="23" borderId="0" applyFont="0" applyFill="0" applyBorder="0" applyProtection="0">
      <alignment horizontal="right"/>
    </xf>
    <xf numFmtId="0" fontId="9" fillId="0" borderId="0">
      <alignment vertical="top"/>
    </xf>
    <xf numFmtId="0" fontId="84" fillId="0" borderId="0" applyNumberFormat="0" applyFill="0" applyBorder="0" applyProtection="0">
      <alignment horizontal="left"/>
    </xf>
    <xf numFmtId="0" fontId="27" fillId="0" borderId="0" applyNumberFormat="0" applyFill="0" applyBorder="0" applyProtection="0">
      <alignment horizontal="left"/>
    </xf>
    <xf numFmtId="0" fontId="27" fillId="0" borderId="0" applyNumberFormat="0" applyFill="0" applyBorder="0" applyProtection="0">
      <alignment horizontal="left"/>
    </xf>
    <xf numFmtId="0" fontId="28" fillId="0" borderId="0" applyNumberFormat="0" applyFill="0" applyBorder="0" applyProtection="0">
      <alignment horizontal="left"/>
    </xf>
    <xf numFmtId="0" fontId="28" fillId="0" borderId="0" applyFill="0" applyBorder="0" applyProtection="0">
      <alignment horizontal="left" wrapText="1"/>
    </xf>
    <xf numFmtId="0" fontId="28" fillId="0" borderId="0" applyNumberFormat="0" applyFill="0" applyBorder="0" applyProtection="0">
      <alignment horizontal="right" wrapText="1"/>
    </xf>
    <xf numFmtId="1" fontId="27" fillId="0" borderId="0" applyFill="0" applyBorder="0" applyProtection="0">
      <alignment horizontal="left"/>
    </xf>
    <xf numFmtId="49" fontId="27" fillId="0" borderId="0" applyFill="0" applyBorder="0" applyProtection="0">
      <alignment horizontal="left"/>
    </xf>
    <xf numFmtId="1" fontId="27" fillId="0" borderId="0" applyFill="0" applyBorder="0" applyProtection="0">
      <alignment horizontal="center"/>
    </xf>
    <xf numFmtId="37" fontId="27" fillId="0" borderId="0" applyFill="0" applyBorder="0" applyProtection="0">
      <alignment horizontal="right"/>
    </xf>
    <xf numFmtId="7" fontId="27" fillId="0" borderId="0" applyFill="0" applyBorder="0" applyProtection="0">
      <alignment horizontal="right"/>
    </xf>
    <xf numFmtId="248" fontId="27" fillId="0" borderId="0" applyFill="0" applyBorder="0" applyProtection="0">
      <alignment horizontal="left"/>
    </xf>
    <xf numFmtId="37" fontId="28" fillId="0" borderId="0" applyFill="0" applyBorder="0" applyProtection="0">
      <alignment horizontal="right"/>
    </xf>
    <xf numFmtId="7" fontId="28" fillId="0" borderId="0" applyFill="0" applyBorder="0" applyProtection="0">
      <alignment horizontal="right"/>
    </xf>
    <xf numFmtId="249" fontId="27" fillId="0" borderId="0" applyFill="0" applyBorder="0" applyProtection="0">
      <alignment horizontal="right"/>
    </xf>
    <xf numFmtId="250" fontId="27" fillId="0" borderId="0" applyFill="0" applyBorder="0" applyProtection="0">
      <alignment horizontal="right"/>
    </xf>
    <xf numFmtId="251" fontId="27" fillId="0" borderId="0" applyFill="0" applyBorder="0" applyProtection="0">
      <alignment horizontal="right"/>
    </xf>
    <xf numFmtId="14" fontId="27" fillId="0" borderId="0" applyFill="0" applyBorder="0" applyProtection="0">
      <alignment horizontal="right"/>
    </xf>
    <xf numFmtId="14" fontId="27" fillId="0" borderId="0" applyFill="0" applyBorder="0" applyProtection="0">
      <alignment horizontal="right"/>
    </xf>
    <xf numFmtId="252" fontId="27" fillId="0" borderId="0" applyFill="0" applyBorder="0" applyProtection="0">
      <alignment horizontal="left"/>
    </xf>
    <xf numFmtId="253" fontId="27" fillId="0" borderId="0" applyFill="0" applyBorder="0" applyProtection="0">
      <alignment horizontal="left"/>
    </xf>
    <xf numFmtId="249" fontId="28" fillId="0" borderId="0" applyFill="0" applyBorder="0" applyProtection="0">
      <alignment horizontal="right"/>
    </xf>
    <xf numFmtId="1" fontId="28" fillId="0" borderId="0" applyFill="0" applyBorder="0" applyProtection="0">
      <alignment horizontal="left"/>
    </xf>
    <xf numFmtId="248" fontId="28" fillId="0" borderId="0" applyFill="0" applyBorder="0" applyProtection="0">
      <alignment horizontal="left"/>
    </xf>
    <xf numFmtId="37" fontId="28" fillId="0" borderId="0" applyFill="0" applyBorder="0" applyProtection="0">
      <alignment horizontal="right"/>
    </xf>
    <xf numFmtId="1" fontId="100" fillId="0" borderId="0" applyFill="0" applyBorder="0" applyProtection="0">
      <alignment horizontal="left"/>
    </xf>
    <xf numFmtId="49" fontId="27" fillId="0" borderId="0" applyFill="0" applyBorder="0" applyProtection="0">
      <alignment horizontal="left"/>
    </xf>
    <xf numFmtId="253" fontId="27" fillId="0" borderId="0" applyFill="0" applyBorder="0" applyProtection="0">
      <alignment horizontal="left"/>
    </xf>
    <xf numFmtId="0" fontId="9" fillId="0" borderId="0" applyNumberFormat="0" applyBorder="0" applyAlignment="0"/>
    <xf numFmtId="0" fontId="19" fillId="0" borderId="0"/>
    <xf numFmtId="40" fontId="101" fillId="0" borderId="0" applyBorder="0">
      <alignment horizontal="right"/>
    </xf>
    <xf numFmtId="6" fontId="75" fillId="0" borderId="36" applyFill="0">
      <alignment vertical="center"/>
    </xf>
    <xf numFmtId="0" fontId="20" fillId="0" borderId="0"/>
    <xf numFmtId="0" fontId="102" fillId="0" borderId="0"/>
    <xf numFmtId="0" fontId="7" fillId="0" borderId="0"/>
    <xf numFmtId="49" fontId="9" fillId="0" borderId="0" applyFill="0" applyBorder="0" applyAlignment="0"/>
    <xf numFmtId="0" fontId="31" fillId="0" borderId="0" applyFill="0" applyBorder="0" applyAlignment="0"/>
    <xf numFmtId="202" fontId="11" fillId="0" borderId="0" applyFill="0" applyBorder="0" applyAlignment="0"/>
    <xf numFmtId="0" fontId="21" fillId="0" borderId="0"/>
    <xf numFmtId="0" fontId="22" fillId="0" borderId="0"/>
    <xf numFmtId="0" fontId="23" fillId="0" borderId="0">
      <alignment vertical="top"/>
    </xf>
    <xf numFmtId="254" fontId="75" fillId="0" borderId="0" applyFill="0" applyBorder="0">
      <alignment vertical="center"/>
    </xf>
    <xf numFmtId="0" fontId="27" fillId="0" borderId="0" applyNumberFormat="0" applyFill="0" applyBorder="0" applyAlignment="0" applyProtection="0"/>
    <xf numFmtId="0" fontId="6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38" fontId="103" fillId="0" borderId="0" applyNumberFormat="0" applyFill="0" applyBorder="0">
      <alignment horizontal="left" vertical="center"/>
    </xf>
    <xf numFmtId="38" fontId="104" fillId="0" borderId="0" applyNumberFormat="0" applyFill="0" applyBorder="0">
      <alignment horizontal="centerContinuous" vertical="center"/>
    </xf>
    <xf numFmtId="0" fontId="24" fillId="0" borderId="0">
      <alignment vertical="top"/>
    </xf>
    <xf numFmtId="0" fontId="105" fillId="0" borderId="0" applyNumberFormat="0" applyFill="0" applyBorder="0" applyAlignment="0" applyProtection="0"/>
    <xf numFmtId="0" fontId="11" fillId="0" borderId="0" applyNumberFormat="0" applyFill="0" applyBorder="0" applyAlignment="0" applyProtection="0"/>
    <xf numFmtId="0" fontId="30" fillId="0" borderId="0" applyFill="0" applyBorder="0" applyAlignment="0" applyProtection="0"/>
    <xf numFmtId="0" fontId="21" fillId="0" borderId="0">
      <alignment wrapText="1"/>
    </xf>
    <xf numFmtId="0" fontId="106" fillId="0" borderId="0">
      <alignment horizontal="left"/>
      <protection locked="0"/>
    </xf>
    <xf numFmtId="5" fontId="91" fillId="0" borderId="0">
      <alignment vertical="center"/>
    </xf>
    <xf numFmtId="224" fontId="31" fillId="0" borderId="0"/>
    <xf numFmtId="255" fontId="32" fillId="0" borderId="0" applyFill="0" applyBorder="0" applyAlignment="0" applyProtection="0"/>
    <xf numFmtId="14" fontId="27" fillId="0" borderId="0" applyFont="0" applyFill="0" applyBorder="0" applyProtection="0"/>
    <xf numFmtId="256" fontId="107" fillId="0" borderId="0" applyFill="0" applyBorder="0">
      <alignment vertical="center"/>
    </xf>
    <xf numFmtId="0" fontId="75" fillId="24" borderId="37" applyNumberFormat="0" applyFont="0" applyBorder="0" applyAlignment="0" applyProtection="0">
      <alignment horizontal="right"/>
    </xf>
    <xf numFmtId="257" fontId="26" fillId="0" borderId="0" applyFont="0" applyFill="0" applyBorder="0" applyAlignment="0" applyProtection="0"/>
    <xf numFmtId="256" fontId="108" fillId="0" borderId="0">
      <alignment horizontal="center"/>
    </xf>
    <xf numFmtId="43" fontId="11" fillId="0" borderId="0" applyFont="0" applyFill="0" applyBorder="0" applyAlignment="0" applyProtection="0"/>
    <xf numFmtId="41" fontId="11" fillId="0" borderId="0" applyFont="0" applyFill="0" applyBorder="0" applyAlignment="0" applyProtection="0"/>
    <xf numFmtId="0" fontId="11" fillId="0" borderId="0"/>
    <xf numFmtId="44" fontId="11" fillId="0" borderId="0" applyFont="0" applyFill="0" applyBorder="0" applyAlignment="0" applyProtection="0"/>
    <xf numFmtId="42" fontId="11" fillId="0" borderId="0" applyFont="0" applyFill="0" applyBorder="0" applyAlignment="0" applyProtection="0"/>
    <xf numFmtId="0" fontId="5" fillId="0" borderId="0"/>
    <xf numFmtId="43" fontId="5" fillId="0" borderId="0" applyFont="0" applyFill="0" applyBorder="0" applyAlignment="0" applyProtection="0"/>
    <xf numFmtId="0" fontId="6" fillId="0" borderId="0"/>
    <xf numFmtId="9" fontId="5" fillId="0" borderId="0" applyFont="0" applyFill="0" applyBorder="0" applyAlignment="0" applyProtection="0"/>
    <xf numFmtId="0" fontId="4" fillId="0" borderId="0"/>
    <xf numFmtId="43" fontId="4" fillId="0" borderId="0" applyFont="0" applyFill="0" applyBorder="0" applyAlignment="0" applyProtection="0"/>
    <xf numFmtId="164" fontId="6" fillId="0" borderId="0" applyFont="0" applyFill="0" applyBorder="0" applyAlignment="0" applyProtection="0"/>
    <xf numFmtId="0" fontId="6" fillId="0" borderId="0"/>
    <xf numFmtId="176" fontId="6" fillId="0" borderId="0" applyFont="0" applyFill="0" applyBorder="0" applyAlignment="0" applyProtection="0"/>
    <xf numFmtId="177"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pplyNumberFormat="0" applyFill="0" applyBorder="0" applyAlignment="0" applyProtection="0">
      <alignment horizontal="left" wrapText="1"/>
    </xf>
    <xf numFmtId="0" fontId="6" fillId="0" borderId="0" applyNumberFormat="0" applyFill="0" applyBorder="0" applyAlignment="0" applyProtection="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vertical="top"/>
    </xf>
    <xf numFmtId="0" fontId="6" fillId="0" borderId="0" applyNumberFormat="0" applyFill="0" applyBorder="0" applyAlignment="0" applyProtection="0">
      <alignment horizontal="left" wrapText="1"/>
    </xf>
    <xf numFmtId="0" fontId="6" fillId="0" borderId="0">
      <alignment vertical="top"/>
    </xf>
    <xf numFmtId="178" fontId="6" fillId="0" borderId="0" applyFont="0" applyFill="0" applyBorder="0" applyAlignment="0" applyProtection="0"/>
    <xf numFmtId="166" fontId="6" fillId="0" borderId="0" applyFont="0" applyFill="0" applyBorder="0" applyAlignment="0" applyProtection="0"/>
    <xf numFmtId="179" fontId="6" fillId="0" borderId="0" applyFont="0" applyFill="0" applyBorder="0" applyAlignment="0" applyProtection="0"/>
    <xf numFmtId="180" fontId="6" fillId="0" borderId="0" applyFont="0" applyFill="0" applyBorder="0" applyAlignment="0" applyProtection="0"/>
    <xf numFmtId="181" fontId="6" fillId="0" borderId="0" applyFont="0" applyFill="0" applyBorder="0" applyAlignment="0" applyProtection="0"/>
    <xf numFmtId="39" fontId="6" fillId="0" borderId="0" applyFont="0" applyFill="0" applyBorder="0" applyAlignment="0" applyProtection="0"/>
    <xf numFmtId="182"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2" borderId="0" applyNumberFormat="0" applyFont="0" applyAlignment="0" applyProtection="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applyFont="0" applyFill="0" applyBorder="0" applyProtection="0">
      <alignment horizontal="right"/>
    </xf>
    <xf numFmtId="186" fontId="6" fillId="0" borderId="0" applyFont="0" applyFill="0" applyBorder="0" applyAlignment="0" applyProtection="0"/>
    <xf numFmtId="0" fontId="6" fillId="0" borderId="0">
      <alignment horizontal="left" wrapText="1"/>
    </xf>
    <xf numFmtId="0" fontId="6" fillId="0" borderId="0">
      <alignment horizontal="left" wrapText="1"/>
    </xf>
    <xf numFmtId="187" fontId="6" fillId="0" borderId="0" applyFont="0" applyFill="0" applyBorder="0" applyAlignment="0" applyProtection="0"/>
    <xf numFmtId="188"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42" fontId="6" fillId="0" borderId="0" applyFont="0" applyFill="0" applyBorder="0" applyAlignment="0" applyProtection="0"/>
    <xf numFmtId="0" fontId="6" fillId="0" borderId="0" applyNumberFormat="0" applyFill="0" applyBorder="0" applyAlignment="0" applyProtection="0"/>
    <xf numFmtId="202" fontId="6" fillId="0" borderId="0" applyFill="0" applyBorder="0" applyAlignment="0"/>
    <xf numFmtId="8" fontId="6" fillId="0" borderId="5" applyFont="0" applyFill="0" applyBorder="0" applyProtection="0">
      <alignment horizontal="right"/>
    </xf>
    <xf numFmtId="203" fontId="6" fillId="0" borderId="0"/>
    <xf numFmtId="203" fontId="6" fillId="0" borderId="0"/>
    <xf numFmtId="203" fontId="6" fillId="0" borderId="0"/>
    <xf numFmtId="203" fontId="6" fillId="0" borderId="0"/>
    <xf numFmtId="203" fontId="6" fillId="0" borderId="0"/>
    <xf numFmtId="203" fontId="6" fillId="0" borderId="0"/>
    <xf numFmtId="203" fontId="6" fillId="0" borderId="0"/>
    <xf numFmtId="203" fontId="6" fillId="0" borderId="0"/>
    <xf numFmtId="40" fontId="6" fillId="0" borderId="0" applyFont="0" applyFill="0" applyBorder="0" applyProtection="0">
      <alignment horizontal="right"/>
    </xf>
    <xf numFmtId="3" fontId="6" fillId="0" borderId="0" applyFill="0" applyBorder="0" applyAlignment="0" applyProtection="0"/>
    <xf numFmtId="7" fontId="6" fillId="0" borderId="0" applyFont="0" applyFill="0" applyBorder="0" applyAlignment="0" applyProtection="0"/>
    <xf numFmtId="207" fontId="6" fillId="0" borderId="0" applyNumberFormat="0">
      <alignment horizontal="right"/>
    </xf>
    <xf numFmtId="15" fontId="6" fillId="0" borderId="0" applyFont="0" applyFill="0" applyBorder="0" applyProtection="0">
      <alignment horizontal="right"/>
    </xf>
    <xf numFmtId="0" fontId="6" fillId="0" borderId="0">
      <alignment horizontal="left"/>
    </xf>
    <xf numFmtId="210" fontId="6" fillId="0" borderId="0" applyFont="0" applyFill="0" applyBorder="0" applyAlignment="0" applyProtection="0"/>
    <xf numFmtId="0" fontId="6" fillId="0" borderId="0">
      <alignment horizontal="center"/>
    </xf>
    <xf numFmtId="0" fontId="6" fillId="0" borderId="0">
      <alignment horizontal="left"/>
    </xf>
    <xf numFmtId="0" fontId="6" fillId="0" borderId="0">
      <alignment horizontal="right"/>
    </xf>
    <xf numFmtId="166" fontId="6" fillId="0" borderId="0" applyNumberFormat="0" applyFont="0" applyFill="0" applyBorder="0" applyAlignment="0"/>
    <xf numFmtId="7" fontId="6" fillId="0" borderId="0"/>
    <xf numFmtId="223" fontId="6" fillId="0" borderId="0"/>
    <xf numFmtId="0" fontId="6" fillId="0" borderId="0" applyNumberFormat="0" applyFill="0" applyBorder="0" applyAlignment="0" applyProtection="0"/>
    <xf numFmtId="10" fontId="6" fillId="0" borderId="0" applyFont="0" applyFill="0" applyBorder="0" applyAlignment="0" applyProtection="0"/>
    <xf numFmtId="0" fontId="6" fillId="0" borderId="0" applyFont="0" applyFill="0" applyBorder="0" applyProtection="0">
      <alignment horizontal="right"/>
    </xf>
    <xf numFmtId="10" fontId="6" fillId="0" borderId="0"/>
    <xf numFmtId="228" fontId="6" fillId="0" borderId="0"/>
    <xf numFmtId="0" fontId="6" fillId="0" borderId="0" applyFont="0" applyFill="0" applyBorder="0" applyProtection="0">
      <alignment horizontal="right"/>
    </xf>
    <xf numFmtId="0" fontId="6" fillId="0" borderId="0" applyFont="0" applyFill="0" applyBorder="0" applyProtection="0">
      <alignment horizontal="right"/>
    </xf>
    <xf numFmtId="1" fontId="6" fillId="0" borderId="0"/>
    <xf numFmtId="12" fontId="6" fillId="0" borderId="0" applyFont="0" applyFill="0" applyBorder="0" applyProtection="0">
      <alignment horizontal="right"/>
    </xf>
    <xf numFmtId="0" fontId="6" fillId="23" borderId="0" applyFont="0" applyFill="0" applyBorder="0" applyProtection="0">
      <alignment horizontal="right"/>
    </xf>
    <xf numFmtId="202" fontId="6" fillId="0" borderId="0" applyFill="0" applyBorder="0" applyAlignment="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3" fontId="6" fillId="0" borderId="0" applyFont="0" applyFill="0" applyBorder="0" applyAlignment="0" applyProtection="0"/>
    <xf numFmtId="264" fontId="6"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6" fillId="0" borderId="0" applyFont="0" applyFill="0" applyBorder="0" applyAlignment="0" applyProtection="0"/>
  </cellStyleXfs>
  <cellXfs count="308">
    <xf numFmtId="0" fontId="0" fillId="0" borderId="0" xfId="0"/>
    <xf numFmtId="0" fontId="5" fillId="0" borderId="0" xfId="894"/>
    <xf numFmtId="0" fontId="114" fillId="0" borderId="0" xfId="896" applyFont="1"/>
    <xf numFmtId="0" fontId="117" fillId="0" borderId="0" xfId="896" applyFont="1"/>
    <xf numFmtId="173" fontId="121" fillId="0" borderId="0" xfId="895" applyNumberFormat="1" applyFont="1" applyFill="1"/>
    <xf numFmtId="0" fontId="121" fillId="0" borderId="0" xfId="896" applyFont="1"/>
    <xf numFmtId="0" fontId="110" fillId="0" borderId="0" xfId="896" applyFont="1"/>
    <xf numFmtId="166" fontId="110" fillId="0" borderId="0" xfId="894" applyNumberFormat="1" applyFont="1"/>
    <xf numFmtId="259" fontId="114" fillId="0" borderId="0" xfId="896" applyNumberFormat="1" applyFont="1"/>
    <xf numFmtId="171" fontId="114" fillId="0" borderId="0" xfId="895" applyNumberFormat="1" applyFont="1" applyFill="1" applyBorder="1"/>
    <xf numFmtId="259" fontId="114" fillId="0" borderId="8" xfId="896" applyNumberFormat="1" applyFont="1" applyBorder="1"/>
    <xf numFmtId="171" fontId="114" fillId="0" borderId="8" xfId="895" applyNumberFormat="1" applyFont="1" applyFill="1" applyBorder="1"/>
    <xf numFmtId="171" fontId="110" fillId="0" borderId="0" xfId="895" applyNumberFormat="1" applyFont="1" applyFill="1"/>
    <xf numFmtId="0" fontId="110" fillId="0" borderId="0" xfId="896" applyFont="1" applyAlignment="1">
      <alignment horizontal="left" wrapText="1"/>
    </xf>
    <xf numFmtId="0" fontId="114" fillId="0" borderId="0" xfId="896" applyFont="1" applyAlignment="1">
      <alignment horizontal="right" wrapText="1"/>
    </xf>
    <xf numFmtId="0" fontId="114" fillId="0" borderId="0" xfId="896" applyFont="1" applyAlignment="1">
      <alignment wrapText="1"/>
    </xf>
    <xf numFmtId="0" fontId="110" fillId="0" borderId="0" xfId="894" applyFont="1"/>
    <xf numFmtId="170" fontId="110" fillId="0" borderId="0" xfId="897" applyNumberFormat="1" applyFont="1" applyFill="1" applyBorder="1"/>
    <xf numFmtId="0" fontId="110" fillId="0" borderId="0" xfId="894" applyFont="1" applyAlignment="1">
      <alignment horizontal="right"/>
    </xf>
    <xf numFmtId="0" fontId="114" fillId="0" borderId="0" xfId="894" applyFont="1"/>
    <xf numFmtId="260" fontId="114" fillId="0" borderId="0" xfId="894" applyNumberFormat="1" applyFont="1" applyAlignment="1">
      <alignment horizontal="right"/>
    </xf>
    <xf numFmtId="259" fontId="114" fillId="0" borderId="0" xfId="894" applyNumberFormat="1" applyFont="1" applyAlignment="1">
      <alignment horizontal="right"/>
    </xf>
    <xf numFmtId="259" fontId="110" fillId="0" borderId="0" xfId="894" applyNumberFormat="1" applyFont="1" applyAlignment="1">
      <alignment horizontal="right"/>
    </xf>
    <xf numFmtId="171" fontId="110" fillId="0" borderId="0" xfId="895" applyNumberFormat="1" applyFont="1" applyFill="1" applyBorder="1" applyAlignment="1">
      <alignment horizontal="right"/>
    </xf>
    <xf numFmtId="171" fontId="114" fillId="0" borderId="39" xfId="895" applyNumberFormat="1" applyFont="1" applyFill="1" applyBorder="1" applyAlignment="1">
      <alignment horizontal="right"/>
    </xf>
    <xf numFmtId="0" fontId="114" fillId="0" borderId="39" xfId="894" applyFont="1" applyBorder="1"/>
    <xf numFmtId="171" fontId="114" fillId="0" borderId="0" xfId="895" applyNumberFormat="1" applyFont="1" applyFill="1" applyBorder="1" applyAlignment="1">
      <alignment horizontal="right"/>
    </xf>
    <xf numFmtId="171" fontId="110" fillId="0" borderId="0" xfId="895" applyNumberFormat="1" applyFont="1"/>
    <xf numFmtId="171" fontId="114" fillId="0" borderId="0" xfId="895" applyNumberFormat="1" applyFont="1" applyFill="1"/>
    <xf numFmtId="37" fontId="110" fillId="0" borderId="0" xfId="894" applyNumberFormat="1" applyFont="1" applyAlignment="1">
      <alignment horizontal="right"/>
    </xf>
    <xf numFmtId="0" fontId="115" fillId="0" borderId="0" xfId="894" applyFont="1"/>
    <xf numFmtId="9" fontId="115" fillId="27" borderId="0" xfId="897" applyFont="1" applyFill="1" applyAlignment="1">
      <alignment horizontal="right"/>
    </xf>
    <xf numFmtId="0" fontId="115" fillId="27" borderId="0" xfId="894" applyFont="1" applyFill="1"/>
    <xf numFmtId="166" fontId="114" fillId="0" borderId="39" xfId="894" applyNumberFormat="1" applyFont="1" applyBorder="1"/>
    <xf numFmtId="166" fontId="114" fillId="0" borderId="0" xfId="894" applyNumberFormat="1" applyFont="1" applyAlignment="1">
      <alignment horizontal="right"/>
    </xf>
    <xf numFmtId="0" fontId="115" fillId="27" borderId="0" xfId="894" applyFont="1" applyFill="1" applyAlignment="1">
      <alignment horizontal="left" indent="1"/>
    </xf>
    <xf numFmtId="169" fontId="114" fillId="26" borderId="0" xfId="894" applyNumberFormat="1" applyFont="1" applyFill="1" applyAlignment="1">
      <alignment horizontal="center"/>
    </xf>
    <xf numFmtId="0" fontId="114" fillId="26" borderId="0" xfId="894" applyFont="1" applyFill="1"/>
    <xf numFmtId="0" fontId="111" fillId="0" borderId="0" xfId="894" applyFont="1"/>
    <xf numFmtId="169" fontId="114" fillId="26" borderId="3" xfId="894" applyNumberFormat="1" applyFont="1" applyFill="1" applyBorder="1" applyAlignment="1">
      <alignment horizontal="centerContinuous"/>
    </xf>
    <xf numFmtId="0" fontId="114" fillId="26" borderId="3" xfId="894" applyFont="1" applyFill="1" applyBorder="1"/>
    <xf numFmtId="0" fontId="114" fillId="28" borderId="0" xfId="894" applyFont="1" applyFill="1"/>
    <xf numFmtId="171" fontId="114" fillId="0" borderId="0" xfId="895" applyNumberFormat="1" applyFont="1" applyAlignment="1">
      <alignment horizontal="right"/>
    </xf>
    <xf numFmtId="170" fontId="115" fillId="27" borderId="0" xfId="897" applyNumberFormat="1" applyFont="1" applyFill="1" applyAlignment="1">
      <alignment horizontal="right"/>
    </xf>
    <xf numFmtId="166" fontId="114" fillId="0" borderId="0" xfId="894" applyNumberFormat="1" applyFont="1"/>
    <xf numFmtId="169" fontId="114" fillId="26" borderId="3" xfId="894" applyNumberFormat="1" applyFont="1" applyFill="1" applyBorder="1" applyAlignment="1">
      <alignment horizontal="center"/>
    </xf>
    <xf numFmtId="167" fontId="114" fillId="0" borderId="0" xfId="894" applyNumberFormat="1" applyFont="1"/>
    <xf numFmtId="167" fontId="114" fillId="0" borderId="3" xfId="894" applyNumberFormat="1" applyFont="1" applyBorder="1" applyAlignment="1">
      <alignment horizontal="right"/>
    </xf>
    <xf numFmtId="0" fontId="114" fillId="0" borderId="3" xfId="894" applyFont="1" applyBorder="1"/>
    <xf numFmtId="168" fontId="110" fillId="0" borderId="0" xfId="894" applyNumberFormat="1" applyFont="1"/>
    <xf numFmtId="258" fontId="110" fillId="0" borderId="0" xfId="894" applyNumberFormat="1" applyFont="1"/>
    <xf numFmtId="258" fontId="114" fillId="0" borderId="0" xfId="894" applyNumberFormat="1" applyFont="1"/>
    <xf numFmtId="166" fontId="113" fillId="0" borderId="0" xfId="894" applyNumberFormat="1" applyFont="1"/>
    <xf numFmtId="37" fontId="113" fillId="0" borderId="0" xfId="897" applyNumberFormat="1" applyFont="1" applyFill="1" applyBorder="1"/>
    <xf numFmtId="37" fontId="110" fillId="0" borderId="0" xfId="897" applyNumberFormat="1" applyFont="1" applyFill="1" applyBorder="1"/>
    <xf numFmtId="170" fontId="116" fillId="0" borderId="0" xfId="897" applyNumberFormat="1" applyFont="1" applyFill="1"/>
    <xf numFmtId="170" fontId="116" fillId="0" borderId="0" xfId="897" applyNumberFormat="1" applyFont="1" applyFill="1" applyBorder="1"/>
    <xf numFmtId="0" fontId="115" fillId="27" borderId="0" xfId="894" applyFont="1" applyFill="1" applyAlignment="1">
      <alignment horizontal="left"/>
    </xf>
    <xf numFmtId="9" fontId="110" fillId="0" borderId="0" xfId="897" applyFont="1" applyFill="1" applyBorder="1"/>
    <xf numFmtId="9" fontId="110" fillId="0" borderId="0" xfId="897" applyFont="1" applyFill="1"/>
    <xf numFmtId="166" fontId="117" fillId="0" borderId="0" xfId="894" applyNumberFormat="1" applyFont="1"/>
    <xf numFmtId="0" fontId="114" fillId="0" borderId="0" xfId="894" applyFont="1" applyAlignment="1">
      <alignment horizontal="left"/>
    </xf>
    <xf numFmtId="0" fontId="121" fillId="0" borderId="0" xfId="894" applyFont="1"/>
    <xf numFmtId="0" fontId="110" fillId="0" borderId="0" xfId="894" applyFont="1" applyAlignment="1">
      <alignment horizontal="left"/>
    </xf>
    <xf numFmtId="166" fontId="118" fillId="0" borderId="0" xfId="894" applyNumberFormat="1" applyFont="1"/>
    <xf numFmtId="170" fontId="116" fillId="27" borderId="0" xfId="897" applyNumberFormat="1" applyFont="1" applyFill="1"/>
    <xf numFmtId="9" fontId="110" fillId="0" borderId="0" xfId="897" applyFont="1"/>
    <xf numFmtId="170" fontId="115" fillId="27" borderId="0" xfId="897" applyNumberFormat="1" applyFont="1" applyFill="1"/>
    <xf numFmtId="170" fontId="116" fillId="27" borderId="0" xfId="897" applyNumberFormat="1" applyFont="1" applyFill="1" applyBorder="1"/>
    <xf numFmtId="0" fontId="110" fillId="0" borderId="0" xfId="894" applyFont="1" applyAlignment="1">
      <alignment horizontal="left" indent="1"/>
    </xf>
    <xf numFmtId="0" fontId="110" fillId="26" borderId="0" xfId="894" applyFont="1" applyFill="1"/>
    <xf numFmtId="0" fontId="110" fillId="26" borderId="3" xfId="894" applyFont="1" applyFill="1" applyBorder="1"/>
    <xf numFmtId="0" fontId="112" fillId="0" borderId="0" xfId="894" applyFont="1"/>
    <xf numFmtId="43" fontId="114" fillId="0" borderId="0" xfId="895" applyFont="1" applyFill="1" applyBorder="1" applyAlignment="1">
      <alignment horizontal="center"/>
    </xf>
    <xf numFmtId="43" fontId="112" fillId="0" borderId="0" xfId="895" applyFont="1" applyFill="1" applyBorder="1" applyAlignment="1">
      <alignment horizontal="center"/>
    </xf>
    <xf numFmtId="0" fontId="114" fillId="26" borderId="38" xfId="894" applyFont="1" applyFill="1" applyBorder="1" applyAlignment="1">
      <alignment horizontal="center"/>
    </xf>
    <xf numFmtId="0" fontId="110" fillId="0" borderId="0" xfId="898" applyFont="1"/>
    <xf numFmtId="0" fontId="112" fillId="0" borderId="0" xfId="898" applyFont="1"/>
    <xf numFmtId="43" fontId="112" fillId="0" borderId="0" xfId="899" applyFont="1" applyFill="1" applyBorder="1" applyAlignment="1">
      <alignment horizontal="center"/>
    </xf>
    <xf numFmtId="43" fontId="114" fillId="0" borderId="0" xfId="899" applyFont="1" applyFill="1" applyBorder="1" applyAlignment="1">
      <alignment horizontal="center"/>
    </xf>
    <xf numFmtId="0" fontId="114" fillId="0" borderId="0" xfId="898" applyFont="1"/>
    <xf numFmtId="169" fontId="114" fillId="26" borderId="0" xfId="898" applyNumberFormat="1" applyFont="1" applyFill="1" applyAlignment="1">
      <alignment horizontal="center"/>
    </xf>
    <xf numFmtId="0" fontId="111" fillId="0" borderId="0" xfId="898" applyFont="1"/>
    <xf numFmtId="258" fontId="114" fillId="0" borderId="0" xfId="894" applyNumberFormat="1" applyFont="1" applyAlignment="1">
      <alignment horizontal="center"/>
    </xf>
    <xf numFmtId="166" fontId="110" fillId="27" borderId="0" xfId="894" applyNumberFormat="1" applyFont="1" applyFill="1"/>
    <xf numFmtId="258" fontId="114" fillId="27" borderId="0" xfId="896" applyNumberFormat="1" applyFont="1" applyFill="1"/>
    <xf numFmtId="167" fontId="114" fillId="27" borderId="3" xfId="894" applyNumberFormat="1" applyFont="1" applyFill="1" applyBorder="1" applyAlignment="1">
      <alignment horizontal="right"/>
    </xf>
    <xf numFmtId="170" fontId="110" fillId="27" borderId="0" xfId="897" applyNumberFormat="1" applyFont="1" applyFill="1" applyBorder="1"/>
    <xf numFmtId="259" fontId="110" fillId="27" borderId="0" xfId="894" applyNumberFormat="1" applyFont="1" applyFill="1"/>
    <xf numFmtId="259" fontId="110" fillId="27" borderId="0" xfId="894" applyNumberFormat="1" applyFont="1" applyFill="1" applyAlignment="1">
      <alignment horizontal="right"/>
    </xf>
    <xf numFmtId="259" fontId="114" fillId="27" borderId="0" xfId="894" applyNumberFormat="1" applyFont="1" applyFill="1" applyAlignment="1">
      <alignment horizontal="right"/>
    </xf>
    <xf numFmtId="37" fontId="110" fillId="0" borderId="0" xfId="894" applyNumberFormat="1" applyFont="1"/>
    <xf numFmtId="0" fontId="115" fillId="0" borderId="0" xfId="894" applyFont="1" applyAlignment="1">
      <alignment horizontal="left" indent="1"/>
    </xf>
    <xf numFmtId="0" fontId="123" fillId="26" borderId="0" xfId="894" applyFont="1" applyFill="1" applyAlignment="1">
      <alignment horizontal="left"/>
    </xf>
    <xf numFmtId="171" fontId="110" fillId="0" borderId="0" xfId="895" applyNumberFormat="1" applyFont="1" applyFill="1" applyBorder="1" applyAlignment="1">
      <alignment horizontal="left" wrapText="1"/>
    </xf>
    <xf numFmtId="171" fontId="110" fillId="0" borderId="0" xfId="895" applyNumberFormat="1" applyFont="1" applyFill="1" applyBorder="1" applyAlignment="1">
      <alignment horizontal="center" wrapText="1"/>
    </xf>
    <xf numFmtId="171" fontId="114" fillId="0" borderId="0" xfId="895" applyNumberFormat="1" applyFont="1" applyFill="1" applyBorder="1" applyAlignment="1">
      <alignment horizontal="left" wrapText="1"/>
    </xf>
    <xf numFmtId="171" fontId="114" fillId="0" borderId="0" xfId="895" applyNumberFormat="1" applyFont="1" applyFill="1" applyBorder="1" applyAlignment="1">
      <alignment horizontal="center" wrapText="1"/>
    </xf>
    <xf numFmtId="171" fontId="114" fillId="0" borderId="0" xfId="895" applyNumberFormat="1" applyFont="1" applyFill="1" applyBorder="1" applyAlignment="1">
      <alignment horizontal="right" wrapText="1"/>
    </xf>
    <xf numFmtId="0" fontId="114" fillId="0" borderId="40" xfId="896" applyFont="1" applyBorder="1" applyAlignment="1">
      <alignment horizontal="left" wrapText="1"/>
    </xf>
    <xf numFmtId="0" fontId="110" fillId="0" borderId="21" xfId="896" applyFont="1" applyBorder="1" applyAlignment="1">
      <alignment horizontal="left" wrapText="1"/>
    </xf>
    <xf numFmtId="16" fontId="110" fillId="0" borderId="21" xfId="896" applyNumberFormat="1" applyFont="1" applyBorder="1" applyAlignment="1">
      <alignment horizontal="left" wrapText="1"/>
    </xf>
    <xf numFmtId="0" fontId="114" fillId="0" borderId="43" xfId="896" applyFont="1" applyBorder="1"/>
    <xf numFmtId="171" fontId="110" fillId="0" borderId="27" xfId="895" applyNumberFormat="1" applyFont="1" applyFill="1" applyBorder="1" applyAlignment="1">
      <alignment horizontal="left" wrapText="1"/>
    </xf>
    <xf numFmtId="17" fontId="114" fillId="0" borderId="45" xfId="896" applyNumberFormat="1" applyFont="1" applyBorder="1" applyAlignment="1">
      <alignment horizontal="right" vertical="center" wrapText="1"/>
    </xf>
    <xf numFmtId="17" fontId="114" fillId="0" borderId="41" xfId="896" applyNumberFormat="1" applyFont="1" applyBorder="1" applyAlignment="1">
      <alignment horizontal="right" vertical="center" wrapText="1"/>
    </xf>
    <xf numFmtId="0" fontId="5" fillId="0" borderId="27" xfId="894" applyBorder="1"/>
    <xf numFmtId="0" fontId="5" fillId="0" borderId="28" xfId="894" applyBorder="1"/>
    <xf numFmtId="17" fontId="114" fillId="0" borderId="24" xfId="896" applyNumberFormat="1" applyFont="1" applyBorder="1" applyAlignment="1">
      <alignment horizontal="right" vertical="center" wrapText="1"/>
    </xf>
    <xf numFmtId="17" fontId="114" fillId="0" borderId="26" xfId="896" applyNumberFormat="1" applyFont="1" applyBorder="1" applyAlignment="1">
      <alignment horizontal="right" vertical="center" wrapText="1"/>
    </xf>
    <xf numFmtId="171" fontId="110" fillId="0" borderId="12" xfId="895" applyNumberFormat="1" applyFont="1" applyFill="1" applyBorder="1" applyAlignment="1">
      <alignment horizontal="left" wrapText="1"/>
    </xf>
    <xf numFmtId="171" fontId="114" fillId="0" borderId="46" xfId="895" applyNumberFormat="1" applyFont="1" applyFill="1" applyBorder="1" applyAlignment="1">
      <alignment horizontal="right" wrapText="1"/>
    </xf>
    <xf numFmtId="171" fontId="114" fillId="0" borderId="44" xfId="895" applyNumberFormat="1" applyFont="1" applyFill="1" applyBorder="1" applyAlignment="1">
      <alignment horizontal="left" wrapText="1"/>
    </xf>
    <xf numFmtId="171" fontId="110" fillId="0" borderId="42" xfId="895" applyNumberFormat="1" applyFont="1" applyFill="1" applyBorder="1" applyAlignment="1">
      <alignment horizontal="left" wrapText="1"/>
    </xf>
    <xf numFmtId="43" fontId="110" fillId="0" borderId="0" xfId="895" applyFont="1" applyFill="1" applyBorder="1" applyAlignment="1">
      <alignment horizontal="center" wrapText="1"/>
    </xf>
    <xf numFmtId="17" fontId="114" fillId="0" borderId="40" xfId="896" applyNumberFormat="1" applyFont="1" applyBorder="1" applyAlignment="1">
      <alignment horizontal="left" vertical="center" wrapText="1"/>
    </xf>
    <xf numFmtId="0" fontId="114" fillId="0" borderId="21" xfId="896" applyFont="1" applyBorder="1" applyAlignment="1">
      <alignment horizontal="left" wrapText="1"/>
    </xf>
    <xf numFmtId="0" fontId="114" fillId="0" borderId="47" xfId="896" applyFont="1" applyBorder="1"/>
    <xf numFmtId="259" fontId="114" fillId="0" borderId="48" xfId="896" applyNumberFormat="1" applyFont="1" applyBorder="1"/>
    <xf numFmtId="0" fontId="110" fillId="0" borderId="21" xfId="896" applyFont="1" applyBorder="1"/>
    <xf numFmtId="171" fontId="110" fillId="0" borderId="0" xfId="895" applyNumberFormat="1" applyFont="1" applyFill="1" applyBorder="1"/>
    <xf numFmtId="259" fontId="110" fillId="0" borderId="0" xfId="896" applyNumberFormat="1" applyFont="1"/>
    <xf numFmtId="0" fontId="114" fillId="0" borderId="21" xfId="896" applyFont="1" applyBorder="1"/>
    <xf numFmtId="0" fontId="110" fillId="0" borderId="22" xfId="896" applyFont="1" applyBorder="1"/>
    <xf numFmtId="166" fontId="110" fillId="0" borderId="10" xfId="894" applyNumberFormat="1" applyFont="1" applyBorder="1"/>
    <xf numFmtId="0" fontId="110" fillId="0" borderId="10" xfId="896" applyFont="1" applyBorder="1"/>
    <xf numFmtId="171" fontId="110" fillId="0" borderId="10" xfId="895" applyNumberFormat="1" applyFont="1" applyFill="1" applyBorder="1" applyAlignment="1">
      <alignment horizontal="center" wrapText="1"/>
    </xf>
    <xf numFmtId="17" fontId="114" fillId="0" borderId="40" xfId="896" applyNumberFormat="1" applyFont="1" applyBorder="1" applyAlignment="1">
      <alignment horizontal="right" vertical="center" wrapText="1"/>
    </xf>
    <xf numFmtId="171" fontId="110" fillId="0" borderId="27" xfId="1024" applyNumberFormat="1" applyFont="1" applyFill="1" applyBorder="1" applyAlignment="1">
      <alignment horizontal="left" wrapText="1"/>
    </xf>
    <xf numFmtId="0" fontId="114" fillId="0" borderId="41" xfId="896" applyFont="1" applyBorder="1" applyAlignment="1">
      <alignment horizontal="right" wrapText="1"/>
    </xf>
    <xf numFmtId="171" fontId="120" fillId="0" borderId="49" xfId="1025" applyNumberFormat="1" applyFont="1" applyFill="1" applyBorder="1" applyAlignment="1">
      <alignment horizontal="left" wrapText="1"/>
    </xf>
    <xf numFmtId="171" fontId="114" fillId="0" borderId="50" xfId="1025" applyNumberFormat="1" applyFont="1" applyFill="1" applyBorder="1" applyAlignment="1">
      <alignment horizontal="left" wrapText="1"/>
    </xf>
    <xf numFmtId="171" fontId="114" fillId="0" borderId="44" xfId="1025" applyNumberFormat="1" applyFont="1" applyFill="1" applyBorder="1" applyAlignment="1">
      <alignment horizontal="left" wrapText="1"/>
    </xf>
    <xf numFmtId="263" fontId="114" fillId="26" borderId="0" xfId="900" applyNumberFormat="1" applyFont="1" applyFill="1" applyBorder="1" applyAlignment="1">
      <alignment horizontal="center"/>
    </xf>
    <xf numFmtId="263" fontId="114" fillId="0" borderId="0" xfId="900" applyNumberFormat="1" applyFont="1" applyFill="1" applyBorder="1" applyAlignment="1">
      <alignment horizontal="center"/>
    </xf>
    <xf numFmtId="263" fontId="110" fillId="0" borderId="0" xfId="900" applyNumberFormat="1" applyFont="1" applyFill="1"/>
    <xf numFmtId="260" fontId="120" fillId="0" borderId="0" xfId="898" applyNumberFormat="1" applyFont="1"/>
    <xf numFmtId="260" fontId="114" fillId="0" borderId="0" xfId="898" applyNumberFormat="1" applyFont="1"/>
    <xf numFmtId="265" fontId="120" fillId="0" borderId="0" xfId="898" applyNumberFormat="1" applyFont="1"/>
    <xf numFmtId="265" fontId="126" fillId="0" borderId="0" xfId="898" applyNumberFormat="1" applyFont="1"/>
    <xf numFmtId="0" fontId="127" fillId="0" borderId="0" xfId="898" applyFont="1"/>
    <xf numFmtId="260" fontId="117" fillId="0" borderId="0" xfId="898" applyNumberFormat="1" applyFont="1"/>
    <xf numFmtId="171" fontId="113" fillId="0" borderId="0" xfId="895" applyNumberFormat="1" applyFont="1" applyFill="1" applyBorder="1" applyAlignment="1">
      <alignment horizontal="center"/>
    </xf>
    <xf numFmtId="258" fontId="110" fillId="0" borderId="0" xfId="894" applyNumberFormat="1" applyFont="1" applyAlignment="1">
      <alignment horizontal="center" vertical="center"/>
    </xf>
    <xf numFmtId="0" fontId="110" fillId="0" borderId="0" xfId="894" applyFont="1" applyAlignment="1">
      <alignment horizontal="center" vertical="center"/>
    </xf>
    <xf numFmtId="258" fontId="114" fillId="0" borderId="0" xfId="894" applyNumberFormat="1" applyFont="1" applyAlignment="1">
      <alignment horizontal="center" vertical="center"/>
    </xf>
    <xf numFmtId="168" fontId="110" fillId="0" borderId="0" xfId="894" applyNumberFormat="1" applyFont="1" applyAlignment="1">
      <alignment horizontal="center" vertical="center"/>
    </xf>
    <xf numFmtId="167" fontId="114" fillId="0" borderId="3" xfId="894" applyNumberFormat="1" applyFont="1" applyBorder="1" applyAlignment="1">
      <alignment horizontal="center" vertical="center"/>
    </xf>
    <xf numFmtId="166" fontId="113" fillId="0" borderId="0" xfId="1030" applyNumberFormat="1" applyFont="1"/>
    <xf numFmtId="170" fontId="116" fillId="27" borderId="0" xfId="1032" applyNumberFormat="1" applyFont="1" applyFill="1" applyBorder="1"/>
    <xf numFmtId="166" fontId="114" fillId="0" borderId="0" xfId="1038" applyNumberFormat="1" applyFont="1"/>
    <xf numFmtId="166" fontId="113" fillId="0" borderId="0" xfId="1038" applyNumberFormat="1" applyFont="1"/>
    <xf numFmtId="170" fontId="116" fillId="27" borderId="0" xfId="1037" applyNumberFormat="1" applyFont="1" applyFill="1" applyBorder="1"/>
    <xf numFmtId="166" fontId="110" fillId="0" borderId="0" xfId="1038" applyNumberFormat="1" applyFont="1"/>
    <xf numFmtId="236" fontId="110" fillId="0" borderId="0" xfId="895" applyNumberFormat="1" applyFont="1" applyFill="1" applyBorder="1" applyAlignment="1">
      <alignment horizontal="center" wrapText="1"/>
    </xf>
    <xf numFmtId="260" fontId="114" fillId="0" borderId="0" xfId="894" applyNumberFormat="1" applyFont="1"/>
    <xf numFmtId="17" fontId="114" fillId="0" borderId="0" xfId="896" applyNumberFormat="1" applyFont="1" applyAlignment="1">
      <alignment horizontal="right" vertical="center" wrapText="1"/>
    </xf>
    <xf numFmtId="17" fontId="114" fillId="0" borderId="27" xfId="896" applyNumberFormat="1" applyFont="1" applyBorder="1" applyAlignment="1">
      <alignment horizontal="right" vertical="center" wrapText="1"/>
    </xf>
    <xf numFmtId="0" fontId="1" fillId="0" borderId="0" xfId="894" applyFont="1"/>
    <xf numFmtId="0" fontId="114" fillId="0" borderId="41" xfId="896" applyFont="1" applyBorder="1" applyAlignment="1">
      <alignment horizontal="center" vertical="center" wrapText="1"/>
    </xf>
    <xf numFmtId="17" fontId="114" fillId="0" borderId="3" xfId="896" applyNumberFormat="1" applyFont="1" applyBorder="1" applyAlignment="1">
      <alignment horizontal="center" vertical="center" wrapText="1"/>
    </xf>
    <xf numFmtId="17" fontId="114" fillId="0" borderId="29" xfId="896" applyNumberFormat="1" applyFont="1" applyBorder="1" applyAlignment="1">
      <alignment horizontal="center" vertical="center" wrapText="1"/>
    </xf>
    <xf numFmtId="17" fontId="110" fillId="0" borderId="0" xfId="896" applyNumberFormat="1" applyFont="1" applyAlignment="1">
      <alignment horizontal="right" vertical="center" wrapText="1"/>
    </xf>
    <xf numFmtId="17" fontId="110" fillId="0" borderId="0" xfId="896" applyNumberFormat="1" applyFont="1" applyAlignment="1">
      <alignment horizontal="center" vertical="center" wrapText="1"/>
    </xf>
    <xf numFmtId="10" fontId="110" fillId="0" borderId="0" xfId="896" applyNumberFormat="1" applyFont="1" applyAlignment="1">
      <alignment horizontal="right" vertical="center" wrapText="1"/>
    </xf>
    <xf numFmtId="0" fontId="114" fillId="0" borderId="19" xfId="896" applyFont="1" applyBorder="1" applyAlignment="1">
      <alignment horizontal="left" wrapText="1"/>
    </xf>
    <xf numFmtId="17" fontId="114" fillId="0" borderId="9" xfId="896" applyNumberFormat="1" applyFont="1" applyBorder="1" applyAlignment="1">
      <alignment horizontal="right" vertical="center" wrapText="1"/>
    </xf>
    <xf numFmtId="0" fontId="5" fillId="0" borderId="9" xfId="894" applyBorder="1"/>
    <xf numFmtId="3" fontId="5" fillId="0" borderId="0" xfId="894" applyNumberFormat="1"/>
    <xf numFmtId="262" fontId="126" fillId="0" borderId="0" xfId="894" applyNumberFormat="1" applyFont="1"/>
    <xf numFmtId="262" fontId="122" fillId="0" borderId="0" xfId="894" applyNumberFormat="1" applyFont="1"/>
    <xf numFmtId="260" fontId="114" fillId="0" borderId="27" xfId="896" applyNumberFormat="1" applyFont="1" applyBorder="1" applyAlignment="1">
      <alignment horizontal="right" vertical="center" wrapText="1"/>
    </xf>
    <xf numFmtId="0" fontId="121" fillId="0" borderId="21" xfId="896" applyFont="1" applyBorder="1" applyAlignment="1">
      <alignment horizontal="left" wrapText="1"/>
    </xf>
    <xf numFmtId="17" fontId="128" fillId="0" borderId="0" xfId="896" applyNumberFormat="1" applyFont="1" applyAlignment="1">
      <alignment horizontal="center" vertical="center" wrapText="1"/>
    </xf>
    <xf numFmtId="17" fontId="128" fillId="0" borderId="0" xfId="896" applyNumberFormat="1" applyFont="1" applyAlignment="1">
      <alignment horizontal="right" vertical="center" wrapText="1"/>
    </xf>
    <xf numFmtId="262" fontId="121" fillId="0" borderId="0" xfId="894" applyNumberFormat="1" applyFont="1"/>
    <xf numFmtId="0" fontId="121" fillId="0" borderId="22" xfId="896" applyFont="1" applyBorder="1" applyAlignment="1">
      <alignment horizontal="left" wrapText="1"/>
    </xf>
    <xf numFmtId="17" fontId="128" fillId="0" borderId="10" xfId="896" applyNumberFormat="1" applyFont="1" applyBorder="1" applyAlignment="1">
      <alignment horizontal="center" vertical="center" wrapText="1"/>
    </xf>
    <xf numFmtId="17" fontId="128" fillId="0" borderId="10" xfId="896" applyNumberFormat="1" applyFont="1" applyBorder="1" applyAlignment="1">
      <alignment horizontal="right" vertical="center" wrapText="1"/>
    </xf>
    <xf numFmtId="262" fontId="121" fillId="0" borderId="10" xfId="894" applyNumberFormat="1" applyFont="1" applyBorder="1"/>
    <xf numFmtId="262" fontId="120" fillId="0" borderId="0" xfId="894" applyNumberFormat="1" applyFont="1"/>
    <xf numFmtId="262" fontId="129" fillId="0" borderId="0" xfId="894" applyNumberFormat="1" applyFont="1"/>
    <xf numFmtId="262" fontId="130" fillId="0" borderId="0" xfId="894" applyNumberFormat="1" applyFont="1"/>
    <xf numFmtId="3" fontId="131" fillId="0" borderId="0" xfId="894" applyNumberFormat="1" applyFont="1"/>
    <xf numFmtId="3" fontId="114" fillId="0" borderId="0" xfId="898" applyNumberFormat="1" applyFont="1"/>
    <xf numFmtId="17" fontId="110" fillId="0" borderId="0" xfId="896" applyNumberFormat="1" applyFont="1" applyAlignment="1">
      <alignment horizontal="left" vertical="top" wrapText="1"/>
    </xf>
    <xf numFmtId="0" fontId="114" fillId="0" borderId="0" xfId="0" applyFont="1"/>
    <xf numFmtId="0" fontId="110" fillId="0" borderId="0" xfId="0" applyFont="1" applyAlignment="1">
      <alignment horizontal="left" indent="1"/>
    </xf>
    <xf numFmtId="0" fontId="114" fillId="26" borderId="38" xfId="894" applyFont="1" applyFill="1" applyBorder="1" applyAlignment="1">
      <alignment horizontal="center" vertical="center"/>
    </xf>
    <xf numFmtId="171" fontId="114" fillId="0" borderId="0" xfId="895" applyNumberFormat="1" applyFont="1" applyFill="1" applyBorder="1" applyAlignment="1">
      <alignment horizontal="center"/>
    </xf>
    <xf numFmtId="171" fontId="122" fillId="0" borderId="0" xfId="895" applyNumberFormat="1" applyFont="1" applyFill="1" applyBorder="1" applyAlignment="1">
      <alignment horizontal="center"/>
    </xf>
    <xf numFmtId="171" fontId="126" fillId="0" borderId="0" xfId="895" applyNumberFormat="1" applyFont="1" applyFill="1" applyBorder="1" applyAlignment="1">
      <alignment horizontal="center"/>
    </xf>
    <xf numFmtId="2" fontId="5" fillId="0" borderId="0" xfId="894" applyNumberFormat="1"/>
    <xf numFmtId="169" fontId="114" fillId="0" borderId="0" xfId="894" applyNumberFormat="1" applyFont="1" applyAlignment="1">
      <alignment horizontal="center"/>
    </xf>
    <xf numFmtId="262" fontId="110" fillId="0" borderId="0" xfId="894" applyNumberFormat="1" applyFont="1"/>
    <xf numFmtId="170" fontId="119" fillId="0" borderId="0" xfId="897" applyNumberFormat="1" applyFont="1" applyFill="1" applyBorder="1"/>
    <xf numFmtId="261" fontId="110" fillId="0" borderId="0" xfId="894" applyNumberFormat="1" applyFont="1"/>
    <xf numFmtId="166" fontId="122" fillId="0" borderId="0" xfId="894" applyNumberFormat="1" applyFont="1"/>
    <xf numFmtId="167" fontId="114" fillId="0" borderId="0" xfId="894" applyNumberFormat="1" applyFont="1" applyAlignment="1">
      <alignment horizontal="right"/>
    </xf>
    <xf numFmtId="169" fontId="114" fillId="0" borderId="0" xfId="894" applyNumberFormat="1" applyFont="1" applyAlignment="1">
      <alignment horizontal="centerContinuous"/>
    </xf>
    <xf numFmtId="170" fontId="115" fillId="0" borderId="0" xfId="897" applyNumberFormat="1" applyFont="1" applyFill="1" applyBorder="1" applyAlignment="1">
      <alignment horizontal="right"/>
    </xf>
    <xf numFmtId="9" fontId="115" fillId="0" borderId="0" xfId="897" applyFont="1" applyFill="1" applyBorder="1" applyAlignment="1">
      <alignment horizontal="right"/>
    </xf>
    <xf numFmtId="166" fontId="113" fillId="29" borderId="0" xfId="894" applyNumberFormat="1" applyFont="1" applyFill="1"/>
    <xf numFmtId="37" fontId="110" fillId="29" borderId="0" xfId="894" applyNumberFormat="1" applyFont="1" applyFill="1"/>
    <xf numFmtId="166" fontId="112" fillId="0" borderId="0" xfId="894" applyNumberFormat="1" applyFont="1"/>
    <xf numFmtId="166" fontId="112" fillId="0" borderId="0" xfId="1038" applyNumberFormat="1" applyFont="1"/>
    <xf numFmtId="166" fontId="110" fillId="29" borderId="0" xfId="894" applyNumberFormat="1" applyFont="1" applyFill="1"/>
    <xf numFmtId="166" fontId="129" fillId="0" borderId="0" xfId="894" applyNumberFormat="1" applyFont="1"/>
    <xf numFmtId="258" fontId="114" fillId="27" borderId="0" xfId="896" applyNumberFormat="1" applyFont="1" applyFill="1" applyAlignment="1">
      <alignment horizontal="left" indent="3"/>
    </xf>
    <xf numFmtId="258" fontId="114" fillId="0" borderId="0" xfId="894" applyNumberFormat="1" applyFont="1" applyAlignment="1">
      <alignment horizontal="left" indent="3"/>
    </xf>
    <xf numFmtId="0" fontId="123" fillId="26" borderId="0" xfId="894" applyFont="1" applyFill="1" applyAlignment="1">
      <alignment horizontal="left" vertical="center"/>
    </xf>
    <xf numFmtId="0" fontId="0" fillId="26" borderId="0" xfId="0" applyFill="1"/>
    <xf numFmtId="43" fontId="112" fillId="26" borderId="0" xfId="895" applyFont="1" applyFill="1" applyBorder="1" applyAlignment="1">
      <alignment horizontal="center"/>
    </xf>
    <xf numFmtId="43" fontId="114" fillId="26" borderId="0" xfId="895" applyFont="1" applyFill="1" applyBorder="1" applyAlignment="1">
      <alignment horizontal="center"/>
    </xf>
    <xf numFmtId="169" fontId="114" fillId="0" borderId="0" xfId="898" applyNumberFormat="1" applyFont="1" applyAlignment="1">
      <alignment horizontal="center"/>
    </xf>
    <xf numFmtId="0" fontId="117" fillId="0" borderId="0" xfId="898" applyFont="1"/>
    <xf numFmtId="0" fontId="112" fillId="26" borderId="0" xfId="898" applyFont="1" applyFill="1"/>
    <xf numFmtId="43" fontId="112" fillId="26" borderId="0" xfId="899" applyFont="1" applyFill="1" applyBorder="1" applyAlignment="1">
      <alignment horizontal="center"/>
    </xf>
    <xf numFmtId="43" fontId="114" fillId="26" borderId="0" xfId="899" applyFont="1" applyFill="1" applyBorder="1" applyAlignment="1">
      <alignment horizontal="center"/>
    </xf>
    <xf numFmtId="0" fontId="114" fillId="26" borderId="38" xfId="898" applyFont="1" applyFill="1" applyBorder="1" applyAlignment="1">
      <alignment horizontal="center" vertical="center"/>
    </xf>
    <xf numFmtId="0" fontId="114" fillId="0" borderId="0" xfId="898" applyFont="1" applyAlignment="1">
      <alignment horizontal="center" vertical="center"/>
    </xf>
    <xf numFmtId="0" fontId="114" fillId="26" borderId="0" xfId="898" applyFont="1" applyFill="1" applyAlignment="1">
      <alignment horizontal="center" vertical="center"/>
    </xf>
    <xf numFmtId="263" fontId="114" fillId="26" borderId="38" xfId="900" applyNumberFormat="1" applyFont="1" applyFill="1" applyBorder="1" applyAlignment="1">
      <alignment horizontal="center" vertical="center"/>
    </xf>
    <xf numFmtId="170" fontId="110" fillId="0" borderId="0" xfId="1040" applyNumberFormat="1" applyFont="1"/>
    <xf numFmtId="170" fontId="114" fillId="0" borderId="0" xfId="1040" applyNumberFormat="1" applyFont="1"/>
    <xf numFmtId="0" fontId="132" fillId="0" borderId="0" xfId="898" applyFont="1"/>
    <xf numFmtId="0" fontId="110" fillId="27" borderId="0" xfId="898" applyFont="1" applyFill="1"/>
    <xf numFmtId="0" fontId="114" fillId="27" borderId="0" xfId="898" applyFont="1" applyFill="1"/>
    <xf numFmtId="170" fontId="110" fillId="27" borderId="0" xfId="1040" applyNumberFormat="1" applyFont="1" applyFill="1"/>
    <xf numFmtId="170" fontId="114" fillId="27" borderId="0" xfId="1040" applyNumberFormat="1" applyFont="1" applyFill="1"/>
    <xf numFmtId="0" fontId="121" fillId="0" borderId="0" xfId="896" applyFont="1" applyAlignment="1">
      <alignment horizontal="left" wrapText="1"/>
    </xf>
    <xf numFmtId="17" fontId="114" fillId="26" borderId="40" xfId="896" applyNumberFormat="1" applyFont="1" applyFill="1" applyBorder="1" applyAlignment="1">
      <alignment horizontal="left" vertical="center" wrapText="1"/>
    </xf>
    <xf numFmtId="17" fontId="114" fillId="26" borderId="45" xfId="896" applyNumberFormat="1" applyFont="1" applyFill="1" applyBorder="1" applyAlignment="1">
      <alignment horizontal="center" vertical="center" wrapText="1"/>
    </xf>
    <xf numFmtId="17" fontId="114" fillId="26" borderId="41" xfId="896" applyNumberFormat="1" applyFont="1" applyFill="1" applyBorder="1" applyAlignment="1">
      <alignment horizontal="center" vertical="center" wrapText="1"/>
    </xf>
    <xf numFmtId="266" fontId="120" fillId="29" borderId="0" xfId="894" applyNumberFormat="1" applyFont="1" applyFill="1" applyAlignment="1">
      <alignment horizontal="right"/>
    </xf>
    <xf numFmtId="266" fontId="110" fillId="29" borderId="0" xfId="894" applyNumberFormat="1" applyFont="1" applyFill="1" applyAlignment="1">
      <alignment horizontal="right"/>
    </xf>
    <xf numFmtId="0" fontId="114" fillId="26" borderId="40" xfId="896" applyFont="1" applyFill="1" applyBorder="1" applyAlignment="1">
      <alignment horizontal="left" wrapText="1"/>
    </xf>
    <xf numFmtId="17" fontId="114" fillId="26" borderId="26" xfId="896" applyNumberFormat="1" applyFont="1" applyFill="1" applyBorder="1" applyAlignment="1">
      <alignment horizontal="center" vertical="center" wrapText="1"/>
    </xf>
    <xf numFmtId="0" fontId="114" fillId="26" borderId="41" xfId="896" applyFont="1" applyFill="1" applyBorder="1" applyAlignment="1">
      <alignment horizontal="center" wrapText="1"/>
    </xf>
    <xf numFmtId="0" fontId="110" fillId="0" borderId="51" xfId="896" applyFont="1" applyBorder="1" applyAlignment="1">
      <alignment horizontal="left" wrapText="1"/>
    </xf>
    <xf numFmtId="171" fontId="120" fillId="0" borderId="12" xfId="1025" applyNumberFormat="1" applyFont="1" applyFill="1" applyBorder="1" applyAlignment="1">
      <alignment horizontal="left" wrapText="1"/>
    </xf>
    <xf numFmtId="171" fontId="120" fillId="0" borderId="0" xfId="1025" applyNumberFormat="1" applyFont="1" applyFill="1" applyBorder="1" applyAlignment="1">
      <alignment horizontal="left" wrapText="1"/>
    </xf>
    <xf numFmtId="171" fontId="120" fillId="0" borderId="3" xfId="1025" applyNumberFormat="1" applyFont="1" applyFill="1" applyBorder="1" applyAlignment="1">
      <alignment horizontal="left" wrapText="1"/>
    </xf>
    <xf numFmtId="0" fontId="110" fillId="0" borderId="29" xfId="896" applyFont="1" applyBorder="1" applyAlignment="1">
      <alignment horizontal="left" wrapText="1"/>
    </xf>
    <xf numFmtId="171" fontId="114" fillId="0" borderId="46" xfId="1025" applyNumberFormat="1" applyFont="1" applyFill="1" applyBorder="1" applyAlignment="1">
      <alignment horizontal="left" wrapText="1"/>
    </xf>
    <xf numFmtId="17" fontId="110" fillId="0" borderId="0" xfId="896" applyNumberFormat="1" applyFont="1" applyAlignment="1">
      <alignment horizontal="left" vertical="top"/>
    </xf>
    <xf numFmtId="0" fontId="114" fillId="26" borderId="19" xfId="896" applyFont="1" applyFill="1" applyBorder="1" applyAlignment="1">
      <alignment horizontal="left" wrapText="1"/>
    </xf>
    <xf numFmtId="17" fontId="114" fillId="26" borderId="9" xfId="896" applyNumberFormat="1" applyFont="1" applyFill="1" applyBorder="1" applyAlignment="1">
      <alignment horizontal="right" vertical="center" wrapText="1"/>
    </xf>
    <xf numFmtId="0" fontId="5" fillId="26" borderId="9" xfId="894" applyFill="1" applyBorder="1"/>
    <xf numFmtId="0" fontId="114" fillId="26" borderId="41" xfId="896" applyFont="1" applyFill="1" applyBorder="1" applyAlignment="1">
      <alignment horizontal="right" wrapText="1"/>
    </xf>
    <xf numFmtId="17" fontId="114" fillId="26" borderId="29" xfId="896" applyNumberFormat="1" applyFont="1" applyFill="1" applyBorder="1" applyAlignment="1">
      <alignment horizontal="center" vertical="center" wrapText="1"/>
    </xf>
    <xf numFmtId="17" fontId="114" fillId="26" borderId="3" xfId="896" applyNumberFormat="1" applyFont="1" applyFill="1" applyBorder="1" applyAlignment="1">
      <alignment horizontal="center" vertical="center" wrapText="1"/>
    </xf>
    <xf numFmtId="0" fontId="114" fillId="26" borderId="41" xfId="896" applyFont="1" applyFill="1" applyBorder="1" applyAlignment="1">
      <alignment horizontal="center" vertical="center" wrapText="1"/>
    </xf>
    <xf numFmtId="0" fontId="132" fillId="26" borderId="23" xfId="894" applyFont="1" applyFill="1" applyBorder="1"/>
    <xf numFmtId="0" fontId="122" fillId="26" borderId="26" xfId="894" applyFont="1" applyFill="1" applyBorder="1" applyAlignment="1">
      <alignment horizontal="center"/>
    </xf>
    <xf numFmtId="0" fontId="126" fillId="0" borderId="21" xfId="894" applyFont="1" applyBorder="1"/>
    <xf numFmtId="0" fontId="126" fillId="0" borderId="22" xfId="894" applyFont="1" applyBorder="1"/>
    <xf numFmtId="0" fontId="122" fillId="0" borderId="28" xfId="894" applyFont="1" applyBorder="1" applyAlignment="1">
      <alignment horizontal="right"/>
    </xf>
    <xf numFmtId="0" fontId="122" fillId="0" borderId="22" xfId="894" applyFont="1" applyBorder="1"/>
    <xf numFmtId="262" fontId="120" fillId="0" borderId="27" xfId="894" applyNumberFormat="1" applyFont="1" applyBorder="1"/>
    <xf numFmtId="262" fontId="120" fillId="0" borderId="28" xfId="894" applyNumberFormat="1" applyFont="1" applyBorder="1"/>
    <xf numFmtId="170" fontId="115" fillId="27" borderId="0" xfId="897" applyNumberFormat="1" applyFont="1" applyFill="1" applyBorder="1"/>
    <xf numFmtId="170" fontId="115" fillId="0" borderId="0" xfId="897" applyNumberFormat="1" applyFont="1" applyFill="1"/>
    <xf numFmtId="261" fontId="114" fillId="0" borderId="0" xfId="894" applyNumberFormat="1" applyFont="1"/>
    <xf numFmtId="261" fontId="113" fillId="0" borderId="0" xfId="894" applyNumberFormat="1" applyFont="1"/>
    <xf numFmtId="166" fontId="112" fillId="0" borderId="0" xfId="1030" applyNumberFormat="1" applyFont="1"/>
    <xf numFmtId="0" fontId="114" fillId="29" borderId="0" xfId="894" applyFont="1" applyFill="1" applyAlignment="1">
      <alignment horizontal="left"/>
    </xf>
    <xf numFmtId="170" fontId="110" fillId="27" borderId="0" xfId="897" applyNumberFormat="1" applyFont="1" applyFill="1" applyBorder="1" applyAlignment="1">
      <alignment horizontal="right"/>
    </xf>
    <xf numFmtId="170" fontId="115" fillId="0" borderId="0" xfId="897" applyNumberFormat="1" applyFont="1" applyFill="1" applyBorder="1"/>
    <xf numFmtId="171" fontId="121" fillId="0" borderId="0" xfId="895" applyNumberFormat="1" applyFont="1" applyFill="1" applyBorder="1"/>
    <xf numFmtId="0" fontId="52" fillId="0" borderId="0" xfId="0" applyFont="1"/>
    <xf numFmtId="173" fontId="121" fillId="0" borderId="0" xfId="895" applyNumberFormat="1" applyFont="1" applyFill="1" applyBorder="1"/>
    <xf numFmtId="171" fontId="134" fillId="0" borderId="0" xfId="895" applyNumberFormat="1" applyFont="1" applyFill="1" applyBorder="1"/>
    <xf numFmtId="171" fontId="121" fillId="0" borderId="0" xfId="1039" applyNumberFormat="1" applyFont="1" applyFill="1" applyBorder="1"/>
    <xf numFmtId="166" fontId="121" fillId="0" borderId="0" xfId="894" applyNumberFormat="1" applyFont="1"/>
    <xf numFmtId="166" fontId="134" fillId="0" borderId="0" xfId="894" applyNumberFormat="1" applyFont="1"/>
    <xf numFmtId="166" fontId="121" fillId="0" borderId="0" xfId="1038" applyNumberFormat="1" applyFont="1"/>
    <xf numFmtId="0" fontId="115" fillId="0" borderId="0" xfId="0" applyFont="1"/>
    <xf numFmtId="37" fontId="135" fillId="0" borderId="0" xfId="0" applyNumberFormat="1" applyFont="1"/>
    <xf numFmtId="37" fontId="115" fillId="0" borderId="0" xfId="0" applyNumberFormat="1" applyFont="1"/>
    <xf numFmtId="267" fontId="115" fillId="0" borderId="0" xfId="900" applyNumberFormat="1" applyFont="1" applyFill="1" applyBorder="1"/>
    <xf numFmtId="267" fontId="135" fillId="0" borderId="0" xfId="900" applyNumberFormat="1" applyFont="1"/>
    <xf numFmtId="170" fontId="114" fillId="0" borderId="3" xfId="897" applyNumberFormat="1" applyFont="1" applyFill="1" applyBorder="1"/>
    <xf numFmtId="0" fontId="114" fillId="0" borderId="0" xfId="894" applyFont="1" applyAlignment="1">
      <alignment horizontal="right"/>
    </xf>
    <xf numFmtId="170" fontId="114" fillId="27" borderId="3" xfId="897" applyNumberFormat="1" applyFont="1" applyFill="1" applyBorder="1"/>
    <xf numFmtId="39" fontId="110" fillId="27" borderId="0" xfId="894" applyNumberFormat="1" applyFont="1" applyFill="1" applyAlignment="1">
      <alignment horizontal="right"/>
    </xf>
    <xf numFmtId="0" fontId="133" fillId="0" borderId="0" xfId="894" applyFont="1"/>
    <xf numFmtId="171" fontId="114" fillId="0" borderId="0" xfId="894" applyNumberFormat="1" applyFont="1" applyAlignment="1">
      <alignment horizontal="right"/>
    </xf>
    <xf numFmtId="260" fontId="110" fillId="0" borderId="0" xfId="898" applyNumberFormat="1" applyFont="1"/>
    <xf numFmtId="0" fontId="121" fillId="0" borderId="0" xfId="898" applyFont="1"/>
    <xf numFmtId="260" fontId="121" fillId="0" borderId="0" xfId="898" applyNumberFormat="1" applyFont="1"/>
    <xf numFmtId="0" fontId="114" fillId="30" borderId="0" xfId="898" applyFont="1" applyFill="1"/>
    <xf numFmtId="0" fontId="110" fillId="30" borderId="0" xfId="898" applyFont="1" applyFill="1"/>
    <xf numFmtId="263" fontId="110" fillId="30" borderId="0" xfId="900" applyNumberFormat="1" applyFont="1" applyFill="1"/>
    <xf numFmtId="262" fontId="120" fillId="30" borderId="0" xfId="898" applyNumberFormat="1" applyFont="1" applyFill="1" applyAlignment="1">
      <alignment horizontal="right"/>
    </xf>
    <xf numFmtId="263" fontId="120" fillId="30" borderId="0" xfId="900" applyNumberFormat="1" applyFont="1" applyFill="1"/>
    <xf numFmtId="263" fontId="126" fillId="30" borderId="0" xfId="900" applyNumberFormat="1" applyFont="1" applyFill="1"/>
    <xf numFmtId="17" fontId="114" fillId="26" borderId="8" xfId="896" applyNumberFormat="1" applyFont="1" applyFill="1" applyBorder="1" applyAlignment="1">
      <alignment horizontal="center" vertical="center" wrapText="1"/>
    </xf>
    <xf numFmtId="17" fontId="114" fillId="26" borderId="8" xfId="896" applyNumberFormat="1" applyFont="1" applyFill="1" applyBorder="1" applyAlignment="1">
      <alignment horizontal="left" vertical="center" wrapText="1"/>
    </xf>
    <xf numFmtId="0" fontId="114" fillId="0" borderId="0" xfId="896" applyFont="1" applyAlignment="1">
      <alignment horizontal="left" wrapText="1"/>
    </xf>
    <xf numFmtId="0" fontId="114" fillId="0" borderId="8" xfId="896" applyFont="1" applyBorder="1"/>
    <xf numFmtId="0" fontId="136" fillId="0" borderId="0" xfId="894" applyFont="1"/>
    <xf numFmtId="0" fontId="110" fillId="27" borderId="0" xfId="894" applyFont="1" applyFill="1"/>
    <xf numFmtId="0" fontId="110" fillId="27" borderId="0" xfId="894" applyFont="1" applyFill="1" applyAlignment="1">
      <alignment horizontal="left"/>
    </xf>
    <xf numFmtId="166" fontId="120" fillId="0" borderId="0" xfId="894" applyNumberFormat="1" applyFont="1"/>
    <xf numFmtId="0" fontId="110" fillId="29" borderId="0" xfId="894" applyFont="1" applyFill="1"/>
    <xf numFmtId="170" fontId="114" fillId="0" borderId="0" xfId="897" applyNumberFormat="1" applyFont="1" applyFill="1" applyBorder="1"/>
    <xf numFmtId="0" fontId="114" fillId="0" borderId="0" xfId="894" applyFont="1" applyAlignment="1">
      <alignment horizontal="center" vertical="center"/>
    </xf>
  </cellXfs>
  <cellStyles count="1041">
    <cellStyle name="$" xfId="1" xr:uid="{00000000-0005-0000-0000-000000000000}"/>
    <cellStyle name="$_TSA Model - 1 8 06 - v2" xfId="2" xr:uid="{00000000-0005-0000-0000-000001000000}"/>
    <cellStyle name="%" xfId="3" xr:uid="{00000000-0005-0000-0000-000002000000}"/>
    <cellStyle name="% 2" xfId="901" xr:uid="{EB7233A1-2B01-4D17-8514-F29B1660404C}"/>
    <cellStyle name=";;;" xfId="4" xr:uid="{00000000-0005-0000-0000-000003000000}"/>
    <cellStyle name="_%(SignOnly)" xfId="5" xr:uid="{00000000-0005-0000-0000-000004000000}"/>
    <cellStyle name="_%(SignOnly) 2" xfId="902" xr:uid="{26319195-8F7F-4597-A885-BAD79767F457}"/>
    <cellStyle name="_%(SignSpaceOnly)" xfId="6" xr:uid="{00000000-0005-0000-0000-000005000000}"/>
    <cellStyle name="_%(SignSpaceOnly) 2" xfId="903" xr:uid="{EC4F4AC8-C1EA-45F4-B3E8-D024565228D1}"/>
    <cellStyle name="_0% CADR" xfId="7" xr:uid="{00000000-0005-0000-0000-000006000000}"/>
    <cellStyle name="_0% CADR 2" xfId="904" xr:uid="{A63667C8-059F-42AB-B26A-E1A2ED831819}"/>
    <cellStyle name="_0% IRR" xfId="8" xr:uid="{00000000-0005-0000-0000-000007000000}"/>
    <cellStyle name="_0% IRR 2" xfId="905" xr:uid="{5DB9E769-6671-4E53-BC1B-AFDBBD55073B}"/>
    <cellStyle name="_1% CADR" xfId="9" xr:uid="{00000000-0005-0000-0000-000008000000}"/>
    <cellStyle name="_1% CADR 2" xfId="906" xr:uid="{5207A901-28C6-4F6E-A6B2-5D38AB9E4176}"/>
    <cellStyle name="_10% CADR" xfId="10" xr:uid="{00000000-0005-0000-0000-000009000000}"/>
    <cellStyle name="_10% CADR 2" xfId="907" xr:uid="{A174C5B5-C5DC-4B47-8A6D-CEC3A32E8D02}"/>
    <cellStyle name="_10% CDR" xfId="11" xr:uid="{00000000-0005-0000-0000-00000A000000}"/>
    <cellStyle name="_10% CDR 2" xfId="908" xr:uid="{A0747DC8-99F8-4D4C-B3BE-DD38AB45B948}"/>
    <cellStyle name="_11% CADR" xfId="12" xr:uid="{00000000-0005-0000-0000-00000B000000}"/>
    <cellStyle name="_11% CADR 2" xfId="909" xr:uid="{2C662044-F4D4-4A30-A298-0A544AC10578}"/>
    <cellStyle name="_12% CADR" xfId="13" xr:uid="{00000000-0005-0000-0000-00000C000000}"/>
    <cellStyle name="_12% CADR 2" xfId="910" xr:uid="{6FAD94A5-0EC8-469C-B656-71DF4459328B}"/>
    <cellStyle name="_12% CDR" xfId="14" xr:uid="{00000000-0005-0000-0000-00000D000000}"/>
    <cellStyle name="_12% CDR 2" xfId="911" xr:uid="{E8922ED5-75FD-44B9-A1C2-351B659D334D}"/>
    <cellStyle name="_13% CADR" xfId="15" xr:uid="{00000000-0005-0000-0000-00000E000000}"/>
    <cellStyle name="_13% CADR 2" xfId="912" xr:uid="{53916047-8114-4AF8-99EF-B7EAF4D82209}"/>
    <cellStyle name="_14% CADR" xfId="16" xr:uid="{00000000-0005-0000-0000-00000F000000}"/>
    <cellStyle name="_14% CADR 2" xfId="913" xr:uid="{0292B982-B43F-43C4-A86E-2B6D4F456495}"/>
    <cellStyle name="_14% CDR" xfId="17" xr:uid="{00000000-0005-0000-0000-000010000000}"/>
    <cellStyle name="_14% CDR 2" xfId="914" xr:uid="{BBE256FE-7D54-4D2A-ACD7-200550F238D0}"/>
    <cellStyle name="_16% CDR" xfId="18" xr:uid="{00000000-0005-0000-0000-000011000000}"/>
    <cellStyle name="_16% CDR 2" xfId="915" xr:uid="{8D00A920-2339-4376-8D1D-804D1E63CE07}"/>
    <cellStyle name="_18% CDR" xfId="19" xr:uid="{00000000-0005-0000-0000-000012000000}"/>
    <cellStyle name="_18% CDR 2" xfId="916" xr:uid="{7077033D-53D3-4E83-BB12-8314927C170C}"/>
    <cellStyle name="_19.6% CDR BBB Break In Yield" xfId="20" xr:uid="{00000000-0005-0000-0000-000013000000}"/>
    <cellStyle name="_19.6% CDR BBB Break In Yield 2" xfId="917" xr:uid="{4CC826F9-BD5E-4B36-B7CC-2CDAB171BE21}"/>
    <cellStyle name="_2% CADR" xfId="21" xr:uid="{00000000-0005-0000-0000-000014000000}"/>
    <cellStyle name="_2% CADR 2" xfId="918" xr:uid="{3A63FDF4-7648-4AB7-8503-D403920B8C47}"/>
    <cellStyle name="_20% CDR" xfId="22" xr:uid="{00000000-0005-0000-0000-000015000000}"/>
    <cellStyle name="_20% CDR 2" xfId="919" xr:uid="{F0AE1E2A-DDD0-46B7-B369-48ED51B5AE5F}"/>
    <cellStyle name="_21.5% CDR BBB Break In Yield" xfId="23" xr:uid="{00000000-0005-0000-0000-000016000000}"/>
    <cellStyle name="_21.5% CDR BBB Break In Yield 2" xfId="920" xr:uid="{7B03902C-C380-465B-9B75-4987BAEF8585}"/>
    <cellStyle name="_3% CADR" xfId="24" xr:uid="{00000000-0005-0000-0000-000017000000}"/>
    <cellStyle name="_3% CADR 2" xfId="921" xr:uid="{F8A09E6D-0576-4A64-8E6D-3D5BFE4352CF}"/>
    <cellStyle name="_3% CDR" xfId="25" xr:uid="{00000000-0005-0000-0000-000018000000}"/>
    <cellStyle name="_3% CDR 2" xfId="922" xr:uid="{0E0FB71A-1223-465E-A99B-004539A2C6C5}"/>
    <cellStyle name="_4% CADR" xfId="26" xr:uid="{00000000-0005-0000-0000-000019000000}"/>
    <cellStyle name="_4% CADR 2" xfId="923" xr:uid="{5F02F156-F188-45E6-943B-A08D9D859FF0}"/>
    <cellStyle name="_5% CADR" xfId="27" xr:uid="{00000000-0005-0000-0000-00001A000000}"/>
    <cellStyle name="_5% CADR 2" xfId="924" xr:uid="{75E89DE0-20F2-4E73-AA97-DC5825F36104}"/>
    <cellStyle name="_5% CDR" xfId="28" xr:uid="{00000000-0005-0000-0000-00001B000000}"/>
    <cellStyle name="_5% CDR 2" xfId="925" xr:uid="{9D3F89D6-B7E0-4B89-B0F8-D51A920CFA14}"/>
    <cellStyle name="_6% CADR" xfId="29" xr:uid="{00000000-0005-0000-0000-00001C000000}"/>
    <cellStyle name="_6% CADR 2" xfId="926" xr:uid="{3319270A-81B2-4E08-A1E8-8C3227A9BB59}"/>
    <cellStyle name="_7% CADR" xfId="30" xr:uid="{00000000-0005-0000-0000-00001D000000}"/>
    <cellStyle name="_7% CADR 2" xfId="927" xr:uid="{618F822B-D6A3-4DED-8751-DED8497ABCF0}"/>
    <cellStyle name="_7% CDR" xfId="31" xr:uid="{00000000-0005-0000-0000-00001E000000}"/>
    <cellStyle name="_7% CDR 2" xfId="928" xr:uid="{B7D1A42E-242F-4393-87A2-D196BB51705E}"/>
    <cellStyle name="_8% CADR" xfId="32" xr:uid="{00000000-0005-0000-0000-00001F000000}"/>
    <cellStyle name="_8% CADR 2" xfId="929" xr:uid="{480CAAAE-AC84-49B5-A96F-0CD27E931F4A}"/>
    <cellStyle name="_8.0% CDR BB Break In Yield" xfId="33" xr:uid="{00000000-0005-0000-0000-000020000000}"/>
    <cellStyle name="_8.0% CDR BB Break In Yield 2" xfId="930" xr:uid="{954D5BC3-2027-4822-ACE3-9F22D8B3FD6B}"/>
    <cellStyle name="_8.1% CDR BB Break In Yield" xfId="34" xr:uid="{00000000-0005-0000-0000-000021000000}"/>
    <cellStyle name="_8.1% CDR BB Break In Yield 2" xfId="931" xr:uid="{A487E6F5-7176-4918-91D3-D66198C7326B}"/>
    <cellStyle name="_9% CADR" xfId="35" xr:uid="{00000000-0005-0000-0000-000022000000}"/>
    <cellStyle name="_9% CADR 2" xfId="932" xr:uid="{29D21256-12D1-49D4-8A8C-74F1A6A05C2F}"/>
    <cellStyle name="_Assets" xfId="36" xr:uid="{00000000-0005-0000-0000-000023000000}"/>
    <cellStyle name="_Assets 2" xfId="933" xr:uid="{52A93EE4-88CD-4067-9A37-CC756B972393}"/>
    <cellStyle name="_Assets_1" xfId="37" xr:uid="{00000000-0005-0000-0000-000024000000}"/>
    <cellStyle name="_Assets_1_COMPS - B2B Publishers" xfId="38" xr:uid="{00000000-0005-0000-0000-000025000000}"/>
    <cellStyle name="_Assets_1_COMPS - Directories" xfId="39" xr:uid="{00000000-0005-0000-0000-000026000000}"/>
    <cellStyle name="_Assets_1_F&amp;W Servicing Model" xfId="40" xr:uid="{00000000-0005-0000-0000-000027000000}"/>
    <cellStyle name="_Assets_1_F&amp;W Servicing Model v2" xfId="41" xr:uid="{00000000-0005-0000-0000-000028000000}"/>
    <cellStyle name="_Assets_1_S&amp;P Analysis" xfId="42" xr:uid="{00000000-0005-0000-0000-000029000000}"/>
    <cellStyle name="_Assets_1_S&amp;P Analysis 2" xfId="934" xr:uid="{3CA50B2F-7D9F-4F5A-9339-4DA8B46782F2}"/>
    <cellStyle name="_Assets_1_Univision Annual Model" xfId="43" xr:uid="{00000000-0005-0000-0000-00002A000000}"/>
    <cellStyle name="_Assets_1_Yell Servicing Model" xfId="44" xr:uid="{00000000-0005-0000-0000-00002B000000}"/>
    <cellStyle name="_Assets_S&amp;P Analysis" xfId="45" xr:uid="{00000000-0005-0000-0000-00002C000000}"/>
    <cellStyle name="_Assets_S&amp;P Analysis_COMPS - B2B Publishers" xfId="46" xr:uid="{00000000-0005-0000-0000-00002D000000}"/>
    <cellStyle name="_Assets_S&amp;P Analysis_COMPS - Directories" xfId="47" xr:uid="{00000000-0005-0000-0000-00002E000000}"/>
    <cellStyle name="_Assets_S&amp;P Analysis_F&amp;W Servicing Model" xfId="48" xr:uid="{00000000-0005-0000-0000-00002F000000}"/>
    <cellStyle name="_Assets_S&amp;P Analysis_F&amp;W Servicing Model v2" xfId="49" xr:uid="{00000000-0005-0000-0000-000030000000}"/>
    <cellStyle name="_Assets_S&amp;P Analysis_Univision Annual Model" xfId="50" xr:uid="{00000000-0005-0000-0000-000031000000}"/>
    <cellStyle name="_Assets_S&amp;P Analysis_Yell Servicing Model" xfId="51" xr:uid="{00000000-0005-0000-0000-000032000000}"/>
    <cellStyle name="_Assumptions" xfId="52" xr:uid="{00000000-0005-0000-0000-000033000000}"/>
    <cellStyle name="_Assumptions 2" xfId="935" xr:uid="{FDDD1671-0EFF-45D4-A9B4-219DCAB747F0}"/>
    <cellStyle name="_Assumptions_1" xfId="53" xr:uid="{00000000-0005-0000-0000-000034000000}"/>
    <cellStyle name="_Assumptions_1 2" xfId="936" xr:uid="{0C12A0B5-67F7-4E4A-A201-9492C7EF49AB}"/>
    <cellStyle name="_Assumptions_1_COMPS - B2B Publishers" xfId="54" xr:uid="{00000000-0005-0000-0000-000035000000}"/>
    <cellStyle name="_Assumptions_1_COMPS - B2B Publishers 2" xfId="937" xr:uid="{77B12242-6917-4E5E-9511-BA71DA18E49E}"/>
    <cellStyle name="_Assumptions_1_COMPS - Directories" xfId="55" xr:uid="{00000000-0005-0000-0000-000036000000}"/>
    <cellStyle name="_Assumptions_1_COMPS - Directories 2" xfId="938" xr:uid="{F704E6A4-8F29-4361-92A4-B5A9FACB8F07}"/>
    <cellStyle name="_Assumptions_1_F&amp;W Servicing Model" xfId="56" xr:uid="{00000000-0005-0000-0000-000037000000}"/>
    <cellStyle name="_Assumptions_1_F&amp;W Servicing Model 2" xfId="939" xr:uid="{55350F24-3E23-4BF8-8CC3-F040335C5F0E}"/>
    <cellStyle name="_Assumptions_1_F&amp;W Servicing Model v2" xfId="57" xr:uid="{00000000-0005-0000-0000-000038000000}"/>
    <cellStyle name="_Assumptions_1_F&amp;W Servicing Model v2 2" xfId="940" xr:uid="{59759686-9DFE-48C3-88CF-4D382AB0F07B}"/>
    <cellStyle name="_Assumptions_1_Univision Annual Model" xfId="58" xr:uid="{00000000-0005-0000-0000-000039000000}"/>
    <cellStyle name="_Assumptions_1_Univision Annual Model 2" xfId="941" xr:uid="{46F1AE65-0D8F-4937-84AD-E9EBE55FE3D9}"/>
    <cellStyle name="_Assumptions_1_Yell Servicing Model" xfId="59" xr:uid="{00000000-0005-0000-0000-00003A000000}"/>
    <cellStyle name="_Assumptions_1_Yell Servicing Model 2" xfId="942" xr:uid="{D6DAE500-F4C7-470E-A5CC-9DE105D97717}"/>
    <cellStyle name="_Blue Mountain TRS (7-5-05)" xfId="60" xr:uid="{00000000-0005-0000-0000-00003B000000}"/>
    <cellStyle name="_Blue Mountain TRS (7-5-05) 2" xfId="943" xr:uid="{E4430979-0030-4F4A-96E0-43C913B50A23}"/>
    <cellStyle name="_Book2" xfId="61" xr:uid="{00000000-0005-0000-0000-00003C000000}"/>
    <cellStyle name="_Book2 2" xfId="944" xr:uid="{93A1AC7C-D8A7-4623-B41D-09D9677A8EE2}"/>
    <cellStyle name="_CDO of CDO" xfId="62" xr:uid="{00000000-0005-0000-0000-00003D000000}"/>
    <cellStyle name="_CDO of CDO 2" xfId="945" xr:uid="{6DE9196C-CC3C-4E1C-80AE-DC8043736815}"/>
    <cellStyle name="_CLO Portfolio 10_07_2005" xfId="63" xr:uid="{00000000-0005-0000-0000-00003E000000}"/>
    <cellStyle name="_CLO Portfolio 10_07_2005 2" xfId="946" xr:uid="{174D939E-0598-44C4-B65D-E2D34BCE9811}"/>
    <cellStyle name="_Comma" xfId="64" xr:uid="{00000000-0005-0000-0000-00003F000000}"/>
    <cellStyle name="_Comma 2" xfId="947" xr:uid="{0DF1D4CD-2C40-4AC9-B97C-9DADD9B2246C}"/>
    <cellStyle name="_Comma_dcf" xfId="65" xr:uid="{00000000-0005-0000-0000-000040000000}"/>
    <cellStyle name="_Comma_dcf 2" xfId="948" xr:uid="{EEAAF852-7981-4BA5-B9E6-0A4C37798BD0}"/>
    <cellStyle name="_Currency" xfId="66" xr:uid="{00000000-0005-0000-0000-000041000000}"/>
    <cellStyle name="_Currency 2" xfId="949" xr:uid="{3FAA3F16-CE94-4DAF-AC1C-6CE3E61FC589}"/>
    <cellStyle name="_Currency_dcf" xfId="67" xr:uid="{00000000-0005-0000-0000-000042000000}"/>
    <cellStyle name="_Currency_dcf 2" xfId="950" xr:uid="{4D93D4C8-1A74-43E5-9D2A-A620EA6D06F2}"/>
    <cellStyle name="_CurrencySpace" xfId="68" xr:uid="{00000000-0005-0000-0000-000043000000}"/>
    <cellStyle name="_CurrencySpace 2" xfId="951" xr:uid="{8F070300-F9D4-43EB-9D80-0CB51007A156}"/>
    <cellStyle name="_CurrencySpace_dcf" xfId="69" xr:uid="{00000000-0005-0000-0000-000044000000}"/>
    <cellStyle name="_CurrencySpace_dcf 2" xfId="952" xr:uid="{4736BE2E-098F-4CF8-ABD2-2C9FEA628FDF}"/>
    <cellStyle name="_Euro" xfId="70" xr:uid="{00000000-0005-0000-0000-000045000000}"/>
    <cellStyle name="_Euro 2" xfId="953" xr:uid="{D64F50EE-D897-41EE-BED5-A3C8128359F1}"/>
    <cellStyle name="_EV8 Assumption List" xfId="71" xr:uid="{00000000-0005-0000-0000-000046000000}"/>
    <cellStyle name="_EV8 Assumption List 2" xfId="954" xr:uid="{FA4F579F-9EDC-4BC7-A8D5-95BAC711EA17}"/>
    <cellStyle name="_Exhibit I Babson Warehouse 2006-II CLO 8 18 06" xfId="72" xr:uid="{00000000-0005-0000-0000-000047000000}"/>
    <cellStyle name="_Exhibit I Babson Warehouse 2006-II CLO 8 18 06 2" xfId="955" xr:uid="{0B3253A2-96AA-451A-A30C-D14850CBECF4}"/>
    <cellStyle name="_First PIK" xfId="73" xr:uid="{00000000-0005-0000-0000-000048000000}"/>
    <cellStyle name="_First PIK 2" xfId="956" xr:uid="{2298B186-B6DB-4837-9A3A-83F0C3EC23C7}"/>
    <cellStyle name="_Galaxy VI CLO - WestLB Request" xfId="74" xr:uid="{00000000-0005-0000-0000-000049000000}"/>
    <cellStyle name="_Galaxy VI CLO - WestLB Request 2" xfId="957" xr:uid="{57FE8E69-0CFC-4D94-8BC5-8F55FAF48725}"/>
    <cellStyle name="_Heading" xfId="75" xr:uid="{00000000-0005-0000-0000-00004A000000}"/>
    <cellStyle name="_Heading_prestemp" xfId="76" xr:uid="{00000000-0005-0000-0000-00004B000000}"/>
    <cellStyle name="_Highlight" xfId="77" xr:uid="{00000000-0005-0000-0000-00004C000000}"/>
    <cellStyle name="_Highlight 2" xfId="958" xr:uid="{D6CABDF0-EC52-46AA-951E-9A503AEA99DF}"/>
    <cellStyle name="_Model FINAL (2)" xfId="78" xr:uid="{00000000-0005-0000-0000-00004D000000}"/>
    <cellStyle name="_Model FINAL (2) 2" xfId="959" xr:uid="{22691525-6197-4C14-B8EF-805599A37A75}"/>
    <cellStyle name="_Multiple" xfId="79" xr:uid="{00000000-0005-0000-0000-00004E000000}"/>
    <cellStyle name="_Multiple 2" xfId="960" xr:uid="{3EC81AD5-A9D1-4539-8A52-D25D90AEBB73}"/>
    <cellStyle name="_Multiple_dcf" xfId="80" xr:uid="{00000000-0005-0000-0000-00004F000000}"/>
    <cellStyle name="_Multiple_dcf 2" xfId="961" xr:uid="{A4CC31F9-370C-4CFB-8462-6122DCA59DE1}"/>
    <cellStyle name="_MultipleSpace" xfId="81" xr:uid="{00000000-0005-0000-0000-000050000000}"/>
    <cellStyle name="_MultipleSpace 2" xfId="962" xr:uid="{97EB87E0-F70E-4D3A-A996-B43B38EA5B5C}"/>
    <cellStyle name="_MultipleSpace_dcf" xfId="82" xr:uid="{00000000-0005-0000-0000-000051000000}"/>
    <cellStyle name="_MultipleSpace_dcf 2" xfId="963" xr:uid="{337B9FEA-0B53-4DFD-9219-6A16CF1971D7}"/>
    <cellStyle name="_Other Defafult Scenario 1" xfId="83" xr:uid="{00000000-0005-0000-0000-000052000000}"/>
    <cellStyle name="_Other Defafult Scenario 1 2" xfId="964" xr:uid="{AA7F4B7F-CB51-497B-9CA1-AC97089938BB}"/>
    <cellStyle name="_Other Default Scenario 2" xfId="84" xr:uid="{00000000-0005-0000-0000-000053000000}"/>
    <cellStyle name="_Other Default Scenario 2 2" xfId="965" xr:uid="{6F094662-01F1-4106-A26D-F148CA0AB898}"/>
    <cellStyle name="_Percent" xfId="85" xr:uid="{00000000-0005-0000-0000-000054000000}"/>
    <cellStyle name="_Percent 2" xfId="966" xr:uid="{2A35D8F4-FC92-40BF-8D73-1820DA1AEE05}"/>
    <cellStyle name="_PercentSpace" xfId="86" xr:uid="{00000000-0005-0000-0000-000055000000}"/>
    <cellStyle name="_PercentSpace 2" xfId="967" xr:uid="{F3AC9FB4-4AB2-4063-B495-D433905EEA17}"/>
    <cellStyle name="_Port" xfId="87" xr:uid="{00000000-0005-0000-0000-000056000000}"/>
    <cellStyle name="_Port 2" xfId="968" xr:uid="{9DDEE747-1AD9-4DB3-86CC-71F7C750B48E}"/>
    <cellStyle name="_Port For S&amp;P" xfId="88" xr:uid="{00000000-0005-0000-0000-000057000000}"/>
    <cellStyle name="_Port For S&amp;P 2" xfId="969" xr:uid="{A6DA1F25-9DCE-443E-B01E-07AFA4B378CF}"/>
    <cellStyle name="_Port_COMPS - B2B Publishers" xfId="89" xr:uid="{00000000-0005-0000-0000-000058000000}"/>
    <cellStyle name="_Port_COMPS - B2B Publishers 2" xfId="970" xr:uid="{2198A9F6-5E63-466E-A578-30BED51F0DC3}"/>
    <cellStyle name="_Port_COMPS - Directories" xfId="90" xr:uid="{00000000-0005-0000-0000-000059000000}"/>
    <cellStyle name="_Port_COMPS - Directories 2" xfId="971" xr:uid="{F9E86040-5429-45AD-9F9D-09C698999AE9}"/>
    <cellStyle name="_Port_F&amp;W Servicing Model" xfId="91" xr:uid="{00000000-0005-0000-0000-00005A000000}"/>
    <cellStyle name="_Port_F&amp;W Servicing Model 2" xfId="972" xr:uid="{03837419-9AA4-4916-A147-3EEB44768752}"/>
    <cellStyle name="_Port_F&amp;W Servicing Model v2" xfId="92" xr:uid="{00000000-0005-0000-0000-00005B000000}"/>
    <cellStyle name="_Port_F&amp;W Servicing Model v2 2" xfId="973" xr:uid="{C3DAD313-FD39-4CE3-92F6-DFCCA4608EEB}"/>
    <cellStyle name="_Port_Univision Annual Model" xfId="93" xr:uid="{00000000-0005-0000-0000-00005C000000}"/>
    <cellStyle name="_Port_Univision Annual Model 2" xfId="974" xr:uid="{6C03643A-15E1-4A69-9BAC-C2443351D6EC}"/>
    <cellStyle name="_Port_Yell Servicing Model" xfId="94" xr:uid="{00000000-0005-0000-0000-00005D000000}"/>
    <cellStyle name="_Port_Yell Servicing Model 2" xfId="975" xr:uid="{C950CE80-30A2-4937-8DB3-E80EA71FCFF8}"/>
    <cellStyle name="_Pro Forma TTM 9.30.07 (CW NEIRB Acquisition)" xfId="95" xr:uid="{00000000-0005-0000-0000-00005E000000}"/>
    <cellStyle name="_Pro Forma TTM 9.30.07 (CW NEIRB Acquisition) 2" xfId="976" xr:uid="{82E8398B-27E0-498C-9E94-AC5DB04537E6}"/>
    <cellStyle name="_S&amp;P Analysis" xfId="96" xr:uid="{00000000-0005-0000-0000-00005F000000}"/>
    <cellStyle name="_S&amp;P Analysis_COMPS - B2B Publishers" xfId="97" xr:uid="{00000000-0005-0000-0000-000060000000}"/>
    <cellStyle name="_S&amp;P Analysis_COMPS - Directories" xfId="98" xr:uid="{00000000-0005-0000-0000-000061000000}"/>
    <cellStyle name="_S&amp;P Analysis_F&amp;W Servicing Model" xfId="99" xr:uid="{00000000-0005-0000-0000-000062000000}"/>
    <cellStyle name="_S&amp;P Analysis_F&amp;W Servicing Model v2" xfId="100" xr:uid="{00000000-0005-0000-0000-000063000000}"/>
    <cellStyle name="_S&amp;P Analysis_Univision Annual Model" xfId="101" xr:uid="{00000000-0005-0000-0000-000064000000}"/>
    <cellStyle name="_S&amp;P Analysis_Yell Servicing Model" xfId="102" xr:uid="{00000000-0005-0000-0000-000065000000}"/>
    <cellStyle name="_S&amp;P Hypothetical Port Summary" xfId="103" xr:uid="{00000000-0005-0000-0000-000066000000}"/>
    <cellStyle name="_S&amp;P Hypothetical Port Summary 2" xfId="977" xr:uid="{E3F7BEF4-CCD2-4F67-8CF4-058EBD7489BB}"/>
    <cellStyle name="_S&amp;P Port 80Div_2099WARF" xfId="104" xr:uid="{00000000-0005-0000-0000-000067000000}"/>
    <cellStyle name="_S&amp;P Port 80Div_2099WARF 2" xfId="978" xr:uid="{3F23403D-8FEE-4150-939B-C5E154657284}"/>
    <cellStyle name="_S&amp;P Stress Scenarios" xfId="105" xr:uid="{00000000-0005-0000-0000-000068000000}"/>
    <cellStyle name="_S&amp;P Stress Scenarios 2" xfId="979" xr:uid="{075700F0-6699-4A28-8644-5ED47E8BBB07}"/>
    <cellStyle name="_Sources and Uses" xfId="106" xr:uid="{00000000-0005-0000-0000-000069000000}"/>
    <cellStyle name="_Sources and Uses 2" xfId="980" xr:uid="{6A593A65-D73C-4C65-B16F-A5ED64C7ADF8}"/>
    <cellStyle name="_SubHeading" xfId="107" xr:uid="{00000000-0005-0000-0000-00006A000000}"/>
    <cellStyle name="_SubHeading_prestemp" xfId="108" xr:uid="{00000000-0005-0000-0000-00006B000000}"/>
    <cellStyle name="_Table" xfId="109" xr:uid="{00000000-0005-0000-0000-00006C000000}"/>
    <cellStyle name="_TableHead" xfId="110" xr:uid="{00000000-0005-0000-0000-00006D000000}"/>
    <cellStyle name="_TableRowHead" xfId="111" xr:uid="{00000000-0005-0000-0000-00006E000000}"/>
    <cellStyle name="_TableSuperHead" xfId="112" xr:uid="{00000000-0005-0000-0000-00006F000000}"/>
    <cellStyle name="£Currency [0]" xfId="113" xr:uid="{00000000-0005-0000-0000-000070000000}"/>
    <cellStyle name="£Currency [1]" xfId="114" xr:uid="{00000000-0005-0000-0000-000071000000}"/>
    <cellStyle name="£Currency [2]" xfId="115" xr:uid="{00000000-0005-0000-0000-000072000000}"/>
    <cellStyle name="£Currency [p]" xfId="116" xr:uid="{00000000-0005-0000-0000-000073000000}"/>
    <cellStyle name="£Currency [p2]" xfId="117" xr:uid="{00000000-0005-0000-0000-000074000000}"/>
    <cellStyle name="£Pounds" xfId="118" xr:uid="{00000000-0005-0000-0000-000075000000}"/>
    <cellStyle name="Accounting $" xfId="119" xr:uid="{00000000-0005-0000-0000-000076000000}"/>
    <cellStyle name="Accounting $ 2" xfId="981" xr:uid="{9903969E-82ED-4D76-9472-2B6559748262}"/>
    <cellStyle name="Across" xfId="120" xr:uid="{00000000-0005-0000-0000-000077000000}"/>
    <cellStyle name="Adjustable" xfId="121" xr:uid="{00000000-0005-0000-0000-000078000000}"/>
    <cellStyle name="AFE" xfId="122" xr:uid="{00000000-0005-0000-0000-000079000000}"/>
    <cellStyle name="Andre's Title" xfId="123" xr:uid="{00000000-0005-0000-0000-00007A000000}"/>
    <cellStyle name="args.style" xfId="124" xr:uid="{00000000-0005-0000-0000-00007B000000}"/>
    <cellStyle name="Arial 10" xfId="125" xr:uid="{00000000-0005-0000-0000-00007C000000}"/>
    <cellStyle name="Arial 10 2" xfId="982" xr:uid="{41463C94-7FAD-4BE5-BC5C-79B09CD17219}"/>
    <cellStyle name="Arial 12" xfId="126" xr:uid="{00000000-0005-0000-0000-00007D000000}"/>
    <cellStyle name="Best" xfId="127" xr:uid="{00000000-0005-0000-0000-00007E000000}"/>
    <cellStyle name="Blank [$]" xfId="128" xr:uid="{00000000-0005-0000-0000-00007F000000}"/>
    <cellStyle name="Blank [,]" xfId="129" xr:uid="{00000000-0005-0000-0000-000080000000}"/>
    <cellStyle name="BlankedZeros" xfId="130" xr:uid="{00000000-0005-0000-0000-000081000000}"/>
    <cellStyle name="blp_column_header" xfId="131" xr:uid="{00000000-0005-0000-0000-000082000000}"/>
    <cellStyle name="Blue" xfId="132" xr:uid="{00000000-0005-0000-0000-000083000000}"/>
    <cellStyle name="bluepercent" xfId="133" xr:uid="{00000000-0005-0000-0000-000084000000}"/>
    <cellStyle name="Body" xfId="134" xr:uid="{00000000-0005-0000-0000-000085000000}"/>
    <cellStyle name="Bold" xfId="135" xr:uid="{00000000-0005-0000-0000-000086000000}"/>
    <cellStyle name="BoldItalic" xfId="136" xr:uid="{00000000-0005-0000-0000-000087000000}"/>
    <cellStyle name="Bottom" xfId="137" xr:uid="{00000000-0005-0000-0000-000088000000}"/>
    <cellStyle name="Bottom Edge" xfId="138" xr:uid="{00000000-0005-0000-0000-000089000000}"/>
    <cellStyle name="British Pound" xfId="139" xr:uid="{00000000-0005-0000-0000-00008A000000}"/>
    <cellStyle name="Business Description" xfId="140" xr:uid="{00000000-0005-0000-0000-00008B000000}"/>
    <cellStyle name="c" xfId="141" xr:uid="{00000000-0005-0000-0000-00008C000000}"/>
    <cellStyle name="Calc Currency (0)" xfId="142" xr:uid="{00000000-0005-0000-0000-00008D000000}"/>
    <cellStyle name="Calc Currency (2)" xfId="143" xr:uid="{00000000-0005-0000-0000-00008E000000}"/>
    <cellStyle name="Calc Percent (0)" xfId="144" xr:uid="{00000000-0005-0000-0000-00008F000000}"/>
    <cellStyle name="Calc Percent (1)" xfId="145" xr:uid="{00000000-0005-0000-0000-000090000000}"/>
    <cellStyle name="Calc Percent (2)" xfId="146" xr:uid="{00000000-0005-0000-0000-000091000000}"/>
    <cellStyle name="Calc Percent (2) 2" xfId="983" xr:uid="{96FA25E2-BDD0-4DB2-8EC2-9210E475957D}"/>
    <cellStyle name="Calc Units (0)" xfId="147" xr:uid="{00000000-0005-0000-0000-000092000000}"/>
    <cellStyle name="Calc Units (1)" xfId="148" xr:uid="{00000000-0005-0000-0000-000093000000}"/>
    <cellStyle name="Calc Units (2)" xfId="149" xr:uid="{00000000-0005-0000-0000-000094000000}"/>
    <cellStyle name="Case" xfId="150" xr:uid="{00000000-0005-0000-0000-000095000000}"/>
    <cellStyle name="cc" xfId="151" xr:uid="{00000000-0005-0000-0000-000096000000}"/>
    <cellStyle name="Center" xfId="152" xr:uid="{00000000-0005-0000-0000-000097000000}"/>
    <cellStyle name="CenterBold" xfId="153" xr:uid="{00000000-0005-0000-0000-000098000000}"/>
    <cellStyle name="CenterItalic" xfId="154" xr:uid="{00000000-0005-0000-0000-000099000000}"/>
    <cellStyle name="Cents" xfId="155" xr:uid="{00000000-0005-0000-0000-00009A000000}"/>
    <cellStyle name="Cents 2" xfId="984" xr:uid="{94413B5E-41F4-4B51-BBF9-287C09198190}"/>
    <cellStyle name="ChartingText" xfId="156" xr:uid="{00000000-0005-0000-0000-00009B000000}"/>
    <cellStyle name="Co. Names" xfId="157" xr:uid="{00000000-0005-0000-0000-00009C000000}"/>
    <cellStyle name="Co. Names - Bold" xfId="158" xr:uid="{00000000-0005-0000-0000-00009D000000}"/>
    <cellStyle name="Co. Names_Break-Up" xfId="159" xr:uid="{00000000-0005-0000-0000-00009E000000}"/>
    <cellStyle name="COL HEADINGS" xfId="160" xr:uid="{00000000-0005-0000-0000-00009F000000}"/>
    <cellStyle name="ColumnHeaderNormal" xfId="161" xr:uid="{00000000-0005-0000-0000-0000A0000000}"/>
    <cellStyle name="Comma" xfId="900" builtinId="3"/>
    <cellStyle name="Comma  - Style1" xfId="162" xr:uid="{00000000-0005-0000-0000-0000A2000000}"/>
    <cellStyle name="Comma  - Style1 2" xfId="985" xr:uid="{2F41EA86-4E8D-42E1-B945-C5B2A4412FDC}"/>
    <cellStyle name="Comma  - Style2" xfId="163" xr:uid="{00000000-0005-0000-0000-0000A3000000}"/>
    <cellStyle name="Comma  - Style2 2" xfId="986" xr:uid="{40756C10-D127-41A6-8D7D-FD8EDBCD78A5}"/>
    <cellStyle name="Comma  - Style3" xfId="164" xr:uid="{00000000-0005-0000-0000-0000A4000000}"/>
    <cellStyle name="Comma  - Style3 2" xfId="987" xr:uid="{ABEA61C9-A138-4298-A5ED-1526384760FE}"/>
    <cellStyle name="Comma  - Style4" xfId="165" xr:uid="{00000000-0005-0000-0000-0000A5000000}"/>
    <cellStyle name="Comma  - Style4 2" xfId="988" xr:uid="{4093F80A-9D6B-458D-BEAA-61DE7D84B5BC}"/>
    <cellStyle name="Comma  - Style5" xfId="166" xr:uid="{00000000-0005-0000-0000-0000A6000000}"/>
    <cellStyle name="Comma  - Style5 2" xfId="989" xr:uid="{5F8D21DC-A59E-49C3-A803-FE264F5E0D6F}"/>
    <cellStyle name="Comma  - Style6" xfId="167" xr:uid="{00000000-0005-0000-0000-0000A7000000}"/>
    <cellStyle name="Comma  - Style6 2" xfId="990" xr:uid="{9B4A32E2-F4BA-46F4-85DA-54C30E9605AD}"/>
    <cellStyle name="Comma  - Style7" xfId="168" xr:uid="{00000000-0005-0000-0000-0000A8000000}"/>
    <cellStyle name="Comma  - Style7 2" xfId="991" xr:uid="{2BDC33FA-4D57-4F26-8FEB-1565181055DA}"/>
    <cellStyle name="Comma  - Style8" xfId="169" xr:uid="{00000000-0005-0000-0000-0000A9000000}"/>
    <cellStyle name="Comma  - Style8 2" xfId="992" xr:uid="{09EBB131-E6D6-49BA-8B9C-A1FC2B65F55D}"/>
    <cellStyle name="Comma [0]; --" xfId="170" xr:uid="{00000000-0005-0000-0000-0000AA000000}"/>
    <cellStyle name="Comma [00]" xfId="171" xr:uid="{00000000-0005-0000-0000-0000AB000000}"/>
    <cellStyle name="Comma [1]" xfId="172" xr:uid="{00000000-0005-0000-0000-0000AC000000}"/>
    <cellStyle name="Comma 2" xfId="895" xr:uid="{00000000-0005-0000-0000-0000AD000000}"/>
    <cellStyle name="Comma 2 2" xfId="899" xr:uid="{00000000-0005-0000-0000-0000AE000000}"/>
    <cellStyle name="Comma 2 2 2" xfId="1024" xr:uid="{34BE0C57-9B3A-4FEA-B4ED-42705199740A}"/>
    <cellStyle name="Comma 2 2 2 2" xfId="1039" xr:uid="{7FDACBC4-6056-4499-818E-C22742BBBF16}"/>
    <cellStyle name="Comma 2 2 3" xfId="1034" xr:uid="{2E436D1C-4630-4486-8616-8863CFB70A93}"/>
    <cellStyle name="Comma 2 3" xfId="1021" xr:uid="{64761DDD-8266-4FE1-AC12-C2999D08E7CB}"/>
    <cellStyle name="Comma 2 3 2" xfId="1036" xr:uid="{2B75917D-8DA9-4B91-98C3-A5A004F70935}"/>
    <cellStyle name="Comma 2 4" xfId="1031" xr:uid="{2B267415-543F-4884-853D-0E4A28538DEE}"/>
    <cellStyle name="Comma 3" xfId="1025" xr:uid="{6C8CD44E-BAD6-4BDD-91F6-CD94DED1E3D0}"/>
    <cellStyle name="Comma Cents" xfId="173" xr:uid="{00000000-0005-0000-0000-0000AF000000}"/>
    <cellStyle name="Comma Cents 2" xfId="993" xr:uid="{40475A39-2011-4233-8D97-635A8DF2B206}"/>
    <cellStyle name="Comma0" xfId="174" xr:uid="{00000000-0005-0000-0000-0000B0000000}"/>
    <cellStyle name="Comma0 2" xfId="994" xr:uid="{8DD24E50-86AE-443C-B64A-752F583BF5A2}"/>
    <cellStyle name="Commas" xfId="175" xr:uid="{00000000-0005-0000-0000-0000B1000000}"/>
    <cellStyle name="CommasBold" xfId="176" xr:uid="{00000000-0005-0000-0000-0000B2000000}"/>
    <cellStyle name="CompanyTitle" xfId="177" xr:uid="{00000000-0005-0000-0000-0000B3000000}"/>
    <cellStyle name="Copied" xfId="178" xr:uid="{00000000-0005-0000-0000-0000B4000000}"/>
    <cellStyle name="Currency $" xfId="179" xr:uid="{00000000-0005-0000-0000-0000B5000000}"/>
    <cellStyle name="Currency $ 2" xfId="995" xr:uid="{BCDDCBFF-D762-4416-B9F7-1407B4A9CA0A}"/>
    <cellStyle name="Currency [0]; --" xfId="180" xr:uid="{00000000-0005-0000-0000-0000B6000000}"/>
    <cellStyle name="Currency [00]" xfId="181" xr:uid="{00000000-0005-0000-0000-0000B7000000}"/>
    <cellStyle name="Currency [1]" xfId="182" xr:uid="{00000000-0005-0000-0000-0000B8000000}"/>
    <cellStyle name="Currency [2]" xfId="183" xr:uid="{00000000-0005-0000-0000-0000B9000000}"/>
    <cellStyle name="data" xfId="184" xr:uid="{00000000-0005-0000-0000-0000BA000000}"/>
    <cellStyle name="data 2" xfId="996" xr:uid="{AFFCE6C2-FA0B-418B-8DBB-146BF9C93975}"/>
    <cellStyle name="Date" xfId="185" xr:uid="{00000000-0005-0000-0000-0000BB000000}"/>
    <cellStyle name="Date 2" xfId="997" xr:uid="{16B561FA-2165-49A7-B875-388F35BFBCB5}"/>
    <cellStyle name="Date Short" xfId="186" xr:uid="{00000000-0005-0000-0000-0000BC000000}"/>
    <cellStyle name="Date_COMPS - Directories" xfId="187" xr:uid="{00000000-0005-0000-0000-0000BD000000}"/>
    <cellStyle name="DateLeftBold" xfId="188" xr:uid="{00000000-0005-0000-0000-0000BE000000}"/>
    <cellStyle name="Default" xfId="189" xr:uid="{00000000-0005-0000-0000-0000BF000000}"/>
    <cellStyle name="Default 2" xfId="998" xr:uid="{70EAC48D-A6D3-4C7B-B20A-FF0D574F7A61}"/>
    <cellStyle name="DELTA" xfId="190" xr:uid="{00000000-0005-0000-0000-0000C0000000}"/>
    <cellStyle name="Dollars" xfId="191" xr:uid="{00000000-0005-0000-0000-0000C1000000}"/>
    <cellStyle name="Dollars []" xfId="192" xr:uid="{00000000-0005-0000-0000-0000C2000000}"/>
    <cellStyle name="Dollars_Pro Forma TTM 9.30.07 (CW NEIRB Acquisition)" xfId="193" xr:uid="{00000000-0005-0000-0000-0000C3000000}"/>
    <cellStyle name="Double" xfId="194" xr:uid="{00000000-0005-0000-0000-0000C4000000}"/>
    <cellStyle name="Double Accounting" xfId="195" xr:uid="{00000000-0005-0000-0000-0000C5000000}"/>
    <cellStyle name="Enter Currency (0)" xfId="196" xr:uid="{00000000-0005-0000-0000-0000C6000000}"/>
    <cellStyle name="Enter Currency (2)" xfId="197" xr:uid="{00000000-0005-0000-0000-0000C7000000}"/>
    <cellStyle name="Enter Units (0)" xfId="198" xr:uid="{00000000-0005-0000-0000-0000C8000000}"/>
    <cellStyle name="Enter Units (1)" xfId="199" xr:uid="{00000000-0005-0000-0000-0000C9000000}"/>
    <cellStyle name="Enter Units (2)" xfId="200" xr:uid="{00000000-0005-0000-0000-0000CA000000}"/>
    <cellStyle name="Entered" xfId="201" xr:uid="{00000000-0005-0000-0000-0000CB000000}"/>
    <cellStyle name="Euro" xfId="202" xr:uid="{00000000-0005-0000-0000-0000CC000000}"/>
    <cellStyle name="Euro 2" xfId="999" xr:uid="{3FD7DFF3-3778-42D8-91E3-EF8EC56A8746}"/>
    <cellStyle name="Fit" xfId="203" xr:uid="{00000000-0005-0000-0000-0000CD000000}"/>
    <cellStyle name="Footer" xfId="204" xr:uid="{00000000-0005-0000-0000-0000CE000000}"/>
    <cellStyle name="Footnotes" xfId="205" xr:uid="{00000000-0005-0000-0000-0000CF000000}"/>
    <cellStyle name="Grey" xfId="206" xr:uid="{00000000-0005-0000-0000-0000D0000000}"/>
    <cellStyle name="GreybarHeader" xfId="207" xr:uid="{00000000-0005-0000-0000-0000D1000000}"/>
    <cellStyle name="Grouped Head" xfId="208" xr:uid="{00000000-0005-0000-0000-0000D2000000}"/>
    <cellStyle name="h" xfId="209" xr:uid="{00000000-0005-0000-0000-0000D3000000}"/>
    <cellStyle name="HAlignCenter" xfId="210" xr:uid="{00000000-0005-0000-0000-0000D4000000}"/>
    <cellStyle name="HAlignCenter 2" xfId="1000" xr:uid="{40807B8E-9110-41A5-9E23-34DC9B91F72C}"/>
    <cellStyle name="HAlignLeft" xfId="211" xr:uid="{00000000-0005-0000-0000-0000D5000000}"/>
    <cellStyle name="HAlignLeft 2" xfId="1001" xr:uid="{4016105A-84B5-40AE-9FE4-E032BCC662FC}"/>
    <cellStyle name="HAlignRight" xfId="212" xr:uid="{00000000-0005-0000-0000-0000D6000000}"/>
    <cellStyle name="HAlignRight 2" xfId="1002" xr:uid="{396F4C85-D9DA-4438-9912-B29FF919DDA5}"/>
    <cellStyle name="Head 1" xfId="213" xr:uid="{00000000-0005-0000-0000-0000D7000000}"/>
    <cellStyle name="Header" xfId="214" xr:uid="{00000000-0005-0000-0000-0000D8000000}"/>
    <cellStyle name="Header1" xfId="215" xr:uid="{00000000-0005-0000-0000-0000D9000000}"/>
    <cellStyle name="Header2" xfId="216" xr:uid="{00000000-0005-0000-0000-0000DA000000}"/>
    <cellStyle name="headers" xfId="217" xr:uid="{00000000-0005-0000-0000-0000DB000000}"/>
    <cellStyle name="Heading" xfId="218" xr:uid="{00000000-0005-0000-0000-0000DC000000}"/>
    <cellStyle name="HEADINGS" xfId="219" xr:uid="{00000000-0005-0000-0000-0000DD000000}"/>
    <cellStyle name="HEADINGSTOP" xfId="220" xr:uid="{00000000-0005-0000-0000-0000DE000000}"/>
    <cellStyle name="imput" xfId="221" xr:uid="{00000000-0005-0000-0000-0000DF000000}"/>
    <cellStyle name="Input [yellow]" xfId="222" xr:uid="{00000000-0005-0000-0000-0000E0000000}"/>
    <cellStyle name="Invisible" xfId="223" xr:uid="{00000000-0005-0000-0000-0000E1000000}"/>
    <cellStyle name="ItalicHeader" xfId="224" xr:uid="{00000000-0005-0000-0000-0000E2000000}"/>
    <cellStyle name="Item Descriptions" xfId="225" xr:uid="{00000000-0005-0000-0000-0000E3000000}"/>
    <cellStyle name="Item Descriptions - Bold" xfId="226" xr:uid="{00000000-0005-0000-0000-0000E4000000}"/>
    <cellStyle name="Item Descriptions_6079BX" xfId="227" xr:uid="{00000000-0005-0000-0000-0000E5000000}"/>
    <cellStyle name="Left" xfId="228" xr:uid="{00000000-0005-0000-0000-0000E6000000}"/>
    <cellStyle name="LeftBold" xfId="229" xr:uid="{00000000-0005-0000-0000-0000E7000000}"/>
    <cellStyle name="LeftBoldBottomRule" xfId="230" xr:uid="{00000000-0005-0000-0000-0000E8000000}"/>
    <cellStyle name="LeftBoldCenterRule" xfId="231" xr:uid="{00000000-0005-0000-0000-0000E9000000}"/>
    <cellStyle name="Line" xfId="232" xr:uid="{00000000-0005-0000-0000-0000EA000000}"/>
    <cellStyle name="Link Currency (0)" xfId="233" xr:uid="{00000000-0005-0000-0000-0000EB000000}"/>
    <cellStyle name="Link Currency (2)" xfId="234" xr:uid="{00000000-0005-0000-0000-0000EC000000}"/>
    <cellStyle name="Link Units (0)" xfId="235" xr:uid="{00000000-0005-0000-0000-0000ED000000}"/>
    <cellStyle name="Link Units (1)" xfId="236" xr:uid="{00000000-0005-0000-0000-0000EE000000}"/>
    <cellStyle name="Link Units (2)" xfId="237" xr:uid="{00000000-0005-0000-0000-0000EF000000}"/>
    <cellStyle name="locked" xfId="238" xr:uid="{00000000-0005-0000-0000-0000F0000000}"/>
    <cellStyle name="locked 2" xfId="1003" xr:uid="{4D91B33B-1910-4D41-A13E-F803AC1232CF}"/>
    <cellStyle name="m&amp;a" xfId="239" xr:uid="{00000000-0005-0000-0000-0000F1000000}"/>
    <cellStyle name="Map Labels" xfId="240" xr:uid="{00000000-0005-0000-0000-0000F2000000}"/>
    <cellStyle name="Map Legend" xfId="241" xr:uid="{00000000-0005-0000-0000-0000F3000000}"/>
    <cellStyle name="Merrill" xfId="242" xr:uid="{00000000-0005-0000-0000-0000F4000000}"/>
    <cellStyle name="Millares 2" xfId="1026" xr:uid="{68D11578-C3BB-426D-8244-A81E67ABFB4B}"/>
    <cellStyle name="Millares_Inv Detail A7" xfId="243" xr:uid="{00000000-0005-0000-0000-0000F5000000}"/>
    <cellStyle name="Milliers [0]_r00SC" xfId="244" xr:uid="{00000000-0005-0000-0000-0000F6000000}"/>
    <cellStyle name="Milliers_r00SC" xfId="245" xr:uid="{00000000-0005-0000-0000-0000F7000000}"/>
    <cellStyle name="Mix" xfId="246" xr:uid="{00000000-0005-0000-0000-0000F8000000}"/>
    <cellStyle name="mon" xfId="247" xr:uid="{00000000-0005-0000-0000-0000F9000000}"/>
    <cellStyle name="Monétaire [0]_r00SC" xfId="248" xr:uid="{00000000-0005-0000-0000-0000FA000000}"/>
    <cellStyle name="Monétaire_r00SC" xfId="249" xr:uid="{00000000-0005-0000-0000-0000FB000000}"/>
    <cellStyle name="Money" xfId="250" xr:uid="{00000000-0005-0000-0000-0000FC000000}"/>
    <cellStyle name="Money 2" xfId="1004" xr:uid="{37C139F4-2B2D-4DCD-8B65-CB6EDA09860B}"/>
    <cellStyle name="Multiple" xfId="251" xr:uid="{00000000-0005-0000-0000-0000FD000000}"/>
    <cellStyle name="Multiple []" xfId="252" xr:uid="{00000000-0005-0000-0000-0000FE000000}"/>
    <cellStyle name="Multiple [0]" xfId="253" xr:uid="{00000000-0005-0000-0000-0000FF000000}"/>
    <cellStyle name="Multiple [0] []" xfId="254" xr:uid="{00000000-0005-0000-0000-000000010000}"/>
    <cellStyle name="Multiple [0]_New MA Public Comps and WACC Model" xfId="255" xr:uid="{00000000-0005-0000-0000-000001010000}"/>
    <cellStyle name="Multiple [1]" xfId="256" xr:uid="{00000000-0005-0000-0000-000002010000}"/>
    <cellStyle name="Multiple [1] []" xfId="257" xr:uid="{00000000-0005-0000-0000-000003010000}"/>
    <cellStyle name="Multiple [1]_New MA Public Comps and WACC Model" xfId="258" xr:uid="{00000000-0005-0000-0000-000004010000}"/>
    <cellStyle name="Multiple_CapitalSum" xfId="259" xr:uid="{00000000-0005-0000-0000-000005010000}"/>
    <cellStyle name="N2Style" xfId="260" xr:uid="{00000000-0005-0000-0000-000006010000}"/>
    <cellStyle name="N2Style 2" xfId="1005" xr:uid="{7747551A-6661-4EBA-9179-85EA4B38B771}"/>
    <cellStyle name="NewColumnHeaderNormal" xfId="261" xr:uid="{00000000-0005-0000-0000-000007010000}"/>
    <cellStyle name="NewSectionHeaderNormal" xfId="262" xr:uid="{00000000-0005-0000-0000-000008010000}"/>
    <cellStyle name="NewTitleNormal" xfId="263" xr:uid="{00000000-0005-0000-0000-000009010000}"/>
    <cellStyle name="Normal" xfId="0" builtinId="0"/>
    <cellStyle name="Normal - Style1" xfId="264" xr:uid="{00000000-0005-0000-0000-00000B010000}"/>
    <cellStyle name="Normal 2" xfId="265" xr:uid="{00000000-0005-0000-0000-00000C010000}"/>
    <cellStyle name="Normal 2 2" xfId="266" xr:uid="{00000000-0005-0000-0000-00000D010000}"/>
    <cellStyle name="Normal 2 2 2" xfId="896" xr:uid="{00000000-0005-0000-0000-00000E010000}"/>
    <cellStyle name="Normal 3" xfId="894" xr:uid="{00000000-0005-0000-0000-00000F010000}"/>
    <cellStyle name="Normal 3 2" xfId="898" xr:uid="{00000000-0005-0000-0000-000010010000}"/>
    <cellStyle name="Normal 3 2 2" xfId="1023" xr:uid="{DB38F288-F2E0-4CA4-B327-E66B80DEE5EC}"/>
    <cellStyle name="Normal 3 2 2 2" xfId="1038" xr:uid="{55C85B29-0A9E-4445-ABB5-C8FEC4B29BD0}"/>
    <cellStyle name="Normal 3 2 3" xfId="1033" xr:uid="{B6BC35B2-62B2-4158-84F3-EA5EE38CA507}"/>
    <cellStyle name="Normal 3 3" xfId="1020" xr:uid="{A260BAAE-774A-4893-A200-5F7C8F685502}"/>
    <cellStyle name="Normal 3 3 2" xfId="1035" xr:uid="{5DA1A063-6C4D-493F-BBAF-906ED8181817}"/>
    <cellStyle name="Normal 3 4" xfId="1030" xr:uid="{C0426A76-B0AC-4D03-A031-B0FC63C42BEE}"/>
    <cellStyle name="Normal1" xfId="267" xr:uid="{00000000-0005-0000-0000-000011010000}"/>
    <cellStyle name="Normal10" xfId="268" xr:uid="{00000000-0005-0000-0000-000012010000}"/>
    <cellStyle name="Normal100" xfId="269" xr:uid="{00000000-0005-0000-0000-000013010000}"/>
    <cellStyle name="Normal101" xfId="270" xr:uid="{00000000-0005-0000-0000-000014010000}"/>
    <cellStyle name="Normal102" xfId="271" xr:uid="{00000000-0005-0000-0000-000015010000}"/>
    <cellStyle name="Normal103" xfId="272" xr:uid="{00000000-0005-0000-0000-000016010000}"/>
    <cellStyle name="Normal104" xfId="273" xr:uid="{00000000-0005-0000-0000-000017010000}"/>
    <cellStyle name="Normal105" xfId="274" xr:uid="{00000000-0005-0000-0000-000018010000}"/>
    <cellStyle name="Normal106" xfId="275" xr:uid="{00000000-0005-0000-0000-000019010000}"/>
    <cellStyle name="Normal107" xfId="276" xr:uid="{00000000-0005-0000-0000-00001A010000}"/>
    <cellStyle name="Normal108" xfId="277" xr:uid="{00000000-0005-0000-0000-00001B010000}"/>
    <cellStyle name="Normal109" xfId="278" xr:uid="{00000000-0005-0000-0000-00001C010000}"/>
    <cellStyle name="Normal11" xfId="279" xr:uid="{00000000-0005-0000-0000-00001D010000}"/>
    <cellStyle name="Normal110" xfId="280" xr:uid="{00000000-0005-0000-0000-00001E010000}"/>
    <cellStyle name="Normal111" xfId="281" xr:uid="{00000000-0005-0000-0000-00001F010000}"/>
    <cellStyle name="Normal112" xfId="282" xr:uid="{00000000-0005-0000-0000-000020010000}"/>
    <cellStyle name="Normal113" xfId="283" xr:uid="{00000000-0005-0000-0000-000021010000}"/>
    <cellStyle name="Normal114" xfId="284" xr:uid="{00000000-0005-0000-0000-000022010000}"/>
    <cellStyle name="Normal115" xfId="285" xr:uid="{00000000-0005-0000-0000-000023010000}"/>
    <cellStyle name="Normal116" xfId="286" xr:uid="{00000000-0005-0000-0000-000024010000}"/>
    <cellStyle name="Normal117" xfId="287" xr:uid="{00000000-0005-0000-0000-000025010000}"/>
    <cellStyle name="Normal118" xfId="288" xr:uid="{00000000-0005-0000-0000-000026010000}"/>
    <cellStyle name="Normal119" xfId="289" xr:uid="{00000000-0005-0000-0000-000027010000}"/>
    <cellStyle name="Normal12" xfId="290" xr:uid="{00000000-0005-0000-0000-000028010000}"/>
    <cellStyle name="Normal120" xfId="291" xr:uid="{00000000-0005-0000-0000-000029010000}"/>
    <cellStyle name="Normal121" xfId="292" xr:uid="{00000000-0005-0000-0000-00002A010000}"/>
    <cellStyle name="Normal122" xfId="293" xr:uid="{00000000-0005-0000-0000-00002B010000}"/>
    <cellStyle name="Normal123" xfId="294" xr:uid="{00000000-0005-0000-0000-00002C010000}"/>
    <cellStyle name="Normal124" xfId="295" xr:uid="{00000000-0005-0000-0000-00002D010000}"/>
    <cellStyle name="Normal125" xfId="296" xr:uid="{00000000-0005-0000-0000-00002E010000}"/>
    <cellStyle name="Normal126" xfId="297" xr:uid="{00000000-0005-0000-0000-00002F010000}"/>
    <cellStyle name="Normal127" xfId="298" xr:uid="{00000000-0005-0000-0000-000030010000}"/>
    <cellStyle name="Normal128" xfId="299" xr:uid="{00000000-0005-0000-0000-000031010000}"/>
    <cellStyle name="Normal129" xfId="300" xr:uid="{00000000-0005-0000-0000-000032010000}"/>
    <cellStyle name="Normal13" xfId="301" xr:uid="{00000000-0005-0000-0000-000033010000}"/>
    <cellStyle name="Normal130" xfId="302" xr:uid="{00000000-0005-0000-0000-000034010000}"/>
    <cellStyle name="Normal131" xfId="303" xr:uid="{00000000-0005-0000-0000-000035010000}"/>
    <cellStyle name="Normal132" xfId="304" xr:uid="{00000000-0005-0000-0000-000036010000}"/>
    <cellStyle name="Normal133" xfId="305" xr:uid="{00000000-0005-0000-0000-000037010000}"/>
    <cellStyle name="Normal134" xfId="306" xr:uid="{00000000-0005-0000-0000-000038010000}"/>
    <cellStyle name="Normal135" xfId="307" xr:uid="{00000000-0005-0000-0000-000039010000}"/>
    <cellStyle name="Normal136" xfId="308" xr:uid="{00000000-0005-0000-0000-00003A010000}"/>
    <cellStyle name="Normal137" xfId="309" xr:uid="{00000000-0005-0000-0000-00003B010000}"/>
    <cellStyle name="Normal138" xfId="310" xr:uid="{00000000-0005-0000-0000-00003C010000}"/>
    <cellStyle name="Normal139" xfId="311" xr:uid="{00000000-0005-0000-0000-00003D010000}"/>
    <cellStyle name="Normal14" xfId="312" xr:uid="{00000000-0005-0000-0000-00003E010000}"/>
    <cellStyle name="Normal140" xfId="313" xr:uid="{00000000-0005-0000-0000-00003F010000}"/>
    <cellStyle name="Normal141" xfId="314" xr:uid="{00000000-0005-0000-0000-000040010000}"/>
    <cellStyle name="Normal142" xfId="315" xr:uid="{00000000-0005-0000-0000-000041010000}"/>
    <cellStyle name="Normal143" xfId="316" xr:uid="{00000000-0005-0000-0000-000042010000}"/>
    <cellStyle name="Normal144" xfId="317" xr:uid="{00000000-0005-0000-0000-000043010000}"/>
    <cellStyle name="Normal145" xfId="318" xr:uid="{00000000-0005-0000-0000-000044010000}"/>
    <cellStyle name="Normal146" xfId="319" xr:uid="{00000000-0005-0000-0000-000045010000}"/>
    <cellStyle name="Normal147" xfId="320" xr:uid="{00000000-0005-0000-0000-000046010000}"/>
    <cellStyle name="Normal148" xfId="321" xr:uid="{00000000-0005-0000-0000-000047010000}"/>
    <cellStyle name="Normal149" xfId="322" xr:uid="{00000000-0005-0000-0000-000048010000}"/>
    <cellStyle name="Normal15" xfId="323" xr:uid="{00000000-0005-0000-0000-000049010000}"/>
    <cellStyle name="Normal150" xfId="324" xr:uid="{00000000-0005-0000-0000-00004A010000}"/>
    <cellStyle name="Normal151" xfId="325" xr:uid="{00000000-0005-0000-0000-00004B010000}"/>
    <cellStyle name="Normal152" xfId="326" xr:uid="{00000000-0005-0000-0000-00004C010000}"/>
    <cellStyle name="Normal153" xfId="327" xr:uid="{00000000-0005-0000-0000-00004D010000}"/>
    <cellStyle name="Normal154" xfId="328" xr:uid="{00000000-0005-0000-0000-00004E010000}"/>
    <cellStyle name="Normal155" xfId="329" xr:uid="{00000000-0005-0000-0000-00004F010000}"/>
    <cellStyle name="Normal156" xfId="330" xr:uid="{00000000-0005-0000-0000-000050010000}"/>
    <cellStyle name="Normal157" xfId="331" xr:uid="{00000000-0005-0000-0000-000051010000}"/>
    <cellStyle name="Normal158" xfId="332" xr:uid="{00000000-0005-0000-0000-000052010000}"/>
    <cellStyle name="Normal159" xfId="333" xr:uid="{00000000-0005-0000-0000-000053010000}"/>
    <cellStyle name="Normal16" xfId="334" xr:uid="{00000000-0005-0000-0000-000054010000}"/>
    <cellStyle name="Normal160" xfId="335" xr:uid="{00000000-0005-0000-0000-000055010000}"/>
    <cellStyle name="Normal161" xfId="336" xr:uid="{00000000-0005-0000-0000-000056010000}"/>
    <cellStyle name="Normal162" xfId="337" xr:uid="{00000000-0005-0000-0000-000057010000}"/>
    <cellStyle name="Normal163" xfId="338" xr:uid="{00000000-0005-0000-0000-000058010000}"/>
    <cellStyle name="Normal164" xfId="339" xr:uid="{00000000-0005-0000-0000-000059010000}"/>
    <cellStyle name="Normal165" xfId="340" xr:uid="{00000000-0005-0000-0000-00005A010000}"/>
    <cellStyle name="Normal166" xfId="341" xr:uid="{00000000-0005-0000-0000-00005B010000}"/>
    <cellStyle name="Normal167" xfId="342" xr:uid="{00000000-0005-0000-0000-00005C010000}"/>
    <cellStyle name="Normal168" xfId="343" xr:uid="{00000000-0005-0000-0000-00005D010000}"/>
    <cellStyle name="Normal169" xfId="344" xr:uid="{00000000-0005-0000-0000-00005E010000}"/>
    <cellStyle name="Normal17" xfId="345" xr:uid="{00000000-0005-0000-0000-00005F010000}"/>
    <cellStyle name="Normal170" xfId="346" xr:uid="{00000000-0005-0000-0000-000060010000}"/>
    <cellStyle name="Normal171" xfId="347" xr:uid="{00000000-0005-0000-0000-000061010000}"/>
    <cellStyle name="Normal172" xfId="348" xr:uid="{00000000-0005-0000-0000-000062010000}"/>
    <cellStyle name="Normal173" xfId="349" xr:uid="{00000000-0005-0000-0000-000063010000}"/>
    <cellStyle name="Normal174" xfId="350" xr:uid="{00000000-0005-0000-0000-000064010000}"/>
    <cellStyle name="Normal175" xfId="351" xr:uid="{00000000-0005-0000-0000-000065010000}"/>
    <cellStyle name="Normal176" xfId="352" xr:uid="{00000000-0005-0000-0000-000066010000}"/>
    <cellStyle name="Normal177" xfId="353" xr:uid="{00000000-0005-0000-0000-000067010000}"/>
    <cellStyle name="Normal178" xfId="354" xr:uid="{00000000-0005-0000-0000-000068010000}"/>
    <cellStyle name="Normal179" xfId="355" xr:uid="{00000000-0005-0000-0000-000069010000}"/>
    <cellStyle name="Normal18" xfId="356" xr:uid="{00000000-0005-0000-0000-00006A010000}"/>
    <cellStyle name="Normal180" xfId="357" xr:uid="{00000000-0005-0000-0000-00006B010000}"/>
    <cellStyle name="Normal181" xfId="358" xr:uid="{00000000-0005-0000-0000-00006C010000}"/>
    <cellStyle name="Normal182" xfId="359" xr:uid="{00000000-0005-0000-0000-00006D010000}"/>
    <cellStyle name="Normal183" xfId="360" xr:uid="{00000000-0005-0000-0000-00006E010000}"/>
    <cellStyle name="Normal184" xfId="361" xr:uid="{00000000-0005-0000-0000-00006F010000}"/>
    <cellStyle name="Normal185" xfId="362" xr:uid="{00000000-0005-0000-0000-000070010000}"/>
    <cellStyle name="Normal186" xfId="363" xr:uid="{00000000-0005-0000-0000-000071010000}"/>
    <cellStyle name="Normal187" xfId="364" xr:uid="{00000000-0005-0000-0000-000072010000}"/>
    <cellStyle name="Normal188" xfId="365" xr:uid="{00000000-0005-0000-0000-000073010000}"/>
    <cellStyle name="Normal189" xfId="366" xr:uid="{00000000-0005-0000-0000-000074010000}"/>
    <cellStyle name="Normal19" xfId="367" xr:uid="{00000000-0005-0000-0000-000075010000}"/>
    <cellStyle name="Normal190" xfId="368" xr:uid="{00000000-0005-0000-0000-000076010000}"/>
    <cellStyle name="Normal191" xfId="369" xr:uid="{00000000-0005-0000-0000-000077010000}"/>
    <cellStyle name="Normal192" xfId="370" xr:uid="{00000000-0005-0000-0000-000078010000}"/>
    <cellStyle name="Normal193" xfId="371" xr:uid="{00000000-0005-0000-0000-000079010000}"/>
    <cellStyle name="Normal194" xfId="372" xr:uid="{00000000-0005-0000-0000-00007A010000}"/>
    <cellStyle name="Normal195" xfId="373" xr:uid="{00000000-0005-0000-0000-00007B010000}"/>
    <cellStyle name="Normal196" xfId="374" xr:uid="{00000000-0005-0000-0000-00007C010000}"/>
    <cellStyle name="Normal197" xfId="375" xr:uid="{00000000-0005-0000-0000-00007D010000}"/>
    <cellStyle name="Normal198" xfId="376" xr:uid="{00000000-0005-0000-0000-00007E010000}"/>
    <cellStyle name="Normal199" xfId="377" xr:uid="{00000000-0005-0000-0000-00007F010000}"/>
    <cellStyle name="Normal2" xfId="378" xr:uid="{00000000-0005-0000-0000-000080010000}"/>
    <cellStyle name="Normal20" xfId="379" xr:uid="{00000000-0005-0000-0000-000081010000}"/>
    <cellStyle name="Normal200" xfId="380" xr:uid="{00000000-0005-0000-0000-000082010000}"/>
    <cellStyle name="Normal201" xfId="381" xr:uid="{00000000-0005-0000-0000-000083010000}"/>
    <cellStyle name="Normal202" xfId="382" xr:uid="{00000000-0005-0000-0000-000084010000}"/>
    <cellStyle name="Normal203" xfId="383" xr:uid="{00000000-0005-0000-0000-000085010000}"/>
    <cellStyle name="Normal204" xfId="384" xr:uid="{00000000-0005-0000-0000-000086010000}"/>
    <cellStyle name="Normal205" xfId="385" xr:uid="{00000000-0005-0000-0000-000087010000}"/>
    <cellStyle name="Normal206" xfId="386" xr:uid="{00000000-0005-0000-0000-000088010000}"/>
    <cellStyle name="Normal207" xfId="387" xr:uid="{00000000-0005-0000-0000-000089010000}"/>
    <cellStyle name="Normal208" xfId="388" xr:uid="{00000000-0005-0000-0000-00008A010000}"/>
    <cellStyle name="Normal209" xfId="389" xr:uid="{00000000-0005-0000-0000-00008B010000}"/>
    <cellStyle name="Normal21" xfId="390" xr:uid="{00000000-0005-0000-0000-00008C010000}"/>
    <cellStyle name="Normal210" xfId="391" xr:uid="{00000000-0005-0000-0000-00008D010000}"/>
    <cellStyle name="Normal211" xfId="392" xr:uid="{00000000-0005-0000-0000-00008E010000}"/>
    <cellStyle name="Normal212" xfId="393" xr:uid="{00000000-0005-0000-0000-00008F010000}"/>
    <cellStyle name="Normal213" xfId="394" xr:uid="{00000000-0005-0000-0000-000090010000}"/>
    <cellStyle name="Normal214" xfId="395" xr:uid="{00000000-0005-0000-0000-000091010000}"/>
    <cellStyle name="Normal215" xfId="396" xr:uid="{00000000-0005-0000-0000-000092010000}"/>
    <cellStyle name="Normal216" xfId="397" xr:uid="{00000000-0005-0000-0000-000093010000}"/>
    <cellStyle name="Normal217" xfId="398" xr:uid="{00000000-0005-0000-0000-000094010000}"/>
    <cellStyle name="Normal218" xfId="399" xr:uid="{00000000-0005-0000-0000-000095010000}"/>
    <cellStyle name="Normal219" xfId="400" xr:uid="{00000000-0005-0000-0000-000096010000}"/>
    <cellStyle name="Normal22" xfId="401" xr:uid="{00000000-0005-0000-0000-000097010000}"/>
    <cellStyle name="Normal220" xfId="402" xr:uid="{00000000-0005-0000-0000-000098010000}"/>
    <cellStyle name="Normal221" xfId="403" xr:uid="{00000000-0005-0000-0000-000099010000}"/>
    <cellStyle name="Normal222" xfId="404" xr:uid="{00000000-0005-0000-0000-00009A010000}"/>
    <cellStyle name="Normal223" xfId="405" xr:uid="{00000000-0005-0000-0000-00009B010000}"/>
    <cellStyle name="Normal224" xfId="406" xr:uid="{00000000-0005-0000-0000-00009C010000}"/>
    <cellStyle name="Normal225" xfId="407" xr:uid="{00000000-0005-0000-0000-00009D010000}"/>
    <cellStyle name="Normal226" xfId="408" xr:uid="{00000000-0005-0000-0000-00009E010000}"/>
    <cellStyle name="Normal227" xfId="409" xr:uid="{00000000-0005-0000-0000-00009F010000}"/>
    <cellStyle name="Normal228" xfId="410" xr:uid="{00000000-0005-0000-0000-0000A0010000}"/>
    <cellStyle name="Normal229" xfId="411" xr:uid="{00000000-0005-0000-0000-0000A1010000}"/>
    <cellStyle name="Normal23" xfId="412" xr:uid="{00000000-0005-0000-0000-0000A2010000}"/>
    <cellStyle name="Normal230" xfId="413" xr:uid="{00000000-0005-0000-0000-0000A3010000}"/>
    <cellStyle name="Normal231" xfId="414" xr:uid="{00000000-0005-0000-0000-0000A4010000}"/>
    <cellStyle name="Normal232" xfId="415" xr:uid="{00000000-0005-0000-0000-0000A5010000}"/>
    <cellStyle name="Normal233" xfId="416" xr:uid="{00000000-0005-0000-0000-0000A6010000}"/>
    <cellStyle name="Normal234" xfId="417" xr:uid="{00000000-0005-0000-0000-0000A7010000}"/>
    <cellStyle name="Normal235" xfId="418" xr:uid="{00000000-0005-0000-0000-0000A8010000}"/>
    <cellStyle name="Normal236" xfId="419" xr:uid="{00000000-0005-0000-0000-0000A9010000}"/>
    <cellStyle name="Normal237" xfId="420" xr:uid="{00000000-0005-0000-0000-0000AA010000}"/>
    <cellStyle name="Normal238" xfId="421" xr:uid="{00000000-0005-0000-0000-0000AB010000}"/>
    <cellStyle name="Normal239" xfId="422" xr:uid="{00000000-0005-0000-0000-0000AC010000}"/>
    <cellStyle name="Normal24" xfId="423" xr:uid="{00000000-0005-0000-0000-0000AD010000}"/>
    <cellStyle name="Normal240" xfId="424" xr:uid="{00000000-0005-0000-0000-0000AE010000}"/>
    <cellStyle name="Normal241" xfId="425" xr:uid="{00000000-0005-0000-0000-0000AF010000}"/>
    <cellStyle name="Normal242" xfId="426" xr:uid="{00000000-0005-0000-0000-0000B0010000}"/>
    <cellStyle name="Normal243" xfId="427" xr:uid="{00000000-0005-0000-0000-0000B1010000}"/>
    <cellStyle name="Normal244" xfId="428" xr:uid="{00000000-0005-0000-0000-0000B2010000}"/>
    <cellStyle name="Normal245" xfId="429" xr:uid="{00000000-0005-0000-0000-0000B3010000}"/>
    <cellStyle name="Normal246" xfId="430" xr:uid="{00000000-0005-0000-0000-0000B4010000}"/>
    <cellStyle name="Normal247" xfId="431" xr:uid="{00000000-0005-0000-0000-0000B5010000}"/>
    <cellStyle name="Normal248" xfId="432" xr:uid="{00000000-0005-0000-0000-0000B6010000}"/>
    <cellStyle name="Normal249" xfId="433" xr:uid="{00000000-0005-0000-0000-0000B7010000}"/>
    <cellStyle name="Normal25" xfId="434" xr:uid="{00000000-0005-0000-0000-0000B8010000}"/>
    <cellStyle name="Normal250" xfId="435" xr:uid="{00000000-0005-0000-0000-0000B9010000}"/>
    <cellStyle name="Normal251" xfId="436" xr:uid="{00000000-0005-0000-0000-0000BA010000}"/>
    <cellStyle name="Normal252" xfId="437" xr:uid="{00000000-0005-0000-0000-0000BB010000}"/>
    <cellStyle name="Normal253" xfId="438" xr:uid="{00000000-0005-0000-0000-0000BC010000}"/>
    <cellStyle name="Normal26" xfId="439" xr:uid="{00000000-0005-0000-0000-0000BD010000}"/>
    <cellStyle name="Normal27" xfId="440" xr:uid="{00000000-0005-0000-0000-0000BE010000}"/>
    <cellStyle name="Normal28" xfId="441" xr:uid="{00000000-0005-0000-0000-0000BF010000}"/>
    <cellStyle name="Normal29" xfId="442" xr:uid="{00000000-0005-0000-0000-0000C0010000}"/>
    <cellStyle name="Normal3" xfId="443" xr:uid="{00000000-0005-0000-0000-0000C1010000}"/>
    <cellStyle name="Normal30" xfId="444" xr:uid="{00000000-0005-0000-0000-0000C2010000}"/>
    <cellStyle name="Normal31" xfId="445" xr:uid="{00000000-0005-0000-0000-0000C3010000}"/>
    <cellStyle name="Normal32" xfId="446" xr:uid="{00000000-0005-0000-0000-0000C4010000}"/>
    <cellStyle name="Normal33" xfId="447" xr:uid="{00000000-0005-0000-0000-0000C5010000}"/>
    <cellStyle name="Normal34" xfId="448" xr:uid="{00000000-0005-0000-0000-0000C6010000}"/>
    <cellStyle name="Normal35" xfId="449" xr:uid="{00000000-0005-0000-0000-0000C7010000}"/>
    <cellStyle name="Normal36" xfId="450" xr:uid="{00000000-0005-0000-0000-0000C8010000}"/>
    <cellStyle name="Normal37" xfId="451" xr:uid="{00000000-0005-0000-0000-0000C9010000}"/>
    <cellStyle name="Normal38" xfId="452" xr:uid="{00000000-0005-0000-0000-0000CA010000}"/>
    <cellStyle name="Normal39" xfId="453" xr:uid="{00000000-0005-0000-0000-0000CB010000}"/>
    <cellStyle name="Normal4" xfId="454" xr:uid="{00000000-0005-0000-0000-0000CC010000}"/>
    <cellStyle name="Normal40" xfId="455" xr:uid="{00000000-0005-0000-0000-0000CD010000}"/>
    <cellStyle name="Normal41" xfId="456" xr:uid="{00000000-0005-0000-0000-0000CE010000}"/>
    <cellStyle name="Normal42" xfId="457" xr:uid="{00000000-0005-0000-0000-0000CF010000}"/>
    <cellStyle name="Normal43" xfId="458" xr:uid="{00000000-0005-0000-0000-0000D0010000}"/>
    <cellStyle name="Normal44" xfId="459" xr:uid="{00000000-0005-0000-0000-0000D1010000}"/>
    <cellStyle name="Normal45" xfId="460" xr:uid="{00000000-0005-0000-0000-0000D2010000}"/>
    <cellStyle name="Normal46" xfId="461" xr:uid="{00000000-0005-0000-0000-0000D3010000}"/>
    <cellStyle name="Normal47" xfId="462" xr:uid="{00000000-0005-0000-0000-0000D4010000}"/>
    <cellStyle name="Normal48" xfId="463" xr:uid="{00000000-0005-0000-0000-0000D5010000}"/>
    <cellStyle name="Normal49" xfId="464" xr:uid="{00000000-0005-0000-0000-0000D6010000}"/>
    <cellStyle name="Normal5" xfId="465" xr:uid="{00000000-0005-0000-0000-0000D7010000}"/>
    <cellStyle name="Normal50" xfId="466" xr:uid="{00000000-0005-0000-0000-0000D8010000}"/>
    <cellStyle name="Normal51" xfId="467" xr:uid="{00000000-0005-0000-0000-0000D9010000}"/>
    <cellStyle name="Normal52" xfId="468" xr:uid="{00000000-0005-0000-0000-0000DA010000}"/>
    <cellStyle name="Normal53" xfId="469" xr:uid="{00000000-0005-0000-0000-0000DB010000}"/>
    <cellStyle name="Normal54" xfId="470" xr:uid="{00000000-0005-0000-0000-0000DC010000}"/>
    <cellStyle name="Normal55" xfId="471" xr:uid="{00000000-0005-0000-0000-0000DD010000}"/>
    <cellStyle name="Normal56" xfId="472" xr:uid="{00000000-0005-0000-0000-0000DE010000}"/>
    <cellStyle name="Normal57" xfId="473" xr:uid="{00000000-0005-0000-0000-0000DF010000}"/>
    <cellStyle name="Normal58" xfId="474" xr:uid="{00000000-0005-0000-0000-0000E0010000}"/>
    <cellStyle name="Normal59" xfId="475" xr:uid="{00000000-0005-0000-0000-0000E1010000}"/>
    <cellStyle name="Normal6" xfId="476" xr:uid="{00000000-0005-0000-0000-0000E2010000}"/>
    <cellStyle name="Normal60" xfId="477" xr:uid="{00000000-0005-0000-0000-0000E3010000}"/>
    <cellStyle name="Normal61" xfId="478" xr:uid="{00000000-0005-0000-0000-0000E4010000}"/>
    <cellStyle name="Normal62" xfId="479" xr:uid="{00000000-0005-0000-0000-0000E5010000}"/>
    <cellStyle name="Normal63" xfId="480" xr:uid="{00000000-0005-0000-0000-0000E6010000}"/>
    <cellStyle name="Normal64" xfId="481" xr:uid="{00000000-0005-0000-0000-0000E7010000}"/>
    <cellStyle name="Normal65" xfId="482" xr:uid="{00000000-0005-0000-0000-0000E8010000}"/>
    <cellStyle name="Normal66" xfId="483" xr:uid="{00000000-0005-0000-0000-0000E9010000}"/>
    <cellStyle name="Normal67" xfId="484" xr:uid="{00000000-0005-0000-0000-0000EA010000}"/>
    <cellStyle name="Normal68" xfId="485" xr:uid="{00000000-0005-0000-0000-0000EB010000}"/>
    <cellStyle name="Normal69" xfId="486" xr:uid="{00000000-0005-0000-0000-0000EC010000}"/>
    <cellStyle name="Normal7" xfId="487" xr:uid="{00000000-0005-0000-0000-0000ED010000}"/>
    <cellStyle name="Normal70" xfId="488" xr:uid="{00000000-0005-0000-0000-0000EE010000}"/>
    <cellStyle name="Normal71" xfId="489" xr:uid="{00000000-0005-0000-0000-0000EF010000}"/>
    <cellStyle name="Normal72" xfId="490" xr:uid="{00000000-0005-0000-0000-0000F0010000}"/>
    <cellStyle name="Normal73" xfId="491" xr:uid="{00000000-0005-0000-0000-0000F1010000}"/>
    <cellStyle name="Normal74" xfId="492" xr:uid="{00000000-0005-0000-0000-0000F2010000}"/>
    <cellStyle name="Normal75" xfId="493" xr:uid="{00000000-0005-0000-0000-0000F3010000}"/>
    <cellStyle name="Normal76" xfId="494" xr:uid="{00000000-0005-0000-0000-0000F4010000}"/>
    <cellStyle name="Normal77" xfId="495" xr:uid="{00000000-0005-0000-0000-0000F5010000}"/>
    <cellStyle name="Normal78" xfId="496" xr:uid="{00000000-0005-0000-0000-0000F6010000}"/>
    <cellStyle name="Normal79" xfId="497" xr:uid="{00000000-0005-0000-0000-0000F7010000}"/>
    <cellStyle name="Normal8" xfId="498" xr:uid="{00000000-0005-0000-0000-0000F8010000}"/>
    <cellStyle name="Normal80" xfId="499" xr:uid="{00000000-0005-0000-0000-0000F9010000}"/>
    <cellStyle name="Normal81" xfId="500" xr:uid="{00000000-0005-0000-0000-0000FA010000}"/>
    <cellStyle name="Normal82" xfId="501" xr:uid="{00000000-0005-0000-0000-0000FB010000}"/>
    <cellStyle name="Normal83" xfId="502" xr:uid="{00000000-0005-0000-0000-0000FC010000}"/>
    <cellStyle name="Normal84" xfId="503" xr:uid="{00000000-0005-0000-0000-0000FD010000}"/>
    <cellStyle name="Normal85" xfId="504" xr:uid="{00000000-0005-0000-0000-0000FE010000}"/>
    <cellStyle name="Normal86" xfId="505" xr:uid="{00000000-0005-0000-0000-0000FF010000}"/>
    <cellStyle name="Normal87" xfId="506" xr:uid="{00000000-0005-0000-0000-000000020000}"/>
    <cellStyle name="Normal88" xfId="507" xr:uid="{00000000-0005-0000-0000-000001020000}"/>
    <cellStyle name="Normal89" xfId="508" xr:uid="{00000000-0005-0000-0000-000002020000}"/>
    <cellStyle name="Normal9" xfId="509" xr:uid="{00000000-0005-0000-0000-000003020000}"/>
    <cellStyle name="Normal90" xfId="510" xr:uid="{00000000-0005-0000-0000-000004020000}"/>
    <cellStyle name="Normal91" xfId="511" xr:uid="{00000000-0005-0000-0000-000005020000}"/>
    <cellStyle name="Normal92" xfId="512" xr:uid="{00000000-0005-0000-0000-000006020000}"/>
    <cellStyle name="Normal93" xfId="513" xr:uid="{00000000-0005-0000-0000-000007020000}"/>
    <cellStyle name="Normal94" xfId="514" xr:uid="{00000000-0005-0000-0000-000008020000}"/>
    <cellStyle name="Normal95" xfId="515" xr:uid="{00000000-0005-0000-0000-000009020000}"/>
    <cellStyle name="Normal96" xfId="516" xr:uid="{00000000-0005-0000-0000-00000A020000}"/>
    <cellStyle name="Normal97" xfId="517" xr:uid="{00000000-0005-0000-0000-00000B020000}"/>
    <cellStyle name="Normal98" xfId="518" xr:uid="{00000000-0005-0000-0000-00000C020000}"/>
    <cellStyle name="Normal99" xfId="519" xr:uid="{00000000-0005-0000-0000-00000D020000}"/>
    <cellStyle name="NotDeclared_1" xfId="520" xr:uid="{00000000-0005-0000-0000-00000E020000}"/>
    <cellStyle name="Numbers" xfId="521" xr:uid="{00000000-0005-0000-0000-00000F020000}"/>
    <cellStyle name="Numbers - Bold" xfId="522" xr:uid="{00000000-0005-0000-0000-000010020000}"/>
    <cellStyle name="Numbers - Bold - Italic" xfId="523" xr:uid="{00000000-0005-0000-0000-000011020000}"/>
    <cellStyle name="Numbers - Bold 2" xfId="1006" xr:uid="{2F4C6432-D0F3-4520-9C2C-2ACD6F4759D6}"/>
    <cellStyle name="Numbers - Bold 3" xfId="1029" xr:uid="{D9742D56-C086-4C1D-9007-A01BA924F50E}"/>
    <cellStyle name="Numbers - Bold 4" xfId="1027" xr:uid="{FF1170B9-D00A-4C88-A0F2-98F10E63FBEA}"/>
    <cellStyle name="Numbers - Bold 5" xfId="1028" xr:uid="{29315CC7-BC4B-4554-96FB-C1C19302A0E8}"/>
    <cellStyle name="Numbers - Bold_6079BX" xfId="524" xr:uid="{00000000-0005-0000-0000-000012020000}"/>
    <cellStyle name="Numbers - Large" xfId="525" xr:uid="{00000000-0005-0000-0000-000013020000}"/>
    <cellStyle name="Numbers_6079BX" xfId="526" xr:uid="{00000000-0005-0000-0000-000014020000}"/>
    <cellStyle name="OSW_RowLabels" xfId="527" xr:uid="{00000000-0005-0000-0000-000015020000}"/>
    <cellStyle name="Outline" xfId="528" xr:uid="{00000000-0005-0000-0000-000016020000}"/>
    <cellStyle name="Output Amounts" xfId="529" xr:uid="{00000000-0005-0000-0000-000017020000}"/>
    <cellStyle name="Output Column Headings" xfId="530" xr:uid="{00000000-0005-0000-0000-000018020000}"/>
    <cellStyle name="Output Line Items" xfId="531" xr:uid="{00000000-0005-0000-0000-000019020000}"/>
    <cellStyle name="Output Report Heading" xfId="532" xr:uid="{00000000-0005-0000-0000-00001A020000}"/>
    <cellStyle name="Page" xfId="533" xr:uid="{00000000-0005-0000-0000-00001B020000}"/>
    <cellStyle name="PB Table Heading" xfId="534" xr:uid="{00000000-0005-0000-0000-00001C020000}"/>
    <cellStyle name="PB Table Highlight1" xfId="535" xr:uid="{00000000-0005-0000-0000-00001D020000}"/>
    <cellStyle name="PB Table Highlight2" xfId="536" xr:uid="{00000000-0005-0000-0000-00001E020000}"/>
    <cellStyle name="PB Table Highlight3" xfId="537" xr:uid="{00000000-0005-0000-0000-00001F020000}"/>
    <cellStyle name="PB Table Standard Row" xfId="538" xr:uid="{00000000-0005-0000-0000-000020020000}"/>
    <cellStyle name="PB Table Subtotal Row" xfId="539" xr:uid="{00000000-0005-0000-0000-000021020000}"/>
    <cellStyle name="PB Table Total Row" xfId="540" xr:uid="{00000000-0005-0000-0000-000022020000}"/>
    <cellStyle name="Per cent" xfId="1040" builtinId="5"/>
    <cellStyle name="per.style" xfId="541" xr:uid="{00000000-0005-0000-0000-000023020000}"/>
    <cellStyle name="Percent [0]" xfId="542" xr:uid="{00000000-0005-0000-0000-000024020000}"/>
    <cellStyle name="Percent [00]" xfId="543" xr:uid="{00000000-0005-0000-0000-000025020000}"/>
    <cellStyle name="Percent [1]" xfId="544" xr:uid="{00000000-0005-0000-0000-000026020000}"/>
    <cellStyle name="Percent [1][]" xfId="545" xr:uid="{00000000-0005-0000-0000-000027020000}"/>
    <cellStyle name="Percent [1]_New MA Public Comps and WACC Model" xfId="546" xr:uid="{00000000-0005-0000-0000-000028020000}"/>
    <cellStyle name="Percent [2]" xfId="547" xr:uid="{00000000-0005-0000-0000-000029020000}"/>
    <cellStyle name="Percent [2] 2" xfId="1007" xr:uid="{A668818C-0CB7-4850-A2FD-43C1E49510C4}"/>
    <cellStyle name="Percent 2" xfId="897" xr:uid="{00000000-0005-0000-0000-00002A020000}"/>
    <cellStyle name="Percent 2 2" xfId="1022" xr:uid="{2ABFCE55-52B0-42B1-8CF2-8DEE992A0967}"/>
    <cellStyle name="Percent 2 2 2" xfId="1037" xr:uid="{DD78FF50-F89E-4C9A-92D9-87077552359B}"/>
    <cellStyle name="Percent 2 3" xfId="1032" xr:uid="{FF0AE7FC-BE6E-4CA4-95E1-A6E514831434}"/>
    <cellStyle name="Percent Comma" xfId="548" xr:uid="{00000000-0005-0000-0000-00002B020000}"/>
    <cellStyle name="Percent Comma 2" xfId="1008" xr:uid="{0CB198C5-336E-4CC4-ABC2-2114EED1E102}"/>
    <cellStyle name="Percent1" xfId="549" xr:uid="{00000000-0005-0000-0000-00002C020000}"/>
    <cellStyle name="Percent10" xfId="550" xr:uid="{00000000-0005-0000-0000-00002D020000}"/>
    <cellStyle name="Percent100" xfId="551" xr:uid="{00000000-0005-0000-0000-00002E020000}"/>
    <cellStyle name="Percent101" xfId="552" xr:uid="{00000000-0005-0000-0000-00002F020000}"/>
    <cellStyle name="Percent102" xfId="553" xr:uid="{00000000-0005-0000-0000-000030020000}"/>
    <cellStyle name="Percent103" xfId="554" xr:uid="{00000000-0005-0000-0000-000031020000}"/>
    <cellStyle name="Percent104" xfId="555" xr:uid="{00000000-0005-0000-0000-000032020000}"/>
    <cellStyle name="Percent105" xfId="556" xr:uid="{00000000-0005-0000-0000-000033020000}"/>
    <cellStyle name="Percent106" xfId="557" xr:uid="{00000000-0005-0000-0000-000034020000}"/>
    <cellStyle name="Percent107" xfId="558" xr:uid="{00000000-0005-0000-0000-000035020000}"/>
    <cellStyle name="Percent108" xfId="559" xr:uid="{00000000-0005-0000-0000-000036020000}"/>
    <cellStyle name="Percent109" xfId="560" xr:uid="{00000000-0005-0000-0000-000037020000}"/>
    <cellStyle name="Percent11" xfId="561" xr:uid="{00000000-0005-0000-0000-000038020000}"/>
    <cellStyle name="Percent110" xfId="562" xr:uid="{00000000-0005-0000-0000-000039020000}"/>
    <cellStyle name="Percent111" xfId="563" xr:uid="{00000000-0005-0000-0000-00003A020000}"/>
    <cellStyle name="Percent112" xfId="564" xr:uid="{00000000-0005-0000-0000-00003B020000}"/>
    <cellStyle name="Percent113" xfId="565" xr:uid="{00000000-0005-0000-0000-00003C020000}"/>
    <cellStyle name="Percent114" xfId="566" xr:uid="{00000000-0005-0000-0000-00003D020000}"/>
    <cellStyle name="Percent115" xfId="567" xr:uid="{00000000-0005-0000-0000-00003E020000}"/>
    <cellStyle name="Percent116" xfId="568" xr:uid="{00000000-0005-0000-0000-00003F020000}"/>
    <cellStyle name="Percent117" xfId="569" xr:uid="{00000000-0005-0000-0000-000040020000}"/>
    <cellStyle name="Percent118" xfId="570" xr:uid="{00000000-0005-0000-0000-000041020000}"/>
    <cellStyle name="Percent119" xfId="571" xr:uid="{00000000-0005-0000-0000-000042020000}"/>
    <cellStyle name="Percent12" xfId="572" xr:uid="{00000000-0005-0000-0000-000043020000}"/>
    <cellStyle name="Percent120" xfId="573" xr:uid="{00000000-0005-0000-0000-000044020000}"/>
    <cellStyle name="Percent121" xfId="574" xr:uid="{00000000-0005-0000-0000-000045020000}"/>
    <cellStyle name="Percent122" xfId="575" xr:uid="{00000000-0005-0000-0000-000046020000}"/>
    <cellStyle name="Percent123" xfId="576" xr:uid="{00000000-0005-0000-0000-000047020000}"/>
    <cellStyle name="Percent124" xfId="577" xr:uid="{00000000-0005-0000-0000-000048020000}"/>
    <cellStyle name="Percent125" xfId="578" xr:uid="{00000000-0005-0000-0000-000049020000}"/>
    <cellStyle name="Percent126" xfId="579" xr:uid="{00000000-0005-0000-0000-00004A020000}"/>
    <cellStyle name="Percent127" xfId="580" xr:uid="{00000000-0005-0000-0000-00004B020000}"/>
    <cellStyle name="Percent128" xfId="581" xr:uid="{00000000-0005-0000-0000-00004C020000}"/>
    <cellStyle name="Percent129" xfId="582" xr:uid="{00000000-0005-0000-0000-00004D020000}"/>
    <cellStyle name="Percent13" xfId="583" xr:uid="{00000000-0005-0000-0000-00004E020000}"/>
    <cellStyle name="Percent130" xfId="584" xr:uid="{00000000-0005-0000-0000-00004F020000}"/>
    <cellStyle name="Percent131" xfId="585" xr:uid="{00000000-0005-0000-0000-000050020000}"/>
    <cellStyle name="Percent132" xfId="586" xr:uid="{00000000-0005-0000-0000-000051020000}"/>
    <cellStyle name="Percent133" xfId="587" xr:uid="{00000000-0005-0000-0000-000052020000}"/>
    <cellStyle name="Percent134" xfId="588" xr:uid="{00000000-0005-0000-0000-000053020000}"/>
    <cellStyle name="Percent135" xfId="589" xr:uid="{00000000-0005-0000-0000-000054020000}"/>
    <cellStyle name="Percent136" xfId="590" xr:uid="{00000000-0005-0000-0000-000055020000}"/>
    <cellStyle name="Percent137" xfId="591" xr:uid="{00000000-0005-0000-0000-000056020000}"/>
    <cellStyle name="Percent138" xfId="592" xr:uid="{00000000-0005-0000-0000-000057020000}"/>
    <cellStyle name="Percent139" xfId="593" xr:uid="{00000000-0005-0000-0000-000058020000}"/>
    <cellStyle name="Percent14" xfId="594" xr:uid="{00000000-0005-0000-0000-000059020000}"/>
    <cellStyle name="Percent140" xfId="595" xr:uid="{00000000-0005-0000-0000-00005A020000}"/>
    <cellStyle name="Percent141" xfId="596" xr:uid="{00000000-0005-0000-0000-00005B020000}"/>
    <cellStyle name="Percent142" xfId="597" xr:uid="{00000000-0005-0000-0000-00005C020000}"/>
    <cellStyle name="Percent143" xfId="598" xr:uid="{00000000-0005-0000-0000-00005D020000}"/>
    <cellStyle name="Percent144" xfId="599" xr:uid="{00000000-0005-0000-0000-00005E020000}"/>
    <cellStyle name="Percent145" xfId="600" xr:uid="{00000000-0005-0000-0000-00005F020000}"/>
    <cellStyle name="Percent146" xfId="601" xr:uid="{00000000-0005-0000-0000-000060020000}"/>
    <cellStyle name="Percent147" xfId="602" xr:uid="{00000000-0005-0000-0000-000061020000}"/>
    <cellStyle name="Percent148" xfId="603" xr:uid="{00000000-0005-0000-0000-000062020000}"/>
    <cellStyle name="Percent149" xfId="604" xr:uid="{00000000-0005-0000-0000-000063020000}"/>
    <cellStyle name="Percent15" xfId="605" xr:uid="{00000000-0005-0000-0000-000064020000}"/>
    <cellStyle name="Percent150" xfId="606" xr:uid="{00000000-0005-0000-0000-000065020000}"/>
    <cellStyle name="Percent151" xfId="607" xr:uid="{00000000-0005-0000-0000-000066020000}"/>
    <cellStyle name="Percent152" xfId="608" xr:uid="{00000000-0005-0000-0000-000067020000}"/>
    <cellStyle name="Percent153" xfId="609" xr:uid="{00000000-0005-0000-0000-000068020000}"/>
    <cellStyle name="Percent154" xfId="610" xr:uid="{00000000-0005-0000-0000-000069020000}"/>
    <cellStyle name="Percent155" xfId="611" xr:uid="{00000000-0005-0000-0000-00006A020000}"/>
    <cellStyle name="Percent156" xfId="612" xr:uid="{00000000-0005-0000-0000-00006B020000}"/>
    <cellStyle name="Percent157" xfId="613" xr:uid="{00000000-0005-0000-0000-00006C020000}"/>
    <cellStyle name="Percent158" xfId="614" xr:uid="{00000000-0005-0000-0000-00006D020000}"/>
    <cellStyle name="Percent159" xfId="615" xr:uid="{00000000-0005-0000-0000-00006E020000}"/>
    <cellStyle name="Percent16" xfId="616" xr:uid="{00000000-0005-0000-0000-00006F020000}"/>
    <cellStyle name="Percent160" xfId="617" xr:uid="{00000000-0005-0000-0000-000070020000}"/>
    <cellStyle name="Percent161" xfId="618" xr:uid="{00000000-0005-0000-0000-000071020000}"/>
    <cellStyle name="Percent162" xfId="619" xr:uid="{00000000-0005-0000-0000-000072020000}"/>
    <cellStyle name="Percent163" xfId="620" xr:uid="{00000000-0005-0000-0000-000073020000}"/>
    <cellStyle name="Percent164" xfId="621" xr:uid="{00000000-0005-0000-0000-000074020000}"/>
    <cellStyle name="Percent165" xfId="622" xr:uid="{00000000-0005-0000-0000-000075020000}"/>
    <cellStyle name="Percent166" xfId="623" xr:uid="{00000000-0005-0000-0000-000076020000}"/>
    <cellStyle name="Percent167" xfId="624" xr:uid="{00000000-0005-0000-0000-000077020000}"/>
    <cellStyle name="Percent168" xfId="625" xr:uid="{00000000-0005-0000-0000-000078020000}"/>
    <cellStyle name="Percent169" xfId="626" xr:uid="{00000000-0005-0000-0000-000079020000}"/>
    <cellStyle name="Percent17" xfId="627" xr:uid="{00000000-0005-0000-0000-00007A020000}"/>
    <cellStyle name="Percent170" xfId="628" xr:uid="{00000000-0005-0000-0000-00007B020000}"/>
    <cellStyle name="Percent171" xfId="629" xr:uid="{00000000-0005-0000-0000-00007C020000}"/>
    <cellStyle name="Percent172" xfId="630" xr:uid="{00000000-0005-0000-0000-00007D020000}"/>
    <cellStyle name="Percent173" xfId="631" xr:uid="{00000000-0005-0000-0000-00007E020000}"/>
    <cellStyle name="Percent174" xfId="632" xr:uid="{00000000-0005-0000-0000-00007F020000}"/>
    <cellStyle name="Percent175" xfId="633" xr:uid="{00000000-0005-0000-0000-000080020000}"/>
    <cellStyle name="Percent176" xfId="634" xr:uid="{00000000-0005-0000-0000-000081020000}"/>
    <cellStyle name="Percent177" xfId="635" xr:uid="{00000000-0005-0000-0000-000082020000}"/>
    <cellStyle name="Percent178" xfId="636" xr:uid="{00000000-0005-0000-0000-000083020000}"/>
    <cellStyle name="Percent179" xfId="637" xr:uid="{00000000-0005-0000-0000-000084020000}"/>
    <cellStyle name="Percent18" xfId="638" xr:uid="{00000000-0005-0000-0000-000085020000}"/>
    <cellStyle name="Percent180" xfId="639" xr:uid="{00000000-0005-0000-0000-000086020000}"/>
    <cellStyle name="Percent181" xfId="640" xr:uid="{00000000-0005-0000-0000-000087020000}"/>
    <cellStyle name="Percent182" xfId="641" xr:uid="{00000000-0005-0000-0000-000088020000}"/>
    <cellStyle name="Percent183" xfId="642" xr:uid="{00000000-0005-0000-0000-000089020000}"/>
    <cellStyle name="Percent184" xfId="643" xr:uid="{00000000-0005-0000-0000-00008A020000}"/>
    <cellStyle name="Percent185" xfId="644" xr:uid="{00000000-0005-0000-0000-00008B020000}"/>
    <cellStyle name="Percent186" xfId="645" xr:uid="{00000000-0005-0000-0000-00008C020000}"/>
    <cellStyle name="Percent187" xfId="646" xr:uid="{00000000-0005-0000-0000-00008D020000}"/>
    <cellStyle name="Percent188" xfId="647" xr:uid="{00000000-0005-0000-0000-00008E020000}"/>
    <cellStyle name="Percent189" xfId="648" xr:uid="{00000000-0005-0000-0000-00008F020000}"/>
    <cellStyle name="Percent19" xfId="649" xr:uid="{00000000-0005-0000-0000-000090020000}"/>
    <cellStyle name="Percent190" xfId="650" xr:uid="{00000000-0005-0000-0000-000091020000}"/>
    <cellStyle name="Percent191" xfId="651" xr:uid="{00000000-0005-0000-0000-000092020000}"/>
    <cellStyle name="Percent192" xfId="652" xr:uid="{00000000-0005-0000-0000-000093020000}"/>
    <cellStyle name="Percent193" xfId="653" xr:uid="{00000000-0005-0000-0000-000094020000}"/>
    <cellStyle name="Percent194" xfId="654" xr:uid="{00000000-0005-0000-0000-000095020000}"/>
    <cellStyle name="Percent195" xfId="655" xr:uid="{00000000-0005-0000-0000-000096020000}"/>
    <cellStyle name="Percent196" xfId="656" xr:uid="{00000000-0005-0000-0000-000097020000}"/>
    <cellStyle name="Percent197" xfId="657" xr:uid="{00000000-0005-0000-0000-000098020000}"/>
    <cellStyle name="Percent198" xfId="658" xr:uid="{00000000-0005-0000-0000-000099020000}"/>
    <cellStyle name="Percent199" xfId="659" xr:uid="{00000000-0005-0000-0000-00009A020000}"/>
    <cellStyle name="Percent1Bold" xfId="660" xr:uid="{00000000-0005-0000-0000-00009B020000}"/>
    <cellStyle name="Percent2" xfId="661" xr:uid="{00000000-0005-0000-0000-00009C020000}"/>
    <cellStyle name="Percent20" xfId="662" xr:uid="{00000000-0005-0000-0000-00009D020000}"/>
    <cellStyle name="Percent200" xfId="663" xr:uid="{00000000-0005-0000-0000-00009E020000}"/>
    <cellStyle name="Percent201" xfId="664" xr:uid="{00000000-0005-0000-0000-00009F020000}"/>
    <cellStyle name="Percent202" xfId="665" xr:uid="{00000000-0005-0000-0000-0000A0020000}"/>
    <cellStyle name="Percent203" xfId="666" xr:uid="{00000000-0005-0000-0000-0000A1020000}"/>
    <cellStyle name="Percent204" xfId="667" xr:uid="{00000000-0005-0000-0000-0000A2020000}"/>
    <cellStyle name="Percent205" xfId="668" xr:uid="{00000000-0005-0000-0000-0000A3020000}"/>
    <cellStyle name="Percent206" xfId="669" xr:uid="{00000000-0005-0000-0000-0000A4020000}"/>
    <cellStyle name="Percent207" xfId="670" xr:uid="{00000000-0005-0000-0000-0000A5020000}"/>
    <cellStyle name="Percent208" xfId="671" xr:uid="{00000000-0005-0000-0000-0000A6020000}"/>
    <cellStyle name="Percent209" xfId="672" xr:uid="{00000000-0005-0000-0000-0000A7020000}"/>
    <cellStyle name="Percent21" xfId="673" xr:uid="{00000000-0005-0000-0000-0000A8020000}"/>
    <cellStyle name="Percent210" xfId="674" xr:uid="{00000000-0005-0000-0000-0000A9020000}"/>
    <cellStyle name="Percent211" xfId="675" xr:uid="{00000000-0005-0000-0000-0000AA020000}"/>
    <cellStyle name="Percent212" xfId="676" xr:uid="{00000000-0005-0000-0000-0000AB020000}"/>
    <cellStyle name="Percent213" xfId="677" xr:uid="{00000000-0005-0000-0000-0000AC020000}"/>
    <cellStyle name="Percent214" xfId="678" xr:uid="{00000000-0005-0000-0000-0000AD020000}"/>
    <cellStyle name="Percent215" xfId="679" xr:uid="{00000000-0005-0000-0000-0000AE020000}"/>
    <cellStyle name="Percent216" xfId="680" xr:uid="{00000000-0005-0000-0000-0000AF020000}"/>
    <cellStyle name="Percent217" xfId="681" xr:uid="{00000000-0005-0000-0000-0000B0020000}"/>
    <cellStyle name="Percent218" xfId="682" xr:uid="{00000000-0005-0000-0000-0000B1020000}"/>
    <cellStyle name="Percent219" xfId="683" xr:uid="{00000000-0005-0000-0000-0000B2020000}"/>
    <cellStyle name="Percent22" xfId="684" xr:uid="{00000000-0005-0000-0000-0000B3020000}"/>
    <cellStyle name="Percent220" xfId="685" xr:uid="{00000000-0005-0000-0000-0000B4020000}"/>
    <cellStyle name="Percent221" xfId="686" xr:uid="{00000000-0005-0000-0000-0000B5020000}"/>
    <cellStyle name="Percent222" xfId="687" xr:uid="{00000000-0005-0000-0000-0000B6020000}"/>
    <cellStyle name="Percent223" xfId="688" xr:uid="{00000000-0005-0000-0000-0000B7020000}"/>
    <cellStyle name="Percent224" xfId="689" xr:uid="{00000000-0005-0000-0000-0000B8020000}"/>
    <cellStyle name="Percent225" xfId="690" xr:uid="{00000000-0005-0000-0000-0000B9020000}"/>
    <cellStyle name="Percent226" xfId="691" xr:uid="{00000000-0005-0000-0000-0000BA020000}"/>
    <cellStyle name="Percent227" xfId="692" xr:uid="{00000000-0005-0000-0000-0000BB020000}"/>
    <cellStyle name="Percent228" xfId="693" xr:uid="{00000000-0005-0000-0000-0000BC020000}"/>
    <cellStyle name="Percent229" xfId="694" xr:uid="{00000000-0005-0000-0000-0000BD020000}"/>
    <cellStyle name="Percent23" xfId="695" xr:uid="{00000000-0005-0000-0000-0000BE020000}"/>
    <cellStyle name="Percent230" xfId="696" xr:uid="{00000000-0005-0000-0000-0000BF020000}"/>
    <cellStyle name="Percent231" xfId="697" xr:uid="{00000000-0005-0000-0000-0000C0020000}"/>
    <cellStyle name="Percent232" xfId="698" xr:uid="{00000000-0005-0000-0000-0000C1020000}"/>
    <cellStyle name="Percent233" xfId="699" xr:uid="{00000000-0005-0000-0000-0000C2020000}"/>
    <cellStyle name="Percent234" xfId="700" xr:uid="{00000000-0005-0000-0000-0000C3020000}"/>
    <cellStyle name="Percent235" xfId="701" xr:uid="{00000000-0005-0000-0000-0000C4020000}"/>
    <cellStyle name="Percent236" xfId="702" xr:uid="{00000000-0005-0000-0000-0000C5020000}"/>
    <cellStyle name="Percent24" xfId="703" xr:uid="{00000000-0005-0000-0000-0000C6020000}"/>
    <cellStyle name="Percent25" xfId="704" xr:uid="{00000000-0005-0000-0000-0000C7020000}"/>
    <cellStyle name="Percent26" xfId="705" xr:uid="{00000000-0005-0000-0000-0000C8020000}"/>
    <cellStyle name="Percent27" xfId="706" xr:uid="{00000000-0005-0000-0000-0000C9020000}"/>
    <cellStyle name="Percent28" xfId="707" xr:uid="{00000000-0005-0000-0000-0000CA020000}"/>
    <cellStyle name="Percent29" xfId="708" xr:uid="{00000000-0005-0000-0000-0000CB020000}"/>
    <cellStyle name="Percent3" xfId="709" xr:uid="{00000000-0005-0000-0000-0000CC020000}"/>
    <cellStyle name="Percent30" xfId="710" xr:uid="{00000000-0005-0000-0000-0000CD020000}"/>
    <cellStyle name="Percent31" xfId="711" xr:uid="{00000000-0005-0000-0000-0000CE020000}"/>
    <cellStyle name="Percent32" xfId="712" xr:uid="{00000000-0005-0000-0000-0000CF020000}"/>
    <cellStyle name="Percent33" xfId="713" xr:uid="{00000000-0005-0000-0000-0000D0020000}"/>
    <cellStyle name="Percent34" xfId="714" xr:uid="{00000000-0005-0000-0000-0000D1020000}"/>
    <cellStyle name="Percent35" xfId="715" xr:uid="{00000000-0005-0000-0000-0000D2020000}"/>
    <cellStyle name="Percent36" xfId="716" xr:uid="{00000000-0005-0000-0000-0000D3020000}"/>
    <cellStyle name="Percent37" xfId="717" xr:uid="{00000000-0005-0000-0000-0000D4020000}"/>
    <cellStyle name="Percent38" xfId="718" xr:uid="{00000000-0005-0000-0000-0000D5020000}"/>
    <cellStyle name="Percent39" xfId="719" xr:uid="{00000000-0005-0000-0000-0000D6020000}"/>
    <cellStyle name="Percent4" xfId="720" xr:uid="{00000000-0005-0000-0000-0000D7020000}"/>
    <cellStyle name="Percent40" xfId="721" xr:uid="{00000000-0005-0000-0000-0000D8020000}"/>
    <cellStyle name="Percent41" xfId="722" xr:uid="{00000000-0005-0000-0000-0000D9020000}"/>
    <cellStyle name="Percent42" xfId="723" xr:uid="{00000000-0005-0000-0000-0000DA020000}"/>
    <cellStyle name="Percent43" xfId="724" xr:uid="{00000000-0005-0000-0000-0000DB020000}"/>
    <cellStyle name="Percent44" xfId="725" xr:uid="{00000000-0005-0000-0000-0000DC020000}"/>
    <cellStyle name="Percent45" xfId="726" xr:uid="{00000000-0005-0000-0000-0000DD020000}"/>
    <cellStyle name="Percent46" xfId="727" xr:uid="{00000000-0005-0000-0000-0000DE020000}"/>
    <cellStyle name="Percent47" xfId="728" xr:uid="{00000000-0005-0000-0000-0000DF020000}"/>
    <cellStyle name="Percent48" xfId="729" xr:uid="{00000000-0005-0000-0000-0000E0020000}"/>
    <cellStyle name="Percent49" xfId="730" xr:uid="{00000000-0005-0000-0000-0000E1020000}"/>
    <cellStyle name="Percent5" xfId="731" xr:uid="{00000000-0005-0000-0000-0000E2020000}"/>
    <cellStyle name="Percent50" xfId="732" xr:uid="{00000000-0005-0000-0000-0000E3020000}"/>
    <cellStyle name="Percent51" xfId="733" xr:uid="{00000000-0005-0000-0000-0000E4020000}"/>
    <cellStyle name="Percent52" xfId="734" xr:uid="{00000000-0005-0000-0000-0000E5020000}"/>
    <cellStyle name="Percent53" xfId="735" xr:uid="{00000000-0005-0000-0000-0000E6020000}"/>
    <cellStyle name="Percent54" xfId="736" xr:uid="{00000000-0005-0000-0000-0000E7020000}"/>
    <cellStyle name="Percent55" xfId="737" xr:uid="{00000000-0005-0000-0000-0000E8020000}"/>
    <cellStyle name="Percent56" xfId="738" xr:uid="{00000000-0005-0000-0000-0000E9020000}"/>
    <cellStyle name="Percent57" xfId="739" xr:uid="{00000000-0005-0000-0000-0000EA020000}"/>
    <cellStyle name="Percent58" xfId="740" xr:uid="{00000000-0005-0000-0000-0000EB020000}"/>
    <cellStyle name="Percent59" xfId="741" xr:uid="{00000000-0005-0000-0000-0000EC020000}"/>
    <cellStyle name="Percent6" xfId="742" xr:uid="{00000000-0005-0000-0000-0000ED020000}"/>
    <cellStyle name="Percent60" xfId="743" xr:uid="{00000000-0005-0000-0000-0000EE020000}"/>
    <cellStyle name="Percent61" xfId="744" xr:uid="{00000000-0005-0000-0000-0000EF020000}"/>
    <cellStyle name="Percent62" xfId="745" xr:uid="{00000000-0005-0000-0000-0000F0020000}"/>
    <cellStyle name="Percent63" xfId="746" xr:uid="{00000000-0005-0000-0000-0000F1020000}"/>
    <cellStyle name="Percent64" xfId="747" xr:uid="{00000000-0005-0000-0000-0000F2020000}"/>
    <cellStyle name="Percent65" xfId="748" xr:uid="{00000000-0005-0000-0000-0000F3020000}"/>
    <cellStyle name="Percent66" xfId="749" xr:uid="{00000000-0005-0000-0000-0000F4020000}"/>
    <cellStyle name="Percent67" xfId="750" xr:uid="{00000000-0005-0000-0000-0000F5020000}"/>
    <cellStyle name="Percent68" xfId="751" xr:uid="{00000000-0005-0000-0000-0000F6020000}"/>
    <cellStyle name="Percent69" xfId="752" xr:uid="{00000000-0005-0000-0000-0000F7020000}"/>
    <cellStyle name="Percent7" xfId="753" xr:uid="{00000000-0005-0000-0000-0000F8020000}"/>
    <cellStyle name="Percent70" xfId="754" xr:uid="{00000000-0005-0000-0000-0000F9020000}"/>
    <cellStyle name="Percent71" xfId="755" xr:uid="{00000000-0005-0000-0000-0000FA020000}"/>
    <cellStyle name="Percent72" xfId="756" xr:uid="{00000000-0005-0000-0000-0000FB020000}"/>
    <cellStyle name="Percent73" xfId="757" xr:uid="{00000000-0005-0000-0000-0000FC020000}"/>
    <cellStyle name="Percent74" xfId="758" xr:uid="{00000000-0005-0000-0000-0000FD020000}"/>
    <cellStyle name="Percent75" xfId="759" xr:uid="{00000000-0005-0000-0000-0000FE020000}"/>
    <cellStyle name="Percent76" xfId="760" xr:uid="{00000000-0005-0000-0000-0000FF020000}"/>
    <cellStyle name="Percent77" xfId="761" xr:uid="{00000000-0005-0000-0000-000000030000}"/>
    <cellStyle name="Percent78" xfId="762" xr:uid="{00000000-0005-0000-0000-000001030000}"/>
    <cellStyle name="Percent79" xfId="763" xr:uid="{00000000-0005-0000-0000-000002030000}"/>
    <cellStyle name="Percent8" xfId="764" xr:uid="{00000000-0005-0000-0000-000003030000}"/>
    <cellStyle name="Percent80" xfId="765" xr:uid="{00000000-0005-0000-0000-000004030000}"/>
    <cellStyle name="Percent81" xfId="766" xr:uid="{00000000-0005-0000-0000-000005030000}"/>
    <cellStyle name="Percent82" xfId="767" xr:uid="{00000000-0005-0000-0000-000006030000}"/>
    <cellStyle name="Percent83" xfId="768" xr:uid="{00000000-0005-0000-0000-000007030000}"/>
    <cellStyle name="Percent84" xfId="769" xr:uid="{00000000-0005-0000-0000-000008030000}"/>
    <cellStyle name="Percent85" xfId="770" xr:uid="{00000000-0005-0000-0000-000009030000}"/>
    <cellStyle name="Percent86" xfId="771" xr:uid="{00000000-0005-0000-0000-00000A030000}"/>
    <cellStyle name="Percent87" xfId="772" xr:uid="{00000000-0005-0000-0000-00000B030000}"/>
    <cellStyle name="Percent88" xfId="773" xr:uid="{00000000-0005-0000-0000-00000C030000}"/>
    <cellStyle name="Percent89" xfId="774" xr:uid="{00000000-0005-0000-0000-00000D030000}"/>
    <cellStyle name="Percent9" xfId="775" xr:uid="{00000000-0005-0000-0000-00000E030000}"/>
    <cellStyle name="Percent90" xfId="776" xr:uid="{00000000-0005-0000-0000-00000F030000}"/>
    <cellStyle name="Percent91" xfId="777" xr:uid="{00000000-0005-0000-0000-000010030000}"/>
    <cellStyle name="Percent92" xfId="778" xr:uid="{00000000-0005-0000-0000-000011030000}"/>
    <cellStyle name="Percent93" xfId="779" xr:uid="{00000000-0005-0000-0000-000012030000}"/>
    <cellStyle name="Percent94" xfId="780" xr:uid="{00000000-0005-0000-0000-000013030000}"/>
    <cellStyle name="Percent95" xfId="781" xr:uid="{00000000-0005-0000-0000-000014030000}"/>
    <cellStyle name="Percent96" xfId="782" xr:uid="{00000000-0005-0000-0000-000015030000}"/>
    <cellStyle name="Percent97" xfId="783" xr:uid="{00000000-0005-0000-0000-000016030000}"/>
    <cellStyle name="Percent98" xfId="784" xr:uid="{00000000-0005-0000-0000-000017030000}"/>
    <cellStyle name="Percent99" xfId="785" xr:uid="{00000000-0005-0000-0000-000018030000}"/>
    <cellStyle name="Percentage" xfId="786" xr:uid="{00000000-0005-0000-0000-000019030000}"/>
    <cellStyle name="PercentStyle" xfId="787" xr:uid="{00000000-0005-0000-0000-00001A030000}"/>
    <cellStyle name="PercentStyle 2" xfId="1009" xr:uid="{D74E6E17-3713-46DA-8157-96929DD569B1}"/>
    <cellStyle name="PrePop Currency (0)" xfId="788" xr:uid="{00000000-0005-0000-0000-00001B030000}"/>
    <cellStyle name="PrePop Currency (2)" xfId="789" xr:uid="{00000000-0005-0000-0000-00001C030000}"/>
    <cellStyle name="PrePop Units (0)" xfId="790" xr:uid="{00000000-0005-0000-0000-00001D030000}"/>
    <cellStyle name="PrePop Units (1)" xfId="791" xr:uid="{00000000-0005-0000-0000-00001E030000}"/>
    <cellStyle name="PrePop Units (2)" xfId="792" xr:uid="{00000000-0005-0000-0000-00001F030000}"/>
    <cellStyle name="Price" xfId="793" xr:uid="{00000000-0005-0000-0000-000020030000}"/>
    <cellStyle name="Price 2" xfId="1010" xr:uid="{812FE1F9-AC3E-4CD9-84BA-756C40F7F818}"/>
    <cellStyle name="Product Header" xfId="794" xr:uid="{00000000-0005-0000-0000-000021030000}"/>
    <cellStyle name="PSChar" xfId="795" xr:uid="{00000000-0005-0000-0000-000022030000}"/>
    <cellStyle name="PSDate" xfId="796" xr:uid="{00000000-0005-0000-0000-000023030000}"/>
    <cellStyle name="PSDec" xfId="797" xr:uid="{00000000-0005-0000-0000-000024030000}"/>
    <cellStyle name="PSHeading" xfId="798" xr:uid="{00000000-0005-0000-0000-000025030000}"/>
    <cellStyle name="PSInt" xfId="799" xr:uid="{00000000-0005-0000-0000-000026030000}"/>
    <cellStyle name="PSSpacer" xfId="800" xr:uid="{00000000-0005-0000-0000-000027030000}"/>
    <cellStyle name="r" xfId="801" xr:uid="{00000000-0005-0000-0000-000028030000}"/>
    <cellStyle name="r_F&amp;W Servicing Model" xfId="802" xr:uid="{00000000-0005-0000-0000-000029030000}"/>
    <cellStyle name="r_F&amp;W Servicing Model v2" xfId="803" xr:uid="{00000000-0005-0000-0000-00002A030000}"/>
    <cellStyle name="r_Yell Servicing Model" xfId="804" xr:uid="{00000000-0005-0000-0000-00002B030000}"/>
    <cellStyle name="rate" xfId="805" xr:uid="{00000000-0005-0000-0000-00002C030000}"/>
    <cellStyle name="Ratio" xfId="806" xr:uid="{00000000-0005-0000-0000-00002D030000}"/>
    <cellStyle name="Ratio 2" xfId="1011" xr:uid="{CFBEA3E1-A2EF-45E7-A943-2B3A21ACCBC4}"/>
    <cellStyle name="Ratio Comma" xfId="807" xr:uid="{00000000-0005-0000-0000-00002E030000}"/>
    <cellStyle name="Ratio Comma 2" xfId="1012" xr:uid="{4249D9AC-1181-41C7-8D8D-4E11697C7D2F}"/>
    <cellStyle name="Ratio_Private" xfId="808" xr:uid="{00000000-0005-0000-0000-00002F030000}"/>
    <cellStyle name="regstoresfromspecstores" xfId="809" xr:uid="{00000000-0005-0000-0000-000030030000}"/>
    <cellStyle name="RevList" xfId="810" xr:uid="{00000000-0005-0000-0000-000031030000}"/>
    <cellStyle name="Right" xfId="811" xr:uid="{00000000-0005-0000-0000-000032030000}"/>
    <cellStyle name="RightBold" xfId="812" xr:uid="{00000000-0005-0000-0000-000033030000}"/>
    <cellStyle name="RightBoldBottomRule" xfId="813" xr:uid="{00000000-0005-0000-0000-000034030000}"/>
    <cellStyle name="RightBoldCenterRule" xfId="814" xr:uid="{00000000-0005-0000-0000-000035030000}"/>
    <cellStyle name="Section" xfId="815" xr:uid="{00000000-0005-0000-0000-000036030000}"/>
    <cellStyle name="SectionHeaderNormal" xfId="816" xr:uid="{00000000-0005-0000-0000-000037030000}"/>
    <cellStyle name="SHADEDSTORES" xfId="817" xr:uid="{00000000-0005-0000-0000-000038030000}"/>
    <cellStyle name="Short $" xfId="818" xr:uid="{00000000-0005-0000-0000-000039030000}"/>
    <cellStyle name="ShOut" xfId="819" xr:uid="{00000000-0005-0000-0000-00003A030000}"/>
    <cellStyle name="ShOut 2" xfId="1013" xr:uid="{3F100E7C-BE08-435F-ABB3-567650E63AEF}"/>
    <cellStyle name="Simple" xfId="820" xr:uid="{00000000-0005-0000-0000-00003B030000}"/>
    <cellStyle name="SimpleBold" xfId="821" xr:uid="{00000000-0005-0000-0000-00003C030000}"/>
    <cellStyle name="Single Accounting" xfId="822" xr:uid="{00000000-0005-0000-0000-00003D030000}"/>
    <cellStyle name="specstores" xfId="823" xr:uid="{00000000-0005-0000-0000-00003E030000}"/>
    <cellStyle name="Stock Comma" xfId="824" xr:uid="{00000000-0005-0000-0000-00003F030000}"/>
    <cellStyle name="Stock Comma 2" xfId="1014" xr:uid="{4E8FF90B-9ECD-4C00-9044-D9B282CB3A28}"/>
    <cellStyle name="Stock Price" xfId="825" xr:uid="{00000000-0005-0000-0000-000040030000}"/>
    <cellStyle name="Stock Price 2" xfId="1015" xr:uid="{5CD72EF5-C30C-4F52-A89A-A95D580499B7}"/>
    <cellStyle name="Style 1" xfId="826" xr:uid="{00000000-0005-0000-0000-000041030000}"/>
    <cellStyle name="Style 21" xfId="827" xr:uid="{00000000-0005-0000-0000-000042030000}"/>
    <cellStyle name="Style 22" xfId="828" xr:uid="{00000000-0005-0000-0000-000043030000}"/>
    <cellStyle name="Style 23" xfId="829" xr:uid="{00000000-0005-0000-0000-000044030000}"/>
    <cellStyle name="Style 24" xfId="830" xr:uid="{00000000-0005-0000-0000-000045030000}"/>
    <cellStyle name="Style 25" xfId="831" xr:uid="{00000000-0005-0000-0000-000046030000}"/>
    <cellStyle name="Style 26" xfId="832" xr:uid="{00000000-0005-0000-0000-000047030000}"/>
    <cellStyle name="Style 27" xfId="833" xr:uid="{00000000-0005-0000-0000-000048030000}"/>
    <cellStyle name="Style 28" xfId="834" xr:uid="{00000000-0005-0000-0000-000049030000}"/>
    <cellStyle name="Style 29" xfId="835" xr:uid="{00000000-0005-0000-0000-00004A030000}"/>
    <cellStyle name="Style 30" xfId="836" xr:uid="{00000000-0005-0000-0000-00004B030000}"/>
    <cellStyle name="Style 31" xfId="837" xr:uid="{00000000-0005-0000-0000-00004C030000}"/>
    <cellStyle name="Style 32" xfId="838" xr:uid="{00000000-0005-0000-0000-00004D030000}"/>
    <cellStyle name="Style 33" xfId="839" xr:uid="{00000000-0005-0000-0000-00004E030000}"/>
    <cellStyle name="Style 34" xfId="840" xr:uid="{00000000-0005-0000-0000-00004F030000}"/>
    <cellStyle name="Style 35" xfId="841" xr:uid="{00000000-0005-0000-0000-000050030000}"/>
    <cellStyle name="Style 36" xfId="842" xr:uid="{00000000-0005-0000-0000-000051030000}"/>
    <cellStyle name="Style 37" xfId="843" xr:uid="{00000000-0005-0000-0000-000052030000}"/>
    <cellStyle name="Style 38" xfId="844" xr:uid="{00000000-0005-0000-0000-000053030000}"/>
    <cellStyle name="Style 39" xfId="845" xr:uid="{00000000-0005-0000-0000-000054030000}"/>
    <cellStyle name="Style 40" xfId="846" xr:uid="{00000000-0005-0000-0000-000055030000}"/>
    <cellStyle name="Style 41" xfId="847" xr:uid="{00000000-0005-0000-0000-000056030000}"/>
    <cellStyle name="Style 42" xfId="848" xr:uid="{00000000-0005-0000-0000-000057030000}"/>
    <cellStyle name="Style 43" xfId="849" xr:uid="{00000000-0005-0000-0000-000058030000}"/>
    <cellStyle name="Style 44" xfId="850" xr:uid="{00000000-0005-0000-0000-000059030000}"/>
    <cellStyle name="Style 45" xfId="851" xr:uid="{00000000-0005-0000-0000-00005A030000}"/>
    <cellStyle name="Style 46" xfId="852" xr:uid="{00000000-0005-0000-0000-00005B030000}"/>
    <cellStyle name="Style 47" xfId="853" xr:uid="{00000000-0005-0000-0000-00005C030000}"/>
    <cellStyle name="Style 48" xfId="854" xr:uid="{00000000-0005-0000-0000-00005D030000}"/>
    <cellStyle name="STYLE1" xfId="855" xr:uid="{00000000-0005-0000-0000-00005E030000}"/>
    <cellStyle name="SubScript" xfId="856" xr:uid="{00000000-0005-0000-0000-00005F030000}"/>
    <cellStyle name="Subtotal" xfId="857" xr:uid="{00000000-0005-0000-0000-000060030000}"/>
    <cellStyle name="Sum" xfId="858" xr:uid="{00000000-0005-0000-0000-000061030000}"/>
    <cellStyle name="SuperScript" xfId="859" xr:uid="{00000000-0005-0000-0000-000062030000}"/>
    <cellStyle name="Table_Title" xfId="860" xr:uid="{00000000-0005-0000-0000-000063030000}"/>
    <cellStyle name="Test" xfId="861" xr:uid="{00000000-0005-0000-0000-000064030000}"/>
    <cellStyle name="Text Indent A" xfId="862" xr:uid="{00000000-0005-0000-0000-000065030000}"/>
    <cellStyle name="Text Indent B" xfId="863" xr:uid="{00000000-0005-0000-0000-000066030000}"/>
    <cellStyle name="Text Indent C" xfId="864" xr:uid="{00000000-0005-0000-0000-000067030000}"/>
    <cellStyle name="Text Indent C 2" xfId="1016" xr:uid="{147F5440-669E-4057-B18A-2246B78C5E96}"/>
    <cellStyle name="TextBold" xfId="865" xr:uid="{00000000-0005-0000-0000-000068030000}"/>
    <cellStyle name="TextItalic" xfId="866" xr:uid="{00000000-0005-0000-0000-000069030000}"/>
    <cellStyle name="TextNormal" xfId="867" xr:uid="{00000000-0005-0000-0000-00006A030000}"/>
    <cellStyle name="Time" xfId="868" xr:uid="{00000000-0005-0000-0000-00006B030000}"/>
    <cellStyle name="Times 10" xfId="869" xr:uid="{00000000-0005-0000-0000-00006C030000}"/>
    <cellStyle name="Times 12" xfId="870" xr:uid="{00000000-0005-0000-0000-00006D030000}"/>
    <cellStyle name="Title - PROJECT" xfId="871" xr:uid="{00000000-0005-0000-0000-00006E030000}"/>
    <cellStyle name="Title - PROJECT 2" xfId="1017" xr:uid="{D2FA2B1B-D51E-48B4-9D91-CC367F7541C3}"/>
    <cellStyle name="Title - Underline" xfId="872" xr:uid="{00000000-0005-0000-0000-00006F030000}"/>
    <cellStyle name="Title - Underline 2" xfId="1018" xr:uid="{1E8921FF-8F70-40B3-95CB-0043AE9118BE}"/>
    <cellStyle name="Title1" xfId="873" xr:uid="{00000000-0005-0000-0000-000070030000}"/>
    <cellStyle name="Title2" xfId="874" xr:uid="{00000000-0005-0000-0000-000071030000}"/>
    <cellStyle name="TitleNormal" xfId="875" xr:uid="{00000000-0005-0000-0000-000072030000}"/>
    <cellStyle name="Titles - Col. Headings" xfId="876" xr:uid="{00000000-0005-0000-0000-000073030000}"/>
    <cellStyle name="Titles - Other" xfId="877" xr:uid="{00000000-0005-0000-0000-000074030000}"/>
    <cellStyle name="Titles - Other 2" xfId="1019" xr:uid="{ECCFF43A-C5E2-4DA8-B7C3-0524889BFA49}"/>
    <cellStyle name="Top Edge" xfId="878" xr:uid="{00000000-0005-0000-0000-000075030000}"/>
    <cellStyle name="Total" xfId="879" builtinId="25" customBuiltin="1"/>
    <cellStyle name="ubordinated Debt" xfId="880" xr:uid="{00000000-0005-0000-0000-000077030000}"/>
    <cellStyle name="wheat merger's and acquisitions" xfId="881" xr:uid="{00000000-0005-0000-0000-000078030000}"/>
    <cellStyle name="x" xfId="882" xr:uid="{00000000-0005-0000-0000-000079030000}"/>
    <cellStyle name="x_TSA Model - 1 8 06 - v2" xfId="883" xr:uid="{00000000-0005-0000-0000-00007A030000}"/>
    <cellStyle name="Y2K Compliant Date Fmt" xfId="884" xr:uid="{00000000-0005-0000-0000-00007B030000}"/>
    <cellStyle name="Years" xfId="885" xr:uid="{00000000-0005-0000-0000-00007C030000}"/>
    <cellStyle name="yellow" xfId="886" xr:uid="{00000000-0005-0000-0000-00007D030000}"/>
    <cellStyle name="Yen" xfId="887" xr:uid="{00000000-0005-0000-0000-00007E030000}"/>
    <cellStyle name="YYYY" xfId="888" xr:uid="{00000000-0005-0000-0000-00007F030000}"/>
    <cellStyle name="桁区切り [0.00]_Appendix" xfId="889" xr:uid="{00000000-0005-0000-0000-000080030000}"/>
    <cellStyle name="桁区切り_Appendix" xfId="890" xr:uid="{00000000-0005-0000-0000-000081030000}"/>
    <cellStyle name="標準_Appendix" xfId="891" xr:uid="{00000000-0005-0000-0000-000082030000}"/>
    <cellStyle name="通貨 [0.00]_Appendix" xfId="892" xr:uid="{00000000-0005-0000-0000-000083030000}"/>
    <cellStyle name="通貨_Appendix" xfId="893" xr:uid="{00000000-0005-0000-0000-00008403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AEAE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calcChain" Target="calcChain.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customXml" Target="../customXml/item3.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8"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Office\Media\COMPS%20-%20B2B%20Publishe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_sfnt01\GBlank$\My%20Documents\TPG\LBO\Bally\BFT%20Forecast%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p_sfnt01\GBlank$\Documents%20and%20Settings\GBlank\Local%20Settings\Temporary%20Internet%20Files\OLK39\TSA%20Model%20-%201%208%2006%20-%20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ETG%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ank%20Loan%20Team\APPROVAL%20MEMOS\Endurance%20Media\BLT%20Work\EBM%20Quarterly%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20Info%2022%20(Adam%20Silv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ChartDat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Bank%20Correspondence\JMI%20Model%20(Wx%20Model%20-%20BMO%20Adjusted%205-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WCMP%20II\INACTIVE%20DEALS\Facts%20on%20File\Transaction%20Models\FOF%20Model%20v3%20(Asset%20Purchas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rojects5\Dolphin\Documents%20and%20Settings\nbk7h1e\Local%20Settings\Temporary%20Internet%20Files\OLK61\Bank%20Austria\Returns@@@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Deals%20-%20In%20Process\TruCom\BridgeCom%20Budge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y-fil01\data\Wicks\Wicks%20Model\JMI%20Model%20(Wx%20Model%20-%20BMO%20Adjusted%205-1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Deals%20-%20In%20Process\Crescent%20Publishing%20Company,%20LLC\R0%20-%20Aug%202,%202001\CrescentPublishing%20Model%208-01%20R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Credit%20Derivatives%20Group\Emerging\CBO\MFS\Jersey%20Street%20CLO\Warehouse\Warehouse%20Report\versions\August\Jersey%20Street%20CLO%208.7.06%20Committ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mail.wicksgroup.com/PORTFOLIO%20COMPANIES/Bressler%20Outdoor/Financial%20Models/SubDebt%20Model%20-%20IRR%20-$30MM%20Equity.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ominous.studioholdings.net\temp\unzipped\7xbb01_\7b7k01_.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minous.studioholdings.net\temp\TEMP\Consolidated%2012-4-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c-neptune\accounting\Invoices\Invoice%2099\z.December%201999\DEC99Invoice%20Summar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Rosetta%20Stone%20Model%20(9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Company%20Materials\Company%20Materials\Bank%20Model_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Bank%20Loan%20Team%20Research\_RAs\Takacs_G\PORTFOLIO%20-%20Takac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Spring%202002\Modeling\Problem%204%20workshee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Bank%20Model_2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NT14\USERS$\mm93223\My%20Documents\Templates\Servicing%20Template%20-%20MA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Documents%20and%20Settings\EMcKee\Local%20Settings\Temporary%20Internet%20Files\OLK12\65%20UVN%207-Yea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windows\TEMP\financial%20forecast%207.27.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Beckett\Deals%20in%20process\UniFocus%20R6\Unifocus%20Model%204-02%20R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Documents%20and%20Settings\CRothbard\Local%20Settings\Temporary%20Internet%20Files\OLK146\JMI_WMI%20Financing%20Model%20(02-09-06)_vTD4%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Documents%20and%20Settings\jorr\Local%20Settings\Temporary%20Internet%20Files\OLK27\MC-DW-JOB%20Merger%20Model%20for%20Syndicate%20-%203.31.05%20rjf%205.03.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Corporate%20Development\JMI_WMI%20Combination\2005.11\Oct%202005\MEDCON%20Projection%20Model%20September%202005%20(09-13-05)%20v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ominous.studioholdings.net\temp\M&amp;A_Deal\New%20Models\dcf.sh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 Page"/>
      <sheetName val="Deal Multiples"/>
      <sheetName val="Asset Coverage"/>
      <sheetName val="Status"/>
      <sheetName val="Output"/>
      <sheetName val="Graphs"/>
      <sheetName val="Inputs"/>
      <sheetName val="WARF"/>
      <sheetName val="Comps"/>
      <sheetName val="Magazines"/>
      <sheetName val="2"/>
      <sheetName val="4"/>
      <sheetName val="5"/>
      <sheetName val="6"/>
      <sheetName val="7"/>
      <sheetName val="8"/>
      <sheetName val="10"/>
      <sheetName val="11"/>
      <sheetName val="12"/>
      <sheetName val="14"/>
      <sheetName val="16"/>
      <sheetName val="1"/>
      <sheetName val="3"/>
      <sheetName val="9"/>
      <sheetName val="13"/>
      <sheetName val="15"/>
      <sheetName val="ARP"/>
      <sheetName val="CNG"/>
      <sheetName val="F&amp;W"/>
      <sheetName val="HNW"/>
      <sheetName val="IMO"/>
      <sheetName val="JMI"/>
      <sheetName val="MMH"/>
      <sheetName val="PRM"/>
      <sheetName val="RDA"/>
      <sheetName val="SRCE"/>
      <sheetName val="SPRG"/>
      <sheetName val="WNM"/>
      <sheetName val="RVDP"/>
      <sheetName val="SMTB"/>
      <sheetName val="TMN"/>
      <sheetName val="Portfolio"/>
      <sheetName val="LBO Summary"/>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ttrition"/>
      <sheetName val="Sheet1"/>
      <sheetName val="IncStmt"/>
      <sheetName val="CashFlow"/>
      <sheetName val="BalSht"/>
      <sheetName val="Allowance"/>
      <sheetName val="CashEBITDA"/>
      <sheetName val="FxdChg"/>
      <sheetName val="Ratio"/>
      <sheetName val="Module1"/>
      <sheetName val="LBO Summary"/>
      <sheetName val="Chart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turns Summary"/>
      <sheetName val="Case Logic"/>
      <sheetName val="Option Summary"/>
      <sheetName val="TRANSACTION"/>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nning Assumptions"/>
      <sheetName val="Tanning P&amp;L"/>
      <sheetName val="Tanning Balance Sheets"/>
      <sheetName val="Tanning Cash Flows"/>
      <sheetName val="Meta P&amp;L"/>
      <sheetName val="Meta Balance Sheet"/>
      <sheetName val="Meta Cash Flow"/>
      <sheetName val="Combined Balance Sheet"/>
      <sheetName val="Combined P&amp;L"/>
      <sheetName val="Combined Cash Flow"/>
      <sheetName val="Shares"/>
      <sheetName val="EssRet"/>
      <sheetName val="Meta Segments"/>
      <sheetName val="Capex"/>
      <sheetName val="Sheet5"/>
      <sheetName val="D"/>
      <sheetName val="TRANSA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al. Analysis"/>
      <sheetName val="Inputs"/>
      <sheetName val="Base"/>
      <sheetName val="EV_DCF Analysis"/>
      <sheetName val="VeCTOR Import"/>
      <sheetName val="Annual Summary"/>
    </sheetNames>
    <sheetDataSet>
      <sheetData sheetId="0" refreshError="1"/>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s"/>
      <sheetName val="Calcs"/>
      <sheetName val="Account"/>
      <sheetName val="OCTrends"/>
      <sheetName val="ICTrends"/>
      <sheetName val="DivTrends"/>
      <sheetName val="WARFTrends"/>
      <sheetName val="WARFFitchTrends"/>
      <sheetName val="WASTrends"/>
      <sheetName val="WACTrends"/>
      <sheetName val="WALTrends"/>
      <sheetName val="Debt Structure"/>
      <sheetName val="Fund Schedule"/>
      <sheetName val="Principal"/>
      <sheetName val="Ineligible"/>
      <sheetName val="S&amp;P Industry"/>
      <sheetName val="Trade Activity Summary"/>
      <sheetName val="Sale Activity Bond"/>
      <sheetName val="Sale Activity"/>
      <sheetName val="Buy Activity Bond"/>
      <sheetName val="Buy Activity"/>
      <sheetName val="Default"/>
      <sheetName val="CCC"/>
      <sheetName val="CCCBond"/>
      <sheetName val="Presentation Info 22 (Adam Silv"/>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M YTD 2000"/>
      <sheetName val="AUM_Chart"/>
      <sheetName val="Cap Structure"/>
      <sheetName val="TOP10"/>
      <sheetName val="DefaultHistory"/>
      <sheetName val="DefaultedSecuritySummary"/>
      <sheetName val="DefaultedSecuritySummary2"/>
      <sheetName val="DefaultedSecurityData"/>
      <sheetName val="Actual vs Covenant"/>
      <sheetName val="APEX"/>
      <sheetName val="APEX_MR"/>
      <sheetName val="APEX_SR"/>
      <sheetName val="APEX_MI"/>
      <sheetName val="APEX_SI"/>
      <sheetName val="ELC1"/>
      <sheetName val="ELC1_SR"/>
      <sheetName val="ELC1_MR"/>
      <sheetName val="ELC1_FR"/>
      <sheetName val="ELC1_SI"/>
      <sheetName val="ELC1_MI"/>
      <sheetName val="ELC2"/>
      <sheetName val="ELC2_SR"/>
      <sheetName val="ELC2_FR"/>
      <sheetName val="ELC2_SI"/>
      <sheetName val="ELC2_MI"/>
      <sheetName val="ELC3"/>
      <sheetName val="ELC3_MR"/>
      <sheetName val="ELC3_SR"/>
      <sheetName val="ELC3_FR"/>
      <sheetName val="ELC3_MI"/>
      <sheetName val="ELC3_SI"/>
      <sheetName val="ELC4"/>
      <sheetName val="ELC4_MR"/>
      <sheetName val="ELC4_SR"/>
      <sheetName val="ELC4_MI"/>
      <sheetName val="ELC4_SI"/>
      <sheetName val="ELC5"/>
      <sheetName val="ELC5_MR"/>
      <sheetName val="ELC5_SR"/>
      <sheetName val="ELC5_MI"/>
      <sheetName val="ELC5_SI"/>
      <sheetName val="TRYN"/>
      <sheetName val="TRYN_MR"/>
      <sheetName val="TRYN_SR"/>
      <sheetName val="TRYN_SI"/>
      <sheetName val="TRYN_MI"/>
      <sheetName val="SaleData"/>
      <sheetName val="SH_Results"/>
      <sheetName val="SH_APEX"/>
      <sheetName val="SH_ELC1"/>
      <sheetName val="SH_ELC2"/>
      <sheetName val="SH_ELC3"/>
      <sheetName val="SH_ELC4"/>
      <sheetName val="SH_ELC5"/>
      <sheetName val="SH_TR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DISPLAY"/>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heetName val="BS"/>
      <sheetName val="IS"/>
      <sheetName val="CFS"/>
      <sheetName val="REV"/>
      <sheetName val="RATIO"/>
      <sheetName val="RETURN"/>
      <sheetName val="CONTROL"/>
      <sheetName val="D&amp;A"/>
    </sheetNames>
    <sheetDataSet>
      <sheetData sheetId="0" refreshError="1"/>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s"/>
      <sheetName val="OC-IC"/>
      <sheetName val="Sources and Uses"/>
      <sheetName val="After Tax"/>
      <sheetName val="Tax Report"/>
      <sheetName val="Price Yield"/>
      <sheetName val="LIBOR"/>
      <sheetName val="Revolver"/>
      <sheetName val="PV Calc"/>
      <sheetName val="Module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RIVER"/>
      <sheetName val="Sheet1"/>
      <sheetName val="Bcom IS-Mnthly"/>
      <sheetName val="Conversion Balance Sheet"/>
      <sheetName val="Bcom BS-Mnthly"/>
      <sheetName val="Bcom FAS95-Mnthly"/>
      <sheetName val="Bcom Rollup-Income"/>
      <sheetName val="Bcom Rollup- Balance"/>
      <sheetName val="Bcom Conversion Charge Adj"/>
      <sheetName val="Bcom Debt"/>
      <sheetName val="Bcom Fixed Assets"/>
      <sheetName val="Bcom Lines"/>
      <sheetName val="Bcom New AE Efficiency"/>
      <sheetName val="Bcom Rev"/>
      <sheetName val="Bcom COGS"/>
      <sheetName val="Bcom-SG&amp;A,Taxes"/>
      <sheetName val="Bcom HEADCOUNT"/>
      <sheetName val="MasterDriverTrucom"/>
      <sheetName val="TruCom IS"/>
      <sheetName val="TruCom BS"/>
      <sheetName val="TruCom FAS95-Mnthly"/>
      <sheetName val="TruCom Rev"/>
      <sheetName val="TruCom COGS"/>
      <sheetName val="TruCom Lines"/>
      <sheetName val="TruCom-SG&amp;A,Taxes"/>
      <sheetName val="TruCom HEADCOUNT"/>
      <sheetName val="TruCom Amort."/>
      <sheetName val="TruCom Fixed Assets"/>
      <sheetName val="TruCom Debt"/>
      <sheetName val="TruCom Debt worksheet"/>
      <sheetName val="Cap Tables"/>
      <sheetName val="TruCom Cash Acct. Recon."/>
      <sheetName val="MAST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DISPLAY"/>
      <sheetName val="OPT-MIS"/>
      <sheetName val="REV"/>
      <sheetName val="EXP"/>
      <sheetName val="MODR"/>
      <sheetName val="D&amp;A"/>
      <sheetName val="DEBT"/>
      <sheetName val="COVS"/>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M 2000 Rev Chart"/>
      <sheetName val="MCM 2001 Rev Chart"/>
      <sheetName val="MCM 1999 P&amp;L"/>
      <sheetName val="MCM 2000 P&amp;L"/>
      <sheetName val="MCM 2001 Plan"/>
      <sheetName val="MCM 2000 and 2001 Plan"/>
      <sheetName val="GSN Hist IS"/>
      <sheetName val="GSN Hist BS"/>
      <sheetName val="CC 2000 Detail"/>
      <sheetName val="CC 2000 IS"/>
      <sheetName val="CC 2000 BS"/>
      <sheetName val="CC 2000 CF"/>
      <sheetName val="Crescent Mo IS 9-00 to 6-01"/>
      <sheetName val="Crescent Qtr IS Sep00-Jun01"/>
      <sheetName val="Target P&amp;L RollUp"/>
      <sheetName val="Target P&amp;L RollUp June"/>
      <sheetName val="Target P&amp;L Pct Sales"/>
      <sheetName val="MASTER DRIVERS"/>
      <sheetName val="Summary"/>
      <sheetName val="IS Sum"/>
      <sheetName val="BS Sum"/>
      <sheetName val="CF Sum"/>
      <sheetName val="Covenants and Capitalization"/>
      <sheetName val="Ret Earn Reconcile"/>
      <sheetName val="GSN IS Sum"/>
      <sheetName val="Maine IS Sum"/>
      <sheetName val="Conversion BS"/>
      <sheetName val="Key Ratios"/>
      <sheetName val="MCG vs Vaxa"/>
      <sheetName val="Exhibits1"/>
      <sheetName val="Exhibits2"/>
      <sheetName val="IS"/>
      <sheetName val="BS"/>
      <sheetName val="CF"/>
      <sheetName val="Debt"/>
      <sheetName val="Fixed Assets"/>
      <sheetName val="Intangibles"/>
      <sheetName val="DCF"/>
      <sheetName val="Initial TTM EBITDA by Cluster"/>
      <sheetName val="Geographic Concentration"/>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X"/>
      <sheetName val="Portfolio Input"/>
      <sheetName val="Warehouse Summary"/>
      <sheetName val="Investor Summary"/>
      <sheetName val="Industry"/>
      <sheetName val="Rating"/>
      <sheetName val="Broad Loan Category"/>
      <sheetName val="Diversity Calc"/>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Pipeline"/>
      <sheetName val="Monthly Financials"/>
      <sheetName val="Quarterly Financials"/>
      <sheetName val="Yearly Financials"/>
      <sheetName val="Distributions"/>
      <sheetName val="Returns"/>
      <sheetName val="Operations"/>
      <sheetName val="Payroll"/>
      <sheetName val="Depreciation"/>
      <sheetName val="Debt"/>
      <sheetName val="Equ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odel"/>
      <sheetName val="Portfolio Input"/>
    </sheetNames>
    <sheetDataSet>
      <sheetData sheetId="0"/>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TransSum"/>
      <sheetName val="Consolidated"/>
      <sheetName val="JDPC Proj."/>
      <sheetName val="EG Proj."/>
      <sheetName val="KBB Proj. "/>
    </sheetNames>
    <sheetDataSet>
      <sheetData sheetId="0"/>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
      <sheetName val="Final"/>
    </sheetNames>
    <sheetDataSet>
      <sheetData sheetId="0" refreshError="1"/>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01_05_v_Wicks_xls__01_05_v_Wic"/>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Adj 2006"/>
      <sheetName val="Credit"/>
      <sheetName val="For Banks"/>
      <sheetName val="_01_05_v_Wicks_xls__01_05_v_Wic"/>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Yields"/>
      <sheetName val="Vector Output"/>
      <sheetName val="Portfolio"/>
      <sheetName val="Action Items"/>
      <sheetName val="Defense Comps"/>
      <sheetName val="Telecom"/>
      <sheetName val="WARF"/>
      <sheetName val="Template"/>
      <sheetName val="1"/>
      <sheetName val="2"/>
      <sheetName val="3"/>
      <sheetName val="4"/>
      <sheetName val="Credit Breakdown"/>
      <sheetName val="Auto EVs"/>
      <sheetName val="WARF Tracker"/>
      <sheetName val="Deal Multiples"/>
      <sheetName val="Status"/>
      <sheetName val="Output"/>
      <sheetName val="Graphs"/>
      <sheetName val="Inputs"/>
      <sheetName val="LBO Summary"/>
      <sheetName val="Tanning Assumptions"/>
      <sheetName val="IncStmt"/>
      <sheetName val="BS"/>
      <sheetName val="DCF"/>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by-night - Base"/>
      <sheetName val="Fly-by-night - problem 5"/>
      <sheetName val="Fly-by-night - problem 6"/>
      <sheetName val="Fly-by-night - Base with ltd"/>
      <sheetName val="Portfolio"/>
      <sheetName val="MASTER DRIVER"/>
      <sheetName val="LBO Summary"/>
      <sheetName val="IncStmt"/>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Credit"/>
      <sheetName val="Summary"/>
      <sheetName val="Segments"/>
      <sheetName val="Adjustments"/>
      <sheetName val="Fly-by-night - problem 5"/>
      <sheetName val="Inpu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Info"/>
      <sheetName val="Qualitative Analysis"/>
      <sheetName val="Base"/>
      <sheetName val="EV_DCF Analysis"/>
      <sheetName val="VeCTOR Import"/>
      <sheetName val="Annual Summary"/>
      <sheetName val="LBO Summary"/>
      <sheetName val="Fly-by-night - problem 5"/>
      <sheetName val="Segment Info"/>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UMMARY"/>
      <sheetName val="TRANSACTION"/>
      <sheetName val="Capital Structure"/>
      <sheetName val="DEBT DETAIL"/>
      <sheetName val="Sheet2"/>
      <sheetName val="Flat EBITDA"/>
      <sheetName val="Scenario Fan"/>
      <sheetName val="Sheet1"/>
      <sheetName val="Sheet1 (2)"/>
      <sheetName val="Case Comparison"/>
      <sheetName val="INCOME STATEMENT"/>
      <sheetName val="BALANCE SHEET"/>
      <sheetName val="CASH FLOW"/>
      <sheetName val="World Cup"/>
      <sheetName val="Taxes"/>
      <sheetName val="CAPEX &amp; INTANG"/>
      <sheetName val="Drivers"/>
      <sheetName val="WORKING CAPITAL"/>
      <sheetName val="Buildup"/>
      <sheetName val="S&amp;U"/>
      <sheetName val="TV Build"/>
      <sheetName val="TV Group"/>
      <sheetName val="UVN"/>
      <sheetName val="TLF"/>
      <sheetName val="Gala"/>
      <sheetName val="TV Station Group"/>
      <sheetName val="UTG"/>
      <sheetName val="TTG"/>
      <sheetName val="Radio Operating Build"/>
      <sheetName val="Radio Drivers"/>
      <sheetName val="Consolidated"/>
      <sheetName val="Market Build"/>
      <sheetName val="Other"/>
      <sheetName val="Overview"/>
      <sheetName val="Margin Bridge"/>
      <sheetName val="Projections Detail"/>
      <sheetName val="VeCTOR Import"/>
      <sheetName val="LBO Summary"/>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reciation"/>
      <sheetName val="S&amp;U"/>
      <sheetName val="Sheet1"/>
      <sheetName val="1998 assump"/>
      <sheetName val="1997 assump"/>
      <sheetName val="******"/>
      <sheetName val="1998 P &amp; L"/>
      <sheetName val="1999 P &amp; L"/>
      <sheetName val="summ people"/>
      <sheetName val="people"/>
      <sheetName val="Sheet2"/>
      <sheetName val="B"/>
      <sheetName val="Sheet5"/>
      <sheetName val="Employees"/>
      <sheetName val="Reconcile"/>
      <sheetName val="D"/>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vCalcs Table"/>
      <sheetName val="IS Table"/>
      <sheetName val="BS Table"/>
      <sheetName val="SoCF Table"/>
      <sheetName val="RE &amp; DIVS Table"/>
      <sheetName val="Debt Table"/>
      <sheetName val="RE &amp; DIVS"/>
      <sheetName val="Debt"/>
      <sheetName val="BalSh Comb"/>
      <sheetName val="SoCF Comb"/>
      <sheetName val="IS Comb"/>
      <sheetName val="Covenant Summary"/>
      <sheetName val="UF P&amp;L-Mth"/>
      <sheetName val="Sheet1"/>
      <sheetName val="MASTER"/>
      <sheetName val="FC P&amp;L-Mth"/>
      <sheetName val="Headcount"/>
      <sheetName val="New FC Contracts"/>
      <sheetName val="UF Bal-Mth"/>
      <sheetName val="FC Bal-Mth"/>
      <sheetName val="Fixed Assets"/>
      <sheetName val="G&amp;A"/>
      <sheetName val="FC Contracts 2001"/>
      <sheetName val="End Model"/>
      <sheetName val="Combnd Hist BS"/>
      <sheetName val="UF Bal Sheet"/>
      <sheetName val="FC Bal Sheet"/>
      <sheetName val="UF P&amp;L Hist"/>
      <sheetName val="FC P&amp;L Hist"/>
      <sheetName val="UF2000"/>
      <sheetName val="UF2001"/>
      <sheetName val="FC2000"/>
      <sheetName val="FC2001"/>
      <sheetName val="vs. 2001 actuals"/>
      <sheetName val="Sheet3"/>
      <sheetName val="Equity Table"/>
      <sheetName val="Card Count Table"/>
      <sheetName val="BS Tables"/>
      <sheetName val="Concentr Table"/>
      <sheetName val="BS Analysis"/>
      <sheetName val="Table 5"/>
      <sheetName val="Table 4"/>
      <sheetName val="Table 3"/>
      <sheetName val="Table 2"/>
      <sheetName val="Table 1"/>
      <sheetName val="DCF"/>
      <sheetName val="top50hotels"/>
      <sheetName val="Sheet5"/>
      <sheetName val="D"/>
      <sheetName val="MASTER 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OBS - MEDCON"/>
      <sheetName val="OBS - REFI"/>
      <sheetName val="AFS"/>
      <sheetName val="MBS"/>
      <sheetName val="MMIS (2)"/>
      <sheetName val="WHEC"/>
      <sheetName val="MIS"/>
      <sheetName val="MCF"/>
      <sheetName val="PACING06"/>
      <sheetName val="D&amp;A"/>
      <sheetName val="D&amp;A (2)"/>
      <sheetName val="DEBT"/>
      <sheetName val="CHARTS&gt;&gt;&gt;"/>
      <sheetName val="S&amp;U_CAP_MERGER"/>
      <sheetName val="S&amp;U_CAP_REFI"/>
      <sheetName val="MEDCON IS"/>
      <sheetName val="SUM IS"/>
      <sheetName val="PF IS"/>
      <sheetName val="PF BS"/>
      <sheetName val="COVS"/>
      <sheetName val="ECF"/>
      <sheetName val="Bridge"/>
      <sheetName val="HoldCo INT"/>
      <sheetName val="PACING05"/>
      <sheetName val="MASTER"/>
    </sheetNames>
    <sheetDataSet>
      <sheetData sheetId="0"/>
      <sheetData sheetId="1" refreshError="1"/>
      <sheetData sheetId="2"/>
      <sheetData sheetId="3" refreshError="1"/>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CONTROL"/>
      <sheetName val="OBS - REFI"/>
      <sheetName val="WH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AFS"/>
      <sheetName val="MIS"/>
      <sheetName val="MBS"/>
      <sheetName val="MCF"/>
      <sheetName val="DEBT"/>
      <sheetName val="D&amp;A"/>
      <sheetName val="COVS_ACTUAL"/>
      <sheetName val="COVS"/>
      <sheetName val="PACING05"/>
      <sheetName val="PACING06"/>
    </sheetNames>
    <sheetDataSet>
      <sheetData sheetId="0" refreshError="1"/>
      <sheetData sheetId="1"/>
      <sheetData sheetId="2" refreshError="1"/>
      <sheetData sheetId="3"/>
      <sheetData sheetId="4" refreshError="1"/>
      <sheetData sheetId="5" refreshError="1"/>
      <sheetData sheetId="6"/>
      <sheetData sheetId="7" refreshError="1"/>
      <sheetData sheetId="8"/>
      <sheetData sheetId="9"/>
      <sheetData sheetId="10" refreshError="1"/>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F"/>
      <sheetName val="DCFnew"/>
      <sheetName val="COVS_ACTUAL"/>
      <sheetName val="D&amp;A"/>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1311"/>
  <sheetViews>
    <sheetView showGridLines="0" tabSelected="1" zoomScaleNormal="100" workbookViewId="0">
      <selection activeCell="N2" sqref="N2"/>
    </sheetView>
  </sheetViews>
  <sheetFormatPr defaultColWidth="9.140625" defaultRowHeight="15"/>
  <cols>
    <col min="1" max="1" width="9.140625" style="1"/>
    <col min="2" max="2" width="50.7109375" style="1" customWidth="1"/>
    <col min="3" max="3" width="12.7109375" style="1" customWidth="1"/>
    <col min="4" max="4" width="12.7109375" style="158" customWidth="1"/>
    <col min="5" max="8" width="12.7109375" style="1" customWidth="1"/>
    <col min="9" max="9" width="38.140625" style="1" customWidth="1"/>
    <col min="10" max="10" width="13.85546875" style="1" customWidth="1"/>
    <col min="11" max="11" width="24.28515625" style="1" customWidth="1"/>
    <col min="12" max="12" width="9.85546875" style="1" bestFit="1" customWidth="1"/>
    <col min="13" max="16384" width="9.140625" style="1"/>
  </cols>
  <sheetData>
    <row r="3" spans="1:12">
      <c r="A3" s="15" t="s">
        <v>0</v>
      </c>
      <c r="D3" s="1"/>
      <c r="I3" s="6" t="s">
        <v>1</v>
      </c>
      <c r="J3" s="154">
        <f>Model!$I$203</f>
        <v>1.0795988210780874E-3</v>
      </c>
    </row>
    <row r="4" spans="1:12">
      <c r="D4" s="1"/>
      <c r="I4" s="6" t="s">
        <v>2</v>
      </c>
      <c r="J4" s="154">
        <f>Model!$I$204</f>
        <v>1.068276097096097E-3</v>
      </c>
    </row>
    <row r="5" spans="1:12" ht="15.75" thickBot="1">
      <c r="D5" s="1"/>
      <c r="I5" s="2"/>
      <c r="J5" s="114"/>
    </row>
    <row r="6" spans="1:12">
      <c r="B6" s="298" t="s">
        <v>3</v>
      </c>
      <c r="C6" s="297" t="s">
        <v>4</v>
      </c>
      <c r="D6" s="297" t="s">
        <v>5</v>
      </c>
      <c r="E6" s="297" t="s">
        <v>6</v>
      </c>
      <c r="F6" s="297" t="s">
        <v>5</v>
      </c>
      <c r="I6" s="253" t="s">
        <v>7</v>
      </c>
      <c r="J6" s="254" t="s">
        <v>4</v>
      </c>
    </row>
    <row r="7" spans="1:12">
      <c r="B7" s="13"/>
      <c r="C7" s="94"/>
      <c r="D7" s="14"/>
      <c r="E7" s="95"/>
      <c r="I7" s="255" t="s">
        <v>8</v>
      </c>
      <c r="J7" s="259">
        <v>1247190</v>
      </c>
    </row>
    <row r="8" spans="1:12" ht="15.75" thickBot="1">
      <c r="B8" s="299" t="s">
        <v>9</v>
      </c>
      <c r="C8" s="96">
        <f>SUM(C9:C10)</f>
        <v>1046265.659</v>
      </c>
      <c r="D8" s="14"/>
      <c r="E8" s="96">
        <f>SUM(E9:E10)</f>
        <v>1129.5471719908883</v>
      </c>
      <c r="I8" s="256" t="s">
        <v>10</v>
      </c>
      <c r="J8" s="260">
        <v>635620</v>
      </c>
    </row>
    <row r="9" spans="1:12" ht="15.75" thickBot="1">
      <c r="B9" s="13" t="s">
        <v>11</v>
      </c>
      <c r="C9" s="52">
        <v>40280.381999999998</v>
      </c>
      <c r="D9" s="14"/>
      <c r="E9" s="95">
        <f>C9*J3</f>
        <v>43.486652919775011</v>
      </c>
      <c r="I9" s="258" t="s">
        <v>12</v>
      </c>
      <c r="J9" s="257" t="s">
        <v>13</v>
      </c>
    </row>
    <row r="10" spans="1:12">
      <c r="B10" s="13" t="s">
        <v>14</v>
      </c>
      <c r="C10" s="52">
        <v>1005985.277</v>
      </c>
      <c r="D10" s="14"/>
      <c r="E10" s="95">
        <f>C10*J3</f>
        <v>1086.0605190711133</v>
      </c>
    </row>
    <row r="11" spans="1:12">
      <c r="B11" s="13"/>
      <c r="C11" s="94"/>
      <c r="D11" s="14"/>
      <c r="E11" s="95"/>
    </row>
    <row r="12" spans="1:12">
      <c r="B12" s="299" t="s">
        <v>15</v>
      </c>
      <c r="C12" s="96">
        <f>SUM(C13:C14)</f>
        <v>120403.682</v>
      </c>
      <c r="D12" s="14"/>
      <c r="E12" s="96">
        <f>SUM(E13:E14)</f>
        <v>129.98767314066095</v>
      </c>
      <c r="K12" s="13"/>
      <c r="L12" s="94"/>
    </row>
    <row r="13" spans="1:12">
      <c r="B13" s="13" t="s">
        <v>11</v>
      </c>
      <c r="C13" s="52">
        <v>85852.525999999998</v>
      </c>
      <c r="D13" s="14"/>
      <c r="E13" s="95">
        <f>C13*J3</f>
        <v>92.686285856175843</v>
      </c>
      <c r="K13" s="13"/>
      <c r="L13" s="94"/>
    </row>
    <row r="14" spans="1:12">
      <c r="B14" s="13" t="s">
        <v>14</v>
      </c>
      <c r="C14" s="52">
        <v>34551.156000000003</v>
      </c>
      <c r="D14" s="14"/>
      <c r="E14" s="95">
        <f>C14*J3</f>
        <v>37.301387284485088</v>
      </c>
    </row>
    <row r="15" spans="1:12">
      <c r="B15" s="13"/>
      <c r="C15" s="52"/>
      <c r="D15" s="14"/>
      <c r="E15" s="95"/>
    </row>
    <row r="16" spans="1:12">
      <c r="B16" s="2" t="s">
        <v>16</v>
      </c>
      <c r="C16" s="96">
        <f>SUM(C17:C18)</f>
        <v>56851.904000000002</v>
      </c>
      <c r="D16" s="14"/>
      <c r="E16" s="96">
        <f>SUM(E17:E18)</f>
        <v>61.377248534444604</v>
      </c>
    </row>
    <row r="17" spans="2:6">
      <c r="B17" s="6" t="s">
        <v>17</v>
      </c>
      <c r="C17" s="7">
        <f>Model!$AE$111</f>
        <v>11649.606</v>
      </c>
      <c r="D17" s="14"/>
      <c r="E17" s="95">
        <f>C17*J3</f>
        <v>12.576900903624214</v>
      </c>
    </row>
    <row r="18" spans="2:6">
      <c r="B18" s="6" t="s">
        <v>18</v>
      </c>
      <c r="C18" s="7">
        <f>Model!$AE$112</f>
        <v>45202.298000000003</v>
      </c>
      <c r="D18" s="14"/>
      <c r="E18" s="95">
        <f>C18*J3</f>
        <v>48.80034763082039</v>
      </c>
    </row>
    <row r="19" spans="2:6">
      <c r="B19" s="13"/>
      <c r="C19" s="94"/>
      <c r="D19" s="14"/>
      <c r="E19" s="95"/>
    </row>
    <row r="20" spans="2:6">
      <c r="B20" s="300" t="s">
        <v>19</v>
      </c>
      <c r="C20" s="11">
        <f>C12+C8+C16</f>
        <v>1223521.2450000001</v>
      </c>
      <c r="D20" s="10">
        <f>C20/C25</f>
        <v>3.2514734559485072</v>
      </c>
      <c r="E20" s="11">
        <f>E12+E8+E16</f>
        <v>1320.9120936659938</v>
      </c>
      <c r="F20" s="10">
        <f>E20/E25</f>
        <v>3.2859360228603283</v>
      </c>
    </row>
    <row r="21" spans="2:6">
      <c r="B21" s="6" t="s">
        <v>20</v>
      </c>
      <c r="C21" s="120">
        <f>Model!AE$119</f>
        <v>611569.36499999999</v>
      </c>
      <c r="D21" s="121"/>
      <c r="E21" s="95">
        <f>C21*J3</f>
        <v>660.2495654614745</v>
      </c>
    </row>
    <row r="22" spans="2:6">
      <c r="B22" s="300" t="s">
        <v>21</v>
      </c>
      <c r="C22" s="11">
        <f>C20-C21</f>
        <v>611951.88000000012</v>
      </c>
      <c r="D22" s="10">
        <f>C22/C25</f>
        <v>1.6262449894262248</v>
      </c>
      <c r="E22" s="11">
        <f>E20-E21</f>
        <v>660.66252820451928</v>
      </c>
      <c r="F22" s="10">
        <f>E22/E25</f>
        <v>1.6434816599764894</v>
      </c>
    </row>
    <row r="23" spans="2:6" s="158" customFormat="1">
      <c r="B23" s="6" t="s">
        <v>22</v>
      </c>
      <c r="C23" s="120">
        <f>Model!AE$123</f>
        <v>1739768.341</v>
      </c>
      <c r="D23" s="121"/>
      <c r="E23" s="95">
        <f>C23*J3</f>
        <v>1878.2518498925801</v>
      </c>
    </row>
    <row r="24" spans="2:6">
      <c r="B24" s="2" t="s">
        <v>23</v>
      </c>
      <c r="C24" s="9">
        <f>C22+C23</f>
        <v>2351720.2209999999</v>
      </c>
      <c r="D24" s="8"/>
      <c r="E24" s="9">
        <f>E22+E23</f>
        <v>2538.9143780970994</v>
      </c>
    </row>
    <row r="25" spans="2:6" s="301" customFormat="1">
      <c r="B25" s="2" t="s">
        <v>24</v>
      </c>
      <c r="C25" s="44">
        <f>Model!AE$86</f>
        <v>376297.473</v>
      </c>
      <c r="D25" s="2"/>
      <c r="E25" s="97">
        <f>C25*J4</f>
        <v>401.98959580356393</v>
      </c>
    </row>
    <row r="26" spans="2:6">
      <c r="B26" s="5" t="s">
        <v>25</v>
      </c>
      <c r="C26" s="4">
        <f>+C20-Model!AE$118</f>
        <v>0</v>
      </c>
      <c r="D26" s="3"/>
    </row>
    <row r="27" spans="2:6">
      <c r="D27" s="1"/>
    </row>
    <row r="28" spans="2:6" ht="15.75" thickBot="1">
      <c r="B28" s="2"/>
      <c r="C28" s="98"/>
      <c r="D28" s="1"/>
    </row>
    <row r="29" spans="2:6">
      <c r="B29" s="236" t="s">
        <v>26</v>
      </c>
      <c r="C29" s="232" t="s">
        <v>4</v>
      </c>
      <c r="D29" s="237" t="s">
        <v>6</v>
      </c>
    </row>
    <row r="30" spans="2:6">
      <c r="B30" s="101" t="s">
        <v>20</v>
      </c>
      <c r="C30" s="110">
        <f>C21</f>
        <v>611569.36499999999</v>
      </c>
      <c r="D30" s="113">
        <f>C30*J3</f>
        <v>660.2495654614745</v>
      </c>
    </row>
    <row r="31" spans="2:6" ht="15.75" thickBot="1">
      <c r="B31" s="102" t="s">
        <v>27</v>
      </c>
      <c r="C31" s="111">
        <f>SUM(C30:C30)</f>
        <v>611569.36499999999</v>
      </c>
      <c r="D31" s="112">
        <f>SUM(D30:D30)</f>
        <v>660.2495654614745</v>
      </c>
    </row>
    <row r="32" spans="2:6">
      <c r="B32" s="2"/>
      <c r="C32" s="98"/>
      <c r="D32" s="96"/>
    </row>
    <row r="33" spans="2:14" ht="15.75" thickBot="1">
      <c r="B33" s="2"/>
      <c r="C33" s="2"/>
      <c r="D33" s="2"/>
      <c r="E33" s="96"/>
    </row>
    <row r="34" spans="2:14">
      <c r="B34" s="236" t="s">
        <v>28</v>
      </c>
      <c r="C34" s="232" t="s">
        <v>4</v>
      </c>
      <c r="D34" s="238" t="s">
        <v>6</v>
      </c>
    </row>
    <row r="35" spans="2:14">
      <c r="B35" s="239" t="s">
        <v>29</v>
      </c>
      <c r="C35" s="240">
        <f>C13+C14</f>
        <v>120403.682</v>
      </c>
      <c r="D35" s="128">
        <f>C35*$J3</f>
        <v>129.98767314066095</v>
      </c>
    </row>
    <row r="36" spans="2:14">
      <c r="B36" s="100" t="s">
        <v>30</v>
      </c>
      <c r="C36" s="241">
        <f>33144.521+14984.664</f>
        <v>48129.184999999998</v>
      </c>
      <c r="D36" s="128">
        <f>C36*$J3</f>
        <v>51.960211385449171</v>
      </c>
    </row>
    <row r="37" spans="2:14">
      <c r="B37" s="100" t="s">
        <v>31</v>
      </c>
      <c r="C37" s="241">
        <f>3687.815+80599.741</f>
        <v>84287.555999999997</v>
      </c>
      <c r="D37" s="128">
        <f>C37*$J3</f>
        <v>90.996746089153277</v>
      </c>
    </row>
    <row r="38" spans="2:14">
      <c r="B38" s="243" t="s">
        <v>32</v>
      </c>
      <c r="C38" s="242">
        <f>3448.046+910400.872</f>
        <v>913848.91799999995</v>
      </c>
      <c r="D38" s="128">
        <f>C38*$J3</f>
        <v>986.59021451628576</v>
      </c>
    </row>
    <row r="39" spans="2:14" ht="15.75" thickBot="1">
      <c r="B39" s="102" t="s">
        <v>33</v>
      </c>
      <c r="C39" s="244">
        <f>SUM(C35:C38)</f>
        <v>1166669.341</v>
      </c>
      <c r="D39" s="132">
        <f>SUM(D35:D38)</f>
        <v>1259.534845131549</v>
      </c>
    </row>
    <row r="40" spans="2:14">
      <c r="B40" s="5" t="s">
        <v>25</v>
      </c>
      <c r="C40" s="4">
        <f>C39-C8-C12</f>
        <v>0</v>
      </c>
      <c r="D40" s="98"/>
      <c r="E40" s="96"/>
    </row>
    <row r="41" spans="2:14">
      <c r="D41" s="1"/>
    </row>
    <row r="42" spans="2:14" ht="15.75" thickBot="1">
      <c r="D42" s="1"/>
    </row>
    <row r="43" spans="2:14" ht="15.75" thickBot="1">
      <c r="B43" s="246" t="s">
        <v>34</v>
      </c>
      <c r="C43" s="247"/>
      <c r="D43" s="247"/>
      <c r="E43" s="248"/>
      <c r="F43" s="249"/>
    </row>
    <row r="44" spans="2:14">
      <c r="B44" s="250" t="s">
        <v>35</v>
      </c>
      <c r="C44" s="251" t="s">
        <v>36</v>
      </c>
      <c r="D44" s="251" t="s">
        <v>37</v>
      </c>
      <c r="E44" s="251" t="s">
        <v>4</v>
      </c>
      <c r="F44" s="252" t="s">
        <v>6</v>
      </c>
    </row>
    <row r="45" spans="2:14">
      <c r="B45" s="116" t="s">
        <v>38</v>
      </c>
      <c r="D45" s="156"/>
      <c r="F45" s="157"/>
      <c r="N45" s="168"/>
    </row>
    <row r="46" spans="2:14">
      <c r="B46" s="100" t="s">
        <v>39</v>
      </c>
      <c r="C46" s="245" t="s">
        <v>40</v>
      </c>
      <c r="D46" s="164">
        <v>1.43E-2</v>
      </c>
      <c r="E46" s="241">
        <v>59736.307999999997</v>
      </c>
      <c r="F46" s="128">
        <f>E46*$J3</f>
        <v>64.491247692357518</v>
      </c>
      <c r="N46" s="168"/>
    </row>
    <row r="47" spans="2:14">
      <c r="B47" s="100" t="s">
        <v>41</v>
      </c>
      <c r="C47" s="245" t="s">
        <v>40</v>
      </c>
      <c r="D47" s="164">
        <v>5.4600000000000003E-2</v>
      </c>
      <c r="E47" s="241">
        <v>2020.93</v>
      </c>
      <c r="F47" s="128">
        <f>E47*$J3</f>
        <v>2.1817936454813394</v>
      </c>
      <c r="K47" s="192"/>
      <c r="N47" s="168"/>
    </row>
    <row r="48" spans="2:14">
      <c r="B48" s="100" t="s">
        <v>41</v>
      </c>
      <c r="C48" s="245" t="s">
        <v>42</v>
      </c>
      <c r="D48" s="164">
        <v>6.2E-2</v>
      </c>
      <c r="E48" s="241">
        <v>2035.133</v>
      </c>
      <c r="F48" s="128">
        <f>E48*$J3</f>
        <v>2.1971271875371112</v>
      </c>
      <c r="K48" s="192"/>
      <c r="N48" s="168"/>
    </row>
    <row r="49" spans="2:14">
      <c r="B49" s="100" t="s">
        <v>41</v>
      </c>
      <c r="C49" s="245" t="s">
        <v>42</v>
      </c>
      <c r="D49" s="164">
        <v>6.2700000000000006E-2</v>
      </c>
      <c r="E49" s="241">
        <v>1017.765</v>
      </c>
      <c r="F49" s="128">
        <f>E49*$J3</f>
        <v>1.0987778941345396</v>
      </c>
      <c r="K49" s="192"/>
      <c r="N49" s="168"/>
    </row>
    <row r="50" spans="2:14">
      <c r="B50" s="100" t="s">
        <v>41</v>
      </c>
      <c r="C50" s="245" t="s">
        <v>42</v>
      </c>
      <c r="D50" s="164">
        <v>6.0740000000000002E-2</v>
      </c>
      <c r="E50" s="241">
        <v>43.835999999999999</v>
      </c>
      <c r="F50" s="128">
        <f>E50*$J3</f>
        <v>4.7325293920779041E-2</v>
      </c>
      <c r="K50" s="192"/>
      <c r="N50" s="168"/>
    </row>
    <row r="51" spans="2:14">
      <c r="B51" s="100" t="s">
        <v>41</v>
      </c>
      <c r="C51" s="245" t="s">
        <v>40</v>
      </c>
      <c r="D51" s="164">
        <v>6.1400000000000003E-2</v>
      </c>
      <c r="E51" s="241">
        <v>3005.9609999999998</v>
      </c>
      <c r="F51" s="128">
        <f>E51*$J3</f>
        <v>3.2452319518067085</v>
      </c>
      <c r="K51" s="192"/>
      <c r="N51" s="168"/>
    </row>
    <row r="52" spans="2:14">
      <c r="B52" s="100" t="s">
        <v>41</v>
      </c>
      <c r="C52" s="245" t="s">
        <v>42</v>
      </c>
      <c r="D52" s="164">
        <v>6.3299999999999995E-2</v>
      </c>
      <c r="E52" s="241">
        <v>98.021000000000001</v>
      </c>
      <c r="F52" s="128">
        <f>E52*$J3</f>
        <v>0.10582335604089521</v>
      </c>
      <c r="K52" s="192"/>
      <c r="N52" s="168"/>
    </row>
    <row r="53" spans="2:14">
      <c r="B53" s="100" t="s">
        <v>43</v>
      </c>
      <c r="C53" s="245" t="s">
        <v>42</v>
      </c>
      <c r="D53" s="164">
        <v>5.8599999999999999E-2</v>
      </c>
      <c r="E53" s="241">
        <v>164.08</v>
      </c>
      <c r="F53" s="128">
        <f>E53*$J3</f>
        <v>0.1771405745624926</v>
      </c>
      <c r="K53" s="192"/>
      <c r="N53" s="168"/>
    </row>
    <row r="54" spans="2:14">
      <c r="B54" s="100" t="s">
        <v>44</v>
      </c>
      <c r="C54" s="245" t="s">
        <v>45</v>
      </c>
      <c r="D54" s="164">
        <v>0.22</v>
      </c>
      <c r="E54" s="241">
        <v>2381.71</v>
      </c>
      <c r="F54" s="128">
        <f>E54*$J3</f>
        <v>2.5712913081498918</v>
      </c>
      <c r="K54" s="192"/>
      <c r="N54" s="168"/>
    </row>
    <row r="55" spans="2:14">
      <c r="B55" s="100" t="s">
        <v>44</v>
      </c>
      <c r="C55" s="245" t="s">
        <v>46</v>
      </c>
      <c r="D55" s="164">
        <v>0.22</v>
      </c>
      <c r="E55" s="241">
        <v>5332.3670000000002</v>
      </c>
      <c r="F55" s="128">
        <f>E55*$J3</f>
        <v>5.7568171267556982</v>
      </c>
      <c r="K55" s="192"/>
      <c r="N55" s="168"/>
    </row>
    <row r="56" spans="2:14">
      <c r="B56" s="100" t="s">
        <v>47</v>
      </c>
      <c r="C56" s="245" t="s">
        <v>45</v>
      </c>
      <c r="D56" s="164">
        <v>0.22</v>
      </c>
      <c r="E56" s="241">
        <v>1005.854</v>
      </c>
      <c r="F56" s="128">
        <f>E56*$J3</f>
        <v>1.0859187925766787</v>
      </c>
      <c r="K56" s="192"/>
      <c r="N56" s="168"/>
    </row>
    <row r="57" spans="2:14">
      <c r="B57" s="100" t="s">
        <v>47</v>
      </c>
      <c r="C57" s="245" t="s">
        <v>45</v>
      </c>
      <c r="D57" s="164">
        <v>6.5000000000000002E-2</v>
      </c>
      <c r="E57" s="241">
        <v>569.55700000000002</v>
      </c>
      <c r="F57" s="128">
        <f>E57*$J3</f>
        <v>0.61489306573677227</v>
      </c>
      <c r="K57" s="192"/>
      <c r="N57" s="168"/>
    </row>
    <row r="58" spans="2:14">
      <c r="B58" s="100" t="s">
        <v>47</v>
      </c>
      <c r="C58" s="245" t="s">
        <v>46</v>
      </c>
      <c r="D58" s="164">
        <v>0.23499999999999999</v>
      </c>
      <c r="E58" s="241">
        <v>1847.085</v>
      </c>
      <c r="F58" s="128">
        <f>E58*$J3</f>
        <v>1.9941107884310192</v>
      </c>
      <c r="K58" s="192"/>
      <c r="N58" s="168"/>
    </row>
    <row r="59" spans="2:14">
      <c r="B59" s="100" t="s">
        <v>47</v>
      </c>
      <c r="C59" s="245" t="s">
        <v>48</v>
      </c>
      <c r="D59" s="164">
        <v>0.25</v>
      </c>
      <c r="E59" s="241">
        <v>1004.734</v>
      </c>
      <c r="F59" s="128">
        <f>E59*$J3</f>
        <v>1.0847096418970712</v>
      </c>
      <c r="K59" s="192"/>
      <c r="N59" s="168"/>
    </row>
    <row r="60" spans="2:14">
      <c r="B60" s="100" t="s">
        <v>47</v>
      </c>
      <c r="C60" s="245" t="s">
        <v>49</v>
      </c>
      <c r="D60" s="164">
        <v>5.9499999999999997E-2</v>
      </c>
      <c r="E60" s="241">
        <v>565.45699999999999</v>
      </c>
      <c r="F60" s="128">
        <f>E60*$J3</f>
        <v>0.61046671057035207</v>
      </c>
      <c r="K60" s="192"/>
      <c r="N60" s="168"/>
    </row>
    <row r="61" spans="2:14">
      <c r="B61" s="100" t="s">
        <v>47</v>
      </c>
      <c r="C61" s="245" t="s">
        <v>49</v>
      </c>
      <c r="D61" s="164">
        <v>5.9499999999999997E-2</v>
      </c>
      <c r="E61" s="241">
        <v>752.24900000000002</v>
      </c>
      <c r="F61" s="128">
        <f>E61*$J3</f>
        <v>0.81212713355717026</v>
      </c>
      <c r="K61" s="192"/>
      <c r="N61" s="168"/>
    </row>
    <row r="62" spans="2:14">
      <c r="B62" s="100" t="s">
        <v>47</v>
      </c>
      <c r="C62" s="245" t="s">
        <v>49</v>
      </c>
      <c r="D62" s="164">
        <v>5.9499999999999997E-2</v>
      </c>
      <c r="E62" s="241">
        <v>562.1</v>
      </c>
      <c r="F62" s="128">
        <f>E62*$J3</f>
        <v>0.606842497327993</v>
      </c>
      <c r="K62" s="192"/>
      <c r="N62" s="168"/>
    </row>
    <row r="63" spans="2:14">
      <c r="B63" s="100" t="s">
        <v>47</v>
      </c>
      <c r="C63" s="245" t="s">
        <v>50</v>
      </c>
      <c r="D63" s="164">
        <v>0.24</v>
      </c>
      <c r="E63" s="241">
        <v>669.92600000000004</v>
      </c>
      <c r="F63" s="128">
        <f>E63*$J3</f>
        <v>0.72325131980955881</v>
      </c>
      <c r="K63" s="192"/>
      <c r="N63" s="168"/>
    </row>
    <row r="64" spans="2:14">
      <c r="B64" s="100" t="s">
        <v>47</v>
      </c>
      <c r="C64" s="245" t="s">
        <v>51</v>
      </c>
      <c r="D64" s="164">
        <v>0.23499999999999999</v>
      </c>
      <c r="E64" s="241">
        <v>167.18100000000001</v>
      </c>
      <c r="F64" s="128">
        <f>E64*$J3</f>
        <v>0.18048841050665576</v>
      </c>
      <c r="K64" s="192"/>
      <c r="N64" s="168"/>
    </row>
    <row r="65" spans="2:14">
      <c r="B65" s="100" t="s">
        <v>52</v>
      </c>
      <c r="C65" s="245" t="s">
        <v>53</v>
      </c>
      <c r="D65" s="164">
        <v>5.5E-2</v>
      </c>
      <c r="E65" s="241">
        <v>47.802</v>
      </c>
      <c r="F65" s="128">
        <f>E65*$J3</f>
        <v>5.1606982845174738E-2</v>
      </c>
      <c r="K65" s="192"/>
      <c r="N65" s="168"/>
    </row>
    <row r="66" spans="2:14">
      <c r="B66" s="100" t="s">
        <v>52</v>
      </c>
      <c r="C66" s="245" t="s">
        <v>53</v>
      </c>
      <c r="D66" s="164">
        <v>0.05</v>
      </c>
      <c r="E66" s="241">
        <v>31.99</v>
      </c>
      <c r="F66" s="128">
        <f>E66*$J3</f>
        <v>3.4536366286288013E-2</v>
      </c>
      <c r="K66" s="192"/>
      <c r="N66" s="168"/>
    </row>
    <row r="67" spans="2:14">
      <c r="B67" s="100" t="s">
        <v>52</v>
      </c>
      <c r="C67" s="245" t="s">
        <v>53</v>
      </c>
      <c r="D67" s="164">
        <v>5.5E-2</v>
      </c>
      <c r="E67" s="241">
        <v>16.832000000000001</v>
      </c>
      <c r="F67" s="128">
        <f>E67*$J3</f>
        <v>1.817180735638637E-2</v>
      </c>
      <c r="K67" s="192"/>
      <c r="N67" s="168"/>
    </row>
    <row r="68" spans="2:14">
      <c r="B68" s="100" t="s">
        <v>52</v>
      </c>
      <c r="C68" s="245" t="s">
        <v>53</v>
      </c>
      <c r="D68" s="164">
        <v>5.5E-2</v>
      </c>
      <c r="E68" s="241">
        <v>22.248999999999999</v>
      </c>
      <c r="F68" s="128">
        <f>E68*$J3</f>
        <v>2.4019994170166366E-2</v>
      </c>
      <c r="K68" s="192"/>
      <c r="N68" s="168"/>
    </row>
    <row r="69" spans="2:14">
      <c r="B69" s="100" t="s">
        <v>52</v>
      </c>
      <c r="C69" s="245" t="s">
        <v>53</v>
      </c>
      <c r="D69" s="164">
        <v>5.9499999999999997E-2</v>
      </c>
      <c r="E69" s="241">
        <v>487.96899999999999</v>
      </c>
      <c r="F69" s="128">
        <f>E69*$J3</f>
        <v>0.52681075712265324</v>
      </c>
      <c r="K69" s="192"/>
      <c r="N69" s="168"/>
    </row>
    <row r="70" spans="2:14">
      <c r="B70" s="100" t="s">
        <v>52</v>
      </c>
      <c r="C70" s="245" t="s">
        <v>53</v>
      </c>
      <c r="D70" s="164">
        <v>5.9499999999999997E-2</v>
      </c>
      <c r="E70" s="241">
        <v>243.98400000000001</v>
      </c>
      <c r="F70" s="128">
        <f>E70*$J3</f>
        <v>0.26340483876191612</v>
      </c>
      <c r="K70" s="192"/>
      <c r="N70" s="168"/>
    </row>
    <row r="71" spans="2:14">
      <c r="B71" s="100" t="s">
        <v>52</v>
      </c>
      <c r="C71" s="245" t="s">
        <v>53</v>
      </c>
      <c r="D71" s="164">
        <v>5.9499999999999997E-2</v>
      </c>
      <c r="E71" s="241">
        <v>66.218999999999994</v>
      </c>
      <c r="F71" s="128">
        <f>E71*$J3</f>
        <v>7.1489954332969868E-2</v>
      </c>
      <c r="K71" s="192"/>
      <c r="N71" s="168"/>
    </row>
    <row r="72" spans="2:14">
      <c r="B72" s="100" t="s">
        <v>52</v>
      </c>
      <c r="C72" s="245" t="s">
        <v>53</v>
      </c>
      <c r="D72" s="164">
        <v>5.9499999999999997E-2</v>
      </c>
      <c r="E72" s="241">
        <v>100.79</v>
      </c>
      <c r="F72" s="128">
        <f>E72*$J3</f>
        <v>0.10881276517646044</v>
      </c>
      <c r="K72" s="192"/>
      <c r="N72" s="168"/>
    </row>
    <row r="73" spans="2:14">
      <c r="B73" s="100" t="s">
        <v>52</v>
      </c>
      <c r="C73" s="245" t="s">
        <v>53</v>
      </c>
      <c r="D73" s="164">
        <v>9.9500000000000005E-2</v>
      </c>
      <c r="E73" s="241">
        <v>189.01300000000001</v>
      </c>
      <c r="F73" s="128">
        <f>E73*$J3</f>
        <v>0.20405821196843255</v>
      </c>
      <c r="K73" s="192"/>
      <c r="N73" s="168"/>
    </row>
    <row r="74" spans="2:14">
      <c r="B74" s="100" t="s">
        <v>52</v>
      </c>
      <c r="C74" s="245" t="s">
        <v>53</v>
      </c>
      <c r="D74" s="164">
        <v>9.9500000000000005E-2</v>
      </c>
      <c r="E74" s="241">
        <v>521.15599999999995</v>
      </c>
      <c r="F74" s="128">
        <f>E74*$J3</f>
        <v>0.56263940319777173</v>
      </c>
      <c r="N74" s="168"/>
    </row>
    <row r="75" spans="2:14">
      <c r="B75" s="100" t="s">
        <v>52</v>
      </c>
      <c r="C75" s="245" t="s">
        <v>53</v>
      </c>
      <c r="D75" s="164">
        <v>9.9500000000000005E-2</v>
      </c>
      <c r="E75" s="241">
        <v>494.173</v>
      </c>
      <c r="F75" s="128">
        <f>E75*$J3</f>
        <v>0.53350858820862168</v>
      </c>
      <c r="N75" s="168"/>
    </row>
    <row r="76" spans="2:14">
      <c r="B76" s="100" t="s">
        <v>52</v>
      </c>
      <c r="C76" s="245" t="s">
        <v>53</v>
      </c>
      <c r="D76" s="164">
        <v>9.9500000000000005E-2</v>
      </c>
      <c r="E76" s="241">
        <v>245.768</v>
      </c>
      <c r="F76" s="128">
        <f>E76*$J3</f>
        <v>0.2653308430587194</v>
      </c>
      <c r="N76" s="168"/>
    </row>
    <row r="77" spans="2:14">
      <c r="B77" s="100" t="s">
        <v>52</v>
      </c>
      <c r="C77" s="245" t="s">
        <v>53</v>
      </c>
      <c r="D77" s="164">
        <v>9.9500000000000005E-2</v>
      </c>
      <c r="E77" s="241">
        <v>152.559</v>
      </c>
      <c r="F77" s="128">
        <f>E77*$J3</f>
        <v>0.16470251654485193</v>
      </c>
      <c r="N77" s="168"/>
    </row>
    <row r="78" spans="2:14">
      <c r="B78" s="100" t="s">
        <v>52</v>
      </c>
      <c r="C78" s="245" t="s">
        <v>53</v>
      </c>
      <c r="D78" s="164">
        <v>9.9500000000000005E-2</v>
      </c>
      <c r="E78" s="241">
        <v>251.768</v>
      </c>
      <c r="F78" s="128">
        <f>E78*$J3</f>
        <v>0.27180843598518795</v>
      </c>
      <c r="N78" s="168"/>
    </row>
    <row r="79" spans="2:14">
      <c r="B79" s="116" t="s">
        <v>33</v>
      </c>
      <c r="C79" s="163"/>
      <c r="D79" s="162"/>
      <c r="E79" s="170">
        <f>SUM(E46:E78)</f>
        <v>85852.525999999983</v>
      </c>
      <c r="F79" s="171">
        <f>SUM(F46:F78)</f>
        <v>92.686285856175829</v>
      </c>
    </row>
    <row r="80" spans="2:14">
      <c r="B80" s="172" t="s">
        <v>54</v>
      </c>
      <c r="C80" s="173"/>
      <c r="D80" s="174"/>
      <c r="E80" s="175">
        <f>E79-C13</f>
        <v>0</v>
      </c>
      <c r="F80" s="171"/>
    </row>
    <row r="81" spans="2:12">
      <c r="B81" s="100"/>
      <c r="C81" s="163"/>
      <c r="D81" s="162"/>
      <c r="E81" s="168"/>
      <c r="F81" s="157"/>
    </row>
    <row r="82" spans="2:12">
      <c r="B82" s="116" t="s">
        <v>55</v>
      </c>
      <c r="C82" s="163"/>
      <c r="D82" s="162"/>
      <c r="E82" s="168"/>
      <c r="F82" s="157"/>
    </row>
    <row r="83" spans="2:12">
      <c r="B83" s="100" t="s">
        <v>41</v>
      </c>
      <c r="C83" s="245" t="s">
        <v>42</v>
      </c>
      <c r="D83" s="164">
        <v>6.0699999999999997E-2</v>
      </c>
      <c r="E83" s="241">
        <v>6746.067</v>
      </c>
      <c r="F83" s="128">
        <f>E83*$J3</f>
        <v>7.2830459801137897</v>
      </c>
      <c r="L83" s="168"/>
    </row>
    <row r="84" spans="2:12">
      <c r="B84" s="100" t="s">
        <v>41</v>
      </c>
      <c r="C84" s="245" t="s">
        <v>42</v>
      </c>
      <c r="D84" s="164">
        <v>6.3299999999999995E-2</v>
      </c>
      <c r="E84" s="241">
        <v>5989.2809999999999</v>
      </c>
      <c r="F84" s="128">
        <f>E84*$J3</f>
        <v>6.4660207067053888</v>
      </c>
      <c r="L84" s="168"/>
    </row>
    <row r="85" spans="2:12">
      <c r="B85" s="100" t="s">
        <v>43</v>
      </c>
      <c r="C85" s="245" t="s">
        <v>42</v>
      </c>
      <c r="D85" s="164">
        <v>5.8599999999999999E-2</v>
      </c>
      <c r="E85" s="241">
        <v>16000</v>
      </c>
      <c r="F85" s="128">
        <f>E85*$J3</f>
        <v>17.273581137249398</v>
      </c>
      <c r="L85" s="168"/>
    </row>
    <row r="86" spans="2:12">
      <c r="B86" s="100" t="s">
        <v>52</v>
      </c>
      <c r="C86" s="245" t="s">
        <v>53</v>
      </c>
      <c r="D86" s="164">
        <v>5.5E-2</v>
      </c>
      <c r="E86" s="241">
        <v>3120.078</v>
      </c>
      <c r="F86" s="128">
        <f>E86*$J3</f>
        <v>3.3684325304716767</v>
      </c>
      <c r="L86" s="168"/>
    </row>
    <row r="87" spans="2:12">
      <c r="B87" s="100" t="s">
        <v>52</v>
      </c>
      <c r="C87" s="245" t="s">
        <v>53</v>
      </c>
      <c r="D87" s="164">
        <v>0.05</v>
      </c>
      <c r="E87" s="241">
        <v>6244.4880000000003</v>
      </c>
      <c r="F87" s="128">
        <f>E87*$J3</f>
        <v>6.7415418830362643</v>
      </c>
      <c r="L87" s="168"/>
    </row>
    <row r="88" spans="2:12">
      <c r="B88" s="100" t="s">
        <v>52</v>
      </c>
      <c r="C88" s="245" t="s">
        <v>53</v>
      </c>
      <c r="D88" s="164">
        <v>5.5E-2</v>
      </c>
      <c r="E88" s="241">
        <v>1147.615</v>
      </c>
      <c r="F88" s="128">
        <f>E88*$J3</f>
        <v>1.2389638010515294</v>
      </c>
      <c r="L88" s="168"/>
    </row>
    <row r="89" spans="2:12">
      <c r="B89" s="100" t="s">
        <v>52</v>
      </c>
      <c r="C89" s="245" t="s">
        <v>53</v>
      </c>
      <c r="D89" s="164">
        <v>5.5E-2</v>
      </c>
      <c r="E89" s="241">
        <v>1032.8530000000001</v>
      </c>
      <c r="F89" s="128">
        <f>E89*$J3</f>
        <v>1.1150668811469659</v>
      </c>
      <c r="L89" s="168"/>
    </row>
    <row r="90" spans="2:12">
      <c r="B90" s="116" t="s">
        <v>33</v>
      </c>
      <c r="C90" s="163"/>
      <c r="D90" s="162"/>
      <c r="E90" s="170">
        <f>SUM(E83:E89)</f>
        <v>40280.381999999998</v>
      </c>
      <c r="F90" s="171">
        <f>SUM(F83:F89)</f>
        <v>43.486652919775018</v>
      </c>
    </row>
    <row r="91" spans="2:12" ht="15.75" thickBot="1">
      <c r="B91" s="176" t="s">
        <v>54</v>
      </c>
      <c r="C91" s="177"/>
      <c r="D91" s="178"/>
      <c r="E91" s="179">
        <f>E90-C9</f>
        <v>0</v>
      </c>
      <c r="F91" s="107"/>
    </row>
    <row r="93" spans="2:12" ht="15.75" thickBot="1"/>
    <row r="94" spans="2:12" ht="15.75" thickBot="1">
      <c r="B94" s="246" t="s">
        <v>56</v>
      </c>
      <c r="C94" s="247"/>
      <c r="D94" s="247"/>
      <c r="E94" s="248"/>
      <c r="F94" s="249"/>
    </row>
    <row r="95" spans="2:12">
      <c r="B95" s="250" t="s">
        <v>35</v>
      </c>
      <c r="C95" s="251"/>
      <c r="D95" s="251" t="s">
        <v>37</v>
      </c>
      <c r="E95" s="251" t="s">
        <v>4</v>
      </c>
      <c r="F95" s="252" t="s">
        <v>6</v>
      </c>
    </row>
    <row r="96" spans="2:12">
      <c r="B96" s="116" t="s">
        <v>38</v>
      </c>
      <c r="D96" s="156"/>
      <c r="F96" s="157"/>
    </row>
    <row r="97" spans="2:11">
      <c r="B97" s="100" t="s">
        <v>57</v>
      </c>
      <c r="C97" s="163"/>
      <c r="D97" s="164">
        <v>2.8999999999999998E-2</v>
      </c>
      <c r="E97" s="241">
        <v>483.51299999999998</v>
      </c>
      <c r="F97" s="128">
        <f>E97*$J3</f>
        <v>0.52200006477592931</v>
      </c>
      <c r="K97" s="168"/>
    </row>
    <row r="98" spans="2:11">
      <c r="B98" s="100" t="s">
        <v>57</v>
      </c>
      <c r="C98" s="163"/>
      <c r="D98" s="164">
        <v>1.2E-2</v>
      </c>
      <c r="E98" s="241">
        <v>30294.075000000001</v>
      </c>
      <c r="F98" s="128">
        <f>E98*$J3</f>
        <v>32.705447655651163</v>
      </c>
      <c r="K98" s="168"/>
    </row>
    <row r="99" spans="2:11">
      <c r="B99" s="100" t="s">
        <v>57</v>
      </c>
      <c r="C99" s="163"/>
      <c r="D99" s="164">
        <v>1.6E-2</v>
      </c>
      <c r="E99" s="241">
        <v>703.23900000000003</v>
      </c>
      <c r="F99" s="128">
        <f>E99*$J3</f>
        <v>0.75921599533613315</v>
      </c>
      <c r="K99" s="168"/>
    </row>
    <row r="100" spans="2:11">
      <c r="B100" s="100" t="s">
        <v>57</v>
      </c>
      <c r="C100" s="163"/>
      <c r="D100" s="164">
        <v>3.3500000000000002E-2</v>
      </c>
      <c r="E100" s="241">
        <v>2797.4659999999999</v>
      </c>
      <c r="F100" s="128">
        <f>E100*$J3</f>
        <v>3.0201409956060328</v>
      </c>
      <c r="K100" s="168"/>
    </row>
    <row r="101" spans="2:11">
      <c r="B101" s="100" t="s">
        <v>57</v>
      </c>
      <c r="C101" s="163"/>
      <c r="D101" s="164">
        <v>2.7E-2</v>
      </c>
      <c r="E101" s="241">
        <v>133.517</v>
      </c>
      <c r="F101" s="128">
        <f>E101*$J3</f>
        <v>0.14414479579388301</v>
      </c>
      <c r="K101" s="168"/>
    </row>
    <row r="102" spans="2:11">
      <c r="B102" s="100" t="s">
        <v>57</v>
      </c>
      <c r="C102" s="163"/>
      <c r="D102" s="164">
        <v>3.3500000000000002E-2</v>
      </c>
      <c r="E102" s="241">
        <v>139.346</v>
      </c>
      <c r="F102" s="128">
        <f>E102*$J3</f>
        <v>0.15043777732194719</v>
      </c>
      <c r="K102" s="168"/>
    </row>
    <row r="103" spans="2:11">
      <c r="B103" s="116" t="s">
        <v>33</v>
      </c>
      <c r="C103" s="163"/>
      <c r="D103" s="162"/>
      <c r="E103" s="170">
        <f>SUM(E97:E102)</f>
        <v>34551.155999999995</v>
      </c>
      <c r="F103" s="171">
        <f>SUM(F97:F102)</f>
        <v>37.301387284485095</v>
      </c>
    </row>
    <row r="104" spans="2:11">
      <c r="B104" s="172" t="s">
        <v>54</v>
      </c>
      <c r="C104" s="173"/>
      <c r="D104" s="174"/>
      <c r="E104" s="175">
        <f>E103-C14</f>
        <v>0</v>
      </c>
      <c r="F104" s="171"/>
    </row>
    <row r="105" spans="2:11">
      <c r="B105" s="100"/>
      <c r="C105" s="163"/>
      <c r="D105" s="162"/>
      <c r="E105" s="168"/>
      <c r="F105" s="157"/>
    </row>
    <row r="106" spans="2:11">
      <c r="B106" s="116" t="s">
        <v>55</v>
      </c>
      <c r="C106" s="163"/>
      <c r="D106" s="162"/>
      <c r="E106" s="168"/>
      <c r="F106" s="157"/>
      <c r="K106" s="168"/>
    </row>
    <row r="107" spans="2:11">
      <c r="B107" s="100" t="s">
        <v>57</v>
      </c>
      <c r="C107" s="163"/>
      <c r="D107" s="164">
        <v>2.8999999999999998E-2</v>
      </c>
      <c r="E107" s="241">
        <v>119628.136</v>
      </c>
      <c r="F107" s="128">
        <f>E107*$J3</f>
        <v>129.1503945933691</v>
      </c>
      <c r="K107" s="168"/>
    </row>
    <row r="108" spans="2:11">
      <c r="B108" s="100" t="s">
        <v>57</v>
      </c>
      <c r="C108" s="163"/>
      <c r="D108" s="164">
        <v>1.2E-2</v>
      </c>
      <c r="E108" s="241">
        <v>14984.664000000001</v>
      </c>
      <c r="F108" s="128">
        <f>E108*$J3</f>
        <v>16.177425588651257</v>
      </c>
      <c r="K108" s="168"/>
    </row>
    <row r="109" spans="2:11">
      <c r="B109" s="100" t="s">
        <v>57</v>
      </c>
      <c r="C109" s="163"/>
      <c r="D109" s="164">
        <v>1.6E-2</v>
      </c>
      <c r="E109" s="241">
        <v>80599.740999999995</v>
      </c>
      <c r="F109" s="128">
        <f>E109*$J3</f>
        <v>87.015385362799179</v>
      </c>
      <c r="K109" s="168"/>
    </row>
    <row r="110" spans="2:11">
      <c r="B110" s="100" t="s">
        <v>57</v>
      </c>
      <c r="C110" s="163"/>
      <c r="D110" s="164">
        <v>3.3500000000000002E-2</v>
      </c>
      <c r="E110" s="241">
        <v>552252.38199999998</v>
      </c>
      <c r="F110" s="128">
        <f>E110*$J3</f>
        <v>596.21102054476557</v>
      </c>
      <c r="K110" s="168"/>
    </row>
    <row r="111" spans="2:11">
      <c r="B111" s="100" t="s">
        <v>57</v>
      </c>
      <c r="C111" s="163"/>
      <c r="D111" s="164">
        <v>2.7E-2</v>
      </c>
      <c r="E111" s="241">
        <v>158683.13</v>
      </c>
      <c r="F111" s="128">
        <f>E111*$J3</f>
        <v>171.3141200729809</v>
      </c>
      <c r="K111" s="168"/>
    </row>
    <row r="112" spans="2:11">
      <c r="B112" s="100" t="s">
        <v>57</v>
      </c>
      <c r="C112" s="163"/>
      <c r="D112" s="164">
        <v>3.3500000000000002E-2</v>
      </c>
      <c r="E112" s="241">
        <v>79837.224000000002</v>
      </c>
      <c r="F112" s="128">
        <f>E112*$J3</f>
        <v>86.192172908547192</v>
      </c>
    </row>
    <row r="113" spans="1:12">
      <c r="B113" s="116" t="s">
        <v>33</v>
      </c>
      <c r="C113" s="163"/>
      <c r="D113" s="162"/>
      <c r="E113" s="170">
        <f>SUM(E107:E112)</f>
        <v>1005985.277</v>
      </c>
      <c r="F113" s="171">
        <f>SUM(F107:F112)</f>
        <v>1086.0605190711133</v>
      </c>
    </row>
    <row r="114" spans="1:12" ht="15.75" thickBot="1">
      <c r="B114" s="176" t="s">
        <v>54</v>
      </c>
      <c r="C114" s="177"/>
      <c r="D114" s="178"/>
      <c r="E114" s="179">
        <f>E113-C10</f>
        <v>0</v>
      </c>
      <c r="F114" s="107"/>
    </row>
    <row r="115" spans="1:12">
      <c r="B115" s="230"/>
      <c r="C115" s="173"/>
      <c r="D115" s="174"/>
      <c r="E115" s="175"/>
    </row>
    <row r="116" spans="1:12">
      <c r="B116" s="230"/>
      <c r="C116" s="173"/>
      <c r="D116" s="174"/>
      <c r="E116" s="175"/>
    </row>
    <row r="118" spans="1:12">
      <c r="A118" s="15" t="s">
        <v>58</v>
      </c>
      <c r="D118" s="1"/>
      <c r="I118" s="6" t="s">
        <v>1</v>
      </c>
      <c r="J118" s="154">
        <f>Model!$I$203</f>
        <v>1.0795988210780874E-3</v>
      </c>
    </row>
    <row r="119" spans="1:12">
      <c r="D119" s="1"/>
      <c r="I119" s="6" t="s">
        <v>2</v>
      </c>
      <c r="J119" s="154">
        <f>Model!$I$204</f>
        <v>1.068276097096097E-3</v>
      </c>
    </row>
    <row r="120" spans="1:12" ht="15.75" thickBot="1">
      <c r="D120" s="1"/>
      <c r="I120" s="2"/>
      <c r="J120" s="114"/>
    </row>
    <row r="121" spans="1:12">
      <c r="B121" s="298" t="s">
        <v>59</v>
      </c>
      <c r="C121" s="297" t="s">
        <v>4</v>
      </c>
      <c r="D121" s="297" t="s">
        <v>5</v>
      </c>
      <c r="E121" s="297" t="s">
        <v>6</v>
      </c>
      <c r="F121" s="297" t="s">
        <v>5</v>
      </c>
      <c r="I121" s="253" t="s">
        <v>7</v>
      </c>
      <c r="J121" s="254" t="s">
        <v>4</v>
      </c>
    </row>
    <row r="122" spans="1:12">
      <c r="B122" s="13"/>
      <c r="C122" s="94"/>
      <c r="D122" s="14"/>
      <c r="E122" s="95"/>
      <c r="I122" s="255" t="s">
        <v>8</v>
      </c>
      <c r="J122" s="259">
        <v>1281541</v>
      </c>
    </row>
    <row r="123" spans="1:12" ht="15.75" thickBot="1">
      <c r="B123" s="299" t="s">
        <v>9</v>
      </c>
      <c r="C123" s="96">
        <f>SUM(C124:C125)</f>
        <v>1032196.455</v>
      </c>
      <c r="D123" s="14"/>
      <c r="E123" s="96">
        <f>SUM(E124:E125)</f>
        <v>1114.3580759389811</v>
      </c>
      <c r="I123" s="256" t="s">
        <v>10</v>
      </c>
      <c r="J123" s="260">
        <v>762365</v>
      </c>
    </row>
    <row r="124" spans="1:12" ht="15.75" thickBot="1">
      <c r="B124" s="13" t="s">
        <v>11</v>
      </c>
      <c r="C124" s="52">
        <v>39713.245000000003</v>
      </c>
      <c r="D124" s="14"/>
      <c r="E124" s="95">
        <f>C124*J118</f>
        <v>42.874372483185255</v>
      </c>
      <c r="I124" s="258" t="s">
        <v>12</v>
      </c>
      <c r="J124" s="257">
        <v>2.0299999999999998</v>
      </c>
    </row>
    <row r="125" spans="1:12">
      <c r="B125" s="13" t="s">
        <v>14</v>
      </c>
      <c r="C125" s="52">
        <v>992483.21</v>
      </c>
      <c r="D125" s="14"/>
      <c r="E125" s="95">
        <f>C125*J118</f>
        <v>1071.4837034557959</v>
      </c>
    </row>
    <row r="126" spans="1:12">
      <c r="B126" s="13"/>
      <c r="C126" s="94"/>
      <c r="D126" s="14"/>
      <c r="E126" s="95"/>
    </row>
    <row r="127" spans="1:12">
      <c r="B127" s="299" t="s">
        <v>15</v>
      </c>
      <c r="C127" s="96">
        <f>SUM(C128:C129)</f>
        <v>165875.535</v>
      </c>
      <c r="D127" s="14"/>
      <c r="E127" s="96">
        <f>SUM(E128:E129)</f>
        <v>179.07903203169701</v>
      </c>
      <c r="K127" s="13"/>
      <c r="L127" s="94"/>
    </row>
    <row r="128" spans="1:12">
      <c r="B128" s="13" t="s">
        <v>11</v>
      </c>
      <c r="C128" s="52">
        <v>124816.755</v>
      </c>
      <c r="D128" s="14"/>
      <c r="E128" s="95">
        <f>C128*J118</f>
        <v>134.75202154879247</v>
      </c>
      <c r="K128" s="13"/>
      <c r="L128" s="94"/>
    </row>
    <row r="129" spans="2:6">
      <c r="B129" s="13" t="s">
        <v>14</v>
      </c>
      <c r="C129" s="52">
        <v>41058.78</v>
      </c>
      <c r="D129" s="14"/>
      <c r="E129" s="95">
        <f>C129*J118</f>
        <v>44.327010482904555</v>
      </c>
    </row>
    <row r="130" spans="2:6">
      <c r="B130" s="13"/>
      <c r="C130" s="52"/>
      <c r="D130" s="14"/>
      <c r="E130" s="95"/>
    </row>
    <row r="131" spans="2:6">
      <c r="B131" s="2" t="s">
        <v>16</v>
      </c>
      <c r="C131" s="96">
        <f>SUM(C132:C133)</f>
        <v>51922.649000000005</v>
      </c>
      <c r="D131" s="14"/>
      <c r="E131" s="96">
        <f>SUM(E132:E133)</f>
        <v>56.055630647651341</v>
      </c>
    </row>
    <row r="132" spans="2:6">
      <c r="B132" s="6" t="s">
        <v>17</v>
      </c>
      <c r="C132" s="7">
        <f>Model!$AD$111</f>
        <v>9689.8700000000008</v>
      </c>
      <c r="D132" s="14"/>
      <c r="E132" s="95">
        <f>C132*J118</f>
        <v>10.461172228399928</v>
      </c>
    </row>
    <row r="133" spans="2:6">
      <c r="B133" s="6" t="s">
        <v>18</v>
      </c>
      <c r="C133" s="7">
        <f>Model!$AD$112</f>
        <v>42232.779000000002</v>
      </c>
      <c r="D133" s="14"/>
      <c r="E133" s="95">
        <f>C133*J118</f>
        <v>45.59445841925141</v>
      </c>
    </row>
    <row r="134" spans="2:6">
      <c r="B134" s="13"/>
      <c r="C134" s="94"/>
      <c r="D134" s="14"/>
      <c r="E134" s="95"/>
    </row>
    <row r="135" spans="2:6">
      <c r="B135" s="300" t="s">
        <v>19</v>
      </c>
      <c r="C135" s="11">
        <f>C127+C123+C131</f>
        <v>1249994.639</v>
      </c>
      <c r="D135" s="10">
        <f>C135/C140</f>
        <v>3.3226161552914308</v>
      </c>
      <c r="E135" s="11">
        <f>E127+E123+E131</f>
        <v>1349.4927386183292</v>
      </c>
      <c r="F135" s="10">
        <f>E135/E140</f>
        <v>3.3578327680441937</v>
      </c>
    </row>
    <row r="136" spans="2:6">
      <c r="B136" s="6" t="s">
        <v>20</v>
      </c>
      <c r="C136" s="120">
        <f>Model!AD$119</f>
        <v>519175.929</v>
      </c>
      <c r="D136" s="121"/>
      <c r="E136" s="95">
        <f>C136*J118</f>
        <v>560.50172088052079</v>
      </c>
    </row>
    <row r="137" spans="2:6">
      <c r="B137" s="300" t="s">
        <v>21</v>
      </c>
      <c r="C137" s="11">
        <f>C135-C136</f>
        <v>730818.71</v>
      </c>
      <c r="D137" s="10">
        <f>C137/C140</f>
        <v>1.9425923733383652</v>
      </c>
      <c r="E137" s="11">
        <f>E135-E136</f>
        <v>788.99101773780842</v>
      </c>
      <c r="F137" s="10">
        <f>E137/E140</f>
        <v>1.9631820292453164</v>
      </c>
    </row>
    <row r="138" spans="2:6" s="158" customFormat="1">
      <c r="B138" s="6" t="s">
        <v>22</v>
      </c>
      <c r="C138" s="120">
        <f>Model!AD$123</f>
        <v>1616460.503</v>
      </c>
      <c r="D138" s="121"/>
      <c r="E138" s="95">
        <f>C138*J118</f>
        <v>1745.1288533580923</v>
      </c>
    </row>
    <row r="139" spans="2:6">
      <c r="B139" s="2" t="s">
        <v>23</v>
      </c>
      <c r="C139" s="9">
        <f>C137+C138</f>
        <v>2347279.213</v>
      </c>
      <c r="D139" s="8"/>
      <c r="E139" s="9">
        <f>E137+E138</f>
        <v>2534.1198710959006</v>
      </c>
    </row>
    <row r="140" spans="2:6" s="301" customFormat="1">
      <c r="B140" s="2" t="s">
        <v>24</v>
      </c>
      <c r="C140" s="44">
        <f>Model!AD$86</f>
        <v>376207.95799999998</v>
      </c>
      <c r="D140" s="2"/>
      <c r="E140" s="97">
        <f>C140*J119</f>
        <v>401.89396906873236</v>
      </c>
    </row>
    <row r="141" spans="2:6">
      <c r="B141" s="5" t="s">
        <v>25</v>
      </c>
      <c r="C141" s="4">
        <f>+C135-Model!AD$118</f>
        <v>0</v>
      </c>
      <c r="D141" s="3"/>
    </row>
    <row r="142" spans="2:6">
      <c r="D142" s="1"/>
    </row>
    <row r="143" spans="2:6" ht="15.75" thickBot="1">
      <c r="B143" s="2"/>
      <c r="C143" s="98"/>
      <c r="D143" s="1"/>
    </row>
    <row r="144" spans="2:6">
      <c r="B144" s="236" t="s">
        <v>60</v>
      </c>
      <c r="C144" s="232" t="s">
        <v>4</v>
      </c>
      <c r="D144" s="237" t="s">
        <v>6</v>
      </c>
    </row>
    <row r="145" spans="2:14">
      <c r="B145" s="101" t="s">
        <v>20</v>
      </c>
      <c r="C145" s="110">
        <f>C136</f>
        <v>519175.929</v>
      </c>
      <c r="D145" s="113">
        <f>C145*J118</f>
        <v>560.50172088052079</v>
      </c>
    </row>
    <row r="146" spans="2:14" ht="15.75" thickBot="1">
      <c r="B146" s="102" t="s">
        <v>27</v>
      </c>
      <c r="C146" s="111">
        <f>SUM(C145:C145)</f>
        <v>519175.929</v>
      </c>
      <c r="D146" s="112">
        <f>SUM(D145:D145)</f>
        <v>560.50172088052079</v>
      </c>
    </row>
    <row r="147" spans="2:14">
      <c r="B147" s="2"/>
      <c r="C147" s="98"/>
      <c r="D147" s="96"/>
    </row>
    <row r="148" spans="2:14" ht="15.75" thickBot="1">
      <c r="B148" s="2"/>
      <c r="C148" s="2"/>
      <c r="D148" s="2"/>
      <c r="E148" s="96"/>
    </row>
    <row r="149" spans="2:14">
      <c r="B149" s="236" t="s">
        <v>28</v>
      </c>
      <c r="C149" s="232" t="s">
        <v>4</v>
      </c>
      <c r="D149" s="238" t="s">
        <v>6</v>
      </c>
    </row>
    <row r="150" spans="2:14">
      <c r="B150" s="239" t="s">
        <v>29</v>
      </c>
      <c r="C150" s="240">
        <f>C128+C129</f>
        <v>165875.535</v>
      </c>
      <c r="D150" s="128">
        <f>C150*$J118</f>
        <v>179.07903203169704</v>
      </c>
    </row>
    <row r="151" spans="2:14">
      <c r="B151" s="100" t="s">
        <v>30</v>
      </c>
      <c r="C151" s="241">
        <f>32300.106+14986.219</f>
        <v>47286.324999999997</v>
      </c>
      <c r="D151" s="128">
        <f>C151*$J118</f>
        <v>51.050260723115287</v>
      </c>
    </row>
    <row r="152" spans="2:14">
      <c r="B152" s="100" t="s">
        <v>31</v>
      </c>
      <c r="C152" s="241">
        <f>3781.196+80441.606</f>
        <v>84222.801999999996</v>
      </c>
      <c r="D152" s="128">
        <f>C152*$J118</f>
        <v>90.926837747093174</v>
      </c>
    </row>
    <row r="153" spans="2:14">
      <c r="B153" s="243" t="s">
        <v>32</v>
      </c>
      <c r="C153" s="242">
        <f>897055.385+3631.943</f>
        <v>900687.32799999998</v>
      </c>
      <c r="D153" s="128">
        <f>C153*$J118</f>
        <v>972.38097746877258</v>
      </c>
    </row>
    <row r="154" spans="2:14" ht="15.75" thickBot="1">
      <c r="B154" s="102" t="s">
        <v>33</v>
      </c>
      <c r="C154" s="244">
        <f>SUM(C150:C153)</f>
        <v>1198071.99</v>
      </c>
      <c r="D154" s="132">
        <f>SUM(D150:D153)</f>
        <v>1293.437107970678</v>
      </c>
    </row>
    <row r="155" spans="2:14">
      <c r="B155" s="5" t="s">
        <v>25</v>
      </c>
      <c r="C155" s="4">
        <f>C154-C123-C127</f>
        <v>0</v>
      </c>
      <c r="D155" s="98"/>
      <c r="E155" s="96"/>
    </row>
    <row r="156" spans="2:14">
      <c r="D156" s="1"/>
    </row>
    <row r="157" spans="2:14" ht="15.75" thickBot="1">
      <c r="D157" s="1"/>
    </row>
    <row r="158" spans="2:14" ht="15.75" thickBot="1">
      <c r="B158" s="246" t="s">
        <v>34</v>
      </c>
      <c r="C158" s="247"/>
      <c r="D158" s="247"/>
      <c r="E158" s="248"/>
      <c r="F158" s="249"/>
    </row>
    <row r="159" spans="2:14">
      <c r="B159" s="250" t="s">
        <v>35</v>
      </c>
      <c r="C159" s="251" t="s">
        <v>36</v>
      </c>
      <c r="D159" s="251" t="s">
        <v>37</v>
      </c>
      <c r="E159" s="251" t="s">
        <v>4</v>
      </c>
      <c r="F159" s="252" t="s">
        <v>6</v>
      </c>
    </row>
    <row r="160" spans="2:14">
      <c r="B160" s="116" t="s">
        <v>38</v>
      </c>
      <c r="D160" s="156"/>
      <c r="F160" s="157"/>
      <c r="N160" s="168"/>
    </row>
    <row r="161" spans="2:14">
      <c r="B161" s="100" t="s">
        <v>61</v>
      </c>
      <c r="C161" s="245" t="s">
        <v>42</v>
      </c>
      <c r="D161" s="164">
        <v>5.8200000000000002E-2</v>
      </c>
      <c r="E161" s="241">
        <v>34978.909</v>
      </c>
      <c r="F161" s="128">
        <f>E161*$J$118</f>
        <v>37.763188918997699</v>
      </c>
      <c r="N161" s="168"/>
    </row>
    <row r="162" spans="2:14">
      <c r="B162" s="100" t="s">
        <v>39</v>
      </c>
      <c r="C162" s="245" t="s">
        <v>40</v>
      </c>
      <c r="D162" s="164">
        <v>1.43E-2</v>
      </c>
      <c r="E162" s="241">
        <v>59235.273000000001</v>
      </c>
      <c r="F162" s="128">
        <f>E162*$J$118</f>
        <v>63.950330897038668</v>
      </c>
      <c r="N162" s="168"/>
    </row>
    <row r="163" spans="2:14">
      <c r="B163" s="100" t="s">
        <v>41</v>
      </c>
      <c r="C163" s="245" t="s">
        <v>40</v>
      </c>
      <c r="D163" s="164">
        <v>5.4600000000000003E-2</v>
      </c>
      <c r="E163" s="241">
        <v>2021.537</v>
      </c>
      <c r="F163" s="128">
        <f t="shared" ref="F163:F195" si="0">E163*$J$118</f>
        <v>2.1824489619657337</v>
      </c>
      <c r="K163" s="192"/>
      <c r="N163" s="168"/>
    </row>
    <row r="164" spans="2:14">
      <c r="B164" s="100" t="s">
        <v>41</v>
      </c>
      <c r="C164" s="245" t="s">
        <v>42</v>
      </c>
      <c r="D164" s="164">
        <v>6.2E-2</v>
      </c>
      <c r="E164" s="241">
        <v>2004.133</v>
      </c>
      <c r="F164" s="128">
        <f>E164*$J$118</f>
        <v>2.1636596240836905</v>
      </c>
      <c r="K164" s="192"/>
      <c r="N164" s="168"/>
    </row>
    <row r="165" spans="2:14">
      <c r="B165" s="100" t="s">
        <v>41</v>
      </c>
      <c r="C165" s="245" t="s">
        <v>42</v>
      </c>
      <c r="D165" s="164">
        <v>6.2700000000000006E-2</v>
      </c>
      <c r="E165" s="241">
        <v>1002.09</v>
      </c>
      <c r="F165" s="128">
        <f t="shared" si="0"/>
        <v>1.0818551826141407</v>
      </c>
      <c r="K165" s="192"/>
      <c r="N165" s="168"/>
    </row>
    <row r="166" spans="2:14">
      <c r="B166" s="100" t="s">
        <v>41</v>
      </c>
      <c r="C166" s="245" t="s">
        <v>42</v>
      </c>
      <c r="D166" s="164">
        <v>6.0740000000000002E-2</v>
      </c>
      <c r="E166" s="241">
        <v>2.863</v>
      </c>
      <c r="F166" s="128">
        <f t="shared" si="0"/>
        <v>3.0908914247465644E-3</v>
      </c>
      <c r="K166" s="192"/>
      <c r="N166" s="168"/>
    </row>
    <row r="167" spans="2:14">
      <c r="B167" s="100" t="s">
        <v>41</v>
      </c>
      <c r="C167" s="245" t="s">
        <v>40</v>
      </c>
      <c r="D167" s="164">
        <v>6.1400000000000003E-2</v>
      </c>
      <c r="E167" s="241">
        <v>3053.7289999999998</v>
      </c>
      <c r="F167" s="128">
        <f t="shared" si="0"/>
        <v>3.2968022282919667</v>
      </c>
      <c r="K167" s="192"/>
      <c r="N167" s="168"/>
    </row>
    <row r="168" spans="2:14">
      <c r="B168" s="100" t="s">
        <v>41</v>
      </c>
      <c r="C168" s="245" t="s">
        <v>42</v>
      </c>
      <c r="D168" s="164">
        <v>6.3299999999999995E-2</v>
      </c>
      <c r="E168" s="241">
        <v>3.0710000000000002</v>
      </c>
      <c r="F168" s="128">
        <f t="shared" si="0"/>
        <v>3.3154479795308067E-3</v>
      </c>
      <c r="K168" s="192"/>
      <c r="N168" s="168"/>
    </row>
    <row r="169" spans="2:14">
      <c r="B169" s="100" t="s">
        <v>43</v>
      </c>
      <c r="C169" s="245" t="s">
        <v>42</v>
      </c>
      <c r="D169" s="164">
        <v>5.8599999999999999E-2</v>
      </c>
      <c r="E169" s="241">
        <v>31.253</v>
      </c>
      <c r="F169" s="128">
        <f t="shared" si="0"/>
        <v>3.3740701955153468E-2</v>
      </c>
      <c r="K169" s="192"/>
      <c r="N169" s="168"/>
    </row>
    <row r="170" spans="2:14">
      <c r="B170" s="100" t="s">
        <v>44</v>
      </c>
      <c r="C170" s="245" t="s">
        <v>50</v>
      </c>
      <c r="D170" s="164">
        <v>0.28000000000000003</v>
      </c>
      <c r="E170" s="241">
        <v>6340.0519999999997</v>
      </c>
      <c r="F170" s="128">
        <f t="shared" si="0"/>
        <v>6.8447126647737697</v>
      </c>
      <c r="K170" s="192"/>
      <c r="N170" s="168"/>
    </row>
    <row r="171" spans="2:14">
      <c r="B171" s="100" t="s">
        <v>44</v>
      </c>
      <c r="C171" s="245" t="s">
        <v>46</v>
      </c>
      <c r="D171" s="164">
        <v>0.36</v>
      </c>
      <c r="E171" s="241">
        <v>418.13900000000001</v>
      </c>
      <c r="F171" s="128">
        <f t="shared" si="0"/>
        <v>0.45142237144677039</v>
      </c>
      <c r="K171" s="192"/>
      <c r="N171" s="168"/>
    </row>
    <row r="172" spans="2:14">
      <c r="B172" s="100" t="s">
        <v>44</v>
      </c>
      <c r="C172" s="245" t="s">
        <v>48</v>
      </c>
      <c r="D172" s="164">
        <v>0.32</v>
      </c>
      <c r="E172" s="241">
        <v>6014.451</v>
      </c>
      <c r="F172" s="128">
        <f t="shared" si="0"/>
        <v>6.4931942090319241</v>
      </c>
      <c r="K172" s="192"/>
      <c r="N172" s="168"/>
    </row>
    <row r="173" spans="2:14">
      <c r="B173" s="100" t="s">
        <v>62</v>
      </c>
      <c r="C173" s="245" t="s">
        <v>45</v>
      </c>
      <c r="D173" s="164">
        <v>0.28000000000000003</v>
      </c>
      <c r="E173" s="241">
        <v>28.291</v>
      </c>
      <c r="F173" s="128">
        <f t="shared" si="0"/>
        <v>3.0542930247120171E-2</v>
      </c>
      <c r="K173" s="192"/>
      <c r="N173" s="168"/>
    </row>
    <row r="174" spans="2:14">
      <c r="B174" s="100" t="s">
        <v>62</v>
      </c>
      <c r="C174" s="245" t="s">
        <v>46</v>
      </c>
      <c r="D174" s="164">
        <v>0.32</v>
      </c>
      <c r="E174" s="241">
        <v>2228.4969999999998</v>
      </c>
      <c r="F174" s="128">
        <f t="shared" si="0"/>
        <v>2.4058827339760542</v>
      </c>
      <c r="K174" s="192"/>
      <c r="N174" s="168"/>
    </row>
    <row r="175" spans="2:14">
      <c r="B175" s="100" t="s">
        <v>47</v>
      </c>
      <c r="C175" s="245" t="s">
        <v>49</v>
      </c>
      <c r="D175" s="164">
        <v>7.0000000000000007E-2</v>
      </c>
      <c r="E175" s="241">
        <v>275.68799999999999</v>
      </c>
      <c r="F175" s="128">
        <f t="shared" si="0"/>
        <v>0.29763243978537574</v>
      </c>
      <c r="K175" s="192"/>
      <c r="N175" s="168"/>
    </row>
    <row r="176" spans="2:14">
      <c r="B176" s="100" t="s">
        <v>47</v>
      </c>
      <c r="C176" s="245" t="s">
        <v>49</v>
      </c>
      <c r="D176" s="164">
        <v>7.0000000000000007E-2</v>
      </c>
      <c r="E176" s="241">
        <v>275.68799999999999</v>
      </c>
      <c r="F176" s="128">
        <f t="shared" si="0"/>
        <v>0.29763243978537574</v>
      </c>
      <c r="K176" s="192"/>
      <c r="N176" s="168"/>
    </row>
    <row r="177" spans="2:14">
      <c r="B177" s="100" t="s">
        <v>47</v>
      </c>
      <c r="C177" s="245" t="s">
        <v>45</v>
      </c>
      <c r="D177" s="164">
        <v>6.5000000000000002E-2</v>
      </c>
      <c r="E177" s="241">
        <v>548.34900000000005</v>
      </c>
      <c r="F177" s="128">
        <f t="shared" si="0"/>
        <v>0.59199693393934827</v>
      </c>
      <c r="K177" s="192"/>
      <c r="N177" s="168"/>
    </row>
    <row r="178" spans="2:14">
      <c r="B178" s="100" t="s">
        <v>47</v>
      </c>
      <c r="C178" s="245" t="s">
        <v>49</v>
      </c>
      <c r="D178" s="164">
        <v>5.9499999999999997E-2</v>
      </c>
      <c r="E178" s="241">
        <v>545.077</v>
      </c>
      <c r="F178" s="128">
        <f t="shared" si="0"/>
        <v>0.58846448659678063</v>
      </c>
      <c r="K178" s="192"/>
      <c r="N178" s="168"/>
    </row>
    <row r="179" spans="2:14">
      <c r="B179" s="100" t="s">
        <v>47</v>
      </c>
      <c r="C179" s="245" t="s">
        <v>45</v>
      </c>
      <c r="D179" s="164">
        <v>0.75</v>
      </c>
      <c r="E179" s="241">
        <v>304.76900000000001</v>
      </c>
      <c r="F179" s="128">
        <f t="shared" si="0"/>
        <v>0.32902825310114764</v>
      </c>
      <c r="K179" s="192"/>
      <c r="N179" s="168"/>
    </row>
    <row r="180" spans="2:14">
      <c r="B180" s="100" t="s">
        <v>47</v>
      </c>
      <c r="C180" s="245" t="s">
        <v>48</v>
      </c>
      <c r="D180" s="164">
        <v>0.8</v>
      </c>
      <c r="E180" s="241">
        <v>1075.4690000000001</v>
      </c>
      <c r="F180" s="128">
        <f t="shared" si="0"/>
        <v>1.1610750645060297</v>
      </c>
      <c r="K180" s="192"/>
      <c r="N180" s="168"/>
    </row>
    <row r="181" spans="2:14">
      <c r="B181" s="100" t="s">
        <v>47</v>
      </c>
      <c r="C181" s="245" t="s">
        <v>46</v>
      </c>
      <c r="D181" s="164">
        <v>0.75</v>
      </c>
      <c r="E181" s="241">
        <v>1622.93</v>
      </c>
      <c r="F181" s="128">
        <f t="shared" si="0"/>
        <v>1.7521133146922605</v>
      </c>
      <c r="K181" s="192"/>
      <c r="N181" s="168"/>
    </row>
    <row r="182" spans="2:14">
      <c r="B182" s="100" t="s">
        <v>52</v>
      </c>
      <c r="C182" s="245" t="s">
        <v>53</v>
      </c>
      <c r="D182" s="164">
        <v>5.5E-2</v>
      </c>
      <c r="E182" s="241">
        <v>41.375</v>
      </c>
      <c r="F182" s="128">
        <f t="shared" si="0"/>
        <v>4.4668401222105865E-2</v>
      </c>
      <c r="K182" s="192"/>
      <c r="N182" s="168"/>
    </row>
    <row r="183" spans="2:14">
      <c r="B183" s="100" t="s">
        <v>52</v>
      </c>
      <c r="C183" s="245" t="s">
        <v>53</v>
      </c>
      <c r="D183" s="164">
        <v>0.05</v>
      </c>
      <c r="E183" s="241">
        <v>11.914</v>
      </c>
      <c r="F183" s="128">
        <f t="shared" si="0"/>
        <v>1.2862340354324334E-2</v>
      </c>
      <c r="K183" s="192"/>
      <c r="N183" s="168"/>
    </row>
    <row r="184" spans="2:14">
      <c r="B184" s="100" t="s">
        <v>52</v>
      </c>
      <c r="C184" s="245" t="s">
        <v>53</v>
      </c>
      <c r="D184" s="164">
        <v>5.5E-2</v>
      </c>
      <c r="E184" s="241">
        <v>17.096</v>
      </c>
      <c r="F184" s="128">
        <f t="shared" si="0"/>
        <v>1.8456821445150984E-2</v>
      </c>
      <c r="K184" s="192"/>
      <c r="N184" s="168"/>
    </row>
    <row r="185" spans="2:14">
      <c r="B185" s="100" t="s">
        <v>52</v>
      </c>
      <c r="C185" s="245" t="s">
        <v>53</v>
      </c>
      <c r="D185" s="164">
        <v>5.5E-2</v>
      </c>
      <c r="E185" s="241">
        <v>13.36</v>
      </c>
      <c r="F185" s="128">
        <f t="shared" si="0"/>
        <v>1.4423440249603247E-2</v>
      </c>
      <c r="K185" s="192"/>
      <c r="N185" s="168"/>
    </row>
    <row r="186" spans="2:14">
      <c r="B186" s="100" t="s">
        <v>52</v>
      </c>
      <c r="C186" s="245" t="s">
        <v>53</v>
      </c>
      <c r="D186" s="164">
        <v>5.9499999999999997E-2</v>
      </c>
      <c r="E186" s="241">
        <v>149.83600000000001</v>
      </c>
      <c r="F186" s="128">
        <f t="shared" si="0"/>
        <v>0.16176276895505631</v>
      </c>
      <c r="K186" s="192"/>
      <c r="N186" s="168"/>
    </row>
    <row r="187" spans="2:14">
      <c r="B187" s="100" t="s">
        <v>52</v>
      </c>
      <c r="C187" s="245" t="s">
        <v>53</v>
      </c>
      <c r="D187" s="164">
        <v>5.9499999999999997E-2</v>
      </c>
      <c r="E187" s="241">
        <v>216.089</v>
      </c>
      <c r="F187" s="128">
        <f t="shared" si="0"/>
        <v>0.23328942964794283</v>
      </c>
      <c r="K187" s="192"/>
      <c r="N187" s="168"/>
    </row>
    <row r="188" spans="2:14">
      <c r="B188" s="100" t="s">
        <v>52</v>
      </c>
      <c r="C188" s="245" t="s">
        <v>53</v>
      </c>
      <c r="D188" s="164">
        <v>5.9499999999999997E-2</v>
      </c>
      <c r="E188" s="241">
        <v>457.46300000000002</v>
      </c>
      <c r="F188" s="128">
        <f t="shared" si="0"/>
        <v>0.49387651548684514</v>
      </c>
      <c r="K188" s="192"/>
      <c r="N188" s="168"/>
    </row>
    <row r="189" spans="2:14">
      <c r="B189" s="100" t="s">
        <v>52</v>
      </c>
      <c r="C189" s="245" t="s">
        <v>53</v>
      </c>
      <c r="D189" s="164">
        <v>5.9499999999999997E-2</v>
      </c>
      <c r="E189" s="241">
        <v>228.732</v>
      </c>
      <c r="F189" s="128">
        <f t="shared" si="0"/>
        <v>0.2469387975428331</v>
      </c>
      <c r="K189" s="192"/>
      <c r="N189" s="168"/>
    </row>
    <row r="190" spans="2:14">
      <c r="B190" s="100" t="s">
        <v>52</v>
      </c>
      <c r="C190" s="245" t="s">
        <v>53</v>
      </c>
      <c r="D190" s="164">
        <v>9.9500000000000005E-2</v>
      </c>
      <c r="E190" s="241">
        <v>127.634</v>
      </c>
      <c r="F190" s="128">
        <f t="shared" si="0"/>
        <v>0.13779351592948061</v>
      </c>
      <c r="K190" s="192"/>
      <c r="N190" s="168"/>
    </row>
    <row r="191" spans="2:14">
      <c r="B191" s="100" t="s">
        <v>52</v>
      </c>
      <c r="C191" s="245" t="s">
        <v>53</v>
      </c>
      <c r="D191" s="164">
        <v>9.9500000000000005E-2</v>
      </c>
      <c r="E191" s="241">
        <v>196.57</v>
      </c>
      <c r="F191" s="128">
        <f t="shared" si="0"/>
        <v>0.21221674025931964</v>
      </c>
      <c r="N191" s="168"/>
    </row>
    <row r="192" spans="2:14">
      <c r="B192" s="100" t="s">
        <v>52</v>
      </c>
      <c r="C192" s="245" t="s">
        <v>53</v>
      </c>
      <c r="D192" s="164">
        <v>9.9500000000000005E-2</v>
      </c>
      <c r="E192" s="241">
        <v>175.53299999999999</v>
      </c>
      <c r="F192" s="128">
        <f t="shared" si="0"/>
        <v>0.18950521986029992</v>
      </c>
      <c r="N192" s="168"/>
    </row>
    <row r="193" spans="2:14">
      <c r="B193" s="100" t="s">
        <v>52</v>
      </c>
      <c r="C193" s="245" t="s">
        <v>53</v>
      </c>
      <c r="D193" s="164">
        <v>9.9500000000000005E-2</v>
      </c>
      <c r="E193" s="241">
        <v>483.90300000000002</v>
      </c>
      <c r="F193" s="128">
        <f t="shared" si="0"/>
        <v>0.52242110831614974</v>
      </c>
      <c r="N193" s="168"/>
    </row>
    <row r="194" spans="2:14">
      <c r="B194" s="100" t="s">
        <v>52</v>
      </c>
      <c r="C194" s="245" t="s">
        <v>53</v>
      </c>
      <c r="D194" s="164">
        <v>9.9500000000000005E-2</v>
      </c>
      <c r="E194" s="241">
        <v>458.83</v>
      </c>
      <c r="F194" s="128">
        <f t="shared" si="0"/>
        <v>0.49535232707525884</v>
      </c>
      <c r="N194" s="168"/>
    </row>
    <row r="195" spans="2:14">
      <c r="B195" s="100" t="s">
        <v>52</v>
      </c>
      <c r="C195" s="245" t="s">
        <v>53</v>
      </c>
      <c r="D195" s="164">
        <v>9.9500000000000005E-2</v>
      </c>
      <c r="E195" s="241">
        <v>228.16200000000001</v>
      </c>
      <c r="F195" s="128">
        <f t="shared" si="0"/>
        <v>0.24632342621481859</v>
      </c>
      <c r="N195" s="168"/>
    </row>
    <row r="196" spans="2:14">
      <c r="B196" s="116" t="s">
        <v>33</v>
      </c>
      <c r="C196" s="163"/>
      <c r="D196" s="162"/>
      <c r="E196" s="170">
        <f>SUM(E161:E195)</f>
        <v>124816.755</v>
      </c>
      <c r="F196" s="171">
        <f>SUM(F161:F195)</f>
        <v>134.75202154879247</v>
      </c>
    </row>
    <row r="197" spans="2:14">
      <c r="B197" s="172" t="s">
        <v>54</v>
      </c>
      <c r="C197" s="173"/>
      <c r="D197" s="174"/>
      <c r="E197" s="175">
        <f>E196-C128</f>
        <v>0</v>
      </c>
      <c r="F197" s="171"/>
    </row>
    <row r="198" spans="2:14">
      <c r="B198" s="100"/>
      <c r="C198" s="163"/>
      <c r="D198" s="162"/>
      <c r="E198" s="168"/>
      <c r="F198" s="157"/>
    </row>
    <row r="199" spans="2:14">
      <c r="B199" s="116" t="s">
        <v>55</v>
      </c>
      <c r="C199" s="163"/>
      <c r="D199" s="162"/>
      <c r="E199" s="168"/>
      <c r="F199" s="157"/>
    </row>
    <row r="200" spans="2:14">
      <c r="B200" s="100" t="s">
        <v>41</v>
      </c>
      <c r="C200" s="245" t="s">
        <v>42</v>
      </c>
      <c r="D200" s="164">
        <v>6.0699999999999997E-2</v>
      </c>
      <c r="E200" s="241">
        <v>6743.4049999999997</v>
      </c>
      <c r="F200" s="128">
        <f>E200*$J$118</f>
        <v>7.2801720880520797</v>
      </c>
      <c r="L200" s="168"/>
    </row>
    <row r="201" spans="2:14">
      <c r="B201" s="100" t="s">
        <v>41</v>
      </c>
      <c r="C201" s="245" t="s">
        <v>42</v>
      </c>
      <c r="D201" s="164">
        <v>6.3299999999999995E-2</v>
      </c>
      <c r="E201" s="241">
        <v>5986.9160000000002</v>
      </c>
      <c r="F201" s="128">
        <f t="shared" ref="F201:F206" si="1">E201*$J$118</f>
        <v>6.4634674554935394</v>
      </c>
      <c r="L201" s="168"/>
    </row>
    <row r="202" spans="2:14">
      <c r="B202" s="100" t="s">
        <v>43</v>
      </c>
      <c r="C202" s="245" t="s">
        <v>42</v>
      </c>
      <c r="D202" s="164">
        <v>5.8599999999999999E-2</v>
      </c>
      <c r="E202" s="241">
        <v>16000</v>
      </c>
      <c r="F202" s="128">
        <f t="shared" si="1"/>
        <v>17.273581137249398</v>
      </c>
      <c r="L202" s="168"/>
    </row>
    <row r="203" spans="2:14">
      <c r="B203" s="100" t="s">
        <v>52</v>
      </c>
      <c r="C203" s="245" t="s">
        <v>53</v>
      </c>
      <c r="D203" s="164">
        <v>5.5E-2</v>
      </c>
      <c r="E203" s="241">
        <v>2968.1660000000002</v>
      </c>
      <c r="F203" s="128">
        <f t="shared" si="1"/>
        <v>3.2044285143640625</v>
      </c>
      <c r="L203" s="168"/>
    </row>
    <row r="204" spans="2:14">
      <c r="B204" s="100" t="s">
        <v>52</v>
      </c>
      <c r="C204" s="245" t="s">
        <v>53</v>
      </c>
      <c r="D204" s="164">
        <v>0.05</v>
      </c>
      <c r="E204" s="241">
        <v>5940.4539999999997</v>
      </c>
      <c r="F204" s="128">
        <f t="shared" si="1"/>
        <v>6.4133071350686084</v>
      </c>
      <c r="L204" s="168"/>
    </row>
    <row r="205" spans="2:14">
      <c r="B205" s="100" t="s">
        <v>52</v>
      </c>
      <c r="C205" s="245" t="s">
        <v>53</v>
      </c>
      <c r="D205" s="164">
        <v>5.5E-2</v>
      </c>
      <c r="E205" s="241">
        <v>1091.739</v>
      </c>
      <c r="F205" s="128">
        <f t="shared" si="1"/>
        <v>1.1786401373249702</v>
      </c>
      <c r="L205" s="168"/>
    </row>
    <row r="206" spans="2:14">
      <c r="B206" s="100" t="s">
        <v>52</v>
      </c>
      <c r="C206" s="245" t="s">
        <v>53</v>
      </c>
      <c r="D206" s="164">
        <v>5.5E-2</v>
      </c>
      <c r="E206" s="241">
        <v>982.56500000000005</v>
      </c>
      <c r="F206" s="128">
        <f t="shared" si="1"/>
        <v>1.0607760156325909</v>
      </c>
      <c r="L206" s="168"/>
    </row>
    <row r="207" spans="2:14">
      <c r="B207" s="116" t="s">
        <v>33</v>
      </c>
      <c r="C207" s="163"/>
      <c r="D207" s="162"/>
      <c r="E207" s="170">
        <f>SUM(E200:E206)</f>
        <v>39713.245000000003</v>
      </c>
      <c r="F207" s="171">
        <f>SUM(F200:F206)</f>
        <v>42.874372483185248</v>
      </c>
    </row>
    <row r="208" spans="2:14" ht="15.75" thickBot="1">
      <c r="B208" s="176" t="s">
        <v>54</v>
      </c>
      <c r="C208" s="177"/>
      <c r="D208" s="178"/>
      <c r="E208" s="179">
        <f>E207-C124</f>
        <v>0</v>
      </c>
      <c r="F208" s="107"/>
    </row>
    <row r="210" spans="2:11" ht="15.75" thickBot="1"/>
    <row r="211" spans="2:11" ht="15.75" thickBot="1">
      <c r="B211" s="246" t="s">
        <v>56</v>
      </c>
      <c r="C211" s="247"/>
      <c r="D211" s="247"/>
      <c r="E211" s="248"/>
      <c r="F211" s="249"/>
    </row>
    <row r="212" spans="2:11">
      <c r="B212" s="250" t="s">
        <v>35</v>
      </c>
      <c r="C212" s="251"/>
      <c r="D212" s="251" t="s">
        <v>37</v>
      </c>
      <c r="E212" s="251" t="s">
        <v>4</v>
      </c>
      <c r="F212" s="252" t="s">
        <v>6</v>
      </c>
    </row>
    <row r="213" spans="2:11">
      <c r="B213" s="116" t="s">
        <v>38</v>
      </c>
      <c r="D213" s="156"/>
      <c r="F213" s="157"/>
    </row>
    <row r="214" spans="2:11">
      <c r="B214" s="100" t="s">
        <v>57</v>
      </c>
      <c r="C214" s="163"/>
      <c r="D214" s="164">
        <v>2.8999999999999998E-2</v>
      </c>
      <c r="E214" s="52">
        <v>1340.03</v>
      </c>
      <c r="F214" s="128">
        <f>E214*$J$118</f>
        <v>1.4466948082092694</v>
      </c>
      <c r="K214" s="168"/>
    </row>
    <row r="215" spans="2:11">
      <c r="B215" s="100" t="s">
        <v>57</v>
      </c>
      <c r="C215" s="163"/>
      <c r="D215" s="164">
        <v>1.2E-2</v>
      </c>
      <c r="E215" s="52">
        <v>30040.940999999999</v>
      </c>
      <c r="F215" s="128">
        <f t="shared" ref="F215:F219" si="2">E215*$J$118</f>
        <v>32.432164487676381</v>
      </c>
      <c r="K215" s="168"/>
    </row>
    <row r="216" spans="2:11">
      <c r="B216" s="100" t="s">
        <v>57</v>
      </c>
      <c r="C216" s="163"/>
      <c r="D216" s="164">
        <v>1.6E-2</v>
      </c>
      <c r="E216" s="52">
        <v>385.06200000000001</v>
      </c>
      <c r="F216" s="128">
        <f t="shared" si="2"/>
        <v>0.41571248124197052</v>
      </c>
      <c r="K216" s="168"/>
    </row>
    <row r="217" spans="2:11">
      <c r="B217" s="100" t="s">
        <v>57</v>
      </c>
      <c r="C217" s="163"/>
      <c r="D217" s="164">
        <v>3.3500000000000002E-2</v>
      </c>
      <c r="E217" s="52">
        <v>7295.3140000000003</v>
      </c>
      <c r="F217" s="128">
        <f t="shared" si="2"/>
        <v>7.8760123937944666</v>
      </c>
      <c r="K217" s="168"/>
    </row>
    <row r="218" spans="2:11">
      <c r="B218" s="100" t="s">
        <v>57</v>
      </c>
      <c r="C218" s="163"/>
      <c r="D218" s="164">
        <v>2.7E-2</v>
      </c>
      <c r="E218" s="52">
        <v>1198.645</v>
      </c>
      <c r="F218" s="128">
        <f t="shared" si="2"/>
        <v>1.2940557288911441</v>
      </c>
      <c r="K218" s="168"/>
    </row>
    <row r="219" spans="2:11">
      <c r="B219" s="100" t="s">
        <v>57</v>
      </c>
      <c r="C219" s="163"/>
      <c r="D219" s="164">
        <v>3.3500000000000002E-2</v>
      </c>
      <c r="E219" s="52">
        <v>798.78800000000001</v>
      </c>
      <c r="F219" s="128">
        <f t="shared" si="2"/>
        <v>0.86237058309132331</v>
      </c>
      <c r="K219" s="168"/>
    </row>
    <row r="220" spans="2:11">
      <c r="B220" s="116" t="s">
        <v>33</v>
      </c>
      <c r="C220" s="163"/>
      <c r="D220" s="162"/>
      <c r="E220" s="170">
        <f>SUM(E214:E219)</f>
        <v>41058.78</v>
      </c>
      <c r="F220" s="171">
        <f>SUM(F214:F219)</f>
        <v>44.327010482904562</v>
      </c>
    </row>
    <row r="221" spans="2:11">
      <c r="B221" s="172" t="s">
        <v>54</v>
      </c>
      <c r="C221" s="173"/>
      <c r="D221" s="174"/>
      <c r="E221" s="175">
        <f>E220-C129</f>
        <v>0</v>
      </c>
      <c r="F221" s="171"/>
    </row>
    <row r="222" spans="2:11">
      <c r="B222" s="100"/>
      <c r="C222" s="163"/>
      <c r="D222" s="162"/>
      <c r="E222" s="168"/>
      <c r="F222" s="157"/>
    </row>
    <row r="223" spans="2:11">
      <c r="B223" s="116" t="s">
        <v>55</v>
      </c>
      <c r="C223" s="163"/>
      <c r="D223" s="162"/>
      <c r="E223" s="168"/>
      <c r="F223" s="157"/>
      <c r="K223" s="168"/>
    </row>
    <row r="224" spans="2:11">
      <c r="B224" s="100" t="s">
        <v>57</v>
      </c>
      <c r="C224" s="163"/>
      <c r="D224" s="164">
        <v>2.8999999999999998E-2</v>
      </c>
      <c r="E224" s="52">
        <v>119288.156</v>
      </c>
      <c r="F224" s="128">
        <f>E224*$J$118</f>
        <v>128.78335258617898</v>
      </c>
      <c r="K224" s="168"/>
    </row>
    <row r="225" spans="1:11">
      <c r="B225" s="100" t="s">
        <v>57</v>
      </c>
      <c r="C225" s="163"/>
      <c r="D225" s="164">
        <v>1.2E-2</v>
      </c>
      <c r="E225" s="52">
        <v>14986.218999999999</v>
      </c>
      <c r="F225" s="128">
        <f t="shared" ref="F225:F229" si="3">E225*$J$118</f>
        <v>16.179104364818034</v>
      </c>
      <c r="K225" s="168"/>
    </row>
    <row r="226" spans="1:11">
      <c r="B226" s="100" t="s">
        <v>57</v>
      </c>
      <c r="C226" s="163"/>
      <c r="D226" s="164">
        <v>1.6E-2</v>
      </c>
      <c r="E226" s="52">
        <v>80441.606</v>
      </c>
      <c r="F226" s="128">
        <f t="shared" si="3"/>
        <v>86.844663003228007</v>
      </c>
      <c r="K226" s="168"/>
    </row>
    <row r="227" spans="1:11">
      <c r="B227" s="100" t="s">
        <v>57</v>
      </c>
      <c r="C227" s="163"/>
      <c r="D227" s="164">
        <v>3.3500000000000002E-2</v>
      </c>
      <c r="E227" s="52">
        <v>539931.15800000005</v>
      </c>
      <c r="F227" s="128">
        <f t="shared" si="3"/>
        <v>582.90904164012659</v>
      </c>
      <c r="K227" s="168"/>
    </row>
    <row r="228" spans="1:11">
      <c r="B228" s="100" t="s">
        <v>57</v>
      </c>
      <c r="C228" s="163"/>
      <c r="D228" s="164">
        <v>2.7E-2</v>
      </c>
      <c r="E228" s="52">
        <v>158219.01300000001</v>
      </c>
      <c r="F228" s="128">
        <f t="shared" si="3"/>
        <v>170.81305990693861</v>
      </c>
      <c r="K228" s="168"/>
    </row>
    <row r="229" spans="1:11">
      <c r="B229" s="100" t="s">
        <v>57</v>
      </c>
      <c r="C229" s="163"/>
      <c r="D229" s="164">
        <v>3.3500000000000002E-2</v>
      </c>
      <c r="E229" s="52">
        <v>79617.058000000005</v>
      </c>
      <c r="F229" s="128">
        <f t="shared" si="3"/>
        <v>85.954481954505709</v>
      </c>
    </row>
    <row r="230" spans="1:11">
      <c r="B230" s="116" t="s">
        <v>33</v>
      </c>
      <c r="C230" s="163"/>
      <c r="D230" s="162"/>
      <c r="E230" s="170">
        <f>SUM(E224:E229)</f>
        <v>992483.21000000008</v>
      </c>
      <c r="F230" s="171">
        <f>SUM(F224:F229)</f>
        <v>1071.4837034557961</v>
      </c>
    </row>
    <row r="231" spans="1:11" ht="15.75" thickBot="1">
      <c r="B231" s="176" t="s">
        <v>54</v>
      </c>
      <c r="C231" s="177"/>
      <c r="D231" s="178"/>
      <c r="E231" s="179">
        <f>E230-C125</f>
        <v>0</v>
      </c>
      <c r="F231" s="107"/>
    </row>
    <row r="232" spans="1:11">
      <c r="B232" s="230"/>
      <c r="C232" s="173"/>
      <c r="D232" s="174"/>
      <c r="E232" s="175"/>
    </row>
    <row r="233" spans="1:11">
      <c r="B233" s="230"/>
      <c r="C233" s="173"/>
      <c r="D233" s="174"/>
      <c r="E233" s="175"/>
    </row>
    <row r="235" spans="1:11">
      <c r="A235" s="15" t="s">
        <v>63</v>
      </c>
      <c r="D235" s="1"/>
      <c r="I235" s="2" t="s">
        <v>64</v>
      </c>
      <c r="J235" s="154">
        <f>Model!AC$203</f>
        <v>1.0395766843741229E-3</v>
      </c>
    </row>
    <row r="236" spans="1:11">
      <c r="D236" s="1"/>
      <c r="I236" s="2" t="s">
        <v>65</v>
      </c>
      <c r="J236" s="154">
        <f>AVERAGE(Model!$Z$202:$AC$202)</f>
        <v>1.0495505786143602E-3</v>
      </c>
    </row>
    <row r="237" spans="1:11" ht="15.75" thickBot="1">
      <c r="D237" s="1"/>
      <c r="I237" s="2"/>
      <c r="J237" s="114"/>
    </row>
    <row r="238" spans="1:11">
      <c r="B238" s="231" t="s">
        <v>66</v>
      </c>
      <c r="C238" s="232" t="s">
        <v>4</v>
      </c>
      <c r="D238" s="232" t="s">
        <v>5</v>
      </c>
      <c r="E238" s="232" t="s">
        <v>6</v>
      </c>
      <c r="F238" s="233" t="s">
        <v>5</v>
      </c>
      <c r="I238" s="253" t="s">
        <v>7</v>
      </c>
      <c r="J238" s="254" t="s">
        <v>4</v>
      </c>
    </row>
    <row r="239" spans="1:11">
      <c r="B239" s="100"/>
      <c r="C239" s="94"/>
      <c r="D239" s="14"/>
      <c r="E239" s="95"/>
      <c r="F239" s="106"/>
      <c r="I239" s="255" t="s">
        <v>8</v>
      </c>
      <c r="J239" s="259">
        <v>1296.5840000000001</v>
      </c>
    </row>
    <row r="240" spans="1:11" ht="15.75" thickBot="1">
      <c r="B240" s="116" t="s">
        <v>9</v>
      </c>
      <c r="C240" s="96">
        <f>SUM(C241:C242)</f>
        <v>1074960.7239999999</v>
      </c>
      <c r="D240" s="14"/>
      <c r="E240" s="96">
        <f>SUM(E241:E242)</f>
        <v>1117.5041052883266</v>
      </c>
      <c r="F240" s="106"/>
      <c r="I240" s="256" t="s">
        <v>10</v>
      </c>
      <c r="J240" s="260">
        <v>797.79899999999998</v>
      </c>
    </row>
    <row r="241" spans="2:12" ht="15.75" thickBot="1">
      <c r="B241" s="100" t="s">
        <v>11</v>
      </c>
      <c r="C241" s="52">
        <v>37701.506000000001</v>
      </c>
      <c r="D241" s="14"/>
      <c r="E241" s="95">
        <f>C241*J235</f>
        <v>39.193606603391103</v>
      </c>
      <c r="F241" s="106"/>
      <c r="I241" s="258" t="s">
        <v>12</v>
      </c>
      <c r="J241" s="257" t="s">
        <v>67</v>
      </c>
    </row>
    <row r="242" spans="2:12">
      <c r="B242" s="100" t="s">
        <v>14</v>
      </c>
      <c r="C242" s="52">
        <v>1037259.218</v>
      </c>
      <c r="D242" s="14"/>
      <c r="E242" s="95">
        <f>C242*J235</f>
        <v>1078.3104986849355</v>
      </c>
      <c r="F242" s="106"/>
    </row>
    <row r="243" spans="2:12">
      <c r="B243" s="100"/>
      <c r="C243" s="94"/>
      <c r="D243" s="14"/>
      <c r="E243" s="95"/>
      <c r="F243" s="106"/>
    </row>
    <row r="244" spans="2:12">
      <c r="B244" s="116" t="s">
        <v>15</v>
      </c>
      <c r="C244" s="96">
        <f>SUM(C245:C246)</f>
        <v>145114.63699999999</v>
      </c>
      <c r="D244" s="14"/>
      <c r="E244" s="96">
        <f>SUM(E245:E246)</f>
        <v>150.8577931866144</v>
      </c>
      <c r="F244" s="106"/>
      <c r="K244" s="13"/>
      <c r="L244" s="94"/>
    </row>
    <row r="245" spans="2:12">
      <c r="B245" s="100" t="s">
        <v>11</v>
      </c>
      <c r="C245" s="52">
        <v>110690.86199999999</v>
      </c>
      <c r="D245" s="14"/>
      <c r="E245" s="95">
        <f>C245*J235</f>
        <v>115.07163930847358</v>
      </c>
      <c r="F245" s="106"/>
      <c r="K245" s="13"/>
      <c r="L245" s="94"/>
    </row>
    <row r="246" spans="2:12">
      <c r="B246" s="100" t="s">
        <v>14</v>
      </c>
      <c r="C246" s="52">
        <v>34423.775000000001</v>
      </c>
      <c r="D246" s="14"/>
      <c r="E246" s="95">
        <f>C246*J235</f>
        <v>35.786153878140823</v>
      </c>
      <c r="F246" s="106"/>
    </row>
    <row r="247" spans="2:12">
      <c r="B247" s="100"/>
      <c r="C247" s="52"/>
      <c r="D247" s="14"/>
      <c r="E247" s="95"/>
      <c r="F247" s="106"/>
    </row>
    <row r="248" spans="2:12">
      <c r="B248" s="122" t="s">
        <v>16</v>
      </c>
      <c r="C248" s="96">
        <f>SUM(C249:C250)</f>
        <v>51948.375</v>
      </c>
      <c r="D248" s="14"/>
      <c r="E248" s="96">
        <f>SUM(E249:E250)</f>
        <v>54.004319441123577</v>
      </c>
      <c r="F248" s="106"/>
    </row>
    <row r="249" spans="2:12">
      <c r="B249" s="119" t="s">
        <v>17</v>
      </c>
      <c r="C249" s="7">
        <f>Model!$AC$111</f>
        <v>9589.4310000000005</v>
      </c>
      <c r="D249" s="14"/>
      <c r="E249" s="95">
        <f>C249*J235</f>
        <v>9.9689488840144307</v>
      </c>
      <c r="F249" s="106"/>
    </row>
    <row r="250" spans="2:12">
      <c r="B250" s="119" t="s">
        <v>18</v>
      </c>
      <c r="C250" s="7">
        <f>Model!$AC$112</f>
        <v>42358.944000000003</v>
      </c>
      <c r="D250" s="14"/>
      <c r="E250" s="95">
        <f>C250*J235</f>
        <v>44.035370557109147</v>
      </c>
      <c r="F250" s="106"/>
    </row>
    <row r="251" spans="2:12">
      <c r="B251" s="100"/>
      <c r="C251" s="94"/>
      <c r="D251" s="14"/>
      <c r="E251" s="95"/>
      <c r="F251" s="106"/>
    </row>
    <row r="252" spans="2:12">
      <c r="B252" s="117" t="s">
        <v>19</v>
      </c>
      <c r="C252" s="11">
        <f>C244+C240+C248</f>
        <v>1272023.736</v>
      </c>
      <c r="D252" s="10">
        <f>C252/C257</f>
        <v>3.1205623012918764</v>
      </c>
      <c r="E252" s="11">
        <f>E244+E240+E248</f>
        <v>1322.3662179160644</v>
      </c>
      <c r="F252" s="118">
        <f>E252/E257</f>
        <v>3.0909075528716068</v>
      </c>
    </row>
    <row r="253" spans="2:12">
      <c r="B253" s="119" t="s">
        <v>20</v>
      </c>
      <c r="C253" s="120">
        <f>Model!AC$119</f>
        <v>498784.51199999999</v>
      </c>
      <c r="D253" s="121"/>
      <c r="E253" s="95">
        <f>C253*J235</f>
        <v>518.52474920212489</v>
      </c>
      <c r="F253" s="106"/>
    </row>
    <row r="254" spans="2:12">
      <c r="B254" s="117" t="s">
        <v>21</v>
      </c>
      <c r="C254" s="11">
        <f>C252-C253</f>
        <v>773239.22400000005</v>
      </c>
      <c r="D254" s="10">
        <f>C254/C257</f>
        <v>1.8969309329732387</v>
      </c>
      <c r="E254" s="11">
        <f>E252-E253</f>
        <v>803.84146871393955</v>
      </c>
      <c r="F254" s="118">
        <f>E254/E257</f>
        <v>1.8789043710409032</v>
      </c>
    </row>
    <row r="255" spans="2:12">
      <c r="B255" s="122" t="s">
        <v>22</v>
      </c>
      <c r="C255" s="9">
        <f>Model!AC$123</f>
        <v>1620638.9790000001</v>
      </c>
      <c r="D255" s="8"/>
      <c r="E255" s="97">
        <f>C255*J235</f>
        <v>1684.7784963562838</v>
      </c>
      <c r="F255" s="106"/>
    </row>
    <row r="256" spans="2:12">
      <c r="B256" s="122" t="s">
        <v>23</v>
      </c>
      <c r="C256" s="9">
        <f>C254+C255</f>
        <v>2393878.2030000002</v>
      </c>
      <c r="D256" s="8"/>
      <c r="E256" s="9">
        <f>E254+E255</f>
        <v>2488.6199650702233</v>
      </c>
      <c r="F256" s="106"/>
    </row>
    <row r="257" spans="2:6" ht="15.75" thickBot="1">
      <c r="B257" s="123" t="s">
        <v>24</v>
      </c>
      <c r="C257" s="124">
        <f>Model!AC$86</f>
        <v>407626.45099999994</v>
      </c>
      <c r="D257" s="125"/>
      <c r="E257" s="126">
        <f>C257*J236</f>
        <v>427.82457750556807</v>
      </c>
      <c r="F257" s="107"/>
    </row>
    <row r="258" spans="2:6">
      <c r="B258" s="5" t="s">
        <v>25</v>
      </c>
      <c r="C258" s="4">
        <f>+C252-Model!AC$118</f>
        <v>0</v>
      </c>
      <c r="D258" s="3"/>
    </row>
    <row r="259" spans="2:6">
      <c r="D259" s="1"/>
    </row>
    <row r="260" spans="2:6" ht="15.75" thickBot="1">
      <c r="B260" s="2"/>
      <c r="C260" s="98"/>
      <c r="D260" s="1"/>
    </row>
    <row r="261" spans="2:6">
      <c r="B261" s="236" t="s">
        <v>68</v>
      </c>
      <c r="C261" s="232" t="s">
        <v>4</v>
      </c>
      <c r="D261" s="237" t="s">
        <v>6</v>
      </c>
    </row>
    <row r="262" spans="2:6">
      <c r="B262" s="101" t="s">
        <v>20</v>
      </c>
      <c r="C262" s="110">
        <f>C253</f>
        <v>498784.51199999999</v>
      </c>
      <c r="D262" s="113">
        <f>C262*J235</f>
        <v>518.52474920212489</v>
      </c>
    </row>
    <row r="263" spans="2:6" ht="15.75" thickBot="1">
      <c r="B263" s="102" t="s">
        <v>27</v>
      </c>
      <c r="C263" s="111">
        <f>SUM(C262:C262)</f>
        <v>498784.51199999999</v>
      </c>
      <c r="D263" s="112">
        <f>SUM(D262:D262)</f>
        <v>518.52474920212489</v>
      </c>
    </row>
    <row r="264" spans="2:6">
      <c r="B264" s="2"/>
      <c r="C264" s="98"/>
      <c r="D264" s="96"/>
    </row>
    <row r="265" spans="2:6" ht="15.75" thickBot="1">
      <c r="B265" s="2"/>
      <c r="C265" s="2"/>
      <c r="D265" s="2"/>
      <c r="E265" s="96"/>
    </row>
    <row r="266" spans="2:6">
      <c r="B266" s="236" t="s">
        <v>28</v>
      </c>
      <c r="C266" s="232" t="s">
        <v>4</v>
      </c>
      <c r="D266" s="238" t="s">
        <v>6</v>
      </c>
    </row>
    <row r="267" spans="2:6">
      <c r="B267" s="239" t="s">
        <v>29</v>
      </c>
      <c r="C267" s="240">
        <f>C245+C246</f>
        <v>145114.63699999999</v>
      </c>
      <c r="D267" s="128">
        <f>C267*$J235</f>
        <v>150.8577931866144</v>
      </c>
    </row>
    <row r="268" spans="2:6">
      <c r="B268" s="100" t="s">
        <v>30</v>
      </c>
      <c r="C268" s="241">
        <f>33051.5+29739.895</f>
        <v>62791.395000000004</v>
      </c>
      <c r="D268" s="128">
        <f>C268*$J235</f>
        <v>65.27647022132588</v>
      </c>
    </row>
    <row r="269" spans="2:6">
      <c r="B269" s="100" t="s">
        <v>31</v>
      </c>
      <c r="C269" s="241">
        <f>2545.515+80023.619</f>
        <v>82569.134000000005</v>
      </c>
      <c r="D269" s="128">
        <f>C269*$J235</f>
        <v>85.836946555362658</v>
      </c>
    </row>
    <row r="270" spans="2:6">
      <c r="B270" s="243" t="s">
        <v>32</v>
      </c>
      <c r="C270" s="242">
        <f>2104.491+927495.704</f>
        <v>929600.19500000007</v>
      </c>
      <c r="D270" s="128">
        <f>C270*$J235</f>
        <v>966.39068851163813</v>
      </c>
    </row>
    <row r="271" spans="2:6" ht="15.75" thickBot="1">
      <c r="B271" s="102" t="s">
        <v>33</v>
      </c>
      <c r="C271" s="244">
        <f>SUM(C267:C270)</f>
        <v>1220075.361</v>
      </c>
      <c r="D271" s="132">
        <f>SUM(D267:D270)</f>
        <v>1268.361898474941</v>
      </c>
    </row>
    <row r="272" spans="2:6">
      <c r="B272" s="5" t="s">
        <v>25</v>
      </c>
      <c r="C272" s="4">
        <f>C271-C240-C244</f>
        <v>0</v>
      </c>
      <c r="D272" s="98"/>
      <c r="E272" s="96"/>
    </row>
    <row r="273" spans="2:14">
      <c r="D273" s="1"/>
    </row>
    <row r="274" spans="2:14" ht="15.75" thickBot="1">
      <c r="D274" s="1"/>
    </row>
    <row r="275" spans="2:14" ht="15.75" thickBot="1">
      <c r="B275" s="246" t="s">
        <v>34</v>
      </c>
      <c r="C275" s="247"/>
      <c r="D275" s="247"/>
      <c r="E275" s="248"/>
      <c r="F275" s="249"/>
    </row>
    <row r="276" spans="2:14">
      <c r="B276" s="250" t="s">
        <v>35</v>
      </c>
      <c r="C276" s="251" t="s">
        <v>36</v>
      </c>
      <c r="D276" s="251" t="s">
        <v>37</v>
      </c>
      <c r="E276" s="251" t="s">
        <v>4</v>
      </c>
      <c r="F276" s="252" t="s">
        <v>6</v>
      </c>
    </row>
    <row r="277" spans="2:14">
      <c r="B277" s="116" t="s">
        <v>38</v>
      </c>
      <c r="D277" s="156"/>
      <c r="F277" s="157"/>
      <c r="N277" s="168"/>
    </row>
    <row r="278" spans="2:14">
      <c r="B278" s="100" t="s">
        <v>69</v>
      </c>
      <c r="C278" s="245" t="s">
        <v>70</v>
      </c>
      <c r="D278" s="164">
        <v>3.39E-2</v>
      </c>
      <c r="E278" s="241">
        <v>8.2240000000000002</v>
      </c>
      <c r="F278" s="128">
        <f>E278*$J$235</f>
        <v>8.5494786522927867E-3</v>
      </c>
      <c r="K278" s="192"/>
      <c r="N278" s="168"/>
    </row>
    <row r="279" spans="2:14">
      <c r="B279" s="100" t="s">
        <v>69</v>
      </c>
      <c r="C279" s="245" t="s">
        <v>70</v>
      </c>
      <c r="D279" s="164">
        <v>5.6500000000000002E-2</v>
      </c>
      <c r="E279" s="241">
        <v>13.752000000000001</v>
      </c>
      <c r="F279" s="128">
        <f t="shared" ref="F279:F315" si="4">E279*$J$235</f>
        <v>1.4296258563512939E-2</v>
      </c>
      <c r="K279" s="192"/>
      <c r="N279" s="168"/>
    </row>
    <row r="280" spans="2:14">
      <c r="B280" s="100" t="s">
        <v>71</v>
      </c>
      <c r="C280" s="245" t="s">
        <v>72</v>
      </c>
      <c r="D280" s="164">
        <v>3.3E-3</v>
      </c>
      <c r="E280" s="241">
        <v>58916.375999999997</v>
      </c>
      <c r="F280" s="128">
        <f t="shared" si="4"/>
        <v>61.248090817419147</v>
      </c>
      <c r="K280" s="192"/>
      <c r="N280" s="168"/>
    </row>
    <row r="281" spans="2:14">
      <c r="B281" s="100" t="s">
        <v>71</v>
      </c>
      <c r="C281" s="245" t="s">
        <v>42</v>
      </c>
      <c r="D281" s="164">
        <v>6.2399999999999997E-2</v>
      </c>
      <c r="E281" s="241">
        <v>1.581</v>
      </c>
      <c r="F281" s="128">
        <f t="shared" si="4"/>
        <v>1.6435707379954883E-3</v>
      </c>
      <c r="K281" s="192"/>
      <c r="N281" s="168"/>
    </row>
    <row r="282" spans="2:14">
      <c r="B282" s="100" t="s">
        <v>41</v>
      </c>
      <c r="C282" s="245" t="s">
        <v>40</v>
      </c>
      <c r="D282" s="164">
        <v>5.4600000000000003E-2</v>
      </c>
      <c r="E282" s="241">
        <v>2022.4469999999999</v>
      </c>
      <c r="F282" s="128">
        <f t="shared" si="4"/>
        <v>2.1024887465823916</v>
      </c>
      <c r="K282" s="192"/>
      <c r="N282" s="168"/>
    </row>
    <row r="283" spans="2:14">
      <c r="B283" s="100" t="s">
        <v>41</v>
      </c>
      <c r="C283" s="245" t="s">
        <v>42</v>
      </c>
      <c r="D283" s="164">
        <v>6.8400000000000002E-2</v>
      </c>
      <c r="E283" s="241">
        <v>2061.56</v>
      </c>
      <c r="F283" s="128">
        <f t="shared" si="4"/>
        <v>2.1431497094383167</v>
      </c>
      <c r="K283" s="192"/>
      <c r="N283" s="168"/>
    </row>
    <row r="284" spans="2:14">
      <c r="B284" s="100" t="s">
        <v>41</v>
      </c>
      <c r="C284" s="245" t="s">
        <v>42</v>
      </c>
      <c r="D284" s="164">
        <v>6.8400000000000002E-2</v>
      </c>
      <c r="E284" s="241">
        <v>1031.54</v>
      </c>
      <c r="F284" s="128">
        <f t="shared" si="4"/>
        <v>1.0723649329992826</v>
      </c>
      <c r="K284" s="192"/>
      <c r="N284" s="168"/>
    </row>
    <row r="285" spans="2:14">
      <c r="B285" s="100" t="s">
        <v>41</v>
      </c>
      <c r="C285" s="245" t="s">
        <v>42</v>
      </c>
      <c r="D285" s="164">
        <v>7.4399999999999994E-2</v>
      </c>
      <c r="E285" s="241">
        <v>58.956000000000003</v>
      </c>
      <c r="F285" s="128">
        <f t="shared" si="4"/>
        <v>6.128928300396079E-2</v>
      </c>
      <c r="K285" s="192"/>
      <c r="N285" s="168"/>
    </row>
    <row r="286" spans="2:14">
      <c r="B286" s="100" t="s">
        <v>41</v>
      </c>
      <c r="C286" s="245" t="s">
        <v>42</v>
      </c>
      <c r="D286" s="164">
        <v>7.4399999999999994E-2</v>
      </c>
      <c r="E286" s="241">
        <v>165.25200000000001</v>
      </c>
      <c r="F286" s="128">
        <f t="shared" si="4"/>
        <v>0.17179212624619256</v>
      </c>
      <c r="K286" s="192"/>
      <c r="N286" s="168"/>
    </row>
    <row r="287" spans="2:14">
      <c r="B287" s="100" t="s">
        <v>41</v>
      </c>
      <c r="C287" s="245" t="s">
        <v>40</v>
      </c>
      <c r="D287" s="164">
        <v>6.1400000000000003E-2</v>
      </c>
      <c r="E287" s="241">
        <v>3006.652</v>
      </c>
      <c r="F287" s="128">
        <f t="shared" si="4"/>
        <v>3.1256453172268253</v>
      </c>
      <c r="K287" s="192"/>
      <c r="N287" s="168"/>
    </row>
    <row r="288" spans="2:14">
      <c r="B288" s="100" t="s">
        <v>41</v>
      </c>
      <c r="C288" s="245" t="s">
        <v>73</v>
      </c>
      <c r="D288" s="164">
        <v>3.4500000000000003E-2</v>
      </c>
      <c r="E288" s="241">
        <v>839.16399999999999</v>
      </c>
      <c r="F288" s="128">
        <f t="shared" si="4"/>
        <v>0.87237532876612645</v>
      </c>
      <c r="K288" s="192"/>
      <c r="N288" s="168"/>
    </row>
    <row r="289" spans="2:14">
      <c r="B289" s="100" t="s">
        <v>43</v>
      </c>
      <c r="C289" s="245" t="s">
        <v>42</v>
      </c>
      <c r="D289" s="164">
        <v>6.6600000000000006E-2</v>
      </c>
      <c r="E289" s="241">
        <v>189.44</v>
      </c>
      <c r="F289" s="128">
        <f t="shared" si="4"/>
        <v>0.19693740708783383</v>
      </c>
      <c r="K289" s="192"/>
      <c r="N289" s="168"/>
    </row>
    <row r="290" spans="2:14">
      <c r="B290" s="100" t="s">
        <v>44</v>
      </c>
      <c r="C290" s="245" t="s">
        <v>50</v>
      </c>
      <c r="D290" s="164">
        <v>0.51</v>
      </c>
      <c r="E290" s="241">
        <v>7573.0249999999996</v>
      </c>
      <c r="F290" s="128">
        <f t="shared" si="4"/>
        <v>7.8727402201823411</v>
      </c>
      <c r="K290" s="192"/>
      <c r="N290" s="168"/>
    </row>
    <row r="291" spans="2:14">
      <c r="B291" s="100" t="s">
        <v>44</v>
      </c>
      <c r="C291" s="245" t="s">
        <v>46</v>
      </c>
      <c r="D291" s="164">
        <v>0.5</v>
      </c>
      <c r="E291" s="241">
        <v>3653.3310000000001</v>
      </c>
      <c r="F291" s="128">
        <f t="shared" si="4"/>
        <v>3.7979177279011989</v>
      </c>
      <c r="K291" s="192"/>
      <c r="N291" s="168"/>
    </row>
    <row r="292" spans="2:14">
      <c r="B292" s="100" t="s">
        <v>44</v>
      </c>
      <c r="C292" s="245" t="s">
        <v>48</v>
      </c>
      <c r="D292" s="164">
        <v>0.47</v>
      </c>
      <c r="E292" s="241">
        <v>3915.221</v>
      </c>
      <c r="F292" s="128">
        <f t="shared" si="4"/>
        <v>4.0701724657719378</v>
      </c>
      <c r="K292" s="192"/>
      <c r="N292" s="168"/>
    </row>
    <row r="293" spans="2:14">
      <c r="B293" s="100" t="s">
        <v>62</v>
      </c>
      <c r="C293" s="245" t="s">
        <v>46</v>
      </c>
      <c r="D293" s="164">
        <v>0.35</v>
      </c>
      <c r="E293" s="241">
        <v>3397.3890000000001</v>
      </c>
      <c r="F293" s="128">
        <f t="shared" si="4"/>
        <v>3.531846392149117</v>
      </c>
      <c r="K293" s="192"/>
      <c r="N293" s="168"/>
    </row>
    <row r="294" spans="2:14">
      <c r="B294" s="100" t="s">
        <v>62</v>
      </c>
      <c r="C294" s="245" t="s">
        <v>48</v>
      </c>
      <c r="D294" s="164">
        <v>0.36</v>
      </c>
      <c r="E294" s="241">
        <v>3379.6089999999999</v>
      </c>
      <c r="F294" s="128">
        <f t="shared" si="4"/>
        <v>3.5133627187009449</v>
      </c>
      <c r="K294" s="192"/>
      <c r="N294" s="168"/>
    </row>
    <row r="295" spans="2:14">
      <c r="B295" s="100" t="s">
        <v>62</v>
      </c>
      <c r="C295" s="245" t="s">
        <v>74</v>
      </c>
      <c r="D295" s="164">
        <v>0.27</v>
      </c>
      <c r="E295" s="241">
        <v>1204.8240000000001</v>
      </c>
      <c r="F295" s="128">
        <f t="shared" si="4"/>
        <v>1.2525069391743682</v>
      </c>
      <c r="K295" s="192"/>
      <c r="N295" s="168"/>
    </row>
    <row r="296" spans="2:14">
      <c r="B296" s="100" t="s">
        <v>62</v>
      </c>
      <c r="C296" s="245" t="s">
        <v>50</v>
      </c>
      <c r="D296" s="164">
        <v>0.46</v>
      </c>
      <c r="E296" s="241">
        <v>13135.98</v>
      </c>
      <c r="F296" s="128">
        <f t="shared" si="4"/>
        <v>13.655858534404789</v>
      </c>
      <c r="K296" s="192"/>
      <c r="N296" s="168"/>
    </row>
    <row r="297" spans="2:14">
      <c r="B297" s="100" t="s">
        <v>47</v>
      </c>
      <c r="C297" s="245" t="s">
        <v>49</v>
      </c>
      <c r="D297" s="164">
        <v>5.6000000000000001E-2</v>
      </c>
      <c r="E297" s="241">
        <v>394.46499999999997</v>
      </c>
      <c r="F297" s="128">
        <f t="shared" si="4"/>
        <v>0.41007661680163837</v>
      </c>
      <c r="K297" s="192"/>
      <c r="N297" s="168"/>
    </row>
    <row r="298" spans="2:14">
      <c r="B298" s="100" t="s">
        <v>47</v>
      </c>
      <c r="C298" s="245" t="s">
        <v>49</v>
      </c>
      <c r="D298" s="164">
        <v>6.6500000000000004E-2</v>
      </c>
      <c r="E298" s="241">
        <v>582.37900000000002</v>
      </c>
      <c r="F298" s="128">
        <f t="shared" si="4"/>
        <v>0.60542762986911736</v>
      </c>
      <c r="K298" s="192"/>
      <c r="N298" s="168"/>
    </row>
    <row r="299" spans="2:14">
      <c r="B299" s="100" t="s">
        <v>47</v>
      </c>
      <c r="C299" s="245" t="s">
        <v>49</v>
      </c>
      <c r="D299" s="164">
        <v>7.85E-2</v>
      </c>
      <c r="E299" s="241">
        <v>339.22699999999998</v>
      </c>
      <c r="F299" s="128">
        <f t="shared" si="4"/>
        <v>0.35265247991018056</v>
      </c>
      <c r="K299" s="192"/>
      <c r="N299" s="168"/>
    </row>
    <row r="300" spans="2:14">
      <c r="B300" s="100" t="s">
        <v>47</v>
      </c>
      <c r="C300" s="245" t="s">
        <v>49</v>
      </c>
      <c r="D300" s="164">
        <v>7.85E-2</v>
      </c>
      <c r="E300" s="241">
        <v>339.22699999999998</v>
      </c>
      <c r="F300" s="128">
        <f t="shared" si="4"/>
        <v>0.35265247991018056</v>
      </c>
      <c r="K300" s="192"/>
      <c r="N300" s="168"/>
    </row>
    <row r="301" spans="2:14">
      <c r="B301" s="100" t="s">
        <v>47</v>
      </c>
      <c r="C301" s="245" t="s">
        <v>45</v>
      </c>
      <c r="D301" s="164">
        <v>0.37</v>
      </c>
      <c r="E301" s="241">
        <v>418.28899999999999</v>
      </c>
      <c r="F301" s="128">
        <f t="shared" si="4"/>
        <v>0.43484349173016745</v>
      </c>
      <c r="K301" s="192"/>
      <c r="N301" s="168"/>
    </row>
    <row r="302" spans="2:14">
      <c r="B302" s="100" t="s">
        <v>47</v>
      </c>
      <c r="C302" s="245" t="s">
        <v>46</v>
      </c>
      <c r="D302" s="164">
        <v>0.39</v>
      </c>
      <c r="E302" s="241">
        <v>1767.8150000000001</v>
      </c>
      <c r="F302" s="128">
        <f t="shared" si="4"/>
        <v>1.83777925628684</v>
      </c>
      <c r="K302" s="192"/>
      <c r="N302" s="168"/>
    </row>
    <row r="303" spans="2:14">
      <c r="B303" s="100" t="s">
        <v>52</v>
      </c>
      <c r="C303" s="245" t="s">
        <v>53</v>
      </c>
      <c r="D303" s="164">
        <v>5.5E-2</v>
      </c>
      <c r="E303" s="241">
        <v>23.463999999999999</v>
      </c>
      <c r="F303" s="128">
        <f t="shared" si="4"/>
        <v>2.4392627322154418E-2</v>
      </c>
      <c r="K303" s="192"/>
      <c r="N303" s="168"/>
    </row>
    <row r="304" spans="2:14">
      <c r="B304" s="100" t="s">
        <v>52</v>
      </c>
      <c r="C304" s="245" t="s">
        <v>53</v>
      </c>
      <c r="D304" s="164">
        <v>0.05</v>
      </c>
      <c r="E304" s="241">
        <v>34.564999999999998</v>
      </c>
      <c r="F304" s="128">
        <f t="shared" si="4"/>
        <v>3.5932968095391551E-2</v>
      </c>
      <c r="K304" s="192"/>
      <c r="N304" s="168"/>
    </row>
    <row r="305" spans="2:14">
      <c r="B305" s="100" t="s">
        <v>52</v>
      </c>
      <c r="C305" s="245" t="s">
        <v>53</v>
      </c>
      <c r="D305" s="164">
        <v>5.5E-2</v>
      </c>
      <c r="E305" s="241">
        <v>13.595000000000001</v>
      </c>
      <c r="F305" s="128">
        <f t="shared" si="4"/>
        <v>1.4133045024066201E-2</v>
      </c>
      <c r="K305" s="192"/>
      <c r="N305" s="168"/>
    </row>
    <row r="306" spans="2:14">
      <c r="B306" s="100" t="s">
        <v>52</v>
      </c>
      <c r="C306" s="245" t="s">
        <v>53</v>
      </c>
      <c r="D306" s="164">
        <v>5.5E-2</v>
      </c>
      <c r="E306" s="241">
        <v>17.414999999999999</v>
      </c>
      <c r="F306" s="128">
        <f t="shared" si="4"/>
        <v>1.8104227958375348E-2</v>
      </c>
      <c r="K306" s="192"/>
      <c r="N306" s="168"/>
    </row>
    <row r="307" spans="2:14">
      <c r="B307" s="100" t="s">
        <v>52</v>
      </c>
      <c r="C307" s="245" t="s">
        <v>53</v>
      </c>
      <c r="D307" s="164">
        <v>5.9499999999999997E-2</v>
      </c>
      <c r="E307" s="241">
        <v>98.078999999999994</v>
      </c>
      <c r="F307" s="128">
        <f t="shared" si="4"/>
        <v>0.10196064162672959</v>
      </c>
      <c r="K307" s="192"/>
      <c r="N307" s="168"/>
    </row>
    <row r="308" spans="2:14">
      <c r="B308" s="100" t="s">
        <v>52</v>
      </c>
      <c r="C308" s="245" t="s">
        <v>53</v>
      </c>
      <c r="D308" s="164">
        <v>5.9499999999999997E-2</v>
      </c>
      <c r="E308" s="241">
        <v>47.411999999999999</v>
      </c>
      <c r="F308" s="128">
        <f t="shared" si="4"/>
        <v>4.9288409759545911E-2</v>
      </c>
      <c r="K308" s="192"/>
      <c r="N308" s="168"/>
    </row>
    <row r="309" spans="2:14">
      <c r="B309" s="100" t="s">
        <v>52</v>
      </c>
      <c r="C309" s="245" t="s">
        <v>53</v>
      </c>
      <c r="D309" s="164">
        <v>5.9499999999999997E-2</v>
      </c>
      <c r="E309" s="241">
        <v>373.44900000000001</v>
      </c>
      <c r="F309" s="128">
        <f t="shared" si="4"/>
        <v>0.38822887320283184</v>
      </c>
      <c r="K309" s="192"/>
      <c r="N309" s="168"/>
    </row>
    <row r="310" spans="2:14">
      <c r="B310" s="100" t="s">
        <v>52</v>
      </c>
      <c r="C310" s="245" t="s">
        <v>53</v>
      </c>
      <c r="D310" s="164">
        <v>5.9499999999999997E-2</v>
      </c>
      <c r="E310" s="241">
        <v>116.389</v>
      </c>
      <c r="F310" s="128">
        <f t="shared" si="4"/>
        <v>0.12099529071761979</v>
      </c>
      <c r="K310" s="192"/>
      <c r="N310" s="168"/>
    </row>
    <row r="311" spans="2:14">
      <c r="B311" s="100" t="s">
        <v>52</v>
      </c>
      <c r="C311" s="245" t="s">
        <v>53</v>
      </c>
      <c r="D311" s="164">
        <v>5.9499999999999997E-2</v>
      </c>
      <c r="E311" s="241">
        <v>173.69300000000001</v>
      </c>
      <c r="F311" s="128">
        <f t="shared" si="4"/>
        <v>0.18056719303899454</v>
      </c>
      <c r="K311" s="192"/>
      <c r="N311" s="168"/>
    </row>
    <row r="312" spans="2:14">
      <c r="B312" s="100" t="s">
        <v>52</v>
      </c>
      <c r="C312" s="245" t="s">
        <v>53</v>
      </c>
      <c r="D312" s="164">
        <v>5.9499999999999997E-2</v>
      </c>
      <c r="E312" s="241">
        <v>749.31299999999999</v>
      </c>
      <c r="F312" s="128">
        <f t="shared" si="4"/>
        <v>0.77896832409842709</v>
      </c>
      <c r="N312" s="168"/>
    </row>
    <row r="313" spans="2:14">
      <c r="B313" s="100" t="s">
        <v>52</v>
      </c>
      <c r="C313" s="245" t="s">
        <v>53</v>
      </c>
      <c r="D313" s="164">
        <v>5.9499999999999997E-2</v>
      </c>
      <c r="E313" s="241">
        <v>373.02499999999998</v>
      </c>
      <c r="F313" s="128">
        <f t="shared" si="4"/>
        <v>0.38778809268865716</v>
      </c>
      <c r="N313" s="168"/>
    </row>
    <row r="314" spans="2:14">
      <c r="B314" s="100" t="s">
        <v>52</v>
      </c>
      <c r="C314" s="245" t="s">
        <v>53</v>
      </c>
      <c r="D314" s="164">
        <v>9.9500000000000005E-2</v>
      </c>
      <c r="E314" s="241">
        <v>100.28400000000001</v>
      </c>
      <c r="F314" s="128">
        <f t="shared" si="4"/>
        <v>0.10425290821577454</v>
      </c>
      <c r="N314" s="168"/>
    </row>
    <row r="315" spans="2:14">
      <c r="B315" s="100" t="s">
        <v>52</v>
      </c>
      <c r="C315" s="245" t="s">
        <v>53</v>
      </c>
      <c r="D315" s="164">
        <v>9.9500000000000005E-2</v>
      </c>
      <c r="E315" s="241">
        <v>154.45400000000001</v>
      </c>
      <c r="F315" s="128">
        <f t="shared" si="4"/>
        <v>0.16056677720832077</v>
      </c>
      <c r="N315" s="168"/>
    </row>
    <row r="316" spans="2:14">
      <c r="B316" s="116" t="s">
        <v>33</v>
      </c>
      <c r="C316" s="163"/>
      <c r="D316" s="162"/>
      <c r="E316" s="170">
        <f>SUM(E278:E315)</f>
        <v>110690.86199999996</v>
      </c>
      <c r="F316" s="171">
        <f>SUM(F278:F315)</f>
        <v>115.07163930847352</v>
      </c>
    </row>
    <row r="317" spans="2:14">
      <c r="B317" s="172" t="s">
        <v>54</v>
      </c>
      <c r="C317" s="173"/>
      <c r="D317" s="174"/>
      <c r="E317" s="175">
        <f>E316-C245</f>
        <v>0</v>
      </c>
      <c r="F317" s="171"/>
    </row>
    <row r="318" spans="2:14">
      <c r="B318" s="100"/>
      <c r="C318" s="163"/>
      <c r="D318" s="162"/>
      <c r="E318" s="168"/>
      <c r="F318" s="157"/>
    </row>
    <row r="319" spans="2:14">
      <c r="B319" s="116" t="s">
        <v>55</v>
      </c>
      <c r="C319" s="163"/>
      <c r="D319" s="162"/>
      <c r="E319" s="168"/>
      <c r="F319" s="157"/>
    </row>
    <row r="320" spans="2:14" ht="25.5">
      <c r="B320" s="100" t="s">
        <v>69</v>
      </c>
      <c r="C320" s="185" t="s">
        <v>70</v>
      </c>
      <c r="D320" s="164">
        <v>3.39E-2</v>
      </c>
      <c r="E320" s="241">
        <v>43.101999999999997</v>
      </c>
      <c r="F320" s="128">
        <f t="shared" ref="F320:F328" si="5">E320*$J$235</f>
        <v>4.4807834249893437E-2</v>
      </c>
      <c r="L320" s="168"/>
    </row>
    <row r="321" spans="2:12" ht="25.5">
      <c r="B321" s="100" t="s">
        <v>69</v>
      </c>
      <c r="C321" s="185" t="s">
        <v>70</v>
      </c>
      <c r="D321" s="164">
        <v>5.6500000000000002E-2</v>
      </c>
      <c r="E321" s="241">
        <v>84.799000000000007</v>
      </c>
      <c r="F321" s="128">
        <f t="shared" si="5"/>
        <v>8.8155063258241254E-2</v>
      </c>
      <c r="L321" s="168"/>
    </row>
    <row r="322" spans="2:12" ht="38.25">
      <c r="B322" s="100" t="s">
        <v>41</v>
      </c>
      <c r="C322" s="185" t="s">
        <v>42</v>
      </c>
      <c r="D322" s="164">
        <v>7.4400000000000008E-2</v>
      </c>
      <c r="E322" s="241">
        <v>6740.6850000000004</v>
      </c>
      <c r="F322" s="128">
        <f t="shared" si="5"/>
        <v>7.0074589627103849</v>
      </c>
      <c r="L322" s="168"/>
    </row>
    <row r="323" spans="2:12" ht="38.25">
      <c r="B323" s="100" t="s">
        <v>41</v>
      </c>
      <c r="C323" s="185" t="s">
        <v>42</v>
      </c>
      <c r="D323" s="164">
        <v>7.4400000000000008E-2</v>
      </c>
      <c r="E323" s="241">
        <v>5984.4979999999996</v>
      </c>
      <c r="F323" s="128">
        <f t="shared" si="5"/>
        <v>6.2213445884835687</v>
      </c>
      <c r="L323" s="168"/>
    </row>
    <row r="324" spans="2:12" ht="38.25">
      <c r="B324" s="100" t="s">
        <v>43</v>
      </c>
      <c r="C324" s="185" t="s">
        <v>42</v>
      </c>
      <c r="D324" s="164">
        <v>6.6600000000000006E-2</v>
      </c>
      <c r="E324" s="241">
        <v>16000</v>
      </c>
      <c r="F324" s="128">
        <f t="shared" si="5"/>
        <v>16.633226949985964</v>
      </c>
      <c r="L324" s="168"/>
    </row>
    <row r="325" spans="2:12" ht="38.25">
      <c r="B325" s="100" t="s">
        <v>52</v>
      </c>
      <c r="C325" s="185" t="s">
        <v>53</v>
      </c>
      <c r="D325" s="164">
        <v>5.5E-2</v>
      </c>
      <c r="E325" s="241">
        <v>2391.3110000000001</v>
      </c>
      <c r="F325" s="128">
        <f t="shared" si="5"/>
        <v>2.4859511606873683</v>
      </c>
      <c r="L325" s="168"/>
    </row>
    <row r="326" spans="2:12" ht="38.25">
      <c r="B326" s="100" t="s">
        <v>52</v>
      </c>
      <c r="C326" s="185" t="s">
        <v>53</v>
      </c>
      <c r="D326" s="164">
        <v>0.05</v>
      </c>
      <c r="E326" s="241">
        <v>4785.9430000000002</v>
      </c>
      <c r="F326" s="128">
        <f t="shared" si="5"/>
        <v>4.9753547555435427</v>
      </c>
      <c r="L326" s="168"/>
    </row>
    <row r="327" spans="2:12" ht="38.25">
      <c r="B327" s="100" t="s">
        <v>52</v>
      </c>
      <c r="C327" s="185" t="s">
        <v>53</v>
      </c>
      <c r="D327" s="164">
        <v>5.5E-2</v>
      </c>
      <c r="E327" s="241">
        <v>879.56200000000001</v>
      </c>
      <c r="F327" s="128">
        <f t="shared" si="5"/>
        <v>0.91437214766147223</v>
      </c>
      <c r="L327" s="168"/>
    </row>
    <row r="328" spans="2:12" ht="38.25">
      <c r="B328" s="100" t="s">
        <v>52</v>
      </c>
      <c r="C328" s="185" t="s">
        <v>53</v>
      </c>
      <c r="D328" s="164">
        <v>5.5E-2</v>
      </c>
      <c r="E328" s="241">
        <v>791.60599999999999</v>
      </c>
      <c r="F328" s="128">
        <f t="shared" si="5"/>
        <v>0.82293514081066188</v>
      </c>
      <c r="L328" s="168"/>
    </row>
    <row r="329" spans="2:12">
      <c r="B329" s="116" t="s">
        <v>33</v>
      </c>
      <c r="C329" s="163"/>
      <c r="D329" s="162"/>
      <c r="E329" s="170">
        <f>SUM(E320:E328)</f>
        <v>37701.506000000001</v>
      </c>
      <c r="F329" s="171">
        <f>SUM(F320:F328)</f>
        <v>39.193606603391103</v>
      </c>
    </row>
    <row r="330" spans="2:12" ht="15.75" thickBot="1">
      <c r="B330" s="176" t="s">
        <v>54</v>
      </c>
      <c r="C330" s="177"/>
      <c r="D330" s="178"/>
      <c r="E330" s="179">
        <f>E329-C241</f>
        <v>0</v>
      </c>
      <c r="F330" s="107"/>
    </row>
    <row r="332" spans="2:12" ht="15.75" thickBot="1"/>
    <row r="333" spans="2:12" ht="15.75" thickBot="1">
      <c r="B333" s="246" t="s">
        <v>56</v>
      </c>
      <c r="C333" s="247"/>
      <c r="D333" s="247"/>
      <c r="E333" s="248"/>
      <c r="F333" s="249"/>
    </row>
    <row r="334" spans="2:12">
      <c r="B334" s="250" t="s">
        <v>35</v>
      </c>
      <c r="C334" s="251"/>
      <c r="D334" s="251" t="s">
        <v>37</v>
      </c>
      <c r="E334" s="251" t="s">
        <v>4</v>
      </c>
      <c r="F334" s="252" t="s">
        <v>6</v>
      </c>
    </row>
    <row r="335" spans="2:12">
      <c r="B335" s="116" t="s">
        <v>38</v>
      </c>
      <c r="D335" s="156"/>
      <c r="F335" s="157"/>
    </row>
    <row r="336" spans="2:12">
      <c r="B336" s="100" t="s">
        <v>57</v>
      </c>
      <c r="C336" s="163"/>
      <c r="D336" s="164">
        <v>2.8999999999999998E-2</v>
      </c>
      <c r="E336" s="52">
        <v>479.209</v>
      </c>
      <c r="F336" s="128">
        <f t="shared" ref="F336:F341" si="6">E336*$J$235</f>
        <v>0.49817450334223906</v>
      </c>
      <c r="K336" s="168"/>
    </row>
    <row r="337" spans="2:11">
      <c r="B337" s="100" t="s">
        <v>57</v>
      </c>
      <c r="C337" s="163"/>
      <c r="D337" s="164">
        <v>1.2E-2</v>
      </c>
      <c r="E337" s="52">
        <v>30029.792000000001</v>
      </c>
      <c r="F337" s="128">
        <f t="shared" si="6"/>
        <v>31.218271599804559</v>
      </c>
      <c r="K337" s="168"/>
    </row>
    <row r="338" spans="2:11">
      <c r="B338" s="100" t="s">
        <v>57</v>
      </c>
      <c r="C338" s="163"/>
      <c r="D338" s="164">
        <v>1.6E-2</v>
      </c>
      <c r="E338" s="52">
        <v>697.52300000000002</v>
      </c>
      <c r="F338" s="128">
        <f t="shared" si="6"/>
        <v>0.72512864761469131</v>
      </c>
      <c r="K338" s="168"/>
    </row>
    <row r="339" spans="2:11">
      <c r="B339" s="100" t="s">
        <v>57</v>
      </c>
      <c r="C339" s="163"/>
      <c r="D339" s="164">
        <v>3.3500000000000002E-2</v>
      </c>
      <c r="E339" s="52">
        <v>2946.922</v>
      </c>
      <c r="F339" s="128">
        <f t="shared" si="6"/>
        <v>3.0635514018691588</v>
      </c>
      <c r="K339" s="168"/>
    </row>
    <row r="340" spans="2:11">
      <c r="B340" s="100" t="s">
        <v>57</v>
      </c>
      <c r="C340" s="163"/>
      <c r="D340" s="164">
        <v>2.7E-2</v>
      </c>
      <c r="E340" s="52">
        <v>132.33099999999999</v>
      </c>
      <c r="F340" s="128">
        <f t="shared" si="6"/>
        <v>0.13756822221991205</v>
      </c>
      <c r="K340" s="168"/>
    </row>
    <row r="341" spans="2:11">
      <c r="B341" s="100" t="s">
        <v>57</v>
      </c>
      <c r="C341" s="163"/>
      <c r="D341" s="164">
        <v>3.3500000000000002E-2</v>
      </c>
      <c r="E341" s="52">
        <v>137.99799999999999</v>
      </c>
      <c r="F341" s="128">
        <f t="shared" si="6"/>
        <v>0.14345950329026019</v>
      </c>
      <c r="K341" s="168"/>
    </row>
    <row r="342" spans="2:11">
      <c r="B342" s="116" t="s">
        <v>33</v>
      </c>
      <c r="C342" s="163"/>
      <c r="D342" s="162"/>
      <c r="E342" s="170">
        <f>SUM(E336:E341)</f>
        <v>34423.775000000001</v>
      </c>
      <c r="F342" s="171">
        <f>SUM(F336:F341)</f>
        <v>35.786153878140823</v>
      </c>
    </row>
    <row r="343" spans="2:11">
      <c r="B343" s="172" t="s">
        <v>54</v>
      </c>
      <c r="C343" s="173"/>
      <c r="D343" s="174"/>
      <c r="E343" s="175">
        <f>E342-C246</f>
        <v>0</v>
      </c>
      <c r="F343" s="171"/>
    </row>
    <row r="344" spans="2:11">
      <c r="B344" s="100"/>
      <c r="C344" s="163"/>
      <c r="D344" s="162"/>
      <c r="E344" s="168"/>
      <c r="F344" s="157"/>
    </row>
    <row r="345" spans="2:11">
      <c r="B345" s="116" t="s">
        <v>55</v>
      </c>
      <c r="C345" s="163"/>
      <c r="D345" s="162"/>
      <c r="E345" s="168"/>
      <c r="F345" s="157"/>
      <c r="K345" s="168"/>
    </row>
    <row r="346" spans="2:11">
      <c r="B346" s="100" t="s">
        <v>57</v>
      </c>
      <c r="C346" s="163"/>
      <c r="D346" s="164">
        <v>2.8999999999999998E-2</v>
      </c>
      <c r="E346" s="52">
        <v>118562.321</v>
      </c>
      <c r="F346" s="128">
        <f t="shared" ref="F346:F351" si="7">E346*$J$235</f>
        <v>123.25462455688043</v>
      </c>
      <c r="K346" s="168"/>
    </row>
    <row r="347" spans="2:11">
      <c r="B347" s="100" t="s">
        <v>57</v>
      </c>
      <c r="C347" s="163"/>
      <c r="D347" s="164">
        <v>1.2E-2</v>
      </c>
      <c r="E347" s="52">
        <v>29739.895</v>
      </c>
      <c r="F347" s="128">
        <f t="shared" si="7"/>
        <v>30.916901437734555</v>
      </c>
      <c r="K347" s="168"/>
    </row>
    <row r="348" spans="2:11">
      <c r="B348" s="100" t="s">
        <v>57</v>
      </c>
      <c r="C348" s="163"/>
      <c r="D348" s="164">
        <v>1.6E-2</v>
      </c>
      <c r="E348" s="52">
        <v>80023.619000000006</v>
      </c>
      <c r="F348" s="128">
        <f t="shared" si="7"/>
        <v>83.190688511638072</v>
      </c>
      <c r="K348" s="168"/>
    </row>
    <row r="349" spans="2:11">
      <c r="B349" s="100" t="s">
        <v>57</v>
      </c>
      <c r="C349" s="163"/>
      <c r="D349" s="164">
        <v>3.3500000000000002E-2</v>
      </c>
      <c r="E349" s="52">
        <v>572550.89199999999</v>
      </c>
      <c r="F349" s="128">
        <f t="shared" si="7"/>
        <v>595.21055794080655</v>
      </c>
      <c r="K349" s="168"/>
    </row>
    <row r="350" spans="2:11">
      <c r="B350" s="100" t="s">
        <v>57</v>
      </c>
      <c r="C350" s="163"/>
      <c r="D350" s="164">
        <v>2.7E-2</v>
      </c>
      <c r="E350" s="52">
        <v>157243.101</v>
      </c>
      <c r="F350" s="128">
        <f t="shared" si="7"/>
        <v>163.46626157828533</v>
      </c>
      <c r="K350" s="168"/>
    </row>
    <row r="351" spans="2:11">
      <c r="B351" s="100" t="s">
        <v>57</v>
      </c>
      <c r="C351" s="163"/>
      <c r="D351" s="164">
        <v>3.3500000000000002E-2</v>
      </c>
      <c r="E351" s="52">
        <v>79139.39</v>
      </c>
      <c r="F351" s="128">
        <f t="shared" si="7"/>
        <v>82.27146465959062</v>
      </c>
    </row>
    <row r="352" spans="2:11">
      <c r="B352" s="116" t="s">
        <v>33</v>
      </c>
      <c r="C352" s="163"/>
      <c r="D352" s="162"/>
      <c r="E352" s="170">
        <f>SUM(E346:E351)</f>
        <v>1037259.218</v>
      </c>
      <c r="F352" s="171">
        <f>SUM(F346:F351)</f>
        <v>1078.3104986849355</v>
      </c>
    </row>
    <row r="353" spans="1:12" ht="15.75" thickBot="1">
      <c r="B353" s="176" t="s">
        <v>54</v>
      </c>
      <c r="C353" s="177"/>
      <c r="D353" s="178"/>
      <c r="E353" s="179">
        <f>E352-C242</f>
        <v>0</v>
      </c>
      <c r="F353" s="107"/>
    </row>
    <row r="354" spans="1:12">
      <c r="B354" s="230"/>
      <c r="C354" s="173"/>
      <c r="D354" s="174"/>
      <c r="E354" s="175"/>
    </row>
    <row r="355" spans="1:12">
      <c r="B355" s="230"/>
      <c r="C355" s="173"/>
      <c r="D355" s="174"/>
      <c r="E355" s="175"/>
    </row>
    <row r="356" spans="1:12">
      <c r="B356" s="230"/>
      <c r="C356" s="173"/>
      <c r="D356" s="174"/>
      <c r="E356" s="175"/>
    </row>
    <row r="359" spans="1:12">
      <c r="A359" s="15" t="s">
        <v>75</v>
      </c>
      <c r="D359" s="1"/>
      <c r="I359" s="2" t="s">
        <v>76</v>
      </c>
      <c r="J359" s="154">
        <f>Model!AB$203</f>
        <v>1.0771451345354273E-3</v>
      </c>
    </row>
    <row r="360" spans="1:12">
      <c r="D360" s="1"/>
      <c r="I360" s="2" t="s">
        <v>77</v>
      </c>
      <c r="J360" s="154">
        <f>Model!AB$204</f>
        <v>1.0611325774602842E-3</v>
      </c>
    </row>
    <row r="361" spans="1:12" ht="15.75" thickBot="1">
      <c r="D361" s="1"/>
      <c r="I361" s="2"/>
      <c r="J361" s="114"/>
    </row>
    <row r="362" spans="1:12">
      <c r="B362" s="115" t="s">
        <v>78</v>
      </c>
      <c r="C362" s="104" t="s">
        <v>4</v>
      </c>
      <c r="D362" s="104" t="s">
        <v>5</v>
      </c>
      <c r="E362" s="104" t="s">
        <v>6</v>
      </c>
      <c r="F362" s="105" t="s">
        <v>5</v>
      </c>
    </row>
    <row r="363" spans="1:12">
      <c r="B363" s="100"/>
      <c r="C363" s="94"/>
      <c r="D363" s="14"/>
      <c r="E363" s="95"/>
      <c r="F363" s="106"/>
    </row>
    <row r="364" spans="1:12">
      <c r="B364" s="116" t="s">
        <v>9</v>
      </c>
      <c r="C364" s="96">
        <f>SUM(C365:C366)</f>
        <v>1052341.449</v>
      </c>
      <c r="D364" s="14"/>
      <c r="E364" s="97">
        <f>C364*J359</f>
        <v>1133.5244716603115</v>
      </c>
      <c r="F364" s="106"/>
    </row>
    <row r="365" spans="1:12">
      <c r="B365" s="100" t="s">
        <v>11</v>
      </c>
      <c r="C365" s="52">
        <v>35006.446000000004</v>
      </c>
      <c r="D365" s="14"/>
      <c r="E365" s="95">
        <f>C365*J359</f>
        <v>37.707022986277174</v>
      </c>
      <c r="F365" s="106"/>
    </row>
    <row r="366" spans="1:12">
      <c r="B366" s="100" t="s">
        <v>14</v>
      </c>
      <c r="C366" s="52">
        <v>1017335.003</v>
      </c>
      <c r="D366" s="14"/>
      <c r="E366" s="95">
        <f>C366*J359</f>
        <v>1095.8174486740345</v>
      </c>
      <c r="F366" s="106"/>
    </row>
    <row r="367" spans="1:12">
      <c r="B367" s="100"/>
      <c r="C367" s="94"/>
      <c r="D367" s="14"/>
      <c r="E367" s="95"/>
      <c r="F367" s="106"/>
    </row>
    <row r="368" spans="1:12">
      <c r="B368" s="116" t="s">
        <v>15</v>
      </c>
      <c r="C368" s="96">
        <f>SUM(C369:C370)</f>
        <v>132904.22</v>
      </c>
      <c r="D368" s="14"/>
      <c r="E368" s="97">
        <f>C368*J359</f>
        <v>143.15713393222603</v>
      </c>
      <c r="F368" s="106"/>
      <c r="K368" s="13"/>
      <c r="L368" s="94"/>
    </row>
    <row r="369" spans="2:12">
      <c r="B369" s="100" t="s">
        <v>11</v>
      </c>
      <c r="C369" s="52">
        <v>92000.97</v>
      </c>
      <c r="D369" s="14"/>
      <c r="E369" s="95">
        <f>C369*J359</f>
        <v>99.098397208039813</v>
      </c>
      <c r="F369" s="106"/>
      <c r="K369" s="13"/>
      <c r="L369" s="94"/>
    </row>
    <row r="370" spans="2:12">
      <c r="B370" s="100" t="s">
        <v>14</v>
      </c>
      <c r="C370" s="52">
        <v>40903.25</v>
      </c>
      <c r="D370" s="14"/>
      <c r="E370" s="95">
        <f>C370*J359</f>
        <v>44.058736724186218</v>
      </c>
      <c r="F370" s="106"/>
    </row>
    <row r="371" spans="2:12">
      <c r="B371" s="100"/>
      <c r="C371" s="52"/>
      <c r="D371" s="14"/>
      <c r="E371" s="95"/>
      <c r="F371" s="106"/>
    </row>
    <row r="372" spans="2:12">
      <c r="B372" s="122" t="s">
        <v>16</v>
      </c>
      <c r="C372" s="96">
        <f>SUM(C373:C374)</f>
        <v>50851.968000000001</v>
      </c>
      <c r="D372" s="14"/>
      <c r="E372" s="96">
        <f>SUM(E373:E374)</f>
        <v>54.774949912751239</v>
      </c>
      <c r="F372" s="106"/>
    </row>
    <row r="373" spans="2:12">
      <c r="B373" s="119" t="s">
        <v>17</v>
      </c>
      <c r="C373" s="7">
        <f>Model!$AB$111</f>
        <v>9314.3829999999998</v>
      </c>
      <c r="D373" s="14"/>
      <c r="E373" s="95">
        <f>C373*J359</f>
        <v>10.032942329649497</v>
      </c>
      <c r="F373" s="106"/>
    </row>
    <row r="374" spans="2:12">
      <c r="B374" s="119" t="s">
        <v>18</v>
      </c>
      <c r="C374" s="7">
        <f>Model!$AB$112</f>
        <v>41537.584999999999</v>
      </c>
      <c r="D374" s="14"/>
      <c r="E374" s="95">
        <f>C374*J359</f>
        <v>44.742007583101746</v>
      </c>
      <c r="F374" s="106"/>
    </row>
    <row r="375" spans="2:12">
      <c r="B375" s="100"/>
      <c r="C375" s="94"/>
      <c r="D375" s="14"/>
      <c r="E375" s="95"/>
      <c r="F375" s="106"/>
    </row>
    <row r="376" spans="2:12">
      <c r="B376" s="117" t="s">
        <v>19</v>
      </c>
      <c r="C376" s="11">
        <f>C368+C364+C372</f>
        <v>1236097.6370000001</v>
      </c>
      <c r="D376" s="10">
        <f>C376/C381</f>
        <v>3.0564538565863764</v>
      </c>
      <c r="E376" s="11">
        <f>E368+E364+E372</f>
        <v>1331.4565555052889</v>
      </c>
      <c r="F376" s="118">
        <f>E376/E381</f>
        <v>3.1025759367728765</v>
      </c>
    </row>
    <row r="377" spans="2:12">
      <c r="B377" s="119" t="s">
        <v>20</v>
      </c>
      <c r="C377" s="120">
        <f>Model!AB$119</f>
        <v>511260.23200000002</v>
      </c>
      <c r="D377" s="121"/>
      <c r="E377" s="95">
        <f>C377*J359</f>
        <v>550.70147138025379</v>
      </c>
      <c r="F377" s="106"/>
    </row>
    <row r="378" spans="2:12">
      <c r="B378" s="117" t="s">
        <v>21</v>
      </c>
      <c r="C378" s="11">
        <f>C376-C377</f>
        <v>724837.40500000003</v>
      </c>
      <c r="D378" s="10">
        <f>C378/C381</f>
        <v>1.7922791983383681</v>
      </c>
      <c r="E378" s="11">
        <f>E376-E377</f>
        <v>780.75508412503507</v>
      </c>
      <c r="F378" s="118">
        <f>E378/E381</f>
        <v>1.8193248037298009</v>
      </c>
    </row>
    <row r="379" spans="2:12">
      <c r="B379" s="122" t="s">
        <v>22</v>
      </c>
      <c r="C379" s="9">
        <f>Model!AB$123</f>
        <v>1610362.659</v>
      </c>
      <c r="D379" s="8"/>
      <c r="E379" s="97">
        <f>C379*J359</f>
        <v>1734.5943029793834</v>
      </c>
      <c r="F379" s="106"/>
    </row>
    <row r="380" spans="2:12">
      <c r="B380" s="122" t="s">
        <v>23</v>
      </c>
      <c r="C380" s="9">
        <f>C378+C379</f>
        <v>2335200.0640000002</v>
      </c>
      <c r="D380" s="8"/>
      <c r="E380" s="9">
        <f>E378+E379</f>
        <v>2515.3493871044184</v>
      </c>
      <c r="F380" s="106"/>
    </row>
    <row r="381" spans="2:12" ht="15.75" thickBot="1">
      <c r="B381" s="123" t="s">
        <v>24</v>
      </c>
      <c r="C381" s="124">
        <f>Model!AB$86</f>
        <v>404422.14899999998</v>
      </c>
      <c r="D381" s="125"/>
      <c r="E381" s="126">
        <f>C381*J360</f>
        <v>429.14551735039709</v>
      </c>
      <c r="F381" s="107"/>
    </row>
    <row r="382" spans="2:12">
      <c r="B382" s="5" t="s">
        <v>25</v>
      </c>
      <c r="C382" s="4">
        <f>+C376-Model!AB$118</f>
        <v>0</v>
      </c>
      <c r="D382" s="3"/>
    </row>
    <row r="383" spans="2:12">
      <c r="D383" s="1"/>
    </row>
    <row r="384" spans="2:12" ht="15.75" thickBot="1">
      <c r="B384" s="2"/>
      <c r="C384" s="98"/>
      <c r="D384" s="1"/>
    </row>
    <row r="385" spans="2:6">
      <c r="B385" s="99" t="s">
        <v>79</v>
      </c>
      <c r="C385" s="104" t="s">
        <v>4</v>
      </c>
      <c r="D385" s="108"/>
      <c r="E385" s="109" t="s">
        <v>6</v>
      </c>
    </row>
    <row r="386" spans="2:6">
      <c r="B386" s="101" t="s">
        <v>20</v>
      </c>
      <c r="C386" s="110">
        <f>C377</f>
        <v>511260.23200000002</v>
      </c>
      <c r="D386" s="110"/>
      <c r="E386" s="113">
        <f>E377</f>
        <v>550.70147138025379</v>
      </c>
    </row>
    <row r="387" spans="2:6">
      <c r="B387" s="101"/>
      <c r="C387" s="94"/>
      <c r="D387" s="94"/>
      <c r="E387" s="103"/>
    </row>
    <row r="388" spans="2:6" ht="15.75" thickBot="1">
      <c r="B388" s="102" t="s">
        <v>27</v>
      </c>
      <c r="C388" s="111">
        <f>SUM(C386:C387)</f>
        <v>511260.23200000002</v>
      </c>
      <c r="D388" s="111"/>
      <c r="E388" s="112">
        <f>SUM(E386:E387)</f>
        <v>550.70147138025379</v>
      </c>
    </row>
    <row r="389" spans="2:6" ht="15.75" thickBot="1">
      <c r="B389" s="2"/>
      <c r="C389" s="98"/>
      <c r="D389" s="98"/>
      <c r="E389" s="96"/>
    </row>
    <row r="390" spans="2:6">
      <c r="B390" s="99" t="s">
        <v>28</v>
      </c>
      <c r="C390" s="104" t="s">
        <v>4</v>
      </c>
      <c r="D390" s="127"/>
      <c r="E390" s="129" t="s">
        <v>6</v>
      </c>
    </row>
    <row r="391" spans="2:6">
      <c r="B391" s="100" t="s">
        <v>29</v>
      </c>
      <c r="C391" s="130">
        <f>C369+C370</f>
        <v>132904.22</v>
      </c>
      <c r="D391" s="1"/>
      <c r="E391" s="128">
        <f>C391*$J359</f>
        <v>143.15713393222603</v>
      </c>
    </row>
    <row r="392" spans="2:6">
      <c r="B392" s="100" t="s">
        <v>30</v>
      </c>
      <c r="C392" s="130">
        <f>24847.725+29609.735</f>
        <v>54457.46</v>
      </c>
      <c r="D392" s="1"/>
      <c r="E392" s="128">
        <f>C392*$J359</f>
        <v>58.658588078157649</v>
      </c>
    </row>
    <row r="393" spans="2:6">
      <c r="B393" s="100" t="s">
        <v>31</v>
      </c>
      <c r="C393" s="130">
        <f>8096.51+0</f>
        <v>8096.51</v>
      </c>
      <c r="D393" s="1"/>
      <c r="E393" s="128">
        <f>C393*$J359</f>
        <v>8.7211163532174325</v>
      </c>
    </row>
    <row r="394" spans="2:6">
      <c r="B394" s="100" t="s">
        <v>32</v>
      </c>
      <c r="C394" s="130">
        <f>2062.211+987725.268</f>
        <v>989787.47900000005</v>
      </c>
      <c r="D394" s="1"/>
      <c r="E394" s="128">
        <f>C394*$J359</f>
        <v>1066.1447672289364</v>
      </c>
    </row>
    <row r="395" spans="2:6" ht="15.75" thickBot="1">
      <c r="B395" s="102" t="s">
        <v>33</v>
      </c>
      <c r="C395" s="131">
        <f>SUM(C391:C394)</f>
        <v>1185245.669</v>
      </c>
      <c r="D395" s="111"/>
      <c r="E395" s="132">
        <f>SUM(E391:E394)</f>
        <v>1276.6816055925376</v>
      </c>
    </row>
    <row r="396" spans="2:6">
      <c r="B396" s="5" t="s">
        <v>25</v>
      </c>
      <c r="C396" s="4">
        <f>C395-C364-C368</f>
        <v>0</v>
      </c>
      <c r="D396" s="98"/>
      <c r="E396" s="96"/>
    </row>
    <row r="397" spans="2:6">
      <c r="D397" s="1"/>
    </row>
    <row r="398" spans="2:6" ht="15.75" thickBot="1">
      <c r="D398" s="1"/>
    </row>
    <row r="399" spans="2:6" ht="15.75" thickBot="1">
      <c r="B399" s="165" t="s">
        <v>34</v>
      </c>
      <c r="C399" s="166"/>
      <c r="D399" s="166"/>
      <c r="E399" s="167"/>
      <c r="F399" s="129"/>
    </row>
    <row r="400" spans="2:6">
      <c r="B400" s="161" t="s">
        <v>35</v>
      </c>
      <c r="C400" s="160" t="s">
        <v>36</v>
      </c>
      <c r="D400" s="160" t="s">
        <v>37</v>
      </c>
      <c r="E400" s="160" t="s">
        <v>4</v>
      </c>
      <c r="F400" s="159" t="s">
        <v>6</v>
      </c>
    </row>
    <row r="401" spans="2:14">
      <c r="B401" s="116" t="s">
        <v>38</v>
      </c>
      <c r="D401" s="156"/>
      <c r="F401" s="157"/>
      <c r="N401" s="168"/>
    </row>
    <row r="402" spans="2:14" ht="25.5">
      <c r="B402" s="100" t="s">
        <v>69</v>
      </c>
      <c r="C402" s="185" t="s">
        <v>70</v>
      </c>
      <c r="D402" s="164">
        <v>3.39E-2</v>
      </c>
      <c r="E402" s="52">
        <v>8.0630000000000006</v>
      </c>
      <c r="F402" s="128">
        <f>E402*$J359</f>
        <v>8.6850212197591512E-3</v>
      </c>
      <c r="K402" s="192"/>
      <c r="N402" s="168"/>
    </row>
    <row r="403" spans="2:14" ht="25.5">
      <c r="B403" s="100" t="s">
        <v>69</v>
      </c>
      <c r="C403" s="185" t="s">
        <v>70</v>
      </c>
      <c r="D403" s="164">
        <v>5.6500000000000002E-2</v>
      </c>
      <c r="E403" s="52">
        <v>13.436</v>
      </c>
      <c r="F403" s="128">
        <f>E403*$J359</f>
        <v>1.4472522027618001E-2</v>
      </c>
      <c r="K403" s="192"/>
      <c r="N403" s="168"/>
    </row>
    <row r="404" spans="2:14" ht="38.25">
      <c r="B404" s="100" t="s">
        <v>71</v>
      </c>
      <c r="C404" s="185" t="s">
        <v>42</v>
      </c>
      <c r="D404" s="164">
        <v>5.0700000000000002E-2</v>
      </c>
      <c r="E404" s="52">
        <v>58966.487999999998</v>
      </c>
      <c r="F404" s="128">
        <f>E404*$J359</f>
        <v>63.515465649841659</v>
      </c>
      <c r="K404" s="192"/>
      <c r="N404" s="168"/>
    </row>
    <row r="405" spans="2:14" ht="38.25">
      <c r="B405" s="100" t="s">
        <v>41</v>
      </c>
      <c r="C405" s="185" t="s">
        <v>42</v>
      </c>
      <c r="D405" s="164">
        <v>6.8400000000000002E-2</v>
      </c>
      <c r="E405" s="52">
        <v>2062.3200000000002</v>
      </c>
      <c r="F405" s="128">
        <f>E405*$J359</f>
        <v>2.2214179538551027</v>
      </c>
      <c r="K405" s="192"/>
      <c r="N405" s="168"/>
    </row>
    <row r="406" spans="2:14" ht="38.25">
      <c r="B406" s="100" t="s">
        <v>41</v>
      </c>
      <c r="C406" s="185" t="s">
        <v>42</v>
      </c>
      <c r="D406" s="164">
        <v>6.8400000000000002E-2</v>
      </c>
      <c r="E406" s="52">
        <v>2026.6</v>
      </c>
      <c r="F406" s="128">
        <f>E406*$J359</f>
        <v>2.1829423296494967</v>
      </c>
      <c r="K406" s="192"/>
      <c r="N406" s="168"/>
    </row>
    <row r="407" spans="2:14" ht="38.25">
      <c r="B407" s="100" t="s">
        <v>41</v>
      </c>
      <c r="C407" s="185" t="s">
        <v>42</v>
      </c>
      <c r="D407" s="164">
        <v>6.8400000000000002E-2</v>
      </c>
      <c r="E407" s="52">
        <v>1014.06</v>
      </c>
      <c r="F407" s="128">
        <f>E407*$J359</f>
        <v>1.0922897951269954</v>
      </c>
      <c r="K407" s="192"/>
      <c r="N407" s="168"/>
    </row>
    <row r="408" spans="2:14" ht="38.25">
      <c r="B408" s="100" t="s">
        <v>41</v>
      </c>
      <c r="C408" s="185" t="s">
        <v>42</v>
      </c>
      <c r="D408" s="164">
        <v>7.4400000000000008E-2</v>
      </c>
      <c r="E408" s="52">
        <v>183.11099999999999</v>
      </c>
      <c r="F408" s="128">
        <f>E408*$J359</f>
        <v>0.19723712272991661</v>
      </c>
      <c r="K408" s="192"/>
      <c r="N408" s="168"/>
    </row>
    <row r="409" spans="2:14" ht="38.25">
      <c r="B409" s="100" t="s">
        <v>41</v>
      </c>
      <c r="C409" s="185" t="s">
        <v>42</v>
      </c>
      <c r="D409" s="164">
        <v>7.4400000000000008E-2</v>
      </c>
      <c r="E409" s="52">
        <v>51.170999999999999</v>
      </c>
      <c r="F409" s="128">
        <f>E409*$J359</f>
        <v>5.511859367931235E-2</v>
      </c>
      <c r="K409" s="192"/>
      <c r="N409" s="168"/>
    </row>
    <row r="410" spans="2:14">
      <c r="B410" s="100" t="s">
        <v>41</v>
      </c>
      <c r="C410" s="185" t="s">
        <v>40</v>
      </c>
      <c r="D410" s="164">
        <v>6.1399999999999996E-2</v>
      </c>
      <c r="E410" s="52">
        <v>3053.7289999999998</v>
      </c>
      <c r="F410" s="128">
        <f>E410*$J359</f>
        <v>3.2893093345397357</v>
      </c>
      <c r="K410" s="192"/>
      <c r="N410" s="168"/>
    </row>
    <row r="411" spans="2:14" ht="38.25">
      <c r="B411" s="100" t="s">
        <v>41</v>
      </c>
      <c r="C411" s="185" t="s">
        <v>73</v>
      </c>
      <c r="D411" s="164">
        <v>3.4500000000000003E-2</v>
      </c>
      <c r="E411" s="52">
        <v>827.62</v>
      </c>
      <c r="F411" s="128">
        <f>E411*$J359</f>
        <v>0.8914668562442104</v>
      </c>
      <c r="K411" s="192"/>
      <c r="N411" s="168"/>
    </row>
    <row r="412" spans="2:14" ht="38.25">
      <c r="B412" s="100" t="s">
        <v>43</v>
      </c>
      <c r="C412" s="185" t="s">
        <v>42</v>
      </c>
      <c r="D412" s="164">
        <v>6.6600000000000006E-2</v>
      </c>
      <c r="E412" s="52">
        <v>2.3919999999999999</v>
      </c>
      <c r="F412" s="128">
        <f>E412*$J359</f>
        <v>2.5765311618087421E-3</v>
      </c>
      <c r="K412" s="192"/>
      <c r="N412" s="168"/>
    </row>
    <row r="413" spans="2:14" ht="38.25">
      <c r="B413" s="100" t="s">
        <v>43</v>
      </c>
      <c r="C413" s="185" t="s">
        <v>42</v>
      </c>
      <c r="D413" s="164">
        <v>6.6600000000000006E-2</v>
      </c>
      <c r="E413" s="52">
        <v>455.84</v>
      </c>
      <c r="F413" s="128">
        <f>E413*$J359</f>
        <v>0.49100583812662918</v>
      </c>
      <c r="K413" s="192"/>
      <c r="N413" s="168"/>
    </row>
    <row r="414" spans="2:14">
      <c r="B414" s="100" t="s">
        <v>44</v>
      </c>
      <c r="C414" s="185" t="s">
        <v>45</v>
      </c>
      <c r="D414" s="164">
        <v>0.375</v>
      </c>
      <c r="E414" s="52">
        <v>5091.366</v>
      </c>
      <c r="F414" s="128">
        <f>E414*$J359</f>
        <v>5.4841401150391009</v>
      </c>
      <c r="K414" s="192"/>
      <c r="N414" s="168"/>
    </row>
    <row r="415" spans="2:14">
      <c r="B415" s="100" t="s">
        <v>44</v>
      </c>
      <c r="C415" s="185" t="s">
        <v>50</v>
      </c>
      <c r="D415" s="164">
        <v>0.375</v>
      </c>
      <c r="E415" s="52">
        <v>3718.2109999999998</v>
      </c>
      <c r="F415" s="128">
        <f>E415*$J359</f>
        <v>4.005052887826106</v>
      </c>
      <c r="K415" s="192"/>
      <c r="N415" s="168"/>
    </row>
    <row r="416" spans="2:14" ht="25.5">
      <c r="B416" s="100" t="s">
        <v>44</v>
      </c>
      <c r="C416" s="185" t="s">
        <v>46</v>
      </c>
      <c r="D416" s="164">
        <v>0.375</v>
      </c>
      <c r="E416" s="52">
        <v>2319.36</v>
      </c>
      <c r="F416" s="128">
        <f>E416*$J359</f>
        <v>2.4982873392360889</v>
      </c>
      <c r="K416" s="192"/>
      <c r="N416" s="168"/>
    </row>
    <row r="417" spans="2:14" ht="25.5">
      <c r="B417" s="100" t="s">
        <v>44</v>
      </c>
      <c r="C417" s="185" t="s">
        <v>48</v>
      </c>
      <c r="D417" s="164">
        <v>0.38</v>
      </c>
      <c r="E417" s="52">
        <v>5420.21</v>
      </c>
      <c r="F417" s="128"/>
      <c r="K417" s="192"/>
      <c r="N417" s="168"/>
    </row>
    <row r="418" spans="2:14">
      <c r="B418" s="100" t="s">
        <v>47</v>
      </c>
      <c r="C418" s="185" t="s">
        <v>45</v>
      </c>
      <c r="D418" s="164">
        <v>4.2500000000000003E-2</v>
      </c>
      <c r="E418" s="52">
        <v>285.27600000000001</v>
      </c>
      <c r="F418" s="128"/>
      <c r="K418" s="192"/>
      <c r="N418" s="168"/>
    </row>
    <row r="419" spans="2:14">
      <c r="B419" s="100" t="s">
        <v>47</v>
      </c>
      <c r="C419" s="185" t="s">
        <v>45</v>
      </c>
      <c r="D419" s="164">
        <v>4.8899999999999999E-2</v>
      </c>
      <c r="E419" s="52">
        <v>285.39100000000002</v>
      </c>
      <c r="F419" s="128">
        <f>E419*$J359</f>
        <v>0.30740752709020014</v>
      </c>
      <c r="K419" s="192"/>
      <c r="N419" s="168"/>
    </row>
    <row r="420" spans="2:14">
      <c r="B420" s="100" t="s">
        <v>47</v>
      </c>
      <c r="C420" s="185" t="s">
        <v>45</v>
      </c>
      <c r="D420" s="164">
        <v>4.8899999999999999E-2</v>
      </c>
      <c r="E420" s="52">
        <v>284.71499999999997</v>
      </c>
      <c r="F420" s="128">
        <f>E420*$J359</f>
        <v>0.30667937697925418</v>
      </c>
      <c r="K420" s="192"/>
      <c r="N420" s="168"/>
    </row>
    <row r="421" spans="2:14" ht="25.5">
      <c r="B421" s="100" t="s">
        <v>47</v>
      </c>
      <c r="C421" s="185" t="s">
        <v>49</v>
      </c>
      <c r="D421" s="164">
        <v>4.9000000000000002E-2</v>
      </c>
      <c r="E421" s="52">
        <v>282.62</v>
      </c>
      <c r="F421" s="128">
        <f>E421*$J359</f>
        <v>0.30442275792240248</v>
      </c>
      <c r="K421" s="192"/>
      <c r="N421" s="168"/>
    </row>
    <row r="422" spans="2:14" ht="25.5">
      <c r="B422" s="100" t="s">
        <v>47</v>
      </c>
      <c r="C422" s="185" t="s">
        <v>49</v>
      </c>
      <c r="D422" s="164">
        <v>5.5999999999999994E-2</v>
      </c>
      <c r="E422" s="52">
        <v>378.065</v>
      </c>
      <c r="F422" s="128">
        <f>E422*$J359</f>
        <v>0.40723087528813634</v>
      </c>
      <c r="K422" s="192"/>
      <c r="N422" s="168"/>
    </row>
    <row r="423" spans="2:14" ht="25.5">
      <c r="B423" s="100" t="s">
        <v>47</v>
      </c>
      <c r="C423" s="185" t="s">
        <v>46</v>
      </c>
      <c r="D423" s="164">
        <v>0.36</v>
      </c>
      <c r="E423" s="52">
        <v>1140.9559999999999</v>
      </c>
      <c r="F423" s="128">
        <f>E423*$J359</f>
        <v>1.228975204119003</v>
      </c>
      <c r="K423" s="192"/>
      <c r="N423" s="168"/>
    </row>
    <row r="424" spans="2:14" ht="25.5">
      <c r="B424" s="100" t="s">
        <v>47</v>
      </c>
      <c r="C424" s="185" t="s">
        <v>48</v>
      </c>
      <c r="D424" s="164">
        <v>0.36</v>
      </c>
      <c r="E424" s="52">
        <v>1422.9359999999999</v>
      </c>
      <c r="F424" s="128">
        <f>E424*$J359</f>
        <v>1.5327085891553027</v>
      </c>
      <c r="K424" s="192"/>
      <c r="N424" s="168"/>
    </row>
    <row r="425" spans="2:14">
      <c r="B425" s="100" t="s">
        <v>47</v>
      </c>
      <c r="C425" s="185" t="s">
        <v>50</v>
      </c>
      <c r="D425" s="164">
        <v>0.36</v>
      </c>
      <c r="E425" s="52">
        <v>415.15100000000001</v>
      </c>
      <c r="F425" s="128">
        <f>E425*$J359</f>
        <v>0.44717787974751722</v>
      </c>
      <c r="K425" s="192"/>
      <c r="N425" s="168"/>
    </row>
    <row r="426" spans="2:14" ht="38.25">
      <c r="B426" s="100" t="s">
        <v>52</v>
      </c>
      <c r="C426" s="185" t="s">
        <v>53</v>
      </c>
      <c r="D426" s="164">
        <v>5.6100000000000004E-2</v>
      </c>
      <c r="E426" s="52">
        <v>256.375</v>
      </c>
      <c r="F426" s="128">
        <f>E426*$J359</f>
        <v>0.27615308386652021</v>
      </c>
      <c r="K426" s="192"/>
      <c r="N426" s="168"/>
    </row>
    <row r="427" spans="2:14" ht="38.25">
      <c r="B427" s="100" t="s">
        <v>52</v>
      </c>
      <c r="C427" s="185" t="s">
        <v>53</v>
      </c>
      <c r="D427" s="164">
        <v>0.05</v>
      </c>
      <c r="E427" s="52">
        <v>76.435000000000002</v>
      </c>
      <c r="F427" s="128">
        <f>E427*$J359</f>
        <v>8.2331588358215385E-2</v>
      </c>
      <c r="K427" s="192"/>
      <c r="N427" s="168"/>
    </row>
    <row r="428" spans="2:14" ht="38.25">
      <c r="B428" s="100" t="s">
        <v>52</v>
      </c>
      <c r="C428" s="185" t="s">
        <v>53</v>
      </c>
      <c r="D428" s="164">
        <v>5.5E-2</v>
      </c>
      <c r="E428" s="52">
        <v>116.26600000000001</v>
      </c>
      <c r="F428" s="128">
        <f>E428*$J359</f>
        <v>0.12523535621189599</v>
      </c>
      <c r="K428" s="192"/>
      <c r="N428" s="168"/>
    </row>
    <row r="429" spans="2:14" ht="38.25">
      <c r="B429" s="100" t="s">
        <v>52</v>
      </c>
      <c r="C429" s="185" t="s">
        <v>53</v>
      </c>
      <c r="D429" s="164">
        <v>5.9500000000000004E-2</v>
      </c>
      <c r="E429" s="52">
        <v>175.249</v>
      </c>
      <c r="F429" s="128">
        <f>E429*$J359</f>
        <v>0.18876860768219911</v>
      </c>
      <c r="K429" s="192"/>
      <c r="N429" s="168"/>
    </row>
    <row r="430" spans="2:14" ht="38.25">
      <c r="B430" s="100" t="s">
        <v>52</v>
      </c>
      <c r="C430" s="185" t="s">
        <v>53</v>
      </c>
      <c r="D430" s="164">
        <v>5.9500000000000004E-2</v>
      </c>
      <c r="E430" s="52">
        <v>72.046999999999997</v>
      </c>
      <c r="F430" s="128">
        <f>E430*$J359</f>
        <v>7.7605075507873933E-2</v>
      </c>
      <c r="K430" s="192"/>
      <c r="N430" s="168"/>
    </row>
    <row r="431" spans="2:14" ht="38.25">
      <c r="B431" s="100" t="s">
        <v>52</v>
      </c>
      <c r="C431" s="185" t="s">
        <v>53</v>
      </c>
      <c r="D431" s="164">
        <v>5.9500000000000004E-2</v>
      </c>
      <c r="E431" s="52">
        <v>35.201999999999998</v>
      </c>
      <c r="F431" s="128">
        <f>E431*$J359</f>
        <v>3.7917663025916114E-2</v>
      </c>
      <c r="K431" s="192"/>
      <c r="N431" s="168"/>
    </row>
    <row r="432" spans="2:14" ht="38.25">
      <c r="B432" s="100" t="s">
        <v>52</v>
      </c>
      <c r="C432" s="185" t="s">
        <v>53</v>
      </c>
      <c r="D432" s="164">
        <v>5.9500000000000004E-2</v>
      </c>
      <c r="E432" s="52">
        <v>279.44400000000002</v>
      </c>
      <c r="F432" s="128">
        <f>E432*$J359</f>
        <v>0.301001744975118</v>
      </c>
      <c r="K432" s="192"/>
      <c r="N432" s="168"/>
    </row>
    <row r="433" spans="2:14" ht="38.25">
      <c r="B433" s="100" t="s">
        <v>52</v>
      </c>
      <c r="C433" s="185" t="s">
        <v>53</v>
      </c>
      <c r="D433" s="164">
        <v>5.9500000000000004E-2</v>
      </c>
      <c r="E433" s="52">
        <v>177.06299999999999</v>
      </c>
      <c r="F433" s="128">
        <f>E433*$J359</f>
        <v>0.19072254895624635</v>
      </c>
      <c r="K433" s="192"/>
      <c r="N433" s="168"/>
    </row>
    <row r="434" spans="2:14" ht="38.25">
      <c r="B434" s="100" t="s">
        <v>52</v>
      </c>
      <c r="C434" s="185" t="s">
        <v>53</v>
      </c>
      <c r="D434" s="164">
        <v>5.9500000000000004E-2</v>
      </c>
      <c r="E434" s="52">
        <v>266.37400000000002</v>
      </c>
      <c r="F434" s="128">
        <f>E434*$J359</f>
        <v>0.28692345806673997</v>
      </c>
      <c r="K434" s="192"/>
      <c r="N434" s="168"/>
    </row>
    <row r="435" spans="2:14" ht="38.25">
      <c r="B435" s="100" t="s">
        <v>52</v>
      </c>
      <c r="C435" s="185" t="s">
        <v>53</v>
      </c>
      <c r="D435" s="164">
        <v>5.9500000000000004E-2</v>
      </c>
      <c r="E435" s="52">
        <v>558.72400000000005</v>
      </c>
      <c r="F435" s="128">
        <f>E435*$J359</f>
        <v>0.60182683814817217</v>
      </c>
      <c r="N435" s="168"/>
    </row>
    <row r="436" spans="2:14" ht="38.25">
      <c r="B436" s="100" t="s">
        <v>52</v>
      </c>
      <c r="C436" s="185" t="s">
        <v>53</v>
      </c>
      <c r="D436" s="164">
        <v>5.9500000000000004E-2</v>
      </c>
      <c r="E436" s="52">
        <v>278.70400000000001</v>
      </c>
      <c r="F436" s="128">
        <f>E436*$J359</f>
        <v>0.30020465757556175</v>
      </c>
      <c r="N436" s="168"/>
    </row>
    <row r="437" spans="2:14">
      <c r="B437" s="116" t="s">
        <v>33</v>
      </c>
      <c r="C437" s="163"/>
      <c r="D437" s="162"/>
      <c r="E437" s="170">
        <f>SUM(E402:E436)</f>
        <v>92000.97</v>
      </c>
      <c r="F437" s="171">
        <f>SUM(F402:F436)</f>
        <v>92.952760722979832</v>
      </c>
    </row>
    <row r="438" spans="2:14">
      <c r="B438" s="172" t="s">
        <v>54</v>
      </c>
      <c r="C438" s="173"/>
      <c r="D438" s="174"/>
      <c r="E438" s="175">
        <f>E437-C369</f>
        <v>0</v>
      </c>
      <c r="F438" s="171"/>
    </row>
    <row r="439" spans="2:14">
      <c r="B439" s="100"/>
      <c r="C439" s="163"/>
      <c r="D439" s="162"/>
      <c r="E439" s="168"/>
      <c r="F439" s="157"/>
    </row>
    <row r="440" spans="2:14">
      <c r="B440" s="116" t="s">
        <v>55</v>
      </c>
      <c r="C440" s="163"/>
      <c r="D440" s="162"/>
      <c r="E440" s="168"/>
      <c r="F440" s="157"/>
    </row>
    <row r="441" spans="2:14" ht="25.5">
      <c r="B441" s="100" t="s">
        <v>69</v>
      </c>
      <c r="C441" s="185" t="s">
        <v>70</v>
      </c>
      <c r="D441" s="164">
        <v>3.39E-2</v>
      </c>
      <c r="E441" s="52">
        <v>46.305999999999997</v>
      </c>
      <c r="F441" s="128">
        <f>E441*$J359</f>
        <v>4.9878282599797492E-2</v>
      </c>
      <c r="L441" s="168"/>
    </row>
    <row r="442" spans="2:14" ht="25.5">
      <c r="B442" s="100" t="s">
        <v>69</v>
      </c>
      <c r="C442" s="185" t="s">
        <v>70</v>
      </c>
      <c r="D442" s="164">
        <v>5.6500000000000002E-2</v>
      </c>
      <c r="E442" s="52">
        <v>88.968999999999994</v>
      </c>
      <c r="F442" s="128">
        <f>E442*$J359</f>
        <v>9.5832525474482427E-2</v>
      </c>
      <c r="L442" s="168"/>
    </row>
    <row r="443" spans="2:14" ht="38.25">
      <c r="B443" s="100" t="s">
        <v>41</v>
      </c>
      <c r="C443" s="185" t="s">
        <v>42</v>
      </c>
      <c r="D443" s="164">
        <v>7.4400000000000008E-2</v>
      </c>
      <c r="E443" s="52">
        <v>6737.9639999999999</v>
      </c>
      <c r="F443" s="128">
        <f>E443*$J359</f>
        <v>7.2577651392748663</v>
      </c>
      <c r="L443" s="168"/>
    </row>
    <row r="444" spans="2:14" ht="38.25">
      <c r="B444" s="100" t="s">
        <v>41</v>
      </c>
      <c r="C444" s="185" t="s">
        <v>42</v>
      </c>
      <c r="D444" s="164">
        <v>7.4400000000000008E-2</v>
      </c>
      <c r="E444" s="52">
        <v>5982.0820000000003</v>
      </c>
      <c r="F444" s="128">
        <f>E444*$J359</f>
        <v>6.4435705206919582</v>
      </c>
      <c r="L444" s="168"/>
    </row>
    <row r="445" spans="2:14" ht="38.25">
      <c r="B445" s="100" t="s">
        <v>43</v>
      </c>
      <c r="C445" s="185" t="s">
        <v>42</v>
      </c>
      <c r="D445" s="164">
        <v>6.6600000000000006E-2</v>
      </c>
      <c r="E445" s="52">
        <v>16000</v>
      </c>
      <c r="F445" s="128">
        <f>E445*$J359</f>
        <v>17.234322152566836</v>
      </c>
      <c r="L445" s="168"/>
    </row>
    <row r="446" spans="2:14" ht="38.25">
      <c r="B446" s="100" t="s">
        <v>52</v>
      </c>
      <c r="C446" s="185" t="s">
        <v>53</v>
      </c>
      <c r="D446" s="164">
        <v>5.6100000000000004E-2</v>
      </c>
      <c r="E446" s="52">
        <v>1566.232</v>
      </c>
      <c r="F446" s="128">
        <f>E446*$J359</f>
        <v>1.6870591783536915</v>
      </c>
      <c r="L446" s="168"/>
    </row>
    <row r="447" spans="2:14" ht="38.25">
      <c r="B447" s="100" t="s">
        <v>52</v>
      </c>
      <c r="C447" s="185" t="s">
        <v>53</v>
      </c>
      <c r="D447" s="164">
        <v>0.05</v>
      </c>
      <c r="E447" s="52">
        <v>3426.576</v>
      </c>
      <c r="F447" s="128">
        <f>E447*$J359</f>
        <v>3.6909196665158666</v>
      </c>
      <c r="L447" s="168"/>
    </row>
    <row r="448" spans="2:14" ht="38.25">
      <c r="B448" s="100" t="s">
        <v>52</v>
      </c>
      <c r="C448" s="185" t="s">
        <v>53</v>
      </c>
      <c r="D448" s="164">
        <v>5.5E-2</v>
      </c>
      <c r="E448" s="52">
        <v>556.88499999999999</v>
      </c>
      <c r="F448" s="128">
        <f>E448*$J359</f>
        <v>0.59984596824576142</v>
      </c>
      <c r="L448" s="168"/>
    </row>
    <row r="449" spans="2:12" ht="38.25">
      <c r="B449" s="100" t="s">
        <v>52</v>
      </c>
      <c r="C449" s="185" t="s">
        <v>53</v>
      </c>
      <c r="D449" s="164">
        <v>5.9500000000000004E-2</v>
      </c>
      <c r="E449" s="52">
        <v>601.43200000000002</v>
      </c>
      <c r="F449" s="128">
        <f>E449*$J359</f>
        <v>0.64782955255391117</v>
      </c>
      <c r="L449" s="168"/>
    </row>
    <row r="450" spans="2:12">
      <c r="B450" s="116" t="s">
        <v>33</v>
      </c>
      <c r="C450" s="163"/>
      <c r="D450" s="162"/>
      <c r="E450" s="170">
        <f>SUM(E441:E449)</f>
        <v>35006.446000000004</v>
      </c>
      <c r="F450" s="171">
        <f>SUM(F441:F449)</f>
        <v>37.707022986277167</v>
      </c>
    </row>
    <row r="451" spans="2:12" ht="15.75" thickBot="1">
      <c r="B451" s="176" t="s">
        <v>54</v>
      </c>
      <c r="C451" s="177"/>
      <c r="D451" s="178"/>
      <c r="E451" s="179">
        <f>E450-C365</f>
        <v>0</v>
      </c>
      <c r="F451" s="107"/>
    </row>
    <row r="453" spans="2:12" ht="15.75" thickBot="1"/>
    <row r="454" spans="2:12" ht="15.75" thickBot="1">
      <c r="B454" s="165" t="s">
        <v>56</v>
      </c>
      <c r="C454" s="166"/>
      <c r="D454" s="166"/>
      <c r="E454" s="167"/>
      <c r="F454" s="129"/>
    </row>
    <row r="455" spans="2:12">
      <c r="B455" s="161" t="s">
        <v>35</v>
      </c>
      <c r="C455" s="160"/>
      <c r="D455" s="160" t="s">
        <v>37</v>
      </c>
      <c r="E455" s="160" t="s">
        <v>4</v>
      </c>
      <c r="F455" s="159" t="s">
        <v>6</v>
      </c>
    </row>
    <row r="456" spans="2:12">
      <c r="B456" s="116" t="s">
        <v>38</v>
      </c>
      <c r="D456" s="156"/>
      <c r="F456" s="157"/>
    </row>
    <row r="457" spans="2:12">
      <c r="B457" s="100" t="s">
        <v>57</v>
      </c>
      <c r="C457" s="163"/>
      <c r="D457" s="164">
        <v>2.8999999999999998E-2</v>
      </c>
      <c r="E457" s="52">
        <v>1324.4870000000001</v>
      </c>
      <c r="F457" s="128">
        <f>E457*$J359</f>
        <v>1.4266647278054247</v>
      </c>
      <c r="K457" s="168"/>
    </row>
    <row r="458" spans="2:12">
      <c r="B458" s="100" t="s">
        <v>57</v>
      </c>
      <c r="C458" s="163"/>
      <c r="D458" s="164">
        <v>1.2E-2</v>
      </c>
      <c r="E458" s="52">
        <v>29675.063999999998</v>
      </c>
      <c r="F458" s="128">
        <f>E458*$J359</f>
        <v>31.964350804627415</v>
      </c>
      <c r="K458" s="168"/>
    </row>
    <row r="459" spans="2:12">
      <c r="B459" s="100" t="s">
        <v>57</v>
      </c>
      <c r="C459" s="163"/>
      <c r="D459" s="164">
        <v>1.6E-2</v>
      </c>
      <c r="E459" s="52">
        <v>380.80099999999999</v>
      </c>
      <c r="F459" s="128">
        <f>E459*$J359</f>
        <v>0.41017794437622523</v>
      </c>
      <c r="K459" s="168"/>
    </row>
    <row r="460" spans="2:12">
      <c r="B460" s="100" t="s">
        <v>57</v>
      </c>
      <c r="C460" s="163"/>
      <c r="D460" s="164">
        <v>3.3500000000000002E-2</v>
      </c>
      <c r="E460" s="52">
        <v>7548.6490000000003</v>
      </c>
      <c r="F460" s="128">
        <f>E460*$J359</f>
        <v>8.1309905426657192</v>
      </c>
      <c r="K460" s="168"/>
    </row>
    <row r="461" spans="2:12">
      <c r="B461" s="100" t="s">
        <v>57</v>
      </c>
      <c r="C461" s="163"/>
      <c r="D461" s="164">
        <v>3.3500000000000002E-2</v>
      </c>
      <c r="E461" s="52">
        <v>789.51</v>
      </c>
      <c r="F461" s="128">
        <f>E461*$J359</f>
        <v>0.85041685516706522</v>
      </c>
      <c r="K461" s="168"/>
    </row>
    <row r="462" spans="2:12">
      <c r="B462" s="100" t="s">
        <v>57</v>
      </c>
      <c r="C462" s="163"/>
      <c r="D462" s="164">
        <v>2.7000000000000003E-2</v>
      </c>
      <c r="E462" s="52">
        <v>1184.739</v>
      </c>
      <c r="F462" s="128">
        <f>E462*$J359</f>
        <v>1.2761358495443678</v>
      </c>
      <c r="K462" s="168"/>
    </row>
    <row r="463" spans="2:12">
      <c r="B463" s="116" t="s">
        <v>33</v>
      </c>
      <c r="C463" s="163"/>
      <c r="D463" s="162"/>
      <c r="E463" s="170">
        <f>SUM(E457:E462)</f>
        <v>40903.25</v>
      </c>
      <c r="F463" s="171">
        <f>SUM(F457:F462)</f>
        <v>44.058736724186211</v>
      </c>
    </row>
    <row r="464" spans="2:12">
      <c r="B464" s="172" t="s">
        <v>54</v>
      </c>
      <c r="C464" s="173"/>
      <c r="D464" s="174"/>
      <c r="E464" s="175">
        <f>E463-C370</f>
        <v>0</v>
      </c>
      <c r="F464" s="171"/>
    </row>
    <row r="465" spans="1:11">
      <c r="B465" s="100"/>
      <c r="C465" s="163"/>
      <c r="D465" s="162"/>
      <c r="E465" s="168"/>
      <c r="F465" s="157"/>
    </row>
    <row r="466" spans="1:11">
      <c r="B466" s="116" t="s">
        <v>55</v>
      </c>
      <c r="C466" s="163"/>
      <c r="D466" s="162"/>
      <c r="E466" s="168"/>
      <c r="F466" s="157"/>
      <c r="K466" s="168"/>
    </row>
    <row r="467" spans="1:11">
      <c r="B467" s="100" t="s">
        <v>57</v>
      </c>
      <c r="C467" s="163"/>
      <c r="D467" s="164">
        <v>2.8999999999999998E-2</v>
      </c>
      <c r="E467" s="52">
        <v>117907.591</v>
      </c>
      <c r="F467" s="128">
        <f>E467*$J359</f>
        <v>127.00358797044315</v>
      </c>
      <c r="K467" s="168"/>
    </row>
    <row r="468" spans="1:11">
      <c r="B468" s="100" t="s">
        <v>57</v>
      </c>
      <c r="C468" s="163"/>
      <c r="D468" s="164">
        <v>1.2E-2</v>
      </c>
      <c r="E468" s="52">
        <v>29609.735000000001</v>
      </c>
      <c r="F468" s="128">
        <f>E468*$J359</f>
        <v>31.893981990133351</v>
      </c>
      <c r="K468" s="168"/>
    </row>
    <row r="469" spans="1:11">
      <c r="B469" s="100" t="s">
        <v>57</v>
      </c>
      <c r="C469" s="163"/>
      <c r="D469" s="164">
        <v>1.6E-2</v>
      </c>
      <c r="E469" s="52">
        <v>79652.297000000006</v>
      </c>
      <c r="F469" s="128">
        <f>E469*$J359</f>
        <v>85.797084168120819</v>
      </c>
      <c r="K469" s="168"/>
    </row>
    <row r="470" spans="1:11">
      <c r="B470" s="100" t="s">
        <v>57</v>
      </c>
      <c r="C470" s="163"/>
      <c r="D470" s="164">
        <v>3.3500000000000002E-2</v>
      </c>
      <c r="E470" s="52">
        <v>555094.68900000001</v>
      </c>
      <c r="F470" s="128">
        <f>E470*$J359</f>
        <v>597.91754346280618</v>
      </c>
      <c r="K470" s="168"/>
    </row>
    <row r="471" spans="1:11">
      <c r="B471" s="100" t="s">
        <v>57</v>
      </c>
      <c r="C471" s="163"/>
      <c r="D471" s="164">
        <v>3.3500000000000002E-2</v>
      </c>
      <c r="E471" s="52">
        <v>78708.930999999997</v>
      </c>
      <c r="F471" s="128">
        <f>E471*$J359</f>
        <v>84.78094207113466</v>
      </c>
      <c r="K471" s="168"/>
    </row>
    <row r="472" spans="1:11">
      <c r="B472" s="100" t="s">
        <v>57</v>
      </c>
      <c r="C472" s="163"/>
      <c r="D472" s="164">
        <v>2.7000000000000003E-2</v>
      </c>
      <c r="E472" s="52">
        <v>156361.76</v>
      </c>
      <c r="F472" s="128">
        <f>E472*$J359</f>
        <v>168.42430901139622</v>
      </c>
    </row>
    <row r="473" spans="1:11">
      <c r="B473" s="116" t="s">
        <v>33</v>
      </c>
      <c r="C473" s="163"/>
      <c r="D473" s="162"/>
      <c r="E473" s="170">
        <f>SUM(E467:E472)</f>
        <v>1017335.003</v>
      </c>
      <c r="F473" s="171">
        <f>SUM(F467:F472)</f>
        <v>1095.8174486740343</v>
      </c>
    </row>
    <row r="474" spans="1:11" ht="15.75" thickBot="1">
      <c r="B474" s="176" t="s">
        <v>54</v>
      </c>
      <c r="C474" s="177"/>
      <c r="D474" s="178"/>
      <c r="E474" s="179">
        <f>E473-C366</f>
        <v>0</v>
      </c>
      <c r="F474" s="107"/>
    </row>
    <row r="475" spans="1:11">
      <c r="B475" s="230"/>
      <c r="C475" s="173"/>
      <c r="D475" s="174"/>
      <c r="E475" s="175"/>
    </row>
    <row r="476" spans="1:11">
      <c r="B476" s="230"/>
      <c r="C476" s="173"/>
      <c r="D476" s="174"/>
      <c r="E476" s="175"/>
    </row>
    <row r="477" spans="1:11">
      <c r="B477" s="230"/>
      <c r="C477" s="173"/>
      <c r="D477" s="174"/>
      <c r="E477" s="175"/>
    </row>
    <row r="479" spans="1:11">
      <c r="A479" s="15" t="s">
        <v>80</v>
      </c>
      <c r="D479" s="1"/>
      <c r="I479" s="2" t="s">
        <v>81</v>
      </c>
      <c r="J479" s="154">
        <f>Model!AA$203</f>
        <v>1.054E-3</v>
      </c>
    </row>
    <row r="480" spans="1:11">
      <c r="D480" s="1"/>
      <c r="I480" s="2" t="s">
        <v>82</v>
      </c>
      <c r="J480" s="154">
        <f>Model!AA$204</f>
        <v>1.0553397496618057E-3</v>
      </c>
    </row>
    <row r="481" spans="2:12" ht="15.75" thickBot="1">
      <c r="D481" s="1"/>
      <c r="I481" s="2"/>
      <c r="J481" s="114"/>
    </row>
    <row r="482" spans="2:12">
      <c r="B482" s="115" t="s">
        <v>83</v>
      </c>
      <c r="C482" s="104" t="s">
        <v>4</v>
      </c>
      <c r="D482" s="104" t="s">
        <v>5</v>
      </c>
      <c r="E482" s="104" t="s">
        <v>6</v>
      </c>
      <c r="F482" s="105" t="s">
        <v>5</v>
      </c>
    </row>
    <row r="483" spans="2:12">
      <c r="B483" s="100"/>
      <c r="C483" s="94"/>
      <c r="D483" s="14"/>
      <c r="E483" s="95"/>
      <c r="F483" s="106"/>
      <c r="L483" s="94"/>
    </row>
    <row r="484" spans="2:12">
      <c r="B484" s="116" t="s">
        <v>9</v>
      </c>
      <c r="C484" s="96">
        <f>SUM(C485:C486)</f>
        <v>1205357.669</v>
      </c>
      <c r="D484" s="14"/>
      <c r="E484" s="97">
        <f>C484*J479</f>
        <v>1270.4469831260001</v>
      </c>
      <c r="F484" s="106"/>
      <c r="L484" s="94"/>
    </row>
    <row r="485" spans="2:12">
      <c r="B485" s="100" t="s">
        <v>11</v>
      </c>
      <c r="C485" s="52">
        <v>166263.68299999999</v>
      </c>
      <c r="D485" s="14"/>
      <c r="E485" s="95">
        <f>C485*J479</f>
        <v>175.24192188199999</v>
      </c>
      <c r="F485" s="106"/>
    </row>
    <row r="486" spans="2:12">
      <c r="B486" s="100" t="s">
        <v>14</v>
      </c>
      <c r="C486" s="52">
        <v>1039093.986</v>
      </c>
      <c r="D486" s="14"/>
      <c r="E486" s="95">
        <f>C486*J479</f>
        <v>1095.205061244</v>
      </c>
      <c r="F486" s="106"/>
    </row>
    <row r="487" spans="2:12">
      <c r="B487" s="100"/>
      <c r="C487" s="94"/>
      <c r="D487" s="14"/>
      <c r="E487" s="95"/>
      <c r="F487" s="106"/>
    </row>
    <row r="488" spans="2:12">
      <c r="B488" s="116" t="s">
        <v>15</v>
      </c>
      <c r="C488" s="96">
        <f>SUM(C489:C490)</f>
        <v>126337.45199999999</v>
      </c>
      <c r="D488" s="14"/>
      <c r="E488" s="97">
        <f>C488*J479</f>
        <v>133.159674408</v>
      </c>
      <c r="F488" s="106"/>
      <c r="K488" s="13"/>
    </row>
    <row r="489" spans="2:12">
      <c r="B489" s="100" t="s">
        <v>11</v>
      </c>
      <c r="C489" s="52">
        <v>33795.781999999999</v>
      </c>
      <c r="D489" s="14"/>
      <c r="E489" s="95">
        <f>C489*J479</f>
        <v>35.620754228000003</v>
      </c>
      <c r="F489" s="106"/>
      <c r="K489" s="13"/>
    </row>
    <row r="490" spans="2:12">
      <c r="B490" s="100" t="s">
        <v>14</v>
      </c>
      <c r="C490" s="52">
        <v>92541.67</v>
      </c>
      <c r="D490" s="14"/>
      <c r="E490" s="95">
        <f>C490*J479</f>
        <v>97.538920180000005</v>
      </c>
      <c r="F490" s="106"/>
    </row>
    <row r="491" spans="2:12">
      <c r="B491" s="100"/>
      <c r="C491" s="52"/>
      <c r="D491" s="14"/>
      <c r="E491" s="95"/>
      <c r="F491" s="106"/>
    </row>
    <row r="492" spans="2:12">
      <c r="B492" s="122" t="s">
        <v>16</v>
      </c>
      <c r="C492" s="96">
        <f>SUM(C493:C494)</f>
        <v>53463.932999999997</v>
      </c>
      <c r="D492" s="14"/>
      <c r="E492" s="96">
        <f>SUM(E493:E494)</f>
        <v>56.350985381999998</v>
      </c>
      <c r="F492" s="106"/>
    </row>
    <row r="493" spans="2:12">
      <c r="B493" s="119" t="s">
        <v>17</v>
      </c>
      <c r="C493" s="7">
        <f>Model!$AA$111</f>
        <v>9974.0470000000005</v>
      </c>
      <c r="D493" s="14"/>
      <c r="E493" s="95">
        <f>C493*J479</f>
        <v>10.512645538000001</v>
      </c>
      <c r="F493" s="106"/>
    </row>
    <row r="494" spans="2:12">
      <c r="B494" s="119" t="s">
        <v>18</v>
      </c>
      <c r="C494" s="7">
        <f>Model!$AA$112</f>
        <v>43489.885999999999</v>
      </c>
      <c r="D494" s="14"/>
      <c r="E494" s="95">
        <f>C494*J479</f>
        <v>45.838339843999997</v>
      </c>
      <c r="F494" s="106"/>
    </row>
    <row r="495" spans="2:12">
      <c r="B495" s="100"/>
      <c r="C495" s="94"/>
      <c r="D495" s="14"/>
      <c r="E495" s="95"/>
      <c r="F495" s="106"/>
    </row>
    <row r="496" spans="2:12">
      <c r="B496" s="117" t="s">
        <v>19</v>
      </c>
      <c r="C496" s="11">
        <f>C488+C484+C492</f>
        <v>1385159.054</v>
      </c>
      <c r="D496" s="10">
        <f>C496/C501</f>
        <v>3.2720792495130704</v>
      </c>
      <c r="E496" s="11">
        <f>E488+E484+E492</f>
        <v>1459.9576429160002</v>
      </c>
      <c r="F496" s="118">
        <f>E496/E501</f>
        <v>3.2679253577740917</v>
      </c>
    </row>
    <row r="497" spans="2:6">
      <c r="B497" s="119" t="s">
        <v>20</v>
      </c>
      <c r="C497" s="120">
        <f>Model!AA$119</f>
        <v>771435.03899999999</v>
      </c>
      <c r="D497" s="121"/>
      <c r="E497" s="95">
        <f>C497*J479</f>
        <v>813.09253110600002</v>
      </c>
      <c r="F497" s="106"/>
    </row>
    <row r="498" spans="2:6">
      <c r="B498" s="117" t="s">
        <v>21</v>
      </c>
      <c r="C498" s="11">
        <f>C496-C497</f>
        <v>613724.01500000001</v>
      </c>
      <c r="D498" s="10">
        <f>C498/C501</f>
        <v>1.449763915999605</v>
      </c>
      <c r="E498" s="11">
        <f>E496-E497</f>
        <v>646.86511181000014</v>
      </c>
      <c r="F498" s="118">
        <f>E498/E501</f>
        <v>1.4479234464098063</v>
      </c>
    </row>
    <row r="499" spans="2:6">
      <c r="B499" s="122" t="s">
        <v>22</v>
      </c>
      <c r="C499" s="9">
        <f>Model!AA$123</f>
        <v>1676208.432</v>
      </c>
      <c r="D499" s="8"/>
      <c r="E499" s="97">
        <f>C499*J479</f>
        <v>1766.7236873280001</v>
      </c>
      <c r="F499" s="106"/>
    </row>
    <row r="500" spans="2:6">
      <c r="B500" s="122" t="s">
        <v>23</v>
      </c>
      <c r="C500" s="9">
        <f>C498+C499</f>
        <v>2289932.4470000002</v>
      </c>
      <c r="D500" s="8"/>
      <c r="E500" s="9">
        <f>E498+E499</f>
        <v>2413.5887991380005</v>
      </c>
      <c r="F500" s="106"/>
    </row>
    <row r="501" spans="2:6" ht="15.75" thickBot="1">
      <c r="B501" s="123" t="s">
        <v>24</v>
      </c>
      <c r="C501" s="124">
        <f>Model!AA$86</f>
        <v>423326.86599999998</v>
      </c>
      <c r="D501" s="125"/>
      <c r="E501" s="126">
        <f>C501*J480</f>
        <v>446.75366878955674</v>
      </c>
      <c r="F501" s="107"/>
    </row>
    <row r="502" spans="2:6">
      <c r="B502" s="5" t="s">
        <v>25</v>
      </c>
      <c r="C502" s="4">
        <f>+C496-Model!AA$118</f>
        <v>0</v>
      </c>
      <c r="D502" s="3"/>
    </row>
    <row r="503" spans="2:6">
      <c r="D503" s="1"/>
    </row>
    <row r="504" spans="2:6" ht="15.75" thickBot="1">
      <c r="B504" s="2"/>
      <c r="C504" s="98"/>
      <c r="D504" s="1"/>
    </row>
    <row r="505" spans="2:6">
      <c r="B505" s="99" t="s">
        <v>84</v>
      </c>
      <c r="C505" s="104" t="s">
        <v>4</v>
      </c>
      <c r="D505" s="108"/>
      <c r="E505" s="109" t="s">
        <v>6</v>
      </c>
    </row>
    <row r="506" spans="2:6">
      <c r="B506" s="101" t="s">
        <v>20</v>
      </c>
      <c r="C506" s="110">
        <f>C497</f>
        <v>771435.03899999999</v>
      </c>
      <c r="D506" s="110"/>
      <c r="E506" s="113">
        <f>E497</f>
        <v>813.09253110600002</v>
      </c>
    </row>
    <row r="507" spans="2:6">
      <c r="B507" s="101"/>
      <c r="C507" s="94"/>
      <c r="D507" s="94"/>
      <c r="E507" s="103"/>
    </row>
    <row r="508" spans="2:6" ht="15.75" thickBot="1">
      <c r="B508" s="102" t="s">
        <v>27</v>
      </c>
      <c r="C508" s="111">
        <f>SUM(C506:C507)</f>
        <v>771435.03899999999</v>
      </c>
      <c r="D508" s="111"/>
      <c r="E508" s="112">
        <f>SUM(E506:E507)</f>
        <v>813.09253110600002</v>
      </c>
    </row>
    <row r="509" spans="2:6" ht="15.75" thickBot="1">
      <c r="B509" s="2"/>
      <c r="C509" s="98"/>
      <c r="D509" s="98"/>
      <c r="E509" s="96"/>
    </row>
    <row r="510" spans="2:6">
      <c r="B510" s="99" t="s">
        <v>28</v>
      </c>
      <c r="C510" s="104" t="s">
        <v>4</v>
      </c>
      <c r="D510" s="127"/>
      <c r="E510" s="129" t="s">
        <v>6</v>
      </c>
    </row>
    <row r="511" spans="2:6">
      <c r="B511" s="100" t="s">
        <v>29</v>
      </c>
      <c r="C511" s="130">
        <f>C489+C490</f>
        <v>126337.45199999999</v>
      </c>
      <c r="D511" s="1"/>
      <c r="E511" s="128">
        <f>C511*$J479</f>
        <v>133.159674408</v>
      </c>
    </row>
    <row r="512" spans="2:6">
      <c r="B512" s="100" t="s">
        <v>30</v>
      </c>
      <c r="C512" s="130">
        <f>60876.213+44571.954</f>
        <v>105448.167</v>
      </c>
      <c r="D512" s="1"/>
      <c r="E512" s="128">
        <f>C512*$J479</f>
        <v>111.142368018</v>
      </c>
    </row>
    <row r="513" spans="2:11">
      <c r="B513" s="100" t="s">
        <v>31</v>
      </c>
      <c r="C513" s="130">
        <f>100427.214+622.654</f>
        <v>101049.868</v>
      </c>
      <c r="D513" s="1"/>
      <c r="E513" s="128">
        <f>C513*$J479</f>
        <v>106.50656087200001</v>
      </c>
    </row>
    <row r="514" spans="2:11">
      <c r="B514" s="100" t="s">
        <v>32</v>
      </c>
      <c r="C514" s="130">
        <f>4960.256+993899.378</f>
        <v>998859.63400000008</v>
      </c>
      <c r="D514" s="1"/>
      <c r="E514" s="128">
        <f>C514*$J479</f>
        <v>1052.7980542360001</v>
      </c>
    </row>
    <row r="515" spans="2:11" ht="15.75" thickBot="1">
      <c r="B515" s="102" t="s">
        <v>33</v>
      </c>
      <c r="C515" s="131">
        <f>SUM(C511:C514)</f>
        <v>1331695.121</v>
      </c>
      <c r="D515" s="111"/>
      <c r="E515" s="132">
        <f>SUM(E511:E514)</f>
        <v>1403.6066575340001</v>
      </c>
    </row>
    <row r="516" spans="2:11">
      <c r="B516" s="5" t="s">
        <v>25</v>
      </c>
      <c r="C516" s="4">
        <f>C515-C484-C488</f>
        <v>0</v>
      </c>
      <c r="D516" s="98"/>
      <c r="E516" s="96"/>
    </row>
    <row r="517" spans="2:11">
      <c r="D517" s="1"/>
    </row>
    <row r="518" spans="2:11" ht="15.75" thickBot="1">
      <c r="D518" s="1"/>
    </row>
    <row r="519" spans="2:11" ht="15.75" thickBot="1">
      <c r="B519" s="165" t="s">
        <v>34</v>
      </c>
      <c r="C519" s="166"/>
      <c r="D519" s="166"/>
      <c r="E519" s="167"/>
      <c r="F519" s="129"/>
    </row>
    <row r="520" spans="2:11">
      <c r="B520" s="161" t="s">
        <v>35</v>
      </c>
      <c r="C520" s="160" t="s">
        <v>36</v>
      </c>
      <c r="D520" s="160" t="s">
        <v>37</v>
      </c>
      <c r="E520" s="160" t="s">
        <v>4</v>
      </c>
      <c r="F520" s="159" t="s">
        <v>6</v>
      </c>
    </row>
    <row r="521" spans="2:11">
      <c r="B521" s="116" t="s">
        <v>38</v>
      </c>
      <c r="D521" s="156"/>
      <c r="F521" s="157"/>
    </row>
    <row r="522" spans="2:11" ht="25.5">
      <c r="B522" s="100" t="s">
        <v>69</v>
      </c>
      <c r="C522" s="185" t="s">
        <v>70</v>
      </c>
      <c r="D522" s="164">
        <v>3.39E-2</v>
      </c>
      <c r="E522" s="52">
        <v>7.9409999999999998</v>
      </c>
      <c r="F522" s="128">
        <f>E522*$J479</f>
        <v>8.3698139999999997E-3</v>
      </c>
      <c r="K522" s="192"/>
    </row>
    <row r="523" spans="2:11" ht="25.5">
      <c r="B523" s="100" t="s">
        <v>69</v>
      </c>
      <c r="C523" s="185" t="s">
        <v>70</v>
      </c>
      <c r="D523" s="164">
        <v>5.6500000000000002E-2</v>
      </c>
      <c r="E523" s="52">
        <v>13.166</v>
      </c>
      <c r="F523" s="128">
        <f>E523*$J479</f>
        <v>1.3876964E-2</v>
      </c>
      <c r="K523" s="192"/>
    </row>
    <row r="524" spans="2:11" ht="38.25">
      <c r="B524" s="100" t="s">
        <v>85</v>
      </c>
      <c r="C524" s="185" t="s">
        <v>86</v>
      </c>
      <c r="D524" s="164">
        <v>6.9599999999999995E-2</v>
      </c>
      <c r="E524" s="52">
        <v>7.5990000000000002</v>
      </c>
      <c r="F524" s="128">
        <f>E524*$J479</f>
        <v>8.0093460000000005E-3</v>
      </c>
      <c r="K524" s="192"/>
    </row>
    <row r="525" spans="2:11" ht="38.25">
      <c r="B525" s="100" t="s">
        <v>57</v>
      </c>
      <c r="C525" s="185" t="s">
        <v>42</v>
      </c>
      <c r="D525" s="164">
        <v>6.7799999999999999E-2</v>
      </c>
      <c r="E525" s="52">
        <v>2305.1999999999998</v>
      </c>
      <c r="F525" s="128">
        <f>E525*$J479</f>
        <v>2.4296807999999999</v>
      </c>
      <c r="K525" s="192"/>
    </row>
    <row r="526" spans="2:11" ht="38.25">
      <c r="B526" s="100" t="s">
        <v>57</v>
      </c>
      <c r="C526" s="185" t="s">
        <v>42</v>
      </c>
      <c r="D526" s="164">
        <v>6.54E-2</v>
      </c>
      <c r="E526" s="52">
        <v>741.2</v>
      </c>
      <c r="F526" s="128">
        <f>E526*$J479</f>
        <v>0.78122480000000005</v>
      </c>
      <c r="K526" s="192"/>
    </row>
    <row r="527" spans="2:11" ht="38.25">
      <c r="B527" s="100" t="s">
        <v>41</v>
      </c>
      <c r="C527" s="185" t="s">
        <v>42</v>
      </c>
      <c r="D527" s="164">
        <v>6.8400000000000002E-2</v>
      </c>
      <c r="E527" s="52">
        <v>2027.74</v>
      </c>
      <c r="F527" s="128">
        <f>E527*$J479</f>
        <v>2.1372379600000002</v>
      </c>
      <c r="K527" s="192"/>
    </row>
    <row r="528" spans="2:11" ht="38.25">
      <c r="B528" s="100" t="s">
        <v>41</v>
      </c>
      <c r="C528" s="185" t="s">
        <v>42</v>
      </c>
      <c r="D528" s="164">
        <v>6.8400000000000002E-2</v>
      </c>
      <c r="E528" s="52">
        <v>30.78</v>
      </c>
      <c r="F528" s="128">
        <f>E528*$J479</f>
        <v>3.2442120000000005E-2</v>
      </c>
      <c r="K528" s="192"/>
    </row>
    <row r="529" spans="2:11" ht="38.25">
      <c r="B529" s="100" t="s">
        <v>41</v>
      </c>
      <c r="C529" s="185" t="s">
        <v>42</v>
      </c>
      <c r="D529" s="164">
        <v>6.8400000000000002E-2</v>
      </c>
      <c r="E529" s="52">
        <v>15.39</v>
      </c>
      <c r="F529" s="128">
        <f>E529*$J479</f>
        <v>1.6221060000000002E-2</v>
      </c>
      <c r="K529" s="192"/>
    </row>
    <row r="530" spans="2:11" ht="38.25">
      <c r="B530" s="100" t="s">
        <v>41</v>
      </c>
      <c r="C530" s="185" t="s">
        <v>42</v>
      </c>
      <c r="D530" s="164">
        <v>7.4400000000000008E-2</v>
      </c>
      <c r="E530" s="52">
        <v>56.165999999999997</v>
      </c>
      <c r="F530" s="128">
        <f>E530*$J479</f>
        <v>5.9198964E-2</v>
      </c>
      <c r="K530" s="192"/>
    </row>
    <row r="531" spans="2:11" ht="38.25">
      <c r="B531" s="100" t="s">
        <v>41</v>
      </c>
      <c r="C531" s="185" t="s">
        <v>42</v>
      </c>
      <c r="D531" s="164">
        <v>7.4400000000000008E-2</v>
      </c>
      <c r="E531" s="52">
        <v>90.850999999999999</v>
      </c>
      <c r="F531" s="128">
        <f>E531*$J479</f>
        <v>9.5756954000000005E-2</v>
      </c>
      <c r="K531" s="192"/>
    </row>
    <row r="532" spans="2:11">
      <c r="B532" s="100" t="s">
        <v>41</v>
      </c>
      <c r="C532" s="185" t="s">
        <v>40</v>
      </c>
      <c r="D532" s="164">
        <v>6.1399999999999996E-2</v>
      </c>
      <c r="E532" s="52">
        <v>3007.1640000000002</v>
      </c>
      <c r="F532" s="128">
        <f>E532*$J479</f>
        <v>3.1695508560000003</v>
      </c>
      <c r="K532" s="192"/>
    </row>
    <row r="533" spans="2:11" ht="38.25">
      <c r="B533" s="100" t="s">
        <v>41</v>
      </c>
      <c r="C533" s="185" t="s">
        <v>73</v>
      </c>
      <c r="D533" s="164">
        <v>3.4500000000000003E-2</v>
      </c>
      <c r="E533" s="52">
        <v>1673.0139999999999</v>
      </c>
      <c r="F533" s="128">
        <f>E533*$J479</f>
        <v>1.7633567559999999</v>
      </c>
      <c r="K533" s="192"/>
    </row>
    <row r="534" spans="2:11" ht="38.25">
      <c r="B534" s="100" t="s">
        <v>43</v>
      </c>
      <c r="C534" s="185" t="s">
        <v>42</v>
      </c>
      <c r="D534" s="164">
        <v>6.6600000000000006E-2</v>
      </c>
      <c r="E534" s="52">
        <v>186.48</v>
      </c>
      <c r="F534" s="128">
        <f>E534*$J479</f>
        <v>0.19654991999999999</v>
      </c>
      <c r="K534" s="192"/>
    </row>
    <row r="535" spans="2:11">
      <c r="B535" s="100" t="s">
        <v>44</v>
      </c>
      <c r="C535" s="185" t="s">
        <v>50</v>
      </c>
      <c r="D535" s="164">
        <v>0.36</v>
      </c>
      <c r="E535" s="52">
        <v>4084.4270000000001</v>
      </c>
      <c r="F535" s="128">
        <f>E535*$J479</f>
        <v>4.3049860579999999</v>
      </c>
      <c r="K535" s="192"/>
    </row>
    <row r="536" spans="2:11">
      <c r="B536" s="100" t="s">
        <v>44</v>
      </c>
      <c r="C536" s="185" t="s">
        <v>45</v>
      </c>
      <c r="D536" s="164">
        <v>0.35100000000000003</v>
      </c>
      <c r="E536" s="52">
        <v>7361.8059999999996</v>
      </c>
      <c r="F536" s="128">
        <f>E536*$J479</f>
        <v>7.7593435240000002</v>
      </c>
      <c r="K536" s="192"/>
    </row>
    <row r="537" spans="2:11" ht="25.5">
      <c r="B537" s="100" t="s">
        <v>44</v>
      </c>
      <c r="C537" s="185" t="s">
        <v>46</v>
      </c>
      <c r="D537" s="164">
        <v>0.36499999999999999</v>
      </c>
      <c r="E537" s="52">
        <v>2634.451</v>
      </c>
      <c r="F537" s="128">
        <f>E537*$J479</f>
        <v>2.7767113540000001</v>
      </c>
      <c r="K537" s="192"/>
    </row>
    <row r="538" spans="2:11">
      <c r="B538" s="100" t="s">
        <v>47</v>
      </c>
      <c r="C538" s="185" t="s">
        <v>45</v>
      </c>
      <c r="D538" s="164">
        <v>4.2500000000000003E-2</v>
      </c>
      <c r="E538" s="52">
        <v>288.28500000000003</v>
      </c>
      <c r="F538" s="128">
        <f>E538*$J479</f>
        <v>0.30385239000000003</v>
      </c>
      <c r="K538" s="192"/>
    </row>
    <row r="539" spans="2:11">
      <c r="B539" s="100" t="s">
        <v>47</v>
      </c>
      <c r="C539" s="185" t="s">
        <v>45</v>
      </c>
      <c r="D539" s="164">
        <v>4.8899999999999999E-2</v>
      </c>
      <c r="E539" s="52">
        <v>287.91300000000001</v>
      </c>
      <c r="F539" s="128">
        <f>E539*$J479</f>
        <v>0.30346030200000002</v>
      </c>
      <c r="K539" s="192"/>
    </row>
    <row r="540" spans="2:11">
      <c r="B540" s="100" t="s">
        <v>47</v>
      </c>
      <c r="C540" s="185" t="s">
        <v>45</v>
      </c>
      <c r="D540" s="164">
        <v>4.8899999999999999E-2</v>
      </c>
      <c r="E540" s="52">
        <v>287.22300000000001</v>
      </c>
      <c r="F540" s="128">
        <f>E540*$J479</f>
        <v>0.30273304200000001</v>
      </c>
      <c r="K540" s="192"/>
    </row>
    <row r="541" spans="2:11" ht="25.5">
      <c r="B541" s="100" t="s">
        <v>47</v>
      </c>
      <c r="C541" s="185" t="s">
        <v>46</v>
      </c>
      <c r="D541" s="164">
        <v>0.36</v>
      </c>
      <c r="E541" s="52">
        <v>558.75300000000004</v>
      </c>
      <c r="F541" s="128">
        <f>E541*$J479</f>
        <v>0.58892566200000007</v>
      </c>
      <c r="K541" s="192"/>
    </row>
    <row r="542" spans="2:11" ht="25.5">
      <c r="B542" s="100" t="s">
        <v>47</v>
      </c>
      <c r="C542" s="185" t="s">
        <v>48</v>
      </c>
      <c r="D542" s="164">
        <v>0.36499999999999999</v>
      </c>
      <c r="E542" s="52">
        <v>1772.8510000000001</v>
      </c>
      <c r="F542" s="128">
        <f>E542*$J479</f>
        <v>1.8685849540000001</v>
      </c>
      <c r="K542" s="192"/>
    </row>
    <row r="543" spans="2:11" ht="38.25">
      <c r="B543" s="100" t="s">
        <v>52</v>
      </c>
      <c r="C543" s="185" t="s">
        <v>53</v>
      </c>
      <c r="D543" s="164">
        <v>5.6100000000000004E-2</v>
      </c>
      <c r="E543" s="52">
        <v>651.87699999999995</v>
      </c>
      <c r="F543" s="128">
        <f>E543*$J479</f>
        <v>0.68707835799999994</v>
      </c>
      <c r="K543" s="192"/>
    </row>
    <row r="544" spans="2:11" ht="38.25">
      <c r="B544" s="100" t="s">
        <v>52</v>
      </c>
      <c r="C544" s="185" t="s">
        <v>53</v>
      </c>
      <c r="D544" s="164">
        <v>0.05</v>
      </c>
      <c r="E544" s="52">
        <v>537.24300000000005</v>
      </c>
      <c r="F544" s="128">
        <f>E544*$J479</f>
        <v>0.56625412200000003</v>
      </c>
      <c r="K544" s="192"/>
    </row>
    <row r="545" spans="2:11" ht="38.25">
      <c r="B545" s="100" t="s">
        <v>52</v>
      </c>
      <c r="C545" s="185" t="s">
        <v>53</v>
      </c>
      <c r="D545" s="164">
        <v>5.5E-2</v>
      </c>
      <c r="E545" s="52">
        <v>810.06600000000003</v>
      </c>
      <c r="F545" s="128">
        <f>E545*$J479</f>
        <v>0.85380956400000008</v>
      </c>
      <c r="K545" s="192"/>
    </row>
    <row r="546" spans="2:11" ht="38.25">
      <c r="B546" s="100" t="s">
        <v>52</v>
      </c>
      <c r="C546" s="185" t="s">
        <v>53</v>
      </c>
      <c r="D546" s="164">
        <v>5.9500000000000004E-2</v>
      </c>
      <c r="E546" s="52">
        <v>217.21299999999999</v>
      </c>
      <c r="F546" s="128">
        <f>E546*$J479</f>
        <v>0.22894250199999999</v>
      </c>
      <c r="K546" s="192"/>
    </row>
    <row r="547" spans="2:11" ht="38.25">
      <c r="B547" s="100" t="s">
        <v>52</v>
      </c>
      <c r="C547" s="185" t="s">
        <v>53</v>
      </c>
      <c r="D547" s="164">
        <v>5.9500000000000004E-2</v>
      </c>
      <c r="E547" s="52">
        <v>9.4</v>
      </c>
      <c r="F547" s="128">
        <f>E547*$J479</f>
        <v>9.9076000000000008E-3</v>
      </c>
      <c r="K547" s="192"/>
    </row>
    <row r="548" spans="2:11" ht="38.25">
      <c r="B548" s="100" t="s">
        <v>52</v>
      </c>
      <c r="C548" s="185" t="s">
        <v>53</v>
      </c>
      <c r="D548" s="164">
        <v>5.9500000000000004E-2</v>
      </c>
      <c r="E548" s="52">
        <v>962.89599999999996</v>
      </c>
      <c r="F548" s="128">
        <f>E548*$J479</f>
        <v>1.0148923839999999</v>
      </c>
      <c r="K548" s="192"/>
    </row>
    <row r="549" spans="2:11" ht="38.25">
      <c r="B549" s="100" t="s">
        <v>52</v>
      </c>
      <c r="C549" s="185" t="s">
        <v>53</v>
      </c>
      <c r="D549" s="164">
        <v>5.9500000000000004E-2</v>
      </c>
      <c r="E549" s="52">
        <v>317.54899999999998</v>
      </c>
      <c r="F549" s="128">
        <f>E549*$J479</f>
        <v>0.33469664599999999</v>
      </c>
      <c r="K549" s="192"/>
    </row>
    <row r="550" spans="2:11" ht="38.25">
      <c r="B550" s="100" t="s">
        <v>52</v>
      </c>
      <c r="C550" s="185" t="s">
        <v>53</v>
      </c>
      <c r="D550" s="164">
        <v>5.9500000000000004E-2</v>
      </c>
      <c r="E550" s="52">
        <v>333.53399999999999</v>
      </c>
      <c r="F550" s="128">
        <f>E550*$J479</f>
        <v>0.35154483600000003</v>
      </c>
      <c r="K550" s="192"/>
    </row>
    <row r="551" spans="2:11" ht="38.25">
      <c r="B551" s="100" t="s">
        <v>52</v>
      </c>
      <c r="C551" s="185" t="s">
        <v>53</v>
      </c>
      <c r="D551" s="164">
        <v>5.9500000000000004E-2</v>
      </c>
      <c r="E551" s="52">
        <v>166.78700000000001</v>
      </c>
      <c r="F551" s="128">
        <f>E551*$J479</f>
        <v>0.17579349800000002</v>
      </c>
      <c r="K551" s="192"/>
    </row>
    <row r="552" spans="2:11" ht="38.25">
      <c r="B552" s="100" t="s">
        <v>52</v>
      </c>
      <c r="C552" s="185" t="s">
        <v>53</v>
      </c>
      <c r="D552" s="164">
        <v>5.9500000000000004E-2</v>
      </c>
      <c r="E552" s="52">
        <v>1320.2370000000001</v>
      </c>
      <c r="F552" s="128">
        <f>E552*$J479</f>
        <v>1.3915297980000001</v>
      </c>
      <c r="K552" s="192"/>
    </row>
    <row r="553" spans="2:11" ht="38.25">
      <c r="B553" s="100" t="s">
        <v>52</v>
      </c>
      <c r="C553" s="185" t="s">
        <v>53</v>
      </c>
      <c r="D553" s="164">
        <v>5.9500000000000004E-2</v>
      </c>
      <c r="E553" s="52">
        <v>413.45400000000001</v>
      </c>
      <c r="F553" s="128">
        <f>E553*$J479</f>
        <v>0.43578051600000001</v>
      </c>
      <c r="K553" s="192"/>
    </row>
    <row r="554" spans="2:11" ht="38.25">
      <c r="B554" s="100" t="s">
        <v>52</v>
      </c>
      <c r="C554" s="185" t="s">
        <v>53</v>
      </c>
      <c r="D554" s="164">
        <v>5.9500000000000004E-2</v>
      </c>
      <c r="E554" s="52">
        <v>617.12599999999998</v>
      </c>
      <c r="F554" s="128">
        <f>E554*$J479</f>
        <v>0.65045080399999999</v>
      </c>
      <c r="K554" s="192"/>
    </row>
    <row r="555" spans="2:11">
      <c r="B555" s="116" t="s">
        <v>33</v>
      </c>
      <c r="C555" s="163"/>
      <c r="D555" s="162"/>
      <c r="E555" s="170">
        <f>SUM(E522:E554)</f>
        <v>33795.781999999999</v>
      </c>
      <c r="F555" s="171">
        <f>SUM(F522:F554)</f>
        <v>35.620754228000003</v>
      </c>
    </row>
    <row r="556" spans="2:11">
      <c r="B556" s="172" t="s">
        <v>54</v>
      </c>
      <c r="C556" s="173"/>
      <c r="D556" s="174"/>
      <c r="E556" s="175">
        <f>E555-C489</f>
        <v>0</v>
      </c>
      <c r="F556" s="171"/>
    </row>
    <row r="557" spans="2:11">
      <c r="B557" s="100"/>
      <c r="C557" s="163"/>
      <c r="D557" s="162"/>
      <c r="E557" s="168"/>
      <c r="F557" s="157"/>
    </row>
    <row r="558" spans="2:11">
      <c r="B558" s="116" t="s">
        <v>55</v>
      </c>
      <c r="C558" s="163"/>
      <c r="D558" s="162"/>
      <c r="E558" s="168"/>
      <c r="F558" s="157"/>
    </row>
    <row r="559" spans="2:11" ht="25.5">
      <c r="B559" s="100" t="s">
        <v>69</v>
      </c>
      <c r="C559" s="185" t="s">
        <v>70</v>
      </c>
      <c r="D559" s="164">
        <v>3.39E-2</v>
      </c>
      <c r="E559" s="52">
        <v>47.216000000000001</v>
      </c>
      <c r="F559" s="128">
        <f>E559*$J479</f>
        <v>4.9765664000000001E-2</v>
      </c>
    </row>
    <row r="560" spans="2:11" ht="25.5">
      <c r="B560" s="100" t="s">
        <v>69</v>
      </c>
      <c r="C560" s="185" t="s">
        <v>70</v>
      </c>
      <c r="D560" s="164">
        <v>5.6500000000000002E-2</v>
      </c>
      <c r="E560" s="52">
        <v>90.376000000000005</v>
      </c>
      <c r="F560" s="128">
        <f>E560*$J479</f>
        <v>9.5256304000000014E-2</v>
      </c>
    </row>
    <row r="561" spans="2:6" ht="38.25">
      <c r="B561" s="100" t="s">
        <v>57</v>
      </c>
      <c r="C561" s="185" t="s">
        <v>42</v>
      </c>
      <c r="D561" s="164">
        <v>6.7799999999999999E-2</v>
      </c>
      <c r="E561" s="52">
        <v>90000</v>
      </c>
      <c r="F561" s="128">
        <f>E561*$J479</f>
        <v>94.86</v>
      </c>
    </row>
    <row r="562" spans="2:6" ht="38.25">
      <c r="B562" s="100" t="s">
        <v>57</v>
      </c>
      <c r="C562" s="185" t="s">
        <v>42</v>
      </c>
      <c r="D562" s="164">
        <v>6.54E-2</v>
      </c>
      <c r="E562" s="52">
        <v>30000</v>
      </c>
      <c r="F562" s="128">
        <f>E562*$J479</f>
        <v>31.62</v>
      </c>
    </row>
    <row r="563" spans="2:6" ht="38.25">
      <c r="B563" s="100" t="s">
        <v>41</v>
      </c>
      <c r="C563" s="185" t="s">
        <v>42</v>
      </c>
      <c r="D563" s="164">
        <v>6.8400000000000002E-2</v>
      </c>
      <c r="E563" s="52">
        <v>2000</v>
      </c>
      <c r="F563" s="128">
        <f>E563*$J479</f>
        <v>2.1080000000000001</v>
      </c>
    </row>
    <row r="564" spans="2:6" ht="38.25">
      <c r="B564" s="100" t="s">
        <v>41</v>
      </c>
      <c r="C564" s="185" t="s">
        <v>42</v>
      </c>
      <c r="D564" s="164">
        <v>6.8400000000000002E-2</v>
      </c>
      <c r="E564" s="52">
        <v>1000</v>
      </c>
      <c r="F564" s="128">
        <f>E564*$J479</f>
        <v>1.054</v>
      </c>
    </row>
    <row r="565" spans="2:6" ht="38.25">
      <c r="B565" s="100" t="s">
        <v>41</v>
      </c>
      <c r="C565" s="185" t="s">
        <v>42</v>
      </c>
      <c r="D565" s="164">
        <v>7.4400000000000008E-2</v>
      </c>
      <c r="E565" s="52">
        <v>6735.2730000000001</v>
      </c>
      <c r="F565" s="128">
        <f>E565*$J479</f>
        <v>7.0989777420000006</v>
      </c>
    </row>
    <row r="566" spans="2:6" ht="38.25">
      <c r="B566" s="100" t="s">
        <v>41</v>
      </c>
      <c r="C566" s="185" t="s">
        <v>42</v>
      </c>
      <c r="D566" s="164">
        <v>7.4400000000000008E-2</v>
      </c>
      <c r="E566" s="52">
        <v>5979.6909999999998</v>
      </c>
      <c r="F566" s="128">
        <f>E566*$J479</f>
        <v>6.3025943140000003</v>
      </c>
    </row>
    <row r="567" spans="2:6" ht="38.25">
      <c r="B567" s="100" t="s">
        <v>43</v>
      </c>
      <c r="C567" s="185" t="s">
        <v>42</v>
      </c>
      <c r="D567" s="164">
        <v>6.6600000000000006E-2</v>
      </c>
      <c r="E567" s="52">
        <v>16000</v>
      </c>
      <c r="F567" s="128">
        <f>E567*$J479</f>
        <v>16.864000000000001</v>
      </c>
    </row>
    <row r="568" spans="2:6" ht="38.25">
      <c r="B568" s="100" t="s">
        <v>52</v>
      </c>
      <c r="C568" s="185" t="s">
        <v>53</v>
      </c>
      <c r="D568" s="164">
        <v>5.6100000000000004E-2</v>
      </c>
      <c r="E568" s="52">
        <v>3816.2159999999999</v>
      </c>
      <c r="F568" s="128">
        <f>E568*$J479</f>
        <v>4.0222916639999999</v>
      </c>
    </row>
    <row r="569" spans="2:6" ht="38.25">
      <c r="B569" s="100" t="s">
        <v>52</v>
      </c>
      <c r="C569" s="185" t="s">
        <v>53</v>
      </c>
      <c r="D569" s="164">
        <v>0.05</v>
      </c>
      <c r="E569" s="52">
        <v>8318.2279999999992</v>
      </c>
      <c r="F569" s="128">
        <f>E569*$J479</f>
        <v>8.7674123119999994</v>
      </c>
    </row>
    <row r="570" spans="2:6" ht="38.25">
      <c r="B570" s="100" t="s">
        <v>52</v>
      </c>
      <c r="C570" s="185" t="s">
        <v>53</v>
      </c>
      <c r="D570" s="164">
        <v>5.5E-2</v>
      </c>
      <c r="E570" s="52">
        <v>1043.752</v>
      </c>
      <c r="F570" s="128">
        <f>E570*$J479</f>
        <v>1.1001146079999999</v>
      </c>
    </row>
    <row r="571" spans="2:6" ht="38.25">
      <c r="B571" s="100" t="s">
        <v>52</v>
      </c>
      <c r="C571" s="185" t="s">
        <v>53</v>
      </c>
      <c r="D571" s="164">
        <v>5.9500000000000004E-2</v>
      </c>
      <c r="E571" s="52">
        <v>1232.931</v>
      </c>
      <c r="F571" s="128">
        <f>E571*$J479</f>
        <v>1.299509274</v>
      </c>
    </row>
    <row r="572" spans="2:6">
      <c r="B572" s="116" t="s">
        <v>33</v>
      </c>
      <c r="C572" s="163"/>
      <c r="D572" s="162"/>
      <c r="E572" s="170">
        <f>SUM(E559:E571)</f>
        <v>166263.68300000002</v>
      </c>
      <c r="F572" s="171">
        <f>SUM(F559:F571)</f>
        <v>175.24192188200001</v>
      </c>
    </row>
    <row r="573" spans="2:6" ht="15.75" thickBot="1">
      <c r="B573" s="176" t="s">
        <v>54</v>
      </c>
      <c r="C573" s="177"/>
      <c r="D573" s="178"/>
      <c r="E573" s="179">
        <f>E572-C485</f>
        <v>0</v>
      </c>
      <c r="F573" s="107"/>
    </row>
    <row r="575" spans="2:6" ht="15.75" thickBot="1"/>
    <row r="576" spans="2:6" ht="15.75" thickBot="1">
      <c r="B576" s="165" t="s">
        <v>56</v>
      </c>
      <c r="C576" s="166"/>
      <c r="D576" s="166"/>
      <c r="E576" s="167"/>
      <c r="F576" s="129"/>
    </row>
    <row r="577" spans="2:6">
      <c r="B577" s="161" t="s">
        <v>35</v>
      </c>
      <c r="C577" s="160"/>
      <c r="D577" s="160" t="s">
        <v>37</v>
      </c>
      <c r="E577" s="160" t="s">
        <v>4</v>
      </c>
      <c r="F577" s="159" t="s">
        <v>6</v>
      </c>
    </row>
    <row r="578" spans="2:6">
      <c r="B578" s="116" t="s">
        <v>38</v>
      </c>
      <c r="D578" s="156"/>
      <c r="F578" s="157"/>
    </row>
    <row r="579" spans="2:6">
      <c r="B579" s="100" t="s">
        <v>57</v>
      </c>
      <c r="C579" s="163"/>
      <c r="D579" s="164">
        <v>2.9000000000000001E-2</v>
      </c>
      <c r="E579" s="52">
        <v>472.02499999999998</v>
      </c>
      <c r="F579" s="128">
        <f>E579*$J479</f>
        <v>0.49751434999999999</v>
      </c>
    </row>
    <row r="580" spans="2:6">
      <c r="B580" s="100" t="s">
        <v>87</v>
      </c>
      <c r="C580" s="163"/>
      <c r="D580" s="164">
        <v>1.2E-2</v>
      </c>
      <c r="E580" s="52">
        <v>29620.311000000002</v>
      </c>
      <c r="F580" s="128">
        <f>E580*$J479</f>
        <v>31.219807794000001</v>
      </c>
    </row>
    <row r="581" spans="2:6">
      <c r="B581" s="100" t="s">
        <v>57</v>
      </c>
      <c r="C581" s="163"/>
      <c r="D581" s="164">
        <v>1.6E-2</v>
      </c>
      <c r="E581" s="52">
        <v>687.11699999999996</v>
      </c>
      <c r="F581" s="128">
        <f>E581*$J479</f>
        <v>0.724221318</v>
      </c>
    </row>
    <row r="582" spans="2:6">
      <c r="B582" s="100" t="s">
        <v>57</v>
      </c>
      <c r="C582" s="163"/>
      <c r="D582" s="164">
        <v>3.3500000000000002E-2</v>
      </c>
      <c r="E582" s="52">
        <v>2918.384</v>
      </c>
      <c r="F582" s="128">
        <f>E582*$J479</f>
        <v>3.0759767360000003</v>
      </c>
    </row>
    <row r="583" spans="2:6">
      <c r="B583" s="100" t="s">
        <v>87</v>
      </c>
      <c r="C583" s="163"/>
      <c r="D583" s="164">
        <v>3.3500000000000002E-2</v>
      </c>
      <c r="E583" s="52">
        <v>135.87700000000001</v>
      </c>
      <c r="F583" s="128">
        <f>E583*$J479</f>
        <v>0.14321435800000001</v>
      </c>
    </row>
    <row r="584" spans="2:6">
      <c r="B584" s="100" t="s">
        <v>57</v>
      </c>
      <c r="C584" s="163"/>
      <c r="D584" s="164">
        <v>2.7E-2</v>
      </c>
      <c r="E584" s="52">
        <v>130.345</v>
      </c>
      <c r="F584" s="128">
        <f>E584*$J479</f>
        <v>0.13738363000000001</v>
      </c>
    </row>
    <row r="585" spans="2:6">
      <c r="B585" s="100" t="s">
        <v>88</v>
      </c>
      <c r="C585" s="163"/>
      <c r="D585" s="164">
        <v>0.01</v>
      </c>
      <c r="E585" s="52">
        <v>58577.610999999997</v>
      </c>
      <c r="F585" s="128">
        <f>E585*$J479</f>
        <v>61.740801994000002</v>
      </c>
    </row>
    <row r="586" spans="2:6">
      <c r="B586" s="116" t="s">
        <v>33</v>
      </c>
      <c r="C586" s="163"/>
      <c r="D586" s="162"/>
      <c r="E586" s="170">
        <f>SUM(E579:E585)</f>
        <v>92541.67</v>
      </c>
      <c r="F586" s="171">
        <f>SUM(F579:F585)</f>
        <v>97.538920180000005</v>
      </c>
    </row>
    <row r="587" spans="2:6">
      <c r="B587" s="172" t="s">
        <v>54</v>
      </c>
      <c r="C587" s="173"/>
      <c r="D587" s="174"/>
      <c r="E587" s="175">
        <f>E586-C490</f>
        <v>0</v>
      </c>
      <c r="F587" s="171"/>
    </row>
    <row r="588" spans="2:6">
      <c r="B588" s="100"/>
      <c r="C588" s="163"/>
      <c r="D588" s="162"/>
      <c r="E588" s="168"/>
      <c r="F588" s="157"/>
    </row>
    <row r="589" spans="2:6">
      <c r="B589" s="116" t="s">
        <v>55</v>
      </c>
      <c r="C589" s="163"/>
      <c r="D589" s="162"/>
      <c r="E589" s="168"/>
      <c r="F589" s="157"/>
    </row>
    <row r="590" spans="2:6">
      <c r="B590" s="100" t="s">
        <v>57</v>
      </c>
      <c r="C590" s="163"/>
      <c r="D590" s="164">
        <v>2.9000000000000001E-2</v>
      </c>
      <c r="E590" s="52">
        <v>116789.14</v>
      </c>
      <c r="F590" s="128">
        <f>E590*$J479</f>
        <v>123.09575356000001</v>
      </c>
    </row>
    <row r="591" spans="2:6">
      <c r="B591" s="100" t="s">
        <v>87</v>
      </c>
      <c r="C591" s="163"/>
      <c r="D591" s="164">
        <v>1.2E-2</v>
      </c>
      <c r="E591" s="52">
        <v>43949.792000000001</v>
      </c>
      <c r="F591" s="128">
        <f>E591*$J479</f>
        <v>46.323080768000004</v>
      </c>
    </row>
    <row r="592" spans="2:6">
      <c r="B592" s="100" t="s">
        <v>57</v>
      </c>
      <c r="C592" s="163"/>
      <c r="D592" s="164">
        <v>1.6E-2</v>
      </c>
      <c r="E592" s="52">
        <v>78965.986999999994</v>
      </c>
      <c r="F592" s="128">
        <f>E592*$J479</f>
        <v>83.230150297999998</v>
      </c>
    </row>
    <row r="593" spans="1:12">
      <c r="B593" s="100" t="s">
        <v>57</v>
      </c>
      <c r="C593" s="163"/>
      <c r="D593" s="164">
        <v>3.3500000000000002E-2</v>
      </c>
      <c r="E593" s="52">
        <v>566554.679</v>
      </c>
      <c r="F593" s="128">
        <f>E593*$J479</f>
        <v>597.14863166600003</v>
      </c>
    </row>
    <row r="594" spans="1:12">
      <c r="B594" s="100" t="s">
        <v>87</v>
      </c>
      <c r="C594" s="163"/>
      <c r="D594" s="164">
        <v>3.3500000000000002E-2</v>
      </c>
      <c r="E594" s="52">
        <v>77968.607999999993</v>
      </c>
      <c r="F594" s="128">
        <f>E594*$J479</f>
        <v>82.178912831999995</v>
      </c>
    </row>
    <row r="595" spans="1:12">
      <c r="B595" s="100" t="s">
        <v>57</v>
      </c>
      <c r="C595" s="163"/>
      <c r="D595" s="164">
        <v>2.7E-2</v>
      </c>
      <c r="E595" s="52">
        <v>154865.78</v>
      </c>
      <c r="F595" s="128">
        <f>E595*$J479</f>
        <v>163.22853212000001</v>
      </c>
    </row>
    <row r="596" spans="1:12">
      <c r="B596" s="116" t="s">
        <v>33</v>
      </c>
      <c r="C596" s="163"/>
      <c r="D596" s="162"/>
      <c r="E596" s="170">
        <f>SUM(E590:E595)</f>
        <v>1039093.986</v>
      </c>
      <c r="F596" s="171">
        <f>SUM(F590:F595)</f>
        <v>1095.205061244</v>
      </c>
    </row>
    <row r="597" spans="1:12" ht="15.75" thickBot="1">
      <c r="B597" s="176" t="s">
        <v>54</v>
      </c>
      <c r="C597" s="177"/>
      <c r="D597" s="178"/>
      <c r="E597" s="179">
        <f>E596-C486</f>
        <v>0</v>
      </c>
      <c r="F597" s="107"/>
    </row>
    <row r="599" spans="1:12">
      <c r="A599" s="15" t="s">
        <v>89</v>
      </c>
      <c r="D599" s="1"/>
      <c r="I599" s="2" t="s">
        <v>90</v>
      </c>
      <c r="J599" s="154">
        <f>Model!G$203</f>
        <v>1.0074551682450132E-3</v>
      </c>
    </row>
    <row r="600" spans="1:12">
      <c r="D600" s="1"/>
      <c r="I600" s="2" t="s">
        <v>91</v>
      </c>
      <c r="J600" s="154">
        <f>Model!G$204</f>
        <v>1.0672949691532794E-3</v>
      </c>
    </row>
    <row r="601" spans="1:12" ht="15.75" thickBot="1">
      <c r="D601" s="1"/>
      <c r="I601" s="2"/>
      <c r="J601" s="114"/>
    </row>
    <row r="602" spans="1:12">
      <c r="B602" s="115" t="s">
        <v>92</v>
      </c>
      <c r="C602" s="104" t="s">
        <v>4</v>
      </c>
      <c r="D602" s="104" t="s">
        <v>5</v>
      </c>
      <c r="E602" s="104" t="s">
        <v>6</v>
      </c>
      <c r="F602" s="105" t="s">
        <v>5</v>
      </c>
    </row>
    <row r="603" spans="1:12">
      <c r="B603" s="100"/>
      <c r="C603" s="94"/>
      <c r="D603" s="14"/>
      <c r="E603" s="95"/>
      <c r="F603" s="106"/>
    </row>
    <row r="604" spans="1:12">
      <c r="B604" s="116" t="s">
        <v>9</v>
      </c>
      <c r="C604" s="96">
        <f>SUM(C605:C606)</f>
        <v>1225651.2439999999</v>
      </c>
      <c r="D604" s="14"/>
      <c r="E604" s="97">
        <f>C604*J599</f>
        <v>1234.7886802337296</v>
      </c>
      <c r="F604" s="106"/>
      <c r="L604" s="94"/>
    </row>
    <row r="605" spans="1:12">
      <c r="B605" s="100" t="s">
        <v>11</v>
      </c>
      <c r="C605" s="52">
        <v>166647.32399999999</v>
      </c>
      <c r="D605" s="14"/>
      <c r="E605" s="95">
        <f>C605*J599</f>
        <v>167.88970783800121</v>
      </c>
      <c r="F605" s="106"/>
      <c r="L605" s="94"/>
    </row>
    <row r="606" spans="1:12">
      <c r="B606" s="100" t="s">
        <v>14</v>
      </c>
      <c r="C606" s="52">
        <v>1059003.92</v>
      </c>
      <c r="D606" s="14"/>
      <c r="E606" s="95">
        <f>C606*J599</f>
        <v>1066.8989723957284</v>
      </c>
      <c r="F606" s="106"/>
    </row>
    <row r="607" spans="1:12">
      <c r="B607" s="100"/>
      <c r="C607" s="94"/>
      <c r="D607" s="14"/>
      <c r="E607" s="95"/>
      <c r="F607" s="106"/>
    </row>
    <row r="608" spans="1:12">
      <c r="B608" s="116" t="s">
        <v>15</v>
      </c>
      <c r="C608" s="96">
        <f>SUM(C609:C610)</f>
        <v>139690.76499999998</v>
      </c>
      <c r="D608" s="14"/>
      <c r="E608" s="97">
        <f>C608*J599</f>
        <v>140.73218315534959</v>
      </c>
      <c r="F608" s="106"/>
      <c r="K608" s="13"/>
    </row>
    <row r="609" spans="2:11">
      <c r="B609" s="100" t="s">
        <v>11</v>
      </c>
      <c r="C609" s="52">
        <v>41257.610999999997</v>
      </c>
      <c r="D609" s="14"/>
      <c r="E609" s="95">
        <f>C609*J599</f>
        <v>41.565193431392302</v>
      </c>
      <c r="F609" s="106"/>
      <c r="K609" s="13"/>
    </row>
    <row r="610" spans="2:11">
      <c r="B610" s="100" t="s">
        <v>14</v>
      </c>
      <c r="C610" s="52">
        <v>98433.153999999995</v>
      </c>
      <c r="D610" s="14"/>
      <c r="E610" s="95">
        <f>C610*J599</f>
        <v>99.166989723957286</v>
      </c>
      <c r="F610" s="106"/>
    </row>
    <row r="611" spans="2:11">
      <c r="B611" s="100"/>
      <c r="C611" s="52"/>
      <c r="D611" s="14"/>
      <c r="E611" s="95"/>
      <c r="F611" s="106"/>
    </row>
    <row r="612" spans="2:11">
      <c r="B612" s="122" t="s">
        <v>16</v>
      </c>
      <c r="C612" s="96">
        <f>SUM(C613:C614)</f>
        <v>49233.868000000002</v>
      </c>
      <c r="D612" s="14"/>
      <c r="E612" s="96">
        <f>SUM(E613:E614)</f>
        <v>49.600914769292771</v>
      </c>
      <c r="F612" s="106"/>
    </row>
    <row r="613" spans="2:11">
      <c r="B613" s="119" t="s">
        <v>17</v>
      </c>
      <c r="C613" s="7">
        <f>Model!$G$111</f>
        <v>9451.5509999999995</v>
      </c>
      <c r="D613" s="14"/>
      <c r="E613" s="95">
        <f>C613*J599</f>
        <v>9.5220139028813211</v>
      </c>
      <c r="F613" s="106"/>
    </row>
    <row r="614" spans="2:11">
      <c r="B614" s="119" t="s">
        <v>18</v>
      </c>
      <c r="C614" s="7">
        <f>Model!$G$112</f>
        <v>39782.317000000003</v>
      </c>
      <c r="D614" s="14"/>
      <c r="E614" s="95">
        <f>C614*J599</f>
        <v>40.078900866411452</v>
      </c>
      <c r="F614" s="106"/>
    </row>
    <row r="615" spans="2:11">
      <c r="B615" s="100"/>
      <c r="C615" s="94"/>
      <c r="D615" s="14"/>
      <c r="E615" s="95"/>
      <c r="F615" s="106"/>
    </row>
    <row r="616" spans="2:11">
      <c r="B616" s="117" t="s">
        <v>19</v>
      </c>
      <c r="C616" s="11">
        <f>C608+C604+C612</f>
        <v>1414575.8769999999</v>
      </c>
      <c r="D616" s="10">
        <f>C616/C621</f>
        <v>3.4009450715789491</v>
      </c>
      <c r="E616" s="11">
        <f>E608+E604+E612</f>
        <v>1425.1217781583719</v>
      </c>
      <c r="F616" s="118">
        <f>E616/E621</f>
        <v>3.210265004807261</v>
      </c>
    </row>
    <row r="617" spans="2:11">
      <c r="B617" s="119" t="s">
        <v>20</v>
      </c>
      <c r="C617" s="120">
        <f>Model!G$119</f>
        <v>707122.81499999994</v>
      </c>
      <c r="D617" s="121"/>
      <c r="E617" s="95">
        <f>C617*J599</f>
        <v>712.39453455571231</v>
      </c>
      <c r="F617" s="106"/>
    </row>
    <row r="618" spans="2:11">
      <c r="B618" s="117" t="s">
        <v>21</v>
      </c>
      <c r="C618" s="11">
        <f>C616-C617</f>
        <v>707453.06199999992</v>
      </c>
      <c r="D618" s="10">
        <f>C618/C621</f>
        <v>1.7008695282468305</v>
      </c>
      <c r="E618" s="11">
        <f>E616-E617</f>
        <v>712.72724360265954</v>
      </c>
      <c r="F618" s="118">
        <f>E618/E621</f>
        <v>1.6055072367689904</v>
      </c>
    </row>
    <row r="619" spans="2:11">
      <c r="B619" s="122" t="s">
        <v>22</v>
      </c>
      <c r="C619" s="9">
        <f>Model!G$123</f>
        <v>1672515.31</v>
      </c>
      <c r="D619" s="8"/>
      <c r="E619" s="97">
        <f>C619*J599</f>
        <v>1684.9841930284103</v>
      </c>
      <c r="F619" s="106"/>
    </row>
    <row r="620" spans="2:11">
      <c r="B620" s="122" t="s">
        <v>23</v>
      </c>
      <c r="C620" s="9">
        <f>C618+C619</f>
        <v>2379968.372</v>
      </c>
      <c r="D620" s="8"/>
      <c r="E620" s="9">
        <f>E618+E619</f>
        <v>2397.7114366310698</v>
      </c>
      <c r="F620" s="106"/>
    </row>
    <row r="621" spans="2:11" ht="15.75" thickBot="1">
      <c r="B621" s="123" t="s">
        <v>24</v>
      </c>
      <c r="C621" s="124">
        <f>Model!G$86</f>
        <v>415936.114</v>
      </c>
      <c r="D621" s="125"/>
      <c r="E621" s="126">
        <f>C621*J600</f>
        <v>443.92652196136493</v>
      </c>
      <c r="F621" s="107"/>
    </row>
    <row r="622" spans="2:11">
      <c r="B622" s="5" t="s">
        <v>25</v>
      </c>
      <c r="C622" s="4">
        <f>+C616-Model!G$118</f>
        <v>0</v>
      </c>
      <c r="D622" s="3"/>
    </row>
    <row r="623" spans="2:11">
      <c r="D623" s="1"/>
    </row>
    <row r="624" spans="2:11" ht="15.75" thickBot="1">
      <c r="B624" s="2"/>
      <c r="C624" s="98"/>
      <c r="D624" s="1"/>
    </row>
    <row r="625" spans="2:6">
      <c r="B625" s="99" t="s">
        <v>93</v>
      </c>
      <c r="C625" s="104" t="s">
        <v>4</v>
      </c>
      <c r="D625" s="108"/>
      <c r="E625" s="109" t="s">
        <v>6</v>
      </c>
    </row>
    <row r="626" spans="2:6">
      <c r="B626" s="101" t="s">
        <v>20</v>
      </c>
      <c r="C626" s="110">
        <f>C617</f>
        <v>707122.81499999994</v>
      </c>
      <c r="D626" s="110"/>
      <c r="E626" s="113">
        <f>E617</f>
        <v>712.39453455571231</v>
      </c>
    </row>
    <row r="627" spans="2:6">
      <c r="B627" s="101"/>
      <c r="C627" s="94"/>
      <c r="D627" s="94"/>
      <c r="E627" s="103"/>
    </row>
    <row r="628" spans="2:6" ht="15.75" thickBot="1">
      <c r="B628" s="102" t="s">
        <v>27</v>
      </c>
      <c r="C628" s="111">
        <f>SUM(C626:C627)</f>
        <v>707122.81499999994</v>
      </c>
      <c r="D628" s="111"/>
      <c r="E628" s="112">
        <f>SUM(E626:E627)</f>
        <v>712.39453455571231</v>
      </c>
    </row>
    <row r="629" spans="2:6" ht="15.75" thickBot="1">
      <c r="B629" s="2"/>
      <c r="C629" s="98"/>
      <c r="D629" s="98"/>
      <c r="E629" s="96"/>
    </row>
    <row r="630" spans="2:6">
      <c r="B630" s="99" t="s">
        <v>28</v>
      </c>
      <c r="C630" s="104" t="s">
        <v>4</v>
      </c>
      <c r="D630" s="127"/>
      <c r="E630" s="129" t="s">
        <v>6</v>
      </c>
    </row>
    <row r="631" spans="2:6">
      <c r="B631" s="100" t="s">
        <v>29</v>
      </c>
      <c r="C631" s="130">
        <f>C609+C610</f>
        <v>139690.76499999998</v>
      </c>
      <c r="D631" s="1"/>
      <c r="E631" s="128">
        <f>C631*$J$479</f>
        <v>147.23406630999997</v>
      </c>
    </row>
    <row r="632" spans="2:6">
      <c r="B632" s="100" t="s">
        <v>30</v>
      </c>
      <c r="C632" s="130">
        <f>60831.465+44062.958</f>
        <v>104894.423</v>
      </c>
      <c r="D632" s="1"/>
      <c r="E632" s="128">
        <f>C632*$J$479</f>
        <v>110.558721842</v>
      </c>
    </row>
    <row r="633" spans="2:6">
      <c r="B633" s="100" t="s">
        <v>31</v>
      </c>
      <c r="C633" s="130">
        <f>100896.465+615.318</f>
        <v>101511.783</v>
      </c>
      <c r="D633" s="1"/>
      <c r="E633" s="128">
        <f>C633*$J$479</f>
        <v>106.993419282</v>
      </c>
    </row>
    <row r="634" spans="2:6">
      <c r="B634" s="100" t="s">
        <v>32</v>
      </c>
      <c r="C634" s="130">
        <f>4919.394+1014325.644</f>
        <v>1019245.0379999999</v>
      </c>
      <c r="D634" s="1"/>
      <c r="E634" s="128">
        <f>C634*$J$479</f>
        <v>1074.284270052</v>
      </c>
    </row>
    <row r="635" spans="2:6" ht="15.75" thickBot="1">
      <c r="B635" s="102" t="s">
        <v>33</v>
      </c>
      <c r="C635" s="131">
        <f>SUM(C631:C634)</f>
        <v>1365342.0089999998</v>
      </c>
      <c r="D635" s="111"/>
      <c r="E635" s="132">
        <f>SUM(E631:E634)</f>
        <v>1439.0704774860001</v>
      </c>
    </row>
    <row r="636" spans="2:6">
      <c r="B636" s="5" t="s">
        <v>25</v>
      </c>
      <c r="C636" s="4">
        <f>C635-C604-C608</f>
        <v>0</v>
      </c>
      <c r="D636" s="98"/>
      <c r="E636" s="96"/>
    </row>
    <row r="637" spans="2:6">
      <c r="D637" s="1"/>
    </row>
    <row r="638" spans="2:6" ht="15.75" thickBot="1">
      <c r="D638" s="1"/>
    </row>
    <row r="639" spans="2:6" ht="15.75" thickBot="1">
      <c r="B639" s="165" t="s">
        <v>34</v>
      </c>
      <c r="C639" s="166"/>
      <c r="D639" s="166"/>
      <c r="E639" s="167"/>
      <c r="F639" s="129"/>
    </row>
    <row r="640" spans="2:6">
      <c r="B640" s="161" t="s">
        <v>35</v>
      </c>
      <c r="C640" s="160" t="s">
        <v>36</v>
      </c>
      <c r="D640" s="160" t="s">
        <v>37</v>
      </c>
      <c r="E640" s="160" t="s">
        <v>4</v>
      </c>
      <c r="F640" s="159" t="s">
        <v>6</v>
      </c>
    </row>
    <row r="641" spans="2:6">
      <c r="B641" s="116" t="s">
        <v>38</v>
      </c>
      <c r="D641" s="156"/>
      <c r="F641" s="157"/>
    </row>
    <row r="642" spans="2:6" ht="25.5">
      <c r="B642" s="100" t="s">
        <v>69</v>
      </c>
      <c r="C642" s="185" t="s">
        <v>70</v>
      </c>
      <c r="D642" s="164">
        <v>3.39E-2</v>
      </c>
      <c r="E642" s="52">
        <v>7.7569999999999997</v>
      </c>
      <c r="F642" s="128">
        <f t="shared" ref="F642:F669" si="8">E642*$J$479</f>
        <v>8.1758779999999993E-3</v>
      </c>
    </row>
    <row r="643" spans="2:6" ht="25.5">
      <c r="B643" s="100" t="s">
        <v>69</v>
      </c>
      <c r="C643" s="185" t="s">
        <v>70</v>
      </c>
      <c r="D643" s="164">
        <v>5.6500000000000002E-2</v>
      </c>
      <c r="E643" s="52">
        <v>12.782999999999999</v>
      </c>
      <c r="F643" s="128">
        <f t="shared" si="8"/>
        <v>1.3473282E-2</v>
      </c>
    </row>
    <row r="644" spans="2:6" ht="38.25">
      <c r="B644" s="100" t="s">
        <v>85</v>
      </c>
      <c r="C644" s="185" t="s">
        <v>86</v>
      </c>
      <c r="D644" s="164">
        <v>6.9599999999999995E-2</v>
      </c>
      <c r="E644" s="52">
        <v>15.063000000000001</v>
      </c>
      <c r="F644" s="128">
        <f t="shared" si="8"/>
        <v>1.5876402000000001E-2</v>
      </c>
    </row>
    <row r="645" spans="2:6" ht="38.25">
      <c r="B645" s="100" t="s">
        <v>57</v>
      </c>
      <c r="C645" s="185" t="s">
        <v>42</v>
      </c>
      <c r="D645" s="164">
        <v>6.6600000000000006E-2</v>
      </c>
      <c r="E645" s="52">
        <v>16531.580999999998</v>
      </c>
      <c r="F645" s="128">
        <f t="shared" si="8"/>
        <v>17.424286373999998</v>
      </c>
    </row>
    <row r="646" spans="2:6" ht="38.25">
      <c r="B646" s="100" t="s">
        <v>57</v>
      </c>
      <c r="C646" s="185" t="s">
        <v>42</v>
      </c>
      <c r="D646" s="164">
        <v>6.7799999999999999E-2</v>
      </c>
      <c r="E646" s="52">
        <v>779.7</v>
      </c>
      <c r="F646" s="128">
        <f t="shared" si="8"/>
        <v>0.82180380000000008</v>
      </c>
    </row>
    <row r="647" spans="2:6" ht="38.25">
      <c r="B647" s="100" t="s">
        <v>57</v>
      </c>
      <c r="C647" s="185" t="s">
        <v>42</v>
      </c>
      <c r="D647" s="164">
        <v>6.54E-2</v>
      </c>
      <c r="E647" s="52">
        <v>250.7</v>
      </c>
      <c r="F647" s="128">
        <f t="shared" si="8"/>
        <v>0.26423780000000002</v>
      </c>
    </row>
    <row r="648" spans="2:6" ht="38.25">
      <c r="B648" s="100" t="s">
        <v>41</v>
      </c>
      <c r="C648" s="185" t="s">
        <v>42</v>
      </c>
      <c r="D648" s="164">
        <v>7.3499999999999996E-2</v>
      </c>
      <c r="E648" s="52">
        <v>2067.375</v>
      </c>
      <c r="F648" s="128">
        <f t="shared" si="8"/>
        <v>2.1790132500000001</v>
      </c>
    </row>
    <row r="649" spans="2:6" ht="38.25">
      <c r="B649" s="100" t="s">
        <v>41</v>
      </c>
      <c r="C649" s="185" t="s">
        <v>42</v>
      </c>
      <c r="D649" s="164">
        <v>7.3200000000000001E-2</v>
      </c>
      <c r="E649" s="52">
        <v>28.873000000000001</v>
      </c>
      <c r="F649" s="128">
        <f t="shared" si="8"/>
        <v>3.0432142000000002E-2</v>
      </c>
    </row>
    <row r="650" spans="2:6" ht="38.25">
      <c r="B650" s="100" t="s">
        <v>41</v>
      </c>
      <c r="C650" s="185" t="s">
        <v>42</v>
      </c>
      <c r="D650" s="164">
        <v>8.0399999999999999E-2</v>
      </c>
      <c r="E650" s="52">
        <v>16.75</v>
      </c>
      <c r="F650" s="128">
        <f t="shared" si="8"/>
        <v>1.76545E-2</v>
      </c>
    </row>
    <row r="651" spans="2:6" ht="38.25">
      <c r="B651" s="100" t="s">
        <v>41</v>
      </c>
      <c r="C651" s="185" t="s">
        <v>42</v>
      </c>
      <c r="D651" s="164">
        <v>7.7399999999999997E-2</v>
      </c>
      <c r="E651" s="52">
        <v>193.83199999999999</v>
      </c>
      <c r="F651" s="128">
        <f t="shared" si="8"/>
        <v>0.20429892799999999</v>
      </c>
    </row>
    <row r="652" spans="2:6" ht="38.25">
      <c r="B652" s="100" t="s">
        <v>41</v>
      </c>
      <c r="C652" s="185" t="s">
        <v>42</v>
      </c>
      <c r="D652" s="164">
        <v>0.08</v>
      </c>
      <c r="E652" s="52">
        <v>55.728000000000002</v>
      </c>
      <c r="F652" s="128">
        <f t="shared" si="8"/>
        <v>5.8737312000000007E-2</v>
      </c>
    </row>
    <row r="653" spans="2:6" ht="38.25">
      <c r="B653" s="100" t="s">
        <v>41</v>
      </c>
      <c r="C653" s="185" t="s">
        <v>73</v>
      </c>
      <c r="D653" s="164">
        <v>3.95E-2</v>
      </c>
      <c r="E653" s="52">
        <v>3033.627</v>
      </c>
      <c r="F653" s="128">
        <f t="shared" si="8"/>
        <v>3.1974428580000001</v>
      </c>
    </row>
    <row r="654" spans="2:6" ht="38.25">
      <c r="B654" s="100" t="s">
        <v>41</v>
      </c>
      <c r="C654" s="185" t="s">
        <v>73</v>
      </c>
      <c r="D654" s="164">
        <v>3.4500000000000003E-2</v>
      </c>
      <c r="E654" s="52">
        <v>1654.5319999999999</v>
      </c>
      <c r="F654" s="128">
        <f t="shared" si="8"/>
        <v>1.743876728</v>
      </c>
    </row>
    <row r="655" spans="2:6" ht="38.25">
      <c r="B655" s="100" t="s">
        <v>43</v>
      </c>
      <c r="C655" s="185" t="s">
        <v>42</v>
      </c>
      <c r="D655" s="164">
        <v>6.6600000000000006E-2</v>
      </c>
      <c r="E655" s="52">
        <v>136.16</v>
      </c>
      <c r="F655" s="128">
        <f t="shared" si="8"/>
        <v>0.14351264</v>
      </c>
    </row>
    <row r="656" spans="2:6" ht="25.5">
      <c r="B656" s="100" t="s">
        <v>62</v>
      </c>
      <c r="C656" s="185" t="s">
        <v>94</v>
      </c>
      <c r="D656" s="164">
        <v>0.37</v>
      </c>
      <c r="E656" s="52">
        <v>4.4039999999999999</v>
      </c>
      <c r="F656" s="128">
        <f t="shared" si="8"/>
        <v>4.641816E-3</v>
      </c>
    </row>
    <row r="657" spans="2:6">
      <c r="B657" s="100" t="s">
        <v>95</v>
      </c>
      <c r="C657" s="185" t="s">
        <v>96</v>
      </c>
      <c r="D657" s="164">
        <v>0.376</v>
      </c>
      <c r="E657" s="52">
        <v>661.245</v>
      </c>
      <c r="F657" s="128">
        <f t="shared" si="8"/>
        <v>0.69695223000000006</v>
      </c>
    </row>
    <row r="658" spans="2:6">
      <c r="B658" s="100" t="s">
        <v>95</v>
      </c>
      <c r="C658" s="185" t="s">
        <v>45</v>
      </c>
      <c r="D658" s="164">
        <v>0.3861</v>
      </c>
      <c r="E658" s="52">
        <v>6507.4560000000001</v>
      </c>
      <c r="F658" s="128">
        <f t="shared" si="8"/>
        <v>6.8588586240000007</v>
      </c>
    </row>
    <row r="659" spans="2:6" ht="25.5">
      <c r="B659" s="100" t="s">
        <v>95</v>
      </c>
      <c r="C659" s="185" t="s">
        <v>46</v>
      </c>
      <c r="D659" s="164">
        <v>0.379</v>
      </c>
      <c r="E659" s="52">
        <v>2886.8939999999998</v>
      </c>
      <c r="F659" s="128">
        <f t="shared" si="8"/>
        <v>3.0427862759999997</v>
      </c>
    </row>
    <row r="660" spans="2:6" ht="38.25">
      <c r="B660" s="100" t="s">
        <v>52</v>
      </c>
      <c r="C660" s="185" t="s">
        <v>97</v>
      </c>
      <c r="D660" s="164">
        <v>5.6099999999999997E-2</v>
      </c>
      <c r="E660" s="52">
        <v>683.024</v>
      </c>
      <c r="F660" s="128">
        <f t="shared" si="8"/>
        <v>0.71990729600000003</v>
      </c>
    </row>
    <row r="661" spans="2:6" ht="38.25">
      <c r="B661" s="100" t="s">
        <v>52</v>
      </c>
      <c r="C661" s="185" t="s">
        <v>97</v>
      </c>
      <c r="D661" s="164">
        <v>0.05</v>
      </c>
      <c r="E661" s="52">
        <v>1309.1559999999999</v>
      </c>
      <c r="F661" s="128">
        <f t="shared" si="8"/>
        <v>1.379850424</v>
      </c>
    </row>
    <row r="662" spans="2:6" ht="38.25">
      <c r="B662" s="100" t="s">
        <v>52</v>
      </c>
      <c r="C662" s="185" t="s">
        <v>97</v>
      </c>
      <c r="D662" s="164">
        <v>5.5E-2</v>
      </c>
      <c r="E662" s="52">
        <v>819.63099999999997</v>
      </c>
      <c r="F662" s="128">
        <f t="shared" si="8"/>
        <v>0.86389107399999998</v>
      </c>
    </row>
    <row r="663" spans="2:6" ht="38.25">
      <c r="B663" s="100" t="s">
        <v>52</v>
      </c>
      <c r="C663" s="185" t="s">
        <v>97</v>
      </c>
      <c r="D663" s="164">
        <v>5.9499999999999997E-2</v>
      </c>
      <c r="E663" s="52">
        <v>206.57300000000001</v>
      </c>
      <c r="F663" s="128">
        <f t="shared" si="8"/>
        <v>0.21772794200000001</v>
      </c>
    </row>
    <row r="664" spans="2:6" ht="38.25">
      <c r="B664" s="100" t="s">
        <v>52</v>
      </c>
      <c r="C664" s="185" t="s">
        <v>97</v>
      </c>
      <c r="D664" s="164">
        <v>5.9499999999999997E-2</v>
      </c>
      <c r="E664" s="52">
        <v>200.04</v>
      </c>
      <c r="F664" s="128">
        <f t="shared" si="8"/>
        <v>0.21084216</v>
      </c>
    </row>
    <row r="665" spans="2:6" ht="38.25">
      <c r="B665" s="100" t="s">
        <v>52</v>
      </c>
      <c r="C665" s="185" t="s">
        <v>97</v>
      </c>
      <c r="D665" s="164">
        <v>5.9499999999999997E-2</v>
      </c>
      <c r="E665" s="52">
        <v>992.03899999999999</v>
      </c>
      <c r="F665" s="128">
        <f t="shared" si="8"/>
        <v>1.0456091060000001</v>
      </c>
    </row>
    <row r="666" spans="2:6" ht="38.25">
      <c r="B666" s="100" t="s">
        <v>52</v>
      </c>
      <c r="C666" s="185" t="s">
        <v>97</v>
      </c>
      <c r="D666" s="164">
        <v>5.9499999999999997E-2</v>
      </c>
      <c r="E666" s="52">
        <v>327.16300000000001</v>
      </c>
      <c r="F666" s="128">
        <f t="shared" si="8"/>
        <v>0.34482980200000002</v>
      </c>
    </row>
    <row r="667" spans="2:6" ht="38.25">
      <c r="B667" s="100" t="s">
        <v>52</v>
      </c>
      <c r="C667" s="185" t="s">
        <v>97</v>
      </c>
      <c r="D667" s="164">
        <v>5.9499999999999997E-2</v>
      </c>
      <c r="E667" s="52">
        <v>343.60700000000003</v>
      </c>
      <c r="F667" s="128">
        <f t="shared" si="8"/>
        <v>0.36216177800000005</v>
      </c>
    </row>
    <row r="668" spans="2:6" ht="38.25">
      <c r="B668" s="100" t="s">
        <v>52</v>
      </c>
      <c r="C668" s="185" t="s">
        <v>97</v>
      </c>
      <c r="D668" s="164">
        <v>5.9499999999999997E-2</v>
      </c>
      <c r="E668" s="52">
        <v>171.803</v>
      </c>
      <c r="F668" s="128">
        <f t="shared" si="8"/>
        <v>0.18108036199999999</v>
      </c>
    </row>
    <row r="669" spans="2:6" ht="38.25">
      <c r="B669" s="100" t="s">
        <v>52</v>
      </c>
      <c r="C669" s="185" t="s">
        <v>97</v>
      </c>
      <c r="D669" s="164">
        <v>5.9499999999999997E-2</v>
      </c>
      <c r="E669" s="52">
        <v>1360.1110000000001</v>
      </c>
      <c r="F669" s="128">
        <f t="shared" si="8"/>
        <v>1.4335569940000001</v>
      </c>
    </row>
    <row r="670" spans="2:6">
      <c r="B670" s="116" t="s">
        <v>33</v>
      </c>
      <c r="C670" s="163"/>
      <c r="D670" s="162"/>
      <c r="E670" s="170">
        <f>SUM(E642:E669)</f>
        <v>41257.606999999989</v>
      </c>
      <c r="F670" s="171">
        <f>SUM(F642:F669)</f>
        <v>43.485517778000009</v>
      </c>
    </row>
    <row r="671" spans="2:6">
      <c r="B671" s="172" t="s">
        <v>54</v>
      </c>
      <c r="C671" s="173"/>
      <c r="D671" s="174"/>
      <c r="E671" s="175">
        <f>E670-C609</f>
        <v>-4.0000000080908649E-3</v>
      </c>
      <c r="F671" s="171"/>
    </row>
    <row r="672" spans="2:6">
      <c r="B672" s="100"/>
      <c r="C672" s="163"/>
      <c r="D672" s="162"/>
      <c r="E672" s="168"/>
      <c r="F672" s="157"/>
    </row>
    <row r="673" spans="2:6">
      <c r="B673" s="116" t="s">
        <v>55</v>
      </c>
      <c r="C673" s="163"/>
      <c r="D673" s="162"/>
      <c r="E673" s="168"/>
      <c r="F673" s="157"/>
    </row>
    <row r="674" spans="2:6" ht="25.5">
      <c r="B674" s="100" t="s">
        <v>69</v>
      </c>
      <c r="C674" s="185" t="s">
        <v>70</v>
      </c>
      <c r="D674" s="164">
        <v>3.39E-2</v>
      </c>
      <c r="E674" s="52">
        <v>49.28</v>
      </c>
      <c r="F674" s="128">
        <f t="shared" ref="F674:F686" si="9">E674*$J$479</f>
        <v>5.194112E-2</v>
      </c>
    </row>
    <row r="675" spans="2:6" ht="25.5">
      <c r="B675" s="100" t="s">
        <v>69</v>
      </c>
      <c r="C675" s="185" t="s">
        <v>70</v>
      </c>
      <c r="D675" s="164" t="s">
        <v>98</v>
      </c>
      <c r="E675" s="52">
        <v>93.707999999999998</v>
      </c>
      <c r="F675" s="128">
        <f t="shared" si="9"/>
        <v>9.8768231999999997E-2</v>
      </c>
    </row>
    <row r="676" spans="2:6" ht="38.25">
      <c r="B676" s="100" t="s">
        <v>61</v>
      </c>
      <c r="C676" s="185" t="s">
        <v>42</v>
      </c>
      <c r="D676" s="164">
        <v>6.7799999999999999E-2</v>
      </c>
      <c r="E676" s="52">
        <v>90000</v>
      </c>
      <c r="F676" s="128">
        <f t="shared" si="9"/>
        <v>94.86</v>
      </c>
    </row>
    <row r="677" spans="2:6" ht="38.25">
      <c r="B677" s="100" t="s">
        <v>61</v>
      </c>
      <c r="C677" s="185" t="s">
        <v>42</v>
      </c>
      <c r="D677" s="164">
        <v>6.54E-2</v>
      </c>
      <c r="E677" s="52">
        <v>30000</v>
      </c>
      <c r="F677" s="128">
        <f t="shared" si="9"/>
        <v>31.62</v>
      </c>
    </row>
    <row r="678" spans="2:6" ht="38.25">
      <c r="B678" s="100" t="s">
        <v>41</v>
      </c>
      <c r="C678" s="185" t="s">
        <v>42</v>
      </c>
      <c r="D678" s="164">
        <v>7.3200000000000001E-2</v>
      </c>
      <c r="E678" s="52">
        <v>2000</v>
      </c>
      <c r="F678" s="128">
        <f t="shared" si="9"/>
        <v>2.1080000000000001</v>
      </c>
    </row>
    <row r="679" spans="2:6" ht="38.25">
      <c r="B679" s="100" t="s">
        <v>41</v>
      </c>
      <c r="C679" s="185" t="s">
        <v>42</v>
      </c>
      <c r="D679" s="164">
        <v>8.0399999999999999E-2</v>
      </c>
      <c r="E679" s="52">
        <v>1000</v>
      </c>
      <c r="F679" s="128">
        <f t="shared" si="9"/>
        <v>1.054</v>
      </c>
    </row>
    <row r="680" spans="2:6" ht="38.25">
      <c r="B680" s="100" t="s">
        <v>41</v>
      </c>
      <c r="C680" s="185" t="s">
        <v>42</v>
      </c>
      <c r="D680" s="164">
        <v>7.7399999999999997E-2</v>
      </c>
      <c r="E680" s="52">
        <v>6732.61</v>
      </c>
      <c r="F680" s="128">
        <f t="shared" si="9"/>
        <v>7.0961709399999995</v>
      </c>
    </row>
    <row r="681" spans="2:6" ht="38.25">
      <c r="B681" s="100" t="s">
        <v>41</v>
      </c>
      <c r="C681" s="185" t="s">
        <v>42</v>
      </c>
      <c r="D681" s="164">
        <v>0.08</v>
      </c>
      <c r="E681" s="52">
        <v>5977.3270000000002</v>
      </c>
      <c r="F681" s="128">
        <f t="shared" si="9"/>
        <v>6.3001026580000001</v>
      </c>
    </row>
    <row r="682" spans="2:6" ht="38.25">
      <c r="B682" s="100" t="s">
        <v>43</v>
      </c>
      <c r="C682" s="185" t="s">
        <v>42</v>
      </c>
      <c r="D682" s="164">
        <v>6.6600000000000006E-2</v>
      </c>
      <c r="E682" s="52">
        <v>16000</v>
      </c>
      <c r="F682" s="128">
        <f t="shared" si="9"/>
        <v>16.864000000000001</v>
      </c>
    </row>
    <row r="683" spans="2:6" ht="38.25">
      <c r="B683" s="100" t="s">
        <v>52</v>
      </c>
      <c r="C683" s="185" t="s">
        <v>53</v>
      </c>
      <c r="D683" s="164">
        <v>5.6099999999999997E-2</v>
      </c>
      <c r="E683" s="52">
        <v>4143.4139999999998</v>
      </c>
      <c r="F683" s="128">
        <f t="shared" si="9"/>
        <v>4.367158356</v>
      </c>
    </row>
    <row r="684" spans="2:6" ht="38.25">
      <c r="B684" s="100" t="s">
        <v>52</v>
      </c>
      <c r="C684" s="185" t="s">
        <v>53</v>
      </c>
      <c r="D684" s="164">
        <v>0.05</v>
      </c>
      <c r="E684" s="52">
        <v>8270.65</v>
      </c>
      <c r="F684" s="128">
        <f t="shared" si="9"/>
        <v>8.7172651000000005</v>
      </c>
    </row>
    <row r="685" spans="2:6" ht="38.25">
      <c r="B685" s="100" t="s">
        <v>52</v>
      </c>
      <c r="C685" s="185" t="s">
        <v>53</v>
      </c>
      <c r="D685" s="164">
        <v>5.5E-2</v>
      </c>
      <c r="E685" s="52">
        <v>1091.271</v>
      </c>
      <c r="F685" s="128">
        <f t="shared" si="9"/>
        <v>1.150199634</v>
      </c>
    </row>
    <row r="686" spans="2:6" ht="38.25">
      <c r="B686" s="100" t="s">
        <v>52</v>
      </c>
      <c r="C686" s="185" t="s">
        <v>53</v>
      </c>
      <c r="D686" s="164">
        <v>5.9499999999999997E-2</v>
      </c>
      <c r="E686" s="52">
        <v>1289.0640000000001</v>
      </c>
      <c r="F686" s="128">
        <f t="shared" si="9"/>
        <v>1.3586734560000002</v>
      </c>
    </row>
    <row r="687" spans="2:6">
      <c r="B687" s="116" t="s">
        <v>33</v>
      </c>
      <c r="C687" s="163"/>
      <c r="D687" s="162"/>
      <c r="E687" s="170">
        <f>SUM(E674:E686)</f>
        <v>166647.32399999999</v>
      </c>
      <c r="F687" s="171">
        <f>SUM(F674:F686)</f>
        <v>175.64627949600001</v>
      </c>
    </row>
    <row r="688" spans="2:6" ht="15.75" thickBot="1">
      <c r="B688" s="176" t="s">
        <v>54</v>
      </c>
      <c r="C688" s="177"/>
      <c r="D688" s="178"/>
      <c r="E688" s="179">
        <f>E687-C605</f>
        <v>0</v>
      </c>
      <c r="F688" s="107"/>
    </row>
    <row r="690" spans="2:6" ht="15.75" thickBot="1"/>
    <row r="691" spans="2:6" ht="15.75" thickBot="1">
      <c r="B691" s="165" t="s">
        <v>56</v>
      </c>
      <c r="C691" s="166"/>
      <c r="D691" s="166"/>
      <c r="E691" s="167"/>
      <c r="F691" s="129"/>
    </row>
    <row r="692" spans="2:6">
      <c r="B692" s="161" t="s">
        <v>35</v>
      </c>
      <c r="C692" s="160"/>
      <c r="D692" s="160" t="s">
        <v>37</v>
      </c>
      <c r="E692" s="160" t="s">
        <v>4</v>
      </c>
      <c r="F692" s="159" t="s">
        <v>6</v>
      </c>
    </row>
    <row r="693" spans="2:6">
      <c r="B693" s="116" t="s">
        <v>38</v>
      </c>
      <c r="D693" s="156"/>
      <c r="F693" s="157"/>
    </row>
    <row r="694" spans="2:6">
      <c r="B694" s="100" t="s">
        <v>57</v>
      </c>
      <c r="C694" s="163"/>
      <c r="D694" s="164">
        <v>2.9000000000000001E-2</v>
      </c>
      <c r="E694" s="52">
        <v>1295.8119999999999</v>
      </c>
      <c r="F694" s="128">
        <f t="shared" ref="F694:F700" si="10">E694*$J$479</f>
        <v>1.365785848</v>
      </c>
    </row>
    <row r="695" spans="2:6">
      <c r="B695" s="100" t="s">
        <v>99</v>
      </c>
      <c r="C695" s="163"/>
      <c r="D695" s="164">
        <v>1.2E-2</v>
      </c>
      <c r="E695" s="52">
        <v>29039.468000000001</v>
      </c>
      <c r="F695" s="128">
        <f t="shared" si="10"/>
        <v>30.607599272000002</v>
      </c>
    </row>
    <row r="696" spans="2:6">
      <c r="B696" s="100" t="s">
        <v>57</v>
      </c>
      <c r="C696" s="163"/>
      <c r="D696" s="164">
        <v>1.6E-2</v>
      </c>
      <c r="E696" s="52">
        <v>372.90199999999999</v>
      </c>
      <c r="F696" s="128">
        <f t="shared" si="10"/>
        <v>0.39303870800000001</v>
      </c>
    </row>
    <row r="697" spans="2:6">
      <c r="B697" s="100" t="s">
        <v>57</v>
      </c>
      <c r="C697" s="163"/>
      <c r="D697" s="164">
        <v>3.3500000000000002E-2</v>
      </c>
      <c r="E697" s="52">
        <v>8012.8</v>
      </c>
      <c r="F697" s="128">
        <f t="shared" si="10"/>
        <v>8.4454912000000011</v>
      </c>
    </row>
    <row r="698" spans="2:6">
      <c r="B698" s="100" t="s">
        <v>99</v>
      </c>
      <c r="C698" s="163"/>
      <c r="D698" s="164">
        <v>3.3500000000000002E-2</v>
      </c>
      <c r="E698" s="52">
        <v>772.63300000000004</v>
      </c>
      <c r="F698" s="128">
        <f t="shared" si="10"/>
        <v>0.81435518200000001</v>
      </c>
    </row>
    <row r="699" spans="2:6">
      <c r="B699" s="100" t="s">
        <v>57</v>
      </c>
      <c r="C699" s="163"/>
      <c r="D699" s="164">
        <v>2.7E-2</v>
      </c>
      <c r="E699" s="52">
        <v>1159.2629999999999</v>
      </c>
      <c r="F699" s="128">
        <f t="shared" si="10"/>
        <v>1.221863202</v>
      </c>
    </row>
    <row r="700" spans="2:6">
      <c r="B700" s="100" t="s">
        <v>100</v>
      </c>
      <c r="C700" s="163"/>
      <c r="D700" s="164">
        <v>0.01</v>
      </c>
      <c r="E700" s="52">
        <v>57780.275999999998</v>
      </c>
      <c r="F700" s="128">
        <f t="shared" si="10"/>
        <v>60.900410903999997</v>
      </c>
    </row>
    <row r="701" spans="2:6">
      <c r="B701" s="116" t="s">
        <v>33</v>
      </c>
      <c r="C701" s="163"/>
      <c r="D701" s="162"/>
      <c r="E701" s="170">
        <f>SUM(E694:E700)</f>
        <v>98433.153999999995</v>
      </c>
      <c r="F701" s="171">
        <f>SUM(F694:F700)</f>
        <v>103.74854431599999</v>
      </c>
    </row>
    <row r="702" spans="2:6">
      <c r="B702" s="172" t="s">
        <v>54</v>
      </c>
      <c r="C702" s="173"/>
      <c r="D702" s="174"/>
      <c r="E702" s="175">
        <f>E701-C610</f>
        <v>0</v>
      </c>
      <c r="F702" s="171"/>
    </row>
    <row r="703" spans="2:6">
      <c r="B703" s="100"/>
      <c r="C703" s="163"/>
      <c r="D703" s="162"/>
      <c r="E703" s="168"/>
      <c r="F703" s="157"/>
    </row>
    <row r="704" spans="2:6">
      <c r="B704" s="116" t="s">
        <v>55</v>
      </c>
      <c r="C704" s="163"/>
      <c r="D704" s="162"/>
      <c r="E704" s="168"/>
      <c r="F704" s="157"/>
    </row>
    <row r="705" spans="1:11">
      <c r="B705" s="100" t="s">
        <v>57</v>
      </c>
      <c r="C705" s="163"/>
      <c r="D705" s="164">
        <v>2.9000000000000001E-2</v>
      </c>
      <c r="E705" s="52">
        <v>115357.118</v>
      </c>
      <c r="F705" s="128">
        <f t="shared" ref="F705:F710" si="11">E705*$J$479</f>
        <v>121.58640237200001</v>
      </c>
    </row>
    <row r="706" spans="1:11">
      <c r="B706" s="100" t="s">
        <v>99</v>
      </c>
      <c r="C706" s="163"/>
      <c r="D706" s="164">
        <v>1.2E-2</v>
      </c>
      <c r="E706" s="52">
        <v>43447.521999999997</v>
      </c>
      <c r="F706" s="128">
        <f t="shared" si="11"/>
        <v>45.793688187999997</v>
      </c>
    </row>
    <row r="707" spans="1:11">
      <c r="B707" s="100" t="s">
        <v>57</v>
      </c>
      <c r="C707" s="163"/>
      <c r="D707" s="164">
        <v>1.6E-2</v>
      </c>
      <c r="E707" s="52">
        <v>78066.626000000004</v>
      </c>
      <c r="F707" s="128">
        <f t="shared" si="11"/>
        <v>82.282223804000012</v>
      </c>
    </row>
    <row r="708" spans="1:11">
      <c r="B708" s="100" t="s">
        <v>57</v>
      </c>
      <c r="C708" s="163"/>
      <c r="D708" s="164">
        <v>3.3500000000000002E-2</v>
      </c>
      <c r="E708" s="52">
        <v>592159.90800000005</v>
      </c>
      <c r="F708" s="128">
        <f t="shared" si="11"/>
        <v>624.13654303200008</v>
      </c>
    </row>
    <row r="709" spans="1:11">
      <c r="B709" s="100" t="s">
        <v>99</v>
      </c>
      <c r="C709" s="163"/>
      <c r="D709" s="164">
        <v>3.3500000000000002E-2</v>
      </c>
      <c r="E709" s="52">
        <v>77018.766000000003</v>
      </c>
      <c r="F709" s="128">
        <f t="shared" si="11"/>
        <v>81.177779364000003</v>
      </c>
    </row>
    <row r="710" spans="1:11">
      <c r="B710" s="100" t="s">
        <v>57</v>
      </c>
      <c r="C710" s="163"/>
      <c r="D710" s="164">
        <v>2.7E-2</v>
      </c>
      <c r="E710" s="52">
        <v>152953.98000000001</v>
      </c>
      <c r="F710" s="128">
        <f t="shared" si="11"/>
        <v>161.21349492000002</v>
      </c>
    </row>
    <row r="711" spans="1:11">
      <c r="B711" s="116" t="s">
        <v>33</v>
      </c>
      <c r="C711" s="163"/>
      <c r="D711" s="162"/>
      <c r="E711" s="170">
        <f>SUM(E705:E710)</f>
        <v>1059003.9200000002</v>
      </c>
      <c r="F711" s="171">
        <f>SUM(F705:F710)</f>
        <v>1116.1901316800001</v>
      </c>
    </row>
    <row r="712" spans="1:11" ht="15.75" thickBot="1">
      <c r="B712" s="176" t="s">
        <v>54</v>
      </c>
      <c r="C712" s="177"/>
      <c r="D712" s="178"/>
      <c r="E712" s="179">
        <f>E711-C606</f>
        <v>0</v>
      </c>
      <c r="F712" s="107"/>
    </row>
    <row r="714" spans="1:11">
      <c r="A714" s="15" t="s">
        <v>101</v>
      </c>
      <c r="D714" s="1"/>
      <c r="I714" s="2" t="s">
        <v>102</v>
      </c>
      <c r="J714" s="154">
        <f>Model!Y$203</f>
        <v>1.1128421989761851E-3</v>
      </c>
    </row>
    <row r="715" spans="1:11">
      <c r="D715" s="1"/>
      <c r="I715" s="2" t="s">
        <v>103</v>
      </c>
      <c r="J715" s="154">
        <f>Model!Y$204</f>
        <v>1.0845487527592836E-3</v>
      </c>
    </row>
    <row r="716" spans="1:11" ht="15.75" thickBot="1">
      <c r="D716" s="1"/>
      <c r="I716" s="2"/>
      <c r="J716" s="114"/>
    </row>
    <row r="717" spans="1:11">
      <c r="B717" s="115" t="s">
        <v>104</v>
      </c>
      <c r="C717" s="104" t="s">
        <v>4</v>
      </c>
      <c r="D717" s="104" t="s">
        <v>5</v>
      </c>
      <c r="E717" s="104" t="s">
        <v>6</v>
      </c>
      <c r="F717" s="105" t="s">
        <v>5</v>
      </c>
    </row>
    <row r="718" spans="1:11">
      <c r="B718" s="100"/>
      <c r="C718" s="94"/>
      <c r="D718" s="14"/>
      <c r="E718" s="95"/>
      <c r="F718" s="106"/>
      <c r="K718" s="13"/>
    </row>
    <row r="719" spans="1:11">
      <c r="B719" s="116" t="s">
        <v>9</v>
      </c>
      <c r="C719" s="96">
        <f>SUM(C720:C721)</f>
        <v>1176919.0659999999</v>
      </c>
      <c r="D719" s="14"/>
      <c r="E719" s="97">
        <f>C719*J714</f>
        <v>1309.7252014244377</v>
      </c>
      <c r="F719" s="106"/>
      <c r="K719" s="13"/>
    </row>
    <row r="720" spans="1:11">
      <c r="B720" s="100" t="s">
        <v>11</v>
      </c>
      <c r="C720" s="52">
        <v>168609.77799999999</v>
      </c>
      <c r="D720" s="14"/>
      <c r="E720" s="95">
        <f>C720*J714</f>
        <v>187.63607611840638</v>
      </c>
      <c r="F720" s="106"/>
    </row>
    <row r="721" spans="2:12">
      <c r="B721" s="100" t="s">
        <v>14</v>
      </c>
      <c r="C721" s="52">
        <v>1008309.2879999999</v>
      </c>
      <c r="D721" s="14"/>
      <c r="E721" s="95">
        <f>C721*J714</f>
        <v>1122.0891253060315</v>
      </c>
      <c r="F721" s="106"/>
    </row>
    <row r="722" spans="2:12">
      <c r="B722" s="100"/>
      <c r="C722" s="94"/>
      <c r="D722" s="14"/>
      <c r="E722" s="95"/>
      <c r="F722" s="106"/>
    </row>
    <row r="723" spans="2:12">
      <c r="B723" s="116" t="s">
        <v>15</v>
      </c>
      <c r="C723" s="96">
        <f>SUM(C724:C725)</f>
        <v>161715.726</v>
      </c>
      <c r="D723" s="14"/>
      <c r="E723" s="97">
        <f>C723*J714</f>
        <v>179.96408413087022</v>
      </c>
      <c r="F723" s="106"/>
    </row>
    <row r="724" spans="2:12">
      <c r="B724" s="100" t="s">
        <v>11</v>
      </c>
      <c r="C724" s="52">
        <v>71451.983999999997</v>
      </c>
      <c r="D724" s="14"/>
      <c r="E724" s="95">
        <f>C724*J714</f>
        <v>79.514782995771185</v>
      </c>
      <c r="F724" s="106"/>
    </row>
    <row r="725" spans="2:12">
      <c r="B725" s="100" t="s">
        <v>14</v>
      </c>
      <c r="C725" s="52">
        <v>90263.741999999998</v>
      </c>
      <c r="D725" s="14"/>
      <c r="E725" s="95">
        <f>C725*J714</f>
        <v>100.44930113509903</v>
      </c>
      <c r="F725" s="106"/>
    </row>
    <row r="726" spans="2:12">
      <c r="B726" s="100"/>
      <c r="C726" s="52"/>
      <c r="D726" s="14"/>
      <c r="E726" s="95"/>
      <c r="F726" s="106"/>
      <c r="L726" s="94"/>
    </row>
    <row r="727" spans="2:12">
      <c r="B727" s="122" t="s">
        <v>16</v>
      </c>
      <c r="C727" s="96">
        <f>SUM(C728:C729)</f>
        <v>46093.67</v>
      </c>
      <c r="D727" s="14"/>
      <c r="E727" s="96">
        <f>SUM(E728:E729)</f>
        <v>51.294981081682614</v>
      </c>
      <c r="F727" s="106"/>
      <c r="L727" s="94"/>
    </row>
    <row r="728" spans="2:12">
      <c r="B728" s="119" t="s">
        <v>17</v>
      </c>
      <c r="C728" s="7">
        <f>Model!$Y$111</f>
        <v>8902.02</v>
      </c>
      <c r="D728" s="14"/>
      <c r="E728" s="95">
        <f>C728*J714</f>
        <v>9.9065435121299803</v>
      </c>
      <c r="F728" s="106"/>
    </row>
    <row r="729" spans="2:12">
      <c r="B729" s="119" t="s">
        <v>18</v>
      </c>
      <c r="C729" s="7">
        <f>Model!$Y$112</f>
        <v>37191.65</v>
      </c>
      <c r="D729" s="14"/>
      <c r="E729" s="95">
        <f>C729*J714</f>
        <v>41.388437569552636</v>
      </c>
      <c r="F729" s="106"/>
    </row>
    <row r="730" spans="2:12">
      <c r="B730" s="100"/>
      <c r="C730" s="94"/>
      <c r="D730" s="14"/>
      <c r="E730" s="95"/>
      <c r="F730" s="106"/>
    </row>
    <row r="731" spans="2:12">
      <c r="B731" s="117" t="s">
        <v>19</v>
      </c>
      <c r="C731" s="11">
        <f>C723+C719+C727</f>
        <v>1384728.4619999998</v>
      </c>
      <c r="D731" s="10">
        <f>C731/C736</f>
        <v>4.0268727672028151</v>
      </c>
      <c r="E731" s="11">
        <f>E723+E719+E727</f>
        <v>1540.9842666369905</v>
      </c>
      <c r="F731" s="118">
        <f>E731/E736</f>
        <v>4.1319248524791012</v>
      </c>
    </row>
    <row r="732" spans="2:12">
      <c r="B732" s="119" t="s">
        <v>20</v>
      </c>
      <c r="C732" s="120">
        <f>Model!Y$119</f>
        <v>599279.00300000003</v>
      </c>
      <c r="D732" s="121"/>
      <c r="E732" s="95">
        <f>C732*J714</f>
        <v>666.90296349877588</v>
      </c>
      <c r="F732" s="106"/>
    </row>
    <row r="733" spans="2:12">
      <c r="B733" s="117" t="s">
        <v>21</v>
      </c>
      <c r="C733" s="11">
        <f>C731-C732</f>
        <v>785449.4589999998</v>
      </c>
      <c r="D733" s="10">
        <f>C733/C736</f>
        <v>2.2841337657586789</v>
      </c>
      <c r="E733" s="11">
        <f>E731-E732</f>
        <v>874.08130313821459</v>
      </c>
      <c r="F733" s="118">
        <f>E733/E736</f>
        <v>2.3437216963973726</v>
      </c>
    </row>
    <row r="734" spans="2:12">
      <c r="B734" s="122" t="s">
        <v>22</v>
      </c>
      <c r="C734" s="9">
        <f>Model!Y$123</f>
        <v>1523319.5919999999</v>
      </c>
      <c r="D734" s="8"/>
      <c r="E734" s="97">
        <f>C734*J714</f>
        <v>1695.2143245047851</v>
      </c>
      <c r="F734" s="106"/>
    </row>
    <row r="735" spans="2:12">
      <c r="B735" s="122" t="s">
        <v>23</v>
      </c>
      <c r="C735" s="9">
        <f>C733+C734</f>
        <v>2308769.051</v>
      </c>
      <c r="D735" s="8"/>
      <c r="E735" s="9">
        <f>E733+E734</f>
        <v>2569.2956276429995</v>
      </c>
      <c r="F735" s="106"/>
    </row>
    <row r="736" spans="2:12" ht="15.75" thickBot="1">
      <c r="B736" s="123" t="s">
        <v>24</v>
      </c>
      <c r="C736" s="124">
        <f>Model!Y$86</f>
        <v>343871.91800000006</v>
      </c>
      <c r="D736" s="125"/>
      <c r="E736" s="126">
        <f>C736*J715</f>
        <v>372.94585977584268</v>
      </c>
      <c r="F736" s="107"/>
    </row>
    <row r="737" spans="2:5">
      <c r="B737" s="5" t="s">
        <v>25</v>
      </c>
      <c r="C737" s="4">
        <f>+C731-Model!Y$118</f>
        <v>0</v>
      </c>
      <c r="D737" s="3"/>
    </row>
    <row r="738" spans="2:5">
      <c r="D738" s="1"/>
    </row>
    <row r="739" spans="2:5" ht="15.75" thickBot="1">
      <c r="B739" s="2"/>
      <c r="C739" s="98"/>
      <c r="D739" s="1"/>
    </row>
    <row r="740" spans="2:5">
      <c r="B740" s="99" t="s">
        <v>105</v>
      </c>
      <c r="C740" s="104" t="s">
        <v>4</v>
      </c>
      <c r="D740" s="108"/>
      <c r="E740" s="109" t="s">
        <v>6</v>
      </c>
    </row>
    <row r="741" spans="2:5">
      <c r="B741" s="101" t="s">
        <v>20</v>
      </c>
      <c r="C741" s="110">
        <f>C732</f>
        <v>599279.00300000003</v>
      </c>
      <c r="D741" s="110"/>
      <c r="E741" s="113">
        <f>E732</f>
        <v>666.90296349877588</v>
      </c>
    </row>
    <row r="742" spans="2:5">
      <c r="B742" s="101"/>
      <c r="C742" s="94"/>
      <c r="D742" s="94"/>
      <c r="E742" s="103"/>
    </row>
    <row r="743" spans="2:5" ht="15.75" thickBot="1">
      <c r="B743" s="102" t="s">
        <v>27</v>
      </c>
      <c r="C743" s="111">
        <f>SUM(C741:C742)</f>
        <v>599279.00300000003</v>
      </c>
      <c r="D743" s="111"/>
      <c r="E743" s="112">
        <f>SUM(E741:E742)</f>
        <v>666.90296349877588</v>
      </c>
    </row>
    <row r="744" spans="2:5" ht="15.75" thickBot="1">
      <c r="B744" s="2"/>
      <c r="C744" s="98"/>
      <c r="D744" s="98"/>
      <c r="E744" s="96"/>
    </row>
    <row r="745" spans="2:5">
      <c r="B745" s="99" t="s">
        <v>28</v>
      </c>
      <c r="C745" s="104" t="s">
        <v>4</v>
      </c>
      <c r="D745" s="127"/>
      <c r="E745" s="129" t="s">
        <v>6</v>
      </c>
    </row>
    <row r="746" spans="2:5">
      <c r="B746" s="100">
        <v>2024</v>
      </c>
      <c r="C746" s="130">
        <f>C724+C725</f>
        <v>161715.726</v>
      </c>
      <c r="D746" s="1"/>
      <c r="E746" s="128">
        <f>C746*$J$714</f>
        <v>179.96408413087022</v>
      </c>
    </row>
    <row r="747" spans="2:5">
      <c r="B747" s="100" t="s">
        <v>106</v>
      </c>
      <c r="C747" s="130">
        <f>63178.683+57764.488</f>
        <v>120943.171</v>
      </c>
      <c r="D747" s="1"/>
      <c r="E747" s="128">
        <f>C747*$J$714</f>
        <v>134.59066436679279</v>
      </c>
    </row>
    <row r="748" spans="2:5">
      <c r="B748" s="100" t="s">
        <v>107</v>
      </c>
      <c r="C748" s="130">
        <f>100566.045+618.33</f>
        <v>101184.375</v>
      </c>
      <c r="D748" s="1"/>
      <c r="E748" s="128">
        <f>C748*$J$714</f>
        <v>112.60224237703093</v>
      </c>
    </row>
    <row r="749" spans="2:5">
      <c r="B749" s="100" t="s">
        <v>32</v>
      </c>
      <c r="C749" s="130">
        <f>4865.05+949926.47</f>
        <v>954791.52</v>
      </c>
      <c r="D749" s="1"/>
      <c r="E749" s="128">
        <f>C749*$J$714</f>
        <v>1062.5322946806143</v>
      </c>
    </row>
    <row r="750" spans="2:5" ht="15.75" thickBot="1">
      <c r="B750" s="102" t="s">
        <v>33</v>
      </c>
      <c r="C750" s="131">
        <f>SUM(C746:C749)</f>
        <v>1338634.7919999999</v>
      </c>
      <c r="D750" s="111"/>
      <c r="E750" s="132">
        <f>SUM(E746:E749)</f>
        <v>1489.6892855553083</v>
      </c>
    </row>
    <row r="751" spans="2:5">
      <c r="B751" s="5" t="s">
        <v>25</v>
      </c>
      <c r="C751" s="4">
        <f>C750-C719-C723</f>
        <v>0</v>
      </c>
      <c r="D751" s="98"/>
      <c r="E751" s="96"/>
    </row>
    <row r="752" spans="2:5">
      <c r="D752" s="1"/>
    </row>
    <row r="753" spans="2:6" ht="15.75" thickBot="1">
      <c r="D753" s="1"/>
    </row>
    <row r="754" spans="2:6" ht="15.75" thickBot="1">
      <c r="B754" s="165" t="s">
        <v>34</v>
      </c>
      <c r="C754" s="166"/>
      <c r="D754" s="166"/>
      <c r="E754" s="167"/>
      <c r="F754" s="129"/>
    </row>
    <row r="755" spans="2:6">
      <c r="B755" s="161" t="s">
        <v>35</v>
      </c>
      <c r="C755" s="160" t="s">
        <v>36</v>
      </c>
      <c r="D755" s="160" t="s">
        <v>37</v>
      </c>
      <c r="E755" s="160" t="s">
        <v>4</v>
      </c>
      <c r="F755" s="159" t="s">
        <v>6</v>
      </c>
    </row>
    <row r="756" spans="2:6">
      <c r="B756" s="116" t="s">
        <v>38</v>
      </c>
      <c r="D756" s="156"/>
      <c r="F756" s="157"/>
    </row>
    <row r="757" spans="2:6" ht="25.5">
      <c r="B757" s="100" t="s">
        <v>69</v>
      </c>
      <c r="C757" s="163" t="s">
        <v>70</v>
      </c>
      <c r="D757" s="164">
        <v>3.39E-2</v>
      </c>
      <c r="E757" s="180">
        <v>7.6120000000000001</v>
      </c>
      <c r="F757" s="128">
        <f t="shared" ref="F757:F790" si="12">E757*$J$714</f>
        <v>8.4709548186067216E-3</v>
      </c>
    </row>
    <row r="758" spans="2:6" ht="25.5">
      <c r="B758" s="100" t="s">
        <v>69</v>
      </c>
      <c r="C758" s="163" t="s">
        <v>70</v>
      </c>
      <c r="D758" s="164">
        <v>5.6500000000000002E-2</v>
      </c>
      <c r="E758" s="180">
        <v>12.48</v>
      </c>
      <c r="F758" s="128">
        <f t="shared" si="12"/>
        <v>1.388827064322279E-2</v>
      </c>
    </row>
    <row r="759" spans="2:6" ht="38.25">
      <c r="B759" s="100" t="s">
        <v>85</v>
      </c>
      <c r="C759" s="163" t="s">
        <v>86</v>
      </c>
      <c r="D759" s="164">
        <v>6.9599999999999995E-2</v>
      </c>
      <c r="E759" s="180">
        <v>22.4</v>
      </c>
      <c r="F759" s="128">
        <f t="shared" si="12"/>
        <v>2.4927665257066543E-2</v>
      </c>
    </row>
    <row r="760" spans="2:6" ht="38.25">
      <c r="B760" s="100" t="s">
        <v>57</v>
      </c>
      <c r="C760" s="163" t="s">
        <v>42</v>
      </c>
      <c r="D760" s="164">
        <v>7.17E-2</v>
      </c>
      <c r="E760" s="180">
        <v>3190.65</v>
      </c>
      <c r="F760" s="128">
        <f t="shared" si="12"/>
        <v>3.5506899621633652</v>
      </c>
    </row>
    <row r="761" spans="2:6" ht="38.25">
      <c r="B761" s="100" t="s">
        <v>57</v>
      </c>
      <c r="C761" s="163" t="s">
        <v>42</v>
      </c>
      <c r="D761" s="164">
        <v>7.4999999999999997E-2</v>
      </c>
      <c r="E761" s="180">
        <v>850</v>
      </c>
      <c r="F761" s="128">
        <f t="shared" si="12"/>
        <v>0.94591586912975734</v>
      </c>
    </row>
    <row r="762" spans="2:6" ht="25.5">
      <c r="B762" s="100" t="s">
        <v>71</v>
      </c>
      <c r="C762" s="163" t="s">
        <v>108</v>
      </c>
      <c r="D762" s="164">
        <v>5.67E-2</v>
      </c>
      <c r="E762" s="180">
        <v>8154.1949999999997</v>
      </c>
      <c r="F762" s="128">
        <f t="shared" si="12"/>
        <v>9.0743322946806124</v>
      </c>
    </row>
    <row r="763" spans="2:6" ht="38.25">
      <c r="B763" s="100" t="s">
        <v>41</v>
      </c>
      <c r="C763" s="163" t="s">
        <v>42</v>
      </c>
      <c r="D763" s="164">
        <v>7.3499999999999996E-2</v>
      </c>
      <c r="E763" s="180">
        <v>2029.808</v>
      </c>
      <c r="F763" s="128">
        <f t="shared" si="12"/>
        <v>2.2588559982194525</v>
      </c>
    </row>
    <row r="764" spans="2:6" ht="38.25">
      <c r="B764" s="100" t="s">
        <v>41</v>
      </c>
      <c r="C764" s="163" t="s">
        <v>42</v>
      </c>
      <c r="D764" s="164">
        <v>7.3200000000000001E-2</v>
      </c>
      <c r="E764" s="180">
        <v>47.58</v>
      </c>
      <c r="F764" s="128">
        <f t="shared" si="12"/>
        <v>5.2949031827286885E-2</v>
      </c>
    </row>
    <row r="765" spans="2:6" ht="38.25">
      <c r="B765" s="100" t="s">
        <v>41</v>
      </c>
      <c r="C765" s="163" t="s">
        <v>42</v>
      </c>
      <c r="D765" s="164">
        <v>8.0399999999999999E-2</v>
      </c>
      <c r="E765" s="180">
        <v>37.073</v>
      </c>
      <c r="F765" s="128">
        <f t="shared" si="12"/>
        <v>4.1256398842644107E-2</v>
      </c>
    </row>
    <row r="766" spans="2:6" ht="38.25">
      <c r="B766" s="100" t="s">
        <v>41</v>
      </c>
      <c r="C766" s="163" t="s">
        <v>42</v>
      </c>
      <c r="D766" s="164">
        <v>7.7399999999999997E-2</v>
      </c>
      <c r="E766" s="180">
        <v>60.317</v>
      </c>
      <c r="F766" s="128">
        <f t="shared" si="12"/>
        <v>6.7123302915646554E-2</v>
      </c>
    </row>
    <row r="767" spans="2:6" ht="38.25">
      <c r="B767" s="100" t="s">
        <v>41</v>
      </c>
      <c r="C767" s="163" t="s">
        <v>42</v>
      </c>
      <c r="D767" s="164">
        <v>0.08</v>
      </c>
      <c r="E767" s="180">
        <v>181.02799999999999</v>
      </c>
      <c r="F767" s="128">
        <f t="shared" si="12"/>
        <v>0.20145559759626083</v>
      </c>
    </row>
    <row r="768" spans="2:6" ht="38.25">
      <c r="B768" s="100" t="s">
        <v>41</v>
      </c>
      <c r="C768" s="163" t="s">
        <v>73</v>
      </c>
      <c r="D768" s="164">
        <v>3.95E-2</v>
      </c>
      <c r="E768" s="180">
        <v>3001.8319999999999</v>
      </c>
      <c r="F768" s="128">
        <f t="shared" si="12"/>
        <v>3.3405653238370796</v>
      </c>
    </row>
    <row r="769" spans="2:6" ht="38.25">
      <c r="B769" s="100" t="s">
        <v>41</v>
      </c>
      <c r="C769" s="163" t="s">
        <v>73</v>
      </c>
      <c r="D769" s="164">
        <v>3.4500000000000003E-2</v>
      </c>
      <c r="E769" s="180">
        <v>1676.8489999999999</v>
      </c>
      <c r="F769" s="128">
        <f t="shared" si="12"/>
        <v>1.8660683285110169</v>
      </c>
    </row>
    <row r="770" spans="2:6" ht="38.25">
      <c r="B770" s="100" t="s">
        <v>43</v>
      </c>
      <c r="C770" s="163" t="s">
        <v>42</v>
      </c>
      <c r="D770" s="164">
        <v>7.6100000000000001E-2</v>
      </c>
      <c r="E770" s="180">
        <v>223.16800000000001</v>
      </c>
      <c r="F770" s="128">
        <f t="shared" si="12"/>
        <v>0.24835076786111729</v>
      </c>
    </row>
    <row r="771" spans="2:6">
      <c r="B771" s="100" t="s">
        <v>62</v>
      </c>
      <c r="C771" s="163" t="s">
        <v>50</v>
      </c>
      <c r="D771" s="164">
        <v>0.49</v>
      </c>
      <c r="E771" s="180">
        <v>9418.5169999999998</v>
      </c>
      <c r="F771" s="128">
        <f t="shared" si="12"/>
        <v>10.481323169374582</v>
      </c>
    </row>
    <row r="772" spans="2:6" ht="25.5">
      <c r="B772" s="100" t="s">
        <v>62</v>
      </c>
      <c r="C772" s="163" t="s">
        <v>94</v>
      </c>
      <c r="D772" s="164">
        <v>0.43</v>
      </c>
      <c r="E772" s="180">
        <v>10.823</v>
      </c>
      <c r="F772" s="128">
        <f t="shared" si="12"/>
        <v>1.2044291119519253E-2</v>
      </c>
    </row>
    <row r="773" spans="2:6">
      <c r="B773" s="100" t="s">
        <v>62</v>
      </c>
      <c r="C773" s="163" t="s">
        <v>109</v>
      </c>
      <c r="D773" s="164">
        <v>0.49</v>
      </c>
      <c r="E773" s="180">
        <v>46.64</v>
      </c>
      <c r="F773" s="128">
        <f t="shared" si="12"/>
        <v>5.190296016024927E-2</v>
      </c>
    </row>
    <row r="774" spans="2:6">
      <c r="B774" s="100" t="s">
        <v>62</v>
      </c>
      <c r="C774" s="163" t="s">
        <v>51</v>
      </c>
      <c r="D774" s="164">
        <v>0.48249999999999998</v>
      </c>
      <c r="E774" s="180">
        <v>18390.116999999998</v>
      </c>
      <c r="F774" s="128">
        <f t="shared" si="12"/>
        <v>20.465298241709323</v>
      </c>
    </row>
    <row r="775" spans="2:6">
      <c r="B775" s="100" t="s">
        <v>62</v>
      </c>
      <c r="C775" s="163" t="s">
        <v>110</v>
      </c>
      <c r="D775" s="164">
        <v>0.48249999999999998</v>
      </c>
      <c r="E775" s="180">
        <v>4269.1629999999996</v>
      </c>
      <c r="F775" s="128">
        <f t="shared" si="12"/>
        <v>4.7509047407077665</v>
      </c>
    </row>
    <row r="776" spans="2:6" ht="25.5">
      <c r="B776" s="100" t="s">
        <v>62</v>
      </c>
      <c r="C776" s="163" t="s">
        <v>46</v>
      </c>
      <c r="D776" s="164">
        <v>0.47249999999999998</v>
      </c>
      <c r="E776" s="180">
        <v>6416.549</v>
      </c>
      <c r="F776" s="128">
        <f t="shared" si="12"/>
        <v>7.1406064989984417</v>
      </c>
    </row>
    <row r="777" spans="2:6" ht="25.5">
      <c r="B777" s="100" t="s">
        <v>47</v>
      </c>
      <c r="C777" s="163" t="s">
        <v>49</v>
      </c>
      <c r="D777" s="164">
        <v>0.48</v>
      </c>
      <c r="E777" s="180">
        <v>29</v>
      </c>
      <c r="F777" s="128">
        <f t="shared" si="12"/>
        <v>3.2272423770309366E-2</v>
      </c>
    </row>
    <row r="778" spans="2:6">
      <c r="B778" s="100" t="s">
        <v>44</v>
      </c>
      <c r="C778" s="163" t="s">
        <v>45</v>
      </c>
      <c r="D778" s="164">
        <v>0.48749999999999999</v>
      </c>
      <c r="E778" s="180">
        <v>1816.838</v>
      </c>
      <c r="F778" s="128">
        <f t="shared" si="12"/>
        <v>2.021853995103494</v>
      </c>
    </row>
    <row r="779" spans="2:6">
      <c r="B779" s="100" t="s">
        <v>44</v>
      </c>
      <c r="C779" s="163" t="s">
        <v>50</v>
      </c>
      <c r="D779" s="164">
        <v>0.48</v>
      </c>
      <c r="E779" s="180">
        <v>3780.873</v>
      </c>
      <c r="F779" s="128">
        <f t="shared" si="12"/>
        <v>4.2075150233696856</v>
      </c>
    </row>
    <row r="780" spans="2:6" ht="25.5">
      <c r="B780" s="100" t="s">
        <v>44</v>
      </c>
      <c r="C780" s="163" t="s">
        <v>48</v>
      </c>
      <c r="D780" s="164">
        <v>0.49</v>
      </c>
      <c r="E780" s="180">
        <v>5043.134</v>
      </c>
      <c r="F780" s="128">
        <f t="shared" si="12"/>
        <v>5.6122123302915643</v>
      </c>
    </row>
    <row r="781" spans="2:6" ht="38.25">
      <c r="B781" s="100" t="s">
        <v>52</v>
      </c>
      <c r="C781" s="163" t="s">
        <v>53</v>
      </c>
      <c r="D781" s="164">
        <v>5.6099999999999997E-2</v>
      </c>
      <c r="E781" s="180">
        <v>413.05900000000003</v>
      </c>
      <c r="F781" s="128">
        <f t="shared" si="12"/>
        <v>0.45966948586690409</v>
      </c>
    </row>
    <row r="782" spans="2:6" ht="38.25">
      <c r="B782" s="100" t="s">
        <v>52</v>
      </c>
      <c r="C782" s="163" t="s">
        <v>53</v>
      </c>
      <c r="D782" s="164">
        <v>0.05</v>
      </c>
      <c r="E782" s="180">
        <v>23.062000000000001</v>
      </c>
      <c r="F782" s="128">
        <f t="shared" si="12"/>
        <v>2.5664366792788783E-2</v>
      </c>
    </row>
    <row r="783" spans="2:6" ht="38.25">
      <c r="B783" s="100" t="s">
        <v>52</v>
      </c>
      <c r="C783" s="163" t="s">
        <v>53</v>
      </c>
      <c r="D783" s="164">
        <v>5.5E-2</v>
      </c>
      <c r="E783" s="180">
        <v>338.52800000000002</v>
      </c>
      <c r="F783" s="128">
        <f t="shared" si="12"/>
        <v>0.37672824393501003</v>
      </c>
    </row>
    <row r="784" spans="2:6" ht="38.25">
      <c r="B784" s="100" t="s">
        <v>52</v>
      </c>
      <c r="C784" s="163" t="s">
        <v>53</v>
      </c>
      <c r="D784" s="164">
        <v>5.9499999999999997E-2</v>
      </c>
      <c r="E784" s="180">
        <v>53.006999999999998</v>
      </c>
      <c r="F784" s="128">
        <f t="shared" si="12"/>
        <v>5.8988426441130642E-2</v>
      </c>
    </row>
    <row r="785" spans="2:6" ht="38.25">
      <c r="B785" s="100" t="s">
        <v>52</v>
      </c>
      <c r="C785" s="163" t="s">
        <v>53</v>
      </c>
      <c r="D785" s="164">
        <v>5.9499999999999997E-2</v>
      </c>
      <c r="E785" s="180">
        <v>299.12900000000002</v>
      </c>
      <c r="F785" s="128">
        <f t="shared" si="12"/>
        <v>0.33288337413754732</v>
      </c>
    </row>
    <row r="786" spans="2:6" ht="38.25">
      <c r="B786" s="100" t="s">
        <v>52</v>
      </c>
      <c r="C786" s="163" t="s">
        <v>53</v>
      </c>
      <c r="D786" s="164">
        <v>5.9499999999999997E-2</v>
      </c>
      <c r="E786" s="180">
        <v>295.74299999999999</v>
      </c>
      <c r="F786" s="128">
        <f t="shared" si="12"/>
        <v>0.32911529045181392</v>
      </c>
    </row>
    <row r="787" spans="2:6" ht="38.25">
      <c r="B787" s="100" t="s">
        <v>52</v>
      </c>
      <c r="C787" s="163" t="s">
        <v>53</v>
      </c>
      <c r="D787" s="164">
        <v>5.9499999999999997E-2</v>
      </c>
      <c r="E787" s="180">
        <v>168.608</v>
      </c>
      <c r="F787" s="128">
        <f t="shared" si="12"/>
        <v>0.18763409748497661</v>
      </c>
    </row>
    <row r="788" spans="2:6" ht="38.25">
      <c r="B788" s="100" t="s">
        <v>52</v>
      </c>
      <c r="C788" s="163" t="s">
        <v>53</v>
      </c>
      <c r="D788" s="164">
        <v>5.9499999999999997E-2</v>
      </c>
      <c r="E788" s="180">
        <v>882.82100000000003</v>
      </c>
      <c r="F788" s="128">
        <f t="shared" si="12"/>
        <v>0.98244046294235476</v>
      </c>
    </row>
    <row r="789" spans="2:6" ht="38.25">
      <c r="B789" s="100" t="s">
        <v>52</v>
      </c>
      <c r="C789" s="163" t="s">
        <v>53</v>
      </c>
      <c r="D789" s="164">
        <v>5.9499999999999997E-2</v>
      </c>
      <c r="E789" s="180">
        <v>290.35199999999998</v>
      </c>
      <c r="F789" s="128">
        <f t="shared" si="12"/>
        <v>0.32311595815713329</v>
      </c>
    </row>
    <row r="790" spans="2:6">
      <c r="B790" s="116" t="s">
        <v>33</v>
      </c>
      <c r="C790" s="163"/>
      <c r="D790" s="162"/>
      <c r="E790" s="181">
        <v>71451.983999999997</v>
      </c>
      <c r="F790" s="128">
        <f t="shared" si="12"/>
        <v>79.514782995771185</v>
      </c>
    </row>
    <row r="791" spans="2:6">
      <c r="B791" s="172" t="s">
        <v>54</v>
      </c>
      <c r="C791" s="173"/>
      <c r="D791" s="174"/>
      <c r="E791" s="182">
        <f>E790-C724</f>
        <v>0</v>
      </c>
      <c r="F791" s="171"/>
    </row>
    <row r="792" spans="2:6">
      <c r="B792" s="100"/>
      <c r="C792" s="163"/>
      <c r="D792" s="162"/>
      <c r="E792" s="183"/>
      <c r="F792" s="157"/>
    </row>
    <row r="793" spans="2:6">
      <c r="B793" s="116" t="s">
        <v>55</v>
      </c>
      <c r="C793" s="163"/>
      <c r="D793" s="162"/>
      <c r="E793" s="183"/>
      <c r="F793" s="157"/>
    </row>
    <row r="794" spans="2:6" ht="25.5">
      <c r="B794" s="100" t="s">
        <v>69</v>
      </c>
      <c r="C794" s="163" t="s">
        <v>70</v>
      </c>
      <c r="D794" s="164">
        <v>3.39E-2</v>
      </c>
      <c r="E794" s="180">
        <v>49.926000000000002</v>
      </c>
      <c r="F794" s="128">
        <f t="shared" ref="F794:F807" si="13">E794*$J$714</f>
        <v>5.5559759626085017E-2</v>
      </c>
    </row>
    <row r="795" spans="2:6" ht="25.5">
      <c r="B795" s="100" t="s">
        <v>69</v>
      </c>
      <c r="C795" s="163" t="s">
        <v>70</v>
      </c>
      <c r="D795" s="164">
        <v>5.6500000000000002E-2</v>
      </c>
      <c r="E795" s="180">
        <v>94.619</v>
      </c>
      <c r="F795" s="128">
        <f t="shared" si="13"/>
        <v>0.10529601602492766</v>
      </c>
    </row>
    <row r="796" spans="2:6" ht="38.25">
      <c r="B796" s="100" t="s">
        <v>57</v>
      </c>
      <c r="C796" s="163" t="s">
        <v>42</v>
      </c>
      <c r="D796" s="164">
        <v>7.17E-2</v>
      </c>
      <c r="E796" s="180">
        <v>90000</v>
      </c>
      <c r="F796" s="128">
        <f t="shared" si="13"/>
        <v>100.15579790785665</v>
      </c>
    </row>
    <row r="797" spans="2:6" ht="38.25">
      <c r="B797" s="100" t="s">
        <v>57</v>
      </c>
      <c r="C797" s="163" t="s">
        <v>42</v>
      </c>
      <c r="D797" s="164">
        <v>7.4999999999999997E-2</v>
      </c>
      <c r="E797" s="180">
        <v>30000</v>
      </c>
      <c r="F797" s="128">
        <f t="shared" si="13"/>
        <v>33.385265969285555</v>
      </c>
    </row>
    <row r="798" spans="2:6" ht="38.25">
      <c r="B798" s="100" t="s">
        <v>41</v>
      </c>
      <c r="C798" s="163" t="s">
        <v>42</v>
      </c>
      <c r="D798" s="164">
        <v>7.3200000000000001E-2</v>
      </c>
      <c r="E798" s="180">
        <v>2000</v>
      </c>
      <c r="F798" s="128">
        <f t="shared" si="13"/>
        <v>2.2256843979523704</v>
      </c>
    </row>
    <row r="799" spans="2:6" ht="38.25">
      <c r="B799" s="100" t="s">
        <v>41</v>
      </c>
      <c r="C799" s="163" t="s">
        <v>42</v>
      </c>
      <c r="D799" s="164">
        <v>8.0399999999999999E-2</v>
      </c>
      <c r="E799" s="180">
        <v>1000</v>
      </c>
      <c r="F799" s="128">
        <f t="shared" si="13"/>
        <v>1.1128421989761852</v>
      </c>
    </row>
    <row r="800" spans="2:6" ht="38.25">
      <c r="B800" s="100" t="s">
        <v>41</v>
      </c>
      <c r="C800" s="163" t="s">
        <v>42</v>
      </c>
      <c r="D800" s="164">
        <v>7.7399999999999997E-2</v>
      </c>
      <c r="E800" s="180">
        <v>6729.89</v>
      </c>
      <c r="F800" s="128">
        <f t="shared" si="13"/>
        <v>7.4893055864678386</v>
      </c>
    </row>
    <row r="801" spans="2:6" ht="38.25">
      <c r="B801" s="100" t="s">
        <v>41</v>
      </c>
      <c r="C801" s="163" t="s">
        <v>42</v>
      </c>
      <c r="D801" s="164">
        <v>0.08</v>
      </c>
      <c r="E801" s="180">
        <v>5974.9089999999997</v>
      </c>
      <c r="F801" s="128">
        <f t="shared" si="13"/>
        <v>6.6491308702425984</v>
      </c>
    </row>
    <row r="802" spans="2:6" ht="38.25">
      <c r="B802" s="100" t="s">
        <v>41</v>
      </c>
      <c r="C802" s="163" t="s">
        <v>73</v>
      </c>
      <c r="D802" s="164">
        <v>3.4500000000000003E-2</v>
      </c>
      <c r="E802" s="180">
        <v>830.14</v>
      </c>
      <c r="F802" s="128">
        <f t="shared" si="13"/>
        <v>0.92381482305809026</v>
      </c>
    </row>
    <row r="803" spans="2:6" ht="38.25">
      <c r="B803" s="100" t="s">
        <v>43</v>
      </c>
      <c r="C803" s="163" t="s">
        <v>42</v>
      </c>
      <c r="D803" s="164">
        <v>7.6100000000000001E-2</v>
      </c>
      <c r="E803" s="180">
        <v>16000</v>
      </c>
      <c r="F803" s="128">
        <f t="shared" si="13"/>
        <v>17.805475183618963</v>
      </c>
    </row>
    <row r="804" spans="2:6" ht="38.25">
      <c r="B804" s="100" t="s">
        <v>52</v>
      </c>
      <c r="C804" s="163" t="s">
        <v>53</v>
      </c>
      <c r="D804" s="164">
        <v>5.6099999999999997E-2</v>
      </c>
      <c r="E804" s="180">
        <v>4052.8589999999999</v>
      </c>
      <c r="F804" s="128">
        <f t="shared" si="13"/>
        <v>4.5101925217004224</v>
      </c>
    </row>
    <row r="805" spans="2:6" ht="38.25">
      <c r="B805" s="100" t="s">
        <v>52</v>
      </c>
      <c r="C805" s="163" t="s">
        <v>53</v>
      </c>
      <c r="D805" s="164">
        <v>0.05</v>
      </c>
      <c r="E805" s="180">
        <v>8883.6149999999998</v>
      </c>
      <c r="F805" s="128">
        <f t="shared" si="13"/>
        <v>9.8860616514578226</v>
      </c>
    </row>
    <row r="806" spans="2:6" ht="38.25">
      <c r="B806" s="100" t="s">
        <v>52</v>
      </c>
      <c r="C806" s="163" t="s">
        <v>53</v>
      </c>
      <c r="D806" s="164">
        <v>5.5E-2</v>
      </c>
      <c r="E806" s="180">
        <v>1666.6479999999999</v>
      </c>
      <c r="F806" s="128">
        <f t="shared" si="13"/>
        <v>1.8547162252392608</v>
      </c>
    </row>
    <row r="807" spans="2:6" ht="38.25">
      <c r="B807" s="100" t="s">
        <v>52</v>
      </c>
      <c r="C807" s="163" t="s">
        <v>53</v>
      </c>
      <c r="D807" s="164">
        <v>5.9499999999999997E-2</v>
      </c>
      <c r="E807" s="180">
        <v>1327.172</v>
      </c>
      <c r="F807" s="128">
        <f t="shared" si="13"/>
        <v>1.4769330068996216</v>
      </c>
    </row>
    <row r="808" spans="2:6">
      <c r="B808" s="116" t="s">
        <v>33</v>
      </c>
      <c r="C808" s="163"/>
      <c r="D808" s="162"/>
      <c r="E808" s="170">
        <f>SUM(E794:E807)</f>
        <v>168609.77799999996</v>
      </c>
      <c r="F808" s="171">
        <f>SUM(F794:F807)</f>
        <v>187.63607611840638</v>
      </c>
    </row>
    <row r="809" spans="2:6" ht="15.75" thickBot="1">
      <c r="B809" s="176" t="s">
        <v>54</v>
      </c>
      <c r="C809" s="177"/>
      <c r="D809" s="178"/>
      <c r="E809" s="179">
        <f>E808-C720</f>
        <v>0</v>
      </c>
      <c r="F809" s="107"/>
    </row>
    <row r="811" spans="2:6" ht="15.75" thickBot="1"/>
    <row r="812" spans="2:6" ht="15.75" thickBot="1">
      <c r="B812" s="165" t="s">
        <v>56</v>
      </c>
      <c r="C812" s="166"/>
      <c r="D812" s="166"/>
      <c r="E812" s="167"/>
      <c r="F812" s="129"/>
    </row>
    <row r="813" spans="2:6">
      <c r="B813" s="161" t="s">
        <v>35</v>
      </c>
      <c r="C813" s="160"/>
      <c r="D813" s="160" t="s">
        <v>37</v>
      </c>
      <c r="E813" s="160" t="s">
        <v>4</v>
      </c>
      <c r="F813" s="159" t="s">
        <v>6</v>
      </c>
    </row>
    <row r="814" spans="2:6">
      <c r="B814" s="116" t="s">
        <v>38</v>
      </c>
      <c r="D814" s="156"/>
      <c r="F814" s="157"/>
    </row>
    <row r="815" spans="2:6">
      <c r="B815" s="100" t="s">
        <v>57</v>
      </c>
      <c r="C815" s="163"/>
      <c r="D815" s="164">
        <v>2.9000000000000001E-2</v>
      </c>
      <c r="E815" s="180">
        <v>460.30399999999997</v>
      </c>
      <c r="F815" s="128">
        <f t="shared" ref="F815:F821" si="14">E815*$J$714</f>
        <v>0.51224571555753384</v>
      </c>
    </row>
    <row r="816" spans="2:6">
      <c r="B816" s="100" t="s">
        <v>99</v>
      </c>
      <c r="C816" s="163"/>
      <c r="D816" s="164">
        <v>1.2E-2</v>
      </c>
      <c r="E816" s="180">
        <v>28934.337</v>
      </c>
      <c r="F816" s="128">
        <f t="shared" si="14"/>
        <v>32.199351212997996</v>
      </c>
    </row>
    <row r="817" spans="2:6">
      <c r="B817" s="100" t="s">
        <v>57</v>
      </c>
      <c r="C817" s="163"/>
      <c r="D817" s="164">
        <v>1.6E-2</v>
      </c>
      <c r="E817" s="180">
        <v>674.22400000000005</v>
      </c>
      <c r="F817" s="128">
        <f t="shared" si="14"/>
        <v>0.75030491876251948</v>
      </c>
    </row>
    <row r="818" spans="2:6">
      <c r="B818" s="100" t="s">
        <v>57</v>
      </c>
      <c r="C818" s="163"/>
      <c r="D818" s="164">
        <v>3.3500000000000002E-2</v>
      </c>
      <c r="E818" s="180">
        <v>2707.6410000000001</v>
      </c>
      <c r="F818" s="128">
        <f t="shared" si="14"/>
        <v>3.0131771644780767</v>
      </c>
    </row>
    <row r="819" spans="2:6">
      <c r="B819" s="100" t="s">
        <v>99</v>
      </c>
      <c r="C819" s="163"/>
      <c r="D819" s="164">
        <v>3.3500000000000002E-2</v>
      </c>
      <c r="E819" s="180">
        <v>133.87100000000001</v>
      </c>
      <c r="F819" s="128">
        <f t="shared" si="14"/>
        <v>0.14897729801914089</v>
      </c>
    </row>
    <row r="820" spans="2:6">
      <c r="B820" s="100" t="s">
        <v>57</v>
      </c>
      <c r="C820" s="163"/>
      <c r="D820" s="164">
        <v>2.7E-2</v>
      </c>
      <c r="E820" s="180">
        <v>127.324</v>
      </c>
      <c r="F820" s="128">
        <f t="shared" si="14"/>
        <v>0.14169152014244379</v>
      </c>
    </row>
    <row r="821" spans="2:6">
      <c r="B821" s="100" t="s">
        <v>100</v>
      </c>
      <c r="C821" s="163"/>
      <c r="D821" s="164">
        <v>0.01</v>
      </c>
      <c r="E821" s="180">
        <v>57226.040999999997</v>
      </c>
      <c r="F821" s="128">
        <f t="shared" si="14"/>
        <v>63.683553305141324</v>
      </c>
    </row>
    <row r="822" spans="2:6">
      <c r="B822" s="116" t="s">
        <v>33</v>
      </c>
      <c r="C822" s="163"/>
      <c r="D822" s="162"/>
      <c r="E822" s="170">
        <f>SUM(E815:E821)</f>
        <v>90263.741999999998</v>
      </c>
      <c r="F822" s="171">
        <f>SUM(F815:F821)</f>
        <v>100.44930113509903</v>
      </c>
    </row>
    <row r="823" spans="2:6">
      <c r="B823" s="172" t="s">
        <v>54</v>
      </c>
      <c r="C823" s="173"/>
      <c r="D823" s="174"/>
      <c r="E823" s="175">
        <f>E822-C725</f>
        <v>0</v>
      </c>
      <c r="F823" s="171"/>
    </row>
    <row r="824" spans="2:6">
      <c r="B824" s="100"/>
      <c r="C824" s="163"/>
      <c r="D824" s="162"/>
      <c r="E824" s="168"/>
      <c r="F824" s="157"/>
    </row>
    <row r="825" spans="2:6">
      <c r="B825" s="116" t="s">
        <v>55</v>
      </c>
      <c r="C825" s="163"/>
      <c r="D825" s="162"/>
      <c r="E825" s="168"/>
      <c r="F825" s="157"/>
    </row>
    <row r="826" spans="2:6">
      <c r="B826" s="100" t="s">
        <v>57</v>
      </c>
      <c r="C826" s="163"/>
      <c r="D826" s="164">
        <v>2.9000000000000001E-2</v>
      </c>
      <c r="E826" s="180">
        <v>113842.216</v>
      </c>
      <c r="F826" s="128">
        <f t="shared" ref="F826:F831" si="15">E826*$J$714</f>
        <v>126.68842198976185</v>
      </c>
    </row>
    <row r="827" spans="2:6">
      <c r="B827" s="100" t="s">
        <v>99</v>
      </c>
      <c r="C827" s="163"/>
      <c r="D827" s="164">
        <v>1.2E-2</v>
      </c>
      <c r="E827" s="180">
        <v>57146.042000000001</v>
      </c>
      <c r="F827" s="128">
        <f t="shared" si="15"/>
        <v>63.59452704206543</v>
      </c>
    </row>
    <row r="828" spans="2:6">
      <c r="B828" s="100" t="s">
        <v>57</v>
      </c>
      <c r="C828" s="163"/>
      <c r="D828" s="164">
        <v>1.6E-2</v>
      </c>
      <c r="E828" s="180">
        <v>77126.832999999999</v>
      </c>
      <c r="F828" s="128">
        <f t="shared" si="15"/>
        <v>85.829994435789004</v>
      </c>
    </row>
    <row r="829" spans="2:6">
      <c r="B829" s="100" t="s">
        <v>57</v>
      </c>
      <c r="C829" s="163"/>
      <c r="D829" s="164">
        <v>3.3500000000000002E-2</v>
      </c>
      <c r="E829" s="180">
        <v>533245.63800000004</v>
      </c>
      <c r="F829" s="128">
        <f t="shared" si="15"/>
        <v>593.41824838637876</v>
      </c>
    </row>
    <row r="830" spans="2:6">
      <c r="B830" s="100" t="s">
        <v>99</v>
      </c>
      <c r="C830" s="163"/>
      <c r="D830" s="164">
        <v>3.3500000000000002E-2</v>
      </c>
      <c r="E830" s="180">
        <v>76019.111000000004</v>
      </c>
      <c r="F830" s="128">
        <f t="shared" si="15"/>
        <v>84.597274649454704</v>
      </c>
    </row>
    <row r="831" spans="2:6">
      <c r="B831" s="100" t="s">
        <v>57</v>
      </c>
      <c r="C831" s="163"/>
      <c r="D831" s="164">
        <v>2.7E-2</v>
      </c>
      <c r="E831" s="180">
        <v>150929.448</v>
      </c>
      <c r="F831" s="128">
        <f t="shared" si="15"/>
        <v>167.96065880258178</v>
      </c>
    </row>
    <row r="832" spans="2:6">
      <c r="B832" s="116" t="s">
        <v>33</v>
      </c>
      <c r="C832" s="163"/>
      <c r="D832" s="162"/>
      <c r="E832" s="170">
        <f>SUM(E826:E831)</f>
        <v>1008309.2880000001</v>
      </c>
      <c r="F832" s="171">
        <f>SUM(F826:F831)</f>
        <v>1122.0891253060315</v>
      </c>
    </row>
    <row r="833" spans="1:12" ht="15.75" thickBot="1">
      <c r="B833" s="176" t="s">
        <v>54</v>
      </c>
      <c r="C833" s="177"/>
      <c r="D833" s="178"/>
      <c r="E833" s="179">
        <f>E832-C721</f>
        <v>0</v>
      </c>
      <c r="F833" s="107"/>
    </row>
    <row r="835" spans="1:12">
      <c r="A835" s="15" t="s">
        <v>111</v>
      </c>
      <c r="D835" s="1"/>
      <c r="I835" s="2" t="s">
        <v>112</v>
      </c>
      <c r="J835" s="154">
        <f>Model!X$203</f>
        <v>1.06332075070445E-3</v>
      </c>
    </row>
    <row r="836" spans="1:12">
      <c r="D836" s="1"/>
      <c r="I836" s="2" t="s">
        <v>113</v>
      </c>
      <c r="J836" s="154">
        <f>Model!X$204</f>
        <v>1.108533694772814E-3</v>
      </c>
    </row>
    <row r="837" spans="1:12" ht="15.75" thickBot="1">
      <c r="D837" s="1"/>
      <c r="I837" s="2"/>
      <c r="J837" s="114"/>
    </row>
    <row r="838" spans="1:12">
      <c r="B838" s="115" t="s">
        <v>114</v>
      </c>
      <c r="C838" s="104" t="s">
        <v>4</v>
      </c>
      <c r="D838" s="104" t="s">
        <v>5</v>
      </c>
      <c r="E838" s="104" t="s">
        <v>6</v>
      </c>
      <c r="F838" s="105" t="s">
        <v>5</v>
      </c>
    </row>
    <row r="839" spans="1:12">
      <c r="B839" s="100"/>
      <c r="C839" s="94"/>
      <c r="D839" s="14"/>
      <c r="E839" s="95"/>
      <c r="F839" s="106"/>
      <c r="K839" s="13"/>
    </row>
    <row r="840" spans="1:12">
      <c r="B840" s="116" t="s">
        <v>9</v>
      </c>
      <c r="C840" s="96">
        <f>SUM(C841:C842)</f>
        <v>1202805.9409999999</v>
      </c>
      <c r="D840" s="14"/>
      <c r="E840" s="97">
        <f>C840*J835</f>
        <v>1278.9685161358923</v>
      </c>
      <c r="F840" s="106"/>
      <c r="K840" s="13"/>
    </row>
    <row r="841" spans="1:12">
      <c r="B841" s="100" t="s">
        <v>11</v>
      </c>
      <c r="C841" s="52">
        <v>171173.69200000001</v>
      </c>
      <c r="D841" s="14"/>
      <c r="E841" s="95">
        <f>C841*J835</f>
        <v>182.01253867829232</v>
      </c>
      <c r="F841" s="106"/>
    </row>
    <row r="842" spans="1:12">
      <c r="B842" s="100" t="s">
        <v>14</v>
      </c>
      <c r="C842" s="52">
        <v>1031632.249</v>
      </c>
      <c r="D842" s="14"/>
      <c r="E842" s="95">
        <f>C842*J835</f>
        <v>1096.9559774576001</v>
      </c>
      <c r="F842" s="106"/>
    </row>
    <row r="843" spans="1:12">
      <c r="B843" s="100"/>
      <c r="C843" s="94"/>
      <c r="D843" s="14"/>
      <c r="E843" s="95"/>
      <c r="F843" s="106"/>
    </row>
    <row r="844" spans="1:12">
      <c r="B844" s="116" t="s">
        <v>15</v>
      </c>
      <c r="C844" s="96">
        <f>SUM(C845:C846)</f>
        <v>171356.49</v>
      </c>
      <c r="D844" s="14"/>
      <c r="E844" s="97">
        <f>C844*J835</f>
        <v>182.20691158487958</v>
      </c>
      <c r="F844" s="106"/>
    </row>
    <row r="845" spans="1:12">
      <c r="B845" s="100" t="s">
        <v>11</v>
      </c>
      <c r="C845" s="52">
        <v>75182.176999999996</v>
      </c>
      <c r="D845" s="14"/>
      <c r="E845" s="95">
        <f>C845*J835</f>
        <v>79.942768887234834</v>
      </c>
      <c r="F845" s="106"/>
    </row>
    <row r="846" spans="1:12">
      <c r="B846" s="100" t="s">
        <v>14</v>
      </c>
      <c r="C846" s="52">
        <v>96174.312999999995</v>
      </c>
      <c r="D846" s="14"/>
      <c r="E846" s="95">
        <f>C846*J835</f>
        <v>102.26414269764473</v>
      </c>
      <c r="F846" s="106"/>
      <c r="L846" s="94"/>
    </row>
    <row r="847" spans="1:12">
      <c r="B847" s="100"/>
      <c r="C847" s="52"/>
      <c r="D847" s="14"/>
      <c r="E847" s="95"/>
      <c r="F847" s="106"/>
      <c r="L847" s="94"/>
    </row>
    <row r="848" spans="1:12">
      <c r="B848" s="122" t="s">
        <v>16</v>
      </c>
      <c r="C848" s="96">
        <f>SUM(C849:C850)</f>
        <v>42644.461000000003</v>
      </c>
      <c r="D848" s="14"/>
      <c r="E848" s="96">
        <f>SUM(E849:E850)</f>
        <v>45.344740283906638</v>
      </c>
      <c r="F848" s="106"/>
    </row>
    <row r="849" spans="2:6">
      <c r="B849" s="119" t="s">
        <v>17</v>
      </c>
      <c r="C849" s="7">
        <f>Model!$X$111</f>
        <v>8038.01</v>
      </c>
      <c r="D849" s="14"/>
      <c r="E849" s="95">
        <f>C849*J835</f>
        <v>8.5469828273698756</v>
      </c>
      <c r="F849" s="106"/>
    </row>
    <row r="850" spans="2:6">
      <c r="B850" s="119" t="s">
        <v>18</v>
      </c>
      <c r="C850" s="7">
        <f>Model!$X$112</f>
        <v>34606.451000000001</v>
      </c>
      <c r="D850" s="14"/>
      <c r="E850" s="95">
        <f>C850*J835</f>
        <v>36.797757456536765</v>
      </c>
      <c r="F850" s="106"/>
    </row>
    <row r="851" spans="2:6">
      <c r="B851" s="100"/>
      <c r="C851" s="94"/>
      <c r="D851" s="14"/>
      <c r="E851" s="95"/>
      <c r="F851" s="106"/>
    </row>
    <row r="852" spans="2:6">
      <c r="B852" s="117" t="s">
        <v>19</v>
      </c>
      <c r="C852" s="11">
        <f>C844+C840+C848</f>
        <v>1416806.8919999998</v>
      </c>
      <c r="D852" s="10">
        <f>C852/C857</f>
        <v>3.9379257072793399</v>
      </c>
      <c r="E852" s="11">
        <f>E844+E840+E848</f>
        <v>1506.5201680046787</v>
      </c>
      <c r="F852" s="118">
        <f>E852/E857</f>
        <v>3.77731244348037</v>
      </c>
    </row>
    <row r="853" spans="2:6">
      <c r="B853" s="119" t="s">
        <v>20</v>
      </c>
      <c r="C853" s="120">
        <f>Model!X$119</f>
        <v>636538.81599999999</v>
      </c>
      <c r="D853" s="121"/>
      <c r="E853" s="95">
        <f>C853*J835</f>
        <v>676.8449316816417</v>
      </c>
      <c r="F853" s="106"/>
    </row>
    <row r="854" spans="2:6">
      <c r="B854" s="117" t="s">
        <v>21</v>
      </c>
      <c r="C854" s="11">
        <f>C852-C853</f>
        <v>780268.07599999977</v>
      </c>
      <c r="D854" s="10">
        <f>C854/C857</f>
        <v>2.1687060758946317</v>
      </c>
      <c r="E854" s="11">
        <f>E852-E853</f>
        <v>829.67523632303698</v>
      </c>
      <c r="F854" s="118">
        <f>E854/E857</f>
        <v>2.0802526648954833</v>
      </c>
    </row>
    <row r="855" spans="2:6">
      <c r="B855" s="122" t="s">
        <v>22</v>
      </c>
      <c r="C855" s="9">
        <f>Model!X$123</f>
        <v>1523244.4480000001</v>
      </c>
      <c r="D855" s="8"/>
      <c r="E855" s="97">
        <f>C855*J835</f>
        <v>1619.6974299537455</v>
      </c>
      <c r="F855" s="106"/>
    </row>
    <row r="856" spans="2:6">
      <c r="B856" s="122" t="s">
        <v>23</v>
      </c>
      <c r="C856" s="9">
        <f>C854+C855</f>
        <v>2303512.5239999997</v>
      </c>
      <c r="D856" s="8"/>
      <c r="E856" s="9">
        <f>E854+E855</f>
        <v>2449.3726662767826</v>
      </c>
      <c r="F856" s="106"/>
    </row>
    <row r="857" spans="2:6" ht="15.75" thickBot="1">
      <c r="B857" s="123" t="s">
        <v>24</v>
      </c>
      <c r="C857" s="124">
        <f>Model!X$86</f>
        <v>359785.07400000002</v>
      </c>
      <c r="D857" s="125"/>
      <c r="E857" s="126">
        <f>C857*J836</f>
        <v>398.83387740533033</v>
      </c>
      <c r="F857" s="107"/>
    </row>
    <row r="858" spans="2:6">
      <c r="B858" s="5" t="s">
        <v>25</v>
      </c>
      <c r="C858" s="4">
        <f>+C852-Model!X$118</f>
        <v>0</v>
      </c>
      <c r="D858" s="3"/>
    </row>
    <row r="859" spans="2:6">
      <c r="D859" s="1"/>
    </row>
    <row r="860" spans="2:6" ht="15.75" thickBot="1">
      <c r="B860" s="2"/>
      <c r="C860" s="98"/>
      <c r="D860" s="1"/>
    </row>
    <row r="861" spans="2:6">
      <c r="B861" s="99" t="s">
        <v>115</v>
      </c>
      <c r="C861" s="104" t="s">
        <v>4</v>
      </c>
      <c r="D861" s="108"/>
      <c r="E861" s="109" t="s">
        <v>6</v>
      </c>
    </row>
    <row r="862" spans="2:6">
      <c r="B862" s="101" t="s">
        <v>20</v>
      </c>
      <c r="C862" s="110">
        <f>C853</f>
        <v>636538.81599999999</v>
      </c>
      <c r="D862" s="110"/>
      <c r="E862" s="113">
        <f>E853</f>
        <v>676.8449316816417</v>
      </c>
    </row>
    <row r="863" spans="2:6">
      <c r="B863" s="101"/>
      <c r="C863" s="94"/>
      <c r="D863" s="94"/>
      <c r="E863" s="103"/>
    </row>
    <row r="864" spans="2:6" ht="15.75" thickBot="1">
      <c r="B864" s="102" t="s">
        <v>27</v>
      </c>
      <c r="C864" s="111">
        <f>SUM(C862:C863)</f>
        <v>636538.81599999999</v>
      </c>
      <c r="D864" s="111"/>
      <c r="E864" s="112">
        <f>SUM(E862:E863)</f>
        <v>676.8449316816417</v>
      </c>
    </row>
    <row r="865" spans="2:6" ht="15.75" thickBot="1">
      <c r="B865" s="2"/>
      <c r="C865" s="98"/>
      <c r="D865" s="98"/>
      <c r="E865" s="96"/>
    </row>
    <row r="866" spans="2:6">
      <c r="B866" s="99" t="s">
        <v>28</v>
      </c>
      <c r="C866" s="104" t="s">
        <v>4</v>
      </c>
      <c r="D866" s="127"/>
      <c r="E866" s="129" t="s">
        <v>6</v>
      </c>
    </row>
    <row r="867" spans="2:6">
      <c r="B867" s="100">
        <v>2024</v>
      </c>
      <c r="C867" s="130">
        <f>C845+C846</f>
        <v>171356.49</v>
      </c>
      <c r="D867" s="1"/>
      <c r="E867" s="128">
        <f>C867*$J$835</f>
        <v>182.20691158487958</v>
      </c>
    </row>
    <row r="868" spans="2:6">
      <c r="B868" s="100" t="s">
        <v>106</v>
      </c>
      <c r="C868" s="130">
        <f>18548.688+57274.433</f>
        <v>75823.120999999999</v>
      </c>
      <c r="D868" s="1"/>
      <c r="E868" s="128">
        <f>C868*$J$835</f>
        <v>80.624297942474342</v>
      </c>
    </row>
    <row r="869" spans="2:6">
      <c r="B869" s="100" t="s">
        <v>107</v>
      </c>
      <c r="C869" s="130">
        <f>602.201+147057.332</f>
        <v>147659.533</v>
      </c>
      <c r="D869" s="1"/>
      <c r="E869" s="128">
        <f>C869*$J$835</f>
        <v>157.00944547822849</v>
      </c>
    </row>
    <row r="870" spans="2:6">
      <c r="B870" s="100" t="s">
        <v>32</v>
      </c>
      <c r="C870" s="130">
        <f>5567.672+973755.615</f>
        <v>979323.28700000001</v>
      </c>
      <c r="D870" s="1"/>
      <c r="E870" s="128">
        <f>C870*$J$835</f>
        <v>1041.3347727151895</v>
      </c>
    </row>
    <row r="871" spans="2:6" ht="15.75" thickBot="1">
      <c r="B871" s="102" t="s">
        <v>33</v>
      </c>
      <c r="C871" s="131">
        <f>SUM(C867:C870)</f>
        <v>1374162.4309999999</v>
      </c>
      <c r="D871" s="111"/>
      <c r="E871" s="132">
        <f>SUM(E867:E870)</f>
        <v>1461.1754277207719</v>
      </c>
    </row>
    <row r="872" spans="2:6">
      <c r="B872" s="5" t="s">
        <v>25</v>
      </c>
      <c r="C872" s="4">
        <f>C871-C840-C844</f>
        <v>0</v>
      </c>
      <c r="D872" s="98"/>
      <c r="E872" s="96"/>
    </row>
    <row r="873" spans="2:6">
      <c r="D873" s="1"/>
    </row>
    <row r="874" spans="2:6" ht="15.75" thickBot="1">
      <c r="D874" s="1"/>
    </row>
    <row r="875" spans="2:6" ht="15.75" thickBot="1">
      <c r="B875" s="165" t="s">
        <v>34</v>
      </c>
      <c r="C875" s="166"/>
      <c r="D875" s="166"/>
      <c r="E875" s="167"/>
      <c r="F875" s="129"/>
    </row>
    <row r="876" spans="2:6">
      <c r="B876" s="161" t="s">
        <v>35</v>
      </c>
      <c r="C876" s="160" t="s">
        <v>36</v>
      </c>
      <c r="D876" s="160" t="s">
        <v>37</v>
      </c>
      <c r="E876" s="160" t="s">
        <v>4</v>
      </c>
      <c r="F876" s="159" t="s">
        <v>6</v>
      </c>
    </row>
    <row r="877" spans="2:6">
      <c r="B877" s="116" t="s">
        <v>38</v>
      </c>
      <c r="D877" s="156"/>
      <c r="F877" s="157"/>
    </row>
    <row r="878" spans="2:6" ht="25.5">
      <c r="B878" s="100" t="s">
        <v>69</v>
      </c>
      <c r="C878" s="163" t="s">
        <v>70</v>
      </c>
      <c r="D878" s="164">
        <v>3.39E-2</v>
      </c>
      <c r="E878" s="180">
        <v>8.0920000000000005</v>
      </c>
      <c r="F878" s="128">
        <f>E878*$J$835</f>
        <v>8.6043915147004102E-3</v>
      </c>
    </row>
    <row r="879" spans="2:6" ht="25.5">
      <c r="B879" s="100" t="s">
        <v>69</v>
      </c>
      <c r="C879" s="163" t="s">
        <v>70</v>
      </c>
      <c r="D879" s="164">
        <v>5.6500000000000002E-2</v>
      </c>
      <c r="E879" s="180">
        <v>12.194000000000001</v>
      </c>
      <c r="F879" s="128">
        <f t="shared" ref="F879:F910" si="16">E879*$J$835</f>
        <v>1.2966133234090065E-2</v>
      </c>
    </row>
    <row r="880" spans="2:6" ht="38.25">
      <c r="B880" s="100" t="s">
        <v>85</v>
      </c>
      <c r="C880" s="163" t="s">
        <v>86</v>
      </c>
      <c r="D880" s="164">
        <v>6.9599999999999995E-2</v>
      </c>
      <c r="E880" s="180">
        <v>35.734000000000002</v>
      </c>
      <c r="F880" s="128">
        <f t="shared" si="16"/>
        <v>3.7996703705672819E-2</v>
      </c>
    </row>
    <row r="881" spans="2:6" ht="38.25">
      <c r="B881" s="100" t="s">
        <v>57</v>
      </c>
      <c r="C881" s="163" t="s">
        <v>42</v>
      </c>
      <c r="D881" s="164">
        <v>7.17E-2</v>
      </c>
      <c r="E881" s="180">
        <v>1541.55</v>
      </c>
      <c r="F881" s="128">
        <f t="shared" si="16"/>
        <v>1.6391621032484447</v>
      </c>
    </row>
    <row r="882" spans="2:6" ht="38.25">
      <c r="B882" s="100" t="s">
        <v>57</v>
      </c>
      <c r="C882" s="163" t="s">
        <v>42</v>
      </c>
      <c r="D882" s="164">
        <v>7.4999999999999997E-2</v>
      </c>
      <c r="E882" s="180">
        <v>275</v>
      </c>
      <c r="F882" s="128">
        <f t="shared" si="16"/>
        <v>0.29241320644372376</v>
      </c>
    </row>
    <row r="883" spans="2:6" ht="25.5">
      <c r="B883" s="100" t="s">
        <v>71</v>
      </c>
      <c r="C883" s="163" t="s">
        <v>70</v>
      </c>
      <c r="D883" s="164">
        <v>7.1999999999999995E-2</v>
      </c>
      <c r="E883" s="180">
        <v>3.7989999999999999</v>
      </c>
      <c r="F883" s="128">
        <f t="shared" si="16"/>
        <v>4.0395555319262056E-3</v>
      </c>
    </row>
    <row r="884" spans="2:6" ht="25.5">
      <c r="B884" s="100" t="s">
        <v>71</v>
      </c>
      <c r="C884" s="163" t="s">
        <v>116</v>
      </c>
      <c r="D884" s="164">
        <v>5.67E-2</v>
      </c>
      <c r="E884" s="180">
        <v>11373.13</v>
      </c>
      <c r="F884" s="128">
        <f t="shared" si="16"/>
        <v>12.0932851294593</v>
      </c>
    </row>
    <row r="885" spans="2:6" ht="38.25">
      <c r="B885" s="100" t="s">
        <v>41</v>
      </c>
      <c r="C885" s="163" t="s">
        <v>42</v>
      </c>
      <c r="D885" s="164">
        <v>7.3499999999999996E-2</v>
      </c>
      <c r="E885" s="180">
        <v>10.208</v>
      </c>
      <c r="F885" s="128">
        <f t="shared" si="16"/>
        <v>1.0854378223191026E-2</v>
      </c>
    </row>
    <row r="886" spans="2:6" ht="38.25">
      <c r="B886" s="100" t="s">
        <v>41</v>
      </c>
      <c r="C886" s="163" t="s">
        <v>42</v>
      </c>
      <c r="D886" s="164">
        <v>7.3200000000000001E-2</v>
      </c>
      <c r="E886" s="180">
        <v>10.167</v>
      </c>
      <c r="F886" s="128">
        <f t="shared" si="16"/>
        <v>1.0810782072412142E-2</v>
      </c>
    </row>
    <row r="887" spans="2:6" ht="38.25">
      <c r="B887" s="100" t="s">
        <v>41</v>
      </c>
      <c r="C887" s="163" t="s">
        <v>42</v>
      </c>
      <c r="D887" s="164">
        <v>8.0399999999999999E-2</v>
      </c>
      <c r="E887" s="180">
        <v>16.527000000000001</v>
      </c>
      <c r="F887" s="128">
        <f t="shared" si="16"/>
        <v>1.7573502046892446E-2</v>
      </c>
    </row>
    <row r="888" spans="2:6" ht="38.25">
      <c r="B888" s="100" t="s">
        <v>41</v>
      </c>
      <c r="C888" s="163" t="s">
        <v>42</v>
      </c>
      <c r="D888" s="164">
        <v>7.7399999999999997E-2</v>
      </c>
      <c r="E888" s="180">
        <v>25.486999999999998</v>
      </c>
      <c r="F888" s="128">
        <f t="shared" si="16"/>
        <v>2.7100855973204316E-2</v>
      </c>
    </row>
    <row r="889" spans="2:6" ht="38.25">
      <c r="B889" s="100" t="s">
        <v>41</v>
      </c>
      <c r="C889" s="163" t="s">
        <v>42</v>
      </c>
      <c r="D889" s="164">
        <v>0.08</v>
      </c>
      <c r="E889" s="180">
        <v>58.393999999999998</v>
      </c>
      <c r="F889" s="128">
        <f>E889*$J$835</f>
        <v>6.2091551916635651E-2</v>
      </c>
    </row>
    <row r="890" spans="2:6" ht="25.5">
      <c r="B890" s="100" t="s">
        <v>41</v>
      </c>
      <c r="C890" s="163" t="s">
        <v>117</v>
      </c>
      <c r="D890" s="164">
        <v>3.95E-2</v>
      </c>
      <c r="E890" s="180">
        <v>3029.9450000000002</v>
      </c>
      <c r="F890" s="128">
        <f t="shared" si="16"/>
        <v>3.2218033919931948</v>
      </c>
    </row>
    <row r="891" spans="2:6" ht="25.5">
      <c r="B891" s="100" t="s">
        <v>41</v>
      </c>
      <c r="C891" s="163" t="s">
        <v>117</v>
      </c>
      <c r="D891" s="164">
        <v>3.4500000000000003E-2</v>
      </c>
      <c r="E891" s="180">
        <v>1654.807</v>
      </c>
      <c r="F891" s="128">
        <f t="shared" si="16"/>
        <v>1.7595906215109787</v>
      </c>
    </row>
    <row r="892" spans="2:6" ht="38.25">
      <c r="B892" s="100" t="s">
        <v>43</v>
      </c>
      <c r="C892" s="163" t="s">
        <v>42</v>
      </c>
      <c r="D892" s="164">
        <v>7.6100000000000001E-2</v>
      </c>
      <c r="E892" s="180">
        <v>10.144</v>
      </c>
      <c r="F892" s="128">
        <f t="shared" si="16"/>
        <v>1.078632569514594E-2</v>
      </c>
    </row>
    <row r="893" spans="2:6">
      <c r="B893" s="100" t="s">
        <v>118</v>
      </c>
      <c r="C893" s="163" t="s">
        <v>45</v>
      </c>
      <c r="D893" s="164">
        <v>0.42</v>
      </c>
      <c r="E893" s="180">
        <v>17703.703000000001</v>
      </c>
      <c r="F893" s="128">
        <f t="shared" si="16"/>
        <v>18.824714764208625</v>
      </c>
    </row>
    <row r="894" spans="2:6">
      <c r="B894" s="100" t="s">
        <v>118</v>
      </c>
      <c r="C894" s="163" t="s">
        <v>51</v>
      </c>
      <c r="D894" s="164">
        <v>0.41749999999999998</v>
      </c>
      <c r="E894" s="180">
        <v>7487.933</v>
      </c>
      <c r="F894" s="128">
        <f t="shared" si="16"/>
        <v>7.9620745387846243</v>
      </c>
    </row>
    <row r="895" spans="2:6">
      <c r="B895" s="100" t="s">
        <v>118</v>
      </c>
      <c r="C895" s="163" t="s">
        <v>110</v>
      </c>
      <c r="D895" s="164">
        <v>0.42</v>
      </c>
      <c r="E895" s="180">
        <v>5206.973</v>
      </c>
      <c r="F895" s="128">
        <f t="shared" si="16"/>
        <v>5.5366824392578016</v>
      </c>
    </row>
    <row r="896" spans="2:6" ht="25.5">
      <c r="B896" s="100" t="s">
        <v>118</v>
      </c>
      <c r="C896" s="163" t="s">
        <v>119</v>
      </c>
      <c r="D896" s="164">
        <v>0.41199999999999998</v>
      </c>
      <c r="E896" s="180">
        <v>10393.32</v>
      </c>
      <c r="F896" s="128">
        <f t="shared" si="16"/>
        <v>11.051432824711574</v>
      </c>
    </row>
    <row r="897" spans="2:6" ht="25.5">
      <c r="B897" s="100" t="s">
        <v>118</v>
      </c>
      <c r="C897" s="163" t="s">
        <v>48</v>
      </c>
      <c r="D897" s="164">
        <v>0.42</v>
      </c>
      <c r="E897" s="180">
        <v>12727.163</v>
      </c>
      <c r="F897" s="128">
        <f t="shared" si="16"/>
        <v>13.533056515497901</v>
      </c>
    </row>
    <row r="898" spans="2:6">
      <c r="B898" s="100" t="s">
        <v>47</v>
      </c>
      <c r="C898" s="163" t="s">
        <v>45</v>
      </c>
      <c r="D898" s="164">
        <v>0.42</v>
      </c>
      <c r="E898" s="180">
        <v>10.103999999999999</v>
      </c>
      <c r="F898" s="128">
        <f t="shared" si="16"/>
        <v>1.0743792865117762E-2</v>
      </c>
    </row>
    <row r="899" spans="2:6" ht="25.5">
      <c r="B899" s="100" t="s">
        <v>47</v>
      </c>
      <c r="C899" s="163" t="s">
        <v>119</v>
      </c>
      <c r="D899" s="164">
        <v>0.41</v>
      </c>
      <c r="E899" s="180">
        <v>317.524</v>
      </c>
      <c r="F899" s="128">
        <f t="shared" si="16"/>
        <v>0.33762985804667978</v>
      </c>
    </row>
    <row r="900" spans="2:6" ht="25.5">
      <c r="B900" s="100" t="s">
        <v>47</v>
      </c>
      <c r="C900" s="163" t="s">
        <v>120</v>
      </c>
      <c r="D900" s="164">
        <v>0.41199999999999998</v>
      </c>
      <c r="E900" s="180">
        <v>2.7E-2</v>
      </c>
      <c r="F900" s="128">
        <f t="shared" si="16"/>
        <v>2.8709660269020149E-5</v>
      </c>
    </row>
    <row r="901" spans="2:6" ht="25.5">
      <c r="B901" s="100" t="s">
        <v>47</v>
      </c>
      <c r="C901" s="163" t="s">
        <v>49</v>
      </c>
      <c r="D901" s="164">
        <v>0.61</v>
      </c>
      <c r="E901" s="180">
        <v>3.6999999999999998E-2</v>
      </c>
      <c r="F901" s="128">
        <f t="shared" si="16"/>
        <v>3.9342867776064646E-5</v>
      </c>
    </row>
    <row r="902" spans="2:6" ht="38.25">
      <c r="B902" s="100" t="s">
        <v>52</v>
      </c>
      <c r="C902" s="163" t="s">
        <v>53</v>
      </c>
      <c r="D902" s="164">
        <v>5.5E-2</v>
      </c>
      <c r="E902" s="180">
        <v>487.42399999999998</v>
      </c>
      <c r="F902" s="128">
        <f t="shared" si="16"/>
        <v>0.51828805359136576</v>
      </c>
    </row>
    <row r="903" spans="2:6" ht="38.25">
      <c r="B903" s="100" t="s">
        <v>52</v>
      </c>
      <c r="C903" s="163" t="s">
        <v>53</v>
      </c>
      <c r="D903" s="164">
        <v>0.05</v>
      </c>
      <c r="E903" s="180">
        <v>59.707000000000001</v>
      </c>
      <c r="F903" s="128">
        <f t="shared" si="16"/>
        <v>6.3487692062310599E-2</v>
      </c>
    </row>
    <row r="904" spans="2:6" ht="38.25">
      <c r="B904" s="100" t="s">
        <v>52</v>
      </c>
      <c r="C904" s="163" t="s">
        <v>53</v>
      </c>
      <c r="D904" s="164">
        <v>5.5E-2</v>
      </c>
      <c r="E904" s="180">
        <v>518.67600000000004</v>
      </c>
      <c r="F904" s="128">
        <f t="shared" si="16"/>
        <v>0.55151895369238135</v>
      </c>
    </row>
    <row r="905" spans="2:6" ht="38.25">
      <c r="B905" s="100" t="s">
        <v>52</v>
      </c>
      <c r="C905" s="163" t="s">
        <v>53</v>
      </c>
      <c r="D905" s="164">
        <v>5.5E-2</v>
      </c>
      <c r="E905" s="180">
        <v>10.878</v>
      </c>
      <c r="F905" s="128">
        <f t="shared" si="16"/>
        <v>1.1566803126163008E-2</v>
      </c>
    </row>
    <row r="906" spans="2:6" ht="38.25">
      <c r="B906" s="100" t="s">
        <v>52</v>
      </c>
      <c r="C906" s="163" t="s">
        <v>53</v>
      </c>
      <c r="D906" s="164">
        <v>5.9499999999999997E-2</v>
      </c>
      <c r="E906" s="180">
        <v>309.11700000000002</v>
      </c>
      <c r="F906" s="128">
        <f t="shared" si="16"/>
        <v>0.32869052049550745</v>
      </c>
    </row>
    <row r="907" spans="2:6" ht="38.25">
      <c r="B907" s="100" t="s">
        <v>52</v>
      </c>
      <c r="C907" s="163" t="s">
        <v>53</v>
      </c>
      <c r="D907" s="164">
        <v>5.9499999999999997E-2</v>
      </c>
      <c r="E907" s="180">
        <v>307.60300000000001</v>
      </c>
      <c r="F907" s="128">
        <f t="shared" si="16"/>
        <v>0.32708065287894095</v>
      </c>
    </row>
    <row r="908" spans="2:6" ht="38.25">
      <c r="B908" s="100" t="s">
        <v>52</v>
      </c>
      <c r="C908" s="163" t="s">
        <v>53</v>
      </c>
      <c r="D908" s="164">
        <v>5.9499999999999997E-2</v>
      </c>
      <c r="E908" s="180">
        <v>360.46699999999998</v>
      </c>
      <c r="F908" s="128">
        <f t="shared" si="16"/>
        <v>0.38329204104418096</v>
      </c>
    </row>
    <row r="909" spans="2:6" ht="38.25">
      <c r="B909" s="100" t="s">
        <v>52</v>
      </c>
      <c r="C909" s="163" t="s">
        <v>53</v>
      </c>
      <c r="D909" s="164">
        <v>5.9499999999999997E-2</v>
      </c>
      <c r="E909" s="180">
        <v>915.67399999999998</v>
      </c>
      <c r="F909" s="128">
        <f t="shared" si="16"/>
        <v>0.9736551650805465</v>
      </c>
    </row>
    <row r="910" spans="2:6" ht="38.25">
      <c r="B910" s="100" t="s">
        <v>52</v>
      </c>
      <c r="C910" s="163" t="s">
        <v>53</v>
      </c>
      <c r="D910" s="164">
        <v>5.9499999999999997E-2</v>
      </c>
      <c r="E910" s="180">
        <v>300.66899999999998</v>
      </c>
      <c r="F910" s="128">
        <f t="shared" si="16"/>
        <v>0.31970758679355626</v>
      </c>
    </row>
    <row r="911" spans="2:6">
      <c r="B911" s="116" t="s">
        <v>33</v>
      </c>
      <c r="C911" s="163"/>
      <c r="D911" s="162"/>
      <c r="E911" s="181">
        <f>SUM(E878:E910)</f>
        <v>75182.176999999996</v>
      </c>
      <c r="F911" s="128">
        <f>E911*$J$835</f>
        <v>79.942768887234834</v>
      </c>
    </row>
    <row r="912" spans="2:6">
      <c r="B912" s="172" t="s">
        <v>54</v>
      </c>
      <c r="C912" s="173"/>
      <c r="D912" s="174"/>
      <c r="E912" s="182">
        <f>E911-C845</f>
        <v>0</v>
      </c>
      <c r="F912" s="171"/>
    </row>
    <row r="913" spans="2:6">
      <c r="B913" s="100"/>
      <c r="C913" s="163"/>
      <c r="D913" s="162"/>
      <c r="E913" s="183"/>
      <c r="F913" s="157"/>
    </row>
    <row r="914" spans="2:6">
      <c r="B914" s="116" t="s">
        <v>55</v>
      </c>
      <c r="C914" s="163"/>
      <c r="D914" s="162"/>
      <c r="E914" s="183"/>
      <c r="F914" s="157"/>
    </row>
    <row r="915" spans="2:6" ht="25.5">
      <c r="B915" s="100" t="s">
        <v>69</v>
      </c>
      <c r="C915" s="163" t="s">
        <v>70</v>
      </c>
      <c r="D915" s="164">
        <v>3.39E-2</v>
      </c>
      <c r="E915" s="180">
        <v>51.39</v>
      </c>
      <c r="F915" s="128">
        <f>E915*$J$835</f>
        <v>5.4644053378701686E-2</v>
      </c>
    </row>
    <row r="916" spans="2:6" ht="25.5">
      <c r="B916" s="100" t="s">
        <v>69</v>
      </c>
      <c r="C916" s="163" t="s">
        <v>70</v>
      </c>
      <c r="D916" s="164">
        <v>5.6500000000000002E-2</v>
      </c>
      <c r="E916" s="180">
        <v>96.92</v>
      </c>
      <c r="F916" s="128">
        <f t="shared" ref="F916:F928" si="17">E916*$J$835</f>
        <v>0.10305704715827529</v>
      </c>
    </row>
    <row r="917" spans="2:6" ht="38.25">
      <c r="B917" s="100" t="s">
        <v>57</v>
      </c>
      <c r="C917" s="163" t="s">
        <v>42</v>
      </c>
      <c r="D917" s="164">
        <v>7.17E-2</v>
      </c>
      <c r="E917" s="180">
        <v>90000</v>
      </c>
      <c r="F917" s="128">
        <f t="shared" si="17"/>
        <v>95.698867563400498</v>
      </c>
    </row>
    <row r="918" spans="2:6" ht="38.25">
      <c r="B918" s="100" t="s">
        <v>57</v>
      </c>
      <c r="C918" s="163" t="s">
        <v>42</v>
      </c>
      <c r="D918" s="164">
        <v>7.4999999999999997E-2</v>
      </c>
      <c r="E918" s="180">
        <v>30000</v>
      </c>
      <c r="F918" s="128">
        <f t="shared" si="17"/>
        <v>31.899622521133498</v>
      </c>
    </row>
    <row r="919" spans="2:6" ht="38.25">
      <c r="B919" s="100" t="s">
        <v>41</v>
      </c>
      <c r="C919" s="163" t="s">
        <v>42</v>
      </c>
      <c r="D919" s="164">
        <v>7.3499999999999996E-2</v>
      </c>
      <c r="E919" s="180">
        <v>2000</v>
      </c>
      <c r="F919" s="128">
        <f t="shared" si="17"/>
        <v>2.1266415014089</v>
      </c>
    </row>
    <row r="920" spans="2:6" ht="38.25">
      <c r="B920" s="100" t="s">
        <v>41</v>
      </c>
      <c r="C920" s="163" t="s">
        <v>42</v>
      </c>
      <c r="D920" s="164">
        <v>7.3200000000000001E-2</v>
      </c>
      <c r="E920" s="180">
        <v>2000</v>
      </c>
      <c r="F920" s="128">
        <f t="shared" si="17"/>
        <v>2.1266415014089</v>
      </c>
    </row>
    <row r="921" spans="2:6" ht="38.25">
      <c r="B921" s="100" t="s">
        <v>41</v>
      </c>
      <c r="C921" s="163" t="s">
        <v>42</v>
      </c>
      <c r="D921" s="164">
        <v>8.0399999999999999E-2</v>
      </c>
      <c r="E921" s="180">
        <v>1000</v>
      </c>
      <c r="F921" s="128">
        <f t="shared" si="17"/>
        <v>1.06332075070445</v>
      </c>
    </row>
    <row r="922" spans="2:6" ht="38.25">
      <c r="B922" s="100" t="s">
        <v>41</v>
      </c>
      <c r="C922" s="163" t="s">
        <v>42</v>
      </c>
      <c r="D922" s="164">
        <v>7.7399999999999997E-2</v>
      </c>
      <c r="E922" s="180">
        <v>6727.17</v>
      </c>
      <c r="F922" s="128">
        <f>E922*$J$835</f>
        <v>7.1531394545164551</v>
      </c>
    </row>
    <row r="923" spans="2:6" ht="38.25">
      <c r="B923" s="100" t="s">
        <v>41</v>
      </c>
      <c r="C923" s="163" t="s">
        <v>42</v>
      </c>
      <c r="D923" s="164">
        <v>0.08</v>
      </c>
      <c r="E923" s="180">
        <v>5972.4930000000004</v>
      </c>
      <c r="F923" s="128">
        <f t="shared" si="17"/>
        <v>6.3506757403370733</v>
      </c>
    </row>
    <row r="924" spans="2:6" ht="25.5">
      <c r="B924" s="100" t="s">
        <v>41</v>
      </c>
      <c r="C924" s="163" t="s">
        <v>117</v>
      </c>
      <c r="D924" s="164">
        <v>3.4500000000000003E-2</v>
      </c>
      <c r="E924" s="180">
        <v>825.94299999999998</v>
      </c>
      <c r="F924" s="128">
        <f t="shared" si="17"/>
        <v>0.87824233079908554</v>
      </c>
    </row>
    <row r="925" spans="2:6" ht="38.25">
      <c r="B925" s="100" t="s">
        <v>43</v>
      </c>
      <c r="C925" s="163" t="s">
        <v>42</v>
      </c>
      <c r="D925" s="164">
        <v>7.6100000000000001E-2</v>
      </c>
      <c r="E925" s="180">
        <v>16000</v>
      </c>
      <c r="F925" s="128">
        <f t="shared" si="17"/>
        <v>17.0131320112712</v>
      </c>
    </row>
    <row r="926" spans="2:6" ht="38.25">
      <c r="B926" s="100" t="s">
        <v>52</v>
      </c>
      <c r="C926" s="163" t="s">
        <v>53</v>
      </c>
      <c r="D926" s="164">
        <v>5.5E-2</v>
      </c>
      <c r="E926" s="180">
        <v>4206.9629999999997</v>
      </c>
      <c r="F926" s="128">
        <f>E926*$J$835</f>
        <v>4.4733510553458444</v>
      </c>
    </row>
    <row r="927" spans="2:6" ht="38.25">
      <c r="B927" s="100" t="s">
        <v>52</v>
      </c>
      <c r="C927" s="163" t="s">
        <v>53</v>
      </c>
      <c r="D927" s="164">
        <v>0.05</v>
      </c>
      <c r="E927" s="180">
        <v>9345.3700000000008</v>
      </c>
      <c r="F927" s="128">
        <f t="shared" si="17"/>
        <v>9.937125844010847</v>
      </c>
    </row>
    <row r="928" spans="2:6" ht="38.25">
      <c r="B928" s="100" t="s">
        <v>52</v>
      </c>
      <c r="C928" s="163" t="s">
        <v>53</v>
      </c>
      <c r="D928" s="164">
        <v>5.5E-2</v>
      </c>
      <c r="E928" s="180">
        <v>1551.287</v>
      </c>
      <c r="F928" s="128">
        <f t="shared" si="17"/>
        <v>1.6495156573980541</v>
      </c>
    </row>
    <row r="929" spans="2:6" ht="38.25">
      <c r="B929" s="100" t="s">
        <v>52</v>
      </c>
      <c r="C929" s="163" t="s">
        <v>53</v>
      </c>
      <c r="D929" s="164">
        <v>5.5E-2</v>
      </c>
      <c r="E929" s="180">
        <v>1396.1559999999999</v>
      </c>
      <c r="F929" s="128">
        <f>E929*$J$835</f>
        <v>1.484561646020522</v>
      </c>
    </row>
    <row r="930" spans="2:6">
      <c r="B930" s="116" t="s">
        <v>33</v>
      </c>
      <c r="C930" s="163"/>
      <c r="D930" s="162"/>
      <c r="E930" s="170">
        <f>SUM(E915:E929)</f>
        <v>171173.69199999998</v>
      </c>
      <c r="F930" s="171">
        <f>SUM(F915:F928)</f>
        <v>180.52797703227176</v>
      </c>
    </row>
    <row r="931" spans="2:6" ht="15.75" thickBot="1">
      <c r="B931" s="176" t="s">
        <v>54</v>
      </c>
      <c r="C931" s="177"/>
      <c r="D931" s="178"/>
      <c r="E931" s="179">
        <f>E930-C841</f>
        <v>0</v>
      </c>
      <c r="F931" s="107"/>
    </row>
    <row r="933" spans="2:6" ht="15.75" thickBot="1"/>
    <row r="934" spans="2:6" ht="15.75" thickBot="1">
      <c r="B934" s="165" t="s">
        <v>56</v>
      </c>
      <c r="C934" s="166"/>
      <c r="D934" s="166"/>
      <c r="E934" s="167"/>
      <c r="F934" s="129"/>
    </row>
    <row r="935" spans="2:6">
      <c r="B935" s="161" t="s">
        <v>35</v>
      </c>
      <c r="C935" s="160"/>
      <c r="D935" s="160" t="s">
        <v>37</v>
      </c>
      <c r="E935" s="160" t="s">
        <v>4</v>
      </c>
      <c r="F935" s="159" t="s">
        <v>6</v>
      </c>
    </row>
    <row r="936" spans="2:6">
      <c r="B936" s="116" t="s">
        <v>38</v>
      </c>
      <c r="D936" s="156"/>
      <c r="F936" s="157"/>
    </row>
    <row r="937" spans="2:6">
      <c r="B937" s="100" t="s">
        <v>57</v>
      </c>
      <c r="C937" s="163"/>
      <c r="D937" s="164">
        <v>2.9000000000000001E-2</v>
      </c>
      <c r="E937" s="180">
        <v>1267.319</v>
      </c>
      <c r="F937" s="128">
        <f>E937*$J$835</f>
        <v>1.3475665904620129</v>
      </c>
    </row>
    <row r="938" spans="2:6">
      <c r="B938" s="100" t="s">
        <v>99</v>
      </c>
      <c r="C938" s="163"/>
      <c r="D938" s="164">
        <v>1.2E-2</v>
      </c>
      <c r="E938" s="180">
        <v>28420.424999999999</v>
      </c>
      <c r="F938" s="128">
        <f t="shared" ref="F938:F943" si="18">E938*$J$835</f>
        <v>30.220027646339517</v>
      </c>
    </row>
    <row r="939" spans="2:6">
      <c r="B939" s="100" t="s">
        <v>57</v>
      </c>
      <c r="C939" s="163"/>
      <c r="D939" s="164">
        <v>1.6E-2</v>
      </c>
      <c r="E939" s="180">
        <v>364.90600000000001</v>
      </c>
      <c r="F939" s="128">
        <f t="shared" si="18"/>
        <v>0.38801212185655803</v>
      </c>
    </row>
    <row r="940" spans="2:6">
      <c r="B940" s="100" t="s">
        <v>57</v>
      </c>
      <c r="C940" s="163"/>
      <c r="D940" s="164">
        <v>3.3500000000000002E-2</v>
      </c>
      <c r="E940" s="180">
        <v>7593.6890000000003</v>
      </c>
      <c r="F940" s="128">
        <f t="shared" si="18"/>
        <v>8.074527088096124</v>
      </c>
    </row>
    <row r="941" spans="2:6">
      <c r="B941" s="100" t="s">
        <v>99</v>
      </c>
      <c r="C941" s="163"/>
      <c r="D941" s="164">
        <v>3.3500000000000002E-2</v>
      </c>
      <c r="E941" s="180">
        <v>755.64099999999996</v>
      </c>
      <c r="F941" s="128">
        <f t="shared" si="18"/>
        <v>0.80348875538306119</v>
      </c>
    </row>
    <row r="942" spans="2:6">
      <c r="B942" s="100" t="s">
        <v>57</v>
      </c>
      <c r="C942" s="163"/>
      <c r="D942" s="164">
        <v>2.7E-2</v>
      </c>
      <c r="E942" s="180">
        <v>1133.769</v>
      </c>
      <c r="F942" s="128">
        <f t="shared" si="18"/>
        <v>1.2055601042054336</v>
      </c>
    </row>
    <row r="943" spans="2:6">
      <c r="B943" s="100" t="s">
        <v>100</v>
      </c>
      <c r="C943" s="163"/>
      <c r="D943" s="164">
        <v>0.01</v>
      </c>
      <c r="E943" s="180">
        <v>56638.563999999998</v>
      </c>
      <c r="F943" s="128">
        <f t="shared" si="18"/>
        <v>60.224960391302034</v>
      </c>
    </row>
    <row r="944" spans="2:6">
      <c r="B944" s="116" t="s">
        <v>33</v>
      </c>
      <c r="C944" s="163"/>
      <c r="D944" s="162"/>
      <c r="E944" s="170">
        <f>SUM(E937:E943)</f>
        <v>96174.312999999995</v>
      </c>
      <c r="F944" s="171">
        <f>SUM(F937:F943)</f>
        <v>102.26414269764474</v>
      </c>
    </row>
    <row r="945" spans="1:10">
      <c r="B945" s="172" t="s">
        <v>54</v>
      </c>
      <c r="C945" s="173"/>
      <c r="D945" s="174"/>
      <c r="E945" s="175">
        <f>E944-C846</f>
        <v>0</v>
      </c>
      <c r="F945" s="171"/>
    </row>
    <row r="946" spans="1:10">
      <c r="B946" s="100"/>
      <c r="C946" s="163"/>
      <c r="D946" s="162"/>
      <c r="E946" s="168"/>
      <c r="F946" s="157"/>
    </row>
    <row r="947" spans="1:10">
      <c r="B947" s="116" t="s">
        <v>55</v>
      </c>
      <c r="C947" s="163"/>
      <c r="D947" s="162"/>
      <c r="E947" s="168"/>
      <c r="F947" s="157"/>
    </row>
    <row r="948" spans="1:10">
      <c r="B948" s="100" t="s">
        <v>57</v>
      </c>
      <c r="C948" s="163"/>
      <c r="D948" s="164">
        <v>2.9000000000000001E-2</v>
      </c>
      <c r="E948" s="180">
        <v>112823.45299999999</v>
      </c>
      <c r="F948" s="128">
        <f t="shared" ref="F948:F953" si="19">E948*$J$957</f>
        <v>115.24709950253839</v>
      </c>
    </row>
    <row r="949" spans="1:10">
      <c r="B949" s="100" t="s">
        <v>99</v>
      </c>
      <c r="C949" s="163"/>
      <c r="D949" s="164">
        <v>1.2E-2</v>
      </c>
      <c r="E949" s="180">
        <v>56672.116999999998</v>
      </c>
      <c r="F949" s="128">
        <f t="shared" si="19"/>
        <v>57.889533897872255</v>
      </c>
    </row>
    <row r="950" spans="1:10">
      <c r="B950" s="100" t="s">
        <v>57</v>
      </c>
      <c r="C950" s="163"/>
      <c r="D950" s="164">
        <v>1.6E-2</v>
      </c>
      <c r="E950" s="180">
        <v>76488.053</v>
      </c>
      <c r="F950" s="128">
        <f t="shared" si="19"/>
        <v>78.131151107796981</v>
      </c>
    </row>
    <row r="951" spans="1:10">
      <c r="B951" s="100" t="s">
        <v>57</v>
      </c>
      <c r="C951" s="163"/>
      <c r="D951" s="164">
        <v>3.3500000000000002E-2</v>
      </c>
      <c r="E951" s="180">
        <v>560739.13100000005</v>
      </c>
      <c r="F951" s="128">
        <f t="shared" si="19"/>
        <v>572.78479524398097</v>
      </c>
    </row>
    <row r="952" spans="1:10">
      <c r="B952" s="100" t="s">
        <v>99</v>
      </c>
      <c r="C952" s="163"/>
      <c r="D952" s="164">
        <v>3.3500000000000002E-2</v>
      </c>
      <c r="E952" s="180">
        <v>75339.951000000001</v>
      </c>
      <c r="F952" s="128">
        <f t="shared" si="19"/>
        <v>76.958385854520571</v>
      </c>
    </row>
    <row r="953" spans="1:10">
      <c r="B953" s="100" t="s">
        <v>57</v>
      </c>
      <c r="C953" s="163"/>
      <c r="D953" s="164">
        <v>2.7E-2</v>
      </c>
      <c r="E953" s="180">
        <v>149569.54399999999</v>
      </c>
      <c r="F953" s="128">
        <f t="shared" si="19"/>
        <v>152.78256126336865</v>
      </c>
    </row>
    <row r="954" spans="1:10">
      <c r="B954" s="116" t="s">
        <v>33</v>
      </c>
      <c r="C954" s="163"/>
      <c r="D954" s="162"/>
      <c r="E954" s="170">
        <f>SUM(E948:E953)</f>
        <v>1031632.2490000001</v>
      </c>
      <c r="F954" s="171">
        <f>SUM(F948:F953)</f>
        <v>1053.7935268700778</v>
      </c>
    </row>
    <row r="955" spans="1:10" ht="15.75" thickBot="1">
      <c r="B955" s="176" t="s">
        <v>54</v>
      </c>
      <c r="C955" s="177"/>
      <c r="D955" s="178"/>
      <c r="E955" s="179">
        <f>E954-C842</f>
        <v>0</v>
      </c>
      <c r="F955" s="107"/>
    </row>
    <row r="957" spans="1:10">
      <c r="A957" s="15" t="s">
        <v>121</v>
      </c>
      <c r="D957" s="1"/>
      <c r="I957" s="2" t="s">
        <v>122</v>
      </c>
      <c r="J957" s="154">
        <f>Model!W$203</f>
        <v>1.0214817614431495E-3</v>
      </c>
    </row>
    <row r="958" spans="1:10">
      <c r="D958" s="1"/>
      <c r="I958" s="2" t="s">
        <v>123</v>
      </c>
      <c r="J958" s="154">
        <f>Model!W$204</f>
        <v>1.1618194692813064E-3</v>
      </c>
    </row>
    <row r="959" spans="1:10" ht="15.75" thickBot="1">
      <c r="D959" s="1"/>
      <c r="I959" s="2"/>
      <c r="J959" s="114"/>
    </row>
    <row r="960" spans="1:10">
      <c r="B960" s="115" t="s">
        <v>124</v>
      </c>
      <c r="C960" s="104" t="s">
        <v>4</v>
      </c>
      <c r="D960" s="104" t="s">
        <v>5</v>
      </c>
      <c r="E960" s="104" t="s">
        <v>6</v>
      </c>
      <c r="F960" s="105" t="s">
        <v>5</v>
      </c>
    </row>
    <row r="961" spans="2:11">
      <c r="B961" s="100"/>
      <c r="C961" s="94"/>
      <c r="D961" s="14"/>
      <c r="E961" s="95"/>
      <c r="F961" s="106"/>
      <c r="K961" s="13"/>
    </row>
    <row r="962" spans="2:11">
      <c r="B962" s="116" t="s">
        <v>9</v>
      </c>
      <c r="C962" s="96">
        <f>SUM(C963:C964)</f>
        <v>1290235.0900000001</v>
      </c>
      <c r="D962" s="14"/>
      <c r="E962" s="97">
        <f>C962*J957</f>
        <v>1317.9516124089605</v>
      </c>
      <c r="F962" s="106"/>
      <c r="K962" s="13"/>
    </row>
    <row r="963" spans="2:11">
      <c r="B963" s="100" t="s">
        <v>11</v>
      </c>
      <c r="C963" s="52">
        <f>172922.837</f>
        <v>172922.837</v>
      </c>
      <c r="D963" s="14"/>
      <c r="E963" s="95">
        <f>C963*J957</f>
        <v>176.63752413250663</v>
      </c>
      <c r="F963" s="106"/>
    </row>
    <row r="964" spans="2:11">
      <c r="B964" s="100" t="s">
        <v>14</v>
      </c>
      <c r="C964" s="52">
        <f>1117312.253</f>
        <v>1117312.253</v>
      </c>
      <c r="D964" s="14"/>
      <c r="E964" s="95">
        <f>C964*J957</f>
        <v>1141.314088276454</v>
      </c>
      <c r="F964" s="106"/>
    </row>
    <row r="965" spans="2:11">
      <c r="B965" s="100"/>
      <c r="C965" s="94"/>
      <c r="D965" s="14"/>
      <c r="E965" s="95"/>
      <c r="F965" s="106"/>
    </row>
    <row r="966" spans="2:11">
      <c r="B966" s="116" t="s">
        <v>15</v>
      </c>
      <c r="C966" s="96">
        <f>SUM(C967:C968)</f>
        <v>58221.293999999994</v>
      </c>
      <c r="D966" s="14"/>
      <c r="E966" s="97">
        <f>C966*J957</f>
        <v>59.471989948619466</v>
      </c>
      <c r="F966" s="106"/>
    </row>
    <row r="967" spans="2:11">
      <c r="B967" s="100" t="s">
        <v>11</v>
      </c>
      <c r="C967" s="52">
        <f>25097.484</f>
        <v>25097.484</v>
      </c>
      <c r="D967" s="14"/>
      <c r="E967" s="95">
        <f>C967*J957</f>
        <v>25.636622164111262</v>
      </c>
      <c r="F967" s="106"/>
    </row>
    <row r="968" spans="2:11">
      <c r="B968" s="100" t="s">
        <v>14</v>
      </c>
      <c r="C968" s="52">
        <f>33123.81</f>
        <v>33123.81</v>
      </c>
      <c r="D968" s="14"/>
      <c r="E968" s="95">
        <f>C968*J957</f>
        <v>33.835367784508207</v>
      </c>
      <c r="F968" s="106"/>
    </row>
    <row r="969" spans="2:11">
      <c r="B969" s="100"/>
      <c r="C969" s="52"/>
      <c r="D969" s="14"/>
      <c r="E969" s="95"/>
      <c r="F969" s="106"/>
    </row>
    <row r="970" spans="2:11">
      <c r="B970" s="122" t="s">
        <v>16</v>
      </c>
      <c r="C970" s="96">
        <f>SUM(C971:C972)</f>
        <v>42221.097000000002</v>
      </c>
      <c r="D970" s="14"/>
      <c r="E970" s="96">
        <f>SUM(E971:E972)</f>
        <v>43.128080533622075</v>
      </c>
      <c r="F970" s="106"/>
    </row>
    <row r="971" spans="2:11">
      <c r="B971" s="119" t="s">
        <v>17</v>
      </c>
      <c r="C971" s="7">
        <f>Model!$W$111</f>
        <v>6994.71</v>
      </c>
      <c r="D971" s="14"/>
      <c r="E971" s="95">
        <f>C971*J957</f>
        <v>7.1449686915840127</v>
      </c>
      <c r="F971" s="106"/>
    </row>
    <row r="972" spans="2:11">
      <c r="B972" s="119" t="s">
        <v>18</v>
      </c>
      <c r="C972" s="7">
        <f>Model!$W$112</f>
        <v>35226.387000000002</v>
      </c>
      <c r="D972" s="14"/>
      <c r="E972" s="95">
        <f>C972*J957</f>
        <v>35.983111842038063</v>
      </c>
      <c r="F972" s="106"/>
    </row>
    <row r="973" spans="2:11">
      <c r="B973" s="100"/>
      <c r="C973" s="94"/>
      <c r="D973" s="14"/>
      <c r="E973" s="95"/>
      <c r="F973" s="106"/>
    </row>
    <row r="974" spans="2:11">
      <c r="B974" s="117" t="s">
        <v>19</v>
      </c>
      <c r="C974" s="11">
        <f>C966+C962+C970</f>
        <v>1390677.4810000001</v>
      </c>
      <c r="D974" s="10">
        <f>C974/C979</f>
        <v>3.7770759197817672</v>
      </c>
      <c r="E974" s="11">
        <f>E966+E962+E970</f>
        <v>1420.5516828912021</v>
      </c>
      <c r="F974" s="118">
        <f>E974/E979</f>
        <v>3.320837931929173</v>
      </c>
    </row>
    <row r="975" spans="2:11">
      <c r="B975" s="119" t="s">
        <v>20</v>
      </c>
      <c r="C975" s="120">
        <f>Model!W$119</f>
        <v>692386.24</v>
      </c>
      <c r="D975" s="121"/>
      <c r="E975" s="95">
        <f>C975*J957</f>
        <v>707.25991603419925</v>
      </c>
      <c r="F975" s="106"/>
    </row>
    <row r="976" spans="2:11">
      <c r="B976" s="117" t="s">
        <v>21</v>
      </c>
      <c r="C976" s="11">
        <f>C974-C975</f>
        <v>698291.24100000015</v>
      </c>
      <c r="D976" s="10">
        <f>C976/C979</f>
        <v>1.8965569425047928</v>
      </c>
      <c r="E976" s="11">
        <f>E974-E975</f>
        <v>713.29176685700281</v>
      </c>
      <c r="F976" s="118">
        <f>E976/E979</f>
        <v>1.6674693250797636</v>
      </c>
    </row>
    <row r="977" spans="2:6">
      <c r="B977" s="122" t="s">
        <v>22</v>
      </c>
      <c r="C977" s="9">
        <f>Model!W$123</f>
        <v>1535535.0260000001</v>
      </c>
      <c r="D977" s="8"/>
      <c r="E977" s="97">
        <f>C977*J957</f>
        <v>1568.5210231161325</v>
      </c>
      <c r="F977" s="106"/>
    </row>
    <row r="978" spans="2:6">
      <c r="B978" s="122" t="s">
        <v>23</v>
      </c>
      <c r="C978" s="9">
        <f>C976+C977</f>
        <v>2233826.267</v>
      </c>
      <c r="D978" s="8"/>
      <c r="E978" s="9">
        <f>E976+E977</f>
        <v>2281.8127899731353</v>
      </c>
      <c r="F978" s="106"/>
    </row>
    <row r="979" spans="2:6" ht="15.75" thickBot="1">
      <c r="B979" s="123" t="s">
        <v>24</v>
      </c>
      <c r="C979" s="124">
        <f>Model!W$86</f>
        <v>368188.91400000005</v>
      </c>
      <c r="D979" s="125"/>
      <c r="E979" s="126">
        <f>C979*J958</f>
        <v>427.76904865874064</v>
      </c>
      <c r="F979" s="107"/>
    </row>
    <row r="980" spans="2:6">
      <c r="B980" s="5" t="s">
        <v>25</v>
      </c>
      <c r="C980" s="4">
        <f>+C974-Model!W$118</f>
        <v>0</v>
      </c>
      <c r="D980" s="3"/>
    </row>
    <row r="981" spans="2:6">
      <c r="D981" s="1"/>
    </row>
    <row r="982" spans="2:6" ht="15.75" thickBot="1">
      <c r="B982" s="2"/>
      <c r="C982" s="98"/>
      <c r="D982" s="1"/>
    </row>
    <row r="983" spans="2:6">
      <c r="B983" s="99" t="s">
        <v>125</v>
      </c>
      <c r="C983" s="104" t="s">
        <v>4</v>
      </c>
      <c r="D983" s="108"/>
      <c r="E983" s="109" t="s">
        <v>6</v>
      </c>
    </row>
    <row r="984" spans="2:6">
      <c r="B984" s="101" t="s">
        <v>20</v>
      </c>
      <c r="C984" s="110">
        <f>C975</f>
        <v>692386.24</v>
      </c>
      <c r="D984" s="110"/>
      <c r="E984" s="113">
        <f>E975</f>
        <v>707.25991603419925</v>
      </c>
    </row>
    <row r="985" spans="2:6">
      <c r="B985" s="101"/>
      <c r="C985" s="94"/>
      <c r="D985" s="94"/>
      <c r="E985" s="103"/>
    </row>
    <row r="986" spans="2:6" ht="15.75" thickBot="1">
      <c r="B986" s="102" t="s">
        <v>27</v>
      </c>
      <c r="C986" s="111">
        <f>SUM(C984:C985)</f>
        <v>692386.24</v>
      </c>
      <c r="D986" s="111"/>
      <c r="E986" s="112">
        <f>SUM(E984:E985)</f>
        <v>707.25991603419925</v>
      </c>
    </row>
    <row r="987" spans="2:6" ht="15.75" thickBot="1">
      <c r="B987" s="2"/>
      <c r="C987" s="98"/>
      <c r="D987" s="98"/>
      <c r="E987" s="96"/>
    </row>
    <row r="988" spans="2:6">
      <c r="B988" s="99" t="s">
        <v>28</v>
      </c>
      <c r="C988" s="104" t="s">
        <v>4</v>
      </c>
      <c r="D988" s="127"/>
      <c r="E988" s="129" t="s">
        <v>6</v>
      </c>
    </row>
    <row r="989" spans="2:6">
      <c r="B989" s="100">
        <v>2024</v>
      </c>
      <c r="C989" s="130">
        <f>C967+C968</f>
        <v>58221.293999999994</v>
      </c>
      <c r="D989" s="1"/>
      <c r="E989" s="128">
        <f>C989*$J$957</f>
        <v>59.471989948619466</v>
      </c>
    </row>
    <row r="990" spans="2:6">
      <c r="B990" s="100" t="s">
        <v>106</v>
      </c>
      <c r="C990" s="130">
        <f>12031.54+112251.762</f>
        <v>124283.302</v>
      </c>
      <c r="D990" s="1"/>
      <c r="E990" s="128">
        <f t="shared" ref="E990:E992" si="20">C990*$J$957</f>
        <v>126.9531262449309</v>
      </c>
    </row>
    <row r="991" spans="2:6">
      <c r="B991" s="100" t="s">
        <v>107</v>
      </c>
      <c r="C991" s="130">
        <f>14540.405+153988.537</f>
        <v>168528.94200000001</v>
      </c>
      <c r="D991" s="1"/>
      <c r="E991" s="128">
        <f t="shared" si="20"/>
        <v>172.1492405283104</v>
      </c>
    </row>
    <row r="992" spans="2:6">
      <c r="B992" s="100" t="s">
        <v>32</v>
      </c>
      <c r="C992" s="130">
        <f>6902.76+990520.086</f>
        <v>997422.84600000002</v>
      </c>
      <c r="D992" s="1"/>
      <c r="E992" s="128">
        <f t="shared" si="20"/>
        <v>1018.8492456357193</v>
      </c>
    </row>
    <row r="993" spans="2:6" ht="15.75" thickBot="1">
      <c r="B993" s="102" t="s">
        <v>33</v>
      </c>
      <c r="C993" s="131">
        <f>SUM(C989:C992)</f>
        <v>1348456.3840000001</v>
      </c>
      <c r="D993" s="111"/>
      <c r="E993" s="132">
        <f>SUM(E989:E992)</f>
        <v>1377.42360235758</v>
      </c>
    </row>
    <row r="994" spans="2:6">
      <c r="B994" s="5" t="s">
        <v>25</v>
      </c>
      <c r="C994" s="4">
        <f>C993-C962-C966</f>
        <v>0</v>
      </c>
      <c r="D994" s="98"/>
      <c r="E994" s="96"/>
    </row>
    <row r="995" spans="2:6">
      <c r="D995" s="1"/>
    </row>
    <row r="996" spans="2:6" ht="15.75" thickBot="1">
      <c r="D996" s="1"/>
    </row>
    <row r="997" spans="2:6" ht="15.75" thickBot="1">
      <c r="B997" s="165" t="s">
        <v>34</v>
      </c>
      <c r="C997" s="166"/>
      <c r="D997" s="166"/>
      <c r="E997" s="167"/>
      <c r="F997" s="129"/>
    </row>
    <row r="998" spans="2:6">
      <c r="B998" s="161" t="s">
        <v>35</v>
      </c>
      <c r="C998" s="160" t="s">
        <v>36</v>
      </c>
      <c r="D998" s="160" t="s">
        <v>37</v>
      </c>
      <c r="E998" s="160" t="s">
        <v>4</v>
      </c>
      <c r="F998" s="159" t="s">
        <v>6</v>
      </c>
    </row>
    <row r="999" spans="2:6">
      <c r="B999" s="116" t="s">
        <v>38</v>
      </c>
      <c r="D999" s="156"/>
      <c r="F999" s="157"/>
    </row>
    <row r="1000" spans="2:6" ht="25.5">
      <c r="B1000" s="100" t="s">
        <v>69</v>
      </c>
      <c r="C1000" s="163" t="s">
        <v>70</v>
      </c>
      <c r="D1000" s="164">
        <v>3.39E-2</v>
      </c>
      <c r="E1000" s="169">
        <v>7.3220000000000001</v>
      </c>
      <c r="F1000" s="128">
        <f>E1000*$J$957</f>
        <v>7.4792894572867407E-3</v>
      </c>
    </row>
    <row r="1001" spans="2:6" ht="25.5">
      <c r="B1001" s="100" t="s">
        <v>69</v>
      </c>
      <c r="C1001" s="163" t="s">
        <v>70</v>
      </c>
      <c r="D1001" s="164">
        <v>5.6500000000000002E-2</v>
      </c>
      <c r="E1001" s="169">
        <v>12.509</v>
      </c>
      <c r="F1001" s="128">
        <f t="shared" ref="F1001:F1024" si="21">E1001*$J$957</f>
        <v>1.2777715353892357E-2</v>
      </c>
    </row>
    <row r="1002" spans="2:6" ht="38.25">
      <c r="B1002" s="100" t="s">
        <v>85</v>
      </c>
      <c r="C1002" s="163" t="s">
        <v>86</v>
      </c>
      <c r="D1002" s="164">
        <v>6.9599999999999995E-2</v>
      </c>
      <c r="E1002" s="169">
        <v>38.704999999999998</v>
      </c>
      <c r="F1002" s="128">
        <f t="shared" si="21"/>
        <v>3.9536451576657097E-2</v>
      </c>
    </row>
    <row r="1003" spans="2:6" ht="38.25">
      <c r="B1003" s="100" t="s">
        <v>85</v>
      </c>
      <c r="C1003" s="163" t="s">
        <v>86</v>
      </c>
      <c r="D1003" s="164">
        <v>3.5000000000000003E-2</v>
      </c>
      <c r="E1003" s="169">
        <v>1.7709999999999999</v>
      </c>
      <c r="F1003" s="128">
        <f t="shared" si="21"/>
        <v>1.8090441995158176E-3</v>
      </c>
    </row>
    <row r="1004" spans="2:6" ht="38.25">
      <c r="B1004" s="100" t="s">
        <v>57</v>
      </c>
      <c r="C1004" s="163" t="s">
        <v>42</v>
      </c>
      <c r="D1004" s="164">
        <v>7.17E-2</v>
      </c>
      <c r="E1004" s="169">
        <v>3172.7249999999999</v>
      </c>
      <c r="F1004" s="128">
        <f t="shared" si="21"/>
        <v>3.2408807215747162</v>
      </c>
    </row>
    <row r="1005" spans="2:6" ht="38.25">
      <c r="B1005" s="100" t="s">
        <v>57</v>
      </c>
      <c r="C1005" s="163" t="s">
        <v>42</v>
      </c>
      <c r="D1005" s="164">
        <v>8.3400000000000002E-2</v>
      </c>
      <c r="E1005" s="169">
        <v>1181.5</v>
      </c>
      <c r="F1005" s="128">
        <f t="shared" si="21"/>
        <v>1.2068807011450811</v>
      </c>
    </row>
    <row r="1006" spans="2:6" ht="25.5">
      <c r="B1006" s="100" t="s">
        <v>71</v>
      </c>
      <c r="C1006" s="163" t="s">
        <v>70</v>
      </c>
      <c r="D1006" s="164">
        <v>5.5199999999999999E-2</v>
      </c>
      <c r="E1006" s="169">
        <v>11867.225</v>
      </c>
      <c r="F1006" s="128">
        <f t="shared" si="21"/>
        <v>12.12215389644218</v>
      </c>
    </row>
    <row r="1007" spans="2:6" ht="38.25">
      <c r="B1007" s="100" t="s">
        <v>41</v>
      </c>
      <c r="C1007" s="163" t="s">
        <v>42</v>
      </c>
      <c r="D1007" s="164">
        <v>8.6999999999999994E-2</v>
      </c>
      <c r="E1007" s="169">
        <v>34.799999999999997</v>
      </c>
      <c r="F1007" s="128">
        <f t="shared" si="21"/>
        <v>3.5547565298221596E-2</v>
      </c>
    </row>
    <row r="1008" spans="2:6" ht="38.25">
      <c r="B1008" s="100" t="s">
        <v>41</v>
      </c>
      <c r="C1008" s="163" t="s">
        <v>42</v>
      </c>
      <c r="D1008" s="164">
        <v>8.5800000000000001E-2</v>
      </c>
      <c r="E1008" s="169">
        <v>77.697000000000003</v>
      </c>
      <c r="F1008" s="128">
        <f t="shared" si="21"/>
        <v>7.9366068418848384E-2</v>
      </c>
    </row>
    <row r="1009" spans="2:6" ht="38.25">
      <c r="B1009" s="100" t="s">
        <v>41</v>
      </c>
      <c r="C1009" s="163" t="s">
        <v>42</v>
      </c>
      <c r="D1009" s="164">
        <v>8.0399999999999999E-2</v>
      </c>
      <c r="E1009" s="169">
        <v>37.073</v>
      </c>
      <c r="F1009" s="128">
        <f t="shared" si="21"/>
        <v>3.7869393341981882E-2</v>
      </c>
    </row>
    <row r="1010" spans="2:6" ht="38.25">
      <c r="B1010" s="100" t="s">
        <v>41</v>
      </c>
      <c r="C1010" s="163" t="s">
        <v>42</v>
      </c>
      <c r="D1010" s="164">
        <v>8.5999999999999993E-2</v>
      </c>
      <c r="E1010" s="169">
        <v>66.587999999999994</v>
      </c>
      <c r="F1010" s="128">
        <f t="shared" si="21"/>
        <v>6.8018427530976436E-2</v>
      </c>
    </row>
    <row r="1011" spans="2:6" ht="38.25">
      <c r="B1011" s="100" t="s">
        <v>41</v>
      </c>
      <c r="C1011" s="163" t="s">
        <v>42</v>
      </c>
      <c r="D1011" s="164">
        <v>0.08</v>
      </c>
      <c r="E1011" s="169">
        <v>179.697</v>
      </c>
      <c r="F1011" s="128">
        <f t="shared" si="21"/>
        <v>0.18355720808604964</v>
      </c>
    </row>
    <row r="1012" spans="2:6" ht="25.5">
      <c r="B1012" s="100" t="s">
        <v>41</v>
      </c>
      <c r="C1012" s="163" t="s">
        <v>117</v>
      </c>
      <c r="D1012" s="164">
        <v>3.95E-2</v>
      </c>
      <c r="E1012" s="169">
        <v>2998.4960000000001</v>
      </c>
      <c r="F1012" s="128">
        <f t="shared" si="21"/>
        <v>3.0629089757602381</v>
      </c>
    </row>
    <row r="1013" spans="2:6" ht="25.5">
      <c r="B1013" s="100" t="s">
        <v>41</v>
      </c>
      <c r="C1013" s="163" t="s">
        <v>117</v>
      </c>
      <c r="D1013" s="164">
        <v>3.4500000000000003E-2</v>
      </c>
      <c r="E1013" s="169">
        <v>1685.473</v>
      </c>
      <c r="F1013" s="128">
        <f t="shared" si="21"/>
        <v>1.7216799289048694</v>
      </c>
    </row>
    <row r="1014" spans="2:6" ht="38.25">
      <c r="B1014" s="100" t="s">
        <v>43</v>
      </c>
      <c r="C1014" s="163" t="s">
        <v>42</v>
      </c>
      <c r="D1014" s="164">
        <v>8.6599999999999996E-2</v>
      </c>
      <c r="E1014" s="169">
        <v>250.29300000000001</v>
      </c>
      <c r="F1014" s="128">
        <f t="shared" si="21"/>
        <v>0.25566973451689023</v>
      </c>
    </row>
    <row r="1015" spans="2:6" ht="38.25">
      <c r="B1015" s="100" t="s">
        <v>52</v>
      </c>
      <c r="C1015" s="163" t="s">
        <v>53</v>
      </c>
      <c r="D1015" s="164">
        <v>0.05</v>
      </c>
      <c r="E1015" s="169">
        <v>343.12700000000001</v>
      </c>
      <c r="F1015" s="128">
        <f>E1015*$J$957</f>
        <v>0.35049797235870356</v>
      </c>
    </row>
    <row r="1016" spans="2:6" ht="38.25">
      <c r="B1016" s="100" t="s">
        <v>52</v>
      </c>
      <c r="C1016" s="163" t="s">
        <v>53</v>
      </c>
      <c r="D1016" s="164">
        <v>0.05</v>
      </c>
      <c r="E1016" s="169">
        <v>185.971</v>
      </c>
      <c r="F1016" s="128">
        <f>E1016*$J$957</f>
        <v>0.18996598465734396</v>
      </c>
    </row>
    <row r="1017" spans="2:6" ht="38.25">
      <c r="B1017" s="100" t="s">
        <v>52</v>
      </c>
      <c r="C1017" s="163" t="s">
        <v>53</v>
      </c>
      <c r="D1017" s="164">
        <v>5.5E-2</v>
      </c>
      <c r="E1017" s="169">
        <v>582.63900000000001</v>
      </c>
      <c r="F1017" s="128">
        <f>E1017*$J$957</f>
        <v>0.59515511200547522</v>
      </c>
    </row>
    <row r="1018" spans="2:6" ht="38.25">
      <c r="B1018" s="100" t="s">
        <v>52</v>
      </c>
      <c r="C1018" s="163" t="s">
        <v>53</v>
      </c>
      <c r="D1018" s="164">
        <v>5.9499999999999997E-2</v>
      </c>
      <c r="E1018" s="169">
        <v>343.92399999999998</v>
      </c>
      <c r="F1018" s="128">
        <f>E1018*$J$957</f>
        <v>0.35131209332257374</v>
      </c>
    </row>
    <row r="1019" spans="2:6" ht="38.25">
      <c r="B1019" s="100" t="s">
        <v>52</v>
      </c>
      <c r="C1019" s="163" t="s">
        <v>53</v>
      </c>
      <c r="D1019" s="164">
        <v>5.9499999999999997E-2</v>
      </c>
      <c r="E1019" s="169">
        <v>319.06799999999998</v>
      </c>
      <c r="F1019" s="128">
        <f>E1019*$J$957</f>
        <v>0.3259221426601428</v>
      </c>
    </row>
    <row r="1020" spans="2:6" ht="38.25">
      <c r="B1020" s="100" t="s">
        <v>52</v>
      </c>
      <c r="C1020" s="163" t="s">
        <v>53</v>
      </c>
      <c r="D1020" s="164">
        <v>5.5E-2</v>
      </c>
      <c r="E1020" s="169">
        <v>41.703000000000003</v>
      </c>
      <c r="F1020" s="128">
        <f t="shared" si="21"/>
        <v>4.2598853897463665E-2</v>
      </c>
    </row>
    <row r="1021" spans="2:6" ht="38.25">
      <c r="B1021" s="100" t="s">
        <v>52</v>
      </c>
      <c r="C1021" s="163" t="s">
        <v>53</v>
      </c>
      <c r="D1021" s="164">
        <v>5.5E-2</v>
      </c>
      <c r="E1021" s="169">
        <v>651.56700000000001</v>
      </c>
      <c r="F1021" s="128">
        <f>E1021*$J$957</f>
        <v>0.66556380685822858</v>
      </c>
    </row>
    <row r="1022" spans="2:6" ht="38.25">
      <c r="B1022" s="100" t="s">
        <v>52</v>
      </c>
      <c r="C1022" s="163" t="s">
        <v>53</v>
      </c>
      <c r="D1022" s="164">
        <v>5.5E-2</v>
      </c>
      <c r="E1022" s="169">
        <v>648.37099999999998</v>
      </c>
      <c r="F1022" s="128">
        <f>E1022*$J$957</f>
        <v>0.66229915114865623</v>
      </c>
    </row>
    <row r="1023" spans="2:6" ht="38.25">
      <c r="B1023" s="100" t="s">
        <v>52</v>
      </c>
      <c r="C1023" s="163" t="s">
        <v>53</v>
      </c>
      <c r="D1023" s="164">
        <v>5.5E-2</v>
      </c>
      <c r="E1023" s="169">
        <v>369.24</v>
      </c>
      <c r="F1023" s="128">
        <f t="shared" si="21"/>
        <v>0.37717192559526852</v>
      </c>
    </row>
    <row r="1024" spans="2:6">
      <c r="B1024" s="116" t="s">
        <v>33</v>
      </c>
      <c r="C1024" s="163"/>
      <c r="D1024" s="162"/>
      <c r="E1024" s="170">
        <f>SUM(E1000:E1023)</f>
        <v>25097.484</v>
      </c>
      <c r="F1024" s="128">
        <f t="shared" si="21"/>
        <v>25.636622164111262</v>
      </c>
    </row>
    <row r="1025" spans="2:6">
      <c r="B1025" s="172" t="s">
        <v>54</v>
      </c>
      <c r="C1025" s="173"/>
      <c r="D1025" s="174"/>
      <c r="E1025" s="175">
        <f>E1024-C967</f>
        <v>0</v>
      </c>
      <c r="F1025" s="171"/>
    </row>
    <row r="1026" spans="2:6">
      <c r="B1026" s="100"/>
      <c r="C1026" s="163"/>
      <c r="D1026" s="162"/>
      <c r="E1026" s="168"/>
      <c r="F1026" s="157"/>
    </row>
    <row r="1027" spans="2:6">
      <c r="B1027" s="116" t="s">
        <v>55</v>
      </c>
      <c r="C1027" s="163"/>
      <c r="D1027" s="162"/>
      <c r="E1027" s="168"/>
      <c r="F1027" s="157"/>
    </row>
    <row r="1028" spans="2:6" ht="25.5">
      <c r="B1028" s="100" t="s">
        <v>69</v>
      </c>
      <c r="C1028" s="163" t="s">
        <v>70</v>
      </c>
      <c r="D1028" s="164">
        <v>3.39E-2</v>
      </c>
      <c r="E1028" s="169">
        <v>52.606000000000002</v>
      </c>
      <c r="F1028" s="128">
        <f>E1028*$J$957</f>
        <v>5.3736069542478324E-2</v>
      </c>
    </row>
    <row r="1029" spans="2:6" ht="25.5">
      <c r="B1029" s="100" t="s">
        <v>69</v>
      </c>
      <c r="C1029" s="163" t="s">
        <v>70</v>
      </c>
      <c r="D1029" s="164">
        <v>5.6500000000000002E-2</v>
      </c>
      <c r="E1029" s="169">
        <v>98.126000000000005</v>
      </c>
      <c r="F1029" s="128">
        <f t="shared" ref="F1029:F1043" si="22">E1029*$J$957</f>
        <v>0.10023391932337049</v>
      </c>
    </row>
    <row r="1030" spans="2:6" ht="38.25">
      <c r="B1030" s="100" t="s">
        <v>85</v>
      </c>
      <c r="C1030" s="163" t="s">
        <v>86</v>
      </c>
      <c r="D1030" s="164">
        <v>6.9599999999999995E-2</v>
      </c>
      <c r="E1030" s="169">
        <v>0.90400000000000003</v>
      </c>
      <c r="F1030" s="128">
        <f t="shared" si="22"/>
        <v>9.2341951234460715E-4</v>
      </c>
    </row>
    <row r="1031" spans="2:6" ht="38.25">
      <c r="B1031" s="100" t="s">
        <v>57</v>
      </c>
      <c r="C1031" s="163" t="s">
        <v>42</v>
      </c>
      <c r="D1031" s="164">
        <v>7.17E-2</v>
      </c>
      <c r="E1031" s="169">
        <v>90000</v>
      </c>
      <c r="F1031" s="128">
        <f t="shared" si="22"/>
        <v>91.933358529883449</v>
      </c>
    </row>
    <row r="1032" spans="2:6" ht="38.25">
      <c r="B1032" s="100" t="s">
        <v>57</v>
      </c>
      <c r="C1032" s="163" t="s">
        <v>42</v>
      </c>
      <c r="D1032" s="164">
        <v>8.3400000000000002E-2</v>
      </c>
      <c r="E1032" s="169">
        <v>30000</v>
      </c>
      <c r="F1032" s="128">
        <f t="shared" si="22"/>
        <v>30.644452843294484</v>
      </c>
    </row>
    <row r="1033" spans="2:6" ht="38.25">
      <c r="B1033" s="100" t="s">
        <v>41</v>
      </c>
      <c r="C1033" s="163" t="s">
        <v>42</v>
      </c>
      <c r="D1033" s="164">
        <v>8.6999999999999994E-2</v>
      </c>
      <c r="E1033" s="169">
        <v>2000</v>
      </c>
      <c r="F1033" s="128">
        <f t="shared" si="22"/>
        <v>2.042963522886299</v>
      </c>
    </row>
    <row r="1034" spans="2:6" ht="38.25">
      <c r="B1034" s="100" t="s">
        <v>41</v>
      </c>
      <c r="C1034" s="163" t="s">
        <v>42</v>
      </c>
      <c r="D1034" s="164">
        <v>8.5800000000000001E-2</v>
      </c>
      <c r="E1034" s="169">
        <v>2000</v>
      </c>
      <c r="F1034" s="128">
        <f t="shared" si="22"/>
        <v>2.042963522886299</v>
      </c>
    </row>
    <row r="1035" spans="2:6" ht="38.25">
      <c r="B1035" s="100" t="s">
        <v>41</v>
      </c>
      <c r="C1035" s="163" t="s">
        <v>42</v>
      </c>
      <c r="D1035" s="164">
        <v>8.0399999999999999E-2</v>
      </c>
      <c r="E1035" s="169">
        <v>1000</v>
      </c>
      <c r="F1035" s="128">
        <f t="shared" si="22"/>
        <v>1.0214817614431495</v>
      </c>
    </row>
    <row r="1036" spans="2:6" ht="38.25">
      <c r="B1036" s="100" t="s">
        <v>41</v>
      </c>
      <c r="C1036" s="163" t="s">
        <v>42</v>
      </c>
      <c r="D1036" s="164">
        <v>8.5999999999999993E-2</v>
      </c>
      <c r="E1036" s="169">
        <v>6724.4790000000003</v>
      </c>
      <c r="F1036" s="128">
        <f t="shared" si="22"/>
        <v>6.8689326537074686</v>
      </c>
    </row>
    <row r="1037" spans="2:6" ht="38.25">
      <c r="B1037" s="100" t="s">
        <v>41</v>
      </c>
      <c r="C1037" s="163" t="s">
        <v>42</v>
      </c>
      <c r="D1037" s="164">
        <v>0.08</v>
      </c>
      <c r="E1037" s="169">
        <v>5970.1019999999999</v>
      </c>
      <c r="F1037" s="128">
        <f t="shared" si="22"/>
        <v>6.0983503069552691</v>
      </c>
    </row>
    <row r="1038" spans="2:6" ht="25.5">
      <c r="B1038" s="100" t="s">
        <v>41</v>
      </c>
      <c r="C1038" s="163" t="s">
        <v>117</v>
      </c>
      <c r="D1038" s="164">
        <v>3.4500000000000003E-2</v>
      </c>
      <c r="E1038" s="169">
        <v>1655.125</v>
      </c>
      <c r="F1038" s="128">
        <f t="shared" si="22"/>
        <v>1.6906800004085929</v>
      </c>
    </row>
    <row r="1039" spans="2:6" ht="38.25">
      <c r="B1039" s="100" t="s">
        <v>43</v>
      </c>
      <c r="C1039" s="163" t="s">
        <v>42</v>
      </c>
      <c r="D1039" s="164">
        <v>8.6599999999999996E-2</v>
      </c>
      <c r="E1039" s="169">
        <v>16000</v>
      </c>
      <c r="F1039" s="128">
        <f t="shared" si="22"/>
        <v>16.343708183090392</v>
      </c>
    </row>
    <row r="1040" spans="2:6" ht="38.25">
      <c r="B1040" s="100" t="s">
        <v>52</v>
      </c>
      <c r="C1040" s="163" t="s">
        <v>53</v>
      </c>
      <c r="D1040" s="164">
        <v>0.05</v>
      </c>
      <c r="E1040" s="169">
        <v>4535.6480000000001</v>
      </c>
      <c r="F1040" s="128">
        <f t="shared" si="22"/>
        <v>4.633081708326098</v>
      </c>
    </row>
    <row r="1041" spans="2:6" ht="38.25">
      <c r="B1041" s="100" t="s">
        <v>52</v>
      </c>
      <c r="C1041" s="163" t="s">
        <v>53</v>
      </c>
      <c r="D1041" s="164">
        <v>0.05</v>
      </c>
      <c r="E1041" s="169">
        <v>9552.9860000000008</v>
      </c>
      <c r="F1041" s="128">
        <f t="shared" si="22"/>
        <v>9.7582009663217484</v>
      </c>
    </row>
    <row r="1042" spans="2:6" ht="38.25">
      <c r="B1042" s="100" t="s">
        <v>52</v>
      </c>
      <c r="C1042" s="163" t="s">
        <v>53</v>
      </c>
      <c r="D1042" s="164">
        <v>5.5E-2</v>
      </c>
      <c r="E1042" s="169">
        <v>1881.453</v>
      </c>
      <c r="F1042" s="128">
        <f t="shared" si="22"/>
        <v>1.9218699245124979</v>
      </c>
    </row>
    <row r="1043" spans="2:6" ht="38.25">
      <c r="B1043" s="100" t="s">
        <v>52</v>
      </c>
      <c r="C1043" s="163" t="s">
        <v>53</v>
      </c>
      <c r="D1043" s="164">
        <v>5.5E-2</v>
      </c>
      <c r="E1043" s="169">
        <v>1451.4079999999999</v>
      </c>
      <c r="F1043" s="128">
        <f t="shared" si="22"/>
        <v>1.4825868004126785</v>
      </c>
    </row>
    <row r="1044" spans="2:6">
      <c r="B1044" s="116" t="s">
        <v>33</v>
      </c>
      <c r="C1044" s="163"/>
      <c r="D1044" s="162"/>
      <c r="E1044" s="170">
        <f>SUM(E1028:E1043)</f>
        <v>172922.837</v>
      </c>
      <c r="F1044" s="171">
        <f>SUM(F1028:F1042)</f>
        <v>175.15493733209397</v>
      </c>
    </row>
    <row r="1045" spans="2:6" ht="15.75" thickBot="1">
      <c r="B1045" s="176" t="s">
        <v>54</v>
      </c>
      <c r="C1045" s="177"/>
      <c r="D1045" s="178"/>
      <c r="E1045" s="179">
        <f>E1044-C963</f>
        <v>0</v>
      </c>
      <c r="F1045" s="107"/>
    </row>
    <row r="1047" spans="2:6" ht="15.75" thickBot="1"/>
    <row r="1048" spans="2:6" ht="15.75" thickBot="1">
      <c r="B1048" s="165" t="s">
        <v>56</v>
      </c>
      <c r="C1048" s="166"/>
      <c r="D1048" s="166"/>
      <c r="E1048" s="167"/>
      <c r="F1048" s="129"/>
    </row>
    <row r="1049" spans="2:6">
      <c r="B1049" s="161" t="s">
        <v>35</v>
      </c>
      <c r="C1049" s="160"/>
      <c r="D1049" s="160" t="s">
        <v>37</v>
      </c>
      <c r="E1049" s="160" t="s">
        <v>4</v>
      </c>
      <c r="F1049" s="159" t="s">
        <v>6</v>
      </c>
    </row>
    <row r="1050" spans="2:6">
      <c r="B1050" s="116" t="s">
        <v>38</v>
      </c>
      <c r="D1050" s="156"/>
      <c r="F1050" s="157"/>
    </row>
    <row r="1051" spans="2:6">
      <c r="B1051" s="100" t="s">
        <v>57</v>
      </c>
      <c r="C1051" s="163"/>
      <c r="D1051" s="164">
        <v>2.9000000000000001E-2</v>
      </c>
      <c r="E1051" s="169">
        <v>450.18400000000003</v>
      </c>
      <c r="F1051" s="128">
        <f>E1051*$J$957</f>
        <v>0.45985474529352283</v>
      </c>
    </row>
    <row r="1052" spans="2:6">
      <c r="B1052" s="100" t="s">
        <v>99</v>
      </c>
      <c r="C1052" s="163"/>
      <c r="D1052" s="164">
        <v>1.2E-2</v>
      </c>
      <c r="E1052" s="169">
        <v>28370.273000000001</v>
      </c>
      <c r="F1052" s="128">
        <f t="shared" ref="F1052:F1057" si="23">E1052*$J$957</f>
        <v>28.979716436663026</v>
      </c>
    </row>
    <row r="1053" spans="2:6">
      <c r="B1053" s="100" t="s">
        <v>57</v>
      </c>
      <c r="C1053" s="163"/>
      <c r="D1053" s="164">
        <v>1.6E-2</v>
      </c>
      <c r="E1053" s="169">
        <v>655.86099999999999</v>
      </c>
      <c r="F1053" s="128">
        <f t="shared" si="23"/>
        <v>0.66995004954186543</v>
      </c>
    </row>
    <row r="1054" spans="2:6">
      <c r="B1054" s="100" t="s">
        <v>57</v>
      </c>
      <c r="C1054" s="163"/>
      <c r="D1054" s="164">
        <v>3.3500000000000002E-2</v>
      </c>
      <c r="E1054" s="169">
        <v>2961.098</v>
      </c>
      <c r="F1054" s="128">
        <f t="shared" si="23"/>
        <v>3.0247076008457872</v>
      </c>
    </row>
    <row r="1055" spans="2:6">
      <c r="B1055" s="100" t="s">
        <v>99</v>
      </c>
      <c r="C1055" s="163"/>
      <c r="D1055" s="164">
        <v>3.3500000000000002E-2</v>
      </c>
      <c r="E1055" s="169">
        <v>129.80600000000001</v>
      </c>
      <c r="F1055" s="128">
        <f t="shared" si="23"/>
        <v>0.13259446152588947</v>
      </c>
    </row>
    <row r="1056" spans="2:6">
      <c r="B1056" s="100" t="s">
        <v>57</v>
      </c>
      <c r="C1056" s="163"/>
      <c r="D1056" s="164">
        <v>2.7E-2</v>
      </c>
      <c r="E1056" s="169">
        <v>124.485</v>
      </c>
      <c r="F1056" s="128">
        <f t="shared" si="23"/>
        <v>0.12715915707325046</v>
      </c>
    </row>
    <row r="1057" spans="1:10">
      <c r="B1057" s="100" t="s">
        <v>100</v>
      </c>
      <c r="C1057" s="163"/>
      <c r="D1057" s="164">
        <v>0.01</v>
      </c>
      <c r="E1057" s="169">
        <v>432.10300000000001</v>
      </c>
      <c r="F1057" s="128">
        <f t="shared" si="23"/>
        <v>0.44138533356486925</v>
      </c>
    </row>
    <row r="1058" spans="1:10">
      <c r="B1058" s="116" t="s">
        <v>33</v>
      </c>
      <c r="C1058" s="163"/>
      <c r="D1058" s="162"/>
      <c r="E1058" s="170">
        <f>SUM(E1051:E1057)</f>
        <v>33123.810000000005</v>
      </c>
      <c r="F1058" s="171">
        <f>SUM(F1051:F1057)</f>
        <v>33.835367784508207</v>
      </c>
    </row>
    <row r="1059" spans="1:10">
      <c r="B1059" s="172" t="s">
        <v>54</v>
      </c>
      <c r="C1059" s="173"/>
      <c r="D1059" s="174"/>
      <c r="E1059" s="175">
        <f>E1058-C968</f>
        <v>0</v>
      </c>
      <c r="F1059" s="171"/>
    </row>
    <row r="1060" spans="1:10">
      <c r="B1060" s="100"/>
      <c r="C1060" s="163"/>
      <c r="D1060" s="162"/>
      <c r="E1060" s="168"/>
      <c r="F1060" s="157"/>
    </row>
    <row r="1061" spans="1:10">
      <c r="B1061" s="116" t="s">
        <v>55</v>
      </c>
      <c r="C1061" s="163"/>
      <c r="D1061" s="162"/>
      <c r="E1061" s="168"/>
      <c r="F1061" s="157"/>
    </row>
    <row r="1062" spans="1:10">
      <c r="B1062" s="100" t="s">
        <v>57</v>
      </c>
      <c r="C1062" s="163"/>
      <c r="D1062" s="164">
        <v>2.9000000000000001E-2</v>
      </c>
      <c r="E1062" s="169">
        <v>111388.327</v>
      </c>
      <c r="F1062" s="128">
        <f>E1062*$J$957</f>
        <v>113.78114446816554</v>
      </c>
    </row>
    <row r="1063" spans="1:10">
      <c r="B1063" s="100" t="s">
        <v>99</v>
      </c>
      <c r="C1063" s="163"/>
      <c r="D1063" s="164">
        <v>1.2E-2</v>
      </c>
      <c r="E1063" s="169">
        <v>69916.225999999995</v>
      </c>
      <c r="F1063" s="128">
        <f t="shared" ref="F1063:F1068" si="24">E1063*$J$957</f>
        <v>71.418149687937316</v>
      </c>
    </row>
    <row r="1064" spans="1:10">
      <c r="B1064" s="100" t="s">
        <v>57</v>
      </c>
      <c r="C1064" s="163"/>
      <c r="D1064" s="164">
        <v>1.6E-2</v>
      </c>
      <c r="E1064" s="169">
        <v>75581.475000000006</v>
      </c>
      <c r="F1064" s="128">
        <f t="shared" si="24"/>
        <v>77.205098215471381</v>
      </c>
    </row>
    <row r="1065" spans="1:10">
      <c r="B1065" s="100" t="s">
        <v>57</v>
      </c>
      <c r="C1065" s="163"/>
      <c r="D1065" s="164">
        <v>3.3500000000000002E-2</v>
      </c>
      <c r="E1065" s="169">
        <v>582696.61399999994</v>
      </c>
      <c r="F1065" s="128">
        <f t="shared" si="24"/>
        <v>595.21396365567887</v>
      </c>
    </row>
    <row r="1066" spans="1:10">
      <c r="B1066" s="100" t="s">
        <v>99</v>
      </c>
      <c r="C1066" s="163"/>
      <c r="D1066" s="164">
        <v>3.3500000000000002E-2</v>
      </c>
      <c r="E1066" s="169">
        <v>74387.835999999996</v>
      </c>
      <c r="F1066" s="128">
        <f t="shared" si="24"/>
        <v>75.985817747224118</v>
      </c>
    </row>
    <row r="1067" spans="1:10">
      <c r="B1067" s="100" t="s">
        <v>57</v>
      </c>
      <c r="C1067" s="163"/>
      <c r="D1067" s="164">
        <v>2.7E-2</v>
      </c>
      <c r="E1067" s="169">
        <v>147654.976</v>
      </c>
      <c r="F1067" s="128">
        <f t="shared" si="24"/>
        <v>150.82686497032597</v>
      </c>
    </row>
    <row r="1068" spans="1:10">
      <c r="B1068" s="100" t="s">
        <v>100</v>
      </c>
      <c r="C1068" s="163"/>
      <c r="D1068" s="164">
        <v>0.01</v>
      </c>
      <c r="E1068" s="169">
        <v>55686.798999999999</v>
      </c>
      <c r="F1068" s="128">
        <f t="shared" si="24"/>
        <v>56.883049531650613</v>
      </c>
    </row>
    <row r="1069" spans="1:10">
      <c r="B1069" s="116" t="s">
        <v>33</v>
      </c>
      <c r="C1069" s="163"/>
      <c r="D1069" s="162"/>
      <c r="E1069" s="170">
        <f>SUM(E1062:E1068)</f>
        <v>1117312.253</v>
      </c>
      <c r="F1069" s="171">
        <f>SUM(F1062:F1068)</f>
        <v>1141.3140882764537</v>
      </c>
    </row>
    <row r="1070" spans="1:10" ht="15.75" thickBot="1">
      <c r="B1070" s="176" t="s">
        <v>54</v>
      </c>
      <c r="C1070" s="177"/>
      <c r="D1070" s="178"/>
      <c r="E1070" s="179">
        <f>E1069-C964</f>
        <v>0</v>
      </c>
      <c r="F1070" s="107"/>
    </row>
    <row r="1072" spans="1:10">
      <c r="A1072" s="15" t="s">
        <v>126</v>
      </c>
      <c r="D1072" s="1"/>
      <c r="I1072" s="2" t="s">
        <v>90</v>
      </c>
      <c r="J1072" s="154">
        <f>Model!F$203</f>
        <v>1.1356151627336527E-3</v>
      </c>
    </row>
    <row r="1073" spans="2:11">
      <c r="D1073" s="1"/>
      <c r="I1073" s="2" t="s">
        <v>91</v>
      </c>
      <c r="J1073" s="154">
        <f>Model!F$204</f>
        <v>1.1911142874158776E-3</v>
      </c>
    </row>
    <row r="1074" spans="2:11" ht="15.75" thickBot="1">
      <c r="D1074" s="1"/>
      <c r="I1074" s="2"/>
      <c r="J1074" s="114"/>
    </row>
    <row r="1075" spans="2:11">
      <c r="B1075" s="115" t="s">
        <v>127</v>
      </c>
      <c r="C1075" s="104" t="s">
        <v>4</v>
      </c>
      <c r="D1075" s="104" t="s">
        <v>5</v>
      </c>
      <c r="E1075" s="104" t="s">
        <v>6</v>
      </c>
      <c r="F1075" s="105" t="s">
        <v>5</v>
      </c>
    </row>
    <row r="1076" spans="2:11">
      <c r="B1076" s="100"/>
      <c r="C1076" s="94"/>
      <c r="D1076" s="14"/>
      <c r="E1076" s="95"/>
      <c r="F1076" s="106"/>
    </row>
    <row r="1077" spans="2:11">
      <c r="B1077" s="116" t="s">
        <v>9</v>
      </c>
      <c r="C1077" s="96">
        <f>SUM(C1078:C1079)</f>
        <v>1224912.6579999998</v>
      </c>
      <c r="D1077" s="14"/>
      <c r="E1077" s="97">
        <f>C1077*J1072</f>
        <v>1391.0293874491808</v>
      </c>
      <c r="F1077" s="106"/>
    </row>
    <row r="1078" spans="2:11">
      <c r="B1078" s="100" t="s">
        <v>11</v>
      </c>
      <c r="C1078" s="52">
        <v>174074.17</v>
      </c>
      <c r="D1078" s="14"/>
      <c r="E1078" s="95">
        <f>C1078*J1072</f>
        <v>197.68126689227554</v>
      </c>
      <c r="F1078" s="106"/>
    </row>
    <row r="1079" spans="2:11">
      <c r="B1079" s="100" t="s">
        <v>14</v>
      </c>
      <c r="C1079" s="52">
        <v>1050838.4879999999</v>
      </c>
      <c r="D1079" s="14"/>
      <c r="E1079" s="95">
        <f>C1079*J1072</f>
        <v>1193.3481205569055</v>
      </c>
      <c r="F1079" s="106"/>
    </row>
    <row r="1080" spans="2:11">
      <c r="B1080" s="100"/>
      <c r="C1080" s="94"/>
      <c r="D1080" s="14"/>
      <c r="E1080" s="95"/>
      <c r="F1080" s="106"/>
    </row>
    <row r="1081" spans="2:11">
      <c r="B1081" s="116" t="s">
        <v>15</v>
      </c>
      <c r="C1081" s="96">
        <f>SUM(C1082:C1083)</f>
        <v>63145.728999999992</v>
      </c>
      <c r="D1081" s="14"/>
      <c r="E1081" s="97">
        <f>C1081*J1072</f>
        <v>71.709247314270129</v>
      </c>
      <c r="F1081" s="106"/>
      <c r="K1081" s="13"/>
    </row>
    <row r="1082" spans="2:11">
      <c r="B1082" s="100" t="s">
        <v>11</v>
      </c>
      <c r="C1082" s="52">
        <v>24494.87</v>
      </c>
      <c r="D1082" s="14"/>
      <c r="E1082" s="95">
        <f>C1082*J1072</f>
        <v>27.816745781189667</v>
      </c>
      <c r="F1082" s="106"/>
      <c r="K1082" s="13"/>
    </row>
    <row r="1083" spans="2:11">
      <c r="B1083" s="100" t="s">
        <v>14</v>
      </c>
      <c r="C1083" s="52">
        <v>38650.858999999997</v>
      </c>
      <c r="D1083" s="14"/>
      <c r="E1083" s="95">
        <f>C1083*J1072</f>
        <v>43.892501533080463</v>
      </c>
      <c r="F1083" s="106"/>
    </row>
    <row r="1084" spans="2:11">
      <c r="B1084" s="100"/>
      <c r="C1084" s="52"/>
      <c r="D1084" s="14"/>
      <c r="E1084" s="95"/>
      <c r="F1084" s="106"/>
    </row>
    <row r="1085" spans="2:11">
      <c r="B1085" s="122" t="s">
        <v>16</v>
      </c>
      <c r="C1085" s="96">
        <f>SUM(C1086:C1087)</f>
        <v>41204.099000000002</v>
      </c>
      <c r="D1085" s="14"/>
      <c r="E1085" s="96">
        <f>SUM(E1086:E1087)</f>
        <v>46.791999591178538</v>
      </c>
      <c r="F1085" s="106"/>
    </row>
    <row r="1086" spans="2:11">
      <c r="B1086" s="119" t="s">
        <v>17</v>
      </c>
      <c r="C1086" s="7">
        <f>Model!$F$111</f>
        <v>7142.36</v>
      </c>
      <c r="D1086" s="14"/>
      <c r="E1086" s="95">
        <f>C1086*J1072</f>
        <v>8.110972313702332</v>
      </c>
      <c r="F1086" s="106"/>
    </row>
    <row r="1087" spans="2:11">
      <c r="B1087" s="119" t="s">
        <v>18</v>
      </c>
      <c r="C1087" s="7">
        <f>Model!$F$112</f>
        <v>34061.739000000001</v>
      </c>
      <c r="D1087" s="14"/>
      <c r="E1087" s="95">
        <f>C1087*J1072</f>
        <v>38.681027277476204</v>
      </c>
      <c r="F1087" s="106"/>
    </row>
    <row r="1088" spans="2:11">
      <c r="B1088" s="100"/>
      <c r="C1088" s="94"/>
      <c r="D1088" s="14"/>
      <c r="E1088" s="95"/>
      <c r="F1088" s="106"/>
    </row>
    <row r="1089" spans="2:6">
      <c r="B1089" s="117" t="s">
        <v>19</v>
      </c>
      <c r="C1089" s="11">
        <f>C1081+C1077+C1085</f>
        <v>1329262.4859999998</v>
      </c>
      <c r="D1089" s="10">
        <f>C1089/C1094</f>
        <v>3.5035692462577184</v>
      </c>
      <c r="E1089" s="11">
        <f>E1081+E1077+E1085</f>
        <v>1509.5306343546297</v>
      </c>
      <c r="F1089" s="118">
        <f>E1089/E1094</f>
        <v>3.3403229243176851</v>
      </c>
    </row>
    <row r="1090" spans="2:6">
      <c r="B1090" s="119" t="s">
        <v>20</v>
      </c>
      <c r="C1090" s="120">
        <f>Model!F$119</f>
        <v>618154.01599999995</v>
      </c>
      <c r="D1090" s="121"/>
      <c r="E1090" s="95">
        <f>C1090*J1072</f>
        <v>701.98507347430086</v>
      </c>
      <c r="F1090" s="106"/>
    </row>
    <row r="1091" spans="2:6">
      <c r="B1091" s="117" t="s">
        <v>21</v>
      </c>
      <c r="C1091" s="11">
        <f>C1089-C1090</f>
        <v>711108.46999999986</v>
      </c>
      <c r="D1091" s="10">
        <f>C1091/C1094</f>
        <v>1.874285773115077</v>
      </c>
      <c r="E1091" s="11">
        <f>E1089-E1090</f>
        <v>807.54556088032882</v>
      </c>
      <c r="F1091" s="118">
        <f>E1091/E1094</f>
        <v>1.7869547580217164</v>
      </c>
    </row>
    <row r="1092" spans="2:6">
      <c r="B1092" s="122" t="s">
        <v>22</v>
      </c>
      <c r="C1092" s="9">
        <f>Model!F$123</f>
        <v>1337382.581</v>
      </c>
      <c r="D1092" s="8"/>
      <c r="E1092" s="97">
        <f>C1092*J1072</f>
        <v>1518.7519373594675</v>
      </c>
      <c r="F1092" s="106"/>
    </row>
    <row r="1093" spans="2:6">
      <c r="B1093" s="122" t="s">
        <v>23</v>
      </c>
      <c r="C1093" s="9">
        <f>C1091+C1092</f>
        <v>2048491.051</v>
      </c>
      <c r="D1093" s="8"/>
      <c r="E1093" s="9">
        <f>E1091+E1092</f>
        <v>2326.2974982397964</v>
      </c>
      <c r="F1093" s="106"/>
    </row>
    <row r="1094" spans="2:6" ht="15.75" thickBot="1">
      <c r="B1094" s="123" t="s">
        <v>24</v>
      </c>
      <c r="C1094" s="124">
        <f>Model!F$86</f>
        <v>379402.37300000002</v>
      </c>
      <c r="D1094" s="125"/>
      <c r="E1094" s="126">
        <f>C1094*J1073</f>
        <v>451.91158715978804</v>
      </c>
      <c r="F1094" s="107"/>
    </row>
    <row r="1095" spans="2:6">
      <c r="B1095" s="5" t="s">
        <v>25</v>
      </c>
      <c r="C1095" s="4">
        <f>+C1089-Model!F$118</f>
        <v>0</v>
      </c>
      <c r="D1095" s="3"/>
    </row>
    <row r="1096" spans="2:6">
      <c r="D1096" s="1"/>
    </row>
    <row r="1097" spans="2:6" ht="15.75" thickBot="1">
      <c r="B1097" s="2"/>
      <c r="C1097" s="98"/>
      <c r="D1097" s="1"/>
    </row>
    <row r="1098" spans="2:6">
      <c r="B1098" s="99" t="s">
        <v>128</v>
      </c>
      <c r="C1098" s="104" t="s">
        <v>4</v>
      </c>
      <c r="D1098" s="108"/>
      <c r="E1098" s="109" t="s">
        <v>6</v>
      </c>
    </row>
    <row r="1099" spans="2:6">
      <c r="B1099" s="101" t="s">
        <v>20</v>
      </c>
      <c r="C1099" s="110">
        <f>C1090</f>
        <v>618154.01599999995</v>
      </c>
      <c r="D1099" s="110"/>
      <c r="E1099" s="113">
        <f>E1090</f>
        <v>701.98507347430086</v>
      </c>
    </row>
    <row r="1100" spans="2:6">
      <c r="B1100" s="101"/>
      <c r="C1100" s="94"/>
      <c r="D1100" s="94"/>
      <c r="E1100" s="103"/>
    </row>
    <row r="1101" spans="2:6" ht="15.75" thickBot="1">
      <c r="B1101" s="102" t="s">
        <v>27</v>
      </c>
      <c r="C1101" s="111">
        <f>SUM(C1099:C1100)</f>
        <v>618154.01599999995</v>
      </c>
      <c r="D1101" s="111"/>
      <c r="E1101" s="112">
        <f>SUM(E1099:E1100)</f>
        <v>701.98507347430086</v>
      </c>
    </row>
    <row r="1102" spans="2:6" ht="15.75" thickBot="1">
      <c r="B1102" s="2"/>
      <c r="C1102" s="98"/>
      <c r="D1102" s="98"/>
      <c r="E1102" s="96"/>
    </row>
    <row r="1103" spans="2:6">
      <c r="B1103" s="99" t="s">
        <v>28</v>
      </c>
      <c r="C1103" s="104" t="s">
        <v>4</v>
      </c>
      <c r="D1103" s="127"/>
      <c r="E1103" s="129" t="s">
        <v>6</v>
      </c>
    </row>
    <row r="1104" spans="2:6">
      <c r="B1104" s="100">
        <v>2023</v>
      </c>
      <c r="C1104" s="130">
        <f>C1082+C1083</f>
        <v>63145.728999999992</v>
      </c>
      <c r="D1104" s="1"/>
      <c r="E1104" s="128">
        <f>C1104*$J$1192</f>
        <v>70.894497586168171</v>
      </c>
    </row>
    <row r="1105" spans="2:6">
      <c r="B1105" s="100" t="s">
        <v>106</v>
      </c>
      <c r="C1105" s="130">
        <f>111412.498+14228.181</f>
        <v>125640.679</v>
      </c>
      <c r="D1105" s="1"/>
      <c r="E1105" s="128">
        <f>C1105*$J$1192</f>
        <v>141.0583574716515</v>
      </c>
    </row>
    <row r="1106" spans="2:6">
      <c r="B1106" s="100" t="s">
        <v>107</v>
      </c>
      <c r="C1106" s="130">
        <f>14468.888+153668.256</f>
        <v>168137.144</v>
      </c>
      <c r="D1106" s="1"/>
      <c r="E1106" s="128"/>
    </row>
    <row r="1107" spans="2:6">
      <c r="B1107" s="100" t="s">
        <v>32</v>
      </c>
      <c r="C1107" s="130">
        <f>924957.102+6177.733</f>
        <v>931134.83499999996</v>
      </c>
      <c r="D1107" s="1"/>
      <c r="E1107" s="128"/>
    </row>
    <row r="1108" spans="2:6" ht="15.75" thickBot="1">
      <c r="B1108" s="102" t="s">
        <v>33</v>
      </c>
      <c r="C1108" s="131">
        <f>SUM(C1104:C1107)</f>
        <v>1288058.3870000001</v>
      </c>
      <c r="D1108" s="111"/>
      <c r="E1108" s="132">
        <f>SUM(E1104:E1107)</f>
        <v>211.95285505781968</v>
      </c>
    </row>
    <row r="1109" spans="2:6">
      <c r="B1109" s="5" t="s">
        <v>25</v>
      </c>
      <c r="C1109" s="4">
        <f>C1108-C1077-C1081</f>
        <v>2.9103830456733704E-10</v>
      </c>
      <c r="D1109" s="98"/>
      <c r="E1109" s="96"/>
    </row>
    <row r="1110" spans="2:6">
      <c r="D1110" s="1"/>
    </row>
    <row r="1111" spans="2:6" ht="15.75" thickBot="1">
      <c r="D1111" s="1"/>
    </row>
    <row r="1112" spans="2:6" ht="15.75" thickBot="1">
      <c r="B1112" s="165" t="s">
        <v>34</v>
      </c>
      <c r="C1112" s="166"/>
      <c r="D1112" s="166"/>
      <c r="E1112" s="167"/>
      <c r="F1112" s="129"/>
    </row>
    <row r="1113" spans="2:6">
      <c r="B1113" s="161" t="s">
        <v>35</v>
      </c>
      <c r="C1113" s="160" t="s">
        <v>36</v>
      </c>
      <c r="D1113" s="160" t="s">
        <v>37</v>
      </c>
      <c r="E1113" s="160" t="s">
        <v>4</v>
      </c>
      <c r="F1113" s="159" t="s">
        <v>6</v>
      </c>
    </row>
    <row r="1114" spans="2:6">
      <c r="B1114" s="116" t="s">
        <v>38</v>
      </c>
      <c r="D1114" s="156"/>
      <c r="F1114" s="157"/>
    </row>
    <row r="1115" spans="2:6" ht="25.5">
      <c r="B1115" s="100" t="s">
        <v>69</v>
      </c>
      <c r="C1115" s="163" t="s">
        <v>70</v>
      </c>
      <c r="D1115" s="164">
        <v>3.39E-2</v>
      </c>
      <c r="E1115" s="169">
        <v>7.8120000000000003</v>
      </c>
      <c r="F1115" s="128">
        <f t="shared" ref="F1115:F1142" si="25">E1115*$J$1072</f>
        <v>8.8714256512752946E-3</v>
      </c>
    </row>
    <row r="1116" spans="2:6" ht="25.5">
      <c r="B1116" s="100" t="s">
        <v>69</v>
      </c>
      <c r="C1116" s="163" t="s">
        <v>70</v>
      </c>
      <c r="D1116" s="164">
        <v>5.6500000000000002E-2</v>
      </c>
      <c r="E1116" s="169">
        <v>11.609</v>
      </c>
      <c r="F1116" s="128">
        <f t="shared" si="25"/>
        <v>1.3183356424174975E-2</v>
      </c>
    </row>
    <row r="1117" spans="2:6" ht="38.25">
      <c r="B1117" s="100" t="s">
        <v>85</v>
      </c>
      <c r="C1117" s="163" t="s">
        <v>86</v>
      </c>
      <c r="D1117" s="164">
        <v>6.9599999999999995E-2</v>
      </c>
      <c r="E1117" s="169">
        <v>37.209000000000003</v>
      </c>
      <c r="F1117" s="128">
        <f t="shared" si="25"/>
        <v>4.2255104590156488E-2</v>
      </c>
    </row>
    <row r="1118" spans="2:6" ht="38.25">
      <c r="B1118" s="100" t="s">
        <v>85</v>
      </c>
      <c r="C1118" s="163" t="s">
        <v>86</v>
      </c>
      <c r="D1118" s="164">
        <v>3.5000000000000003E-2</v>
      </c>
      <c r="E1118" s="169">
        <v>7.0540000000000003</v>
      </c>
      <c r="F1118" s="128">
        <f t="shared" si="25"/>
        <v>8.0106293579231859E-3</v>
      </c>
    </row>
    <row r="1119" spans="2:6" ht="38.25">
      <c r="B1119" s="100" t="s">
        <v>57</v>
      </c>
      <c r="C1119" s="163" t="s">
        <v>42</v>
      </c>
      <c r="D1119" s="164">
        <v>7.17E-2</v>
      </c>
      <c r="E1119" s="169">
        <v>1541.55</v>
      </c>
      <c r="F1119" s="128">
        <f t="shared" si="25"/>
        <v>1.7506075541120623</v>
      </c>
    </row>
    <row r="1120" spans="2:6" ht="38.25">
      <c r="B1120" s="100" t="s">
        <v>57</v>
      </c>
      <c r="C1120" s="163" t="s">
        <v>42</v>
      </c>
      <c r="D1120" s="164">
        <v>8.3400000000000002E-2</v>
      </c>
      <c r="E1120" s="169">
        <v>549.04999999999995</v>
      </c>
      <c r="F1120" s="128">
        <f t="shared" si="25"/>
        <v>0.62350950509891201</v>
      </c>
    </row>
    <row r="1121" spans="2:6" ht="38.25">
      <c r="B1121" s="100" t="s">
        <v>71</v>
      </c>
      <c r="C1121" s="163" t="s">
        <v>42</v>
      </c>
      <c r="D1121" s="164">
        <v>9.6000000000000002E-2</v>
      </c>
      <c r="E1121" s="169">
        <v>1.363</v>
      </c>
      <c r="F1121" s="128">
        <f t="shared" si="25"/>
        <v>1.5478434668059686E-3</v>
      </c>
    </row>
    <row r="1122" spans="2:6" ht="25.5">
      <c r="B1122" s="100" t="s">
        <v>71</v>
      </c>
      <c r="C1122" s="163" t="s">
        <v>108</v>
      </c>
      <c r="D1122" s="164">
        <v>5.8799999999999998E-2</v>
      </c>
      <c r="E1122" s="169">
        <v>16700.666000000001</v>
      </c>
      <c r="F1122" s="128">
        <f t="shared" si="25"/>
        <v>18.965529537350381</v>
      </c>
    </row>
    <row r="1123" spans="2:6" ht="38.25">
      <c r="B1123" s="100" t="s">
        <v>41</v>
      </c>
      <c r="C1123" s="163" t="s">
        <v>42</v>
      </c>
      <c r="D1123" s="164">
        <v>8.6999999999999994E-2</v>
      </c>
      <c r="E1123" s="169">
        <v>79.75</v>
      </c>
      <c r="F1123" s="128">
        <f t="shared" si="25"/>
        <v>9.0565309228008803E-2</v>
      </c>
    </row>
    <row r="1124" spans="2:6" ht="38.25">
      <c r="B1124" s="100" t="s">
        <v>41</v>
      </c>
      <c r="C1124" s="163" t="s">
        <v>42</v>
      </c>
      <c r="D1124" s="164">
        <v>8.5800000000000001E-2</v>
      </c>
      <c r="E1124" s="169">
        <v>34.32</v>
      </c>
      <c r="F1124" s="128">
        <f t="shared" si="25"/>
        <v>3.8974312385018958E-2</v>
      </c>
    </row>
    <row r="1125" spans="2:6" ht="38.25">
      <c r="B1125" s="100" t="s">
        <v>41</v>
      </c>
      <c r="C1125" s="163" t="s">
        <v>42</v>
      </c>
      <c r="D1125" s="164">
        <v>8.0399999999999999E-2</v>
      </c>
      <c r="E1125" s="169">
        <v>16.75</v>
      </c>
      <c r="F1125" s="128">
        <f t="shared" si="25"/>
        <v>1.9021553975788683E-2</v>
      </c>
    </row>
    <row r="1126" spans="2:6" ht="38.25">
      <c r="B1126" s="100" t="s">
        <v>41</v>
      </c>
      <c r="C1126" s="163" t="s">
        <v>42</v>
      </c>
      <c r="D1126" s="164">
        <v>8.5999999999999993E-2</v>
      </c>
      <c r="E1126" s="169">
        <v>213.58199999999999</v>
      </c>
      <c r="F1126" s="128">
        <f t="shared" si="25"/>
        <v>0.24254695768697901</v>
      </c>
    </row>
    <row r="1127" spans="2:6" ht="38.25">
      <c r="B1127" s="100" t="s">
        <v>41</v>
      </c>
      <c r="C1127" s="163" t="s">
        <v>42</v>
      </c>
      <c r="D1127" s="164">
        <v>0.08</v>
      </c>
      <c r="E1127" s="169">
        <v>58.366999999999997</v>
      </c>
      <c r="F1127" s="128">
        <f t="shared" si="25"/>
        <v>6.6282450203275098E-2</v>
      </c>
    </row>
    <row r="1128" spans="2:6" ht="25.5">
      <c r="B1128" s="100" t="s">
        <v>41</v>
      </c>
      <c r="C1128" s="163" t="s">
        <v>117</v>
      </c>
      <c r="D1128" s="164">
        <v>3.95E-2</v>
      </c>
      <c r="E1128" s="169">
        <v>32.08</v>
      </c>
      <c r="F1128" s="128">
        <f t="shared" si="25"/>
        <v>3.6430534420495576E-2</v>
      </c>
    </row>
    <row r="1129" spans="2:6" ht="25.5">
      <c r="B1129" s="100" t="s">
        <v>41</v>
      </c>
      <c r="C1129" s="163" t="s">
        <v>117</v>
      </c>
      <c r="D1129" s="164">
        <v>3.4500000000000003E-2</v>
      </c>
      <c r="E1129" s="169">
        <v>1656.3579999999999</v>
      </c>
      <c r="F1129" s="128">
        <f t="shared" si="25"/>
        <v>1.8809852597151875</v>
      </c>
    </row>
    <row r="1130" spans="2:6" ht="38.25">
      <c r="B1130" s="100" t="s">
        <v>43</v>
      </c>
      <c r="C1130" s="163" t="s">
        <v>42</v>
      </c>
      <c r="D1130" s="164">
        <v>8.6599999999999996E-2</v>
      </c>
      <c r="E1130" s="169">
        <v>604.55499999999995</v>
      </c>
      <c r="F1130" s="128">
        <f t="shared" si="25"/>
        <v>0.68654182470644332</v>
      </c>
    </row>
    <row r="1131" spans="2:6">
      <c r="B1131" s="100" t="s">
        <v>62</v>
      </c>
      <c r="C1131" s="163" t="s">
        <v>129</v>
      </c>
      <c r="D1131" s="164">
        <v>0.19800000000000001</v>
      </c>
      <c r="E1131" s="169">
        <v>177.94</v>
      </c>
      <c r="F1131" s="128">
        <f t="shared" si="25"/>
        <v>0.20207136205682616</v>
      </c>
    </row>
    <row r="1132" spans="2:6">
      <c r="B1132" s="100" t="s">
        <v>62</v>
      </c>
      <c r="C1132" s="163" t="s">
        <v>130</v>
      </c>
      <c r="D1132" s="164">
        <v>1.05</v>
      </c>
      <c r="E1132" s="169">
        <v>23.143999999999998</v>
      </c>
      <c r="F1132" s="128">
        <f t="shared" si="25"/>
        <v>2.6282677326307655E-2</v>
      </c>
    </row>
    <row r="1133" spans="2:6">
      <c r="B1133" s="100" t="s">
        <v>62</v>
      </c>
      <c r="C1133" s="163" t="s">
        <v>131</v>
      </c>
      <c r="D1133" s="164">
        <v>1.3</v>
      </c>
      <c r="E1133" s="169">
        <v>31.388999999999999</v>
      </c>
      <c r="F1133" s="128">
        <f t="shared" si="25"/>
        <v>3.5645824343046625E-2</v>
      </c>
    </row>
    <row r="1134" spans="2:6" ht="25.5">
      <c r="B1134" s="100" t="s">
        <v>47</v>
      </c>
      <c r="C1134" s="163" t="s">
        <v>46</v>
      </c>
      <c r="D1134" s="164">
        <v>1.05</v>
      </c>
      <c r="E1134" s="169">
        <v>0.27100000000000002</v>
      </c>
      <c r="F1134" s="128">
        <f t="shared" si="25"/>
        <v>3.0775170910081988E-4</v>
      </c>
    </row>
    <row r="1135" spans="2:6" ht="38.25">
      <c r="B1135" s="100" t="s">
        <v>52</v>
      </c>
      <c r="C1135" s="163" t="s">
        <v>53</v>
      </c>
      <c r="D1135" s="164">
        <v>5.5E-2</v>
      </c>
      <c r="E1135" s="169">
        <v>19.382999999999999</v>
      </c>
      <c r="F1135" s="128">
        <f t="shared" si="25"/>
        <v>2.201162869926639E-2</v>
      </c>
    </row>
    <row r="1136" spans="2:6" ht="38.25">
      <c r="B1136" s="100" t="s">
        <v>52</v>
      </c>
      <c r="C1136" s="163" t="s">
        <v>53</v>
      </c>
      <c r="D1136" s="164">
        <v>5.5E-2</v>
      </c>
      <c r="E1136" s="169">
        <v>570.83699999999999</v>
      </c>
      <c r="F1136" s="128">
        <f t="shared" si="25"/>
        <v>0.64825115264939004</v>
      </c>
    </row>
    <row r="1137" spans="2:6" ht="38.25">
      <c r="B1137" s="100" t="s">
        <v>52</v>
      </c>
      <c r="C1137" s="163" t="s">
        <v>53</v>
      </c>
      <c r="D1137" s="164">
        <v>5.5E-2</v>
      </c>
      <c r="E1137" s="169">
        <v>573.69200000000001</v>
      </c>
      <c r="F1137" s="128">
        <f t="shared" si="25"/>
        <v>0.65149333393899467</v>
      </c>
    </row>
    <row r="1138" spans="2:6" ht="38.25">
      <c r="B1138" s="100" t="s">
        <v>52</v>
      </c>
      <c r="C1138" s="163" t="s">
        <v>53</v>
      </c>
      <c r="D1138" s="164">
        <v>0.05</v>
      </c>
      <c r="E1138" s="169">
        <v>171.09700000000001</v>
      </c>
      <c r="F1138" s="128">
        <f t="shared" si="25"/>
        <v>0.19430034749823979</v>
      </c>
    </row>
    <row r="1139" spans="2:6" ht="38.25">
      <c r="B1139" s="100" t="s">
        <v>52</v>
      </c>
      <c r="C1139" s="163" t="s">
        <v>53</v>
      </c>
      <c r="D1139" s="164">
        <v>0.05</v>
      </c>
      <c r="E1139" s="169">
        <v>300.37099999999998</v>
      </c>
      <c r="F1139" s="128">
        <f t="shared" si="25"/>
        <v>0.34110586204547</v>
      </c>
    </row>
    <row r="1140" spans="2:6" ht="38.25">
      <c r="B1140" s="100" t="s">
        <v>52</v>
      </c>
      <c r="C1140" s="163" t="s">
        <v>53</v>
      </c>
      <c r="D1140" s="164">
        <v>5.5E-2</v>
      </c>
      <c r="E1140" s="169">
        <v>500.02199999999999</v>
      </c>
      <c r="F1140" s="128">
        <f t="shared" si="25"/>
        <v>0.56783256490040646</v>
      </c>
    </row>
    <row r="1141" spans="2:6" ht="38.25">
      <c r="B1141" s="100" t="s">
        <v>52</v>
      </c>
      <c r="C1141" s="163" t="s">
        <v>53</v>
      </c>
      <c r="D1141" s="164">
        <v>5.9499999999999997E-2</v>
      </c>
      <c r="E1141" s="169">
        <v>293.70999999999998</v>
      </c>
      <c r="F1141" s="128">
        <f t="shared" si="25"/>
        <v>0.33354152944650112</v>
      </c>
    </row>
    <row r="1142" spans="2:6" ht="38.25">
      <c r="B1142" s="100" t="s">
        <v>52</v>
      </c>
      <c r="C1142" s="163" t="s">
        <v>53</v>
      </c>
      <c r="D1142" s="164">
        <v>5.9499999999999997E-2</v>
      </c>
      <c r="E1142" s="169">
        <v>280.93900000000002</v>
      </c>
      <c r="F1142" s="128">
        <f t="shared" si="25"/>
        <v>0.31903858820322967</v>
      </c>
    </row>
    <row r="1143" spans="2:6">
      <c r="B1143" s="116" t="s">
        <v>33</v>
      </c>
      <c r="C1143" s="163"/>
      <c r="D1143" s="162"/>
      <c r="E1143" s="170">
        <f>SUM(E1115:E1142)</f>
        <v>24494.87</v>
      </c>
      <c r="F1143" s="171">
        <f>SUM(F1115:F1142)</f>
        <v>27.81674578118967</v>
      </c>
    </row>
    <row r="1144" spans="2:6">
      <c r="B1144" s="172" t="s">
        <v>54</v>
      </c>
      <c r="C1144" s="173"/>
      <c r="D1144" s="174"/>
      <c r="E1144" s="175">
        <f>E1143-C1082</f>
        <v>0</v>
      </c>
      <c r="F1144" s="171"/>
    </row>
    <row r="1145" spans="2:6">
      <c r="B1145" s="100"/>
      <c r="C1145" s="163"/>
      <c r="D1145" s="162"/>
      <c r="E1145" s="168"/>
      <c r="F1145" s="157"/>
    </row>
    <row r="1146" spans="2:6">
      <c r="B1146" s="116" t="s">
        <v>55</v>
      </c>
      <c r="C1146" s="163"/>
      <c r="D1146" s="162"/>
      <c r="E1146" s="168"/>
      <c r="F1146" s="157"/>
    </row>
    <row r="1147" spans="2:6" ht="25.5">
      <c r="B1147" s="100" t="s">
        <v>69</v>
      </c>
      <c r="C1147" s="163" t="s">
        <v>70</v>
      </c>
      <c r="D1147" s="164">
        <v>3.39E-2</v>
      </c>
      <c r="E1147" s="169">
        <v>53.401000000000003</v>
      </c>
      <c r="F1147" s="128">
        <f t="shared" ref="F1147:F1163" si="26">E1147*$J$1072</f>
        <v>6.0642985305139792E-2</v>
      </c>
    </row>
    <row r="1148" spans="2:6" ht="25.5">
      <c r="B1148" s="100" t="s">
        <v>69</v>
      </c>
      <c r="C1148" s="163" t="s">
        <v>70</v>
      </c>
      <c r="D1148" s="164">
        <v>5.6500000000000002E-2</v>
      </c>
      <c r="E1148" s="169">
        <v>100.964</v>
      </c>
      <c r="F1148" s="128">
        <f t="shared" si="26"/>
        <v>0.11465624929024051</v>
      </c>
    </row>
    <row r="1149" spans="2:6" ht="38.25">
      <c r="B1149" s="100" t="s">
        <v>85</v>
      </c>
      <c r="C1149" s="163" t="s">
        <v>86</v>
      </c>
      <c r="D1149" s="164">
        <v>6.9599999999999995E-2</v>
      </c>
      <c r="E1149" s="169">
        <v>15.061999999999999</v>
      </c>
      <c r="F1149" s="128">
        <f t="shared" si="26"/>
        <v>1.7104635581094277E-2</v>
      </c>
    </row>
    <row r="1150" spans="2:6" ht="38.25">
      <c r="B1150" s="100" t="s">
        <v>57</v>
      </c>
      <c r="C1150" s="163" t="s">
        <v>42</v>
      </c>
      <c r="D1150" s="164">
        <v>8.3400000000000002E-2</v>
      </c>
      <c r="E1150" s="169">
        <v>30000</v>
      </c>
      <c r="F1150" s="128">
        <f t="shared" si="26"/>
        <v>34.068454882009583</v>
      </c>
    </row>
    <row r="1151" spans="2:6" ht="38.25">
      <c r="B1151" s="100" t="s">
        <v>57</v>
      </c>
      <c r="C1151" s="163" t="s">
        <v>42</v>
      </c>
      <c r="D1151" s="164">
        <v>7.17E-2</v>
      </c>
      <c r="E1151" s="169">
        <v>90000</v>
      </c>
      <c r="F1151" s="128">
        <f t="shared" si="26"/>
        <v>102.20536464602874</v>
      </c>
    </row>
    <row r="1152" spans="2:6" ht="38.25">
      <c r="B1152" s="100" t="s">
        <v>41</v>
      </c>
      <c r="C1152" s="163" t="s">
        <v>42</v>
      </c>
      <c r="D1152" s="164">
        <v>8.6999999999999994E-2</v>
      </c>
      <c r="E1152" s="169">
        <v>2000</v>
      </c>
      <c r="F1152" s="128">
        <f t="shared" si="26"/>
        <v>2.2712303254673052</v>
      </c>
    </row>
    <row r="1153" spans="2:6" ht="38.25">
      <c r="B1153" s="100" t="s">
        <v>41</v>
      </c>
      <c r="C1153" s="163" t="s">
        <v>42</v>
      </c>
      <c r="D1153" s="164">
        <v>8.5800000000000001E-2</v>
      </c>
      <c r="E1153" s="169">
        <v>2000</v>
      </c>
      <c r="F1153" s="128">
        <f t="shared" si="26"/>
        <v>2.2712303254673052</v>
      </c>
    </row>
    <row r="1154" spans="2:6" ht="38.25">
      <c r="B1154" s="100" t="s">
        <v>41</v>
      </c>
      <c r="C1154" s="163" t="s">
        <v>42</v>
      </c>
      <c r="D1154" s="164">
        <v>8.0399999999999999E-2</v>
      </c>
      <c r="E1154" s="169">
        <v>1000</v>
      </c>
      <c r="F1154" s="128">
        <f t="shared" si="26"/>
        <v>1.1356151627336526</v>
      </c>
    </row>
    <row r="1155" spans="2:6" ht="38.25">
      <c r="B1155" s="100" t="s">
        <v>41</v>
      </c>
      <c r="C1155" s="163" t="s">
        <v>42</v>
      </c>
      <c r="D1155" s="164">
        <v>8.5999999999999993E-2</v>
      </c>
      <c r="E1155" s="169">
        <v>6726.3339999999998</v>
      </c>
      <c r="F1155" s="128">
        <f t="shared" si="26"/>
        <v>7.6385268800109012</v>
      </c>
    </row>
    <row r="1156" spans="2:6" ht="38.25">
      <c r="B1156" s="100" t="s">
        <v>41</v>
      </c>
      <c r="C1156" s="163" t="s">
        <v>42</v>
      </c>
      <c r="D1156" s="164">
        <v>0.08</v>
      </c>
      <c r="E1156" s="169">
        <v>5967.7370000000001</v>
      </c>
      <c r="F1156" s="128">
        <f t="shared" si="26"/>
        <v>6.7770526244066405</v>
      </c>
    </row>
    <row r="1157" spans="2:6" ht="25.5">
      <c r="B1157" s="100" t="s">
        <v>41</v>
      </c>
      <c r="C1157" s="163" t="s">
        <v>117</v>
      </c>
      <c r="D1157" s="164">
        <v>3.95E-2</v>
      </c>
      <c r="E1157" s="169">
        <v>2994.2170000000001</v>
      </c>
      <c r="F1157" s="128">
        <f t="shared" si="26"/>
        <v>3.4002782257148696</v>
      </c>
    </row>
    <row r="1158" spans="2:6" ht="25.5">
      <c r="B1158" s="100" t="s">
        <v>41</v>
      </c>
      <c r="C1158" s="163" t="s">
        <v>117</v>
      </c>
      <c r="D1158" s="164">
        <v>3.4500000000000003E-2</v>
      </c>
      <c r="E1158" s="169">
        <v>1651.019</v>
      </c>
      <c r="F1158" s="128">
        <f t="shared" si="26"/>
        <v>1.8749222103613525</v>
      </c>
    </row>
    <row r="1159" spans="2:6" ht="38.25">
      <c r="B1159" s="100" t="s">
        <v>43</v>
      </c>
      <c r="C1159" s="163" t="s">
        <v>42</v>
      </c>
      <c r="D1159" s="164">
        <v>8.6599999999999996E-2</v>
      </c>
      <c r="E1159" s="169">
        <v>16000</v>
      </c>
      <c r="F1159" s="128">
        <f t="shared" si="26"/>
        <v>18.169842603738442</v>
      </c>
    </row>
    <row r="1160" spans="2:6" ht="38.25">
      <c r="B1160" s="100" t="s">
        <v>52</v>
      </c>
      <c r="C1160" s="163" t="s">
        <v>53</v>
      </c>
      <c r="D1160" s="164">
        <v>5.5E-2</v>
      </c>
      <c r="E1160" s="169">
        <v>1296.7760000000001</v>
      </c>
      <c r="F1160" s="128">
        <f t="shared" si="26"/>
        <v>1.4726384882690953</v>
      </c>
    </row>
    <row r="1161" spans="2:6" ht="38.25">
      <c r="B1161" s="100" t="s">
        <v>52</v>
      </c>
      <c r="C1161" s="163" t="s">
        <v>53</v>
      </c>
      <c r="D1161" s="164">
        <v>0.05</v>
      </c>
      <c r="E1161" s="169">
        <v>4187.509</v>
      </c>
      <c r="F1161" s="128">
        <f t="shared" si="26"/>
        <v>4.7553987144836354</v>
      </c>
    </row>
    <row r="1162" spans="2:6" ht="38.25">
      <c r="B1162" s="100" t="s">
        <v>52</v>
      </c>
      <c r="C1162" s="163" t="s">
        <v>53</v>
      </c>
      <c r="D1162" s="164">
        <v>0.05</v>
      </c>
      <c r="E1162" s="169">
        <v>8400.143</v>
      </c>
      <c r="F1162" s="128">
        <f t="shared" si="26"/>
        <v>9.5393297599309541</v>
      </c>
    </row>
    <row r="1163" spans="2:6" ht="38.25">
      <c r="B1163" s="100" t="s">
        <v>52</v>
      </c>
      <c r="C1163" s="163" t="s">
        <v>53</v>
      </c>
      <c r="D1163" s="164">
        <v>5.5E-2</v>
      </c>
      <c r="E1163" s="169">
        <v>1681.008</v>
      </c>
      <c r="F1163" s="128">
        <f t="shared" si="26"/>
        <v>1.9089781734765721</v>
      </c>
    </row>
    <row r="1164" spans="2:6">
      <c r="B1164" s="116" t="s">
        <v>33</v>
      </c>
      <c r="C1164" s="163"/>
      <c r="D1164" s="162"/>
      <c r="E1164" s="170">
        <f>SUM(E1147:E1163)</f>
        <v>174074.17</v>
      </c>
      <c r="F1164" s="171">
        <f>SUM(F1147:F1163)</f>
        <v>197.68126689227554</v>
      </c>
    </row>
    <row r="1165" spans="2:6" ht="15.75" thickBot="1">
      <c r="B1165" s="176" t="s">
        <v>54</v>
      </c>
      <c r="C1165" s="177"/>
      <c r="D1165" s="178"/>
      <c r="E1165" s="179">
        <f>E1164-C1078</f>
        <v>0</v>
      </c>
      <c r="F1165" s="107"/>
    </row>
    <row r="1167" spans="2:6" ht="15.75" thickBot="1"/>
    <row r="1168" spans="2:6" ht="15.75" thickBot="1">
      <c r="B1168" s="165" t="s">
        <v>56</v>
      </c>
      <c r="C1168" s="166"/>
      <c r="D1168" s="166"/>
      <c r="E1168" s="167"/>
      <c r="F1168" s="129"/>
    </row>
    <row r="1169" spans="2:6">
      <c r="B1169" s="161" t="s">
        <v>35</v>
      </c>
      <c r="C1169" s="160"/>
      <c r="D1169" s="160" t="s">
        <v>37</v>
      </c>
      <c r="E1169" s="160" t="s">
        <v>4</v>
      </c>
      <c r="F1169" s="159" t="s">
        <v>6</v>
      </c>
    </row>
    <row r="1170" spans="2:6">
      <c r="B1170" s="116" t="s">
        <v>38</v>
      </c>
      <c r="D1170" s="156"/>
      <c r="F1170" s="157"/>
    </row>
    <row r="1171" spans="2:6">
      <c r="B1171" s="100" t="s">
        <v>57</v>
      </c>
      <c r="C1171" s="163"/>
      <c r="D1171" s="164">
        <v>2.9000000000000001E-2</v>
      </c>
      <c r="E1171" s="169">
        <v>1240.9259999999999</v>
      </c>
      <c r="F1171" s="128">
        <f t="shared" ref="F1171:F1177" si="27">E1171*$J$1072</f>
        <v>1.4092143814304205</v>
      </c>
    </row>
    <row r="1172" spans="2:6">
      <c r="B1172" s="100" t="s">
        <v>99</v>
      </c>
      <c r="C1172" s="163"/>
      <c r="D1172" s="164">
        <v>1.2E-2</v>
      </c>
      <c r="E1172" s="169">
        <v>27856.761999999999</v>
      </c>
      <c r="F1172" s="128">
        <f t="shared" si="27"/>
        <v>31.63456131186263</v>
      </c>
    </row>
    <row r="1173" spans="2:6">
      <c r="B1173" s="100" t="s">
        <v>57</v>
      </c>
      <c r="C1173" s="163"/>
      <c r="D1173" s="164">
        <v>1.6E-2</v>
      </c>
      <c r="E1173" s="169">
        <v>357.50900000000001</v>
      </c>
      <c r="F1173" s="128">
        <f t="shared" si="27"/>
        <v>0.40599264121374545</v>
      </c>
    </row>
    <row r="1174" spans="2:6">
      <c r="B1174" s="100" t="s">
        <v>57</v>
      </c>
      <c r="C1174" s="163"/>
      <c r="D1174" s="164">
        <v>3.3500000000000002E-2</v>
      </c>
      <c r="E1174" s="169">
        <v>7053.1549999999997</v>
      </c>
      <c r="F1174" s="128">
        <f t="shared" si="27"/>
        <v>8.0096697631106757</v>
      </c>
    </row>
    <row r="1175" spans="2:6">
      <c r="B1175" s="100" t="s">
        <v>99</v>
      </c>
      <c r="C1175" s="163"/>
      <c r="D1175" s="164">
        <v>3.3500000000000002E-2</v>
      </c>
      <c r="E1175" s="169">
        <v>741.00900000000001</v>
      </c>
      <c r="F1175" s="128">
        <f t="shared" si="27"/>
        <v>0.84150105612210124</v>
      </c>
    </row>
    <row r="1176" spans="2:6">
      <c r="B1176" s="100" t="s">
        <v>57</v>
      </c>
      <c r="C1176" s="163"/>
      <c r="D1176" s="164">
        <v>2.7E-2</v>
      </c>
      <c r="E1176" s="169">
        <v>1110.1559999999999</v>
      </c>
      <c r="F1176" s="128">
        <f t="shared" si="27"/>
        <v>1.2607099865997409</v>
      </c>
    </row>
    <row r="1177" spans="2:6">
      <c r="B1177" s="100" t="s">
        <v>100</v>
      </c>
      <c r="C1177" s="163"/>
      <c r="D1177" s="164">
        <v>0.01</v>
      </c>
      <c r="E1177" s="169">
        <v>291.34199999999998</v>
      </c>
      <c r="F1177" s="128">
        <f t="shared" si="27"/>
        <v>0.3308523927411478</v>
      </c>
    </row>
    <row r="1178" spans="2:6">
      <c r="B1178" s="116" t="s">
        <v>33</v>
      </c>
      <c r="C1178" s="163"/>
      <c r="D1178" s="162"/>
      <c r="E1178" s="170">
        <f>SUM(E1171:E1177)</f>
        <v>38650.858999999997</v>
      </c>
      <c r="F1178" s="171">
        <f>SUM(F1171:F1177)</f>
        <v>43.892501533080456</v>
      </c>
    </row>
    <row r="1179" spans="2:6">
      <c r="B1179" s="172" t="s">
        <v>54</v>
      </c>
      <c r="C1179" s="173"/>
      <c r="D1179" s="174"/>
      <c r="E1179" s="175">
        <f>E1178-C1083</f>
        <v>0</v>
      </c>
      <c r="F1179" s="171"/>
    </row>
    <row r="1180" spans="2:6">
      <c r="B1180" s="100"/>
      <c r="C1180" s="163"/>
      <c r="D1180" s="162"/>
      <c r="E1180" s="168"/>
      <c r="F1180" s="157"/>
    </row>
    <row r="1181" spans="2:6">
      <c r="B1181" s="116" t="s">
        <v>55</v>
      </c>
      <c r="C1181" s="163"/>
      <c r="D1181" s="162"/>
      <c r="E1181" s="168"/>
      <c r="F1181" s="157"/>
    </row>
    <row r="1182" spans="2:6">
      <c r="B1182" s="100" t="s">
        <v>57</v>
      </c>
      <c r="C1182" s="163"/>
      <c r="D1182" s="164">
        <v>2.9000000000000001E-2</v>
      </c>
      <c r="E1182" s="169">
        <v>110476.569</v>
      </c>
      <c r="F1182" s="128">
        <f t="shared" ref="F1182:F1188" si="28">E1182*$J$1072</f>
        <v>125.45886688319061</v>
      </c>
    </row>
    <row r="1183" spans="2:6">
      <c r="B1183" s="100" t="s">
        <v>99</v>
      </c>
      <c r="C1183" s="163"/>
      <c r="D1183" s="164">
        <v>1.2E-2</v>
      </c>
      <c r="E1183" s="169">
        <v>69403.986000000004</v>
      </c>
      <c r="F1183" s="128">
        <f t="shared" si="28"/>
        <v>78.816218855754158</v>
      </c>
    </row>
    <row r="1184" spans="2:6">
      <c r="B1184" s="100" t="s">
        <v>57</v>
      </c>
      <c r="C1184" s="163"/>
      <c r="D1184" s="164">
        <v>1.6E-2</v>
      </c>
      <c r="E1184" s="169">
        <v>75029.099000000002</v>
      </c>
      <c r="F1184" s="128">
        <f t="shared" si="28"/>
        <v>85.204182470644341</v>
      </c>
    </row>
    <row r="1185" spans="1:10">
      <c r="B1185" s="100" t="s">
        <v>57</v>
      </c>
      <c r="C1185" s="163"/>
      <c r="D1185" s="164">
        <v>3.3500000000000002E-2</v>
      </c>
      <c r="E1185" s="169">
        <v>520409.08799999999</v>
      </c>
      <c r="F1185" s="128">
        <f t="shared" si="28"/>
        <v>590.98445115719176</v>
      </c>
    </row>
    <row r="1186" spans="1:10">
      <c r="B1186" s="100" t="s">
        <v>99</v>
      </c>
      <c r="C1186" s="163"/>
      <c r="D1186" s="164">
        <v>3.3500000000000002E-2</v>
      </c>
      <c r="E1186" s="169">
        <v>73792.994000000006</v>
      </c>
      <c r="F1186" s="128">
        <f t="shared" si="28"/>
        <v>83.800442889913469</v>
      </c>
    </row>
    <row r="1187" spans="1:10">
      <c r="B1187" s="100" t="s">
        <v>57</v>
      </c>
      <c r="C1187" s="163"/>
      <c r="D1187" s="164">
        <v>2.7E-2</v>
      </c>
      <c r="E1187" s="169">
        <v>146434.024</v>
      </c>
      <c r="F1187" s="128">
        <f t="shared" si="28"/>
        <v>166.29269799450361</v>
      </c>
    </row>
    <row r="1188" spans="1:10">
      <c r="B1188" s="100" t="s">
        <v>100</v>
      </c>
      <c r="C1188" s="163"/>
      <c r="D1188" s="164">
        <v>0.01</v>
      </c>
      <c r="E1188" s="169">
        <v>55292.728000000003</v>
      </c>
      <c r="F1188" s="128">
        <f t="shared" si="28"/>
        <v>62.791260305707596</v>
      </c>
    </row>
    <row r="1189" spans="1:10">
      <c r="B1189" s="116" t="s">
        <v>33</v>
      </c>
      <c r="C1189" s="163"/>
      <c r="D1189" s="162"/>
      <c r="E1189" s="170">
        <f>SUM(E1182:E1188)</f>
        <v>1050838.4879999999</v>
      </c>
      <c r="F1189" s="171">
        <f>SUM(F1182:F1188)</f>
        <v>1193.3481205569055</v>
      </c>
    </row>
    <row r="1190" spans="1:10" ht="15.75" thickBot="1">
      <c r="B1190" s="176" t="s">
        <v>54</v>
      </c>
      <c r="C1190" s="177"/>
      <c r="D1190" s="178"/>
      <c r="E1190" s="179">
        <f>E1189-C1079</f>
        <v>0</v>
      </c>
      <c r="F1190" s="107"/>
    </row>
    <row r="1192" spans="1:10">
      <c r="A1192" s="15" t="s">
        <v>132</v>
      </c>
      <c r="D1192" s="1"/>
      <c r="I1192" s="2" t="s">
        <v>133</v>
      </c>
      <c r="J1192" s="154">
        <f>Model!U$203</f>
        <v>1.1227124733355787E-3</v>
      </c>
    </row>
    <row r="1193" spans="1:10">
      <c r="D1193" s="1"/>
      <c r="I1193" s="2" t="s">
        <v>134</v>
      </c>
      <c r="J1193" s="154">
        <f>Model!U$204</f>
        <v>1.1930160099516383E-3</v>
      </c>
    </row>
    <row r="1194" spans="1:10" ht="15.75" thickBot="1">
      <c r="D1194" s="1"/>
      <c r="I1194" s="2"/>
      <c r="J1194" s="114"/>
    </row>
    <row r="1195" spans="1:10">
      <c r="B1195" s="115" t="s">
        <v>135</v>
      </c>
      <c r="C1195" s="104" t="s">
        <v>4</v>
      </c>
      <c r="D1195" s="104" t="s">
        <v>5</v>
      </c>
      <c r="E1195" s="104" t="s">
        <v>6</v>
      </c>
      <c r="F1195" s="105" t="s">
        <v>5</v>
      </c>
    </row>
    <row r="1196" spans="1:10">
      <c r="B1196" s="100"/>
      <c r="C1196" s="94"/>
      <c r="D1196" s="14"/>
      <c r="E1196" s="95"/>
      <c r="F1196" s="106"/>
    </row>
    <row r="1197" spans="1:10">
      <c r="B1197" s="116" t="s">
        <v>9</v>
      </c>
      <c r="C1197" s="96">
        <f>SUM(C1198:C1199)</f>
        <v>74400.471999999994</v>
      </c>
      <c r="D1197" s="14"/>
      <c r="E1197" s="97">
        <f>C1197*J1192</f>
        <v>83.530337936454472</v>
      </c>
      <c r="F1197" s="106"/>
    </row>
    <row r="1198" spans="1:10">
      <c r="B1198" s="100" t="s">
        <v>11</v>
      </c>
      <c r="C1198" s="52">
        <v>42191.826999999997</v>
      </c>
      <c r="D1198" s="14"/>
      <c r="E1198" s="95">
        <f>C1198*J1192</f>
        <v>47.36929044571685</v>
      </c>
      <c r="F1198" s="106"/>
    </row>
    <row r="1199" spans="1:10">
      <c r="B1199" s="100" t="s">
        <v>14</v>
      </c>
      <c r="C1199" s="52">
        <v>32208.645</v>
      </c>
      <c r="D1199" s="14"/>
      <c r="E1199" s="95">
        <f>C1199*J1192</f>
        <v>36.161047490737623</v>
      </c>
      <c r="F1199" s="106"/>
    </row>
    <row r="1200" spans="1:10">
      <c r="B1200" s="100"/>
      <c r="C1200" s="94"/>
      <c r="D1200" s="14"/>
      <c r="E1200" s="95"/>
      <c r="F1200" s="106"/>
    </row>
    <row r="1201" spans="2:6">
      <c r="B1201" s="116" t="s">
        <v>15</v>
      </c>
      <c r="C1201" s="96">
        <f>SUM(C1202:C1203)</f>
        <v>1242974.2619999999</v>
      </c>
      <c r="D1201" s="14"/>
      <c r="E1201" s="97">
        <f>C1201*J1192</f>
        <v>1395.5027079824856</v>
      </c>
      <c r="F1201" s="106"/>
    </row>
    <row r="1202" spans="2:6">
      <c r="B1202" s="100" t="s">
        <v>11</v>
      </c>
      <c r="C1202" s="52">
        <v>176150.291</v>
      </c>
      <c r="D1202" s="14"/>
      <c r="E1202" s="95">
        <f>C1202*J1192</f>
        <v>197.76612888739194</v>
      </c>
      <c r="F1202" s="106"/>
    </row>
    <row r="1203" spans="2:6">
      <c r="B1203" s="100" t="s">
        <v>14</v>
      </c>
      <c r="C1203" s="52">
        <v>1066823.9709999999</v>
      </c>
      <c r="D1203" s="14"/>
      <c r="E1203" s="95">
        <f>C1203*J1192</f>
        <v>1197.7365790950937</v>
      </c>
      <c r="F1203" s="106"/>
    </row>
    <row r="1204" spans="2:6">
      <c r="B1204" s="100"/>
      <c r="C1204" s="52"/>
      <c r="D1204" s="14"/>
      <c r="E1204" s="95"/>
      <c r="F1204" s="106"/>
    </row>
    <row r="1205" spans="2:6">
      <c r="B1205" s="122" t="s">
        <v>16</v>
      </c>
      <c r="C1205" s="96">
        <f>SUM(C1206:C1207)</f>
        <v>41716.225999999995</v>
      </c>
      <c r="D1205" s="14"/>
      <c r="E1205" s="96">
        <f>SUM(E1206:E1207)</f>
        <v>46.835327270685973</v>
      </c>
      <c r="F1205" s="106"/>
    </row>
    <row r="1206" spans="2:6">
      <c r="B1206" s="119" t="s">
        <v>17</v>
      </c>
      <c r="C1206" s="52">
        <f>Model!$U$111</f>
        <v>7402.5069999999996</v>
      </c>
      <c r="D1206" s="14"/>
      <c r="E1206" s="95">
        <f>C1206*J1192</f>
        <v>8.3108869428539354</v>
      </c>
      <c r="F1206" s="106"/>
    </row>
    <row r="1207" spans="2:6">
      <c r="B1207" s="119" t="s">
        <v>18</v>
      </c>
      <c r="C1207" s="52">
        <f>Model!$U$112</f>
        <v>34313.718999999997</v>
      </c>
      <c r="D1207" s="14"/>
      <c r="E1207" s="95">
        <f>C1207*J1192</f>
        <v>38.524440327832039</v>
      </c>
      <c r="F1207" s="106"/>
    </row>
    <row r="1208" spans="2:6">
      <c r="B1208" s="100"/>
      <c r="C1208" s="94"/>
      <c r="D1208" s="14"/>
      <c r="E1208" s="95"/>
      <c r="F1208" s="106"/>
    </row>
    <row r="1209" spans="2:6">
      <c r="B1209" s="117" t="s">
        <v>19</v>
      </c>
      <c r="C1209" s="11">
        <f>C1201+C1197+C1205</f>
        <v>1359090.96</v>
      </c>
      <c r="D1209" s="10">
        <f>C1209/C1214</f>
        <v>3.4708608060458879</v>
      </c>
      <c r="E1209" s="11">
        <f>E1201+E1197+E1205</f>
        <v>1525.868373189626</v>
      </c>
      <c r="F1209" s="118">
        <f>E1209/E1214</f>
        <v>3.2663255879669748</v>
      </c>
    </row>
    <row r="1210" spans="2:6">
      <c r="B1210" s="119" t="s">
        <v>20</v>
      </c>
      <c r="C1210" s="120">
        <f>Model!U$119</f>
        <v>626525.90099999995</v>
      </c>
      <c r="D1210" s="121"/>
      <c r="E1210" s="95">
        <f>C1210*J1192</f>
        <v>703.4084439205119</v>
      </c>
      <c r="F1210" s="106"/>
    </row>
    <row r="1211" spans="2:6">
      <c r="B1211" s="117" t="s">
        <v>21</v>
      </c>
      <c r="C1211" s="11">
        <f>C1209-C1210</f>
        <v>732565.05900000001</v>
      </c>
      <c r="D1211" s="10">
        <f>C1211/C1214</f>
        <v>1.8708323622149567</v>
      </c>
      <c r="E1211" s="11">
        <f>E1209-E1210</f>
        <v>822.45992926911413</v>
      </c>
      <c r="F1211" s="118">
        <f>E1211/E1214</f>
        <v>1.7605856175088064</v>
      </c>
    </row>
    <row r="1212" spans="2:6">
      <c r="B1212" s="122" t="s">
        <v>22</v>
      </c>
      <c r="C1212" s="9">
        <f>Model!U$123</f>
        <v>1463711.54</v>
      </c>
      <c r="D1212" s="8"/>
      <c r="E1212" s="97">
        <f>C1212*J1192</f>
        <v>1643.327203323229</v>
      </c>
      <c r="F1212" s="106"/>
    </row>
    <row r="1213" spans="2:6">
      <c r="B1213" s="122" t="s">
        <v>23</v>
      </c>
      <c r="C1213" s="9">
        <f>C1211+C1212</f>
        <v>2196276.5989999999</v>
      </c>
      <c r="D1213" s="8"/>
      <c r="E1213" s="9">
        <f>E1211+E1212</f>
        <v>2465.7871325923434</v>
      </c>
      <c r="F1213" s="106"/>
    </row>
    <row r="1214" spans="2:6" ht="15.75" thickBot="1">
      <c r="B1214" s="123" t="s">
        <v>24</v>
      </c>
      <c r="C1214" s="124">
        <f>Model!U$86</f>
        <v>391571.7269999999</v>
      </c>
      <c r="D1214" s="125"/>
      <c r="E1214" s="126">
        <f>C1214*J1193</f>
        <v>467.15133935541206</v>
      </c>
      <c r="F1214" s="107"/>
    </row>
    <row r="1215" spans="2:6">
      <c r="B1215" s="5" t="s">
        <v>25</v>
      </c>
      <c r="C1215" s="4">
        <f>+C1209-Model!U$118</f>
        <v>0</v>
      </c>
      <c r="D1215" s="3"/>
    </row>
    <row r="1216" spans="2:6">
      <c r="D1216" s="1"/>
    </row>
    <row r="1217" spans="2:6" ht="15.75" thickBot="1">
      <c r="B1217" s="2"/>
      <c r="C1217" s="98"/>
      <c r="D1217" s="1"/>
    </row>
    <row r="1218" spans="2:6">
      <c r="B1218" s="99" t="s">
        <v>136</v>
      </c>
      <c r="C1218" s="104" t="s">
        <v>4</v>
      </c>
      <c r="D1218" s="108"/>
      <c r="E1218" s="109" t="s">
        <v>6</v>
      </c>
    </row>
    <row r="1219" spans="2:6">
      <c r="B1219" s="101" t="s">
        <v>20</v>
      </c>
      <c r="C1219" s="110">
        <f>C1210</f>
        <v>626525.90099999995</v>
      </c>
      <c r="D1219" s="110"/>
      <c r="E1219" s="113">
        <f>E1210</f>
        <v>703.4084439205119</v>
      </c>
    </row>
    <row r="1220" spans="2:6">
      <c r="B1220" s="101"/>
      <c r="C1220" s="94"/>
      <c r="D1220" s="94"/>
      <c r="E1220" s="103"/>
    </row>
    <row r="1221" spans="2:6" ht="15.75" thickBot="1">
      <c r="B1221" s="102" t="s">
        <v>27</v>
      </c>
      <c r="C1221" s="111">
        <f>SUM(C1219:C1220)</f>
        <v>626525.90099999995</v>
      </c>
      <c r="D1221" s="111"/>
      <c r="E1221" s="112">
        <f>SUM(E1219:E1220)</f>
        <v>703.4084439205119</v>
      </c>
    </row>
    <row r="1222" spans="2:6" ht="15.75" thickBot="1">
      <c r="B1222" s="2"/>
      <c r="C1222" s="98"/>
      <c r="D1222" s="98"/>
      <c r="E1222" s="96"/>
    </row>
    <row r="1223" spans="2:6">
      <c r="B1223" s="99" t="s">
        <v>28</v>
      </c>
      <c r="C1223" s="104" t="s">
        <v>4</v>
      </c>
      <c r="D1223" s="127"/>
      <c r="E1223" s="129" t="s">
        <v>6</v>
      </c>
    </row>
    <row r="1224" spans="2:6">
      <c r="B1224" s="100">
        <v>2023</v>
      </c>
      <c r="C1224" s="130">
        <f>14742.264+17466.381</f>
        <v>32208.645</v>
      </c>
      <c r="D1224" s="1"/>
      <c r="E1224" s="128">
        <f>C1224*$J$1192</f>
        <v>36.161047490737623</v>
      </c>
    </row>
    <row r="1225" spans="2:6">
      <c r="B1225" s="100" t="s">
        <v>106</v>
      </c>
      <c r="C1225" s="130">
        <v>109701.84299999999</v>
      </c>
      <c r="D1225" s="1"/>
      <c r="E1225" s="128">
        <f>C1225*$J$1192</f>
        <v>123.16362748400134</v>
      </c>
    </row>
    <row r="1226" spans="2:6">
      <c r="B1226" s="100" t="s">
        <v>107</v>
      </c>
      <c r="C1226" s="130">
        <v>27859.210999999999</v>
      </c>
      <c r="D1226" s="1"/>
      <c r="E1226" s="128"/>
    </row>
    <row r="1227" spans="2:6">
      <c r="B1227" s="100" t="s">
        <v>32</v>
      </c>
      <c r="C1227" s="130">
        <v>929262.91700000002</v>
      </c>
      <c r="D1227" s="1"/>
      <c r="E1227" s="128"/>
    </row>
    <row r="1228" spans="2:6" ht="15.75" thickBot="1">
      <c r="B1228" s="102" t="s">
        <v>33</v>
      </c>
      <c r="C1228" s="131">
        <f>SUM(C1224:C1227)</f>
        <v>1099032.6159999999</v>
      </c>
      <c r="D1228" s="111"/>
      <c r="E1228" s="132">
        <f>SUM(E1224:E1227)</f>
        <v>159.32467497473897</v>
      </c>
    </row>
    <row r="1229" spans="2:6">
      <c r="B1229" s="5" t="s">
        <v>25</v>
      </c>
      <c r="C1229" s="4">
        <f>C1228-C1203-C1199</f>
        <v>0</v>
      </c>
      <c r="D1229" s="98"/>
      <c r="E1229" s="96"/>
    </row>
    <row r="1230" spans="2:6">
      <c r="D1230" s="1"/>
    </row>
    <row r="1231" spans="2:6" ht="15.75" thickBot="1">
      <c r="D1231" s="1"/>
    </row>
    <row r="1232" spans="2:6" ht="15.75" thickBot="1">
      <c r="B1232" s="165" t="s">
        <v>34</v>
      </c>
      <c r="C1232" s="166"/>
      <c r="D1232" s="166"/>
      <c r="E1232" s="167"/>
      <c r="F1232" s="129"/>
    </row>
    <row r="1233" spans="2:6">
      <c r="B1233" s="161" t="s">
        <v>35</v>
      </c>
      <c r="C1233" s="160" t="s">
        <v>36</v>
      </c>
      <c r="D1233" s="160" t="s">
        <v>37</v>
      </c>
      <c r="E1233" s="160" t="s">
        <v>4</v>
      </c>
      <c r="F1233" s="159" t="s">
        <v>6</v>
      </c>
    </row>
    <row r="1234" spans="2:6">
      <c r="B1234" s="116" t="s">
        <v>38</v>
      </c>
      <c r="D1234" s="156"/>
      <c r="F1234" s="157"/>
    </row>
    <row r="1235" spans="2:6" ht="25.5">
      <c r="B1235" s="100" t="s">
        <v>69</v>
      </c>
      <c r="C1235" s="163" t="s">
        <v>70</v>
      </c>
      <c r="D1235" s="164">
        <v>3.39E-2</v>
      </c>
      <c r="E1235" s="169">
        <v>7.6760000000000002</v>
      </c>
      <c r="F1235" s="128">
        <f>E1235*$J$1192</f>
        <v>8.6179409453239018E-3</v>
      </c>
    </row>
    <row r="1236" spans="2:6" ht="25.5">
      <c r="B1236" s="100" t="s">
        <v>69</v>
      </c>
      <c r="C1236" s="163" t="s">
        <v>70</v>
      </c>
      <c r="D1236" s="164">
        <v>5.6500000000000002E-2</v>
      </c>
      <c r="E1236" s="169">
        <v>11.335000000000001</v>
      </c>
      <c r="F1236" s="128">
        <f t="shared" ref="F1236:F1263" si="29">E1236*$J$1192</f>
        <v>1.2725945885258785E-2</v>
      </c>
    </row>
    <row r="1237" spans="2:6" ht="38.25">
      <c r="B1237" s="100" t="s">
        <v>85</v>
      </c>
      <c r="C1237" s="163" t="s">
        <v>86</v>
      </c>
      <c r="D1237" s="164">
        <v>6.9599999999999995E-2</v>
      </c>
      <c r="E1237" s="169">
        <v>27.925000000000001</v>
      </c>
      <c r="F1237" s="128">
        <f t="shared" si="29"/>
        <v>3.1351745817896036E-2</v>
      </c>
    </row>
    <row r="1238" spans="2:6" ht="38.25">
      <c r="B1238" s="100" t="s">
        <v>85</v>
      </c>
      <c r="C1238" s="163" t="s">
        <v>86</v>
      </c>
      <c r="D1238" s="164">
        <v>3.5000000000000003E-2</v>
      </c>
      <c r="E1238" s="169">
        <v>12.435</v>
      </c>
      <c r="F1238" s="128">
        <f t="shared" si="29"/>
        <v>1.3960929605927923E-2</v>
      </c>
    </row>
    <row r="1239" spans="2:6" ht="38.25">
      <c r="B1239" s="100" t="s">
        <v>57</v>
      </c>
      <c r="C1239" s="163" t="s">
        <v>42</v>
      </c>
      <c r="D1239" s="164">
        <v>0.10199999999999999</v>
      </c>
      <c r="E1239" s="169">
        <v>12.576000000000001</v>
      </c>
      <c r="F1239" s="128">
        <f t="shared" si="29"/>
        <v>1.4119232064668238E-2</v>
      </c>
    </row>
    <row r="1240" spans="2:6" ht="38.25">
      <c r="B1240" s="100" t="s">
        <v>57</v>
      </c>
      <c r="C1240" s="163" t="s">
        <v>42</v>
      </c>
      <c r="D1240" s="164">
        <v>7.17E-2</v>
      </c>
      <c r="E1240" s="169">
        <v>3172.7249999999999</v>
      </c>
      <c r="F1240" s="128">
        <f t="shared" si="29"/>
        <v>3.5620579319636239</v>
      </c>
    </row>
    <row r="1241" spans="2:6" ht="38.25">
      <c r="B1241" s="100" t="s">
        <v>57</v>
      </c>
      <c r="C1241" s="163" t="s">
        <v>42</v>
      </c>
      <c r="D1241" s="164">
        <v>8.3400000000000002E-2</v>
      </c>
      <c r="E1241" s="169">
        <v>1181.5</v>
      </c>
      <c r="F1241" s="128">
        <f t="shared" si="29"/>
        <v>1.3264847872459862</v>
      </c>
    </row>
    <row r="1242" spans="2:6" ht="38.25">
      <c r="B1242" s="100" t="s">
        <v>71</v>
      </c>
      <c r="C1242" s="163" t="s">
        <v>42</v>
      </c>
      <c r="D1242" s="164">
        <v>0.10199999999999999</v>
      </c>
      <c r="E1242" s="169">
        <v>5.1849999999999996</v>
      </c>
      <c r="F1242" s="128">
        <f t="shared" si="29"/>
        <v>5.8212641742449757E-3</v>
      </c>
    </row>
    <row r="1243" spans="2:6" ht="25.5">
      <c r="B1243" s="100" t="s">
        <v>71</v>
      </c>
      <c r="C1243" s="163" t="s">
        <v>70</v>
      </c>
      <c r="D1243" s="164">
        <v>5.9200000000000003E-2</v>
      </c>
      <c r="E1243" s="169">
        <v>24216.988000000001</v>
      </c>
      <c r="F1243" s="128">
        <f t="shared" si="29"/>
        <v>27.188714494218033</v>
      </c>
    </row>
    <row r="1244" spans="2:6" ht="38.25">
      <c r="B1244" s="100" t="s">
        <v>41</v>
      </c>
      <c r="C1244" s="163" t="s">
        <v>42</v>
      </c>
      <c r="D1244" s="164">
        <v>8.6999999999999994E-2</v>
      </c>
      <c r="E1244" s="169">
        <v>35.283000000000001</v>
      </c>
      <c r="F1244" s="128">
        <f t="shared" si="29"/>
        <v>3.9612664196699225E-2</v>
      </c>
    </row>
    <row r="1245" spans="2:6" ht="38.25">
      <c r="B1245" s="100" t="s">
        <v>41</v>
      </c>
      <c r="C1245" s="163" t="s">
        <v>42</v>
      </c>
      <c r="D1245" s="164">
        <v>8.5800000000000001E-2</v>
      </c>
      <c r="E1245" s="169">
        <v>77.22</v>
      </c>
      <c r="F1245" s="128">
        <f t="shared" si="29"/>
        <v>8.6695857190973391E-2</v>
      </c>
    </row>
    <row r="1246" spans="2:6" ht="38.25">
      <c r="B1246" s="100" t="s">
        <v>41</v>
      </c>
      <c r="C1246" s="163" t="s">
        <v>42</v>
      </c>
      <c r="D1246" s="164">
        <v>8.0399999999999999E-2</v>
      </c>
      <c r="E1246" s="169">
        <v>37.073</v>
      </c>
      <c r="F1246" s="128">
        <f t="shared" si="29"/>
        <v>4.1622319523969914E-2</v>
      </c>
    </row>
    <row r="1247" spans="2:6" ht="38.25">
      <c r="B1247" s="100" t="s">
        <v>41</v>
      </c>
      <c r="C1247" s="163" t="s">
        <v>42</v>
      </c>
      <c r="D1247" s="164">
        <v>8.5999999999999993E-2</v>
      </c>
      <c r="E1247" s="169">
        <v>69.783000000000001</v>
      </c>
      <c r="F1247" s="128">
        <f t="shared" si="29"/>
        <v>7.8346244526776687E-2</v>
      </c>
    </row>
    <row r="1248" spans="2:6" ht="38.25">
      <c r="B1248" s="100" t="s">
        <v>41</v>
      </c>
      <c r="C1248" s="163" t="s">
        <v>42</v>
      </c>
      <c r="D1248" s="164">
        <v>0.08</v>
      </c>
      <c r="E1248" s="169">
        <v>178.33699999999999</v>
      </c>
      <c r="F1248" s="128">
        <f t="shared" si="29"/>
        <v>0.20022117435724709</v>
      </c>
    </row>
    <row r="1249" spans="2:6" ht="25.5">
      <c r="B1249" s="100" t="s">
        <v>41</v>
      </c>
      <c r="C1249" s="163" t="s">
        <v>117</v>
      </c>
      <c r="D1249" s="164">
        <v>3.95E-2</v>
      </c>
      <c r="E1249" s="169">
        <v>3.2919999999999998</v>
      </c>
      <c r="F1249" s="128">
        <f t="shared" si="29"/>
        <v>3.6959694622207251E-3</v>
      </c>
    </row>
    <row r="1250" spans="2:6" ht="25.5">
      <c r="B1250" s="100" t="s">
        <v>41</v>
      </c>
      <c r="C1250" s="163" t="s">
        <v>117</v>
      </c>
      <c r="D1250" s="164">
        <v>3.4500000000000003E-2</v>
      </c>
      <c r="E1250" s="169">
        <v>1689.08</v>
      </c>
      <c r="F1250" s="128">
        <f t="shared" si="29"/>
        <v>1.8963511844616592</v>
      </c>
    </row>
    <row r="1251" spans="2:6" ht="38.25">
      <c r="B1251" s="100" t="s">
        <v>43</v>
      </c>
      <c r="C1251" s="163" t="s">
        <v>42</v>
      </c>
      <c r="D1251" s="164">
        <v>8.6599999999999996E-2</v>
      </c>
      <c r="E1251" s="169">
        <v>250.29300000000001</v>
      </c>
      <c r="F1251" s="128">
        <f t="shared" si="29"/>
        <v>0.28100707308858203</v>
      </c>
    </row>
    <row r="1252" spans="2:6" ht="25.5">
      <c r="B1252" s="100" t="s">
        <v>62</v>
      </c>
      <c r="C1252" s="163" t="s">
        <v>46</v>
      </c>
      <c r="D1252" s="164">
        <v>1.1525000000000001</v>
      </c>
      <c r="E1252" s="169">
        <v>3506.1350000000002</v>
      </c>
      <c r="F1252" s="128">
        <f t="shared" si="29"/>
        <v>3.9363814976984397</v>
      </c>
    </row>
    <row r="1253" spans="2:6" ht="25.5">
      <c r="B1253" s="100" t="s">
        <v>62</v>
      </c>
      <c r="C1253" s="163" t="s">
        <v>46</v>
      </c>
      <c r="D1253" s="164">
        <v>1.1525000000000001</v>
      </c>
      <c r="E1253" s="169">
        <v>5359.6019999999999</v>
      </c>
      <c r="F1253" s="128">
        <f t="shared" si="29"/>
        <v>6.0172920175143139</v>
      </c>
    </row>
    <row r="1254" spans="2:6">
      <c r="B1254" s="100" t="s">
        <v>47</v>
      </c>
      <c r="C1254" s="163" t="s">
        <v>137</v>
      </c>
      <c r="D1254" s="164">
        <v>3.7499999999999999E-2</v>
      </c>
      <c r="E1254" s="169">
        <v>273.23500000000001</v>
      </c>
      <c r="F1254" s="128">
        <f t="shared" si="29"/>
        <v>0.30676434265184688</v>
      </c>
    </row>
    <row r="1255" spans="2:6">
      <c r="B1255" s="100" t="s">
        <v>47</v>
      </c>
      <c r="C1255" s="163" t="s">
        <v>137</v>
      </c>
      <c r="D1255" s="164">
        <v>5.5E-2</v>
      </c>
      <c r="E1255" s="169">
        <v>183.00700000000001</v>
      </c>
      <c r="F1255" s="128">
        <f t="shared" si="29"/>
        <v>0.20546424160772425</v>
      </c>
    </row>
    <row r="1256" spans="2:6" ht="38.25">
      <c r="B1256" s="100" t="s">
        <v>52</v>
      </c>
      <c r="C1256" s="163" t="s">
        <v>53</v>
      </c>
      <c r="D1256" s="164">
        <v>5.2999999999999999E-2</v>
      </c>
      <c r="E1256" s="169">
        <v>277.52100000000002</v>
      </c>
      <c r="F1256" s="128">
        <f t="shared" si="29"/>
        <v>0.31157628831256318</v>
      </c>
    </row>
    <row r="1257" spans="2:6" ht="38.25">
      <c r="B1257" s="100" t="s">
        <v>52</v>
      </c>
      <c r="C1257" s="163" t="s">
        <v>53</v>
      </c>
      <c r="D1257" s="164">
        <v>5.9499999999999997E-2</v>
      </c>
      <c r="E1257" s="169">
        <v>603.61699999999996</v>
      </c>
      <c r="F1257" s="128">
        <f t="shared" si="29"/>
        <v>0.677688335017402</v>
      </c>
    </row>
    <row r="1258" spans="2:6" ht="38.25">
      <c r="B1258" s="100" t="s">
        <v>52</v>
      </c>
      <c r="C1258" s="163" t="s">
        <v>53</v>
      </c>
      <c r="D1258" s="164">
        <v>5.2999999999999999E-2</v>
      </c>
      <c r="E1258" s="169">
        <v>275.911</v>
      </c>
      <c r="F1258" s="128">
        <f t="shared" si="29"/>
        <v>0.30976872123049287</v>
      </c>
    </row>
    <row r="1259" spans="2:6" ht="38.25">
      <c r="B1259" s="100" t="s">
        <v>52</v>
      </c>
      <c r="C1259" s="163" t="s">
        <v>53</v>
      </c>
      <c r="D1259" s="164">
        <v>0.05</v>
      </c>
      <c r="E1259" s="169">
        <v>79.766000000000005</v>
      </c>
      <c r="F1259" s="128">
        <f t="shared" si="29"/>
        <v>8.9554283148085778E-2</v>
      </c>
    </row>
    <row r="1260" spans="2:6" ht="38.25">
      <c r="B1260" s="100" t="s">
        <v>52</v>
      </c>
      <c r="C1260" s="163" t="s">
        <v>53</v>
      </c>
      <c r="D1260" s="164">
        <v>0.05</v>
      </c>
      <c r="E1260" s="169">
        <v>41.569000000000003</v>
      </c>
      <c r="F1260" s="128">
        <f t="shared" si="29"/>
        <v>4.6670034804086678E-2</v>
      </c>
    </row>
    <row r="1261" spans="2:6" ht="38.25">
      <c r="B1261" s="100" t="s">
        <v>52</v>
      </c>
      <c r="C1261" s="163" t="s">
        <v>53</v>
      </c>
      <c r="D1261" s="164">
        <v>5.5E-2</v>
      </c>
      <c r="E1261" s="169">
        <v>3.012</v>
      </c>
      <c r="F1261" s="128">
        <f t="shared" si="29"/>
        <v>3.381609969686763E-3</v>
      </c>
    </row>
    <row r="1262" spans="2:6" ht="38.25">
      <c r="B1262" s="100" t="s">
        <v>52</v>
      </c>
      <c r="C1262" s="163" t="s">
        <v>53</v>
      </c>
      <c r="D1262" s="164">
        <v>5.9499999999999997E-2</v>
      </c>
      <c r="E1262" s="169">
        <v>577.37300000000005</v>
      </c>
      <c r="F1262" s="128">
        <f t="shared" si="29"/>
        <v>0.64822386886718319</v>
      </c>
    </row>
    <row r="1263" spans="2:6" ht="38.25">
      <c r="B1263" s="100" t="s">
        <v>52</v>
      </c>
      <c r="C1263" s="163" t="s">
        <v>53</v>
      </c>
      <c r="D1263" s="164">
        <v>5.5E-2</v>
      </c>
      <c r="E1263" s="169">
        <v>22.373000000000001</v>
      </c>
      <c r="F1263" s="128">
        <f t="shared" si="29"/>
        <v>2.5118446165936906E-2</v>
      </c>
    </row>
    <row r="1264" spans="2:6">
      <c r="B1264" s="116" t="s">
        <v>33</v>
      </c>
      <c r="C1264" s="163"/>
      <c r="D1264" s="162"/>
      <c r="E1264" s="170">
        <f>SUM(E1235:E1263)</f>
        <v>42191.827000000005</v>
      </c>
      <c r="F1264" s="171">
        <f>SUM(F1235:F1263)</f>
        <v>47.369290445716835</v>
      </c>
    </row>
    <row r="1265" spans="2:6">
      <c r="B1265" s="172" t="s">
        <v>54</v>
      </c>
      <c r="C1265" s="173"/>
      <c r="D1265" s="174"/>
      <c r="E1265" s="175">
        <f>E1264-C1198</f>
        <v>0</v>
      </c>
      <c r="F1265" s="171"/>
    </row>
    <row r="1266" spans="2:6">
      <c r="B1266" s="100"/>
      <c r="C1266" s="163"/>
      <c r="D1266" s="162"/>
      <c r="E1266" s="168"/>
      <c r="F1266" s="157"/>
    </row>
    <row r="1267" spans="2:6">
      <c r="B1267" s="116" t="s">
        <v>55</v>
      </c>
      <c r="C1267" s="163"/>
      <c r="D1267" s="162"/>
      <c r="E1267" s="168"/>
      <c r="F1267" s="157"/>
    </row>
    <row r="1268" spans="2:6" ht="25.5">
      <c r="B1268" s="100" t="s">
        <v>69</v>
      </c>
      <c r="C1268" s="163" t="s">
        <v>70</v>
      </c>
      <c r="D1268" s="164">
        <v>3.39E-2</v>
      </c>
      <c r="E1268" s="169">
        <v>55.387999999999998</v>
      </c>
      <c r="F1268" s="128">
        <f t="shared" ref="F1268:F1284" si="30">E1268*$J$1192</f>
        <v>6.2184798473111036E-2</v>
      </c>
    </row>
    <row r="1269" spans="2:6" ht="25.5">
      <c r="B1269" s="100" t="s">
        <v>69</v>
      </c>
      <c r="C1269" s="163" t="s">
        <v>70</v>
      </c>
      <c r="D1269" s="164">
        <v>5.6500000000000002E-2</v>
      </c>
      <c r="E1269" s="169">
        <v>103.08799999999999</v>
      </c>
      <c r="F1269" s="128">
        <f t="shared" si="30"/>
        <v>0.11573818345121813</v>
      </c>
    </row>
    <row r="1270" spans="2:6" ht="38.25">
      <c r="B1270" s="100" t="s">
        <v>85</v>
      </c>
      <c r="C1270" s="163" t="s">
        <v>86</v>
      </c>
      <c r="D1270" s="164">
        <v>6.9599999999999995E-2</v>
      </c>
      <c r="E1270" s="169">
        <v>22.4</v>
      </c>
      <c r="F1270" s="128">
        <f t="shared" si="30"/>
        <v>2.5148759402716964E-2</v>
      </c>
    </row>
    <row r="1271" spans="2:6" ht="38.25">
      <c r="B1271" s="100" t="s">
        <v>57</v>
      </c>
      <c r="C1271" s="163" t="s">
        <v>42</v>
      </c>
      <c r="D1271" s="164">
        <v>8.3400000000000002E-2</v>
      </c>
      <c r="E1271" s="169">
        <v>30000</v>
      </c>
      <c r="F1271" s="128">
        <f t="shared" si="30"/>
        <v>33.68137420006736</v>
      </c>
    </row>
    <row r="1272" spans="2:6" ht="38.25">
      <c r="B1272" s="100" t="s">
        <v>57</v>
      </c>
      <c r="C1272" s="163" t="s">
        <v>42</v>
      </c>
      <c r="D1272" s="164">
        <v>7.17E-2</v>
      </c>
      <c r="E1272" s="169">
        <v>90000</v>
      </c>
      <c r="F1272" s="128">
        <f t="shared" si="30"/>
        <v>101.04412260020209</v>
      </c>
    </row>
    <row r="1273" spans="2:6" ht="38.25">
      <c r="B1273" s="100" t="s">
        <v>41</v>
      </c>
      <c r="C1273" s="163" t="s">
        <v>42</v>
      </c>
      <c r="D1273" s="164">
        <v>8.6999999999999994E-2</v>
      </c>
      <c r="E1273" s="169">
        <v>2000</v>
      </c>
      <c r="F1273" s="128">
        <f t="shared" si="30"/>
        <v>2.2454249466711573</v>
      </c>
    </row>
    <row r="1274" spans="2:6" ht="38.25">
      <c r="B1274" s="100" t="s">
        <v>41</v>
      </c>
      <c r="C1274" s="163" t="s">
        <v>42</v>
      </c>
      <c r="D1274" s="164">
        <v>8.5800000000000001E-2</v>
      </c>
      <c r="E1274" s="169">
        <v>2000</v>
      </c>
      <c r="F1274" s="128">
        <f t="shared" si="30"/>
        <v>2.2454249466711573</v>
      </c>
    </row>
    <row r="1275" spans="2:6" ht="38.25">
      <c r="B1275" s="100" t="s">
        <v>41</v>
      </c>
      <c r="C1275" s="163" t="s">
        <v>42</v>
      </c>
      <c r="D1275" s="164">
        <v>8.0399999999999999E-2</v>
      </c>
      <c r="E1275" s="169">
        <v>1000</v>
      </c>
      <c r="F1275" s="128">
        <f t="shared" si="30"/>
        <v>1.1227124733355787</v>
      </c>
    </row>
    <row r="1276" spans="2:6" ht="38.25">
      <c r="B1276" s="100" t="s">
        <v>41</v>
      </c>
      <c r="C1276" s="163" t="s">
        <v>42</v>
      </c>
      <c r="D1276" s="164">
        <v>8.5999999999999993E-2</v>
      </c>
      <c r="E1276" s="169">
        <v>6719.0959999999995</v>
      </c>
      <c r="F1276" s="128">
        <f t="shared" si="30"/>
        <v>7.5436128887391929</v>
      </c>
    </row>
    <row r="1277" spans="2:6" ht="38.25">
      <c r="B1277" s="100" t="s">
        <v>41</v>
      </c>
      <c r="C1277" s="163" t="s">
        <v>42</v>
      </c>
      <c r="D1277" s="164">
        <v>0.08</v>
      </c>
      <c r="E1277" s="169">
        <v>5965.32</v>
      </c>
      <c r="F1277" s="128">
        <f t="shared" si="30"/>
        <v>6.6973391714381938</v>
      </c>
    </row>
    <row r="1278" spans="2:6" ht="25.5">
      <c r="B1278" s="100" t="s">
        <v>41</v>
      </c>
      <c r="C1278" s="163" t="s">
        <v>117</v>
      </c>
      <c r="D1278" s="164">
        <v>3.95E-2</v>
      </c>
      <c r="E1278" s="169">
        <v>2991.21</v>
      </c>
      <c r="F1278" s="128">
        <f t="shared" si="30"/>
        <v>3.3582687773661166</v>
      </c>
    </row>
    <row r="1279" spans="2:6" ht="25.5">
      <c r="B1279" s="100" t="s">
        <v>41</v>
      </c>
      <c r="C1279" s="163" t="s">
        <v>117</v>
      </c>
      <c r="D1279" s="164">
        <v>3.4500000000000003E-2</v>
      </c>
      <c r="E1279" s="169">
        <v>2486.1660000000002</v>
      </c>
      <c r="F1279" s="128">
        <f t="shared" si="30"/>
        <v>2.7912495789828227</v>
      </c>
    </row>
    <row r="1280" spans="2:6" ht="38.25">
      <c r="B1280" s="100" t="s">
        <v>43</v>
      </c>
      <c r="C1280" s="163" t="s">
        <v>42</v>
      </c>
      <c r="D1280" s="164">
        <v>8.6599999999999996E-2</v>
      </c>
      <c r="E1280" s="169">
        <v>16000</v>
      </c>
      <c r="F1280" s="128">
        <f t="shared" si="30"/>
        <v>17.963399573369259</v>
      </c>
    </row>
    <row r="1281" spans="2:6" ht="38.25">
      <c r="B1281" s="100" t="s">
        <v>52</v>
      </c>
      <c r="C1281" s="163" t="s">
        <v>53</v>
      </c>
      <c r="D1281" s="164">
        <v>0.05</v>
      </c>
      <c r="E1281" s="169">
        <v>4413.6620000000003</v>
      </c>
      <c r="F1281" s="128">
        <f t="shared" si="30"/>
        <v>4.9552733804872577</v>
      </c>
    </row>
    <row r="1282" spans="2:6" ht="38.25">
      <c r="B1282" s="100" t="s">
        <v>52</v>
      </c>
      <c r="C1282" s="163" t="s">
        <v>53</v>
      </c>
      <c r="D1282" s="164">
        <v>0.05</v>
      </c>
      <c r="E1282" s="169">
        <v>8863.0310000000009</v>
      </c>
      <c r="F1282" s="128">
        <f t="shared" si="30"/>
        <v>9.9506354552599081</v>
      </c>
    </row>
    <row r="1283" spans="2:6" ht="38.25">
      <c r="B1283" s="100" t="s">
        <v>52</v>
      </c>
      <c r="C1283" s="163" t="s">
        <v>53</v>
      </c>
      <c r="D1283" s="164">
        <v>5.5E-2</v>
      </c>
      <c r="E1283" s="169">
        <v>2206.83</v>
      </c>
      <c r="F1283" s="128">
        <f t="shared" si="30"/>
        <v>2.4776355675311552</v>
      </c>
    </row>
    <row r="1284" spans="2:6" ht="38.25">
      <c r="B1284" s="100" t="s">
        <v>52</v>
      </c>
      <c r="C1284" s="163" t="s">
        <v>53</v>
      </c>
      <c r="D1284" s="164">
        <v>5.5E-2</v>
      </c>
      <c r="E1284" s="169">
        <v>1324.1</v>
      </c>
      <c r="F1284" s="128">
        <f t="shared" si="30"/>
        <v>1.4865835859436396</v>
      </c>
    </row>
    <row r="1285" spans="2:6">
      <c r="B1285" s="116" t="s">
        <v>33</v>
      </c>
      <c r="C1285" s="163"/>
      <c r="D1285" s="162"/>
      <c r="E1285" s="170">
        <f>SUM(E1268:E1284)</f>
        <v>176150.291</v>
      </c>
      <c r="F1285" s="171">
        <f>SUM(F1268:F1284)</f>
        <v>197.76612888739194</v>
      </c>
    </row>
    <row r="1286" spans="2:6" ht="15.75" thickBot="1">
      <c r="B1286" s="176" t="s">
        <v>54</v>
      </c>
      <c r="C1286" s="177"/>
      <c r="D1286" s="178"/>
      <c r="E1286" s="179">
        <f>E1285-C1202</f>
        <v>0</v>
      </c>
      <c r="F1286" s="107"/>
    </row>
    <row r="1288" spans="2:6" ht="15.75" thickBot="1"/>
    <row r="1289" spans="2:6" ht="15.75" thickBot="1">
      <c r="B1289" s="165" t="s">
        <v>56</v>
      </c>
      <c r="C1289" s="166"/>
      <c r="D1289" s="166"/>
      <c r="E1289" s="167"/>
      <c r="F1289" s="129"/>
    </row>
    <row r="1290" spans="2:6">
      <c r="B1290" s="161" t="s">
        <v>35</v>
      </c>
      <c r="C1290" s="160"/>
      <c r="D1290" s="160" t="s">
        <v>37</v>
      </c>
      <c r="E1290" s="160" t="s">
        <v>4</v>
      </c>
      <c r="F1290" s="159" t="s">
        <v>6</v>
      </c>
    </row>
    <row r="1291" spans="2:6">
      <c r="B1291" s="116" t="s">
        <v>38</v>
      </c>
      <c r="D1291" s="156"/>
      <c r="F1291" s="157"/>
    </row>
    <row r="1292" spans="2:6">
      <c r="B1292" s="100" t="s">
        <v>57</v>
      </c>
      <c r="C1292" s="163"/>
      <c r="D1292" s="164">
        <v>2.9000000000000001E-2</v>
      </c>
      <c r="E1292" s="169">
        <v>439.31799999999998</v>
      </c>
      <c r="F1292" s="128">
        <f>E1292*$J$1192</f>
        <v>0.49322779836083974</v>
      </c>
    </row>
    <row r="1293" spans="2:6">
      <c r="B1293" s="100" t="s">
        <v>99</v>
      </c>
      <c r="C1293" s="163"/>
      <c r="D1293" s="164">
        <v>1.2E-2</v>
      </c>
      <c r="E1293" s="169">
        <v>27757.02</v>
      </c>
      <c r="F1293" s="128">
        <f t="shared" ref="F1293:F1298" si="31">E1293*$J$1192</f>
        <v>31.163152576625126</v>
      </c>
    </row>
    <row r="1294" spans="2:6">
      <c r="B1294" s="100" t="s">
        <v>57</v>
      </c>
      <c r="C1294" s="163"/>
      <c r="D1294" s="164">
        <v>1.6E-2</v>
      </c>
      <c r="E1294" s="169">
        <v>640.34100000000001</v>
      </c>
      <c r="F1294" s="128">
        <f t="shared" si="31"/>
        <v>0.71891882788817785</v>
      </c>
    </row>
    <row r="1295" spans="2:6">
      <c r="B1295" s="100" t="s">
        <v>57</v>
      </c>
      <c r="C1295" s="163"/>
      <c r="D1295" s="164">
        <v>3.3500000000000002E-2</v>
      </c>
      <c r="E1295" s="169">
        <v>2701.3679999999999</v>
      </c>
      <c r="F1295" s="128">
        <f t="shared" si="31"/>
        <v>3.0328595486695855</v>
      </c>
    </row>
    <row r="1296" spans="2:6">
      <c r="B1296" s="100" t="s">
        <v>99</v>
      </c>
      <c r="C1296" s="163"/>
      <c r="D1296" s="164">
        <v>3.3500000000000002E-2</v>
      </c>
      <c r="E1296" s="169">
        <v>126.711</v>
      </c>
      <c r="F1296" s="128">
        <f t="shared" si="31"/>
        <v>0.14226002020882453</v>
      </c>
    </row>
    <row r="1297" spans="2:6">
      <c r="B1297" s="100" t="s">
        <v>57</v>
      </c>
      <c r="C1297" s="163"/>
      <c r="D1297" s="164">
        <v>2.7E-2</v>
      </c>
      <c r="E1297" s="169">
        <v>121.48099999999999</v>
      </c>
      <c r="F1297" s="128">
        <f t="shared" si="31"/>
        <v>0.13638823397327943</v>
      </c>
    </row>
    <row r="1298" spans="2:6">
      <c r="B1298" s="100" t="s">
        <v>100</v>
      </c>
      <c r="C1298" s="163"/>
      <c r="D1298" s="164">
        <v>0.01</v>
      </c>
      <c r="E1298" s="169">
        <v>422.40600000000001</v>
      </c>
      <c r="F1298" s="128">
        <f t="shared" si="31"/>
        <v>0.4742404850117885</v>
      </c>
    </row>
    <row r="1299" spans="2:6">
      <c r="B1299" s="116" t="s">
        <v>33</v>
      </c>
      <c r="C1299" s="163"/>
      <c r="D1299" s="162"/>
      <c r="E1299" s="170">
        <f>SUM(E1292:E1298)</f>
        <v>32208.644999999997</v>
      </c>
      <c r="F1299" s="171">
        <f>SUM(F1292:F1298)</f>
        <v>36.161047490737616</v>
      </c>
    </row>
    <row r="1300" spans="2:6">
      <c r="B1300" s="172" t="s">
        <v>54</v>
      </c>
      <c r="C1300" s="173"/>
      <c r="D1300" s="174"/>
      <c r="E1300" s="175">
        <f>E1299-C1199</f>
        <v>0</v>
      </c>
      <c r="F1300" s="171"/>
    </row>
    <row r="1301" spans="2:6">
      <c r="B1301" s="100"/>
      <c r="C1301" s="163"/>
      <c r="D1301" s="162"/>
      <c r="E1301" s="168"/>
      <c r="F1301" s="157"/>
    </row>
    <row r="1302" spans="2:6">
      <c r="B1302" s="116" t="s">
        <v>55</v>
      </c>
      <c r="C1302" s="163"/>
      <c r="D1302" s="162"/>
      <c r="E1302" s="168"/>
      <c r="F1302" s="157"/>
    </row>
    <row r="1303" spans="2:6">
      <c r="B1303" s="100" t="s">
        <v>57</v>
      </c>
      <c r="C1303" s="163"/>
      <c r="D1303" s="164">
        <v>2.9000000000000001E-2</v>
      </c>
      <c r="E1303" s="169">
        <v>108700.93</v>
      </c>
      <c r="F1303" s="128">
        <f>E1303*$J$1192</f>
        <v>122.0398899741776</v>
      </c>
    </row>
    <row r="1304" spans="2:6">
      <c r="B1304" s="100" t="s">
        <v>99</v>
      </c>
      <c r="C1304" s="163"/>
      <c r="D1304" s="164">
        <v>1.2E-2</v>
      </c>
      <c r="E1304" s="169">
        <v>81933.381999999998</v>
      </c>
      <c r="F1304" s="128">
        <f t="shared" ref="F1304:F1309" si="32">E1304*$J$1192</f>
        <v>91.987629953968778</v>
      </c>
    </row>
    <row r="1305" spans="2:6">
      <c r="B1305" s="100" t="s">
        <v>57</v>
      </c>
      <c r="C1305" s="163"/>
      <c r="D1305" s="164">
        <v>1.6E-2</v>
      </c>
      <c r="E1305" s="169">
        <v>73889.217999999993</v>
      </c>
      <c r="F1305" s="128">
        <f t="shared" si="32"/>
        <v>82.956346693611763</v>
      </c>
    </row>
    <row r="1306" spans="2:6">
      <c r="B1306" s="100" t="s">
        <v>57</v>
      </c>
      <c r="C1306" s="163"/>
      <c r="D1306" s="164">
        <v>3.3500000000000002E-2</v>
      </c>
      <c r="E1306" s="169">
        <v>531161.14599999995</v>
      </c>
      <c r="F1306" s="128">
        <f t="shared" si="32"/>
        <v>596.3412439654204</v>
      </c>
    </row>
    <row r="1307" spans="2:6">
      <c r="B1307" s="100" t="s">
        <v>99</v>
      </c>
      <c r="C1307" s="163"/>
      <c r="D1307" s="164">
        <v>3.3500000000000002E-2</v>
      </c>
      <c r="E1307" s="169">
        <v>72605.285999999993</v>
      </c>
      <c r="F1307" s="128">
        <f t="shared" si="32"/>
        <v>81.51486022229706</v>
      </c>
    </row>
    <row r="1308" spans="2:6">
      <c r="B1308" s="100" t="s">
        <v>57</v>
      </c>
      <c r="C1308" s="163"/>
      <c r="D1308" s="164">
        <v>2.7E-2</v>
      </c>
      <c r="E1308" s="169">
        <v>144068.35399999999</v>
      </c>
      <c r="F1308" s="128">
        <f t="shared" si="32"/>
        <v>161.74733804872571</v>
      </c>
    </row>
    <row r="1309" spans="2:6">
      <c r="B1309" s="100" t="s">
        <v>100</v>
      </c>
      <c r="C1309" s="163"/>
      <c r="D1309" s="164">
        <v>0.01</v>
      </c>
      <c r="E1309" s="169">
        <v>54465.654999999999</v>
      </c>
      <c r="F1309" s="128">
        <f t="shared" si="32"/>
        <v>61.149270236892328</v>
      </c>
    </row>
    <row r="1310" spans="2:6">
      <c r="B1310" s="116" t="s">
        <v>33</v>
      </c>
      <c r="C1310" s="163"/>
      <c r="D1310" s="162"/>
      <c r="E1310" s="170">
        <f>SUM(E1303:E1309)</f>
        <v>1066823.9709999999</v>
      </c>
      <c r="F1310" s="171">
        <f>SUM(F1303:F1309)</f>
        <v>1197.7365790950937</v>
      </c>
    </row>
    <row r="1311" spans="2:6" ht="15.75" thickBot="1">
      <c r="B1311" s="176" t="s">
        <v>54</v>
      </c>
      <c r="C1311" s="177"/>
      <c r="D1311" s="178"/>
      <c r="E1311" s="179">
        <f>E1310-C1203</f>
        <v>0</v>
      </c>
      <c r="F1311" s="107"/>
    </row>
  </sheetData>
  <pageMargins left="0.7" right="0.7" top="0.75" bottom="0.75" header="0.3" footer="0.3"/>
  <pageSetup orientation="portrait" horizontalDpi="90" verticalDpi="90" r:id="rId1"/>
  <headerFooter>
    <oddFooter>&amp;C_x000D_&amp;1#&amp;"Aptos"&amp;10&amp;K000000 Barings-Corporate</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H271"/>
  <sheetViews>
    <sheetView showGridLines="0" zoomScaleNormal="100" workbookViewId="0">
      <pane xSplit="2" ySplit="6" topLeftCell="C7" activePane="bottomRight" state="frozen"/>
      <selection pane="bottomRight" activeCell="AJ1" sqref="AJ1"/>
      <selection pane="bottomLeft" activeCell="I26" sqref="I26"/>
      <selection pane="topRight" activeCell="I26" sqref="I26"/>
    </sheetView>
  </sheetViews>
  <sheetFormatPr defaultColWidth="11.42578125" defaultRowHeight="12.75" outlineLevelCol="1"/>
  <cols>
    <col min="1" max="1" width="2.7109375" style="16" customWidth="1"/>
    <col min="2" max="2" width="50.7109375" style="16" customWidth="1"/>
    <col min="3" max="5" width="12.7109375" style="16" hidden="1" customWidth="1" outlineLevel="1"/>
    <col min="6" max="6" width="12.7109375" style="16" customWidth="1" collapsed="1"/>
    <col min="7" max="10" width="12.7109375" style="16" customWidth="1"/>
    <col min="11" max="14" width="12.7109375" style="16" hidden="1" customWidth="1" outlineLevel="1"/>
    <col min="15" max="15" width="12.7109375" style="16" hidden="1" customWidth="1" outlineLevel="1" collapsed="1"/>
    <col min="16" max="19" width="12.7109375" style="16" hidden="1" customWidth="1" outlineLevel="1"/>
    <col min="20" max="20" width="12.7109375" style="16" hidden="1" customWidth="1" outlineLevel="1" collapsed="1"/>
    <col min="21" max="25" width="12.7109375" style="16" hidden="1" customWidth="1" outlineLevel="1"/>
    <col min="26" max="26" width="12.7109375" style="16" customWidth="1" collapsed="1"/>
    <col min="27" max="35" width="12.7109375" style="16" customWidth="1"/>
    <col min="36" max="246" width="11.42578125" style="16"/>
    <col min="247" max="247" width="3.5703125" style="16" customWidth="1"/>
    <col min="248" max="248" width="13.28515625" style="16" customWidth="1"/>
    <col min="249" max="256" width="11.42578125" style="16" customWidth="1"/>
    <col min="257" max="257" width="9.7109375" style="16" bestFit="1" customWidth="1"/>
    <col min="258" max="261" width="0" style="16" hidden="1" customWidth="1"/>
    <col min="262" max="270" width="11.42578125" style="16" customWidth="1"/>
    <col min="271" max="502" width="11.42578125" style="16"/>
    <col min="503" max="503" width="3.5703125" style="16" customWidth="1"/>
    <col min="504" max="504" width="13.28515625" style="16" customWidth="1"/>
    <col min="505" max="512" width="11.42578125" style="16" customWidth="1"/>
    <col min="513" max="513" width="9.7109375" style="16" bestFit="1" customWidth="1"/>
    <col min="514" max="517" width="0" style="16" hidden="1" customWidth="1"/>
    <col min="518" max="526" width="11.42578125" style="16" customWidth="1"/>
    <col min="527" max="758" width="11.42578125" style="16"/>
    <col min="759" max="759" width="3.5703125" style="16" customWidth="1"/>
    <col min="760" max="760" width="13.28515625" style="16" customWidth="1"/>
    <col min="761" max="768" width="11.42578125" style="16" customWidth="1"/>
    <col min="769" max="769" width="9.7109375" style="16" bestFit="1" customWidth="1"/>
    <col min="770" max="773" width="0" style="16" hidden="1" customWidth="1"/>
    <col min="774" max="782" width="11.42578125" style="16" customWidth="1"/>
    <col min="783" max="1014" width="11.42578125" style="16"/>
    <col min="1015" max="1015" width="3.5703125" style="16" customWidth="1"/>
    <col min="1016" max="1016" width="13.28515625" style="16" customWidth="1"/>
    <col min="1017" max="1024" width="11.42578125" style="16" customWidth="1"/>
    <col min="1025" max="1025" width="9.7109375" style="16" bestFit="1" customWidth="1"/>
    <col min="1026" max="1029" width="0" style="16" hidden="1" customWidth="1"/>
    <col min="1030" max="1038" width="11.42578125" style="16" customWidth="1"/>
    <col min="1039" max="1270" width="11.42578125" style="16"/>
    <col min="1271" max="1271" width="3.5703125" style="16" customWidth="1"/>
    <col min="1272" max="1272" width="13.28515625" style="16" customWidth="1"/>
    <col min="1273" max="1280" width="11.42578125" style="16" customWidth="1"/>
    <col min="1281" max="1281" width="9.7109375" style="16" bestFit="1" customWidth="1"/>
    <col min="1282" max="1285" width="0" style="16" hidden="1" customWidth="1"/>
    <col min="1286" max="1294" width="11.42578125" style="16" customWidth="1"/>
    <col min="1295" max="1526" width="11.42578125" style="16"/>
    <col min="1527" max="1527" width="3.5703125" style="16" customWidth="1"/>
    <col min="1528" max="1528" width="13.28515625" style="16" customWidth="1"/>
    <col min="1529" max="1536" width="11.42578125" style="16" customWidth="1"/>
    <col min="1537" max="1537" width="9.7109375" style="16" bestFit="1" customWidth="1"/>
    <col min="1538" max="1541" width="0" style="16" hidden="1" customWidth="1"/>
    <col min="1542" max="1550" width="11.42578125" style="16" customWidth="1"/>
    <col min="1551" max="1782" width="11.42578125" style="16"/>
    <col min="1783" max="1783" width="3.5703125" style="16" customWidth="1"/>
    <col min="1784" max="1784" width="13.28515625" style="16" customWidth="1"/>
    <col min="1785" max="1792" width="11.42578125" style="16" customWidth="1"/>
    <col min="1793" max="1793" width="9.7109375" style="16" bestFit="1" customWidth="1"/>
    <col min="1794" max="1797" width="0" style="16" hidden="1" customWidth="1"/>
    <col min="1798" max="1806" width="11.42578125" style="16" customWidth="1"/>
    <col min="1807" max="2038" width="11.42578125" style="16"/>
    <col min="2039" max="2039" width="3.5703125" style="16" customWidth="1"/>
    <col min="2040" max="2040" width="13.28515625" style="16" customWidth="1"/>
    <col min="2041" max="2048" width="11.42578125" style="16" customWidth="1"/>
    <col min="2049" max="2049" width="9.7109375" style="16" bestFit="1" customWidth="1"/>
    <col min="2050" max="2053" width="0" style="16" hidden="1" customWidth="1"/>
    <col min="2054" max="2062" width="11.42578125" style="16" customWidth="1"/>
    <col min="2063" max="2294" width="11.42578125" style="16"/>
    <col min="2295" max="2295" width="3.5703125" style="16" customWidth="1"/>
    <col min="2296" max="2296" width="13.28515625" style="16" customWidth="1"/>
    <col min="2297" max="2304" width="11.42578125" style="16" customWidth="1"/>
    <col min="2305" max="2305" width="9.7109375" style="16" bestFit="1" customWidth="1"/>
    <col min="2306" max="2309" width="0" style="16" hidden="1" customWidth="1"/>
    <col min="2310" max="2318" width="11.42578125" style="16" customWidth="1"/>
    <col min="2319" max="2550" width="11.42578125" style="16"/>
    <col min="2551" max="2551" width="3.5703125" style="16" customWidth="1"/>
    <col min="2552" max="2552" width="13.28515625" style="16" customWidth="1"/>
    <col min="2553" max="2560" width="11.42578125" style="16" customWidth="1"/>
    <col min="2561" max="2561" width="9.7109375" style="16" bestFit="1" customWidth="1"/>
    <col min="2562" max="2565" width="0" style="16" hidden="1" customWidth="1"/>
    <col min="2566" max="2574" width="11.42578125" style="16" customWidth="1"/>
    <col min="2575" max="2806" width="11.42578125" style="16"/>
    <col min="2807" max="2807" width="3.5703125" style="16" customWidth="1"/>
    <col min="2808" max="2808" width="13.28515625" style="16" customWidth="1"/>
    <col min="2809" max="2816" width="11.42578125" style="16" customWidth="1"/>
    <col min="2817" max="2817" width="9.7109375" style="16" bestFit="1" customWidth="1"/>
    <col min="2818" max="2821" width="0" style="16" hidden="1" customWidth="1"/>
    <col min="2822" max="2830" width="11.42578125" style="16" customWidth="1"/>
    <col min="2831" max="3062" width="11.42578125" style="16"/>
    <col min="3063" max="3063" width="3.5703125" style="16" customWidth="1"/>
    <col min="3064" max="3064" width="13.28515625" style="16" customWidth="1"/>
    <col min="3065" max="3072" width="11.42578125" style="16" customWidth="1"/>
    <col min="3073" max="3073" width="9.7109375" style="16" bestFit="1" customWidth="1"/>
    <col min="3074" max="3077" width="0" style="16" hidden="1" customWidth="1"/>
    <col min="3078" max="3086" width="11.42578125" style="16" customWidth="1"/>
    <col min="3087" max="3318" width="11.42578125" style="16"/>
    <col min="3319" max="3319" width="3.5703125" style="16" customWidth="1"/>
    <col min="3320" max="3320" width="13.28515625" style="16" customWidth="1"/>
    <col min="3321" max="3328" width="11.42578125" style="16" customWidth="1"/>
    <col min="3329" max="3329" width="9.7109375" style="16" bestFit="1" customWidth="1"/>
    <col min="3330" max="3333" width="0" style="16" hidden="1" customWidth="1"/>
    <col min="3334" max="3342" width="11.42578125" style="16" customWidth="1"/>
    <col min="3343" max="3574" width="11.42578125" style="16"/>
    <col min="3575" max="3575" width="3.5703125" style="16" customWidth="1"/>
    <col min="3576" max="3576" width="13.28515625" style="16" customWidth="1"/>
    <col min="3577" max="3584" width="11.42578125" style="16" customWidth="1"/>
    <col min="3585" max="3585" width="9.7109375" style="16" bestFit="1" customWidth="1"/>
    <col min="3586" max="3589" width="0" style="16" hidden="1" customWidth="1"/>
    <col min="3590" max="3598" width="11.42578125" style="16" customWidth="1"/>
    <col min="3599" max="3830" width="11.42578125" style="16"/>
    <col min="3831" max="3831" width="3.5703125" style="16" customWidth="1"/>
    <col min="3832" max="3832" width="13.28515625" style="16" customWidth="1"/>
    <col min="3833" max="3840" width="11.42578125" style="16" customWidth="1"/>
    <col min="3841" max="3841" width="9.7109375" style="16" bestFit="1" customWidth="1"/>
    <col min="3842" max="3845" width="0" style="16" hidden="1" customWidth="1"/>
    <col min="3846" max="3854" width="11.42578125" style="16" customWidth="1"/>
    <col min="3855" max="4086" width="11.42578125" style="16"/>
    <col min="4087" max="4087" width="3.5703125" style="16" customWidth="1"/>
    <col min="4088" max="4088" width="13.28515625" style="16" customWidth="1"/>
    <col min="4089" max="4096" width="11.42578125" style="16" customWidth="1"/>
    <col min="4097" max="4097" width="9.7109375" style="16" bestFit="1" customWidth="1"/>
    <col min="4098" max="4101" width="0" style="16" hidden="1" customWidth="1"/>
    <col min="4102" max="4110" width="11.42578125" style="16" customWidth="1"/>
    <col min="4111" max="4342" width="11.42578125" style="16"/>
    <col min="4343" max="4343" width="3.5703125" style="16" customWidth="1"/>
    <col min="4344" max="4344" width="13.28515625" style="16" customWidth="1"/>
    <col min="4345" max="4352" width="11.42578125" style="16" customWidth="1"/>
    <col min="4353" max="4353" width="9.7109375" style="16" bestFit="1" customWidth="1"/>
    <col min="4354" max="4357" width="0" style="16" hidden="1" customWidth="1"/>
    <col min="4358" max="4366" width="11.42578125" style="16" customWidth="1"/>
    <col min="4367" max="4598" width="11.42578125" style="16"/>
    <col min="4599" max="4599" width="3.5703125" style="16" customWidth="1"/>
    <col min="4600" max="4600" width="13.28515625" style="16" customWidth="1"/>
    <col min="4601" max="4608" width="11.42578125" style="16" customWidth="1"/>
    <col min="4609" max="4609" width="9.7109375" style="16" bestFit="1" customWidth="1"/>
    <col min="4610" max="4613" width="0" style="16" hidden="1" customWidth="1"/>
    <col min="4614" max="4622" width="11.42578125" style="16" customWidth="1"/>
    <col min="4623" max="4854" width="11.42578125" style="16"/>
    <col min="4855" max="4855" width="3.5703125" style="16" customWidth="1"/>
    <col min="4856" max="4856" width="13.28515625" style="16" customWidth="1"/>
    <col min="4857" max="4864" width="11.42578125" style="16" customWidth="1"/>
    <col min="4865" max="4865" width="9.7109375" style="16" bestFit="1" customWidth="1"/>
    <col min="4866" max="4869" width="0" style="16" hidden="1" customWidth="1"/>
    <col min="4870" max="4878" width="11.42578125" style="16" customWidth="1"/>
    <col min="4879" max="5110" width="11.42578125" style="16"/>
    <col min="5111" max="5111" width="3.5703125" style="16" customWidth="1"/>
    <col min="5112" max="5112" width="13.28515625" style="16" customWidth="1"/>
    <col min="5113" max="5120" width="11.42578125" style="16" customWidth="1"/>
    <col min="5121" max="5121" width="9.7109375" style="16" bestFit="1" customWidth="1"/>
    <col min="5122" max="5125" width="0" style="16" hidden="1" customWidth="1"/>
    <col min="5126" max="5134" width="11.42578125" style="16" customWidth="1"/>
    <col min="5135" max="5366" width="11.42578125" style="16"/>
    <col min="5367" max="5367" width="3.5703125" style="16" customWidth="1"/>
    <col min="5368" max="5368" width="13.28515625" style="16" customWidth="1"/>
    <col min="5369" max="5376" width="11.42578125" style="16" customWidth="1"/>
    <col min="5377" max="5377" width="9.7109375" style="16" bestFit="1" customWidth="1"/>
    <col min="5378" max="5381" width="0" style="16" hidden="1" customWidth="1"/>
    <col min="5382" max="5390" width="11.42578125" style="16" customWidth="1"/>
    <col min="5391" max="5622" width="11.42578125" style="16"/>
    <col min="5623" max="5623" width="3.5703125" style="16" customWidth="1"/>
    <col min="5624" max="5624" width="13.28515625" style="16" customWidth="1"/>
    <col min="5625" max="5632" width="11.42578125" style="16" customWidth="1"/>
    <col min="5633" max="5633" width="9.7109375" style="16" bestFit="1" customWidth="1"/>
    <col min="5634" max="5637" width="0" style="16" hidden="1" customWidth="1"/>
    <col min="5638" max="5646" width="11.42578125" style="16" customWidth="1"/>
    <col min="5647" max="5878" width="11.42578125" style="16"/>
    <col min="5879" max="5879" width="3.5703125" style="16" customWidth="1"/>
    <col min="5880" max="5880" width="13.28515625" style="16" customWidth="1"/>
    <col min="5881" max="5888" width="11.42578125" style="16" customWidth="1"/>
    <col min="5889" max="5889" width="9.7109375" style="16" bestFit="1" customWidth="1"/>
    <col min="5890" max="5893" width="0" style="16" hidden="1" customWidth="1"/>
    <col min="5894" max="5902" width="11.42578125" style="16" customWidth="1"/>
    <col min="5903" max="6134" width="11.42578125" style="16"/>
    <col min="6135" max="6135" width="3.5703125" style="16" customWidth="1"/>
    <col min="6136" max="6136" width="13.28515625" style="16" customWidth="1"/>
    <col min="6137" max="6144" width="11.42578125" style="16" customWidth="1"/>
    <col min="6145" max="6145" width="9.7109375" style="16" bestFit="1" customWidth="1"/>
    <col min="6146" max="6149" width="0" style="16" hidden="1" customWidth="1"/>
    <col min="6150" max="6158" width="11.42578125" style="16" customWidth="1"/>
    <col min="6159" max="6390" width="11.42578125" style="16"/>
    <col min="6391" max="6391" width="3.5703125" style="16" customWidth="1"/>
    <col min="6392" max="6392" width="13.28515625" style="16" customWidth="1"/>
    <col min="6393" max="6400" width="11.42578125" style="16" customWidth="1"/>
    <col min="6401" max="6401" width="9.7109375" style="16" bestFit="1" customWidth="1"/>
    <col min="6402" max="6405" width="0" style="16" hidden="1" customWidth="1"/>
    <col min="6406" max="6414" width="11.42578125" style="16" customWidth="1"/>
    <col min="6415" max="6646" width="11.42578125" style="16"/>
    <col min="6647" max="6647" width="3.5703125" style="16" customWidth="1"/>
    <col min="6648" max="6648" width="13.28515625" style="16" customWidth="1"/>
    <col min="6649" max="6656" width="11.42578125" style="16" customWidth="1"/>
    <col min="6657" max="6657" width="9.7109375" style="16" bestFit="1" customWidth="1"/>
    <col min="6658" max="6661" width="0" style="16" hidden="1" customWidth="1"/>
    <col min="6662" max="6670" width="11.42578125" style="16" customWidth="1"/>
    <col min="6671" max="6902" width="11.42578125" style="16"/>
    <col min="6903" max="6903" width="3.5703125" style="16" customWidth="1"/>
    <col min="6904" max="6904" width="13.28515625" style="16" customWidth="1"/>
    <col min="6905" max="6912" width="11.42578125" style="16" customWidth="1"/>
    <col min="6913" max="6913" width="9.7109375" style="16" bestFit="1" customWidth="1"/>
    <col min="6914" max="6917" width="0" style="16" hidden="1" customWidth="1"/>
    <col min="6918" max="6926" width="11.42578125" style="16" customWidth="1"/>
    <col min="6927" max="7158" width="11.42578125" style="16"/>
    <col min="7159" max="7159" width="3.5703125" style="16" customWidth="1"/>
    <col min="7160" max="7160" width="13.28515625" style="16" customWidth="1"/>
    <col min="7161" max="7168" width="11.42578125" style="16" customWidth="1"/>
    <col min="7169" max="7169" width="9.7109375" style="16" bestFit="1" customWidth="1"/>
    <col min="7170" max="7173" width="0" style="16" hidden="1" customWidth="1"/>
    <col min="7174" max="7182" width="11.42578125" style="16" customWidth="1"/>
    <col min="7183" max="7414" width="11.42578125" style="16"/>
    <col min="7415" max="7415" width="3.5703125" style="16" customWidth="1"/>
    <col min="7416" max="7416" width="13.28515625" style="16" customWidth="1"/>
    <col min="7417" max="7424" width="11.42578125" style="16" customWidth="1"/>
    <col min="7425" max="7425" width="9.7109375" style="16" bestFit="1" customWidth="1"/>
    <col min="7426" max="7429" width="0" style="16" hidden="1" customWidth="1"/>
    <col min="7430" max="7438" width="11.42578125" style="16" customWidth="1"/>
    <col min="7439" max="7670" width="11.42578125" style="16"/>
    <col min="7671" max="7671" width="3.5703125" style="16" customWidth="1"/>
    <col min="7672" max="7672" width="13.28515625" style="16" customWidth="1"/>
    <col min="7673" max="7680" width="11.42578125" style="16" customWidth="1"/>
    <col min="7681" max="7681" width="9.7109375" style="16" bestFit="1" customWidth="1"/>
    <col min="7682" max="7685" width="0" style="16" hidden="1" customWidth="1"/>
    <col min="7686" max="7694" width="11.42578125" style="16" customWidth="1"/>
    <col min="7695" max="7926" width="11.42578125" style="16"/>
    <col min="7927" max="7927" width="3.5703125" style="16" customWidth="1"/>
    <col min="7928" max="7928" width="13.28515625" style="16" customWidth="1"/>
    <col min="7929" max="7936" width="11.42578125" style="16" customWidth="1"/>
    <col min="7937" max="7937" width="9.7109375" style="16" bestFit="1" customWidth="1"/>
    <col min="7938" max="7941" width="0" style="16" hidden="1" customWidth="1"/>
    <col min="7942" max="7950" width="11.42578125" style="16" customWidth="1"/>
    <col min="7951" max="8182" width="11.42578125" style="16"/>
    <col min="8183" max="8183" width="3.5703125" style="16" customWidth="1"/>
    <col min="8184" max="8184" width="13.28515625" style="16" customWidth="1"/>
    <col min="8185" max="8192" width="11.42578125" style="16" customWidth="1"/>
    <col min="8193" max="8193" width="9.7109375" style="16" bestFit="1" customWidth="1"/>
    <col min="8194" max="8197" width="0" style="16" hidden="1" customWidth="1"/>
    <col min="8198" max="8206" width="11.42578125" style="16" customWidth="1"/>
    <col min="8207" max="8438" width="11.42578125" style="16"/>
    <col min="8439" max="8439" width="3.5703125" style="16" customWidth="1"/>
    <col min="8440" max="8440" width="13.28515625" style="16" customWidth="1"/>
    <col min="8441" max="8448" width="11.42578125" style="16" customWidth="1"/>
    <col min="8449" max="8449" width="9.7109375" style="16" bestFit="1" customWidth="1"/>
    <col min="8450" max="8453" width="0" style="16" hidden="1" customWidth="1"/>
    <col min="8454" max="8462" width="11.42578125" style="16" customWidth="1"/>
    <col min="8463" max="8694" width="11.42578125" style="16"/>
    <col min="8695" max="8695" width="3.5703125" style="16" customWidth="1"/>
    <col min="8696" max="8696" width="13.28515625" style="16" customWidth="1"/>
    <col min="8697" max="8704" width="11.42578125" style="16" customWidth="1"/>
    <col min="8705" max="8705" width="9.7109375" style="16" bestFit="1" customWidth="1"/>
    <col min="8706" max="8709" width="0" style="16" hidden="1" customWidth="1"/>
    <col min="8710" max="8718" width="11.42578125" style="16" customWidth="1"/>
    <col min="8719" max="8950" width="11.42578125" style="16"/>
    <col min="8951" max="8951" width="3.5703125" style="16" customWidth="1"/>
    <col min="8952" max="8952" width="13.28515625" style="16" customWidth="1"/>
    <col min="8953" max="8960" width="11.42578125" style="16" customWidth="1"/>
    <col min="8961" max="8961" width="9.7109375" style="16" bestFit="1" customWidth="1"/>
    <col min="8962" max="8965" width="0" style="16" hidden="1" customWidth="1"/>
    <col min="8966" max="8974" width="11.42578125" style="16" customWidth="1"/>
    <col min="8975" max="9206" width="11.42578125" style="16"/>
    <col min="9207" max="9207" width="3.5703125" style="16" customWidth="1"/>
    <col min="9208" max="9208" width="13.28515625" style="16" customWidth="1"/>
    <col min="9209" max="9216" width="11.42578125" style="16" customWidth="1"/>
    <col min="9217" max="9217" width="9.7109375" style="16" bestFit="1" customWidth="1"/>
    <col min="9218" max="9221" width="0" style="16" hidden="1" customWidth="1"/>
    <col min="9222" max="9230" width="11.42578125" style="16" customWidth="1"/>
    <col min="9231" max="9462" width="11.42578125" style="16"/>
    <col min="9463" max="9463" width="3.5703125" style="16" customWidth="1"/>
    <col min="9464" max="9464" width="13.28515625" style="16" customWidth="1"/>
    <col min="9465" max="9472" width="11.42578125" style="16" customWidth="1"/>
    <col min="9473" max="9473" width="9.7109375" style="16" bestFit="1" customWidth="1"/>
    <col min="9474" max="9477" width="0" style="16" hidden="1" customWidth="1"/>
    <col min="9478" max="9486" width="11.42578125" style="16" customWidth="1"/>
    <col min="9487" max="9718" width="11.42578125" style="16"/>
    <col min="9719" max="9719" width="3.5703125" style="16" customWidth="1"/>
    <col min="9720" max="9720" width="13.28515625" style="16" customWidth="1"/>
    <col min="9721" max="9728" width="11.42578125" style="16" customWidth="1"/>
    <col min="9729" max="9729" width="9.7109375" style="16" bestFit="1" customWidth="1"/>
    <col min="9730" max="9733" width="0" style="16" hidden="1" customWidth="1"/>
    <col min="9734" max="9742" width="11.42578125" style="16" customWidth="1"/>
    <col min="9743" max="9974" width="11.42578125" style="16"/>
    <col min="9975" max="9975" width="3.5703125" style="16" customWidth="1"/>
    <col min="9976" max="9976" width="13.28515625" style="16" customWidth="1"/>
    <col min="9977" max="9984" width="11.42578125" style="16" customWidth="1"/>
    <col min="9985" max="9985" width="9.7109375" style="16" bestFit="1" customWidth="1"/>
    <col min="9986" max="9989" width="0" style="16" hidden="1" customWidth="1"/>
    <col min="9990" max="9998" width="11.42578125" style="16" customWidth="1"/>
    <col min="9999" max="10230" width="11.42578125" style="16"/>
    <col min="10231" max="10231" width="3.5703125" style="16" customWidth="1"/>
    <col min="10232" max="10232" width="13.28515625" style="16" customWidth="1"/>
    <col min="10233" max="10240" width="11.42578125" style="16" customWidth="1"/>
    <col min="10241" max="10241" width="9.7109375" style="16" bestFit="1" customWidth="1"/>
    <col min="10242" max="10245" width="0" style="16" hidden="1" customWidth="1"/>
    <col min="10246" max="10254" width="11.42578125" style="16" customWidth="1"/>
    <col min="10255" max="10486" width="11.42578125" style="16"/>
    <col min="10487" max="10487" width="3.5703125" style="16" customWidth="1"/>
    <col min="10488" max="10488" width="13.28515625" style="16" customWidth="1"/>
    <col min="10489" max="10496" width="11.42578125" style="16" customWidth="1"/>
    <col min="10497" max="10497" width="9.7109375" style="16" bestFit="1" customWidth="1"/>
    <col min="10498" max="10501" width="0" style="16" hidden="1" customWidth="1"/>
    <col min="10502" max="10510" width="11.42578125" style="16" customWidth="1"/>
    <col min="10511" max="10742" width="11.42578125" style="16"/>
    <col min="10743" max="10743" width="3.5703125" style="16" customWidth="1"/>
    <col min="10744" max="10744" width="13.28515625" style="16" customWidth="1"/>
    <col min="10745" max="10752" width="11.42578125" style="16" customWidth="1"/>
    <col min="10753" max="10753" width="9.7109375" style="16" bestFit="1" customWidth="1"/>
    <col min="10754" max="10757" width="0" style="16" hidden="1" customWidth="1"/>
    <col min="10758" max="10766" width="11.42578125" style="16" customWidth="1"/>
    <col min="10767" max="10998" width="11.42578125" style="16"/>
    <col min="10999" max="10999" width="3.5703125" style="16" customWidth="1"/>
    <col min="11000" max="11000" width="13.28515625" style="16" customWidth="1"/>
    <col min="11001" max="11008" width="11.42578125" style="16" customWidth="1"/>
    <col min="11009" max="11009" width="9.7109375" style="16" bestFit="1" customWidth="1"/>
    <col min="11010" max="11013" width="0" style="16" hidden="1" customWidth="1"/>
    <col min="11014" max="11022" width="11.42578125" style="16" customWidth="1"/>
    <col min="11023" max="11254" width="11.42578125" style="16"/>
    <col min="11255" max="11255" width="3.5703125" style="16" customWidth="1"/>
    <col min="11256" max="11256" width="13.28515625" style="16" customWidth="1"/>
    <col min="11257" max="11264" width="11.42578125" style="16" customWidth="1"/>
    <col min="11265" max="11265" width="9.7109375" style="16" bestFit="1" customWidth="1"/>
    <col min="11266" max="11269" width="0" style="16" hidden="1" customWidth="1"/>
    <col min="11270" max="11278" width="11.42578125" style="16" customWidth="1"/>
    <col min="11279" max="11510" width="11.42578125" style="16"/>
    <col min="11511" max="11511" width="3.5703125" style="16" customWidth="1"/>
    <col min="11512" max="11512" width="13.28515625" style="16" customWidth="1"/>
    <col min="11513" max="11520" width="11.42578125" style="16" customWidth="1"/>
    <col min="11521" max="11521" width="9.7109375" style="16" bestFit="1" customWidth="1"/>
    <col min="11522" max="11525" width="0" style="16" hidden="1" customWidth="1"/>
    <col min="11526" max="11534" width="11.42578125" style="16" customWidth="1"/>
    <col min="11535" max="11766" width="11.42578125" style="16"/>
    <col min="11767" max="11767" width="3.5703125" style="16" customWidth="1"/>
    <col min="11768" max="11768" width="13.28515625" style="16" customWidth="1"/>
    <col min="11769" max="11776" width="11.42578125" style="16" customWidth="1"/>
    <col min="11777" max="11777" width="9.7109375" style="16" bestFit="1" customWidth="1"/>
    <col min="11778" max="11781" width="0" style="16" hidden="1" customWidth="1"/>
    <col min="11782" max="11790" width="11.42578125" style="16" customWidth="1"/>
    <col min="11791" max="12022" width="11.42578125" style="16"/>
    <col min="12023" max="12023" width="3.5703125" style="16" customWidth="1"/>
    <col min="12024" max="12024" width="13.28515625" style="16" customWidth="1"/>
    <col min="12025" max="12032" width="11.42578125" style="16" customWidth="1"/>
    <col min="12033" max="12033" width="9.7109375" style="16" bestFit="1" customWidth="1"/>
    <col min="12034" max="12037" width="0" style="16" hidden="1" customWidth="1"/>
    <col min="12038" max="12046" width="11.42578125" style="16" customWidth="1"/>
    <col min="12047" max="12278" width="11.42578125" style="16"/>
    <col min="12279" max="12279" width="3.5703125" style="16" customWidth="1"/>
    <col min="12280" max="12280" width="13.28515625" style="16" customWidth="1"/>
    <col min="12281" max="12288" width="11.42578125" style="16" customWidth="1"/>
    <col min="12289" max="12289" width="9.7109375" style="16" bestFit="1" customWidth="1"/>
    <col min="12290" max="12293" width="0" style="16" hidden="1" customWidth="1"/>
    <col min="12294" max="12302" width="11.42578125" style="16" customWidth="1"/>
    <col min="12303" max="12534" width="11.42578125" style="16"/>
    <col min="12535" max="12535" width="3.5703125" style="16" customWidth="1"/>
    <col min="12536" max="12536" width="13.28515625" style="16" customWidth="1"/>
    <col min="12537" max="12544" width="11.42578125" style="16" customWidth="1"/>
    <col min="12545" max="12545" width="9.7109375" style="16" bestFit="1" customWidth="1"/>
    <col min="12546" max="12549" width="0" style="16" hidden="1" customWidth="1"/>
    <col min="12550" max="12558" width="11.42578125" style="16" customWidth="1"/>
    <col min="12559" max="12790" width="11.42578125" style="16"/>
    <col min="12791" max="12791" width="3.5703125" style="16" customWidth="1"/>
    <col min="12792" max="12792" width="13.28515625" style="16" customWidth="1"/>
    <col min="12793" max="12800" width="11.42578125" style="16" customWidth="1"/>
    <col min="12801" max="12801" width="9.7109375" style="16" bestFit="1" customWidth="1"/>
    <col min="12802" max="12805" width="0" style="16" hidden="1" customWidth="1"/>
    <col min="12806" max="12814" width="11.42578125" style="16" customWidth="1"/>
    <col min="12815" max="13046" width="11.42578125" style="16"/>
    <col min="13047" max="13047" width="3.5703125" style="16" customWidth="1"/>
    <col min="13048" max="13048" width="13.28515625" style="16" customWidth="1"/>
    <col min="13049" max="13056" width="11.42578125" style="16" customWidth="1"/>
    <col min="13057" max="13057" width="9.7109375" style="16" bestFit="1" customWidth="1"/>
    <col min="13058" max="13061" width="0" style="16" hidden="1" customWidth="1"/>
    <col min="13062" max="13070" width="11.42578125" style="16" customWidth="1"/>
    <col min="13071" max="13302" width="11.42578125" style="16"/>
    <col min="13303" max="13303" width="3.5703125" style="16" customWidth="1"/>
    <col min="13304" max="13304" width="13.28515625" style="16" customWidth="1"/>
    <col min="13305" max="13312" width="11.42578125" style="16" customWidth="1"/>
    <col min="13313" max="13313" width="9.7109375" style="16" bestFit="1" customWidth="1"/>
    <col min="13314" max="13317" width="0" style="16" hidden="1" customWidth="1"/>
    <col min="13318" max="13326" width="11.42578125" style="16" customWidth="1"/>
    <col min="13327" max="13558" width="11.42578125" style="16"/>
    <col min="13559" max="13559" width="3.5703125" style="16" customWidth="1"/>
    <col min="13560" max="13560" width="13.28515625" style="16" customWidth="1"/>
    <col min="13561" max="13568" width="11.42578125" style="16" customWidth="1"/>
    <col min="13569" max="13569" width="9.7109375" style="16" bestFit="1" customWidth="1"/>
    <col min="13570" max="13573" width="0" style="16" hidden="1" customWidth="1"/>
    <col min="13574" max="13582" width="11.42578125" style="16" customWidth="1"/>
    <col min="13583" max="13814" width="11.42578125" style="16"/>
    <col min="13815" max="13815" width="3.5703125" style="16" customWidth="1"/>
    <col min="13816" max="13816" width="13.28515625" style="16" customWidth="1"/>
    <col min="13817" max="13824" width="11.42578125" style="16" customWidth="1"/>
    <col min="13825" max="13825" width="9.7109375" style="16" bestFit="1" customWidth="1"/>
    <col min="13826" max="13829" width="0" style="16" hidden="1" customWidth="1"/>
    <col min="13830" max="13838" width="11.42578125" style="16" customWidth="1"/>
    <col min="13839" max="14070" width="11.42578125" style="16"/>
    <col min="14071" max="14071" width="3.5703125" style="16" customWidth="1"/>
    <col min="14072" max="14072" width="13.28515625" style="16" customWidth="1"/>
    <col min="14073" max="14080" width="11.42578125" style="16" customWidth="1"/>
    <col min="14081" max="14081" width="9.7109375" style="16" bestFit="1" customWidth="1"/>
    <col min="14082" max="14085" width="0" style="16" hidden="1" customWidth="1"/>
    <col min="14086" max="14094" width="11.42578125" style="16" customWidth="1"/>
    <col min="14095" max="14326" width="11.42578125" style="16"/>
    <col min="14327" max="14327" width="3.5703125" style="16" customWidth="1"/>
    <col min="14328" max="14328" width="13.28515625" style="16" customWidth="1"/>
    <col min="14329" max="14336" width="11.42578125" style="16" customWidth="1"/>
    <col min="14337" max="14337" width="9.7109375" style="16" bestFit="1" customWidth="1"/>
    <col min="14338" max="14341" width="0" style="16" hidden="1" customWidth="1"/>
    <col min="14342" max="14350" width="11.42578125" style="16" customWidth="1"/>
    <col min="14351" max="14582" width="11.42578125" style="16"/>
    <col min="14583" max="14583" width="3.5703125" style="16" customWidth="1"/>
    <col min="14584" max="14584" width="13.28515625" style="16" customWidth="1"/>
    <col min="14585" max="14592" width="11.42578125" style="16" customWidth="1"/>
    <col min="14593" max="14593" width="9.7109375" style="16" bestFit="1" customWidth="1"/>
    <col min="14594" max="14597" width="0" style="16" hidden="1" customWidth="1"/>
    <col min="14598" max="14606" width="11.42578125" style="16" customWidth="1"/>
    <col min="14607" max="14838" width="11.42578125" style="16"/>
    <col min="14839" max="14839" width="3.5703125" style="16" customWidth="1"/>
    <col min="14840" max="14840" width="13.28515625" style="16" customWidth="1"/>
    <col min="14841" max="14848" width="11.42578125" style="16" customWidth="1"/>
    <col min="14849" max="14849" width="9.7109375" style="16" bestFit="1" customWidth="1"/>
    <col min="14850" max="14853" width="0" style="16" hidden="1" customWidth="1"/>
    <col min="14854" max="14862" width="11.42578125" style="16" customWidth="1"/>
    <col min="14863" max="15094" width="11.42578125" style="16"/>
    <col min="15095" max="15095" width="3.5703125" style="16" customWidth="1"/>
    <col min="15096" max="15096" width="13.28515625" style="16" customWidth="1"/>
    <col min="15097" max="15104" width="11.42578125" style="16" customWidth="1"/>
    <col min="15105" max="15105" width="9.7109375" style="16" bestFit="1" customWidth="1"/>
    <col min="15106" max="15109" width="0" style="16" hidden="1" customWidth="1"/>
    <col min="15110" max="15118" width="11.42578125" style="16" customWidth="1"/>
    <col min="15119" max="15350" width="11.42578125" style="16"/>
    <col min="15351" max="15351" width="3.5703125" style="16" customWidth="1"/>
    <col min="15352" max="15352" width="13.28515625" style="16" customWidth="1"/>
    <col min="15353" max="15360" width="11.42578125" style="16" customWidth="1"/>
    <col min="15361" max="15361" width="9.7109375" style="16" bestFit="1" customWidth="1"/>
    <col min="15362" max="15365" width="0" style="16" hidden="1" customWidth="1"/>
    <col min="15366" max="15374" width="11.42578125" style="16" customWidth="1"/>
    <col min="15375" max="15606" width="11.42578125" style="16"/>
    <col min="15607" max="15607" width="3.5703125" style="16" customWidth="1"/>
    <col min="15608" max="15608" width="13.28515625" style="16" customWidth="1"/>
    <col min="15609" max="15616" width="11.42578125" style="16" customWidth="1"/>
    <col min="15617" max="15617" width="9.7109375" style="16" bestFit="1" customWidth="1"/>
    <col min="15618" max="15621" width="0" style="16" hidden="1" customWidth="1"/>
    <col min="15622" max="15630" width="11.42578125" style="16" customWidth="1"/>
    <col min="15631" max="15862" width="11.42578125" style="16"/>
    <col min="15863" max="15863" width="3.5703125" style="16" customWidth="1"/>
    <col min="15864" max="15864" width="13.28515625" style="16" customWidth="1"/>
    <col min="15865" max="15872" width="11.42578125" style="16" customWidth="1"/>
    <col min="15873" max="15873" width="9.7109375" style="16" bestFit="1" customWidth="1"/>
    <col min="15874" max="15877" width="0" style="16" hidden="1" customWidth="1"/>
    <col min="15878" max="15886" width="11.42578125" style="16" customWidth="1"/>
    <col min="15887" max="16118" width="11.42578125" style="16"/>
    <col min="16119" max="16119" width="3.5703125" style="16" customWidth="1"/>
    <col min="16120" max="16120" width="13.28515625" style="16" customWidth="1"/>
    <col min="16121" max="16128" width="11.42578125" style="16" customWidth="1"/>
    <col min="16129" max="16129" width="9.7109375" style="16" bestFit="1" customWidth="1"/>
    <col min="16130" max="16133" width="0" style="16" hidden="1" customWidth="1"/>
    <col min="16134" max="16142" width="11.42578125" style="16" customWidth="1"/>
    <col min="16143" max="16384" width="11.42578125" style="16"/>
  </cols>
  <sheetData>
    <row r="2" spans="2:31" s="38" customFormat="1" ht="21">
      <c r="B2" s="93" t="s">
        <v>57</v>
      </c>
      <c r="C2" s="75" t="s">
        <v>138</v>
      </c>
      <c r="D2" s="75" t="s">
        <v>138</v>
      </c>
      <c r="E2" s="75" t="s">
        <v>138</v>
      </c>
      <c r="F2" s="188" t="s">
        <v>138</v>
      </c>
      <c r="G2" s="188" t="s">
        <v>138</v>
      </c>
      <c r="H2" s="188" t="s">
        <v>138</v>
      </c>
      <c r="I2" s="188" t="s">
        <v>139</v>
      </c>
      <c r="J2" s="307"/>
      <c r="K2" s="188" t="s">
        <v>140</v>
      </c>
      <c r="L2" s="188" t="s">
        <v>140</v>
      </c>
      <c r="M2" s="188" t="s">
        <v>140</v>
      </c>
      <c r="N2" s="188" t="s">
        <v>140</v>
      </c>
      <c r="O2" s="188" t="s">
        <v>140</v>
      </c>
      <c r="P2" s="188" t="s">
        <v>140</v>
      </c>
      <c r="Q2" s="188" t="s">
        <v>140</v>
      </c>
      <c r="R2" s="188" t="s">
        <v>140</v>
      </c>
      <c r="S2" s="188" t="s">
        <v>140</v>
      </c>
      <c r="T2" s="188" t="s">
        <v>140</v>
      </c>
      <c r="U2" s="188" t="s">
        <v>140</v>
      </c>
      <c r="V2" s="188" t="s">
        <v>140</v>
      </c>
      <c r="W2" s="188" t="s">
        <v>140</v>
      </c>
      <c r="X2" s="188" t="s">
        <v>140</v>
      </c>
      <c r="Y2" s="188" t="s">
        <v>140</v>
      </c>
      <c r="Z2" s="188" t="s">
        <v>140</v>
      </c>
      <c r="AA2" s="188" t="s">
        <v>140</v>
      </c>
      <c r="AB2" s="188" t="s">
        <v>140</v>
      </c>
      <c r="AC2" s="188" t="s">
        <v>140</v>
      </c>
      <c r="AD2" s="188" t="s">
        <v>140</v>
      </c>
      <c r="AE2" s="188" t="s">
        <v>140</v>
      </c>
    </row>
    <row r="3" spans="2:31" s="38" customFormat="1">
      <c r="B3" s="41" t="s">
        <v>141</v>
      </c>
      <c r="C3" s="36">
        <v>44196</v>
      </c>
      <c r="D3" s="36">
        <v>44561</v>
      </c>
      <c r="E3" s="36">
        <v>44926</v>
      </c>
      <c r="F3" s="36">
        <v>45291</v>
      </c>
      <c r="G3" s="36">
        <v>45657</v>
      </c>
      <c r="H3" s="36">
        <v>46022</v>
      </c>
      <c r="I3" s="36">
        <f>AE3</f>
        <v>46112</v>
      </c>
      <c r="J3" s="193"/>
      <c r="K3" s="36">
        <v>44286</v>
      </c>
      <c r="L3" s="36">
        <v>44377</v>
      </c>
      <c r="M3" s="36">
        <v>44469</v>
      </c>
      <c r="N3" s="36">
        <v>44561</v>
      </c>
      <c r="O3" s="36">
        <v>44651</v>
      </c>
      <c r="P3" s="36">
        <v>44742</v>
      </c>
      <c r="Q3" s="36">
        <v>44834</v>
      </c>
      <c r="R3" s="36">
        <v>44926</v>
      </c>
      <c r="S3" s="36">
        <v>45016</v>
      </c>
      <c r="T3" s="36">
        <v>45107</v>
      </c>
      <c r="U3" s="36">
        <v>45199</v>
      </c>
      <c r="V3" s="36">
        <v>45291</v>
      </c>
      <c r="W3" s="36">
        <v>45382</v>
      </c>
      <c r="X3" s="36">
        <v>45473</v>
      </c>
      <c r="Y3" s="36">
        <v>45565</v>
      </c>
      <c r="Z3" s="36">
        <v>45657</v>
      </c>
      <c r="AA3" s="36">
        <v>45747</v>
      </c>
      <c r="AB3" s="36">
        <v>45838</v>
      </c>
      <c r="AC3" s="36">
        <v>45930</v>
      </c>
      <c r="AD3" s="36">
        <v>46022</v>
      </c>
      <c r="AE3" s="36">
        <v>46112</v>
      </c>
    </row>
    <row r="4" spans="2:31" s="19" customFormat="1">
      <c r="B4" s="41"/>
      <c r="C4" s="36" t="s">
        <v>142</v>
      </c>
      <c r="D4" s="36" t="s">
        <v>142</v>
      </c>
      <c r="E4" s="36" t="s">
        <v>142</v>
      </c>
      <c r="F4" s="36" t="s">
        <v>142</v>
      </c>
      <c r="G4" s="36" t="s">
        <v>142</v>
      </c>
      <c r="H4" s="36" t="s">
        <v>142</v>
      </c>
      <c r="I4" s="36" t="s">
        <v>142</v>
      </c>
      <c r="J4" s="193"/>
      <c r="K4" s="36" t="s">
        <v>142</v>
      </c>
      <c r="L4" s="36" t="s">
        <v>142</v>
      </c>
      <c r="M4" s="36" t="s">
        <v>142</v>
      </c>
      <c r="N4" s="36" t="s">
        <v>142</v>
      </c>
      <c r="O4" s="36" t="s">
        <v>142</v>
      </c>
      <c r="P4" s="36" t="s">
        <v>142</v>
      </c>
      <c r="Q4" s="36" t="s">
        <v>142</v>
      </c>
      <c r="R4" s="36" t="s">
        <v>142</v>
      </c>
      <c r="S4" s="36" t="s">
        <v>142</v>
      </c>
      <c r="T4" s="36" t="s">
        <v>142</v>
      </c>
      <c r="U4" s="36" t="s">
        <v>142</v>
      </c>
      <c r="V4" s="36" t="s">
        <v>142</v>
      </c>
      <c r="W4" s="36" t="s">
        <v>142</v>
      </c>
      <c r="X4" s="36" t="s">
        <v>142</v>
      </c>
      <c r="Y4" s="36" t="s">
        <v>142</v>
      </c>
      <c r="Z4" s="36" t="s">
        <v>142</v>
      </c>
      <c r="AA4" s="36" t="s">
        <v>142</v>
      </c>
      <c r="AB4" s="36" t="s">
        <v>142</v>
      </c>
      <c r="AC4" s="36" t="s">
        <v>142</v>
      </c>
      <c r="AD4" s="36" t="s">
        <v>142</v>
      </c>
      <c r="AE4" s="36" t="s">
        <v>142</v>
      </c>
    </row>
    <row r="5" spans="2:31" s="72" customFormat="1">
      <c r="C5" s="74" t="s">
        <v>143</v>
      </c>
      <c r="D5" s="74" t="s">
        <v>143</v>
      </c>
      <c r="E5" s="74" t="s">
        <v>143</v>
      </c>
      <c r="F5" s="74" t="s">
        <v>143</v>
      </c>
      <c r="G5" s="74" t="s">
        <v>143</v>
      </c>
      <c r="H5" s="74" t="s">
        <v>143</v>
      </c>
      <c r="I5" s="79" t="s">
        <v>139</v>
      </c>
      <c r="J5" s="74"/>
      <c r="K5" s="74" t="s">
        <v>144</v>
      </c>
      <c r="L5" s="74" t="s">
        <v>145</v>
      </c>
      <c r="M5" s="74" t="s">
        <v>146</v>
      </c>
      <c r="N5" s="73" t="s">
        <v>147</v>
      </c>
      <c r="O5" s="74" t="s">
        <v>144</v>
      </c>
      <c r="P5" s="74" t="s">
        <v>145</v>
      </c>
      <c r="Q5" s="74" t="s">
        <v>146</v>
      </c>
      <c r="R5" s="73" t="s">
        <v>147</v>
      </c>
      <c r="S5" s="74" t="s">
        <v>144</v>
      </c>
      <c r="T5" s="74" t="s">
        <v>145</v>
      </c>
      <c r="U5" s="74" t="s">
        <v>146</v>
      </c>
      <c r="V5" s="73" t="s">
        <v>147</v>
      </c>
      <c r="W5" s="74" t="s">
        <v>144</v>
      </c>
      <c r="X5" s="74" t="s">
        <v>145</v>
      </c>
      <c r="Y5" s="74" t="s">
        <v>146</v>
      </c>
      <c r="Z5" s="73" t="s">
        <v>147</v>
      </c>
      <c r="AA5" s="74" t="s">
        <v>144</v>
      </c>
      <c r="AB5" s="74" t="s">
        <v>145</v>
      </c>
      <c r="AC5" s="74" t="s">
        <v>146</v>
      </c>
      <c r="AD5" s="73" t="s">
        <v>147</v>
      </c>
      <c r="AE5" s="74" t="s">
        <v>144</v>
      </c>
    </row>
    <row r="6" spans="2:31" ht="13.5" customHeight="1">
      <c r="B6" s="40" t="s">
        <v>148</v>
      </c>
      <c r="C6" s="71"/>
      <c r="D6" s="71"/>
      <c r="E6" s="71"/>
      <c r="F6" s="71"/>
      <c r="G6" s="71"/>
      <c r="H6" s="71"/>
      <c r="I6" s="71"/>
      <c r="K6" s="71"/>
      <c r="L6" s="71"/>
      <c r="M6" s="71"/>
      <c r="N6" s="71"/>
      <c r="O6" s="70"/>
      <c r="P6" s="71"/>
      <c r="Q6" s="71"/>
      <c r="R6" s="71"/>
      <c r="S6" s="70"/>
      <c r="T6" s="71"/>
      <c r="U6" s="71"/>
      <c r="V6" s="71"/>
      <c r="W6" s="70"/>
      <c r="X6" s="71"/>
      <c r="Y6" s="71"/>
      <c r="Z6" s="71"/>
      <c r="AA6" s="70"/>
      <c r="AB6" s="71"/>
      <c r="AC6" s="71"/>
      <c r="AD6" s="71"/>
      <c r="AE6" s="70"/>
    </row>
    <row r="7" spans="2:31" s="19" customFormat="1" ht="13.5" customHeight="1">
      <c r="B7" s="61" t="s">
        <v>149</v>
      </c>
      <c r="C7" s="204">
        <v>1857593.6780000001</v>
      </c>
      <c r="D7" s="204">
        <v>2484712.2799999998</v>
      </c>
      <c r="E7" s="204">
        <v>2711434.9479999999</v>
      </c>
      <c r="F7" s="204">
        <v>2565556.0669999998</v>
      </c>
      <c r="G7" s="204">
        <v>2904566.4539999999</v>
      </c>
      <c r="H7" s="204">
        <v>2909625.4479999999</v>
      </c>
      <c r="I7" s="44">
        <f>AE7+AB7+AC7+AD7</f>
        <v>2911470.1359999999</v>
      </c>
      <c r="K7" s="265">
        <v>569639.45600000001</v>
      </c>
      <c r="L7" s="265">
        <v>469994.58600000001</v>
      </c>
      <c r="M7" s="265">
        <v>622729.62699999998</v>
      </c>
      <c r="N7" s="44">
        <f>D7-SUM(K7:M7)</f>
        <v>822348.6109999998</v>
      </c>
      <c r="O7" s="204">
        <v>700464.93</v>
      </c>
      <c r="P7" s="204">
        <v>558502.88399999996</v>
      </c>
      <c r="Q7" s="204">
        <v>684105.53500000003</v>
      </c>
      <c r="R7" s="44">
        <f>E7-SUM(O7:Q7)</f>
        <v>768361.59899999993</v>
      </c>
      <c r="S7" s="204">
        <v>732030.75899999996</v>
      </c>
      <c r="T7" s="204">
        <v>574241.70299999998</v>
      </c>
      <c r="U7" s="204">
        <v>686676.90599999996</v>
      </c>
      <c r="V7" s="44">
        <f>F7-SUM(S7:U7)</f>
        <v>572606.69900000002</v>
      </c>
      <c r="W7" s="204">
        <f>746023.982</f>
        <v>746023.98199999996</v>
      </c>
      <c r="X7" s="204">
        <v>524641.48100000003</v>
      </c>
      <c r="Y7" s="204">
        <v>665823.272</v>
      </c>
      <c r="Z7" s="44">
        <f>G7-SUM(W7:Y7)</f>
        <v>968077.71900000004</v>
      </c>
      <c r="AA7" s="204">
        <v>817670.59100000001</v>
      </c>
      <c r="AB7" s="204">
        <v>579913.90099999995</v>
      </c>
      <c r="AC7" s="204">
        <v>658627.85199999996</v>
      </c>
      <c r="AD7" s="44">
        <f>H7-SUM(AA7:AC7)</f>
        <v>853413.10399999982</v>
      </c>
      <c r="AE7" s="204">
        <v>819515.27899999998</v>
      </c>
    </row>
    <row r="8" spans="2:31" s="19" customFormat="1" ht="13.5" customHeight="1">
      <c r="B8" s="35" t="s">
        <v>150</v>
      </c>
      <c r="C8" s="68"/>
      <c r="D8" s="68">
        <f>(D7/C7)-1</f>
        <v>0.33759729559114038</v>
      </c>
      <c r="E8" s="68">
        <f>(E7/D7)-1</f>
        <v>9.1247050946277053E-2</v>
      </c>
      <c r="F8" s="68">
        <f>(F7/E7)-1</f>
        <v>-5.3801357509094094E-2</v>
      </c>
      <c r="G8" s="68">
        <f>(G7/F7)-1</f>
        <v>0.13213914572384211</v>
      </c>
      <c r="H8" s="68">
        <f>(H7/G7)-1</f>
        <v>1.7417380804054527E-3</v>
      </c>
      <c r="I8" s="261"/>
      <c r="J8" s="30"/>
      <c r="K8" s="149"/>
      <c r="L8" s="149"/>
      <c r="M8" s="149"/>
      <c r="N8" s="68"/>
      <c r="O8" s="68">
        <f t="shared" ref="O8:R8" si="0">(O7/K7)-1</f>
        <v>0.22966364534973516</v>
      </c>
      <c r="P8" s="68">
        <f t="shared" si="0"/>
        <v>0.18831769691917244</v>
      </c>
      <c r="Q8" s="68">
        <f t="shared" si="0"/>
        <v>9.8559479650387694E-2</v>
      </c>
      <c r="R8" s="68">
        <f t="shared" si="0"/>
        <v>-6.5649788031319378E-2</v>
      </c>
      <c r="S8" s="68">
        <f>(S7/O7)-1</f>
        <v>4.5064110490156795E-2</v>
      </c>
      <c r="T8" s="68">
        <f t="shared" ref="T8" si="1">(T7/P7)-1</f>
        <v>2.8180371938777649E-2</v>
      </c>
      <c r="U8" s="68">
        <f t="shared" ref="U8:V8" si="2">(U7/Q7)-1</f>
        <v>3.7587343888394464E-3</v>
      </c>
      <c r="V8" s="68">
        <f t="shared" si="2"/>
        <v>-0.25476923918994543</v>
      </c>
      <c r="W8" s="68">
        <f>(W7/S7)-1</f>
        <v>1.9115621615566569E-2</v>
      </c>
      <c r="X8" s="68">
        <f t="shared" ref="X8:Y8" si="3">(X7/T7)-1</f>
        <v>-8.6375165267298493E-2</v>
      </c>
      <c r="Y8" s="68">
        <f t="shared" si="3"/>
        <v>-3.0368917052235878E-2</v>
      </c>
      <c r="Z8" s="68">
        <f t="shared" ref="Z8" si="4">(Z7/V7)-1</f>
        <v>0.69065035510525874</v>
      </c>
      <c r="AA8" s="68">
        <f t="shared" ref="AA8" si="5">(AA7/W7)-1</f>
        <v>9.6037943455817842E-2</v>
      </c>
      <c r="AB8" s="68">
        <f t="shared" ref="AB8" si="6">(AB7/X7)-1</f>
        <v>0.10535274468699507</v>
      </c>
      <c r="AC8" s="68">
        <f t="shared" ref="AC8" si="7">(AC7/Y7)-1</f>
        <v>-1.080680159824754E-2</v>
      </c>
      <c r="AD8" s="68">
        <f t="shared" ref="AD8:AE8" si="8">(AD7/Z7)-1</f>
        <v>-0.11844567099266146</v>
      </c>
      <c r="AE8" s="68">
        <f t="shared" si="8"/>
        <v>2.2560283081038968E-3</v>
      </c>
    </row>
    <row r="9" spans="2:31" ht="13.5" customHeight="1">
      <c r="B9" s="63" t="s">
        <v>151</v>
      </c>
      <c r="C9" s="52">
        <v>-984035.92200000002</v>
      </c>
      <c r="D9" s="52">
        <v>-1291559.797</v>
      </c>
      <c r="E9" s="52">
        <v>-1514925.3089999999</v>
      </c>
      <c r="F9" s="52">
        <v>-1378611.966</v>
      </c>
      <c r="G9" s="52">
        <v>-1590957.777</v>
      </c>
      <c r="H9" s="52">
        <v>-1618034.227</v>
      </c>
      <c r="I9" s="7">
        <f>AE9+AB9+AC9+AD9</f>
        <v>-1614537.902</v>
      </c>
      <c r="K9" s="148">
        <v>-280270.89299999998</v>
      </c>
      <c r="L9" s="148">
        <v>-249566.83900000001</v>
      </c>
      <c r="M9" s="148">
        <v>-330148.397</v>
      </c>
      <c r="N9" s="7">
        <f>D9-SUM(K9:M9)</f>
        <v>-431573.66800000006</v>
      </c>
      <c r="O9" s="52">
        <v>-376740.25300000003</v>
      </c>
      <c r="P9" s="52">
        <v>-333194.47399999999</v>
      </c>
      <c r="Q9" s="52">
        <v>-391714.49400000001</v>
      </c>
      <c r="R9" s="7">
        <f>E9-SUM(O9:Q9)</f>
        <v>-413276.08799999999</v>
      </c>
      <c r="S9" s="52">
        <v>-377085.57699999999</v>
      </c>
      <c r="T9" s="52">
        <v>-324826.38400000002</v>
      </c>
      <c r="U9" s="52">
        <v>-368362.23599999998</v>
      </c>
      <c r="V9" s="7">
        <f>F9-SUM(S9:U9)</f>
        <v>-308337.76900000009</v>
      </c>
      <c r="W9" s="52">
        <f>-(393897.326)</f>
        <v>-393897.326</v>
      </c>
      <c r="X9" s="52">
        <v>-314528.12</v>
      </c>
      <c r="Y9" s="52">
        <v>-377538.50400000002</v>
      </c>
      <c r="Z9" s="7">
        <f>G9-SUM(W9:Y9)</f>
        <v>-504993.82700000005</v>
      </c>
      <c r="AA9" s="52">
        <v>-435489.18199999997</v>
      </c>
      <c r="AB9" s="52">
        <v>-343082.28</v>
      </c>
      <c r="AC9" s="52">
        <v>-378691.84399999998</v>
      </c>
      <c r="AD9" s="7">
        <f>H9-SUM(AA9:AC9)</f>
        <v>-460770.92099999986</v>
      </c>
      <c r="AE9" s="52">
        <v>-431992.85700000002</v>
      </c>
    </row>
    <row r="10" spans="2:31" s="19" customFormat="1" ht="13.5" customHeight="1">
      <c r="B10" s="19" t="s">
        <v>152</v>
      </c>
      <c r="C10" s="44">
        <f t="shared" ref="C10:E10" si="9">C7+C9</f>
        <v>873557.75600000005</v>
      </c>
      <c r="D10" s="44">
        <f t="shared" si="9"/>
        <v>1193152.4829999998</v>
      </c>
      <c r="E10" s="44">
        <f t="shared" si="9"/>
        <v>1196509.639</v>
      </c>
      <c r="F10" s="44">
        <f t="shared" ref="F10:G10" si="10">F7+F9</f>
        <v>1186944.1009999998</v>
      </c>
      <c r="G10" s="44">
        <f t="shared" si="10"/>
        <v>1313608.6769999999</v>
      </c>
      <c r="H10" s="44">
        <f t="shared" ref="H10:I10" si="11">H7+H9</f>
        <v>1291591.2209999999</v>
      </c>
      <c r="I10" s="44">
        <f t="shared" si="11"/>
        <v>1296932.2339999999</v>
      </c>
      <c r="K10" s="44">
        <f t="shared" ref="K10:N10" si="12">K7+K9</f>
        <v>289368.56300000002</v>
      </c>
      <c r="L10" s="44">
        <f t="shared" si="12"/>
        <v>220427.747</v>
      </c>
      <c r="M10" s="44">
        <f t="shared" si="12"/>
        <v>292581.23</v>
      </c>
      <c r="N10" s="44">
        <f t="shared" si="12"/>
        <v>390774.94299999974</v>
      </c>
      <c r="O10" s="44">
        <f t="shared" ref="O10:P10" si="13">O7+O9</f>
        <v>323724.67700000003</v>
      </c>
      <c r="P10" s="44">
        <f t="shared" si="13"/>
        <v>225308.40999999997</v>
      </c>
      <c r="Q10" s="44">
        <f t="shared" ref="Q10:T10" si="14">Q7+Q9</f>
        <v>292391.04100000003</v>
      </c>
      <c r="R10" s="44">
        <f t="shared" si="14"/>
        <v>355085.51099999994</v>
      </c>
      <c r="S10" s="44">
        <f t="shared" si="14"/>
        <v>354945.18199999997</v>
      </c>
      <c r="T10" s="44">
        <f t="shared" si="14"/>
        <v>249415.31899999996</v>
      </c>
      <c r="U10" s="44">
        <f t="shared" ref="U10:Y10" si="15">U7+U9</f>
        <v>318314.67</v>
      </c>
      <c r="V10" s="44">
        <f t="shared" si="15"/>
        <v>264268.92999999993</v>
      </c>
      <c r="W10" s="44">
        <f t="shared" si="15"/>
        <v>352126.65599999996</v>
      </c>
      <c r="X10" s="44">
        <f t="shared" si="15"/>
        <v>210113.36100000003</v>
      </c>
      <c r="Y10" s="44">
        <f t="shared" si="15"/>
        <v>288284.76799999998</v>
      </c>
      <c r="Z10" s="44">
        <f t="shared" ref="Z10:AC10" si="16">Z7+Z9</f>
        <v>463083.89199999999</v>
      </c>
      <c r="AA10" s="44">
        <f t="shared" si="16"/>
        <v>382181.40900000004</v>
      </c>
      <c r="AB10" s="44">
        <f t="shared" si="16"/>
        <v>236831.62099999993</v>
      </c>
      <c r="AC10" s="44">
        <f t="shared" si="16"/>
        <v>279936.00799999997</v>
      </c>
      <c r="AD10" s="44">
        <f t="shared" ref="AD10:AE10" si="17">AD7+AD9</f>
        <v>392642.18299999996</v>
      </c>
      <c r="AE10" s="44">
        <f t="shared" si="17"/>
        <v>387522.42199999996</v>
      </c>
    </row>
    <row r="11" spans="2:31" s="30" customFormat="1" ht="13.5" customHeight="1">
      <c r="B11" s="35" t="s">
        <v>153</v>
      </c>
      <c r="C11" s="68">
        <f t="shared" ref="C11:E11" si="18">C10/C7</f>
        <v>0.4702630970086667</v>
      </c>
      <c r="D11" s="68">
        <f t="shared" si="18"/>
        <v>0.48019744282022059</v>
      </c>
      <c r="E11" s="68">
        <f t="shared" si="18"/>
        <v>0.44128281221814508</v>
      </c>
      <c r="F11" s="68">
        <f t="shared" ref="F11:G11" si="19">F10/F7</f>
        <v>0.46264594107582208</v>
      </c>
      <c r="G11" s="68">
        <f t="shared" si="19"/>
        <v>0.45225636865390856</v>
      </c>
      <c r="H11" s="68">
        <f t="shared" ref="H11:I11" si="20">H10/H7</f>
        <v>0.44390291605670612</v>
      </c>
      <c r="I11" s="261">
        <f t="shared" si="20"/>
        <v>0.44545613501700709</v>
      </c>
      <c r="K11" s="68">
        <f t="shared" ref="K11:N11" si="21">K10/K7</f>
        <v>0.50798546335245431</v>
      </c>
      <c r="L11" s="68">
        <f t="shared" si="21"/>
        <v>0.46900060887084344</v>
      </c>
      <c r="M11" s="68">
        <f t="shared" si="21"/>
        <v>0.46983669527578137</v>
      </c>
      <c r="N11" s="68">
        <f t="shared" si="21"/>
        <v>0.47519377764231407</v>
      </c>
      <c r="O11" s="68">
        <f t="shared" ref="O11:P11" si="22">O10/O7</f>
        <v>0.46215686629736052</v>
      </c>
      <c r="P11" s="68">
        <f t="shared" si="22"/>
        <v>0.40341494458603366</v>
      </c>
      <c r="Q11" s="68">
        <f t="shared" ref="Q11:T11" si="23">Q10/Q7</f>
        <v>0.42740633724005755</v>
      </c>
      <c r="R11" s="68">
        <f t="shared" si="23"/>
        <v>0.46213333860272732</v>
      </c>
      <c r="S11" s="68">
        <f t="shared" si="23"/>
        <v>0.48487741483005087</v>
      </c>
      <c r="T11" s="68">
        <f t="shared" si="23"/>
        <v>0.43433856805763893</v>
      </c>
      <c r="U11" s="68">
        <f t="shared" ref="U11:Y11" si="24">U10/U7</f>
        <v>0.46355814098108028</v>
      </c>
      <c r="V11" s="68">
        <f t="shared" si="24"/>
        <v>0.46151910283536507</v>
      </c>
      <c r="W11" s="68">
        <f t="shared" si="24"/>
        <v>0.47200447237096993</v>
      </c>
      <c r="X11" s="68">
        <f t="shared" si="24"/>
        <v>0.40048941726740822</v>
      </c>
      <c r="Y11" s="68">
        <f t="shared" si="24"/>
        <v>0.43297490508862835</v>
      </c>
      <c r="Z11" s="68">
        <f t="shared" ref="Z11:AC11" si="25">Z10/Z7</f>
        <v>0.47835404421698086</v>
      </c>
      <c r="AA11" s="68">
        <f t="shared" si="25"/>
        <v>0.46740265970994183</v>
      </c>
      <c r="AB11" s="68">
        <f t="shared" si="25"/>
        <v>0.40839100527097028</v>
      </c>
      <c r="AC11" s="68">
        <f t="shared" si="25"/>
        <v>0.42502910733267923</v>
      </c>
      <c r="AD11" s="68">
        <f t="shared" ref="AD11:AE11" si="26">AD10/AD7</f>
        <v>0.46008454892438594</v>
      </c>
      <c r="AE11" s="68">
        <f t="shared" si="26"/>
        <v>0.47286784265067983</v>
      </c>
    </row>
    <row r="12" spans="2:31" s="30" customFormat="1" ht="13.5" customHeight="1">
      <c r="B12" s="19" t="s">
        <v>154</v>
      </c>
      <c r="C12" s="44"/>
      <c r="D12" s="44"/>
      <c r="E12" s="44"/>
      <c r="F12" s="44"/>
      <c r="G12" s="44"/>
      <c r="H12" s="44"/>
      <c r="I12" s="44"/>
      <c r="K12" s="44"/>
      <c r="L12" s="44"/>
      <c r="M12" s="44"/>
      <c r="N12" s="44"/>
      <c r="O12" s="44"/>
      <c r="P12" s="44"/>
      <c r="Q12" s="44"/>
      <c r="R12" s="44"/>
      <c r="S12" s="44"/>
      <c r="T12" s="44"/>
      <c r="U12" s="44"/>
      <c r="V12" s="44"/>
      <c r="W12" s="44"/>
      <c r="X12" s="44"/>
      <c r="Z12" s="44"/>
      <c r="AA12" s="44"/>
      <c r="AB12" s="44"/>
      <c r="AD12" s="44"/>
    </row>
    <row r="13" spans="2:31" s="30" customFormat="1" ht="13.5" customHeight="1">
      <c r="B13" s="69" t="s">
        <v>155</v>
      </c>
      <c r="C13" s="52">
        <v>19295.892</v>
      </c>
      <c r="D13" s="52">
        <v>11808.439</v>
      </c>
      <c r="E13" s="52">
        <v>5284.6660000000002</v>
      </c>
      <c r="F13" s="52">
        <v>4419.7889999999998</v>
      </c>
      <c r="G13" s="52">
        <v>40211.51</v>
      </c>
      <c r="H13" s="52">
        <v>11829.734</v>
      </c>
      <c r="I13" s="7">
        <f>AE13+AB13+AC13+AD13</f>
        <v>9378.3990000000013</v>
      </c>
      <c r="K13" s="151">
        <v>4561.5770000000002</v>
      </c>
      <c r="L13" s="151">
        <v>567.08399999999995</v>
      </c>
      <c r="M13" s="151">
        <v>4108.1530000000002</v>
      </c>
      <c r="N13" s="7">
        <f>D13-SUM(K13:M13)</f>
        <v>2571.625</v>
      </c>
      <c r="O13" s="52">
        <v>814.59299999999996</v>
      </c>
      <c r="P13" s="52">
        <v>1114.213</v>
      </c>
      <c r="Q13" s="52">
        <v>1548.6890000000001</v>
      </c>
      <c r="R13" s="7">
        <f>E13-SUM(O13:Q13)</f>
        <v>1807.1710000000003</v>
      </c>
      <c r="S13" s="52">
        <v>801.63199999999995</v>
      </c>
      <c r="T13" s="52">
        <v>847.97400000000005</v>
      </c>
      <c r="U13" s="52">
        <v>1159.5219999999999</v>
      </c>
      <c r="V13" s="7">
        <f>F13-SUM(S13:U13)</f>
        <v>1610.6610000000001</v>
      </c>
      <c r="W13" s="52">
        <f>1064.779</f>
        <v>1064.779</v>
      </c>
      <c r="X13" s="52">
        <v>32676.846000000001</v>
      </c>
      <c r="Y13" s="52">
        <v>1268.001</v>
      </c>
      <c r="Z13" s="7">
        <f>G13-SUM(W13:Y13)</f>
        <v>5201.8840000000055</v>
      </c>
      <c r="AA13" s="52">
        <v>4875.6440000000002</v>
      </c>
      <c r="AB13" s="52">
        <v>1387.7280000000001</v>
      </c>
      <c r="AC13" s="52">
        <v>1115.279</v>
      </c>
      <c r="AD13" s="7">
        <f>H13-SUM(AA13:AC13)</f>
        <v>4451.0830000000005</v>
      </c>
      <c r="AE13" s="52">
        <v>2424.3090000000002</v>
      </c>
    </row>
    <row r="14" spans="2:31" s="30" customFormat="1" ht="13.5" customHeight="1">
      <c r="B14" s="69" t="s">
        <v>156</v>
      </c>
      <c r="C14" s="52">
        <v>-337101.549</v>
      </c>
      <c r="D14" s="52">
        <v>-438601.93599999999</v>
      </c>
      <c r="E14" s="52">
        <v>-504184.24800000002</v>
      </c>
      <c r="F14" s="52">
        <v>-470120.81</v>
      </c>
      <c r="G14" s="52">
        <v>-536420.14</v>
      </c>
      <c r="H14" s="52">
        <v>-547393.15399999998</v>
      </c>
      <c r="I14" s="7">
        <f>AE14+AB14+AC14+AD14</f>
        <v>-550250.65299999993</v>
      </c>
      <c r="K14" s="151">
        <v>-95679.198999999993</v>
      </c>
      <c r="L14" s="151">
        <v>-85926.111999999994</v>
      </c>
      <c r="M14" s="151">
        <v>-111353.565</v>
      </c>
      <c r="N14" s="7">
        <f t="shared" ref="N14:N17" si="27">D14-SUM(K14:M14)</f>
        <v>-145643.06</v>
      </c>
      <c r="O14" s="52">
        <v>-122682.66899999999</v>
      </c>
      <c r="P14" s="52">
        <v>-108715.375</v>
      </c>
      <c r="Q14" s="52">
        <v>-132334.84700000001</v>
      </c>
      <c r="R14" s="7">
        <f>E14-SUM(O14:Q14)</f>
        <v>-140451.35700000002</v>
      </c>
      <c r="S14" s="52">
        <v>-138549.179</v>
      </c>
      <c r="T14" s="52">
        <v>-116809.785</v>
      </c>
      <c r="U14" s="52">
        <v>-122158.327</v>
      </c>
      <c r="V14" s="7">
        <f>F14-SUM(S14:U14)</f>
        <v>-92603.518999999971</v>
      </c>
      <c r="W14" s="52">
        <f>(-134752.73)</f>
        <v>-134752.73000000001</v>
      </c>
      <c r="X14" s="52">
        <v>-112936.63</v>
      </c>
      <c r="Y14" s="52">
        <v>-126083.579</v>
      </c>
      <c r="Z14" s="7">
        <f t="shared" ref="Z14:Z17" si="28">G14-SUM(W14:Y14)</f>
        <v>-162647.201</v>
      </c>
      <c r="AA14" s="52">
        <v>-148691.24900000001</v>
      </c>
      <c r="AB14" s="52">
        <v>-121478.42600000001</v>
      </c>
      <c r="AC14" s="52">
        <v>-124892.649</v>
      </c>
      <c r="AD14" s="7">
        <f>H14-SUM(AA14:AC14)</f>
        <v>-152330.82999999996</v>
      </c>
      <c r="AE14" s="52">
        <v>-151548.74799999999</v>
      </c>
    </row>
    <row r="15" spans="2:31" s="30" customFormat="1" ht="13.5" customHeight="1">
      <c r="B15" s="69" t="s">
        <v>157</v>
      </c>
      <c r="C15" s="52">
        <v>-138811.66800000001</v>
      </c>
      <c r="D15" s="52">
        <v>-161390.77900000001</v>
      </c>
      <c r="E15" s="52">
        <v>-187421.796</v>
      </c>
      <c r="F15" s="52">
        <v>-197256.571</v>
      </c>
      <c r="G15" s="52">
        <v>-214915.08900000001</v>
      </c>
      <c r="H15" s="52">
        <v>-205911.739</v>
      </c>
      <c r="I15" s="7">
        <f>AE15+AB15+AC15+AD15</f>
        <v>-211725.67500000002</v>
      </c>
      <c r="K15" s="151">
        <v>-32461.71</v>
      </c>
      <c r="L15" s="151">
        <v>-34744.589999999997</v>
      </c>
      <c r="M15" s="151">
        <v>-41787.512000000002</v>
      </c>
      <c r="N15" s="7">
        <f t="shared" si="27"/>
        <v>-52396.967000000019</v>
      </c>
      <c r="O15" s="52">
        <v>-35449.088000000003</v>
      </c>
      <c r="P15" s="52">
        <v>-45691.983999999997</v>
      </c>
      <c r="Q15" s="52">
        <v>-54960.500999999997</v>
      </c>
      <c r="R15" s="7">
        <f>E15-SUM(O15:Q15)</f>
        <v>-51320.222999999998</v>
      </c>
      <c r="S15" s="52">
        <v>-32358.416000000001</v>
      </c>
      <c r="T15" s="52">
        <v>-52476.442000000003</v>
      </c>
      <c r="U15" s="52">
        <v>-62630.220999999998</v>
      </c>
      <c r="V15" s="7">
        <f>F15-SUM(S15:U15)</f>
        <v>-49791.491999999998</v>
      </c>
      <c r="W15" s="52">
        <f>-(42611.167)</f>
        <v>-42611.167000000001</v>
      </c>
      <c r="X15" s="52">
        <v>-56689.94</v>
      </c>
      <c r="Y15" s="52">
        <v>-57729.046000000002</v>
      </c>
      <c r="Z15" s="7">
        <f t="shared" si="28"/>
        <v>-57884.936000000016</v>
      </c>
      <c r="AA15" s="52">
        <v>-52433.131000000001</v>
      </c>
      <c r="AB15" s="52">
        <v>-54706.521999999997</v>
      </c>
      <c r="AC15" s="52">
        <v>-44928.955999999998</v>
      </c>
      <c r="AD15" s="7">
        <f>H15-SUM(AA15:AC15)</f>
        <v>-53843.130000000005</v>
      </c>
      <c r="AE15" s="52">
        <v>-58247.067000000003</v>
      </c>
    </row>
    <row r="16" spans="2:31" s="30" customFormat="1" ht="13.5" customHeight="1">
      <c r="B16" s="69" t="s">
        <v>158</v>
      </c>
      <c r="C16" s="52">
        <v>-230349.56599999999</v>
      </c>
      <c r="D16" s="52">
        <v>-284087.35800000001</v>
      </c>
      <c r="E16" s="52">
        <v>-278757.10499999998</v>
      </c>
      <c r="F16" s="52">
        <v>-270703.33399999997</v>
      </c>
      <c r="G16" s="52">
        <v>-339783.06800000003</v>
      </c>
      <c r="H16" s="52">
        <v>-329266.79700000002</v>
      </c>
      <c r="I16" s="7">
        <f>AE16+AB16+AC16+AD16</f>
        <v>-323585.03800000006</v>
      </c>
      <c r="K16" s="151">
        <v>-66040.259999999995</v>
      </c>
      <c r="L16" s="151">
        <v>-65654.566999999995</v>
      </c>
      <c r="M16" s="151">
        <v>-72084.365999999995</v>
      </c>
      <c r="N16" s="7">
        <f t="shared" si="27"/>
        <v>-80308.165000000037</v>
      </c>
      <c r="O16" s="52">
        <v>-60512.678999999996</v>
      </c>
      <c r="P16" s="52">
        <v>-73686.270999999993</v>
      </c>
      <c r="Q16" s="52">
        <v>-73113.137000000002</v>
      </c>
      <c r="R16" s="7">
        <f>E16-SUM(O16:Q16)</f>
        <v>-71445.017999999982</v>
      </c>
      <c r="S16" s="52">
        <v>-80616.94</v>
      </c>
      <c r="T16" s="52">
        <v>-68025.520999999993</v>
      </c>
      <c r="U16" s="52">
        <v>-83614.081000000006</v>
      </c>
      <c r="V16" s="7">
        <f>F16-SUM(S16:U16)</f>
        <v>-38446.791999999958</v>
      </c>
      <c r="W16" s="52">
        <f>(-86913.343)</f>
        <v>-86913.342999999993</v>
      </c>
      <c r="X16" s="52">
        <v>-70719.767999999996</v>
      </c>
      <c r="Y16" s="52">
        <v>-72111.627999999997</v>
      </c>
      <c r="Z16" s="7">
        <f t="shared" si="28"/>
        <v>-110038.32900000006</v>
      </c>
      <c r="AA16" s="52">
        <v>-94049.42</v>
      </c>
      <c r="AB16" s="52">
        <v>-79374.070000000007</v>
      </c>
      <c r="AC16" s="52">
        <v>-74837.453999999998</v>
      </c>
      <c r="AD16" s="7">
        <f>H16-SUM(AA16:AC16)</f>
        <v>-81005.853000000032</v>
      </c>
      <c r="AE16" s="52">
        <v>-88367.660999999993</v>
      </c>
    </row>
    <row r="17" spans="2:32" s="30" customFormat="1" ht="13.5" customHeight="1">
      <c r="B17" s="69" t="s">
        <v>159</v>
      </c>
      <c r="C17" s="52">
        <v>-11410.084999999999</v>
      </c>
      <c r="D17" s="52">
        <v>9590.4500000000007</v>
      </c>
      <c r="E17" s="52">
        <v>-12669.54</v>
      </c>
      <c r="F17" s="52">
        <v>-13316.208000000001</v>
      </c>
      <c r="G17" s="52">
        <v>-94.936999999999998</v>
      </c>
      <c r="H17" s="52">
        <v>-27672.921999999999</v>
      </c>
      <c r="I17" s="7">
        <f>AE17+AB17+AC17+AD17</f>
        <v>-14296.718000000001</v>
      </c>
      <c r="K17" s="151">
        <v>-1040.9280000000001</v>
      </c>
      <c r="L17" s="151">
        <v>1738.588</v>
      </c>
      <c r="M17" s="151">
        <v>7304.058</v>
      </c>
      <c r="N17" s="7">
        <f t="shared" si="27"/>
        <v>1588.7320000000009</v>
      </c>
      <c r="O17" s="52">
        <v>-8991.5820000000003</v>
      </c>
      <c r="P17" s="52">
        <v>13516.855</v>
      </c>
      <c r="Q17" s="52">
        <v>1328.953</v>
      </c>
      <c r="R17" s="7">
        <f>E17-SUM(O17:Q17)</f>
        <v>-18523.766</v>
      </c>
      <c r="S17" s="52">
        <v>-7452.7960000000003</v>
      </c>
      <c r="T17" s="52">
        <v>-2873.5509999999999</v>
      </c>
      <c r="U17" s="52">
        <v>5063.3670000000002</v>
      </c>
      <c r="V17" s="7">
        <f>F17-SUM(S17:U17)</f>
        <v>-8053.228000000001</v>
      </c>
      <c r="W17" s="52">
        <f>1064.348</f>
        <v>1064.348</v>
      </c>
      <c r="X17" s="52">
        <v>-5256.4129999999996</v>
      </c>
      <c r="Y17" s="52">
        <v>-4311.7920000000004</v>
      </c>
      <c r="Z17" s="7">
        <f t="shared" si="28"/>
        <v>8408.92</v>
      </c>
      <c r="AA17" s="52">
        <v>-7444.4589999999998</v>
      </c>
      <c r="AB17" s="52">
        <v>-9465.32</v>
      </c>
      <c r="AC17" s="52">
        <v>4187.2690000000002</v>
      </c>
      <c r="AD17" s="7">
        <f>H17-SUM(AA17:AC17)</f>
        <v>-14950.412</v>
      </c>
      <c r="AE17" s="52">
        <v>5931.7449999999999</v>
      </c>
    </row>
    <row r="18" spans="2:32" s="19" customFormat="1" ht="13.5" customHeight="1">
      <c r="B18" s="19" t="s">
        <v>160</v>
      </c>
      <c r="C18" s="44">
        <f>C10+SUM(C13:C17)</f>
        <v>175180.78000000003</v>
      </c>
      <c r="D18" s="44">
        <f t="shared" ref="D18:G18" si="29">D10+SUM(D13:D17)</f>
        <v>330471.29899999977</v>
      </c>
      <c r="E18" s="44">
        <f t="shared" si="29"/>
        <v>218761.61599999992</v>
      </c>
      <c r="F18" s="44">
        <f t="shared" si="29"/>
        <v>239966.96699999983</v>
      </c>
      <c r="G18" s="44">
        <f t="shared" si="29"/>
        <v>262606.95299999998</v>
      </c>
      <c r="H18" s="44">
        <f t="shared" ref="H18:I18" si="30">H10+SUM(H13:H17)</f>
        <v>193176.34299999988</v>
      </c>
      <c r="I18" s="44">
        <f t="shared" si="30"/>
        <v>206452.54899999965</v>
      </c>
      <c r="K18" s="150">
        <v>94146.466000000015</v>
      </c>
      <c r="L18" s="150">
        <v>35841.066000000021</v>
      </c>
      <c r="M18" s="150">
        <v>74659.845000000001</v>
      </c>
      <c r="N18" s="44">
        <f t="shared" ref="N18:T18" si="31">N10+SUM(N14:N17)</f>
        <v>114015.48299999972</v>
      </c>
      <c r="O18" s="44">
        <f t="shared" si="31"/>
        <v>96088.659000000043</v>
      </c>
      <c r="P18" s="44">
        <f t="shared" si="31"/>
        <v>10731.63499999998</v>
      </c>
      <c r="Q18" s="44">
        <f t="shared" si="31"/>
        <v>33311.509000000049</v>
      </c>
      <c r="R18" s="44">
        <f t="shared" si="31"/>
        <v>73345.146999999939</v>
      </c>
      <c r="S18" s="44">
        <f t="shared" si="31"/>
        <v>95967.850999999966</v>
      </c>
      <c r="T18" s="44">
        <f t="shared" si="31"/>
        <v>9230.0199999999313</v>
      </c>
      <c r="U18" s="44">
        <f t="shared" ref="U18" si="32">U10+SUM(U13:U17)</f>
        <v>56134.929999999993</v>
      </c>
      <c r="V18" s="44">
        <f t="shared" ref="V18" si="33">V10+SUM(V13:V17)</f>
        <v>76984.56</v>
      </c>
      <c r="W18" s="44">
        <f t="shared" ref="W18" si="34">W10+SUM(W13:W17)</f>
        <v>89978.542999999947</v>
      </c>
      <c r="X18" s="44">
        <f t="shared" ref="X18" si="35">X10+SUM(X13:X17)</f>
        <v>-2812.5439999999362</v>
      </c>
      <c r="Y18" s="44">
        <f t="shared" ref="Y18" si="36">Y10+SUM(Y13:Y17)</f>
        <v>29316.723999999987</v>
      </c>
      <c r="Z18" s="44">
        <f t="shared" ref="Z18:AD18" si="37">Z10+SUM(Z13:Z17)</f>
        <v>146124.22999999992</v>
      </c>
      <c r="AA18" s="44">
        <f t="shared" si="37"/>
        <v>84438.794000000053</v>
      </c>
      <c r="AB18" s="44">
        <f t="shared" si="37"/>
        <v>-26804.98900000006</v>
      </c>
      <c r="AC18" s="44">
        <f t="shared" si="37"/>
        <v>40579.496999999974</v>
      </c>
      <c r="AD18" s="44">
        <f t="shared" si="37"/>
        <v>94963.040999999968</v>
      </c>
      <c r="AE18" s="44">
        <f t="shared" ref="AE18" si="38">AE10+SUM(AE13:AE17)</f>
        <v>97714.999999999942</v>
      </c>
    </row>
    <row r="19" spans="2:32" s="30" customFormat="1" ht="13.5" customHeight="1">
      <c r="B19" s="69" t="s">
        <v>161</v>
      </c>
      <c r="C19" s="52">
        <v>3451.143</v>
      </c>
      <c r="D19" s="52">
        <v>14263.669</v>
      </c>
      <c r="E19" s="52">
        <v>22870.538</v>
      </c>
      <c r="F19" s="52">
        <v>39402.491999999998</v>
      </c>
      <c r="G19" s="52">
        <v>38102.053</v>
      </c>
      <c r="H19" s="52">
        <v>27522.242999999999</v>
      </c>
      <c r="I19" s="7">
        <f t="shared" ref="I19:I24" si="39">AE19+AB19+AC19+AD19</f>
        <v>23045.073</v>
      </c>
      <c r="K19" s="151">
        <v>3352.77</v>
      </c>
      <c r="L19" s="151">
        <v>3464.8049999999998</v>
      </c>
      <c r="M19" s="151">
        <v>2689.3719999999998</v>
      </c>
      <c r="N19" s="7">
        <f t="shared" ref="N19:N24" si="40">D19-SUM(K19:M19)</f>
        <v>4756.7219999999998</v>
      </c>
      <c r="O19" s="52">
        <v>6348.2939999999999</v>
      </c>
      <c r="P19" s="52">
        <v>6505.17</v>
      </c>
      <c r="Q19" s="52">
        <v>4680.2640000000001</v>
      </c>
      <c r="R19" s="7">
        <f t="shared" ref="R19:R24" si="41">E19-SUM(O19:Q19)</f>
        <v>5336.8100000000013</v>
      </c>
      <c r="S19" s="52">
        <v>10393.133</v>
      </c>
      <c r="T19" s="52">
        <v>13458.819</v>
      </c>
      <c r="U19" s="52">
        <v>10560.575000000001</v>
      </c>
      <c r="V19" s="7">
        <f t="shared" ref="V19:V24" si="42">F19-SUM(S19:U19)</f>
        <v>4989.9649999999965</v>
      </c>
      <c r="W19" s="52">
        <f>12703.221</f>
        <v>12703.221</v>
      </c>
      <c r="X19" s="52">
        <v>9103.8629999999994</v>
      </c>
      <c r="Y19" s="52">
        <v>7834.17</v>
      </c>
      <c r="Z19" s="7">
        <f t="shared" ref="Z19:Z24" si="43">G19-SUM(W19:Y19)</f>
        <v>8460.7989999999991</v>
      </c>
      <c r="AA19" s="52">
        <v>9495.9590000000007</v>
      </c>
      <c r="AB19" s="52">
        <v>7982.0550000000003</v>
      </c>
      <c r="AC19" s="52">
        <v>5392.8140000000003</v>
      </c>
      <c r="AD19" s="7">
        <f t="shared" ref="AD19:AD24" si="44">H19-SUM(AA19:AC19)</f>
        <v>4651.4149999999972</v>
      </c>
      <c r="AE19" s="52">
        <v>5018.7889999999998</v>
      </c>
    </row>
    <row r="20" spans="2:32" s="30" customFormat="1" ht="13.5" customHeight="1">
      <c r="B20" s="69" t="s">
        <v>162</v>
      </c>
      <c r="C20" s="52">
        <v>-28714.062999999998</v>
      </c>
      <c r="D20" s="52">
        <v>-35660.493000000002</v>
      </c>
      <c r="E20" s="52">
        <v>-75930.875</v>
      </c>
      <c r="F20" s="52">
        <v>-77023.047999999995</v>
      </c>
      <c r="G20" s="52">
        <v>-97165.278000000006</v>
      </c>
      <c r="H20" s="52">
        <v>-79947.714000000007</v>
      </c>
      <c r="I20" s="7">
        <f t="shared" si="39"/>
        <v>-77524.63900000001</v>
      </c>
      <c r="K20" s="151">
        <v>-7168.1970000000001</v>
      </c>
      <c r="L20" s="151">
        <v>-6941.6750000000002</v>
      </c>
      <c r="M20" s="151">
        <v>-8903.4590000000007</v>
      </c>
      <c r="N20" s="7">
        <f t="shared" si="40"/>
        <v>-12647.162000000004</v>
      </c>
      <c r="O20" s="52">
        <v>-12718.816999999999</v>
      </c>
      <c r="P20" s="52">
        <v>-17018.053</v>
      </c>
      <c r="Q20" s="52">
        <v>-23375.161</v>
      </c>
      <c r="R20" s="7">
        <f t="shared" si="41"/>
        <v>-22818.843999999997</v>
      </c>
      <c r="S20" s="52">
        <v>-20451.345000000001</v>
      </c>
      <c r="T20" s="52">
        <v>-19000.454000000002</v>
      </c>
      <c r="U20" s="52">
        <v>-21375.537</v>
      </c>
      <c r="V20" s="7">
        <f t="shared" si="42"/>
        <v>-16195.712</v>
      </c>
      <c r="W20" s="52">
        <f>-19368.518</f>
        <v>-19368.518</v>
      </c>
      <c r="X20" s="52">
        <v>-21389.853999999999</v>
      </c>
      <c r="Y20" s="52">
        <v>-27687.402999999998</v>
      </c>
      <c r="Z20" s="7">
        <f t="shared" si="43"/>
        <v>-28719.503000000012</v>
      </c>
      <c r="AA20" s="52">
        <v>-20752.883999999998</v>
      </c>
      <c r="AB20" s="52">
        <v>-18154.517</v>
      </c>
      <c r="AC20" s="52">
        <v>-20330.452000000001</v>
      </c>
      <c r="AD20" s="7">
        <f t="shared" si="44"/>
        <v>-20709.861000000004</v>
      </c>
      <c r="AE20" s="52">
        <v>-18329.809000000001</v>
      </c>
    </row>
    <row r="21" spans="2:32" s="30" customFormat="1" ht="13.5" customHeight="1">
      <c r="B21" s="69" t="s">
        <v>163</v>
      </c>
      <c r="C21" s="52">
        <v>-8437.2090000000007</v>
      </c>
      <c r="D21" s="52">
        <v>226.02600000000001</v>
      </c>
      <c r="E21" s="52">
        <v>-10978.067999999999</v>
      </c>
      <c r="F21" s="52">
        <v>-19217.758000000002</v>
      </c>
      <c r="G21" s="52">
        <v>-9494.7029999999995</v>
      </c>
      <c r="H21" s="52">
        <v>-14352.591</v>
      </c>
      <c r="I21" s="7">
        <f t="shared" si="39"/>
        <v>-15194.615000000002</v>
      </c>
      <c r="K21" s="151">
        <v>-596.47500000000002</v>
      </c>
      <c r="L21" s="151">
        <v>-1752.1320000000001</v>
      </c>
      <c r="M21" s="151">
        <v>-1013.287</v>
      </c>
      <c r="N21" s="7">
        <f t="shared" si="40"/>
        <v>3587.92</v>
      </c>
      <c r="O21" s="52">
        <v>-564.64</v>
      </c>
      <c r="P21" s="52">
        <v>-3837.0659999999998</v>
      </c>
      <c r="Q21" s="52">
        <v>-3495.4369999999999</v>
      </c>
      <c r="R21" s="7">
        <f t="shared" si="41"/>
        <v>-3080.9249999999993</v>
      </c>
      <c r="S21" s="52">
        <v>-3818.77</v>
      </c>
      <c r="T21" s="52">
        <v>-6179.91</v>
      </c>
      <c r="U21" s="52">
        <v>-11709.227000000001</v>
      </c>
      <c r="V21" s="7">
        <f t="shared" si="42"/>
        <v>2490.1489999999976</v>
      </c>
      <c r="W21" s="52">
        <f>(-3317.839)</f>
        <v>-3317.8389999999999</v>
      </c>
      <c r="X21" s="52">
        <v>-2577.643</v>
      </c>
      <c r="Y21" s="52">
        <v>-530.84100000000001</v>
      </c>
      <c r="Z21" s="7">
        <f t="shared" si="43"/>
        <v>-3068.3799999999992</v>
      </c>
      <c r="AA21" s="52">
        <v>-1517.971</v>
      </c>
      <c r="AB21" s="52">
        <v>-6064.9570000000003</v>
      </c>
      <c r="AC21" s="52">
        <v>-5357.183</v>
      </c>
      <c r="AD21" s="7">
        <f t="shared" si="44"/>
        <v>-1412.4799999999996</v>
      </c>
      <c r="AE21" s="52">
        <v>-2359.9949999999999</v>
      </c>
    </row>
    <row r="22" spans="2:32" s="30" customFormat="1" ht="13.5" customHeight="1">
      <c r="B22" s="69" t="s">
        <v>164</v>
      </c>
      <c r="C22" s="52">
        <v>2551.8229999999999</v>
      </c>
      <c r="D22" s="52">
        <v>-10149.344999999999</v>
      </c>
      <c r="E22" s="52">
        <v>-20173.381000000001</v>
      </c>
      <c r="F22" s="52">
        <v>-65944.570000000007</v>
      </c>
      <c r="G22" s="52">
        <v>-17797.269</v>
      </c>
      <c r="H22" s="52">
        <v>1473.55</v>
      </c>
      <c r="I22" s="7">
        <f t="shared" si="39"/>
        <v>7.9879999999993743</v>
      </c>
      <c r="K22" s="151">
        <v>-1387.3119999999999</v>
      </c>
      <c r="L22" s="151">
        <v>-1378.951</v>
      </c>
      <c r="M22" s="151">
        <v>-4483.4539999999997</v>
      </c>
      <c r="N22" s="7">
        <f t="shared" si="40"/>
        <v>-2899.6279999999997</v>
      </c>
      <c r="O22" s="52">
        <v>1594.2249999999999</v>
      </c>
      <c r="P22" s="52">
        <v>-11430.455</v>
      </c>
      <c r="Q22" s="52">
        <v>-8095.7749999999996</v>
      </c>
      <c r="R22" s="7">
        <f t="shared" si="41"/>
        <v>-2241.3760000000038</v>
      </c>
      <c r="S22" s="52">
        <v>-4327.3689999999997</v>
      </c>
      <c r="T22" s="52">
        <v>-7117.3649999999998</v>
      </c>
      <c r="U22" s="52">
        <v>-24484.632000000001</v>
      </c>
      <c r="V22" s="7">
        <f t="shared" si="42"/>
        <v>-30015.204000000005</v>
      </c>
      <c r="W22" s="52">
        <f>(-8467.435)</f>
        <v>-8467.4349999999995</v>
      </c>
      <c r="X22" s="52">
        <v>1.6279999999999999</v>
      </c>
      <c r="Y22" s="52">
        <v>4573.0110000000004</v>
      </c>
      <c r="Z22" s="7">
        <f t="shared" si="43"/>
        <v>-13904.473000000002</v>
      </c>
      <c r="AA22" s="52">
        <v>-444.23700000000002</v>
      </c>
      <c r="AB22" s="52">
        <v>1916.962</v>
      </c>
      <c r="AC22" s="52">
        <v>-9350.0229999999992</v>
      </c>
      <c r="AD22" s="7">
        <f t="shared" si="44"/>
        <v>9350.8479999999981</v>
      </c>
      <c r="AE22" s="52">
        <v>-1909.799</v>
      </c>
    </row>
    <row r="23" spans="2:32" s="30" customFormat="1" ht="13.5" customHeight="1">
      <c r="B23" s="69" t="s">
        <v>165</v>
      </c>
      <c r="C23" s="52">
        <v>-429.19799999999998</v>
      </c>
      <c r="D23" s="52">
        <v>2529.2979999999998</v>
      </c>
      <c r="E23" s="52">
        <v>1198.5650000000001</v>
      </c>
      <c r="F23" s="52">
        <v>-14025.895</v>
      </c>
      <c r="G23" s="52">
        <v>-10722.032999999999</v>
      </c>
      <c r="H23" s="52">
        <v>-17631.013999999999</v>
      </c>
      <c r="I23" s="7">
        <f t="shared" si="39"/>
        <v>-14480.092999999997</v>
      </c>
      <c r="K23" s="151">
        <v>67.941999999999993</v>
      </c>
      <c r="L23" s="151">
        <v>729.55799999999999</v>
      </c>
      <c r="M23" s="151">
        <v>551.58900000000006</v>
      </c>
      <c r="N23" s="7">
        <f t="shared" si="40"/>
        <v>1180.2089999999998</v>
      </c>
      <c r="O23" s="52">
        <v>-3591.6750000000002</v>
      </c>
      <c r="P23" s="52">
        <v>-1480.671</v>
      </c>
      <c r="Q23" s="52">
        <v>4641.027</v>
      </c>
      <c r="R23" s="7">
        <f t="shared" si="41"/>
        <v>1629.8840000000005</v>
      </c>
      <c r="S23" s="52">
        <v>-1656.078</v>
      </c>
      <c r="T23" s="52">
        <v>-3533.3850000000002</v>
      </c>
      <c r="U23" s="52">
        <v>-692.54499999999996</v>
      </c>
      <c r="V23" s="7">
        <f t="shared" si="42"/>
        <v>-8143.8870000000006</v>
      </c>
      <c r="W23" s="52">
        <f>(-1879.441)</f>
        <v>-1879.441</v>
      </c>
      <c r="X23" s="52">
        <v>-3395.306</v>
      </c>
      <c r="Y23" s="52">
        <v>54.079000000000001</v>
      </c>
      <c r="Z23" s="7">
        <f t="shared" si="43"/>
        <v>-5501.3649999999989</v>
      </c>
      <c r="AA23" s="52">
        <v>-6017.4210000000003</v>
      </c>
      <c r="AB23" s="52">
        <v>-6474.768</v>
      </c>
      <c r="AC23" s="52">
        <v>-2553.2460000000001</v>
      </c>
      <c r="AD23" s="7">
        <f t="shared" si="44"/>
        <v>-2585.5789999999979</v>
      </c>
      <c r="AE23" s="52">
        <v>-2866.5</v>
      </c>
    </row>
    <row r="24" spans="2:32" s="30" customFormat="1" ht="13.5" customHeight="1">
      <c r="B24" s="69" t="s">
        <v>166</v>
      </c>
      <c r="C24" s="52">
        <v>0</v>
      </c>
      <c r="D24" s="52">
        <v>0</v>
      </c>
      <c r="E24" s="52">
        <v>0</v>
      </c>
      <c r="F24" s="52">
        <v>0</v>
      </c>
      <c r="G24" s="52">
        <v>0</v>
      </c>
      <c r="H24" s="52">
        <v>0</v>
      </c>
      <c r="I24" s="7">
        <f t="shared" si="39"/>
        <v>0</v>
      </c>
      <c r="K24" s="151">
        <v>0</v>
      </c>
      <c r="L24" s="151">
        <v>0</v>
      </c>
      <c r="M24" s="151">
        <v>0</v>
      </c>
      <c r="N24" s="7">
        <f t="shared" si="40"/>
        <v>0</v>
      </c>
      <c r="O24" s="52">
        <v>0</v>
      </c>
      <c r="P24" s="52">
        <v>0</v>
      </c>
      <c r="Q24" s="52">
        <v>0</v>
      </c>
      <c r="R24" s="7">
        <f t="shared" si="41"/>
        <v>0</v>
      </c>
      <c r="S24" s="52"/>
      <c r="T24" s="52"/>
      <c r="U24" s="52">
        <v>0</v>
      </c>
      <c r="V24" s="7">
        <f t="shared" si="42"/>
        <v>0</v>
      </c>
      <c r="W24" s="52">
        <v>0</v>
      </c>
      <c r="X24" s="52"/>
      <c r="Y24" s="52">
        <v>0</v>
      </c>
      <c r="Z24" s="7">
        <f t="shared" si="43"/>
        <v>0</v>
      </c>
      <c r="AA24" s="52">
        <v>0</v>
      </c>
      <c r="AB24" s="52">
        <v>0</v>
      </c>
      <c r="AC24" s="52">
        <v>0</v>
      </c>
      <c r="AD24" s="7">
        <f t="shared" si="44"/>
        <v>0</v>
      </c>
      <c r="AE24" s="52">
        <v>0</v>
      </c>
    </row>
    <row r="25" spans="2:32" s="19" customFormat="1" ht="13.5" customHeight="1">
      <c r="B25" s="19" t="s">
        <v>167</v>
      </c>
      <c r="C25" s="44">
        <f t="shared" ref="C25:I25" si="45">C18+SUM(C19:C24)</f>
        <v>143603.27600000001</v>
      </c>
      <c r="D25" s="44">
        <f t="shared" si="45"/>
        <v>301680.45399999979</v>
      </c>
      <c r="E25" s="44">
        <f t="shared" si="45"/>
        <v>135748.39499999993</v>
      </c>
      <c r="F25" s="44">
        <f t="shared" si="45"/>
        <v>103158.18799999982</v>
      </c>
      <c r="G25" s="44">
        <f t="shared" si="45"/>
        <v>165529.723</v>
      </c>
      <c r="H25" s="44">
        <f t="shared" si="45"/>
        <v>110240.81699999988</v>
      </c>
      <c r="I25" s="44">
        <f t="shared" si="45"/>
        <v>122306.26299999964</v>
      </c>
      <c r="K25" s="150">
        <v>92976.771000000008</v>
      </c>
      <c r="L25" s="150">
        <v>30529.755000000019</v>
      </c>
      <c r="M25" s="150">
        <v>67608.759000000005</v>
      </c>
      <c r="N25" s="44">
        <f t="shared" ref="N25:AA25" si="46">N18+SUM(N19:N24)</f>
        <v>107993.54399999972</v>
      </c>
      <c r="O25" s="44">
        <f t="shared" si="46"/>
        <v>87156.046000000046</v>
      </c>
      <c r="P25" s="44">
        <f t="shared" si="46"/>
        <v>-16529.440000000021</v>
      </c>
      <c r="Q25" s="44">
        <f t="shared" si="46"/>
        <v>7666.427000000047</v>
      </c>
      <c r="R25" s="44">
        <f t="shared" si="46"/>
        <v>52170.695999999938</v>
      </c>
      <c r="S25" s="44">
        <f t="shared" si="46"/>
        <v>76107.421999999962</v>
      </c>
      <c r="T25" s="44">
        <f t="shared" si="46"/>
        <v>-13142.275000000074</v>
      </c>
      <c r="U25" s="44">
        <f t="shared" si="46"/>
        <v>8433.5639999999985</v>
      </c>
      <c r="V25" s="44">
        <f t="shared" si="46"/>
        <v>30109.870999999985</v>
      </c>
      <c r="W25" s="44">
        <f t="shared" si="46"/>
        <v>69648.530999999944</v>
      </c>
      <c r="X25" s="44">
        <f t="shared" si="46"/>
        <v>-21069.855999999934</v>
      </c>
      <c r="Y25" s="44">
        <f t="shared" si="46"/>
        <v>13559.739999999987</v>
      </c>
      <c r="Z25" s="44">
        <f t="shared" si="46"/>
        <v>103391.3079999999</v>
      </c>
      <c r="AA25" s="44">
        <f t="shared" si="46"/>
        <v>65202.240000000056</v>
      </c>
      <c r="AB25" s="44">
        <f t="shared" ref="AB25:AE25" si="47">AB18+SUM(AB19:AB24)</f>
        <v>-47600.214000000058</v>
      </c>
      <c r="AC25" s="263">
        <f t="shared" si="47"/>
        <v>8381.4069999999774</v>
      </c>
      <c r="AD25" s="44">
        <f t="shared" si="47"/>
        <v>84257.383999999962</v>
      </c>
      <c r="AE25" s="263">
        <f t="shared" si="47"/>
        <v>77267.685999999943</v>
      </c>
      <c r="AF25" s="263"/>
    </row>
    <row r="26" spans="2:32" ht="13.5" customHeight="1">
      <c r="B26" s="16" t="s">
        <v>168</v>
      </c>
      <c r="C26" s="52">
        <v>-35408.42</v>
      </c>
      <c r="D26" s="52">
        <v>-82629.773000000001</v>
      </c>
      <c r="E26" s="52">
        <v>-263.94299999999998</v>
      </c>
      <c r="F26" s="52">
        <v>15267.254999999999</v>
      </c>
      <c r="G26" s="52">
        <v>11015.074000000001</v>
      </c>
      <c r="H26" s="264">
        <v>27051.866999999998</v>
      </c>
      <c r="I26" s="7">
        <f>AE26+AB26+AC26+AD26</f>
        <v>12546.152999999998</v>
      </c>
      <c r="J26" s="194"/>
      <c r="K26" s="151">
        <v>-23531.532999999999</v>
      </c>
      <c r="L26" s="151">
        <v>-7973.3209999999999</v>
      </c>
      <c r="M26" s="151">
        <v>-20856.945</v>
      </c>
      <c r="N26" s="7">
        <f>D26-SUM(K26:M26)</f>
        <v>-30267.974000000002</v>
      </c>
      <c r="O26" s="52">
        <v>-17564.609</v>
      </c>
      <c r="P26" s="52">
        <v>8020.38</v>
      </c>
      <c r="Q26" s="52">
        <v>10185.069</v>
      </c>
      <c r="R26" s="7">
        <f>E26-SUM(O26:Q26)</f>
        <v>-904.78300000000013</v>
      </c>
      <c r="S26" s="52">
        <v>-15347.635</v>
      </c>
      <c r="T26" s="52">
        <v>8695.3889999999992</v>
      </c>
      <c r="U26" s="52">
        <v>4226.5749999999998</v>
      </c>
      <c r="V26" s="7">
        <f>F26-SUM(S26:U26)</f>
        <v>17692.925999999999</v>
      </c>
      <c r="W26" s="52">
        <f>(-14620.924)</f>
        <v>-14620.924000000001</v>
      </c>
      <c r="X26" s="52">
        <v>27900.465</v>
      </c>
      <c r="Y26" s="52">
        <v>18994.161</v>
      </c>
      <c r="Z26" s="7">
        <f>G26-SUM(W26:Y26)</f>
        <v>-21258.627999999997</v>
      </c>
      <c r="AA26" s="52">
        <v>-3714.2739999999999</v>
      </c>
      <c r="AB26" s="52">
        <v>36387.682000000001</v>
      </c>
      <c r="AC26" s="52">
        <v>12304.255999999999</v>
      </c>
      <c r="AD26" s="7">
        <f>H26-SUM(AA26:AC26)</f>
        <v>-17925.796999999999</v>
      </c>
      <c r="AE26" s="52">
        <v>-18219.988000000001</v>
      </c>
      <c r="AF26" s="196"/>
    </row>
    <row r="27" spans="2:32" s="19" customFormat="1" ht="13.5" customHeight="1">
      <c r="B27" s="19" t="s">
        <v>169</v>
      </c>
      <c r="C27" s="44">
        <f t="shared" ref="C27" si="48">+C25+C26</f>
        <v>108194.85600000001</v>
      </c>
      <c r="D27" s="44">
        <f t="shared" ref="D27" si="49">+D25+D26</f>
        <v>219050.68099999981</v>
      </c>
      <c r="E27" s="44">
        <f t="shared" ref="E27:F27" si="50">+E25+E26</f>
        <v>135484.45199999993</v>
      </c>
      <c r="F27" s="44">
        <f t="shared" si="50"/>
        <v>118425.44299999982</v>
      </c>
      <c r="G27" s="44">
        <f t="shared" ref="G27:H27" si="51">+G25+G26</f>
        <v>176544.79699999999</v>
      </c>
      <c r="H27" s="44">
        <f t="shared" si="51"/>
        <v>137292.68399999989</v>
      </c>
      <c r="I27" s="44">
        <f t="shared" ref="I27" si="52">+I25+I26</f>
        <v>134852.41599999965</v>
      </c>
      <c r="K27" s="150">
        <v>69445.238000000012</v>
      </c>
      <c r="L27" s="150">
        <v>22556.434000000019</v>
      </c>
      <c r="M27" s="150">
        <v>46751.814000000006</v>
      </c>
      <c r="N27" s="44">
        <f t="shared" ref="N27" si="53">+N25+N26</f>
        <v>77725.569999999716</v>
      </c>
      <c r="O27" s="44">
        <f t="shared" ref="O27:P27" si="54">+O25+O26</f>
        <v>69591.437000000049</v>
      </c>
      <c r="P27" s="44">
        <f t="shared" si="54"/>
        <v>-8509.0600000000195</v>
      </c>
      <c r="Q27" s="44">
        <f t="shared" ref="Q27:T27" si="55">+Q25+Q26</f>
        <v>17851.496000000046</v>
      </c>
      <c r="R27" s="44">
        <f t="shared" si="55"/>
        <v>51265.912999999935</v>
      </c>
      <c r="S27" s="44">
        <f t="shared" si="55"/>
        <v>60759.78699999996</v>
      </c>
      <c r="T27" s="44">
        <f t="shared" si="55"/>
        <v>-4446.886000000075</v>
      </c>
      <c r="U27" s="44">
        <f t="shared" ref="U27:Y27" si="56">+U25+U26</f>
        <v>12660.138999999999</v>
      </c>
      <c r="V27" s="44">
        <f t="shared" si="56"/>
        <v>47802.796999999984</v>
      </c>
      <c r="W27" s="44">
        <f t="shared" si="56"/>
        <v>55027.606999999945</v>
      </c>
      <c r="X27" s="44">
        <f t="shared" si="56"/>
        <v>6830.6090000000659</v>
      </c>
      <c r="Y27" s="44">
        <f t="shared" si="56"/>
        <v>32553.900999999987</v>
      </c>
      <c r="Z27" s="44">
        <f t="shared" ref="Z27:AC27" si="57">+Z25+Z26</f>
        <v>82132.679999999906</v>
      </c>
      <c r="AA27" s="44">
        <f t="shared" si="57"/>
        <v>61487.966000000059</v>
      </c>
      <c r="AB27" s="44">
        <f t="shared" si="57"/>
        <v>-11212.532000000057</v>
      </c>
      <c r="AC27" s="44">
        <f t="shared" si="57"/>
        <v>20685.662999999979</v>
      </c>
      <c r="AD27" s="44">
        <f t="shared" ref="AD27:AE27" si="58">+AD25+AD26</f>
        <v>66331.58699999997</v>
      </c>
      <c r="AE27" s="44">
        <f t="shared" si="58"/>
        <v>59047.697999999946</v>
      </c>
    </row>
    <row r="28" spans="2:32" s="30" customFormat="1" ht="13.5" customHeight="1">
      <c r="B28" s="35" t="s">
        <v>170</v>
      </c>
      <c r="C28" s="68">
        <f t="shared" ref="C28:I28" si="59">+C27/C7</f>
        <v>5.8244629749434368E-2</v>
      </c>
      <c r="D28" s="68">
        <f t="shared" si="59"/>
        <v>8.8159374734526535E-2</v>
      </c>
      <c r="E28" s="68">
        <f t="shared" si="59"/>
        <v>4.9967804722711694E-2</v>
      </c>
      <c r="F28" s="68">
        <f t="shared" si="59"/>
        <v>4.6159756367546122E-2</v>
      </c>
      <c r="G28" s="68">
        <f t="shared" si="59"/>
        <v>6.078180678457977E-2</v>
      </c>
      <c r="H28" s="68">
        <f t="shared" si="59"/>
        <v>4.7185689860655869E-2</v>
      </c>
      <c r="I28" s="261">
        <f t="shared" si="59"/>
        <v>4.6317636692392868E-2</v>
      </c>
      <c r="K28" s="152">
        <v>0.12191086356209148</v>
      </c>
      <c r="L28" s="152">
        <v>4.799296560407617E-2</v>
      </c>
      <c r="M28" s="152">
        <v>7.5075621863740241E-2</v>
      </c>
      <c r="N28" s="68">
        <f t="shared" ref="N28:AA28" si="60">+N27/N7</f>
        <v>9.451656993192116E-2</v>
      </c>
      <c r="O28" s="68">
        <f t="shared" si="60"/>
        <v>9.9350351487261526E-2</v>
      </c>
      <c r="P28" s="68">
        <f t="shared" si="60"/>
        <v>-1.5235480861008446E-2</v>
      </c>
      <c r="Q28" s="68">
        <f t="shared" si="60"/>
        <v>2.6094652194270065E-2</v>
      </c>
      <c r="R28" s="68">
        <f t="shared" si="60"/>
        <v>6.6721076465457177E-2</v>
      </c>
      <c r="S28" s="68">
        <f t="shared" si="60"/>
        <v>8.300168572561302E-2</v>
      </c>
      <c r="T28" s="68">
        <f t="shared" si="60"/>
        <v>-7.7439272988504551E-3</v>
      </c>
      <c r="U28" s="68">
        <f t="shared" si="60"/>
        <v>1.8436820707641507E-2</v>
      </c>
      <c r="V28" s="68">
        <f t="shared" si="60"/>
        <v>8.3482776368985476E-2</v>
      </c>
      <c r="W28" s="68">
        <f t="shared" si="60"/>
        <v>7.3761177023394867E-2</v>
      </c>
      <c r="X28" s="68">
        <f t="shared" si="60"/>
        <v>1.30195747903511E-2</v>
      </c>
      <c r="Y28" s="68">
        <f t="shared" si="60"/>
        <v>4.8892705270295787E-2</v>
      </c>
      <c r="Z28" s="68">
        <f t="shared" si="60"/>
        <v>8.4840998184361582E-2</v>
      </c>
      <c r="AA28" s="68">
        <f t="shared" si="60"/>
        <v>7.5198945243708848E-2</v>
      </c>
      <c r="AB28" s="68">
        <f t="shared" ref="AB28:AE28" si="61">+AB27/AB7</f>
        <v>-1.9334821911779036E-2</v>
      </c>
      <c r="AC28" s="68">
        <f t="shared" si="61"/>
        <v>3.1407209605827574E-2</v>
      </c>
      <c r="AD28" s="68">
        <f t="shared" si="61"/>
        <v>7.7725062679609366E-2</v>
      </c>
      <c r="AE28" s="68">
        <f t="shared" si="61"/>
        <v>7.2051979399398058E-2</v>
      </c>
    </row>
    <row r="29" spans="2:32" ht="13.5" customHeight="1">
      <c r="B29" s="16" t="s">
        <v>171</v>
      </c>
      <c r="C29" s="52">
        <v>-12042.584000000001</v>
      </c>
      <c r="D29" s="52">
        <v>-19887.95</v>
      </c>
      <c r="E29" s="52">
        <v>-17316.100999999999</v>
      </c>
      <c r="F29" s="52">
        <v>-12772.715</v>
      </c>
      <c r="G29" s="52">
        <v>-15600.659</v>
      </c>
      <c r="H29" s="52">
        <v>-20140.476999999999</v>
      </c>
      <c r="I29" s="7">
        <f>AE29+AB29+AC29+AD29</f>
        <v>-21621.841999999997</v>
      </c>
      <c r="J29" s="194"/>
      <c r="K29" s="151">
        <v>-5061.3670000000002</v>
      </c>
      <c r="L29" s="151">
        <v>-3588.5709999999999</v>
      </c>
      <c r="M29" s="151">
        <v>-4583.7439999999997</v>
      </c>
      <c r="N29" s="7">
        <f>D29-SUM(K29:M29)</f>
        <v>-6654.268</v>
      </c>
      <c r="O29" s="52">
        <v>-5861.5659999999998</v>
      </c>
      <c r="P29" s="52">
        <v>-3060.2950000000001</v>
      </c>
      <c r="Q29" s="52">
        <v>-2174.1030000000001</v>
      </c>
      <c r="R29" s="7">
        <f>E29-SUM(O29:Q29)</f>
        <v>-6220.1369999999988</v>
      </c>
      <c r="S29" s="52">
        <v>-3193.4319999999998</v>
      </c>
      <c r="T29" s="52">
        <v>-344.58600000000001</v>
      </c>
      <c r="U29" s="52">
        <v>-3161.3220000000001</v>
      </c>
      <c r="V29" s="7">
        <f>F29-SUM(S29:U29)</f>
        <v>-6073.375</v>
      </c>
      <c r="W29" s="52">
        <f>-2824.874</f>
        <v>-2824.8739999999998</v>
      </c>
      <c r="X29" s="52">
        <v>-1790.357</v>
      </c>
      <c r="Y29" s="52">
        <v>3005.4560000000001</v>
      </c>
      <c r="Z29" s="7">
        <f>G29-SUM(W29:Y29)</f>
        <v>-13990.884</v>
      </c>
      <c r="AA29" s="52">
        <v>-3710.3580000000002</v>
      </c>
      <c r="AB29" s="52">
        <v>-5.49</v>
      </c>
      <c r="AC29" s="52">
        <v>-5189.17</v>
      </c>
      <c r="AD29" s="7">
        <f>H29-SUM(AA29:AC29)</f>
        <v>-11235.458999999999</v>
      </c>
      <c r="AE29" s="52">
        <v>-5191.723</v>
      </c>
    </row>
    <row r="30" spans="2:32" s="19" customFormat="1" ht="13.5" customHeight="1">
      <c r="B30" s="19" t="s">
        <v>169</v>
      </c>
      <c r="C30" s="44">
        <f t="shared" ref="C30" si="62">+C27+C29</f>
        <v>96152.272000000012</v>
      </c>
      <c r="D30" s="44">
        <f t="shared" ref="D30:E30" si="63">+D27+D29</f>
        <v>199162.7309999998</v>
      </c>
      <c r="E30" s="44">
        <f t="shared" si="63"/>
        <v>118168.35099999994</v>
      </c>
      <c r="F30" s="44">
        <f t="shared" ref="F30:G30" si="64">+F27+F29</f>
        <v>105652.72799999983</v>
      </c>
      <c r="G30" s="44">
        <f t="shared" si="64"/>
        <v>160944.13799999998</v>
      </c>
      <c r="H30" s="44">
        <f t="shared" ref="H30:I30" si="65">+H27+H29</f>
        <v>117152.20699999989</v>
      </c>
      <c r="I30" s="44">
        <f t="shared" si="65"/>
        <v>113230.57399999964</v>
      </c>
      <c r="J30" s="194"/>
      <c r="K30" s="150">
        <v>64383.871000000014</v>
      </c>
      <c r="L30" s="150">
        <v>18967.863000000019</v>
      </c>
      <c r="M30" s="150">
        <v>42168.070000000007</v>
      </c>
      <c r="N30" s="44">
        <f t="shared" ref="N30" si="66">+N27+N29</f>
        <v>71071.30199999972</v>
      </c>
      <c r="O30" s="44">
        <f t="shared" ref="O30:P30" si="67">+O27+O29</f>
        <v>63729.87100000005</v>
      </c>
      <c r="P30" s="44">
        <f t="shared" si="67"/>
        <v>-11569.35500000002</v>
      </c>
      <c r="Q30" s="44">
        <f t="shared" ref="Q30:T30" si="68">+Q27+Q29</f>
        <v>15677.393000000047</v>
      </c>
      <c r="R30" s="44">
        <f t="shared" si="68"/>
        <v>45045.77599999994</v>
      </c>
      <c r="S30" s="44">
        <f t="shared" si="68"/>
        <v>57566.35499999996</v>
      </c>
      <c r="T30" s="44">
        <f t="shared" si="68"/>
        <v>-4791.4720000000752</v>
      </c>
      <c r="U30" s="44">
        <f t="shared" ref="U30:Y30" si="69">+U27+U29</f>
        <v>9498.8169999999991</v>
      </c>
      <c r="V30" s="44">
        <f t="shared" si="69"/>
        <v>41729.421999999984</v>
      </c>
      <c r="W30" s="44">
        <f t="shared" si="69"/>
        <v>52202.732999999949</v>
      </c>
      <c r="X30" s="44">
        <f t="shared" si="69"/>
        <v>5040.2520000000659</v>
      </c>
      <c r="Y30" s="44">
        <f t="shared" si="69"/>
        <v>35559.356999999989</v>
      </c>
      <c r="Z30" s="44">
        <f t="shared" ref="Z30:AC30" si="70">+Z27+Z29</f>
        <v>68141.7959999999</v>
      </c>
      <c r="AA30" s="44">
        <f t="shared" si="70"/>
        <v>57777.608000000058</v>
      </c>
      <c r="AB30" s="44">
        <f t="shared" si="70"/>
        <v>-11218.022000000057</v>
      </c>
      <c r="AC30" s="44">
        <f t="shared" si="70"/>
        <v>15496.492999999979</v>
      </c>
      <c r="AD30" s="44">
        <f t="shared" ref="AD30:AE30" si="71">+AD27+AD29</f>
        <v>55096.127999999968</v>
      </c>
      <c r="AE30" s="44">
        <f t="shared" si="71"/>
        <v>53855.974999999948</v>
      </c>
    </row>
    <row r="31" spans="2:32" s="19" customFormat="1" ht="13.5" customHeight="1">
      <c r="B31" s="63"/>
      <c r="C31" s="91"/>
      <c r="D31" s="91"/>
      <c r="E31" s="91"/>
      <c r="F31" s="91"/>
      <c r="G31" s="91"/>
      <c r="H31" s="91"/>
      <c r="I31" s="91"/>
      <c r="J31" s="194"/>
      <c r="K31" s="91"/>
      <c r="L31" s="91"/>
      <c r="M31" s="91"/>
      <c r="N31" s="91"/>
      <c r="O31" s="91"/>
      <c r="P31" s="91"/>
      <c r="Q31" s="91"/>
      <c r="R31" s="91"/>
      <c r="S31" s="91"/>
      <c r="T31" s="91"/>
      <c r="U31" s="91"/>
      <c r="V31" s="91"/>
      <c r="W31" s="91"/>
      <c r="X31" s="91"/>
      <c r="Z31" s="91"/>
      <c r="AA31" s="91"/>
      <c r="AB31" s="91"/>
      <c r="AD31" s="91"/>
      <c r="AE31" s="91"/>
    </row>
    <row r="32" spans="2:32" s="19" customFormat="1" ht="13.5" customHeight="1">
      <c r="B32" s="266" t="s">
        <v>172</v>
      </c>
      <c r="C32" s="202"/>
      <c r="D32" s="202"/>
      <c r="E32" s="202"/>
      <c r="F32" s="202"/>
      <c r="G32" s="202"/>
      <c r="H32" s="202"/>
      <c r="I32" s="206"/>
      <c r="J32" s="194"/>
      <c r="K32" s="203"/>
      <c r="L32" s="203"/>
      <c r="M32" s="203"/>
      <c r="N32" s="203"/>
      <c r="O32" s="203"/>
      <c r="P32" s="203"/>
      <c r="Q32" s="203"/>
      <c r="R32" s="203"/>
      <c r="S32" s="203"/>
      <c r="T32" s="203"/>
      <c r="U32" s="203"/>
      <c r="V32" s="203"/>
      <c r="W32" s="203"/>
      <c r="X32" s="203"/>
      <c r="Y32" s="203"/>
      <c r="Z32" s="203"/>
      <c r="AA32" s="203"/>
      <c r="AB32" s="203"/>
      <c r="AC32" s="203"/>
      <c r="AD32" s="203"/>
      <c r="AE32" s="203"/>
    </row>
    <row r="33" spans="2:31" s="30" customFormat="1" ht="13.5" customHeight="1">
      <c r="B33" s="302" t="str">
        <f>B14</f>
        <v>Distribution costs</v>
      </c>
      <c r="C33" s="67">
        <f t="shared" ref="C33:H33" si="72">-C14/C7</f>
        <v>0.18147216637975658</v>
      </c>
      <c r="D33" s="67">
        <f t="shared" si="72"/>
        <v>0.17652021102419152</v>
      </c>
      <c r="E33" s="67">
        <f t="shared" si="72"/>
        <v>0.18594738862235838</v>
      </c>
      <c r="F33" s="67">
        <f t="shared" si="72"/>
        <v>0.18324324151283497</v>
      </c>
      <c r="G33" s="67">
        <f t="shared" si="72"/>
        <v>0.18468165507498491</v>
      </c>
      <c r="H33" s="67">
        <f t="shared" si="72"/>
        <v>0.1881318278874223</v>
      </c>
      <c r="I33" s="67">
        <f t="shared" ref="I33" si="73">-I14/I7</f>
        <v>0.18899409140290077</v>
      </c>
      <c r="J33" s="194"/>
      <c r="K33" s="67">
        <f t="shared" ref="K33:Z33" si="74">-K14/K7</f>
        <v>0.16796448699649064</v>
      </c>
      <c r="L33" s="67">
        <f t="shared" si="74"/>
        <v>0.18282362086613482</v>
      </c>
      <c r="M33" s="67">
        <f t="shared" si="74"/>
        <v>0.17881526776949061</v>
      </c>
      <c r="N33" s="67">
        <f t="shared" si="74"/>
        <v>0.17710622727615943</v>
      </c>
      <c r="O33" s="67">
        <f t="shared" si="74"/>
        <v>0.17514462715499546</v>
      </c>
      <c r="P33" s="67">
        <f t="shared" si="74"/>
        <v>0.19465499304386763</v>
      </c>
      <c r="Q33" s="67">
        <f t="shared" si="74"/>
        <v>0.1934421521673553</v>
      </c>
      <c r="R33" s="67">
        <f t="shared" si="74"/>
        <v>0.18279330615011649</v>
      </c>
      <c r="S33" s="67">
        <f t="shared" si="74"/>
        <v>0.18926688161200617</v>
      </c>
      <c r="T33" s="67">
        <f t="shared" si="74"/>
        <v>0.20341571221621987</v>
      </c>
      <c r="U33" s="67">
        <f t="shared" si="74"/>
        <v>0.17789782346342664</v>
      </c>
      <c r="V33" s="67">
        <f t="shared" si="74"/>
        <v>0.16172273073598806</v>
      </c>
      <c r="W33" s="67">
        <f t="shared" si="74"/>
        <v>0.1806278796007928</v>
      </c>
      <c r="X33" s="67">
        <f t="shared" si="74"/>
        <v>0.2152643930951392</v>
      </c>
      <c r="Y33" s="67">
        <f t="shared" si="74"/>
        <v>0.1893649325612638</v>
      </c>
      <c r="Z33" s="67">
        <f t="shared" si="74"/>
        <v>0.1680104787124018</v>
      </c>
      <c r="AA33" s="67">
        <f t="shared" ref="AA33:AD33" si="75">-AA14/AA7</f>
        <v>0.18184737305783816</v>
      </c>
      <c r="AB33" s="67">
        <f t="shared" si="75"/>
        <v>0.20947665815653557</v>
      </c>
      <c r="AC33" s="67">
        <f t="shared" si="75"/>
        <v>0.18962552011845379</v>
      </c>
      <c r="AD33" s="67">
        <f t="shared" si="75"/>
        <v>0.17849600537654739</v>
      </c>
      <c r="AE33" s="67">
        <f t="shared" ref="AE33" si="76">-AE14/AE7</f>
        <v>0.18492485971088282</v>
      </c>
    </row>
    <row r="34" spans="2:31" s="30" customFormat="1" ht="13.5" customHeight="1">
      <c r="B34" s="302" t="str">
        <f>B15</f>
        <v>Administrative expenses</v>
      </c>
      <c r="C34" s="67">
        <f>-C15/C7</f>
        <v>7.4726604447455491E-2</v>
      </c>
      <c r="D34" s="67">
        <f t="shared" ref="D34:AD34" si="77">-D15/D7</f>
        <v>6.4953508017435338E-2</v>
      </c>
      <c r="E34" s="67">
        <f t="shared" si="77"/>
        <v>6.9122733753301177E-2</v>
      </c>
      <c r="F34" s="67">
        <f t="shared" si="77"/>
        <v>7.688647834956866E-2</v>
      </c>
      <c r="G34" s="67">
        <f t="shared" si="77"/>
        <v>7.3992140446307045E-2</v>
      </c>
      <c r="H34" s="67">
        <f t="shared" si="77"/>
        <v>7.0769156607953895E-2</v>
      </c>
      <c r="I34" s="67">
        <f t="shared" si="77"/>
        <v>7.2721225054667715E-2</v>
      </c>
      <c r="J34" s="194"/>
      <c r="K34" s="67">
        <f t="shared" si="77"/>
        <v>5.6986414227598724E-2</v>
      </c>
      <c r="L34" s="67">
        <f t="shared" si="77"/>
        <v>7.3925511133441008E-2</v>
      </c>
      <c r="M34" s="67">
        <f t="shared" si="77"/>
        <v>6.7103780177139388E-2</v>
      </c>
      <c r="N34" s="67">
        <f t="shared" si="77"/>
        <v>6.3716246734196805E-2</v>
      </c>
      <c r="O34" s="67">
        <f t="shared" si="77"/>
        <v>5.0607941214130453E-2</v>
      </c>
      <c r="P34" s="67">
        <f t="shared" si="77"/>
        <v>8.1811545309764241E-2</v>
      </c>
      <c r="Q34" s="67">
        <f t="shared" si="77"/>
        <v>8.0339214036617895E-2</v>
      </c>
      <c r="R34" s="67">
        <f t="shared" si="77"/>
        <v>6.6791759331533182E-2</v>
      </c>
      <c r="S34" s="67">
        <f t="shared" si="77"/>
        <v>4.4203628880572769E-2</v>
      </c>
      <c r="T34" s="67">
        <f t="shared" si="77"/>
        <v>9.1383892402534209E-2</v>
      </c>
      <c r="U34" s="67">
        <f t="shared" si="77"/>
        <v>9.1207699651399091E-2</v>
      </c>
      <c r="V34" s="67">
        <f t="shared" si="77"/>
        <v>8.6955832139155601E-2</v>
      </c>
      <c r="W34" s="67">
        <f t="shared" si="77"/>
        <v>5.7117690621372015E-2</v>
      </c>
      <c r="X34" s="67">
        <f t="shared" si="77"/>
        <v>0.10805462788025333</v>
      </c>
      <c r="Y34" s="67">
        <f t="shared" si="77"/>
        <v>8.6703256596293923E-2</v>
      </c>
      <c r="Z34" s="67">
        <f t="shared" si="77"/>
        <v>5.979368687443163E-2</v>
      </c>
      <c r="AA34" s="67">
        <f t="shared" si="77"/>
        <v>6.412500532258962E-2</v>
      </c>
      <c r="AB34" s="67">
        <f t="shared" si="77"/>
        <v>9.4335593448724733E-2</v>
      </c>
      <c r="AC34" s="67">
        <f t="shared" si="77"/>
        <v>6.8215997643537252E-2</v>
      </c>
      <c r="AD34" s="67">
        <f t="shared" si="77"/>
        <v>6.3091520094587183E-2</v>
      </c>
      <c r="AE34" s="67">
        <f t="shared" ref="AE34" si="78">-AE15/AE7</f>
        <v>7.1075022629321846E-2</v>
      </c>
    </row>
    <row r="35" spans="2:31" s="30" customFormat="1" ht="13.5" customHeight="1">
      <c r="B35" s="302" t="str">
        <f>B16</f>
        <v>Other expenses by function</v>
      </c>
      <c r="C35" s="67">
        <f>-C16/C7</f>
        <v>0.12400427969156771</v>
      </c>
      <c r="D35" s="67">
        <f t="shared" ref="D35:AD35" si="79">-D16/D7</f>
        <v>0.11433410632155769</v>
      </c>
      <c r="E35" s="67">
        <f t="shared" si="79"/>
        <v>0.10280796343855342</v>
      </c>
      <c r="F35" s="67">
        <f t="shared" si="79"/>
        <v>0.10551448767071517</v>
      </c>
      <c r="G35" s="67">
        <f t="shared" si="79"/>
        <v>0.11698237013378385</v>
      </c>
      <c r="H35" s="67">
        <f t="shared" si="79"/>
        <v>0.11316466771567776</v>
      </c>
      <c r="I35" s="67">
        <f t="shared" si="79"/>
        <v>0.11114145874240905</v>
      </c>
      <c r="J35" s="194"/>
      <c r="K35" s="67">
        <f t="shared" si="79"/>
        <v>0.11593343702652506</v>
      </c>
      <c r="L35" s="67">
        <f t="shared" si="79"/>
        <v>0.13969217722010099</v>
      </c>
      <c r="M35" s="67">
        <f t="shared" si="79"/>
        <v>0.11575547858107609</v>
      </c>
      <c r="N35" s="67">
        <f t="shared" si="79"/>
        <v>9.7657081103770554E-2</v>
      </c>
      <c r="O35" s="67">
        <f t="shared" si="79"/>
        <v>8.6389305742972725E-2</v>
      </c>
      <c r="P35" s="67">
        <f t="shared" si="79"/>
        <v>0.13193534556573569</v>
      </c>
      <c r="Q35" s="67">
        <f t="shared" si="79"/>
        <v>0.10687406147064721</v>
      </c>
      <c r="R35" s="67">
        <f t="shared" si="79"/>
        <v>9.2983587536107443E-2</v>
      </c>
      <c r="S35" s="67">
        <f t="shared" si="79"/>
        <v>0.11012780406950086</v>
      </c>
      <c r="T35" s="67">
        <f t="shared" si="79"/>
        <v>0.11846147823227669</v>
      </c>
      <c r="U35" s="67">
        <f t="shared" si="79"/>
        <v>0.12176626339025301</v>
      </c>
      <c r="V35" s="67">
        <f t="shared" si="79"/>
        <v>6.7143454778198386E-2</v>
      </c>
      <c r="W35" s="67">
        <f t="shared" si="79"/>
        <v>0.11650207647078026</v>
      </c>
      <c r="X35" s="67">
        <f t="shared" si="79"/>
        <v>0.13479637154348456</v>
      </c>
      <c r="Y35" s="67">
        <f t="shared" si="79"/>
        <v>0.10830445710224439</v>
      </c>
      <c r="Z35" s="67">
        <f t="shared" si="79"/>
        <v>0.11366683360264389</v>
      </c>
      <c r="AA35" s="67">
        <f t="shared" si="79"/>
        <v>0.1150211601532334</v>
      </c>
      <c r="AB35" s="67">
        <f t="shared" si="79"/>
        <v>0.13687216302821478</v>
      </c>
      <c r="AC35" s="67">
        <f t="shared" si="79"/>
        <v>0.11362631229873954</v>
      </c>
      <c r="AD35" s="67">
        <f t="shared" si="79"/>
        <v>9.491986075714165E-2</v>
      </c>
      <c r="AE35" s="67">
        <f t="shared" ref="AE35" si="80">-AE16/AE7</f>
        <v>0.10782918057101898</v>
      </c>
    </row>
    <row r="36" spans="2:31" s="30" customFormat="1" ht="13.5" customHeight="1">
      <c r="B36" s="302" t="s">
        <v>173</v>
      </c>
      <c r="C36" s="67">
        <f>-C20/C108</f>
        <v>6.2650334071253172E-2</v>
      </c>
      <c r="D36" s="67">
        <f t="shared" ref="D36:G36" si="81">-D20/D108</f>
        <v>6.6223148676505028E-2</v>
      </c>
      <c r="E36" s="67">
        <f t="shared" si="81"/>
        <v>5.6999551320436853E-2</v>
      </c>
      <c r="F36" s="67">
        <f t="shared" si="81"/>
        <v>5.9797792380664808E-2</v>
      </c>
      <c r="G36" s="67">
        <f t="shared" si="81"/>
        <v>7.1165522894271402E-2</v>
      </c>
      <c r="H36" s="67">
        <f t="shared" ref="H36:I36" si="82">-H20/H108</f>
        <v>6.6730308919082576E-2</v>
      </c>
      <c r="I36" s="67">
        <f t="shared" si="82"/>
        <v>6.6449538250101331E-2</v>
      </c>
      <c r="J36" s="194"/>
      <c r="K36" s="67"/>
      <c r="L36" s="67"/>
      <c r="M36" s="67"/>
      <c r="N36" s="67">
        <f>-SUM(K20:N20)/N108</f>
        <v>6.6223148676505028E-2</v>
      </c>
      <c r="O36" s="67">
        <f t="shared" ref="O36:AE36" si="83">-SUM(L20:O20)/O108</f>
        <v>4.044084261983235E-2</v>
      </c>
      <c r="P36" s="67">
        <f t="shared" si="83"/>
        <v>4.2637557482514396E-2</v>
      </c>
      <c r="Q36" s="67">
        <f t="shared" si="83"/>
        <v>5.0224193937410344E-2</v>
      </c>
      <c r="R36" s="67">
        <f t="shared" si="83"/>
        <v>5.6999551320436853E-2</v>
      </c>
      <c r="S36" s="67">
        <f t="shared" si="83"/>
        <v>6.6731718379342345E-2</v>
      </c>
      <c r="T36" s="67">
        <f t="shared" si="83"/>
        <v>6.601563225784797E-2</v>
      </c>
      <c r="U36" s="67">
        <f t="shared" si="83"/>
        <v>6.3494598644701195E-2</v>
      </c>
      <c r="V36" s="67">
        <f t="shared" si="83"/>
        <v>5.9797792380664808E-2</v>
      </c>
      <c r="W36" s="67">
        <f t="shared" si="83"/>
        <v>5.6316408822014968E-2</v>
      </c>
      <c r="X36" s="67">
        <f t="shared" si="83"/>
        <v>5.7001719180314277E-2</v>
      </c>
      <c r="Y36" s="67">
        <f t="shared" si="83"/>
        <v>6.3229707987449355E-2</v>
      </c>
      <c r="Z36" s="67">
        <f t="shared" si="83"/>
        <v>7.1165522894271402E-2</v>
      </c>
      <c r="AA36" s="67">
        <f t="shared" si="83"/>
        <v>7.4003157664193311E-2</v>
      </c>
      <c r="AB36" s="67">
        <f t="shared" si="83"/>
        <v>8.0417342575415052E-2</v>
      </c>
      <c r="AC36" s="67">
        <f t="shared" si="83"/>
        <v>7.2091740241281718E-2</v>
      </c>
      <c r="AD36" s="67">
        <f t="shared" si="83"/>
        <v>6.6730308919082576E-2</v>
      </c>
      <c r="AE36" s="67">
        <f t="shared" si="83"/>
        <v>6.6449538250101317E-2</v>
      </c>
    </row>
    <row r="37" spans="2:31" s="30" customFormat="1" ht="13.5" customHeight="1">
      <c r="B37" s="302" t="s">
        <v>174</v>
      </c>
      <c r="C37" s="67">
        <f>C19/C119</f>
        <v>8.7064546712868549E-3</v>
      </c>
      <c r="D37" s="67">
        <f t="shared" ref="D37:G37" si="84">D19/D119</f>
        <v>5.3710018851095172E-2</v>
      </c>
      <c r="E37" s="67">
        <f t="shared" si="84"/>
        <v>3.8303868562035499E-2</v>
      </c>
      <c r="F37" s="67">
        <f t="shared" si="84"/>
        <v>6.3742192042961665E-2</v>
      </c>
      <c r="G37" s="67">
        <f t="shared" si="84"/>
        <v>5.38832182921435E-2</v>
      </c>
      <c r="H37" s="67">
        <f t="shared" ref="H37:I37" si="85">H19/H119</f>
        <v>5.3011400303190861E-2</v>
      </c>
      <c r="I37" s="67">
        <f t="shared" si="85"/>
        <v>3.768186295597066E-2</v>
      </c>
      <c r="J37" s="194"/>
      <c r="K37" s="67"/>
      <c r="L37" s="67"/>
      <c r="M37" s="67"/>
      <c r="N37" s="67">
        <f>SUM(K19:N19)/N119</f>
        <v>5.3710018851095172E-2</v>
      </c>
      <c r="O37" s="67">
        <f t="shared" ref="O37:AE37" si="86">SUM(L19:O19)/O119</f>
        <v>2.3257784210384529E-2</v>
      </c>
      <c r="P37" s="67">
        <f t="shared" si="86"/>
        <v>3.1521093468988619E-2</v>
      </c>
      <c r="Q37" s="67">
        <f t="shared" si="86"/>
        <v>3.5076322711969352E-2</v>
      </c>
      <c r="R37" s="67">
        <f t="shared" si="86"/>
        <v>3.8303868562035499E-2</v>
      </c>
      <c r="S37" s="67">
        <f t="shared" si="86"/>
        <v>4.7029408203181695E-2</v>
      </c>
      <c r="T37" s="67">
        <f t="shared" si="86"/>
        <v>5.730649888970922E-2</v>
      </c>
      <c r="U37" s="67">
        <f t="shared" si="86"/>
        <v>6.3444044271044428E-2</v>
      </c>
      <c r="V37" s="67">
        <f t="shared" si="86"/>
        <v>6.3742192042961665E-2</v>
      </c>
      <c r="W37" s="67">
        <f t="shared" si="86"/>
        <v>6.024466921815199E-2</v>
      </c>
      <c r="X37" s="67">
        <f t="shared" si="86"/>
        <v>5.8688681759825306E-2</v>
      </c>
      <c r="Y37" s="67">
        <f t="shared" si="86"/>
        <v>5.7788140126110825E-2</v>
      </c>
      <c r="Z37" s="67">
        <f t="shared" si="86"/>
        <v>5.38832182921435E-2</v>
      </c>
      <c r="AA37" s="67">
        <f t="shared" si="86"/>
        <v>4.5233609099780595E-2</v>
      </c>
      <c r="AB37" s="67">
        <f t="shared" si="86"/>
        <v>6.6058302379364414E-2</v>
      </c>
      <c r="AC37" s="67">
        <f t="shared" si="86"/>
        <v>6.2815958086525348E-2</v>
      </c>
      <c r="AD37" s="67">
        <f t="shared" si="86"/>
        <v>5.3011400303190861E-2</v>
      </c>
      <c r="AE37" s="67">
        <f t="shared" si="86"/>
        <v>3.768186295597066E-2</v>
      </c>
    </row>
    <row r="38" spans="2:31" s="30" customFormat="1" ht="13.5" customHeight="1">
      <c r="B38" s="303" t="s">
        <v>175</v>
      </c>
      <c r="C38" s="67">
        <f t="shared" ref="C38:E38" si="87">-C26/C25</f>
        <v>0.24657111582886171</v>
      </c>
      <c r="D38" s="67">
        <f t="shared" si="87"/>
        <v>0.27389833151073173</v>
      </c>
      <c r="E38" s="67">
        <f t="shared" si="87"/>
        <v>1.9443544802131923E-3</v>
      </c>
      <c r="F38" s="67">
        <f t="shared" ref="F38:G38" si="88">-F26/F25</f>
        <v>-0.14799847977166899</v>
      </c>
      <c r="G38" s="67">
        <f t="shared" si="88"/>
        <v>-6.6544387318282411E-2</v>
      </c>
      <c r="H38" s="67">
        <f t="shared" ref="H38:I38" si="89">-H26/H25</f>
        <v>-0.24538884721799575</v>
      </c>
      <c r="I38" s="67">
        <f t="shared" si="89"/>
        <v>-0.10257980819837521</v>
      </c>
      <c r="J38" s="194"/>
      <c r="K38" s="67">
        <f t="shared" ref="K38:T38" si="90">-K26/K25</f>
        <v>0.25309045202268854</v>
      </c>
      <c r="L38" s="67">
        <f t="shared" si="90"/>
        <v>0.26116557437162513</v>
      </c>
      <c r="M38" s="67">
        <f t="shared" si="90"/>
        <v>0.30849471737826156</v>
      </c>
      <c r="N38" s="67">
        <f t="shared" si="90"/>
        <v>0.28027577278138111</v>
      </c>
      <c r="O38" s="67">
        <f t="shared" si="90"/>
        <v>0.20153058572666308</v>
      </c>
      <c r="P38" s="67">
        <f t="shared" si="90"/>
        <v>0.48521789001926202</v>
      </c>
      <c r="Q38" s="67">
        <f t="shared" si="90"/>
        <v>-1.3285287918348323</v>
      </c>
      <c r="R38" s="67">
        <f t="shared" si="90"/>
        <v>1.7342743520232146E-2</v>
      </c>
      <c r="S38" s="67">
        <f t="shared" si="90"/>
        <v>0.20165753347945498</v>
      </c>
      <c r="T38" s="67">
        <f t="shared" si="90"/>
        <v>0.66163499089769084</v>
      </c>
      <c r="U38" s="67">
        <f t="shared" ref="U38:X38" si="91">-U26/U25</f>
        <v>-0.50116119353573418</v>
      </c>
      <c r="V38" s="67">
        <f t="shared" si="91"/>
        <v>-0.5876121488531123</v>
      </c>
      <c r="W38" s="67">
        <f t="shared" si="91"/>
        <v>0.209924370120599</v>
      </c>
      <c r="X38" s="67">
        <f t="shared" si="91"/>
        <v>1.3241886892819812</v>
      </c>
      <c r="Y38" s="67">
        <f t="shared" ref="Y38:AB38" si="92">-Y26/Y25</f>
        <v>-1.400776194823796</v>
      </c>
      <c r="Z38" s="67">
        <f t="shared" si="92"/>
        <v>0.2056132997176128</v>
      </c>
      <c r="AA38" s="67">
        <f t="shared" si="92"/>
        <v>5.6965435543318704E-2</v>
      </c>
      <c r="AB38" s="67">
        <f t="shared" si="92"/>
        <v>0.76444366405579511</v>
      </c>
      <c r="AC38" s="67">
        <f t="shared" ref="AC38:AE38" si="93">-AC26/AC25</f>
        <v>-1.4680418216177824</v>
      </c>
      <c r="AD38" s="67">
        <f t="shared" si="93"/>
        <v>0.21275045757413982</v>
      </c>
      <c r="AE38" s="67">
        <f t="shared" si="93"/>
        <v>0.23580346381797967</v>
      </c>
    </row>
    <row r="39" spans="2:31" s="30" customFormat="1" ht="13.5" customHeight="1">
      <c r="B39" s="63"/>
      <c r="C39" s="268"/>
      <c r="D39" s="268"/>
      <c r="E39" s="268"/>
      <c r="F39" s="268"/>
      <c r="G39" s="268"/>
      <c r="H39" s="268"/>
      <c r="I39" s="268"/>
      <c r="J39" s="194"/>
      <c r="K39" s="268"/>
      <c r="L39" s="268"/>
      <c r="M39" s="268"/>
      <c r="N39" s="268"/>
      <c r="O39" s="268"/>
      <c r="P39" s="268"/>
      <c r="Q39" s="268"/>
      <c r="R39" s="268"/>
      <c r="S39" s="268"/>
      <c r="T39" s="268"/>
      <c r="U39" s="268"/>
      <c r="V39" s="268"/>
      <c r="W39" s="268"/>
      <c r="X39" s="268"/>
      <c r="Y39" s="268"/>
      <c r="Z39" s="268"/>
      <c r="AA39" s="268"/>
      <c r="AB39" s="268"/>
      <c r="AC39" s="268"/>
      <c r="AD39" s="268"/>
      <c r="AE39" s="268"/>
    </row>
    <row r="40" spans="2:31" ht="13.5" customHeight="1">
      <c r="B40" s="32" t="s">
        <v>176</v>
      </c>
      <c r="C40" s="267">
        <f t="shared" ref="C40:H40" si="94">C60/C7</f>
        <v>0.46370505197208139</v>
      </c>
      <c r="D40" s="267">
        <f t="shared" si="94"/>
        <v>0.43894697256456594</v>
      </c>
      <c r="E40" s="267">
        <f t="shared" si="94"/>
        <v>0.31097275102319727</v>
      </c>
      <c r="F40" s="267">
        <f t="shared" si="94"/>
        <v>0.41309328672722395</v>
      </c>
      <c r="G40" s="267">
        <f t="shared" si="94"/>
        <v>0.39827043633548764</v>
      </c>
      <c r="H40" s="267">
        <f t="shared" si="94"/>
        <v>0.40326479850062136</v>
      </c>
      <c r="I40" s="267">
        <f t="shared" ref="I40" si="95">I60/I7</f>
        <v>0.41410095095682614</v>
      </c>
      <c r="J40" s="194"/>
      <c r="K40" s="267">
        <f t="shared" ref="K40:Z40" si="96">K60/K7</f>
        <v>0.59092139502359187</v>
      </c>
      <c r="L40" s="267">
        <f t="shared" si="96"/>
        <v>0.44365835737520593</v>
      </c>
      <c r="M40" s="267">
        <f t="shared" si="96"/>
        <v>0.38111730791315029</v>
      </c>
      <c r="N40" s="267">
        <f t="shared" si="96"/>
        <v>0.37477381475141797</v>
      </c>
      <c r="O40" s="267">
        <f t="shared" si="96"/>
        <v>0.44609453038569669</v>
      </c>
      <c r="P40" s="267">
        <f t="shared" si="96"/>
        <v>0.23257376411327563</v>
      </c>
      <c r="Q40" s="267">
        <f t="shared" si="96"/>
        <v>0.25032777727781463</v>
      </c>
      <c r="R40" s="267">
        <f t="shared" si="96"/>
        <v>0.2987721865574382</v>
      </c>
      <c r="S40" s="267">
        <f t="shared" si="96"/>
        <v>0.47883922183657862</v>
      </c>
      <c r="T40" s="267">
        <f t="shared" si="96"/>
        <v>0.42691737942272007</v>
      </c>
      <c r="U40" s="267">
        <f t="shared" si="96"/>
        <v>0.35653045538712203</v>
      </c>
      <c r="V40" s="267">
        <f t="shared" si="96"/>
        <v>0.38300976286692029</v>
      </c>
      <c r="W40" s="267">
        <f t="shared" si="96"/>
        <v>0.50870486627332068</v>
      </c>
      <c r="X40" s="267">
        <f t="shared" si="96"/>
        <v>0.2114202460479862</v>
      </c>
      <c r="Y40" s="267">
        <f t="shared" si="96"/>
        <v>0.52576139303223368</v>
      </c>
      <c r="Z40" s="267">
        <f t="shared" si="96"/>
        <v>0.32674330871569218</v>
      </c>
      <c r="AA40" s="267">
        <f t="shared" ref="AA40:AD40" si="97">AA60/AA7</f>
        <v>0.52165492154774096</v>
      </c>
      <c r="AB40" s="267">
        <f t="shared" si="97"/>
        <v>0.34870627631324896</v>
      </c>
      <c r="AC40" s="267">
        <f t="shared" si="97"/>
        <v>0.3228072155685266</v>
      </c>
      <c r="AD40" s="267">
        <f t="shared" si="97"/>
        <v>0.389000579489579</v>
      </c>
      <c r="AE40" s="267">
        <f t="shared" ref="AE40" si="98">AE60/AE7</f>
        <v>0.5598857419228177</v>
      </c>
    </row>
    <row r="41" spans="2:31" s="30" customFormat="1" ht="13.5" customHeight="1">
      <c r="B41" s="32" t="s">
        <v>177</v>
      </c>
      <c r="C41" s="67">
        <f t="shared" ref="C41:H41" si="99">-C64/C7</f>
        <v>6.2780922642653392E-2</v>
      </c>
      <c r="D41" s="67">
        <f t="shared" si="99"/>
        <v>6.8225265502370361E-2</v>
      </c>
      <c r="E41" s="67">
        <f t="shared" si="99"/>
        <v>6.8261659434803459E-2</v>
      </c>
      <c r="F41" s="67">
        <f t="shared" si="99"/>
        <v>4.8008725509564164E-2</v>
      </c>
      <c r="G41" s="67">
        <f t="shared" si="99"/>
        <v>3.4596397290760694E-2</v>
      </c>
      <c r="H41" s="67">
        <f t="shared" si="99"/>
        <v>4.7924791177451923E-2</v>
      </c>
      <c r="I41" s="67">
        <f t="shared" ref="I41" si="100">-I64/I7</f>
        <v>5.2186982487393091E-2</v>
      </c>
      <c r="J41" s="194"/>
      <c r="K41" s="67">
        <f t="shared" ref="K41:Z41" si="101">-K64/K7</f>
        <v>4.9412572643142194E-2</v>
      </c>
      <c r="L41" s="67">
        <f t="shared" si="101"/>
        <v>8.6456551225038994E-2</v>
      </c>
      <c r="M41" s="67">
        <f t="shared" si="101"/>
        <v>5.7544596316436353E-2</v>
      </c>
      <c r="N41" s="67">
        <f t="shared" si="101"/>
        <v>7.8925126317262104E-2</v>
      </c>
      <c r="O41" s="67">
        <f t="shared" si="101"/>
        <v>3.8880676010432096E-2</v>
      </c>
      <c r="P41" s="67">
        <f t="shared" si="101"/>
        <v>8.4083470910062491E-2</v>
      </c>
      <c r="Q41" s="67">
        <f t="shared" si="101"/>
        <v>8.2327388273506635E-2</v>
      </c>
      <c r="R41" s="67">
        <f t="shared" si="101"/>
        <v>7.1022570715432137E-2</v>
      </c>
      <c r="S41" s="67">
        <f t="shared" si="101"/>
        <v>2.9996712200996468E-2</v>
      </c>
      <c r="T41" s="67">
        <f t="shared" si="101"/>
        <v>5.2017866072677055E-2</v>
      </c>
      <c r="U41" s="67">
        <f t="shared" si="101"/>
        <v>6.5664823741720557E-2</v>
      </c>
      <c r="V41" s="67">
        <f t="shared" si="101"/>
        <v>4.5841613529568566E-2</v>
      </c>
      <c r="W41" s="67">
        <f t="shared" si="101"/>
        <v>5.9462120615849053E-2</v>
      </c>
      <c r="X41" s="67">
        <f t="shared" si="101"/>
        <v>-2.5867237897645376E-2</v>
      </c>
      <c r="Y41" s="67">
        <f t="shared" si="101"/>
        <v>4.8443954058728068E-2</v>
      </c>
      <c r="Z41" s="67">
        <f t="shared" si="101"/>
        <v>3.8677970027734931E-2</v>
      </c>
      <c r="AA41" s="67">
        <f t="shared" ref="AA41:AD41" si="102">-AA64/AA7</f>
        <v>3.1475160392554706E-2</v>
      </c>
      <c r="AB41" s="67">
        <f t="shared" si="102"/>
        <v>5.6546537241913795E-2</v>
      </c>
      <c r="AC41" s="67">
        <f t="shared" si="102"/>
        <v>6.1624014041847724E-2</v>
      </c>
      <c r="AD41" s="67">
        <f t="shared" si="102"/>
        <v>4.7254329481212172E-2</v>
      </c>
      <c r="AE41" s="67">
        <f t="shared" ref="AE41" si="103">-AE64/AE7</f>
        <v>4.6654361400869017E-2</v>
      </c>
    </row>
    <row r="42" spans="2:31" s="1" customFormat="1" ht="13.5" customHeight="1">
      <c r="J42" s="194"/>
    </row>
    <row r="43" spans="2:31" ht="13.5" customHeight="1">
      <c r="B43" s="40" t="s">
        <v>178</v>
      </c>
      <c r="C43" s="45">
        <f t="shared" ref="C43:H43" si="104">C3</f>
        <v>44196</v>
      </c>
      <c r="D43" s="45">
        <f t="shared" si="104"/>
        <v>44561</v>
      </c>
      <c r="E43" s="45">
        <f t="shared" si="104"/>
        <v>44926</v>
      </c>
      <c r="F43" s="45">
        <f t="shared" si="104"/>
        <v>45291</v>
      </c>
      <c r="G43" s="45">
        <f t="shared" si="104"/>
        <v>45657</v>
      </c>
      <c r="H43" s="45">
        <f t="shared" si="104"/>
        <v>46022</v>
      </c>
      <c r="I43" s="45">
        <f t="shared" ref="I43" si="105">I3</f>
        <v>46112</v>
      </c>
      <c r="J43" s="194"/>
      <c r="K43" s="45">
        <f t="shared" ref="K43:Z43" si="106">K3</f>
        <v>44286</v>
      </c>
      <c r="L43" s="45">
        <f t="shared" si="106"/>
        <v>44377</v>
      </c>
      <c r="M43" s="45">
        <f t="shared" si="106"/>
        <v>44469</v>
      </c>
      <c r="N43" s="45">
        <f t="shared" si="106"/>
        <v>44561</v>
      </c>
      <c r="O43" s="45">
        <f t="shared" si="106"/>
        <v>44651</v>
      </c>
      <c r="P43" s="45">
        <f t="shared" si="106"/>
        <v>44742</v>
      </c>
      <c r="Q43" s="45">
        <f t="shared" si="106"/>
        <v>44834</v>
      </c>
      <c r="R43" s="45">
        <f t="shared" si="106"/>
        <v>44926</v>
      </c>
      <c r="S43" s="45">
        <f t="shared" si="106"/>
        <v>45016</v>
      </c>
      <c r="T43" s="45">
        <f t="shared" si="106"/>
        <v>45107</v>
      </c>
      <c r="U43" s="45">
        <f t="shared" si="106"/>
        <v>45199</v>
      </c>
      <c r="V43" s="45">
        <f t="shared" si="106"/>
        <v>45291</v>
      </c>
      <c r="W43" s="45">
        <f t="shared" si="106"/>
        <v>45382</v>
      </c>
      <c r="X43" s="45">
        <f t="shared" si="106"/>
        <v>45473</v>
      </c>
      <c r="Y43" s="45">
        <f t="shared" si="106"/>
        <v>45565</v>
      </c>
      <c r="Z43" s="45">
        <f t="shared" si="106"/>
        <v>45657</v>
      </c>
      <c r="AA43" s="45">
        <f t="shared" ref="AA43:AD43" si="107">AA3</f>
        <v>45747</v>
      </c>
      <c r="AB43" s="45">
        <f t="shared" si="107"/>
        <v>45838</v>
      </c>
      <c r="AC43" s="45">
        <f t="shared" si="107"/>
        <v>45930</v>
      </c>
      <c r="AD43" s="45">
        <f t="shared" si="107"/>
        <v>46022</v>
      </c>
      <c r="AE43" s="45">
        <f t="shared" ref="AE43" si="108">AE3</f>
        <v>46112</v>
      </c>
    </row>
    <row r="44" spans="2:31" s="19" customFormat="1" ht="13.5" customHeight="1">
      <c r="B44" s="61" t="s">
        <v>160</v>
      </c>
      <c r="C44" s="44">
        <f t="shared" ref="C44:H44" si="109">C18</f>
        <v>175180.78000000003</v>
      </c>
      <c r="D44" s="44">
        <f t="shared" si="109"/>
        <v>330471.29899999977</v>
      </c>
      <c r="E44" s="44">
        <f t="shared" si="109"/>
        <v>218761.61599999992</v>
      </c>
      <c r="F44" s="44">
        <f t="shared" si="109"/>
        <v>239966.96699999983</v>
      </c>
      <c r="G44" s="44">
        <f t="shared" si="109"/>
        <v>262606.95299999998</v>
      </c>
      <c r="H44" s="44">
        <f t="shared" si="109"/>
        <v>193176.34299999988</v>
      </c>
      <c r="I44" s="44">
        <f>I18</f>
        <v>206452.54899999965</v>
      </c>
      <c r="J44" s="44"/>
      <c r="K44" s="44">
        <f t="shared" ref="K44:Z44" si="110">K18</f>
        <v>94146.466000000015</v>
      </c>
      <c r="L44" s="44">
        <f t="shared" si="110"/>
        <v>35841.066000000021</v>
      </c>
      <c r="M44" s="44">
        <f t="shared" si="110"/>
        <v>74659.845000000001</v>
      </c>
      <c r="N44" s="44">
        <f t="shared" si="110"/>
        <v>114015.48299999972</v>
      </c>
      <c r="O44" s="44">
        <f t="shared" si="110"/>
        <v>96088.659000000043</v>
      </c>
      <c r="P44" s="44">
        <f t="shared" si="110"/>
        <v>10731.63499999998</v>
      </c>
      <c r="Q44" s="44">
        <f t="shared" si="110"/>
        <v>33311.509000000049</v>
      </c>
      <c r="R44" s="44">
        <f t="shared" si="110"/>
        <v>73345.146999999939</v>
      </c>
      <c r="S44" s="44">
        <f t="shared" si="110"/>
        <v>95967.850999999966</v>
      </c>
      <c r="T44" s="44">
        <f t="shared" si="110"/>
        <v>9230.0199999999313</v>
      </c>
      <c r="U44" s="44">
        <f t="shared" si="110"/>
        <v>56134.929999999993</v>
      </c>
      <c r="V44" s="44">
        <f t="shared" si="110"/>
        <v>76984.56</v>
      </c>
      <c r="W44" s="44">
        <f t="shared" si="110"/>
        <v>89978.542999999947</v>
      </c>
      <c r="X44" s="44">
        <f t="shared" si="110"/>
        <v>-2812.5439999999362</v>
      </c>
      <c r="Y44" s="44">
        <f t="shared" si="110"/>
        <v>29316.723999999987</v>
      </c>
      <c r="Z44" s="44">
        <f t="shared" si="110"/>
        <v>146124.22999999992</v>
      </c>
      <c r="AA44" s="44">
        <f t="shared" ref="AA44:AD44" si="111">AA18</f>
        <v>84438.794000000053</v>
      </c>
      <c r="AB44" s="44">
        <f t="shared" si="111"/>
        <v>-26804.98900000006</v>
      </c>
      <c r="AC44" s="44">
        <f t="shared" si="111"/>
        <v>40579.496999999974</v>
      </c>
      <c r="AD44" s="44">
        <f t="shared" si="111"/>
        <v>94963.040999999968</v>
      </c>
      <c r="AE44" s="44">
        <f t="shared" ref="AE44" si="112">AE18</f>
        <v>97714.999999999942</v>
      </c>
    </row>
    <row r="45" spans="2:31" ht="13.5" customHeight="1">
      <c r="B45" s="63" t="s">
        <v>179</v>
      </c>
      <c r="C45" s="142">
        <v>109813.976</v>
      </c>
      <c r="D45" s="142">
        <v>124116.739</v>
      </c>
      <c r="E45" s="142">
        <v>126497.493</v>
      </c>
      <c r="F45" s="142">
        <v>126119.198</v>
      </c>
      <c r="G45" s="142">
        <v>153234.22399999999</v>
      </c>
      <c r="H45" s="142">
        <v>155358.693</v>
      </c>
      <c r="I45" s="7">
        <f>AE45+AB45+AC45+AD45</f>
        <v>155548.158</v>
      </c>
      <c r="J45" s="7"/>
      <c r="K45" s="151">
        <v>26798.422999999999</v>
      </c>
      <c r="L45" s="151">
        <v>26906.024000000001</v>
      </c>
      <c r="M45" s="151">
        <v>30008.332999999999</v>
      </c>
      <c r="N45" s="7">
        <f>D45-SUM(K45:M45)</f>
        <v>40403.959000000003</v>
      </c>
      <c r="O45" s="52">
        <v>29230.951000000001</v>
      </c>
      <c r="P45" s="52">
        <v>34141.889000000003</v>
      </c>
      <c r="Q45" s="52">
        <v>34075.411</v>
      </c>
      <c r="R45" s="7">
        <f>E45-SUM(O45:Q45)</f>
        <v>29049.241999999998</v>
      </c>
      <c r="S45" s="52">
        <v>31154.428</v>
      </c>
      <c r="T45" s="52">
        <v>34174.294999999998</v>
      </c>
      <c r="U45" s="52">
        <v>35272.290999999997</v>
      </c>
      <c r="V45" s="7">
        <f>F45-SUM(S45:U45)</f>
        <v>25518.184000000008</v>
      </c>
      <c r="W45" s="52">
        <f>35249.053</f>
        <v>35249.053</v>
      </c>
      <c r="X45" s="52">
        <v>36277.690999999999</v>
      </c>
      <c r="Y45" s="52">
        <v>36802.182000000001</v>
      </c>
      <c r="Z45" s="7">
        <f>G45-SUM(W45:Y45)</f>
        <v>44905.297999999981</v>
      </c>
      <c r="AA45" s="52">
        <v>39670.794999999998</v>
      </c>
      <c r="AB45" s="52">
        <v>37156.951999999997</v>
      </c>
      <c r="AC45" s="52">
        <v>37243.232000000004</v>
      </c>
      <c r="AD45" s="7">
        <f>H45-SUM(AA45:AC45)</f>
        <v>41287.713999999993</v>
      </c>
      <c r="AE45" s="52">
        <v>39860.26</v>
      </c>
    </row>
    <row r="46" spans="2:31" s="19" customFormat="1" ht="13.5" customHeight="1">
      <c r="B46" s="19" t="s">
        <v>178</v>
      </c>
      <c r="C46" s="44">
        <f t="shared" ref="C46" si="113">SUM(C44:C45)</f>
        <v>284994.75600000005</v>
      </c>
      <c r="D46" s="44">
        <f t="shared" ref="D46:E46" si="114">SUM(D44:D45)</f>
        <v>454588.03799999977</v>
      </c>
      <c r="E46" s="44">
        <f t="shared" si="114"/>
        <v>345259.10899999994</v>
      </c>
      <c r="F46" s="44">
        <f t="shared" ref="F46:G46" si="115">SUM(F44:F45)</f>
        <v>366086.1649999998</v>
      </c>
      <c r="G46" s="44">
        <f t="shared" si="115"/>
        <v>415841.17699999997</v>
      </c>
      <c r="H46" s="44">
        <f t="shared" ref="H46" si="116">SUM(H44:H45)</f>
        <v>348535.03599999985</v>
      </c>
      <c r="I46" s="44">
        <f>SUM(I44:I45)</f>
        <v>362000.70699999965</v>
      </c>
      <c r="J46" s="44"/>
      <c r="K46" s="44">
        <f t="shared" ref="K46:N46" si="117">SUM(K44:K45)</f>
        <v>120944.88900000001</v>
      </c>
      <c r="L46" s="44">
        <f t="shared" si="117"/>
        <v>62747.090000000026</v>
      </c>
      <c r="M46" s="44">
        <f t="shared" si="117"/>
        <v>104668.178</v>
      </c>
      <c r="N46" s="44">
        <f t="shared" si="117"/>
        <v>154419.44199999972</v>
      </c>
      <c r="O46" s="44">
        <f t="shared" ref="O46:P46" si="118">SUM(O44:O45)</f>
        <v>125319.61000000004</v>
      </c>
      <c r="P46" s="44">
        <f t="shared" si="118"/>
        <v>44873.523999999983</v>
      </c>
      <c r="Q46" s="44">
        <f t="shared" ref="Q46:R46" si="119">SUM(Q44:Q45)</f>
        <v>67386.920000000042</v>
      </c>
      <c r="R46" s="44">
        <f t="shared" si="119"/>
        <v>102394.38899999994</v>
      </c>
      <c r="S46" s="44">
        <f>SUM(S44:S45)</f>
        <v>127122.27899999997</v>
      </c>
      <c r="T46" s="44">
        <f t="shared" ref="T46:V46" si="120">SUM(T44:T45)</f>
        <v>43404.31499999993</v>
      </c>
      <c r="U46" s="44">
        <f>SUM(U44:U45)</f>
        <v>91407.22099999999</v>
      </c>
      <c r="V46" s="44">
        <f t="shared" si="120"/>
        <v>102502.74400000001</v>
      </c>
      <c r="W46" s="44">
        <f>SUM(W44:W45)</f>
        <v>125227.59599999995</v>
      </c>
      <c r="X46" s="44">
        <f t="shared" ref="X46:Z46" si="121">SUM(X44:X45)</f>
        <v>33465.147000000063</v>
      </c>
      <c r="Y46" s="44">
        <f t="shared" si="121"/>
        <v>66118.905999999988</v>
      </c>
      <c r="Z46" s="44">
        <f t="shared" si="121"/>
        <v>191029.5279999999</v>
      </c>
      <c r="AA46" s="44">
        <f>SUM(AA44:AA45)</f>
        <v>124109.58900000005</v>
      </c>
      <c r="AB46" s="44">
        <f t="shared" ref="AB46:AD46" si="122">SUM(AB44:AB45)</f>
        <v>10351.962999999938</v>
      </c>
      <c r="AC46" s="44">
        <f t="shared" si="122"/>
        <v>77822.728999999978</v>
      </c>
      <c r="AD46" s="44">
        <f t="shared" si="122"/>
        <v>136250.75499999995</v>
      </c>
      <c r="AE46" s="44">
        <f>SUM(AE44:AE45)</f>
        <v>137575.25999999995</v>
      </c>
    </row>
    <row r="47" spans="2:31" s="30" customFormat="1" ht="13.5" customHeight="1">
      <c r="B47" s="35" t="s">
        <v>180</v>
      </c>
      <c r="C47" s="65"/>
      <c r="D47" s="65">
        <f>+D46/C46-1</f>
        <v>0.59507509675020009</v>
      </c>
      <c r="E47" s="65">
        <f>+E46/D46-1</f>
        <v>-0.24050111278994957</v>
      </c>
      <c r="F47" s="65">
        <f>+F46/E46-1</f>
        <v>6.0322973260062085E-2</v>
      </c>
      <c r="G47" s="65">
        <f>+G46/F46-1</f>
        <v>0.13591065917500655</v>
      </c>
      <c r="H47" s="65">
        <f>+H46/G46-1</f>
        <v>-0.16185540230904094</v>
      </c>
      <c r="I47" s="67"/>
      <c r="J47" s="56"/>
      <c r="K47" s="65"/>
      <c r="L47" s="65"/>
      <c r="M47" s="65"/>
      <c r="N47" s="65"/>
      <c r="O47" s="65">
        <f t="shared" ref="O47:S47" si="123">O46/K46-1</f>
        <v>3.6171193641758803E-2</v>
      </c>
      <c r="P47" s="65">
        <f t="shared" si="123"/>
        <v>-0.28485091499860848</v>
      </c>
      <c r="Q47" s="65">
        <f t="shared" si="123"/>
        <v>-0.35618521992424435</v>
      </c>
      <c r="R47" s="65">
        <f t="shared" si="123"/>
        <v>-0.3369074018542294</v>
      </c>
      <c r="S47" s="65">
        <f t="shared" si="123"/>
        <v>1.4384572374586346E-2</v>
      </c>
      <c r="T47" s="65">
        <f t="shared" ref="T47" si="124">T46/P46-1</f>
        <v>-3.274111032599214E-2</v>
      </c>
      <c r="U47" s="65">
        <f t="shared" ref="U47:AE47" si="125">U46/Q46-1</f>
        <v>0.35645346307562265</v>
      </c>
      <c r="V47" s="65">
        <f t="shared" si="125"/>
        <v>1.0582122815350203E-3</v>
      </c>
      <c r="W47" s="65">
        <f t="shared" si="125"/>
        <v>-1.4904413411279571E-2</v>
      </c>
      <c r="X47" s="65">
        <f t="shared" si="125"/>
        <v>-0.2289903204324244</v>
      </c>
      <c r="Y47" s="65">
        <f t="shared" si="125"/>
        <v>-0.27665555000299158</v>
      </c>
      <c r="Z47" s="65">
        <f t="shared" si="125"/>
        <v>0.86365282084545836</v>
      </c>
      <c r="AA47" s="65">
        <f t="shared" si="125"/>
        <v>-8.9278005464538124E-3</v>
      </c>
      <c r="AB47" s="65">
        <f t="shared" si="125"/>
        <v>-0.69066434998776738</v>
      </c>
      <c r="AC47" s="65">
        <f t="shared" si="125"/>
        <v>0.17701174608061399</v>
      </c>
      <c r="AD47" s="65">
        <f t="shared" si="125"/>
        <v>-0.28675552713505104</v>
      </c>
      <c r="AE47" s="65">
        <f t="shared" si="125"/>
        <v>0.1084982321551311</v>
      </c>
    </row>
    <row r="48" spans="2:31" s="30" customFormat="1" ht="13.5" customHeight="1">
      <c r="B48" s="35" t="s">
        <v>170</v>
      </c>
      <c r="C48" s="65">
        <f t="shared" ref="C48:H48" si="126">+C46/C7</f>
        <v>0.15342147175416906</v>
      </c>
      <c r="D48" s="65">
        <f t="shared" si="126"/>
        <v>0.18295399497924958</v>
      </c>
      <c r="E48" s="65">
        <f t="shared" si="126"/>
        <v>0.12733446150152666</v>
      </c>
      <c r="F48" s="65">
        <f t="shared" si="126"/>
        <v>0.14269271668191527</v>
      </c>
      <c r="G48" s="65">
        <f t="shared" si="126"/>
        <v>0.14316807123738817</v>
      </c>
      <c r="H48" s="65">
        <f t="shared" si="126"/>
        <v>0.11978690805016629</v>
      </c>
      <c r="I48" s="67">
        <f>+I46/I7</f>
        <v>0.12433605363967218</v>
      </c>
      <c r="J48" s="56"/>
      <c r="K48" s="65">
        <f t="shared" ref="K48:Z48" si="127">+K46/K7</f>
        <v>0.21231831420048264</v>
      </c>
      <c r="L48" s="65">
        <f t="shared" si="127"/>
        <v>0.13350598468383212</v>
      </c>
      <c r="M48" s="65">
        <f t="shared" si="127"/>
        <v>0.16807965040018885</v>
      </c>
      <c r="N48" s="65">
        <f t="shared" si="127"/>
        <v>0.18777856487435565</v>
      </c>
      <c r="O48" s="65">
        <f t="shared" si="127"/>
        <v>0.17890918536064329</v>
      </c>
      <c r="P48" s="65">
        <f t="shared" si="127"/>
        <v>8.0346091820718307E-2</v>
      </c>
      <c r="Q48" s="65">
        <f t="shared" si="127"/>
        <v>9.8503690662289464E-2</v>
      </c>
      <c r="R48" s="65">
        <f t="shared" si="127"/>
        <v>0.13326328272165505</v>
      </c>
      <c r="S48" s="65">
        <f t="shared" si="127"/>
        <v>0.17365701842045134</v>
      </c>
      <c r="T48" s="65">
        <f t="shared" si="127"/>
        <v>7.5585445594152423E-2</v>
      </c>
      <c r="U48" s="65">
        <f t="shared" si="127"/>
        <v>0.13311532716668936</v>
      </c>
      <c r="V48" s="65">
        <f t="shared" si="127"/>
        <v>0.17901073141304621</v>
      </c>
      <c r="W48" s="65">
        <f t="shared" si="127"/>
        <v>0.16786001391574562</v>
      </c>
      <c r="X48" s="65">
        <f t="shared" si="127"/>
        <v>6.3786696652756783E-2</v>
      </c>
      <c r="Y48" s="65">
        <f t="shared" si="127"/>
        <v>9.9303987680382538E-2</v>
      </c>
      <c r="Z48" s="65">
        <f t="shared" si="127"/>
        <v>0.1973287105474637</v>
      </c>
      <c r="AA48" s="65">
        <f t="shared" ref="AA48:AD48" si="128">+AA46/AA7</f>
        <v>0.15178433756338933</v>
      </c>
      <c r="AB48" s="65">
        <f t="shared" si="128"/>
        <v>1.7850861967869846E-2</v>
      </c>
      <c r="AC48" s="65">
        <f t="shared" si="128"/>
        <v>0.11815887950028567</v>
      </c>
      <c r="AD48" s="65">
        <f t="shared" si="128"/>
        <v>0.15965392886678709</v>
      </c>
      <c r="AE48" s="65">
        <f t="shared" ref="AE48" si="129">+AE46/AE7</f>
        <v>0.16787394149365206</v>
      </c>
    </row>
    <row r="49" spans="1:32" s="30" customFormat="1" ht="13.5" customHeight="1">
      <c r="B49" s="92"/>
      <c r="C49" s="55"/>
      <c r="D49" s="55"/>
      <c r="E49" s="55"/>
      <c r="F49" s="55"/>
      <c r="G49" s="55"/>
      <c r="H49" s="55"/>
      <c r="I49" s="262"/>
      <c r="J49" s="56"/>
      <c r="K49" s="55"/>
      <c r="L49" s="55"/>
      <c r="M49" s="55"/>
      <c r="N49" s="55"/>
      <c r="O49" s="55"/>
      <c r="P49" s="55"/>
      <c r="Q49" s="55"/>
      <c r="R49" s="55"/>
      <c r="S49" s="55"/>
      <c r="T49" s="55"/>
      <c r="U49" s="55"/>
      <c r="V49" s="55"/>
      <c r="W49" s="55"/>
      <c r="X49" s="55"/>
      <c r="Z49" s="55"/>
      <c r="AA49" s="55"/>
      <c r="AB49" s="55"/>
      <c r="AD49" s="55"/>
      <c r="AE49" s="55"/>
    </row>
    <row r="50" spans="1:32" ht="13.5" customHeight="1">
      <c r="B50" s="206" t="s">
        <v>181</v>
      </c>
      <c r="C50" s="206">
        <f t="shared" ref="C50" si="130">C51-C46</f>
        <v>11410.084999999963</v>
      </c>
      <c r="D50" s="206">
        <f t="shared" ref="D50:E50" si="131">D51-D46</f>
        <v>-9590.4499999997788</v>
      </c>
      <c r="E50" s="206">
        <f t="shared" si="131"/>
        <v>12669.540000000037</v>
      </c>
      <c r="F50" s="206">
        <f t="shared" ref="F50:G50" si="132">F51-F46</f>
        <v>13316.208000000217</v>
      </c>
      <c r="G50" s="206">
        <f t="shared" si="132"/>
        <v>94.937000000034459</v>
      </c>
      <c r="H50" s="206">
        <f t="shared" ref="H50" si="133">H51-H46</f>
        <v>27672.922000000137</v>
      </c>
      <c r="I50" s="206">
        <f>I51-I46</f>
        <v>14296.766000000353</v>
      </c>
      <c r="J50" s="56"/>
      <c r="K50" s="206">
        <f t="shared" ref="K50:M50" si="134">K51-K46</f>
        <v>5602.5049999999901</v>
      </c>
      <c r="L50" s="206">
        <f t="shared" si="134"/>
        <v>-1171.5040000000226</v>
      </c>
      <c r="M50" s="206">
        <f t="shared" si="134"/>
        <v>-3195.9049999999988</v>
      </c>
      <c r="N50" s="206">
        <f>E50-SUM(K50:M50)</f>
        <v>11434.444000000069</v>
      </c>
      <c r="O50" s="206">
        <f t="shared" ref="O50:P50" si="135">O51-O46</f>
        <v>9806.1749999999593</v>
      </c>
      <c r="P50" s="206">
        <f t="shared" si="135"/>
        <v>-12402.641999999982</v>
      </c>
      <c r="Q50" s="206">
        <f t="shared" ref="Q50" si="136">Q51-Q46</f>
        <v>219.73599999996077</v>
      </c>
      <c r="R50" s="206">
        <f>J50-SUM(O50:Q50)</f>
        <v>2376.7310000000616</v>
      </c>
      <c r="S50" s="206">
        <f t="shared" ref="S50:T50" si="137">S51-S46</f>
        <v>8254.428000000029</v>
      </c>
      <c r="T50" s="206">
        <f t="shared" si="137"/>
        <v>3721.5250000000669</v>
      </c>
      <c r="U50" s="206">
        <f>U51-U46</f>
        <v>-5063.3669999999838</v>
      </c>
      <c r="V50" s="206">
        <f>N50-SUM(S50:U50)</f>
        <v>4521.8579999999565</v>
      </c>
      <c r="W50" s="206">
        <f t="shared" ref="W50" si="138">W51-W46</f>
        <v>-1064.3479999999399</v>
      </c>
      <c r="X50" s="206">
        <f>X51-X46</f>
        <v>5256.8529999999373</v>
      </c>
      <c r="Y50" s="206">
        <f>Y51-Y46</f>
        <v>4311.7920000000158</v>
      </c>
      <c r="Z50" s="206">
        <f>Z51-Z46</f>
        <v>-8409.3599999999278</v>
      </c>
      <c r="AA50" s="206">
        <f t="shared" ref="AA50" si="139">AA51-AA46</f>
        <v>7444.4109999999491</v>
      </c>
      <c r="AB50" s="206">
        <f>AB51-AB46</f>
        <v>9465.3200000000616</v>
      </c>
      <c r="AC50" s="206">
        <f>AC51-AC46</f>
        <v>-4187.7289999999775</v>
      </c>
      <c r="AD50" s="206">
        <f>AD51-AD46</f>
        <v>14950.920000000042</v>
      </c>
      <c r="AE50" s="206">
        <f t="shared" ref="AE50" si="140">AE51-AE46</f>
        <v>-5931.7449999999371</v>
      </c>
    </row>
    <row r="51" spans="1:32" ht="13.5" customHeight="1">
      <c r="A51" s="19"/>
      <c r="B51" s="19" t="s">
        <v>182</v>
      </c>
      <c r="C51" s="204">
        <v>296404.84100000001</v>
      </c>
      <c r="D51" s="204">
        <v>444997.58799999999</v>
      </c>
      <c r="E51" s="204">
        <v>357928.64899999998</v>
      </c>
      <c r="F51" s="204">
        <v>379402.37300000002</v>
      </c>
      <c r="G51" s="204">
        <v>415936.114</v>
      </c>
      <c r="H51" s="204">
        <v>376207.95799999998</v>
      </c>
      <c r="I51" s="44">
        <f>AE51+AB51+AC51+AD51</f>
        <v>376297.473</v>
      </c>
      <c r="J51" s="44"/>
      <c r="K51" s="205">
        <v>126547.394</v>
      </c>
      <c r="L51" s="205">
        <v>61575.586000000003</v>
      </c>
      <c r="M51" s="205">
        <v>101472.273</v>
      </c>
      <c r="N51" s="44">
        <f>D51-SUM(K51:M51)</f>
        <v>155402.33499999996</v>
      </c>
      <c r="O51" s="204">
        <v>135125.785</v>
      </c>
      <c r="P51" s="204">
        <v>32470.882000000001</v>
      </c>
      <c r="Q51" s="204">
        <v>67606.656000000003</v>
      </c>
      <c r="R51" s="44">
        <f>E51-SUM(O51:Q51)</f>
        <v>122725.32599999994</v>
      </c>
      <c r="S51" s="204">
        <v>135376.70699999999</v>
      </c>
      <c r="T51" s="204">
        <v>47125.84</v>
      </c>
      <c r="U51" s="204">
        <v>86343.854000000007</v>
      </c>
      <c r="V51" s="189">
        <f>F51-SUM(S51:U51)</f>
        <v>110555.97200000001</v>
      </c>
      <c r="W51" s="204">
        <f>124163.248</f>
        <v>124163.24800000001</v>
      </c>
      <c r="X51" s="204">
        <v>38722</v>
      </c>
      <c r="Y51" s="204">
        <v>70430.698000000004</v>
      </c>
      <c r="Z51" s="189">
        <f>G51-SUM(W51:Y51)</f>
        <v>182620.16799999998</v>
      </c>
      <c r="AA51" s="204">
        <v>131554</v>
      </c>
      <c r="AB51" s="204">
        <v>19817.282999999999</v>
      </c>
      <c r="AC51" s="204">
        <v>73635</v>
      </c>
      <c r="AD51" s="189">
        <f>H51-SUM(AA51:AC51)</f>
        <v>151201.67499999999</v>
      </c>
      <c r="AE51" s="204">
        <v>131643.51500000001</v>
      </c>
    </row>
    <row r="52" spans="1:32" s="30" customFormat="1" ht="13.5" customHeight="1">
      <c r="B52" s="35" t="s">
        <v>180</v>
      </c>
      <c r="C52" s="65"/>
      <c r="D52" s="65">
        <f>+D51/C51-1</f>
        <v>0.50131686951766063</v>
      </c>
      <c r="E52" s="65">
        <f>+E51/D51-1</f>
        <v>-0.19566159760847968</v>
      </c>
      <c r="F52" s="65">
        <f>+F51/E51-1</f>
        <v>5.9994426431062342E-2</v>
      </c>
      <c r="G52" s="65">
        <f>+G51/F51-1</f>
        <v>9.6292863724392053E-2</v>
      </c>
      <c r="H52" s="65">
        <f>+H51/G51-1</f>
        <v>-9.551504344727324E-2</v>
      </c>
      <c r="I52" s="67"/>
      <c r="J52" s="56"/>
      <c r="K52" s="65"/>
      <c r="L52" s="65"/>
      <c r="M52" s="65"/>
      <c r="N52" s="65"/>
      <c r="O52" s="65">
        <f t="shared" ref="O52:S52" si="141">O51/K51-1</f>
        <v>6.7787970410516651E-2</v>
      </c>
      <c r="P52" s="65">
        <f t="shared" si="141"/>
        <v>-0.47266629342350064</v>
      </c>
      <c r="Q52" s="65">
        <f t="shared" si="141"/>
        <v>-0.33374256827774029</v>
      </c>
      <c r="R52" s="65">
        <f t="shared" si="141"/>
        <v>-0.21027360367526027</v>
      </c>
      <c r="S52" s="65">
        <f t="shared" si="141"/>
        <v>1.8569512843162883E-3</v>
      </c>
      <c r="T52" s="65">
        <f t="shared" ref="T52" si="142">T51/P51-1</f>
        <v>0.45132614506744817</v>
      </c>
      <c r="U52" s="65">
        <f>U51/Q51-1</f>
        <v>0.27715019657236128</v>
      </c>
      <c r="V52" s="65">
        <f t="shared" ref="V52:W52" si="143">V51/R51-1</f>
        <v>-9.9159272145668886E-2</v>
      </c>
      <c r="W52" s="65">
        <f t="shared" si="143"/>
        <v>-8.2831524333059625E-2</v>
      </c>
      <c r="X52" s="65">
        <f>X51/T51-1</f>
        <v>-0.17832764360274522</v>
      </c>
      <c r="Y52" s="65">
        <f>Y51/U51-1</f>
        <v>-0.18429981131025264</v>
      </c>
      <c r="Z52" s="65">
        <f t="shared" ref="Z52:AA52" si="144">Z51/V51-1</f>
        <v>0.65183449339127475</v>
      </c>
      <c r="AA52" s="65">
        <f t="shared" si="144"/>
        <v>5.952447377987391E-2</v>
      </c>
      <c r="AB52" s="65">
        <f>AB51/X51-1</f>
        <v>-0.48821644026651523</v>
      </c>
      <c r="AC52" s="65">
        <f>AC51/Y51-1</f>
        <v>4.5495814907300813E-2</v>
      </c>
      <c r="AD52" s="65">
        <f t="shared" ref="AD52:AE52" si="145">AD51/Z51-1</f>
        <v>-0.17204284359217104</v>
      </c>
      <c r="AE52" s="65">
        <f t="shared" si="145"/>
        <v>6.8044301199510215E-4</v>
      </c>
    </row>
    <row r="53" spans="1:32" s="30" customFormat="1" ht="13.5" customHeight="1">
      <c r="B53" s="35" t="s">
        <v>170</v>
      </c>
      <c r="C53" s="65">
        <f t="shared" ref="C53:H53" si="146">+C51/C7</f>
        <v>0.15956387261132787</v>
      </c>
      <c r="D53" s="65">
        <f t="shared" si="146"/>
        <v>0.17909421206708087</v>
      </c>
      <c r="E53" s="65">
        <f t="shared" si="146"/>
        <v>0.13200709434833174</v>
      </c>
      <c r="F53" s="65">
        <f t="shared" si="146"/>
        <v>0.14788309555193208</v>
      </c>
      <c r="G53" s="65">
        <f t="shared" si="146"/>
        <v>0.14320075666617887</v>
      </c>
      <c r="H53" s="65">
        <f t="shared" si="146"/>
        <v>0.12929772739601086</v>
      </c>
      <c r="I53" s="67">
        <f>+I51/I7</f>
        <v>0.12924655085660133</v>
      </c>
      <c r="J53" s="56"/>
      <c r="K53" s="65">
        <f t="shared" ref="K53:Z53" si="147">+K51/K7</f>
        <v>0.22215349141826299</v>
      </c>
      <c r="L53" s="65">
        <f t="shared" si="147"/>
        <v>0.13101339426918421</v>
      </c>
      <c r="M53" s="65">
        <f t="shared" si="147"/>
        <v>0.16294755958351087</v>
      </c>
      <c r="N53" s="65">
        <f t="shared" si="147"/>
        <v>0.18897379155420013</v>
      </c>
      <c r="O53" s="65">
        <f t="shared" si="147"/>
        <v>0.19290870850593475</v>
      </c>
      <c r="P53" s="65">
        <f t="shared" si="147"/>
        <v>5.8139148302052461E-2</v>
      </c>
      <c r="Q53" s="65">
        <f t="shared" si="147"/>
        <v>9.8824892565735484E-2</v>
      </c>
      <c r="R53" s="65">
        <f t="shared" si="147"/>
        <v>0.15972339867026586</v>
      </c>
      <c r="S53" s="65">
        <f t="shared" si="147"/>
        <v>0.18493308557817037</v>
      </c>
      <c r="T53" s="65">
        <f t="shared" si="147"/>
        <v>8.2066209670599272E-2</v>
      </c>
      <c r="U53" s="65">
        <f t="shared" si="147"/>
        <v>0.12574160168421336</v>
      </c>
      <c r="V53" s="65">
        <f t="shared" si="147"/>
        <v>0.19307488402261952</v>
      </c>
      <c r="W53" s="65">
        <f t="shared" si="147"/>
        <v>0.16643331983394605</v>
      </c>
      <c r="X53" s="65">
        <f t="shared" si="147"/>
        <v>7.3806592506168986E-2</v>
      </c>
      <c r="Y53" s="65">
        <f t="shared" si="147"/>
        <v>0.10577986826510324</v>
      </c>
      <c r="Z53" s="65">
        <f t="shared" si="147"/>
        <v>0.18864205261189362</v>
      </c>
      <c r="AA53" s="65">
        <f t="shared" ref="AA53:AD53" si="148">+AA51/AA7</f>
        <v>0.16088875085884066</v>
      </c>
      <c r="AB53" s="65">
        <f t="shared" si="148"/>
        <v>3.4172802144986004E-2</v>
      </c>
      <c r="AC53" s="65">
        <f t="shared" si="148"/>
        <v>0.11180061665536732</v>
      </c>
      <c r="AD53" s="65">
        <f t="shared" si="148"/>
        <v>0.17717290054641582</v>
      </c>
      <c r="AE53" s="65">
        <f t="shared" ref="AE53" si="149">+AE51/AE7</f>
        <v>0.16063582751091091</v>
      </c>
    </row>
    <row r="54" spans="1:32" s="30" customFormat="1" ht="13.5" customHeight="1">
      <c r="B54" s="92"/>
      <c r="C54" s="55"/>
      <c r="D54" s="55"/>
      <c r="E54" s="55"/>
      <c r="F54" s="55"/>
      <c r="G54" s="55"/>
      <c r="H54" s="55"/>
      <c r="I54" s="262"/>
      <c r="J54" s="56"/>
      <c r="K54" s="55"/>
      <c r="L54" s="55"/>
      <c r="M54" s="55"/>
      <c r="N54" s="55"/>
      <c r="O54" s="55"/>
      <c r="P54" s="55"/>
      <c r="Q54" s="55"/>
      <c r="R54" s="55"/>
      <c r="S54" s="55"/>
      <c r="T54" s="55"/>
      <c r="U54" s="55"/>
      <c r="V54" s="55"/>
      <c r="W54" s="55"/>
      <c r="X54" s="55"/>
      <c r="Y54" s="55"/>
      <c r="Z54" s="55"/>
      <c r="AA54" s="55"/>
      <c r="AB54" s="55"/>
      <c r="AC54" s="55"/>
      <c r="AD54" s="55"/>
      <c r="AE54" s="55"/>
    </row>
    <row r="55" spans="1:32" s="30" customFormat="1" ht="13.5" customHeight="1">
      <c r="B55" s="35" t="s">
        <v>183</v>
      </c>
      <c r="C55" s="65">
        <f t="shared" ref="C55:H55" si="150">-C64/C7</f>
        <v>6.2780922642653392E-2</v>
      </c>
      <c r="D55" s="65">
        <f t="shared" si="150"/>
        <v>6.8225265502370361E-2</v>
      </c>
      <c r="E55" s="65">
        <f t="shared" si="150"/>
        <v>6.8261659434803459E-2</v>
      </c>
      <c r="F55" s="65">
        <f t="shared" si="150"/>
        <v>4.8008725509564164E-2</v>
      </c>
      <c r="G55" s="65">
        <f t="shared" si="150"/>
        <v>3.4596397290760694E-2</v>
      </c>
      <c r="H55" s="65">
        <f t="shared" si="150"/>
        <v>4.7924791177451923E-2</v>
      </c>
      <c r="I55" s="67">
        <f>-I64/I7</f>
        <v>5.2186982487393091E-2</v>
      </c>
      <c r="J55" s="56"/>
      <c r="K55" s="65">
        <f t="shared" ref="K55:Z55" si="151">-K64/K7</f>
        <v>4.9412572643142194E-2</v>
      </c>
      <c r="L55" s="65">
        <f t="shared" si="151"/>
        <v>8.6456551225038994E-2</v>
      </c>
      <c r="M55" s="65">
        <f t="shared" si="151"/>
        <v>5.7544596316436353E-2</v>
      </c>
      <c r="N55" s="65">
        <f t="shared" si="151"/>
        <v>7.8925126317262104E-2</v>
      </c>
      <c r="O55" s="65">
        <f t="shared" si="151"/>
        <v>3.8880676010432096E-2</v>
      </c>
      <c r="P55" s="65">
        <f t="shared" si="151"/>
        <v>8.4083470910062491E-2</v>
      </c>
      <c r="Q55" s="65">
        <f t="shared" si="151"/>
        <v>8.2327388273506635E-2</v>
      </c>
      <c r="R55" s="65">
        <f t="shared" si="151"/>
        <v>7.1022570715432137E-2</v>
      </c>
      <c r="S55" s="65">
        <f t="shared" si="151"/>
        <v>2.9996712200996468E-2</v>
      </c>
      <c r="T55" s="65">
        <f t="shared" si="151"/>
        <v>5.2017866072677055E-2</v>
      </c>
      <c r="U55" s="65">
        <f t="shared" si="151"/>
        <v>6.5664823741720557E-2</v>
      </c>
      <c r="V55" s="65">
        <f t="shared" si="151"/>
        <v>4.5841613529568566E-2</v>
      </c>
      <c r="W55" s="65">
        <f t="shared" si="151"/>
        <v>5.9462120615849053E-2</v>
      </c>
      <c r="X55" s="65">
        <f t="shared" si="151"/>
        <v>-2.5867237897645376E-2</v>
      </c>
      <c r="Y55" s="65">
        <f t="shared" si="151"/>
        <v>4.8443954058728068E-2</v>
      </c>
      <c r="Z55" s="65">
        <f t="shared" si="151"/>
        <v>3.8677970027734931E-2</v>
      </c>
      <c r="AA55" s="65">
        <f t="shared" ref="AA55:AD55" si="152">-AA64/AA7</f>
        <v>3.1475160392554706E-2</v>
      </c>
      <c r="AB55" s="65">
        <f t="shared" si="152"/>
        <v>5.6546537241913795E-2</v>
      </c>
      <c r="AC55" s="65">
        <f t="shared" si="152"/>
        <v>6.1624014041847724E-2</v>
      </c>
      <c r="AD55" s="65">
        <f t="shared" si="152"/>
        <v>4.7254329481212172E-2</v>
      </c>
      <c r="AE55" s="65">
        <f t="shared" ref="AE55" si="153">-AE64/AE7</f>
        <v>4.6654361400869017E-2</v>
      </c>
    </row>
    <row r="56" spans="1:32" s="30" customFormat="1" ht="13.5" customHeight="1">
      <c r="B56" s="35" t="s">
        <v>184</v>
      </c>
      <c r="C56" s="65">
        <f t="shared" ref="C56:H56" si="154">C60/C7</f>
        <v>0.46370505197208139</v>
      </c>
      <c r="D56" s="65">
        <f t="shared" si="154"/>
        <v>0.43894697256456594</v>
      </c>
      <c r="E56" s="65">
        <f t="shared" si="154"/>
        <v>0.31097275102319727</v>
      </c>
      <c r="F56" s="65">
        <f t="shared" si="154"/>
        <v>0.41309328672722395</v>
      </c>
      <c r="G56" s="65">
        <f t="shared" si="154"/>
        <v>0.39827043633548764</v>
      </c>
      <c r="H56" s="65">
        <f t="shared" si="154"/>
        <v>0.40326479850062136</v>
      </c>
      <c r="I56" s="67">
        <f t="shared" ref="I56" si="155">I60/I7</f>
        <v>0.41410095095682614</v>
      </c>
      <c r="J56" s="56"/>
      <c r="K56" s="65">
        <f t="shared" ref="K56:Z56" si="156">K60/K7</f>
        <v>0.59092139502359187</v>
      </c>
      <c r="L56" s="65">
        <f t="shared" si="156"/>
        <v>0.44365835737520593</v>
      </c>
      <c r="M56" s="65">
        <f t="shared" si="156"/>
        <v>0.38111730791315029</v>
      </c>
      <c r="N56" s="65">
        <f t="shared" si="156"/>
        <v>0.37477381475141797</v>
      </c>
      <c r="O56" s="65">
        <f t="shared" si="156"/>
        <v>0.44609453038569669</v>
      </c>
      <c r="P56" s="65">
        <f t="shared" si="156"/>
        <v>0.23257376411327563</v>
      </c>
      <c r="Q56" s="65">
        <f t="shared" si="156"/>
        <v>0.25032777727781463</v>
      </c>
      <c r="R56" s="65">
        <f t="shared" si="156"/>
        <v>0.2987721865574382</v>
      </c>
      <c r="S56" s="65">
        <f t="shared" si="156"/>
        <v>0.47883922183657862</v>
      </c>
      <c r="T56" s="65">
        <f t="shared" si="156"/>
        <v>0.42691737942272007</v>
      </c>
      <c r="U56" s="65">
        <f t="shared" si="156"/>
        <v>0.35653045538712203</v>
      </c>
      <c r="V56" s="65">
        <f t="shared" si="156"/>
        <v>0.38300976286692029</v>
      </c>
      <c r="W56" s="65">
        <f t="shared" si="156"/>
        <v>0.50870486627332068</v>
      </c>
      <c r="X56" s="65">
        <f t="shared" si="156"/>
        <v>0.2114202460479862</v>
      </c>
      <c r="Y56" s="65">
        <f t="shared" si="156"/>
        <v>0.52576139303223368</v>
      </c>
      <c r="Z56" s="65">
        <f t="shared" si="156"/>
        <v>0.32674330871569218</v>
      </c>
      <c r="AA56" s="65">
        <f t="shared" ref="AA56:AD56" si="157">AA60/AA7</f>
        <v>0.52165492154774096</v>
      </c>
      <c r="AB56" s="65">
        <f t="shared" si="157"/>
        <v>0.34870627631324896</v>
      </c>
      <c r="AC56" s="65">
        <f t="shared" si="157"/>
        <v>0.3228072155685266</v>
      </c>
      <c r="AD56" s="65">
        <f t="shared" si="157"/>
        <v>0.389000579489579</v>
      </c>
      <c r="AE56" s="65">
        <f t="shared" ref="AE56" si="158">AE60/AE7</f>
        <v>0.5598857419228177</v>
      </c>
    </row>
    <row r="57" spans="1:32" ht="13.5" customHeight="1">
      <c r="C57" s="66"/>
      <c r="D57" s="66"/>
      <c r="E57" s="66"/>
      <c r="F57" s="66"/>
      <c r="G57" s="66"/>
    </row>
    <row r="58" spans="1:32" ht="13.5" customHeight="1">
      <c r="B58" s="40" t="s">
        <v>185</v>
      </c>
      <c r="C58" s="45">
        <f t="shared" ref="C58:H58" si="159">C3</f>
        <v>44196</v>
      </c>
      <c r="D58" s="45">
        <f t="shared" si="159"/>
        <v>44561</v>
      </c>
      <c r="E58" s="45">
        <f t="shared" si="159"/>
        <v>44926</v>
      </c>
      <c r="F58" s="45">
        <f t="shared" si="159"/>
        <v>45291</v>
      </c>
      <c r="G58" s="45">
        <f t="shared" si="159"/>
        <v>45657</v>
      </c>
      <c r="H58" s="45">
        <f t="shared" si="159"/>
        <v>46022</v>
      </c>
      <c r="I58" s="45">
        <f t="shared" ref="I58" si="160">I3</f>
        <v>46112</v>
      </c>
      <c r="J58" s="193"/>
      <c r="K58" s="45">
        <f t="shared" ref="K58:Z58" si="161">K3</f>
        <v>44286</v>
      </c>
      <c r="L58" s="45">
        <f t="shared" si="161"/>
        <v>44377</v>
      </c>
      <c r="M58" s="45">
        <f t="shared" si="161"/>
        <v>44469</v>
      </c>
      <c r="N58" s="45">
        <f t="shared" si="161"/>
        <v>44561</v>
      </c>
      <c r="O58" s="45">
        <f t="shared" si="161"/>
        <v>44651</v>
      </c>
      <c r="P58" s="45">
        <f t="shared" si="161"/>
        <v>44742</v>
      </c>
      <c r="Q58" s="45">
        <f t="shared" si="161"/>
        <v>44834</v>
      </c>
      <c r="R58" s="45">
        <f t="shared" si="161"/>
        <v>44926</v>
      </c>
      <c r="S58" s="45">
        <f t="shared" si="161"/>
        <v>45016</v>
      </c>
      <c r="T58" s="45">
        <f t="shared" si="161"/>
        <v>45107</v>
      </c>
      <c r="U58" s="45">
        <f t="shared" si="161"/>
        <v>45199</v>
      </c>
      <c r="V58" s="45">
        <f t="shared" si="161"/>
        <v>45291</v>
      </c>
      <c r="W58" s="45">
        <f t="shared" si="161"/>
        <v>45382</v>
      </c>
      <c r="X58" s="45">
        <f t="shared" si="161"/>
        <v>45473</v>
      </c>
      <c r="Y58" s="45">
        <f t="shared" si="161"/>
        <v>45565</v>
      </c>
      <c r="Z58" s="45">
        <f t="shared" si="161"/>
        <v>45657</v>
      </c>
      <c r="AA58" s="45">
        <f t="shared" ref="AA58:AD58" si="162">AA3</f>
        <v>45747</v>
      </c>
      <c r="AB58" s="45">
        <f t="shared" si="162"/>
        <v>45838</v>
      </c>
      <c r="AC58" s="45">
        <f t="shared" si="162"/>
        <v>45930</v>
      </c>
      <c r="AD58" s="45">
        <f t="shared" si="162"/>
        <v>46022</v>
      </c>
      <c r="AE58" s="45">
        <f t="shared" ref="AE58" si="163">AE3</f>
        <v>46112</v>
      </c>
    </row>
    <row r="59" spans="1:32" s="19" customFormat="1" ht="13.5" customHeight="1">
      <c r="B59" s="19" t="s">
        <v>182</v>
      </c>
      <c r="C59" s="44">
        <f t="shared" ref="C59" si="164">C51</f>
        <v>296404.84100000001</v>
      </c>
      <c r="D59" s="44">
        <f t="shared" ref="D59" si="165">D51</f>
        <v>444997.58799999999</v>
      </c>
      <c r="E59" s="44">
        <f t="shared" ref="E59" si="166">E51</f>
        <v>357928.64899999998</v>
      </c>
      <c r="F59" s="44">
        <f t="shared" ref="F59:G59" si="167">F51</f>
        <v>379402.37300000002</v>
      </c>
      <c r="G59" s="44">
        <f t="shared" si="167"/>
        <v>415936.114</v>
      </c>
      <c r="H59" s="44">
        <f t="shared" ref="H59:I59" si="168">H51</f>
        <v>376207.95799999998</v>
      </c>
      <c r="I59" s="44">
        <f t="shared" si="168"/>
        <v>376297.473</v>
      </c>
      <c r="J59" s="44"/>
      <c r="K59" s="44">
        <f t="shared" ref="K59" si="169">K51</f>
        <v>126547.394</v>
      </c>
      <c r="L59" s="44">
        <f t="shared" ref="L59:M59" si="170">L51</f>
        <v>61575.586000000003</v>
      </c>
      <c r="M59" s="44">
        <f t="shared" si="170"/>
        <v>101472.273</v>
      </c>
      <c r="N59" s="44">
        <f t="shared" ref="N59:N62" si="171">D59-SUM(K59:M59)</f>
        <v>155402.33499999996</v>
      </c>
      <c r="O59" s="44">
        <f t="shared" ref="O59" si="172">O51</f>
        <v>135125.785</v>
      </c>
      <c r="P59" s="44">
        <f t="shared" ref="P59:Q59" si="173">P51</f>
        <v>32470.882000000001</v>
      </c>
      <c r="Q59" s="44">
        <f t="shared" si="173"/>
        <v>67606.656000000003</v>
      </c>
      <c r="R59" s="44">
        <f>E59-SUM(O59:Q59)</f>
        <v>122725.32599999994</v>
      </c>
      <c r="S59" s="44">
        <f t="shared" ref="S59:U59" si="174">S51</f>
        <v>135376.70699999999</v>
      </c>
      <c r="T59" s="44">
        <f t="shared" si="174"/>
        <v>47125.84</v>
      </c>
      <c r="U59" s="44">
        <f t="shared" si="174"/>
        <v>86343.854000000007</v>
      </c>
      <c r="V59" s="44">
        <f>F59-SUM(S59:U59)</f>
        <v>110555.97200000001</v>
      </c>
      <c r="W59" s="44">
        <f t="shared" ref="W59:Z59" si="175">W51</f>
        <v>124163.24800000001</v>
      </c>
      <c r="X59" s="44">
        <f t="shared" si="175"/>
        <v>38722</v>
      </c>
      <c r="Y59" s="44">
        <f t="shared" si="175"/>
        <v>70430.698000000004</v>
      </c>
      <c r="Z59" s="44">
        <f t="shared" si="175"/>
        <v>182620.16799999998</v>
      </c>
      <c r="AA59" s="44">
        <f t="shared" ref="AA59:AD59" si="176">AA51</f>
        <v>131554</v>
      </c>
      <c r="AB59" s="44">
        <f t="shared" si="176"/>
        <v>19817.282999999999</v>
      </c>
      <c r="AC59" s="44">
        <f t="shared" si="176"/>
        <v>73635</v>
      </c>
      <c r="AD59" s="44">
        <f t="shared" si="176"/>
        <v>151201.67499999999</v>
      </c>
      <c r="AE59" s="44">
        <f t="shared" ref="AE59" si="177">AE51</f>
        <v>131643.51500000001</v>
      </c>
    </row>
    <row r="60" spans="1:32" ht="13.5" customHeight="1">
      <c r="B60" s="63" t="s">
        <v>186</v>
      </c>
      <c r="C60" s="52">
        <f>2330736.906-1469361.333</f>
        <v>861375.57299999986</v>
      </c>
      <c r="D60" s="52">
        <f>3138938.727-2048281.794</f>
        <v>1090656.933</v>
      </c>
      <c r="E60" s="52">
        <f>3293803.868-2450621.483</f>
        <v>843182.38499999978</v>
      </c>
      <c r="F60" s="52">
        <f>3372357.634-2312543.646</f>
        <v>1059813.9879999999</v>
      </c>
      <c r="G60" s="52">
        <f>3873449.09-2716646.141</f>
        <v>1156802.949</v>
      </c>
      <c r="H60" s="52">
        <f>3808416.362-2635066.842</f>
        <v>1173349.52</v>
      </c>
      <c r="I60" s="7">
        <f>AE60+AB60+AC60+AD60</f>
        <v>1205642.5519999999</v>
      </c>
      <c r="J60" s="7"/>
      <c r="K60" s="52">
        <f>770790.208-434178.066</f>
        <v>336612.14199999999</v>
      </c>
      <c r="L60" s="52">
        <f>1408281.248-863152.08-K60</f>
        <v>208517.02599999995</v>
      </c>
      <c r="M60" s="52">
        <f>2156445.322-1373983.115-L60-K60</f>
        <v>237333.03900000022</v>
      </c>
      <c r="N60" s="7">
        <f t="shared" si="171"/>
        <v>308194.72599999979</v>
      </c>
      <c r="O60" s="52">
        <f>991584.286-679110.712</f>
        <v>312473.57399999991</v>
      </c>
      <c r="P60" s="52">
        <f>1693396.257-1251029.565-O60</f>
        <v>129893.11800000013</v>
      </c>
      <c r="Q60" s="52">
        <f>2461818.362-1848201.052-P60-O60</f>
        <v>171250.61800000025</v>
      </c>
      <c r="R60" s="7">
        <f>E60-SUM(O60:Q60)</f>
        <v>229565.07499999949</v>
      </c>
      <c r="S60" s="52">
        <f>1038847.812-688322.773</f>
        <v>350525.03899999999</v>
      </c>
      <c r="T60" s="52">
        <f>1862467.818-1266789.016-S60</f>
        <v>245153.76299999992</v>
      </c>
      <c r="U60" s="52">
        <f>2686430.872-1845930.84-T60-S60</f>
        <v>244821.22999999998</v>
      </c>
      <c r="V60" s="7">
        <f>F60-SUM(S60:U60)</f>
        <v>219313.95600000001</v>
      </c>
      <c r="W60" s="52">
        <f>1071409.644-691903.614</f>
        <v>379506.03000000014</v>
      </c>
      <c r="X60" s="52">
        <f>1863504.195-1373078.334-W60</f>
        <v>110919.83099999989</v>
      </c>
      <c r="Y60" s="52">
        <f>2686420.872-1845930.84-X60-W60</f>
        <v>350064.17099999986</v>
      </c>
      <c r="Z60" s="7">
        <f>G60-SUM(W60:Y60)</f>
        <v>316312.91700000013</v>
      </c>
      <c r="AA60" s="52">
        <f>1174820.54-748278.652</f>
        <v>426541.88800000004</v>
      </c>
      <c r="AB60" s="52">
        <f>2003696.331-1374934.826-AA60</f>
        <v>202219.61700000009</v>
      </c>
      <c r="AC60" s="52">
        <f>2802487.604-1961116.276-AB60-AA60</f>
        <v>212609.82299999963</v>
      </c>
      <c r="AD60" s="7">
        <f>H60-SUM(AA60:AC60)</f>
        <v>331978.19200000027</v>
      </c>
      <c r="AE60" s="52">
        <f>1148876.616-690041.696</f>
        <v>458834.91999999993</v>
      </c>
      <c r="AF60" s="30"/>
    </row>
    <row r="61" spans="1:32" ht="13.5" customHeight="1">
      <c r="B61" s="63" t="s">
        <v>187</v>
      </c>
      <c r="C61" s="52">
        <v>-43031.71</v>
      </c>
      <c r="D61" s="52">
        <v>-78971.520000000004</v>
      </c>
      <c r="E61" s="52">
        <v>-66276.732999999993</v>
      </c>
      <c r="F61" s="52">
        <v>-8959.8709999999992</v>
      </c>
      <c r="G61" s="52">
        <v>-14703.915000000001</v>
      </c>
      <c r="H61" s="52">
        <v>-57562.563999999998</v>
      </c>
      <c r="I61" s="7">
        <f>AE61+AB61+AC61+AD61</f>
        <v>-61352.404999999999</v>
      </c>
      <c r="J61" s="7"/>
      <c r="K61" s="151">
        <f>-17854.367</f>
        <v>-17854.366999999998</v>
      </c>
      <c r="L61" s="151">
        <f>-42613.836-K61</f>
        <v>-24759.469000000005</v>
      </c>
      <c r="M61" s="151">
        <f>-59418.262-K61-L61</f>
        <v>-16804.425999999999</v>
      </c>
      <c r="N61" s="7">
        <f t="shared" si="171"/>
        <v>-19553.258000000002</v>
      </c>
      <c r="O61" s="52">
        <v>-25404.387999999999</v>
      </c>
      <c r="P61" s="52">
        <f>-45590.85-O61</f>
        <v>-20186.462</v>
      </c>
      <c r="Q61" s="52">
        <f>-56486.507-O61-P61</f>
        <v>-10895.656999999999</v>
      </c>
      <c r="R61" s="7">
        <f>E61-SUM(O61:Q61)</f>
        <v>-9790.2259999999951</v>
      </c>
      <c r="S61" s="52">
        <f>-18661.397</f>
        <v>-18661.397000000001</v>
      </c>
      <c r="T61" s="52">
        <f>-16179.622-S61</f>
        <v>2481.7750000000015</v>
      </c>
      <c r="U61" s="52">
        <f>-5734.95-S61-T61</f>
        <v>10444.671999999999</v>
      </c>
      <c r="V61" s="7">
        <f>F61-SUM(S61:U61)</f>
        <v>-3224.9209999999985</v>
      </c>
      <c r="W61" s="52">
        <f>-(5647.184)</f>
        <v>-5647.1840000000002</v>
      </c>
      <c r="X61" s="52">
        <f>-4237.31-W61</f>
        <v>1409.8739999999998</v>
      </c>
      <c r="Y61" s="52">
        <f>-9385.763-W61-X61</f>
        <v>-5148.4530000000004</v>
      </c>
      <c r="Z61" s="7">
        <f t="shared" ref="Z61:Z62" si="178">G61-SUM(W61:Y61)</f>
        <v>-5318.152</v>
      </c>
      <c r="AA61" s="52">
        <v>-7687.4650000000001</v>
      </c>
      <c r="AB61" s="52">
        <f>-43819.802-AA61</f>
        <v>-36132.337</v>
      </c>
      <c r="AC61" s="52">
        <f>-51411.225-AA61-AB61</f>
        <v>-7591.4229999999952</v>
      </c>
      <c r="AD61" s="7">
        <f>H61-SUM(AA61:AC61)</f>
        <v>-6151.3390000000072</v>
      </c>
      <c r="AE61" s="52">
        <v>-11477.306</v>
      </c>
    </row>
    <row r="62" spans="1:32" ht="13.5" customHeight="1">
      <c r="B62" s="63" t="s">
        <v>188</v>
      </c>
      <c r="C62" s="52">
        <v>-21975.481</v>
      </c>
      <c r="D62" s="52">
        <v>-28984.61</v>
      </c>
      <c r="E62" s="52">
        <v>-47102.233</v>
      </c>
      <c r="F62" s="52">
        <v>-70452.675000000003</v>
      </c>
      <c r="G62" s="52">
        <v>-68811.141000000003</v>
      </c>
      <c r="H62" s="52">
        <v>-54985.786999999997</v>
      </c>
      <c r="I62" s="7">
        <f>AE62+AB62+AC62+AD62</f>
        <v>-54400.068999999996</v>
      </c>
      <c r="J62" s="7"/>
      <c r="K62" s="151">
        <v>-6499.6270000000004</v>
      </c>
      <c r="L62" s="151">
        <f>-12117.682-K62</f>
        <v>-5618.0550000000003</v>
      </c>
      <c r="M62" s="151">
        <f>-20450.136-K62-L62</f>
        <v>-8332.4539999999979</v>
      </c>
      <c r="N62" s="7">
        <f t="shared" si="171"/>
        <v>-8534.474000000002</v>
      </c>
      <c r="O62" s="52">
        <v>-6654.6229999999996</v>
      </c>
      <c r="P62" s="52">
        <f>-14710.574-O62</f>
        <v>-8055.9510000000009</v>
      </c>
      <c r="Q62" s="52">
        <f>-35793.763-O62-P62</f>
        <v>-21083.188999999998</v>
      </c>
      <c r="R62" s="7">
        <f>E62-SUM(O62:Q62)</f>
        <v>-11308.470000000001</v>
      </c>
      <c r="S62" s="52">
        <f>-24811.635</f>
        <v>-24811.634999999998</v>
      </c>
      <c r="T62" s="52">
        <f>-40330.899-S62</f>
        <v>-15519.263999999999</v>
      </c>
      <c r="U62" s="52">
        <f>-62729.784-S62-T62</f>
        <v>-22398.885000000006</v>
      </c>
      <c r="V62" s="7">
        <f>F62-SUM(S62:U62)</f>
        <v>-7722.8910000000033</v>
      </c>
      <c r="W62" s="52">
        <f>-(19532.306)</f>
        <v>-19532.306</v>
      </c>
      <c r="X62" s="52">
        <f>-33450.129-W62</f>
        <v>-13917.823</v>
      </c>
      <c r="Y62" s="52">
        <f>-54229.792-W62-X62</f>
        <v>-20779.663000000004</v>
      </c>
      <c r="Z62" s="7">
        <f t="shared" si="178"/>
        <v>-14581.349000000002</v>
      </c>
      <c r="AA62" s="52">
        <v>-21319.800999999999</v>
      </c>
      <c r="AB62" s="52">
        <f>-29763.076-AA62</f>
        <v>-8443.2750000000015</v>
      </c>
      <c r="AC62" s="52">
        <f>-49469.732-AA62-AB62</f>
        <v>-19706.656000000003</v>
      </c>
      <c r="AD62" s="7">
        <f>H62-SUM(AA62:AC62)</f>
        <v>-5516.054999999993</v>
      </c>
      <c r="AE62" s="52">
        <v>-20734.082999999999</v>
      </c>
    </row>
    <row r="63" spans="1:32" s="19" customFormat="1" ht="13.5" customHeight="1">
      <c r="B63" s="19" t="s">
        <v>189</v>
      </c>
      <c r="C63" s="64">
        <f t="shared" ref="C63:D63" si="179">SUM(C59:C62)</f>
        <v>1092773.223</v>
      </c>
      <c r="D63" s="64">
        <f t="shared" si="179"/>
        <v>1427698.3909999998</v>
      </c>
      <c r="E63" s="64">
        <f t="shared" ref="E63" si="180">SUM(E59:E62)</f>
        <v>1087732.0679999997</v>
      </c>
      <c r="F63" s="64">
        <f t="shared" ref="F63:G63" si="181">SUM(F59:F62)</f>
        <v>1359803.8149999999</v>
      </c>
      <c r="G63" s="64">
        <f t="shared" si="181"/>
        <v>1489224.007</v>
      </c>
      <c r="H63" s="64">
        <f t="shared" ref="H63:I63" si="182">SUM(H59:H62)</f>
        <v>1437009.1270000001</v>
      </c>
      <c r="I63" s="44">
        <f t="shared" si="182"/>
        <v>1466187.551</v>
      </c>
      <c r="J63" s="7"/>
      <c r="K63" s="64">
        <f t="shared" ref="K63" si="183">SUM(K59:K62)</f>
        <v>438805.54200000002</v>
      </c>
      <c r="L63" s="64">
        <f t="shared" ref="L63:M63" si="184">SUM(L59:L62)</f>
        <v>239715.08799999996</v>
      </c>
      <c r="M63" s="64">
        <f t="shared" si="184"/>
        <v>313668.43200000026</v>
      </c>
      <c r="N63" s="64">
        <f t="shared" ref="N63" si="185">SUM(N59:N62)</f>
        <v>435509.32899999974</v>
      </c>
      <c r="O63" s="64">
        <f t="shared" ref="O63" si="186">SUM(O59:O62)</f>
        <v>415540.34799999994</v>
      </c>
      <c r="P63" s="64">
        <f t="shared" ref="P63:Q63" si="187">SUM(P59:P62)</f>
        <v>134121.58700000015</v>
      </c>
      <c r="Q63" s="64">
        <f t="shared" si="187"/>
        <v>206878.42800000025</v>
      </c>
      <c r="R63" s="64">
        <f t="shared" ref="R63:U63" si="188">SUM(R59:R62)</f>
        <v>331191.70499999949</v>
      </c>
      <c r="S63" s="64">
        <f t="shared" si="188"/>
        <v>442428.71399999998</v>
      </c>
      <c r="T63" s="64">
        <f t="shared" si="188"/>
        <v>279242.11399999988</v>
      </c>
      <c r="U63" s="64">
        <f t="shared" si="188"/>
        <v>319210.87099999998</v>
      </c>
      <c r="V63" s="64">
        <f t="shared" ref="V63:Y63" si="189">SUM(V59:V62)</f>
        <v>318922.11600000004</v>
      </c>
      <c r="W63" s="64">
        <f t="shared" si="189"/>
        <v>478489.78800000018</v>
      </c>
      <c r="X63" s="64">
        <f t="shared" si="189"/>
        <v>137133.8819999999</v>
      </c>
      <c r="Y63" s="64">
        <f t="shared" si="189"/>
        <v>394566.75299999985</v>
      </c>
      <c r="Z63" s="64">
        <f t="shared" ref="Z63:AC63" si="190">SUM(Z59:Z62)</f>
        <v>479033.58400000009</v>
      </c>
      <c r="AA63" s="64">
        <f t="shared" si="190"/>
        <v>529088.62200000009</v>
      </c>
      <c r="AB63" s="64">
        <f t="shared" si="190"/>
        <v>177461.28800000009</v>
      </c>
      <c r="AC63" s="64">
        <f t="shared" si="190"/>
        <v>258946.7439999996</v>
      </c>
      <c r="AD63" s="64">
        <f t="shared" ref="AD63:AE63" si="191">SUM(AD59:AD62)</f>
        <v>471512.47300000029</v>
      </c>
      <c r="AE63" s="64">
        <f t="shared" si="191"/>
        <v>558267.04599999997</v>
      </c>
    </row>
    <row r="64" spans="1:32" ht="13.5" customHeight="1">
      <c r="B64" s="63" t="s">
        <v>190</v>
      </c>
      <c r="C64" s="52">
        <f>-117013.658+392.213</f>
        <v>-116621.44499999999</v>
      </c>
      <c r="D64" s="52">
        <f>-169667.429+147.274</f>
        <v>-169520.155</v>
      </c>
      <c r="E64" s="52">
        <f>-188669.637+3582.588</f>
        <v>-185087.049</v>
      </c>
      <c r="F64" s="52">
        <f>-124400.618+1231.541</f>
        <v>-123169.077</v>
      </c>
      <c r="G64" s="52">
        <f>-152916.896+52429.361</f>
        <v>-100487.535</v>
      </c>
      <c r="H64" s="52">
        <f>-142378.558+2935.366</f>
        <v>-139443.19199999998</v>
      </c>
      <c r="I64" s="7">
        <f>AE64+AB64+AC64+AD64</f>
        <v>-151940.84099999999</v>
      </c>
      <c r="J64" s="7"/>
      <c r="K64" s="151">
        <f>-28165.917+18.566</f>
        <v>-28147.351000000002</v>
      </c>
      <c r="L64" s="151">
        <f>-68832.106+50.644-K64</f>
        <v>-40634.110999999997</v>
      </c>
      <c r="M64" s="151">
        <f>-104707.151+90.964-K64-L64</f>
        <v>-35834.724999999984</v>
      </c>
      <c r="N64" s="7">
        <f t="shared" ref="N64:N66" si="192">D64-SUM(K64:M64)</f>
        <v>-64903.968000000023</v>
      </c>
      <c r="O64" s="52">
        <v>-27234.55</v>
      </c>
      <c r="P64" s="52">
        <f>-77084.585+2889.174-O64</f>
        <v>-46960.861000000004</v>
      </c>
      <c r="Q64" s="52">
        <f>-133227.56+2711.527-O64-P64</f>
        <v>-56320.621999999988</v>
      </c>
      <c r="R64" s="7">
        <f>E64-SUM(O64:Q64)</f>
        <v>-54571.016000000003</v>
      </c>
      <c r="S64" s="52">
        <f>-22090.58+132.064</f>
        <v>-21958.516000000003</v>
      </c>
      <c r="T64" s="52">
        <f>-52162.162+332.818-S64</f>
        <v>-29870.827999999994</v>
      </c>
      <c r="U64" s="52">
        <f>-97805.425+885.563-S64-T64</f>
        <v>-45090.518000000011</v>
      </c>
      <c r="V64" s="7">
        <f>F64-SUM(S64:U64)</f>
        <v>-26249.214999999997</v>
      </c>
      <c r="W64" s="52">
        <f>-(44446.452)+86.284</f>
        <v>-44360.167999999998</v>
      </c>
      <c r="X64" s="52">
        <f>-80610.019+49820.877-W64</f>
        <v>13571.025999999998</v>
      </c>
      <c r="Y64" s="52">
        <f>-114356.254+51312-W64-X64</f>
        <v>-32255.112000000001</v>
      </c>
      <c r="Z64" s="7">
        <f t="shared" ref="Z64:Z66" si="193">G64-SUM(W64:Y64)</f>
        <v>-37443.281000000003</v>
      </c>
      <c r="AA64" s="52">
        <f>-(28509.534)+2773.221</f>
        <v>-25736.312999999998</v>
      </c>
      <c r="AB64" s="52">
        <f>-61343.122+2814.686-AA64</f>
        <v>-32792.123000000007</v>
      </c>
      <c r="AC64" s="52">
        <f>-101970.12+2854.392-AA64-AB64</f>
        <v>-40587.292000000001</v>
      </c>
      <c r="AD64" s="7">
        <f>H64-SUM(AA64:AC64)</f>
        <v>-40327.463999999978</v>
      </c>
      <c r="AE64" s="52">
        <f>-38658.645+424.683</f>
        <v>-38233.962</v>
      </c>
    </row>
    <row r="65" spans="2:34" ht="13.5" customHeight="1">
      <c r="B65" s="63" t="s">
        <v>191</v>
      </c>
      <c r="C65" s="52">
        <v>-5773.0709999999999</v>
      </c>
      <c r="D65" s="52">
        <v>-2186.5529999999999</v>
      </c>
      <c r="E65" s="52">
        <v>-14933.852999999999</v>
      </c>
      <c r="F65" s="52">
        <v>-5047.2219999999998</v>
      </c>
      <c r="G65" s="52">
        <v>-7169.2879999999996</v>
      </c>
      <c r="H65" s="52">
        <v>-14522.823</v>
      </c>
      <c r="I65" s="7">
        <f>AE65+AB65+AC65+AD65</f>
        <v>-15950.022000000001</v>
      </c>
      <c r="J65" s="7"/>
      <c r="K65" s="151">
        <f>-1935.747</f>
        <v>-1935.7470000000001</v>
      </c>
      <c r="L65" s="151">
        <f>-2019.125-K65</f>
        <v>-83.377999999999929</v>
      </c>
      <c r="M65" s="151">
        <f>-2130.064-K65-L65</f>
        <v>-110.93899999999985</v>
      </c>
      <c r="N65" s="7">
        <f t="shared" si="192"/>
        <v>-56.489000000000033</v>
      </c>
      <c r="O65" s="52">
        <v>-252.286</v>
      </c>
      <c r="P65" s="52">
        <f>-1718.901-O65</f>
        <v>-1466.615</v>
      </c>
      <c r="Q65" s="52">
        <f>-15223.269-O65-P65</f>
        <v>-13504.368</v>
      </c>
      <c r="R65" s="7">
        <f>E65-SUM(O65:Q65)</f>
        <v>289.41600000000108</v>
      </c>
      <c r="S65" s="52">
        <f>-784.887</f>
        <v>-784.88699999999994</v>
      </c>
      <c r="T65" s="52">
        <f>-1334.514-S65</f>
        <v>-549.62699999999995</v>
      </c>
      <c r="U65" s="52">
        <f>-1838.644-S65-T65</f>
        <v>-504.13000000000011</v>
      </c>
      <c r="V65" s="7">
        <f>F65-SUM(S65:U65)</f>
        <v>-3208.5779999999995</v>
      </c>
      <c r="W65" s="52">
        <f>-401.315</f>
        <v>-401.315</v>
      </c>
      <c r="X65" s="52">
        <f>-3326.38-W65</f>
        <v>-2925.0650000000001</v>
      </c>
      <c r="Y65" s="52">
        <f>-4151.33-W65-X65</f>
        <v>-824.94999999999982</v>
      </c>
      <c r="Z65" s="7">
        <f t="shared" si="193"/>
        <v>-3017.9579999999996</v>
      </c>
      <c r="AA65" s="52">
        <f>-3254.285+912.191</f>
        <v>-2342.0940000000001</v>
      </c>
      <c r="AB65" s="52">
        <f>-7885.974-AA65</f>
        <v>-5543.88</v>
      </c>
      <c r="AC65" s="52">
        <f>-10839.218-AA65-AB65</f>
        <v>-2953.2439999999997</v>
      </c>
      <c r="AD65" s="7">
        <f>H65-SUM(AA65:AC65)</f>
        <v>-3683.6049999999996</v>
      </c>
      <c r="AE65" s="52">
        <f>-3769.293</f>
        <v>-3769.2930000000001</v>
      </c>
      <c r="AF65" s="19"/>
      <c r="AG65" s="19"/>
      <c r="AH65" s="19"/>
    </row>
    <row r="66" spans="2:34" ht="13.5" customHeight="1">
      <c r="B66" s="63" t="s">
        <v>192</v>
      </c>
      <c r="C66" s="52">
        <f>-19287.372+1273.947-1028.076</f>
        <v>-19041.501</v>
      </c>
      <c r="D66" s="52">
        <v>-5791.7179999999998</v>
      </c>
      <c r="E66" s="52">
        <v>-36465.915000000001</v>
      </c>
      <c r="F66" s="52">
        <f>-7086.899-2000</f>
        <v>-9086.8990000000013</v>
      </c>
      <c r="G66" s="52">
        <f>-10658.097-551.585</f>
        <v>-11209.682000000001</v>
      </c>
      <c r="H66" s="52">
        <v>-10975.902</v>
      </c>
      <c r="I66" s="7">
        <f>AE66+AB66+AC66+AD66</f>
        <v>-16779.080000000002</v>
      </c>
      <c r="J66" s="7"/>
      <c r="K66" s="151">
        <v>0</v>
      </c>
      <c r="L66" s="151">
        <f>0-K66</f>
        <v>0</v>
      </c>
      <c r="M66" s="151">
        <f>-5791.718-K66-L66</f>
        <v>-5791.7179999999998</v>
      </c>
      <c r="N66" s="7">
        <f t="shared" si="192"/>
        <v>0</v>
      </c>
      <c r="O66" s="52">
        <v>0</v>
      </c>
      <c r="P66" s="52">
        <f>0-O66</f>
        <v>0</v>
      </c>
      <c r="Q66" s="52">
        <f t="shared" ref="Q66" si="194">0-O66-P66</f>
        <v>0</v>
      </c>
      <c r="R66" s="7">
        <f>E66-SUM(O66:Q66)</f>
        <v>-36465.915000000001</v>
      </c>
      <c r="S66" s="52">
        <v>-2000</v>
      </c>
      <c r="T66" s="52">
        <f>-2000-4176.846-S66</f>
        <v>-4176.8459999999995</v>
      </c>
      <c r="U66" s="52">
        <f>-2000-8546.405-S66-T66</f>
        <v>-4369.5590000000011</v>
      </c>
      <c r="V66" s="7">
        <f>F66-SUM(S66:U66)</f>
        <v>1459.5059999999994</v>
      </c>
      <c r="W66" s="52">
        <v>0</v>
      </c>
      <c r="X66" s="52">
        <f>-500-10658.097-W66</f>
        <v>-11158.097</v>
      </c>
      <c r="Y66" s="52">
        <f>-545.759-10658.097-W66-X66</f>
        <v>-45.759000000000015</v>
      </c>
      <c r="Z66" s="7">
        <f t="shared" si="193"/>
        <v>-5.8260000000009313</v>
      </c>
      <c r="AA66" s="52">
        <v>0</v>
      </c>
      <c r="AB66" s="52">
        <f>0-0-AA66</f>
        <v>0</v>
      </c>
      <c r="AC66" s="52">
        <f>-7008.552-AA66-AB66</f>
        <v>-7008.5519999999997</v>
      </c>
      <c r="AD66" s="7">
        <f>H66-SUM(AA66:AC66)</f>
        <v>-3967.3500000000004</v>
      </c>
      <c r="AE66" s="52">
        <v>-5803.1779999999999</v>
      </c>
      <c r="AF66" s="19"/>
      <c r="AG66" s="19"/>
      <c r="AH66" s="19"/>
    </row>
    <row r="67" spans="2:34" s="19" customFormat="1" ht="13.5" customHeight="1">
      <c r="B67" s="61" t="s">
        <v>193</v>
      </c>
      <c r="C67" s="44">
        <f t="shared" ref="C67:D67" si="195">SUM(C63:C66)</f>
        <v>951337.20600000001</v>
      </c>
      <c r="D67" s="44">
        <f t="shared" si="195"/>
        <v>1250199.9649999996</v>
      </c>
      <c r="E67" s="44">
        <f t="shared" ref="E67" si="196">SUM(E63:E66)</f>
        <v>851245.2509999997</v>
      </c>
      <c r="F67" s="44">
        <f t="shared" ref="F67:G67" si="197">SUM(F63:F66)</f>
        <v>1222500.6169999999</v>
      </c>
      <c r="G67" s="44">
        <f t="shared" si="197"/>
        <v>1370357.5020000001</v>
      </c>
      <c r="H67" s="44">
        <f t="shared" ref="H67:I67" si="198">SUM(H63:H66)</f>
        <v>1272067.21</v>
      </c>
      <c r="I67" s="44">
        <f t="shared" si="198"/>
        <v>1281517.6079999998</v>
      </c>
      <c r="J67" s="44"/>
      <c r="K67" s="44">
        <f t="shared" ref="K67" si="199">SUM(K63:K66)</f>
        <v>408722.44400000002</v>
      </c>
      <c r="L67" s="44">
        <f t="shared" ref="L67:M67" si="200">SUM(L63:L66)</f>
        <v>198997.59899999996</v>
      </c>
      <c r="M67" s="44">
        <f t="shared" si="200"/>
        <v>271931.05000000028</v>
      </c>
      <c r="N67" s="44">
        <f t="shared" ref="N67" si="201">SUM(N63:N66)</f>
        <v>370548.87199999968</v>
      </c>
      <c r="O67" s="44">
        <f t="shared" ref="O67" si="202">SUM(O63:O66)</f>
        <v>388053.51199999993</v>
      </c>
      <c r="P67" s="44">
        <f t="shared" ref="P67:Q67" si="203">SUM(P63:P66)</f>
        <v>85694.111000000135</v>
      </c>
      <c r="Q67" s="44">
        <f t="shared" si="203"/>
        <v>137053.43800000029</v>
      </c>
      <c r="R67" s="44">
        <f t="shared" ref="R67:U67" si="204">SUM(R63:R66)</f>
        <v>240444.18999999951</v>
      </c>
      <c r="S67" s="44">
        <f t="shared" si="204"/>
        <v>417685.31099999999</v>
      </c>
      <c r="T67" s="44">
        <f t="shared" si="204"/>
        <v>244644.81299999991</v>
      </c>
      <c r="U67" s="44">
        <f t="shared" si="204"/>
        <v>269246.66399999999</v>
      </c>
      <c r="V67" s="44">
        <f t="shared" ref="V67:Y67" si="205">SUM(V63:V66)</f>
        <v>290923.82900000009</v>
      </c>
      <c r="W67" s="44">
        <f t="shared" si="205"/>
        <v>433728.30500000017</v>
      </c>
      <c r="X67" s="44">
        <f t="shared" si="205"/>
        <v>136621.74599999987</v>
      </c>
      <c r="Y67" s="44">
        <f t="shared" si="205"/>
        <v>361440.9319999998</v>
      </c>
      <c r="Z67" s="44">
        <f t="shared" ref="Z67:AC67" si="206">SUM(Z63:Z66)</f>
        <v>438566.51900000009</v>
      </c>
      <c r="AA67" s="44">
        <f t="shared" si="206"/>
        <v>501010.21500000008</v>
      </c>
      <c r="AB67" s="44">
        <f t="shared" si="206"/>
        <v>139125.28500000009</v>
      </c>
      <c r="AC67" s="44">
        <f t="shared" si="206"/>
        <v>208397.65599999958</v>
      </c>
      <c r="AD67" s="44">
        <f t="shared" ref="AD67:AE67" si="207">SUM(AD63:AD66)</f>
        <v>423534.05400000035</v>
      </c>
      <c r="AE67" s="44">
        <f t="shared" si="207"/>
        <v>510460.61299999995</v>
      </c>
    </row>
    <row r="68" spans="2:34" s="19" customFormat="1" ht="13.5" customHeight="1">
      <c r="B68" s="63" t="s">
        <v>194</v>
      </c>
      <c r="C68" s="52">
        <f>29.702+861.168</f>
        <v>890.87</v>
      </c>
      <c r="D68" s="52">
        <f>31.495-1525.602</f>
        <v>-1494.1070000000002</v>
      </c>
      <c r="E68" s="52">
        <v>30.021000000000001</v>
      </c>
      <c r="F68" s="52">
        <f>1245.265-1173.884</f>
        <v>71.381000000000085</v>
      </c>
      <c r="G68" s="52">
        <f>572.254</f>
        <v>572.25400000000002</v>
      </c>
      <c r="H68" s="52">
        <f>966.365-324.907</f>
        <v>641.45800000000008</v>
      </c>
      <c r="I68" s="7">
        <f>AE68+AB68+AC68+AD68</f>
        <v>668.63800000000003</v>
      </c>
      <c r="J68" s="196"/>
      <c r="K68" s="151">
        <v>0</v>
      </c>
      <c r="L68" s="151">
        <f>25.229-K68</f>
        <v>25.228999999999999</v>
      </c>
      <c r="M68" s="151">
        <f>56.724-K68-L68</f>
        <v>31.494999999999997</v>
      </c>
      <c r="N68" s="7">
        <f t="shared" ref="N68:N72" si="208">D68-SUM(K68:M68)</f>
        <v>-1550.8310000000001</v>
      </c>
      <c r="O68" s="52">
        <v>2253.7689999999998</v>
      </c>
      <c r="P68" s="52">
        <f>-27386.281-O68</f>
        <v>-29640.05</v>
      </c>
      <c r="Q68" s="52">
        <f>-29428.835-O68-P68</f>
        <v>-2042.5540000000001</v>
      </c>
      <c r="R68" s="7">
        <f>E68-SUM(O68:Q68)</f>
        <v>29458.856</v>
      </c>
      <c r="S68" s="52">
        <v>0</v>
      </c>
      <c r="T68" s="52">
        <f>-624.589+71.381-S68</f>
        <v>-553.20800000000008</v>
      </c>
      <c r="U68" s="52">
        <f>-1817.165+71.381-S68-T68</f>
        <v>-1192.5759999999998</v>
      </c>
      <c r="V68" s="7">
        <f>F68-SUM(S68:U68)</f>
        <v>1817.165</v>
      </c>
      <c r="W68" s="52">
        <f>(-9214.316)</f>
        <v>-9214.3160000000007</v>
      </c>
      <c r="X68" s="52">
        <f>0-W68</f>
        <v>9214.3160000000007</v>
      </c>
      <c r="Y68" s="52">
        <f>0+391.455-W68-X68</f>
        <v>391.45499999999993</v>
      </c>
      <c r="Z68" s="7">
        <f t="shared" ref="Z68:Z72" si="209">G68-SUM(W68:Y68)</f>
        <v>180.79900000000009</v>
      </c>
      <c r="AA68" s="52">
        <v>0</v>
      </c>
      <c r="AB68" s="52">
        <f>934.687-AA68</f>
        <v>934.68700000000001</v>
      </c>
      <c r="AC68" s="52">
        <f>964.809-AA68-AB68</f>
        <v>30.121999999999957</v>
      </c>
      <c r="AD68" s="7">
        <f>H68-SUM(AA68:AC68)</f>
        <v>-323.35099999999989</v>
      </c>
      <c r="AE68" s="52">
        <f>27.18</f>
        <v>27.18</v>
      </c>
    </row>
    <row r="69" spans="2:34" ht="13.5" customHeight="1">
      <c r="B69" s="63" t="s">
        <v>195</v>
      </c>
      <c r="C69" s="52">
        <v>0</v>
      </c>
      <c r="D69" s="52">
        <v>0</v>
      </c>
      <c r="E69" s="52">
        <v>1648.1210000000001</v>
      </c>
      <c r="F69" s="52">
        <v>2768.7</v>
      </c>
      <c r="G69" s="52">
        <v>2746.1840000000002</v>
      </c>
      <c r="H69" s="52">
        <v>230.13499999999999</v>
      </c>
      <c r="I69" s="7">
        <f>AE69+AB69+AC69+AD69</f>
        <v>3310.4209999999998</v>
      </c>
      <c r="J69" s="7"/>
      <c r="K69" s="151">
        <v>0</v>
      </c>
      <c r="L69" s="151">
        <f>0-K69</f>
        <v>0</v>
      </c>
      <c r="M69" s="151">
        <f t="shared" ref="M69" si="210">0-K69-L69</f>
        <v>0</v>
      </c>
      <c r="N69" s="7">
        <f t="shared" si="208"/>
        <v>0</v>
      </c>
      <c r="O69" s="52">
        <v>0</v>
      </c>
      <c r="P69" s="52">
        <f>1648.121-O69</f>
        <v>1648.1210000000001</v>
      </c>
      <c r="Q69" s="52">
        <f>1648.121-O69-P69</f>
        <v>0</v>
      </c>
      <c r="R69" s="7">
        <f>E69-SUM(O69:Q69)</f>
        <v>0</v>
      </c>
      <c r="S69" s="52">
        <v>1355.5530000000001</v>
      </c>
      <c r="T69" s="52">
        <f>2768.7-S69</f>
        <v>1413.1469999999997</v>
      </c>
      <c r="U69" s="52">
        <f>2768.7-S69-T69</f>
        <v>0</v>
      </c>
      <c r="V69" s="7">
        <f>F69-SUM(S69:U69)</f>
        <v>0</v>
      </c>
      <c r="W69" s="52">
        <f>944.434</f>
        <v>944.43399999999997</v>
      </c>
      <c r="X69" s="52">
        <f>1363.603-W69</f>
        <v>419.1690000000001</v>
      </c>
      <c r="Y69" s="52">
        <f>1817.216-W69-X69</f>
        <v>453.61299999999983</v>
      </c>
      <c r="Z69" s="7">
        <f t="shared" si="209"/>
        <v>928.9680000000003</v>
      </c>
      <c r="AA69" s="52">
        <v>230.13499999999999</v>
      </c>
      <c r="AB69" s="52">
        <f>230.135-AA69</f>
        <v>0</v>
      </c>
      <c r="AC69" s="52">
        <f>230.135-AA69-AB69</f>
        <v>0</v>
      </c>
      <c r="AD69" s="7">
        <f>H69-SUM(AA69:AC69)</f>
        <v>0</v>
      </c>
      <c r="AE69" s="52">
        <v>3310.4209999999998</v>
      </c>
      <c r="AF69" s="19"/>
      <c r="AG69" s="19"/>
      <c r="AH69" s="19"/>
    </row>
    <row r="70" spans="2:34" ht="13.5" customHeight="1">
      <c r="B70" s="63" t="s">
        <v>196</v>
      </c>
      <c r="C70" s="52">
        <v>-102135.64599999999</v>
      </c>
      <c r="D70" s="52">
        <v>-274136.47200000001</v>
      </c>
      <c r="E70" s="52">
        <v>-158320.848</v>
      </c>
      <c r="F70" s="52">
        <v>-65583.415999999997</v>
      </c>
      <c r="G70" s="52">
        <v>-81797.392000000007</v>
      </c>
      <c r="H70" s="52">
        <v>-78322.009000000005</v>
      </c>
      <c r="I70" s="7">
        <f>AE70+AB70+AC70+AD70</f>
        <v>-78292.831000000006</v>
      </c>
      <c r="J70" s="7"/>
      <c r="K70" s="151">
        <v>-772.16499999999996</v>
      </c>
      <c r="L70" s="151">
        <f>-56960.133-K70</f>
        <v>-56187.968000000001</v>
      </c>
      <c r="M70" s="151">
        <f>-56960.133-K70-L70</f>
        <v>0</v>
      </c>
      <c r="N70" s="7">
        <f t="shared" si="208"/>
        <v>-217176.33900000001</v>
      </c>
      <c r="O70" s="52">
        <v>-2396.3270000000002</v>
      </c>
      <c r="P70" s="52">
        <f>-113816.528-O70</f>
        <v>-111420.201</v>
      </c>
      <c r="Q70" s="52">
        <f>-113595.537-O70-P70</f>
        <v>220.99100000000908</v>
      </c>
      <c r="R70" s="7">
        <f>E70-SUM(O70:Q70)</f>
        <v>-44725.311000000002</v>
      </c>
      <c r="S70" s="52">
        <f>-3319.827</f>
        <v>-3319.8270000000002</v>
      </c>
      <c r="T70" s="52">
        <f>-36305.285-S70</f>
        <v>-32985.458000000006</v>
      </c>
      <c r="U70" s="52">
        <f>-36305.285-S70-T70</f>
        <v>0</v>
      </c>
      <c r="V70" s="7">
        <f>F70-SUM(S70:U70)</f>
        <v>-29278.130999999994</v>
      </c>
      <c r="W70" s="52">
        <v>0</v>
      </c>
      <c r="X70" s="52">
        <f>-41753.925-W70</f>
        <v>-41753.925000000003</v>
      </c>
      <c r="Y70" s="52">
        <f>-41753.925-W70-X70</f>
        <v>0</v>
      </c>
      <c r="Z70" s="7">
        <f t="shared" si="209"/>
        <v>-40043.467000000004</v>
      </c>
      <c r="AA70" s="52">
        <v>-29.178000000000001</v>
      </c>
      <c r="AB70" s="52">
        <f>-48172.529-AA70</f>
        <v>-48143.351000000002</v>
      </c>
      <c r="AC70" s="52">
        <f>-49674.962-AA70-AB70</f>
        <v>-1502.4329999999973</v>
      </c>
      <c r="AD70" s="7">
        <f>H70-SUM(AA70:AC70)</f>
        <v>-28647.047000000006</v>
      </c>
      <c r="AE70" s="52">
        <v>0</v>
      </c>
      <c r="AF70" s="30"/>
      <c r="AG70" s="30"/>
      <c r="AH70" s="30"/>
    </row>
    <row r="71" spans="2:34" ht="13.5" customHeight="1">
      <c r="B71" s="63" t="s">
        <v>197</v>
      </c>
      <c r="C71" s="52">
        <f>196786.489+72550.018-95956.307</f>
        <v>173380.19999999998</v>
      </c>
      <c r="D71" s="52">
        <f>92951.539+7274.374-46050.971</f>
        <v>54174.942000000003</v>
      </c>
      <c r="E71" s="52">
        <f>736278.842+46843.478-79351.11</f>
        <v>703771.21</v>
      </c>
      <c r="F71" s="52">
        <f>8219.455+68928.016-159420.525</f>
        <v>-82273.053999999989</v>
      </c>
      <c r="G71" s="52">
        <f>52903.303-74305.996-16274.873</f>
        <v>-37677.565999999999</v>
      </c>
      <c r="H71" s="52">
        <f>206962.105-328742.122-12394.33+2049.656</f>
        <v>-132124.69099999996</v>
      </c>
      <c r="I71" s="7">
        <f>AE71+AB71+AC71+AD71</f>
        <v>-168632.46599999999</v>
      </c>
      <c r="J71" s="7"/>
      <c r="K71" s="151">
        <f>1472.928-2871.727</f>
        <v>-1398.7989999999998</v>
      </c>
      <c r="L71" s="151">
        <f>3000+5297.109-36883.919-K71</f>
        <v>-27188.011000000002</v>
      </c>
      <c r="M71" s="151">
        <f>3000+6793.452-39735.556-K71-L71</f>
        <v>-1355.2939999999944</v>
      </c>
      <c r="N71" s="7">
        <f t="shared" si="208"/>
        <v>84117.046000000002</v>
      </c>
      <c r="O71" s="52">
        <f>489002.428+5154.8-4721.066</f>
        <v>489436.16200000001</v>
      </c>
      <c r="P71" s="52">
        <f>553872.52+19088.327-17807.581-O71</f>
        <v>65717.10400000005</v>
      </c>
      <c r="Q71" s="52">
        <f>597147.437+67509.667-29812.4-O71-P71</f>
        <v>79691.437999999966</v>
      </c>
      <c r="R71" s="7">
        <f>E71-SUM(O71:Q71)</f>
        <v>68926.505999999936</v>
      </c>
      <c r="S71" s="52">
        <f>484.551+3395.232-43706.15</f>
        <v>-39826.366999999998</v>
      </c>
      <c r="T71" s="52">
        <f>9259.335+22662.341-44190.491-S71</f>
        <v>27557.551999999996</v>
      </c>
      <c r="U71" s="52">
        <f>8219.454+55676.323-115630.473-S71-T71</f>
        <v>-39465.881000000001</v>
      </c>
      <c r="V71" s="7">
        <f>F71-SUM(S71:U71)</f>
        <v>-30538.357999999986</v>
      </c>
      <c r="W71" s="52">
        <f>11987.083-18632.26</f>
        <v>-6645.1769999999979</v>
      </c>
      <c r="X71" s="52">
        <f>77670.382-46404.086-W71</f>
        <v>37911.472999999991</v>
      </c>
      <c r="Y71" s="52">
        <f>0+62121.047-49382.471-W71-X71</f>
        <v>-18527.719999999994</v>
      </c>
      <c r="Z71" s="7">
        <f t="shared" si="209"/>
        <v>-50416.142</v>
      </c>
      <c r="AA71" s="52">
        <f>21041.764-28951.982</f>
        <v>-7910.2180000000008</v>
      </c>
      <c r="AB71" s="52">
        <f>84160.613+463.677-223217.31-AA71</f>
        <v>-130682.80200000003</v>
      </c>
      <c r="AC71" s="52">
        <f>163691.599+1646.145-284997.321-8276.488-AA71-AB71</f>
        <v>10656.955000000016</v>
      </c>
      <c r="AD71" s="7">
        <f>H71-SUM(AA71:AC71)</f>
        <v>-4188.6259999999602</v>
      </c>
      <c r="AE71" s="52">
        <f>15249.373-56223.405-3443.961</f>
        <v>-44417.993000000002</v>
      </c>
    </row>
    <row r="72" spans="2:34" ht="13.5" customHeight="1">
      <c r="B72" s="63" t="s">
        <v>198</v>
      </c>
      <c r="C72" s="52">
        <f>-86.912-6857.42+449.333-10+10</f>
        <v>-6494.9990000000007</v>
      </c>
      <c r="D72" s="52">
        <f>-12207.458-7630.8+6130.317+25.616</f>
        <v>-13682.325000000003</v>
      </c>
      <c r="E72" s="52">
        <f>-438.105-9663.757+130.322-25</f>
        <v>-9996.5399999999991</v>
      </c>
      <c r="F72" s="52">
        <f>-3205.058-10704.27+40960.923</f>
        <v>27051.595000000001</v>
      </c>
      <c r="G72" s="52">
        <f>17112.779-32260.503+6840.724</f>
        <v>-8307.0000000000018</v>
      </c>
      <c r="H72" s="52">
        <f>3637.15</f>
        <v>3637.15</v>
      </c>
      <c r="I72" s="7">
        <f>AE72+AB72+AC72+AD72</f>
        <v>5646.6090000000004</v>
      </c>
      <c r="J72" s="7"/>
      <c r="K72" s="151">
        <f>-1806.152+273.995</f>
        <v>-1532.1570000000002</v>
      </c>
      <c r="L72" s="151">
        <f>-3607.593+61.999-2732.874-K72</f>
        <v>-4746.3109999999997</v>
      </c>
      <c r="M72" s="151">
        <f>-5695.907-8709.12+6080.317-K72-L72</f>
        <v>-2046.2420000000029</v>
      </c>
      <c r="N72" s="7">
        <f t="shared" si="208"/>
        <v>-5357.6149999999998</v>
      </c>
      <c r="O72" s="52">
        <f>-2147.457+0+25.93</f>
        <v>-2121.527</v>
      </c>
      <c r="P72" s="52">
        <f>-4682.314-25-O72</f>
        <v>-2585.7870000000003</v>
      </c>
      <c r="Q72" s="52">
        <f>-7019.786+130.322-438.105-25-O72-P72</f>
        <v>-2645.2549999999992</v>
      </c>
      <c r="R72" s="7">
        <f>E72-SUM(O72:Q72)</f>
        <v>-2643.9709999999995</v>
      </c>
      <c r="S72" s="52">
        <f>-2811.029+270.263-3205.058</f>
        <v>-5745.8240000000005</v>
      </c>
      <c r="T72" s="52">
        <f>-5863.653+15004.423-3205.058-S72</f>
        <v>11681.536</v>
      </c>
      <c r="U72" s="52">
        <f>-8480.544+38026.713-3205.058-S72-T72</f>
        <v>20405.399000000001</v>
      </c>
      <c r="V72" s="7">
        <f>F72-SUM(S72:U72)</f>
        <v>710.48400000000038</v>
      </c>
      <c r="W72" s="52">
        <f>-2821.518-31549.348</f>
        <v>-34370.866000000002</v>
      </c>
      <c r="X72" s="52">
        <f>-7039.853+3267.304-31549.348-W72</f>
        <v>-951.03100000000268</v>
      </c>
      <c r="Y72" s="52">
        <f>-11695.644+3267.304-31549.348-W72-X72</f>
        <v>-4655.7909999999974</v>
      </c>
      <c r="Z72" s="7">
        <f t="shared" si="209"/>
        <v>31670.688000000002</v>
      </c>
      <c r="AA72" s="52">
        <f>-2449.533-0</f>
        <v>-2449.5329999999999</v>
      </c>
      <c r="AB72" s="52">
        <f>-6137.29+3637.15-AA72</f>
        <v>-50.606999999999971</v>
      </c>
      <c r="AC72" s="52">
        <f>3637.15-AA72-AB72</f>
        <v>6137.29</v>
      </c>
      <c r="AD72" s="7">
        <f>H72-SUM(AA72:AC72)</f>
        <v>0</v>
      </c>
      <c r="AE72" s="52">
        <f>-440.074</f>
        <v>-440.07400000000001</v>
      </c>
    </row>
    <row r="73" spans="2:34" ht="13.5" customHeight="1">
      <c r="B73" s="61" t="s">
        <v>199</v>
      </c>
      <c r="C73" s="44">
        <f t="shared" ref="C73:D73" si="211">SUM(C67:C72)</f>
        <v>1016977.6310000001</v>
      </c>
      <c r="D73" s="44">
        <f t="shared" si="211"/>
        <v>1015062.0029999996</v>
      </c>
      <c r="E73" s="44">
        <f t="shared" ref="E73" si="212">SUM(E67:E72)</f>
        <v>1388377.2149999996</v>
      </c>
      <c r="F73" s="44">
        <f t="shared" ref="F73:G73" si="213">SUM(F67:F72)</f>
        <v>1104535.8229999999</v>
      </c>
      <c r="G73" s="44">
        <f t="shared" si="213"/>
        <v>1245893.9819999998</v>
      </c>
      <c r="H73" s="44">
        <f t="shared" ref="H73:I73" si="214">SUM(H67:H72)</f>
        <v>1066129.253</v>
      </c>
      <c r="I73" s="44">
        <f t="shared" si="214"/>
        <v>1044217.9789999999</v>
      </c>
      <c r="J73" s="44"/>
      <c r="K73" s="44">
        <f t="shared" ref="K73" si="215">SUM(K67:K72)</f>
        <v>405019.32300000003</v>
      </c>
      <c r="L73" s="44">
        <f t="shared" ref="L73:M73" si="216">SUM(L67:L72)</f>
        <v>110900.53799999996</v>
      </c>
      <c r="M73" s="44">
        <f t="shared" si="216"/>
        <v>268561.00900000025</v>
      </c>
      <c r="N73" s="44">
        <f t="shared" ref="N73" si="217">SUM(N67:N72)</f>
        <v>230581.13299999968</v>
      </c>
      <c r="O73" s="44">
        <f t="shared" ref="O73" si="218">SUM(O67:O72)</f>
        <v>875225.58899999992</v>
      </c>
      <c r="P73" s="44">
        <f t="shared" ref="P73:Q73" si="219">SUM(P67:P72)</f>
        <v>9413.2980000001808</v>
      </c>
      <c r="Q73" s="44">
        <f t="shared" si="219"/>
        <v>212278.05800000025</v>
      </c>
      <c r="R73" s="44">
        <f t="shared" ref="R73:T73" si="220">SUM(R67:R72)</f>
        <v>291460.26999999944</v>
      </c>
      <c r="S73" s="44">
        <f t="shared" si="220"/>
        <v>370148.84600000002</v>
      </c>
      <c r="T73" s="44">
        <f t="shared" si="220"/>
        <v>251758.38199999987</v>
      </c>
      <c r="U73" s="44">
        <f>SUM(U67:U72)</f>
        <v>248993.606</v>
      </c>
      <c r="V73" s="44">
        <f t="shared" ref="V73:Y73" si="221">SUM(V67:V72)</f>
        <v>233634.98900000009</v>
      </c>
      <c r="W73" s="44">
        <f t="shared" si="221"/>
        <v>384442.38000000018</v>
      </c>
      <c r="X73" s="44">
        <f>SUM(X67:X72)</f>
        <v>141461.74799999985</v>
      </c>
      <c r="Y73" s="44">
        <f t="shared" si="221"/>
        <v>339102.48899999983</v>
      </c>
      <c r="Z73" s="44">
        <f t="shared" ref="Z73:AA73" si="222">SUM(Z67:Z72)</f>
        <v>380887.36500000011</v>
      </c>
      <c r="AA73" s="44">
        <f t="shared" si="222"/>
        <v>490851.42100000009</v>
      </c>
      <c r="AB73" s="44">
        <f>SUM(AB67:AB72)</f>
        <v>-38816.787999999928</v>
      </c>
      <c r="AC73" s="44">
        <f t="shared" ref="AC73:AE73" si="223">SUM(AC67:AC72)</f>
        <v>223719.58999999962</v>
      </c>
      <c r="AD73" s="44">
        <f t="shared" si="223"/>
        <v>390375.03000000038</v>
      </c>
      <c r="AE73" s="44">
        <f t="shared" si="223"/>
        <v>468940.14699999988</v>
      </c>
    </row>
    <row r="74" spans="2:34" ht="13.5" customHeight="1">
      <c r="B74" s="63" t="s">
        <v>200</v>
      </c>
      <c r="C74" s="16">
        <f>204873.921-C73</f>
        <v>-812103.71000000008</v>
      </c>
      <c r="D74" s="7">
        <f>-119280.815-D73</f>
        <v>-1134342.8179999995</v>
      </c>
      <c r="E74" s="7">
        <f>346582.3-E73</f>
        <v>-1041794.9149999996</v>
      </c>
      <c r="F74" s="304">
        <f>38829.415-F73</f>
        <v>-1065706.4079999998</v>
      </c>
      <c r="G74" s="304">
        <f>44186.702-G73</f>
        <v>-1201707.2799999998</v>
      </c>
      <c r="H74" s="304">
        <f>-131829.35-H73</f>
        <v>-1197958.6030000001</v>
      </c>
      <c r="I74" s="7">
        <f>AE74+AB74+AC74+AD74</f>
        <v>-1183296.6039999998</v>
      </c>
      <c r="J74" s="7"/>
      <c r="K74" s="153">
        <f>77070.608-K73</f>
        <v>-327948.71500000003</v>
      </c>
      <c r="L74" s="153">
        <f>-10923.427-L73-K73-K74</f>
        <v>-198894.57299999992</v>
      </c>
      <c r="M74" s="153">
        <f>-5309.633-M73-K73-L73-K74-L74</f>
        <v>-262947.21500000032</v>
      </c>
      <c r="N74" s="7">
        <f t="shared" ref="N74:N76" si="224">D74-SUM(K74:M74)</f>
        <v>-344552.31499999925</v>
      </c>
      <c r="O74" s="7">
        <f>510563.858-O73</f>
        <v>-364661.73099999991</v>
      </c>
      <c r="P74" s="7">
        <f>333619.736-P73-O73-O74</f>
        <v>-186357.42000000016</v>
      </c>
      <c r="Q74" s="7">
        <f>318505.338-Q73-O73-P73-O74-P74</f>
        <v>-227392.45600000024</v>
      </c>
      <c r="R74" s="7">
        <f>E74-SUM(O74:Q74)</f>
        <v>-263383.30799999926</v>
      </c>
      <c r="S74" s="7">
        <f>21344.791-S73</f>
        <v>-348804.05499999999</v>
      </c>
      <c r="T74" s="7">
        <f>47309.991-T73-S73-S74</f>
        <v>-225793.18199999986</v>
      </c>
      <c r="U74" s="7">
        <f>35700.326-U73-S73-T73-S74-T74</f>
        <v>-260603.27100000007</v>
      </c>
      <c r="V74" s="7">
        <f>F74-SUM(S74:U74)</f>
        <v>-230505.89999999991</v>
      </c>
      <c r="W74" s="7">
        <f>27232.775-W73</f>
        <v>-357209.60500000016</v>
      </c>
      <c r="X74" s="7">
        <f>-3035.753-X73-W73-W74</f>
        <v>-171730.2759999999</v>
      </c>
      <c r="Y74" s="7">
        <f>-11829.834-Y73-W73-X73-W74-X74</f>
        <v>-347896.56999999983</v>
      </c>
      <c r="Z74" s="7">
        <f>G74-SUM(W74:Y74)</f>
        <v>-324870.82899999991</v>
      </c>
      <c r="AA74" s="304">
        <f>92192.55-AA73</f>
        <v>-398658.8710000001</v>
      </c>
      <c r="AB74" s="304">
        <f>-156346.272-AB73-AA73-AA74</f>
        <v>-209722.03400000004</v>
      </c>
      <c r="AC74" s="304">
        <f>-176498.058-AC73-AA73-AB73-AA74-AB74</f>
        <v>-243871.37599999958</v>
      </c>
      <c r="AD74" s="7">
        <f>H74-SUM(AA74:AC74)</f>
        <v>-345706.32200000039</v>
      </c>
      <c r="AE74" s="304">
        <f>84943.275-AE73</f>
        <v>-383996.87199999986</v>
      </c>
    </row>
    <row r="75" spans="2:34" ht="13.5" customHeight="1">
      <c r="B75" s="63" t="s">
        <v>201</v>
      </c>
      <c r="C75" s="52">
        <v>-4854.1289999999999</v>
      </c>
      <c r="D75" s="52">
        <v>-11540.075999999999</v>
      </c>
      <c r="E75" s="52">
        <v>-15068.75</v>
      </c>
      <c r="F75" s="52">
        <v>-17757.074000000001</v>
      </c>
      <c r="G75" s="52">
        <v>44782.097000000002</v>
      </c>
      <c r="H75" s="52">
        <v>-56117.536</v>
      </c>
      <c r="I75" s="7">
        <f>AE75+AB75+AC75+AD75</f>
        <v>-20787.048999999999</v>
      </c>
      <c r="J75" s="7"/>
      <c r="K75" s="151">
        <v>-5788.317</v>
      </c>
      <c r="L75" s="151">
        <f>-10470.61-K75</f>
        <v>-4682.2930000000006</v>
      </c>
      <c r="M75" s="151">
        <f>-8557.152-K75-L75</f>
        <v>1913.4580000000005</v>
      </c>
      <c r="N75" s="7">
        <f t="shared" si="224"/>
        <v>-2982.9239999999991</v>
      </c>
      <c r="O75" s="52">
        <v>-34049.553999999996</v>
      </c>
      <c r="P75" s="52">
        <f>44811.308-O75</f>
        <v>78860.861999999994</v>
      </c>
      <c r="Q75" s="52">
        <f>51410.769-O75-P75</f>
        <v>6599.4610000000102</v>
      </c>
      <c r="R75" s="7">
        <f>E75-SUM(O75:Q75)</f>
        <v>-66479.519</v>
      </c>
      <c r="S75" s="52">
        <v>-46116.968000000001</v>
      </c>
      <c r="T75" s="52">
        <f>-53376.22-S75</f>
        <v>-7259.2520000000004</v>
      </c>
      <c r="U75" s="52">
        <f>-6256.1-S75-T75</f>
        <v>47120.12</v>
      </c>
      <c r="V75" s="7">
        <f>F75-SUM(S75:U75)</f>
        <v>-11500.974000000002</v>
      </c>
      <c r="W75" s="52">
        <f>46999.449</f>
        <v>46999.449000000001</v>
      </c>
      <c r="X75" s="52">
        <f>21420.553-W75</f>
        <v>-25578.896000000001</v>
      </c>
      <c r="Y75" s="52">
        <f>-7045.179-W75-X75</f>
        <v>-28465.731999999996</v>
      </c>
      <c r="Z75" s="7">
        <f>G75-SUM(W75:Y75)</f>
        <v>51827.275999999998</v>
      </c>
      <c r="AA75" s="52">
        <v>-27880.326000000001</v>
      </c>
      <c r="AB75" s="52">
        <f>-39516.311-AA75</f>
        <v>-11635.985000000001</v>
      </c>
      <c r="AC75" s="52">
        <f>-31840.245-AA75-AB75</f>
        <v>7676.0660000000025</v>
      </c>
      <c r="AD75" s="7">
        <f>H75-SUM(AA75:AC75)</f>
        <v>-24277.291000000001</v>
      </c>
      <c r="AE75" s="52">
        <v>7450.1610000000001</v>
      </c>
    </row>
    <row r="76" spans="2:34" ht="13.5" customHeight="1">
      <c r="B76" s="63" t="s">
        <v>202</v>
      </c>
      <c r="C76" s="7">
        <f t="shared" ref="C76:I76" si="225">SUM(C73:C75)</f>
        <v>200019.79199999999</v>
      </c>
      <c r="D76" s="7">
        <f t="shared" si="225"/>
        <v>-130820.89099999995</v>
      </c>
      <c r="E76" s="7">
        <f t="shared" si="225"/>
        <v>331513.55000000005</v>
      </c>
      <c r="F76" s="7">
        <f t="shared" si="225"/>
        <v>21072.341000000037</v>
      </c>
      <c r="G76" s="7">
        <f t="shared" si="225"/>
        <v>88968.799000000057</v>
      </c>
      <c r="H76" s="7">
        <f t="shared" si="225"/>
        <v>-187946.88600000009</v>
      </c>
      <c r="I76" s="7">
        <f t="shared" si="225"/>
        <v>-159865.67399999988</v>
      </c>
      <c r="J76" s="7"/>
      <c r="K76" s="7">
        <f t="shared" ref="K76" si="226">SUM(K73:K75)</f>
        <v>71282.291000000012</v>
      </c>
      <c r="L76" s="7">
        <f t="shared" ref="L76:M76" si="227">SUM(L73:L75)</f>
        <v>-92676.327999999965</v>
      </c>
      <c r="M76" s="7">
        <f t="shared" si="227"/>
        <v>7527.2519999999367</v>
      </c>
      <c r="N76" s="7">
        <f t="shared" si="224"/>
        <v>-116954.10599999993</v>
      </c>
      <c r="O76" s="7">
        <f t="shared" ref="O76" si="228">SUM(O73:O75)</f>
        <v>476514.304</v>
      </c>
      <c r="P76" s="7">
        <f t="shared" ref="P76:Q76" si="229">SUM(P73:P75)</f>
        <v>-98083.25999999998</v>
      </c>
      <c r="Q76" s="7">
        <f t="shared" si="229"/>
        <v>-8514.9369999999763</v>
      </c>
      <c r="R76" s="7">
        <f>SUM(R73:R75)</f>
        <v>-38402.556999999826</v>
      </c>
      <c r="S76" s="7">
        <f t="shared" ref="S76:T76" si="230">SUM(S73:S75)</f>
        <v>-24772.176999999974</v>
      </c>
      <c r="T76" s="7">
        <f t="shared" si="230"/>
        <v>18705.948000000011</v>
      </c>
      <c r="U76" s="7">
        <f>SUM(U73:U75)</f>
        <v>35510.454999999936</v>
      </c>
      <c r="V76" s="7">
        <f>SUM(V73:V75)</f>
        <v>-8371.8849999998201</v>
      </c>
      <c r="W76" s="7">
        <f t="shared" ref="W76" si="231">SUM(W73:W75)</f>
        <v>74232.224000000017</v>
      </c>
      <c r="X76" s="7">
        <f>SUM(X73:X75)</f>
        <v>-55847.42400000005</v>
      </c>
      <c r="Y76" s="7">
        <f>SUM(Y73:Y75)</f>
        <v>-37259.813000000002</v>
      </c>
      <c r="Z76" s="7">
        <f>SUM(Z73:Z75)</f>
        <v>107843.81200000019</v>
      </c>
      <c r="AA76" s="7">
        <f t="shared" ref="AA76" si="232">SUM(AA73:AA75)</f>
        <v>64312.223999999987</v>
      </c>
      <c r="AB76" s="7">
        <f>SUM(AB73:AB75)</f>
        <v>-260174.80699999997</v>
      </c>
      <c r="AC76" s="7">
        <f>SUM(AC73:AC75)</f>
        <v>-12475.719999999961</v>
      </c>
      <c r="AD76" s="7">
        <f>SUM(AD73:AD75)</f>
        <v>20391.416999999983</v>
      </c>
      <c r="AE76" s="7">
        <f t="shared" ref="AE76" si="233">SUM(AE73:AE75)</f>
        <v>92393.436000000016</v>
      </c>
    </row>
    <row r="77" spans="2:34" ht="13.5" customHeight="1">
      <c r="B77" s="61" t="s">
        <v>203</v>
      </c>
      <c r="C77" s="155">
        <f>196369.224+C76</f>
        <v>396389.01599999995</v>
      </c>
      <c r="D77" s="44">
        <f>C77+D76</f>
        <v>265568.125</v>
      </c>
      <c r="E77" s="44">
        <f>D77+E76</f>
        <v>597081.67500000005</v>
      </c>
      <c r="F77" s="44">
        <f>E77+F76</f>
        <v>618154.01600000006</v>
      </c>
      <c r="G77" s="44">
        <f>F77+G76</f>
        <v>707122.81500000018</v>
      </c>
      <c r="H77" s="44">
        <f>G77+H76</f>
        <v>519175.92900000012</v>
      </c>
      <c r="I77" s="44">
        <f>AA77+I76</f>
        <v>611569.36500000069</v>
      </c>
      <c r="J77" s="197"/>
      <c r="K77" s="44">
        <f>C77+K76</f>
        <v>467671.30699999997</v>
      </c>
      <c r="L77" s="44">
        <f t="shared" ref="L77:W77" si="234">K77+L76</f>
        <v>374994.97899999999</v>
      </c>
      <c r="M77" s="44">
        <f t="shared" si="234"/>
        <v>382522.23099999991</v>
      </c>
      <c r="N77" s="44">
        <f t="shared" si="234"/>
        <v>265568.125</v>
      </c>
      <c r="O77" s="44">
        <f t="shared" si="234"/>
        <v>742082.429</v>
      </c>
      <c r="P77" s="44">
        <f t="shared" si="234"/>
        <v>643999.16899999999</v>
      </c>
      <c r="Q77" s="44">
        <f t="shared" si="234"/>
        <v>635484.23200000008</v>
      </c>
      <c r="R77" s="44">
        <f t="shared" si="234"/>
        <v>597081.67500000028</v>
      </c>
      <c r="S77" s="44">
        <f t="shared" si="234"/>
        <v>572309.49800000025</v>
      </c>
      <c r="T77" s="44">
        <f t="shared" si="234"/>
        <v>591015.44600000023</v>
      </c>
      <c r="U77" s="44">
        <f>T77+U76</f>
        <v>626525.90100000019</v>
      </c>
      <c r="V77" s="44">
        <f t="shared" si="234"/>
        <v>618154.01600000041</v>
      </c>
      <c r="W77" s="44">
        <f t="shared" si="234"/>
        <v>692386.24000000046</v>
      </c>
      <c r="X77" s="44">
        <f>W77+X76</f>
        <v>636538.81600000046</v>
      </c>
      <c r="Y77" s="44">
        <f>X77+Y76</f>
        <v>599279.00300000049</v>
      </c>
      <c r="Z77" s="44">
        <f t="shared" ref="Z77:AA77" si="235">Y77+Z76</f>
        <v>707122.81500000064</v>
      </c>
      <c r="AA77" s="44">
        <f t="shared" si="235"/>
        <v>771435.03900000057</v>
      </c>
      <c r="AB77" s="44">
        <f>AA77+AB76</f>
        <v>511260.2320000006</v>
      </c>
      <c r="AC77" s="44">
        <f>AB77+AC76</f>
        <v>498784.51200000063</v>
      </c>
      <c r="AD77" s="44">
        <f t="shared" ref="AD77:AE77" si="236">AC77+AD76</f>
        <v>519175.92900000059</v>
      </c>
      <c r="AE77" s="44">
        <f t="shared" si="236"/>
        <v>611569.36500000057</v>
      </c>
    </row>
    <row r="78" spans="2:34" ht="13.5" customHeight="1">
      <c r="B78" s="61"/>
      <c r="C78" s="52"/>
      <c r="D78" s="52"/>
      <c r="E78" s="52"/>
      <c r="F78" s="52"/>
      <c r="G78" s="52"/>
      <c r="H78" s="52"/>
      <c r="I78" s="7"/>
      <c r="J78" s="7"/>
      <c r="K78" s="52"/>
      <c r="L78" s="52"/>
      <c r="M78" s="52"/>
      <c r="N78" s="7"/>
      <c r="O78" s="52"/>
      <c r="P78" s="52"/>
      <c r="Q78" s="52"/>
      <c r="R78" s="7"/>
      <c r="S78" s="52"/>
      <c r="T78" s="52"/>
      <c r="U78" s="52"/>
      <c r="V78" s="7"/>
      <c r="W78" s="52"/>
      <c r="X78" s="52"/>
      <c r="Z78" s="7"/>
      <c r="AA78" s="52"/>
      <c r="AB78" s="52"/>
      <c r="AD78" s="7"/>
      <c r="AE78" s="52"/>
    </row>
    <row r="79" spans="2:34" ht="11.25" customHeight="1">
      <c r="B79" s="62" t="s">
        <v>204</v>
      </c>
      <c r="C79" s="269">
        <f t="shared" ref="C79:E79" si="237">+C77-C119</f>
        <v>0</v>
      </c>
      <c r="D79" s="269">
        <f t="shared" si="237"/>
        <v>0</v>
      </c>
      <c r="E79" s="269">
        <f t="shared" si="237"/>
        <v>0</v>
      </c>
      <c r="F79" s="269">
        <f t="shared" ref="F79:G79" si="238">+F77-F119</f>
        <v>0</v>
      </c>
      <c r="G79" s="269">
        <f t="shared" si="238"/>
        <v>0</v>
      </c>
      <c r="H79" s="269">
        <f t="shared" ref="H79:I79" si="239">+H77-H119</f>
        <v>0</v>
      </c>
      <c r="I79" s="272">
        <f t="shared" si="239"/>
        <v>0</v>
      </c>
      <c r="J79" s="271"/>
      <c r="K79" s="273">
        <f t="shared" ref="K79:M79" si="240">+K77-K119</f>
        <v>0</v>
      </c>
      <c r="L79" s="273">
        <f t="shared" si="240"/>
        <v>0</v>
      </c>
      <c r="M79" s="273">
        <f t="shared" si="240"/>
        <v>0</v>
      </c>
      <c r="N79" s="269">
        <f t="shared" ref="N79:O79" si="241">+N77-N119</f>
        <v>0</v>
      </c>
      <c r="O79" s="269">
        <f t="shared" si="241"/>
        <v>0</v>
      </c>
      <c r="P79" s="269">
        <f t="shared" ref="P79:U79" si="242">+P77-P119</f>
        <v>0</v>
      </c>
      <c r="Q79" s="269">
        <f t="shared" si="242"/>
        <v>0</v>
      </c>
      <c r="R79" s="269">
        <f t="shared" si="242"/>
        <v>0</v>
      </c>
      <c r="S79" s="269">
        <f t="shared" si="242"/>
        <v>0</v>
      </c>
      <c r="T79" s="269">
        <f t="shared" si="242"/>
        <v>0</v>
      </c>
      <c r="U79" s="269">
        <f t="shared" si="242"/>
        <v>0</v>
      </c>
      <c r="V79" s="269">
        <f t="shared" ref="V79:W79" si="243">+V77-V119</f>
        <v>0</v>
      </c>
      <c r="W79" s="269">
        <f t="shared" si="243"/>
        <v>0</v>
      </c>
      <c r="X79" s="269">
        <f>+X77-X119</f>
        <v>0</v>
      </c>
      <c r="Y79" s="269">
        <f>+Y77-Y119</f>
        <v>0</v>
      </c>
      <c r="Z79" s="269">
        <f t="shared" ref="Z79:AA79" si="244">+Z77-Z119</f>
        <v>0</v>
      </c>
      <c r="AA79" s="269">
        <f t="shared" si="244"/>
        <v>0</v>
      </c>
      <c r="AB79" s="269">
        <f>+AB77-AB119</f>
        <v>5.8207660913467407E-10</v>
      </c>
      <c r="AC79" s="269">
        <f>+AC77-AC119</f>
        <v>6.4028427004814148E-10</v>
      </c>
      <c r="AD79" s="269">
        <f t="shared" ref="AD79:AE79" si="245">+AD77-AD119</f>
        <v>5.8207660913467407E-10</v>
      </c>
      <c r="AE79" s="269">
        <f t="shared" si="245"/>
        <v>0</v>
      </c>
    </row>
    <row r="80" spans="2:34" ht="13.5" customHeight="1">
      <c r="B80" s="62" t="s">
        <v>205</v>
      </c>
      <c r="C80" s="274">
        <f>280669.513-(C63+C74)</f>
        <v>0</v>
      </c>
      <c r="D80" s="274">
        <f>293355.573-(D63+D74)</f>
        <v>0</v>
      </c>
      <c r="E80" s="274">
        <f>45937.153-(E63+E74)</f>
        <v>-1.673470251262188E-10</v>
      </c>
      <c r="F80" s="274">
        <f>294097.407-(F63+F74)</f>
        <v>0</v>
      </c>
      <c r="G80" s="274">
        <f>287516.727-(G63+G74)</f>
        <v>0</v>
      </c>
      <c r="H80" s="274">
        <f>239050.524-(H63+H74)</f>
        <v>0</v>
      </c>
      <c r="I80" s="275"/>
      <c r="J80" s="275"/>
      <c r="K80" s="276">
        <f>110856.827-(K63+K74)</f>
        <v>0</v>
      </c>
      <c r="L80" s="276">
        <f>151677.342-110856.827-(L63+L74)</f>
        <v>0</v>
      </c>
      <c r="M80" s="276">
        <f>202398.559-151677.342-(M63+M74)</f>
        <v>5.8207660913467407E-11</v>
      </c>
      <c r="N80" s="276"/>
      <c r="O80" s="276">
        <f>50878.617-(O63+O74)</f>
        <v>0</v>
      </c>
      <c r="P80" s="276">
        <f>-1357.216-50878.617-(P63+P74)</f>
        <v>0</v>
      </c>
      <c r="Q80" s="276">
        <f>-21871.244+1357.216-(Q63+Q74)</f>
        <v>0</v>
      </c>
      <c r="R80" s="276"/>
      <c r="S80" s="276">
        <f>93624.659-(S63+S74)</f>
        <v>0</v>
      </c>
      <c r="T80" s="276">
        <f>147073.591-93624.659-(T63+T74)</f>
        <v>0</v>
      </c>
      <c r="U80" s="276">
        <f>205681.191-147073.591-(U63+U74)</f>
        <v>8.7311491370201111E-11</v>
      </c>
      <c r="V80" s="276"/>
      <c r="W80" s="276">
        <f>121280.183-(W63+W74)</f>
        <v>0</v>
      </c>
      <c r="X80" s="276">
        <f>86683.789-121280.183-(X63+X74)</f>
        <v>0</v>
      </c>
      <c r="Y80" s="276">
        <f>133353.972-86683.789-(Y63+Y74)</f>
        <v>0</v>
      </c>
      <c r="Z80" s="276"/>
      <c r="AA80" s="276">
        <f>130429.751-(AA63+AA74)</f>
        <v>0</v>
      </c>
      <c r="AB80" s="276">
        <f>98169.005-130429.751-(AB63+AB74)</f>
        <v>-4.3655745685100555E-11</v>
      </c>
      <c r="AC80" s="276">
        <f>113244.373-(AC63+AC74)-98169.005</f>
        <v>0</v>
      </c>
      <c r="AD80" s="276"/>
      <c r="AE80" s="276">
        <f>174270.174-(AE63+AE74)</f>
        <v>0</v>
      </c>
    </row>
    <row r="81" spans="2:31" ht="11.25" customHeight="1">
      <c r="C81" s="59"/>
      <c r="D81" s="59"/>
      <c r="E81" s="59"/>
      <c r="F81" s="59"/>
      <c r="G81" s="59"/>
      <c r="H81" s="59"/>
      <c r="I81" s="59"/>
      <c r="J81" s="58"/>
      <c r="K81" s="59"/>
      <c r="L81" s="59"/>
      <c r="M81" s="59"/>
      <c r="N81" s="58"/>
      <c r="O81" s="58"/>
      <c r="P81" s="58"/>
      <c r="Q81" s="58"/>
      <c r="R81" s="58"/>
      <c r="S81" s="58"/>
      <c r="T81" s="58"/>
      <c r="U81" s="58"/>
      <c r="V81" s="58"/>
      <c r="W81" s="58"/>
      <c r="X81" s="58"/>
      <c r="Z81" s="58"/>
      <c r="AA81" s="58"/>
      <c r="AB81" s="58"/>
      <c r="AD81" s="58"/>
      <c r="AE81" s="58"/>
    </row>
    <row r="82" spans="2:31" ht="13.5" customHeight="1">
      <c r="B82" s="40" t="s">
        <v>206</v>
      </c>
      <c r="C82" s="45">
        <f t="shared" ref="C82:H82" si="246">C3</f>
        <v>44196</v>
      </c>
      <c r="D82" s="45">
        <f t="shared" si="246"/>
        <v>44561</v>
      </c>
      <c r="E82" s="45">
        <f t="shared" si="246"/>
        <v>44926</v>
      </c>
      <c r="F82" s="45">
        <f t="shared" si="246"/>
        <v>45291</v>
      </c>
      <c r="G82" s="45">
        <f t="shared" si="246"/>
        <v>45657</v>
      </c>
      <c r="H82" s="45">
        <f t="shared" si="246"/>
        <v>46022</v>
      </c>
      <c r="I82" s="45">
        <f t="shared" ref="I82" si="247">I3</f>
        <v>46112</v>
      </c>
      <c r="J82" s="193"/>
      <c r="K82" s="45">
        <f t="shared" ref="K82:Z82" si="248">K3</f>
        <v>44286</v>
      </c>
      <c r="L82" s="45">
        <f t="shared" si="248"/>
        <v>44377</v>
      </c>
      <c r="M82" s="45">
        <f t="shared" si="248"/>
        <v>44469</v>
      </c>
      <c r="N82" s="45">
        <f t="shared" si="248"/>
        <v>44561</v>
      </c>
      <c r="O82" s="45">
        <f t="shared" si="248"/>
        <v>44651</v>
      </c>
      <c r="P82" s="45">
        <f t="shared" si="248"/>
        <v>44742</v>
      </c>
      <c r="Q82" s="45">
        <f t="shared" si="248"/>
        <v>44834</v>
      </c>
      <c r="R82" s="45">
        <f t="shared" si="248"/>
        <v>44926</v>
      </c>
      <c r="S82" s="45">
        <f t="shared" si="248"/>
        <v>45016</v>
      </c>
      <c r="T82" s="45">
        <f t="shared" si="248"/>
        <v>45107</v>
      </c>
      <c r="U82" s="45">
        <f t="shared" si="248"/>
        <v>45199</v>
      </c>
      <c r="V82" s="45">
        <f t="shared" si="248"/>
        <v>45291</v>
      </c>
      <c r="W82" s="45">
        <f t="shared" si="248"/>
        <v>45382</v>
      </c>
      <c r="X82" s="45">
        <f t="shared" si="248"/>
        <v>45473</v>
      </c>
      <c r="Y82" s="45">
        <f t="shared" si="248"/>
        <v>45565</v>
      </c>
      <c r="Z82" s="45">
        <f t="shared" si="248"/>
        <v>45657</v>
      </c>
      <c r="AA82" s="45">
        <f t="shared" ref="AA82:AD82" si="249">AA3</f>
        <v>45747</v>
      </c>
      <c r="AB82" s="45">
        <f t="shared" si="249"/>
        <v>45838</v>
      </c>
      <c r="AC82" s="45">
        <f t="shared" si="249"/>
        <v>45930</v>
      </c>
      <c r="AD82" s="45">
        <f t="shared" si="249"/>
        <v>46022</v>
      </c>
      <c r="AE82" s="45">
        <f t="shared" ref="AE82" si="250">AE3</f>
        <v>46112</v>
      </c>
    </row>
    <row r="83" spans="2:31" ht="13.5" customHeight="1">
      <c r="B83" s="16" t="str">
        <f t="shared" ref="B83:G83" si="251">B7</f>
        <v>Revenue</v>
      </c>
      <c r="C83" s="7">
        <f t="shared" si="251"/>
        <v>1857593.6780000001</v>
      </c>
      <c r="D83" s="7">
        <f t="shared" si="251"/>
        <v>2484712.2799999998</v>
      </c>
      <c r="E83" s="7">
        <f t="shared" si="251"/>
        <v>2711434.9479999999</v>
      </c>
      <c r="F83" s="7">
        <f t="shared" si="251"/>
        <v>2565556.0669999998</v>
      </c>
      <c r="G83" s="7">
        <f t="shared" si="251"/>
        <v>2904566.4539999999</v>
      </c>
      <c r="H83" s="7">
        <f t="shared" ref="H83:I83" si="252">H7</f>
        <v>2909625.4479999999</v>
      </c>
      <c r="I83" s="7">
        <f t="shared" si="252"/>
        <v>2911470.1359999999</v>
      </c>
      <c r="J83" s="7"/>
      <c r="K83" s="84"/>
      <c r="L83" s="84"/>
      <c r="M83" s="84"/>
      <c r="N83" s="7">
        <f t="shared" ref="N83:AE83" si="253">SUM(K7:N7)</f>
        <v>2484712.2799999998</v>
      </c>
      <c r="O83" s="7">
        <f t="shared" si="253"/>
        <v>2615537.7539999997</v>
      </c>
      <c r="P83" s="7">
        <f t="shared" si="253"/>
        <v>2704046.0520000001</v>
      </c>
      <c r="Q83" s="7">
        <f t="shared" si="253"/>
        <v>2765421.96</v>
      </c>
      <c r="R83" s="7">
        <f t="shared" si="253"/>
        <v>2711434.9479999999</v>
      </c>
      <c r="S83" s="7">
        <f t="shared" si="253"/>
        <v>2743000.7769999998</v>
      </c>
      <c r="T83" s="7">
        <f t="shared" si="253"/>
        <v>2758739.5959999999</v>
      </c>
      <c r="U83" s="7">
        <f t="shared" si="253"/>
        <v>2761310.9670000002</v>
      </c>
      <c r="V83" s="7">
        <f t="shared" si="253"/>
        <v>2565556.0669999998</v>
      </c>
      <c r="W83" s="7">
        <f t="shared" si="253"/>
        <v>2579549.29</v>
      </c>
      <c r="X83" s="7">
        <f t="shared" si="253"/>
        <v>2529949.068</v>
      </c>
      <c r="Y83" s="7">
        <f t="shared" si="253"/>
        <v>2509095.4339999999</v>
      </c>
      <c r="Z83" s="7">
        <f t="shared" si="253"/>
        <v>2904566.4539999999</v>
      </c>
      <c r="AA83" s="7">
        <f t="shared" si="253"/>
        <v>2976213.0630000001</v>
      </c>
      <c r="AB83" s="7">
        <f t="shared" si="253"/>
        <v>3031485.483</v>
      </c>
      <c r="AC83" s="7">
        <f t="shared" si="253"/>
        <v>3024290.0630000001</v>
      </c>
      <c r="AD83" s="7">
        <f t="shared" si="253"/>
        <v>2909625.4479999999</v>
      </c>
      <c r="AE83" s="7">
        <f t="shared" si="253"/>
        <v>2911470.1359999999</v>
      </c>
    </row>
    <row r="84" spans="2:31" ht="13.5" customHeight="1">
      <c r="B84" s="16" t="s">
        <v>160</v>
      </c>
      <c r="C84" s="7">
        <f t="shared" ref="C84:H84" si="254">C18</f>
        <v>175180.78000000003</v>
      </c>
      <c r="D84" s="7">
        <f t="shared" si="254"/>
        <v>330471.29899999977</v>
      </c>
      <c r="E84" s="7">
        <f t="shared" si="254"/>
        <v>218761.61599999992</v>
      </c>
      <c r="F84" s="7">
        <f t="shared" si="254"/>
        <v>239966.96699999983</v>
      </c>
      <c r="G84" s="7">
        <f t="shared" si="254"/>
        <v>262606.95299999998</v>
      </c>
      <c r="H84" s="7">
        <f t="shared" si="254"/>
        <v>193176.34299999988</v>
      </c>
      <c r="I84" s="7">
        <f t="shared" ref="I84" si="255">I18</f>
        <v>206452.54899999965</v>
      </c>
      <c r="J84" s="7"/>
      <c r="K84" s="84"/>
      <c r="L84" s="84"/>
      <c r="M84" s="84"/>
      <c r="N84" s="7">
        <f t="shared" ref="N84:AE84" si="256">SUM(K18:N18)</f>
        <v>318662.85999999975</v>
      </c>
      <c r="O84" s="7">
        <f t="shared" si="256"/>
        <v>320605.05299999978</v>
      </c>
      <c r="P84" s="7">
        <f t="shared" si="256"/>
        <v>295495.62199999974</v>
      </c>
      <c r="Q84" s="7">
        <f t="shared" si="256"/>
        <v>254147.28599999979</v>
      </c>
      <c r="R84" s="7">
        <f t="shared" si="256"/>
        <v>213476.95</v>
      </c>
      <c r="S84" s="7">
        <f t="shared" si="256"/>
        <v>213356.14199999993</v>
      </c>
      <c r="T84" s="7">
        <f t="shared" si="256"/>
        <v>211854.52699999989</v>
      </c>
      <c r="U84" s="7">
        <f t="shared" si="256"/>
        <v>234677.94799999983</v>
      </c>
      <c r="V84" s="7">
        <f t="shared" si="256"/>
        <v>238317.36099999989</v>
      </c>
      <c r="W84" s="7">
        <f t="shared" si="256"/>
        <v>232328.05299999987</v>
      </c>
      <c r="X84" s="7">
        <f t="shared" si="256"/>
        <v>220285.489</v>
      </c>
      <c r="Y84" s="7">
        <f t="shared" si="256"/>
        <v>193467.283</v>
      </c>
      <c r="Z84" s="7">
        <f t="shared" si="256"/>
        <v>262606.95299999992</v>
      </c>
      <c r="AA84" s="7">
        <f t="shared" si="256"/>
        <v>257067.20400000003</v>
      </c>
      <c r="AB84" s="7">
        <f t="shared" si="256"/>
        <v>233074.7589999999</v>
      </c>
      <c r="AC84" s="7">
        <f t="shared" si="256"/>
        <v>244337.53199999989</v>
      </c>
      <c r="AD84" s="7">
        <f t="shared" si="256"/>
        <v>193176.34299999994</v>
      </c>
      <c r="AE84" s="7">
        <f t="shared" si="256"/>
        <v>206452.54899999982</v>
      </c>
    </row>
    <row r="85" spans="2:31" ht="13.5" customHeight="1">
      <c r="B85" s="16" t="s">
        <v>207</v>
      </c>
      <c r="C85" s="7">
        <f t="shared" ref="C85" si="257">+C46</f>
        <v>284994.75600000005</v>
      </c>
      <c r="D85" s="7">
        <f t="shared" ref="D85:E85" si="258">+D46</f>
        <v>454588.03799999977</v>
      </c>
      <c r="E85" s="7">
        <f t="shared" si="258"/>
        <v>345259.10899999994</v>
      </c>
      <c r="F85" s="7">
        <f t="shared" ref="F85:G85" si="259">+F46</f>
        <v>366086.1649999998</v>
      </c>
      <c r="G85" s="7">
        <f t="shared" si="259"/>
        <v>415841.17699999997</v>
      </c>
      <c r="H85" s="7">
        <f t="shared" ref="H85:I85" si="260">+H46</f>
        <v>348535.03599999985</v>
      </c>
      <c r="I85" s="7">
        <f t="shared" si="260"/>
        <v>362000.70699999965</v>
      </c>
      <c r="J85" s="7"/>
      <c r="K85" s="84"/>
      <c r="L85" s="84"/>
      <c r="M85" s="84"/>
      <c r="N85" s="7">
        <f t="shared" ref="N85:AE85" si="261">SUM(K46:N46)</f>
        <v>442779.59899999981</v>
      </c>
      <c r="O85" s="7">
        <f t="shared" si="261"/>
        <v>447154.31999999977</v>
      </c>
      <c r="P85" s="7">
        <f t="shared" si="261"/>
        <v>429280.75399999972</v>
      </c>
      <c r="Q85" s="7">
        <f t="shared" si="261"/>
        <v>391999.49599999981</v>
      </c>
      <c r="R85" s="7">
        <f t="shared" si="261"/>
        <v>339974.44299999997</v>
      </c>
      <c r="S85" s="7">
        <f t="shared" si="261"/>
        <v>341777.11199999991</v>
      </c>
      <c r="T85" s="7">
        <f t="shared" si="261"/>
        <v>340307.90299999987</v>
      </c>
      <c r="U85" s="7">
        <f t="shared" si="261"/>
        <v>364328.20399999979</v>
      </c>
      <c r="V85" s="7">
        <f t="shared" si="261"/>
        <v>364436.55899999989</v>
      </c>
      <c r="W85" s="7">
        <f t="shared" si="261"/>
        <v>362541.87599999987</v>
      </c>
      <c r="X85" s="7">
        <f t="shared" si="261"/>
        <v>352602.70799999998</v>
      </c>
      <c r="Y85" s="7">
        <f t="shared" si="261"/>
        <v>327314.39300000004</v>
      </c>
      <c r="Z85" s="7">
        <f t="shared" si="261"/>
        <v>415841.17699999991</v>
      </c>
      <c r="AA85" s="7">
        <f t="shared" si="261"/>
        <v>414723.17</v>
      </c>
      <c r="AB85" s="7">
        <f t="shared" si="261"/>
        <v>391609.98599999986</v>
      </c>
      <c r="AC85" s="7">
        <f t="shared" si="261"/>
        <v>403313.80899999989</v>
      </c>
      <c r="AD85" s="7">
        <f t="shared" si="261"/>
        <v>348535.03599999991</v>
      </c>
      <c r="AE85" s="7">
        <f t="shared" si="261"/>
        <v>362000.70699999982</v>
      </c>
    </row>
    <row r="86" spans="2:31" s="19" customFormat="1" ht="13.5" customHeight="1">
      <c r="B86" s="16" t="s">
        <v>208</v>
      </c>
      <c r="C86" s="7">
        <f t="shared" ref="C86" si="262">+C51</f>
        <v>296404.84100000001</v>
      </c>
      <c r="D86" s="7">
        <f t="shared" ref="D86:E86" si="263">+D51</f>
        <v>444997.58799999999</v>
      </c>
      <c r="E86" s="7">
        <f t="shared" si="263"/>
        <v>357928.64899999998</v>
      </c>
      <c r="F86" s="7">
        <f t="shared" ref="F86:G86" si="264">+F51</f>
        <v>379402.37300000002</v>
      </c>
      <c r="G86" s="7">
        <f t="shared" si="264"/>
        <v>415936.114</v>
      </c>
      <c r="H86" s="7">
        <f t="shared" ref="H86:I86" si="265">+H51</f>
        <v>376207.95799999998</v>
      </c>
      <c r="I86" s="7">
        <f t="shared" si="265"/>
        <v>376297.473</v>
      </c>
      <c r="J86" s="7"/>
      <c r="K86" s="84"/>
      <c r="L86" s="84"/>
      <c r="M86" s="84"/>
      <c r="N86" s="7">
        <f t="shared" ref="N86:AE86" si="266">SUM(K51:N51)</f>
        <v>444997.58799999999</v>
      </c>
      <c r="O86" s="7">
        <f t="shared" si="266"/>
        <v>453575.97899999993</v>
      </c>
      <c r="P86" s="7">
        <f t="shared" si="266"/>
        <v>424471.27499999991</v>
      </c>
      <c r="Q86" s="7">
        <f t="shared" si="266"/>
        <v>390605.658</v>
      </c>
      <c r="R86" s="7">
        <f t="shared" si="266"/>
        <v>357928.64899999998</v>
      </c>
      <c r="S86" s="7">
        <f t="shared" si="266"/>
        <v>358179.57099999994</v>
      </c>
      <c r="T86" s="7">
        <f t="shared" si="266"/>
        <v>372834.52899999998</v>
      </c>
      <c r="U86" s="7">
        <f t="shared" si="266"/>
        <v>391571.7269999999</v>
      </c>
      <c r="V86" s="7">
        <f t="shared" si="266"/>
        <v>379402.37300000002</v>
      </c>
      <c r="W86" s="7">
        <f t="shared" si="266"/>
        <v>368188.91400000005</v>
      </c>
      <c r="X86" s="7">
        <f t="shared" si="266"/>
        <v>359785.07400000002</v>
      </c>
      <c r="Y86" s="7">
        <f t="shared" si="266"/>
        <v>343871.91800000006</v>
      </c>
      <c r="Z86" s="7">
        <f t="shared" si="266"/>
        <v>415936.114</v>
      </c>
      <c r="AA86" s="7">
        <f t="shared" si="266"/>
        <v>423326.86599999998</v>
      </c>
      <c r="AB86" s="7">
        <f t="shared" si="266"/>
        <v>404422.14899999998</v>
      </c>
      <c r="AC86" s="7">
        <f t="shared" si="266"/>
        <v>407626.45099999994</v>
      </c>
      <c r="AD86" s="7">
        <f t="shared" si="266"/>
        <v>376207.95799999998</v>
      </c>
      <c r="AE86" s="7">
        <f t="shared" si="266"/>
        <v>376297.473</v>
      </c>
    </row>
    <row r="87" spans="2:31" ht="13.5" customHeight="1">
      <c r="B87" s="16" t="s">
        <v>188</v>
      </c>
      <c r="C87" s="7">
        <f t="shared" ref="C87" si="267">-C62</f>
        <v>21975.481</v>
      </c>
      <c r="D87" s="7">
        <f t="shared" ref="D87:I87" si="268">-D62</f>
        <v>28984.61</v>
      </c>
      <c r="E87" s="7">
        <f t="shared" si="268"/>
        <v>47102.233</v>
      </c>
      <c r="F87" s="7">
        <f t="shared" si="268"/>
        <v>70452.675000000003</v>
      </c>
      <c r="G87" s="7">
        <f t="shared" si="268"/>
        <v>68811.141000000003</v>
      </c>
      <c r="H87" s="7">
        <f t="shared" si="268"/>
        <v>54985.786999999997</v>
      </c>
      <c r="I87" s="7">
        <f t="shared" si="268"/>
        <v>54400.068999999996</v>
      </c>
      <c r="J87" s="7"/>
      <c r="K87" s="84"/>
      <c r="L87" s="84"/>
      <c r="M87" s="84"/>
      <c r="N87" s="7">
        <f t="shared" ref="N87:AE87" si="269">-SUM(K62:N62)</f>
        <v>28984.61</v>
      </c>
      <c r="O87" s="7">
        <f t="shared" si="269"/>
        <v>29139.606</v>
      </c>
      <c r="P87" s="7">
        <f t="shared" si="269"/>
        <v>31577.502</v>
      </c>
      <c r="Q87" s="7">
        <f t="shared" si="269"/>
        <v>44328.237000000001</v>
      </c>
      <c r="R87" s="7">
        <f t="shared" si="269"/>
        <v>47102.233</v>
      </c>
      <c r="S87" s="7">
        <f t="shared" si="269"/>
        <v>65259.244999999995</v>
      </c>
      <c r="T87" s="7">
        <f t="shared" si="269"/>
        <v>72722.55799999999</v>
      </c>
      <c r="U87" s="7">
        <f t="shared" si="269"/>
        <v>74038.254000000001</v>
      </c>
      <c r="V87" s="7">
        <f t="shared" si="269"/>
        <v>70452.675000000003</v>
      </c>
      <c r="W87" s="7">
        <f t="shared" si="269"/>
        <v>65173.346000000005</v>
      </c>
      <c r="X87" s="7">
        <f t="shared" si="269"/>
        <v>63571.905000000013</v>
      </c>
      <c r="Y87" s="7">
        <f t="shared" si="269"/>
        <v>61952.683000000005</v>
      </c>
      <c r="Z87" s="7">
        <f t="shared" si="269"/>
        <v>68811.141000000003</v>
      </c>
      <c r="AA87" s="7">
        <f t="shared" si="269"/>
        <v>70598.635999999999</v>
      </c>
      <c r="AB87" s="7">
        <f t="shared" si="269"/>
        <v>65124.088000000003</v>
      </c>
      <c r="AC87" s="7">
        <f t="shared" si="269"/>
        <v>64051.081000000006</v>
      </c>
      <c r="AD87" s="7">
        <f t="shared" si="269"/>
        <v>54985.786999999997</v>
      </c>
      <c r="AE87" s="7">
        <f t="shared" si="269"/>
        <v>54400.068999999996</v>
      </c>
    </row>
    <row r="88" spans="2:31" ht="13.5" customHeight="1">
      <c r="B88" s="16" t="s">
        <v>209</v>
      </c>
      <c r="C88" s="7">
        <f t="shared" ref="C88:E88" si="270">+C27</f>
        <v>108194.85600000001</v>
      </c>
      <c r="D88" s="7">
        <f t="shared" si="270"/>
        <v>219050.68099999981</v>
      </c>
      <c r="E88" s="7">
        <f t="shared" si="270"/>
        <v>135484.45199999993</v>
      </c>
      <c r="F88" s="7">
        <f t="shared" ref="F88:G88" si="271">+F27</f>
        <v>118425.44299999982</v>
      </c>
      <c r="G88" s="7">
        <f t="shared" si="271"/>
        <v>176544.79699999999</v>
      </c>
      <c r="H88" s="7">
        <f t="shared" ref="H88:I88" si="272">+H27</f>
        <v>137292.68399999989</v>
      </c>
      <c r="I88" s="7">
        <f t="shared" si="272"/>
        <v>134852.41599999965</v>
      </c>
      <c r="J88" s="7"/>
      <c r="K88" s="84"/>
      <c r="L88" s="84"/>
      <c r="M88" s="84"/>
      <c r="N88" s="7">
        <f t="shared" ref="N88:AE88" si="273">SUM(K27:N27)</f>
        <v>216479.05599999975</v>
      </c>
      <c r="O88" s="7">
        <f t="shared" si="273"/>
        <v>216625.25499999977</v>
      </c>
      <c r="P88" s="7">
        <f t="shared" si="273"/>
        <v>185559.76099999974</v>
      </c>
      <c r="Q88" s="7">
        <f t="shared" si="273"/>
        <v>156659.44299999977</v>
      </c>
      <c r="R88" s="7">
        <f t="shared" si="273"/>
        <v>130199.78600000002</v>
      </c>
      <c r="S88" s="7">
        <f t="shared" si="273"/>
        <v>121368.13599999991</v>
      </c>
      <c r="T88" s="7">
        <f t="shared" si="273"/>
        <v>125430.30999999987</v>
      </c>
      <c r="U88" s="7">
        <f t="shared" si="273"/>
        <v>120238.95299999982</v>
      </c>
      <c r="V88" s="7">
        <f t="shared" si="273"/>
        <v>116775.83699999985</v>
      </c>
      <c r="W88" s="7">
        <f t="shared" si="273"/>
        <v>111043.65699999986</v>
      </c>
      <c r="X88" s="7">
        <f t="shared" si="273"/>
        <v>122321.152</v>
      </c>
      <c r="Y88" s="7">
        <f>SUM(V27:Y27)</f>
        <v>142214.91399999999</v>
      </c>
      <c r="Z88" s="7">
        <f t="shared" si="273"/>
        <v>176544.7969999999</v>
      </c>
      <c r="AA88" s="7">
        <f t="shared" si="273"/>
        <v>183005.15600000002</v>
      </c>
      <c r="AB88" s="7">
        <f t="shared" si="273"/>
        <v>164962.0149999999</v>
      </c>
      <c r="AC88" s="7">
        <f>SUM(Z27:AC27)</f>
        <v>153093.77699999986</v>
      </c>
      <c r="AD88" s="7">
        <f t="shared" si="273"/>
        <v>137292.68399999995</v>
      </c>
      <c r="AE88" s="7">
        <f t="shared" si="273"/>
        <v>134852.41599999985</v>
      </c>
    </row>
    <row r="89" spans="2:31" ht="13.5" customHeight="1">
      <c r="B89" s="16" t="s">
        <v>210</v>
      </c>
      <c r="C89" s="7">
        <f t="shared" ref="C89" si="274">-C64</f>
        <v>116621.44499999999</v>
      </c>
      <c r="D89" s="7">
        <f t="shared" ref="D89:E89" si="275">-D64</f>
        <v>169520.155</v>
      </c>
      <c r="E89" s="7">
        <f t="shared" si="275"/>
        <v>185087.049</v>
      </c>
      <c r="F89" s="7">
        <f t="shared" ref="F89:G89" si="276">-F64</f>
        <v>123169.077</v>
      </c>
      <c r="G89" s="7">
        <f t="shared" si="276"/>
        <v>100487.535</v>
      </c>
      <c r="H89" s="7">
        <f t="shared" ref="H89:I89" si="277">-H64</f>
        <v>139443.19199999998</v>
      </c>
      <c r="I89" s="7">
        <f t="shared" si="277"/>
        <v>151940.84099999999</v>
      </c>
      <c r="J89" s="7"/>
      <c r="K89" s="84"/>
      <c r="L89" s="84"/>
      <c r="M89" s="84"/>
      <c r="N89" s="7">
        <f t="shared" ref="N89:AE89" si="278">-SUM(K64:N64)</f>
        <v>169520.155</v>
      </c>
      <c r="O89" s="7">
        <f t="shared" si="278"/>
        <v>168607.35399999999</v>
      </c>
      <c r="P89" s="7">
        <f t="shared" si="278"/>
        <v>174934.10399999999</v>
      </c>
      <c r="Q89" s="7">
        <f t="shared" si="278"/>
        <v>195420.00099999999</v>
      </c>
      <c r="R89" s="7">
        <f t="shared" si="278"/>
        <v>185087.049</v>
      </c>
      <c r="S89" s="7">
        <f t="shared" si="278"/>
        <v>179811.01500000001</v>
      </c>
      <c r="T89" s="7">
        <f t="shared" si="278"/>
        <v>162720.98199999996</v>
      </c>
      <c r="U89" s="7">
        <f t="shared" si="278"/>
        <v>151490.87800000003</v>
      </c>
      <c r="V89" s="7">
        <f t="shared" si="278"/>
        <v>123169.077</v>
      </c>
      <c r="W89" s="7">
        <f t="shared" si="278"/>
        <v>145570.72899999999</v>
      </c>
      <c r="X89" s="7">
        <f t="shared" si="278"/>
        <v>102128.87500000001</v>
      </c>
      <c r="Y89" s="7">
        <f t="shared" si="278"/>
        <v>89293.469000000012</v>
      </c>
      <c r="Z89" s="7">
        <f t="shared" si="278"/>
        <v>100487.535</v>
      </c>
      <c r="AA89" s="7">
        <f t="shared" si="278"/>
        <v>81863.680000000008</v>
      </c>
      <c r="AB89" s="7">
        <f t="shared" si="278"/>
        <v>128226.82900000001</v>
      </c>
      <c r="AC89" s="7">
        <f t="shared" si="278"/>
        <v>136559.00900000002</v>
      </c>
      <c r="AD89" s="7">
        <f t="shared" si="278"/>
        <v>139443.19199999998</v>
      </c>
      <c r="AE89" s="7">
        <f t="shared" si="278"/>
        <v>151940.84099999999</v>
      </c>
    </row>
    <row r="90" spans="2:31" ht="13.5" customHeight="1">
      <c r="B90" s="16" t="s">
        <v>193</v>
      </c>
      <c r="C90" s="7">
        <f t="shared" ref="C90" si="279">+C67</f>
        <v>951337.20600000001</v>
      </c>
      <c r="D90" s="7">
        <f t="shared" ref="D90:E90" si="280">+D67</f>
        <v>1250199.9649999996</v>
      </c>
      <c r="E90" s="7">
        <f t="shared" si="280"/>
        <v>851245.2509999997</v>
      </c>
      <c r="F90" s="7">
        <f t="shared" ref="F90:G90" si="281">+F67</f>
        <v>1222500.6169999999</v>
      </c>
      <c r="G90" s="7">
        <f t="shared" si="281"/>
        <v>1370357.5020000001</v>
      </c>
      <c r="H90" s="7">
        <f t="shared" ref="H90:I90" si="282">+H67</f>
        <v>1272067.21</v>
      </c>
      <c r="I90" s="7">
        <f t="shared" si="282"/>
        <v>1281517.6079999998</v>
      </c>
      <c r="J90" s="7"/>
      <c r="K90" s="84"/>
      <c r="L90" s="84"/>
      <c r="M90" s="84"/>
      <c r="N90" s="7">
        <f t="shared" ref="N90:AE90" si="283">SUM(K67:N67)</f>
        <v>1250199.9649999999</v>
      </c>
      <c r="O90" s="7">
        <f t="shared" si="283"/>
        <v>1229531.0329999998</v>
      </c>
      <c r="P90" s="7">
        <f t="shared" si="283"/>
        <v>1116227.5449999999</v>
      </c>
      <c r="Q90" s="7">
        <f t="shared" si="283"/>
        <v>981349.93300000008</v>
      </c>
      <c r="R90" s="7">
        <f t="shared" si="283"/>
        <v>851245.25099999981</v>
      </c>
      <c r="S90" s="7">
        <f t="shared" si="283"/>
        <v>880877.04999999993</v>
      </c>
      <c r="T90" s="7">
        <f t="shared" si="283"/>
        <v>1039827.7519999996</v>
      </c>
      <c r="U90" s="7">
        <f t="shared" si="283"/>
        <v>1172020.9779999992</v>
      </c>
      <c r="V90" s="7">
        <f t="shared" si="283"/>
        <v>1222500.6169999999</v>
      </c>
      <c r="W90" s="7">
        <f t="shared" si="283"/>
        <v>1238543.611</v>
      </c>
      <c r="X90" s="7">
        <f t="shared" si="283"/>
        <v>1130520.544</v>
      </c>
      <c r="Y90" s="7">
        <f>SUM(V67:Y67)</f>
        <v>1222714.8119999999</v>
      </c>
      <c r="Z90" s="7">
        <f t="shared" si="283"/>
        <v>1370357.5019999999</v>
      </c>
      <c r="AA90" s="7">
        <f t="shared" si="283"/>
        <v>1437639.4119999998</v>
      </c>
      <c r="AB90" s="7">
        <f t="shared" si="283"/>
        <v>1440142.9510000001</v>
      </c>
      <c r="AC90" s="7">
        <f>SUM(Z67:AC67)</f>
        <v>1287099.6749999998</v>
      </c>
      <c r="AD90" s="7">
        <f t="shared" si="283"/>
        <v>1272067.2100000002</v>
      </c>
      <c r="AE90" s="7">
        <f t="shared" si="283"/>
        <v>1281517.608</v>
      </c>
    </row>
    <row r="91" spans="2:31" ht="13.5" customHeight="1">
      <c r="C91" s="7"/>
      <c r="D91" s="7"/>
      <c r="E91" s="7"/>
      <c r="F91" s="7"/>
      <c r="G91" s="7"/>
    </row>
    <row r="92" spans="2:31" ht="13.5" customHeight="1">
      <c r="B92" s="40" t="s">
        <v>211</v>
      </c>
      <c r="C92" s="45">
        <f t="shared" ref="C92:H92" si="284">C3</f>
        <v>44196</v>
      </c>
      <c r="D92" s="45">
        <f t="shared" si="284"/>
        <v>44561</v>
      </c>
      <c r="E92" s="45">
        <f t="shared" si="284"/>
        <v>44926</v>
      </c>
      <c r="F92" s="45">
        <f t="shared" si="284"/>
        <v>45291</v>
      </c>
      <c r="G92" s="45">
        <f t="shared" si="284"/>
        <v>45657</v>
      </c>
      <c r="H92" s="45">
        <f t="shared" si="284"/>
        <v>46022</v>
      </c>
      <c r="I92" s="45">
        <f t="shared" ref="I92" si="285">I3</f>
        <v>46112</v>
      </c>
      <c r="J92" s="193"/>
      <c r="K92" s="45">
        <f t="shared" ref="K92:Z92" si="286">K3</f>
        <v>44286</v>
      </c>
      <c r="L92" s="45">
        <f t="shared" si="286"/>
        <v>44377</v>
      </c>
      <c r="M92" s="45">
        <f t="shared" si="286"/>
        <v>44469</v>
      </c>
      <c r="N92" s="45">
        <f t="shared" si="286"/>
        <v>44561</v>
      </c>
      <c r="O92" s="45">
        <f t="shared" si="286"/>
        <v>44651</v>
      </c>
      <c r="P92" s="45">
        <f t="shared" si="286"/>
        <v>44742</v>
      </c>
      <c r="Q92" s="45">
        <f t="shared" si="286"/>
        <v>44834</v>
      </c>
      <c r="R92" s="45">
        <f t="shared" si="286"/>
        <v>44926</v>
      </c>
      <c r="S92" s="45">
        <f t="shared" si="286"/>
        <v>45016</v>
      </c>
      <c r="T92" s="45">
        <f t="shared" si="286"/>
        <v>45107</v>
      </c>
      <c r="U92" s="45">
        <f t="shared" si="286"/>
        <v>45199</v>
      </c>
      <c r="V92" s="45">
        <f t="shared" si="286"/>
        <v>45291</v>
      </c>
      <c r="W92" s="45">
        <f t="shared" si="286"/>
        <v>45382</v>
      </c>
      <c r="X92" s="45">
        <f t="shared" si="286"/>
        <v>45473</v>
      </c>
      <c r="Y92" s="45">
        <f t="shared" si="286"/>
        <v>45565</v>
      </c>
      <c r="Z92" s="45">
        <f t="shared" si="286"/>
        <v>45657</v>
      </c>
      <c r="AA92" s="45">
        <f t="shared" ref="AA92:AD92" si="287">AA3</f>
        <v>45747</v>
      </c>
      <c r="AB92" s="45">
        <f t="shared" si="287"/>
        <v>45838</v>
      </c>
      <c r="AC92" s="45">
        <f t="shared" si="287"/>
        <v>45930</v>
      </c>
      <c r="AD92" s="45">
        <f t="shared" si="287"/>
        <v>46022</v>
      </c>
      <c r="AE92" s="45">
        <f t="shared" ref="AE92" si="288">AE3</f>
        <v>46112</v>
      </c>
    </row>
    <row r="93" spans="2:31" ht="13.5" customHeight="1">
      <c r="C93" s="52"/>
      <c r="D93" s="52"/>
      <c r="E93" s="52"/>
      <c r="F93" s="52"/>
      <c r="G93" s="52"/>
      <c r="H93" s="52"/>
      <c r="I93" s="7"/>
      <c r="J93" s="7"/>
      <c r="K93" s="52"/>
      <c r="L93" s="52"/>
      <c r="M93" s="52"/>
      <c r="N93" s="7"/>
      <c r="O93" s="52"/>
      <c r="P93" s="52"/>
      <c r="Q93" s="52"/>
      <c r="R93" s="7"/>
      <c r="S93" s="52"/>
      <c r="T93" s="52"/>
      <c r="U93" s="52"/>
      <c r="V93" s="7"/>
      <c r="W93" s="52"/>
      <c r="X93" s="52"/>
      <c r="Z93" s="7"/>
      <c r="AA93" s="52"/>
      <c r="AB93" s="52"/>
      <c r="AD93" s="7"/>
      <c r="AE93" s="52"/>
    </row>
    <row r="94" spans="2:31" s="19" customFormat="1" ht="13.5" customHeight="1">
      <c r="B94" s="16" t="s">
        <v>212</v>
      </c>
      <c r="C94" s="52">
        <f>1082515.88+7705.942+25079.352</f>
        <v>1115301.1739999999</v>
      </c>
      <c r="D94" s="52">
        <f>1222261.454+9551.614+28335.983</f>
        <v>1260149.051</v>
      </c>
      <c r="E94" s="52">
        <f>1356846.302+10283.994+34865.971</f>
        <v>1401996.2669999998</v>
      </c>
      <c r="F94" s="52">
        <f>1273987.695+8121.156+35745.221</f>
        <v>1317854.0719999999</v>
      </c>
      <c r="G94" s="52">
        <f>1522708.449+12666.98+45017.172</f>
        <v>1580392.601</v>
      </c>
      <c r="H94" s="52">
        <f>1460212.852+11105.298+47784.003</f>
        <v>1519102.1529999999</v>
      </c>
      <c r="I94" s="7">
        <f>AE94</f>
        <v>1578322.6959999998</v>
      </c>
      <c r="J94" s="7"/>
      <c r="K94" s="151">
        <f>1095145.671+7842.829+118528.004</f>
        <v>1221516.504</v>
      </c>
      <c r="L94" s="151">
        <f>1125851.432+120592.935+8201.801</f>
        <v>1254646.1680000001</v>
      </c>
      <c r="M94" s="151">
        <f>1172547.211+127227.342+8985.307</f>
        <v>1308759.8599999999</v>
      </c>
      <c r="N94" s="7">
        <f>D94</f>
        <v>1260149.051</v>
      </c>
      <c r="O94" s="52">
        <f>1211838.813+9416.611+29577.472</f>
        <v>1250832.8960000002</v>
      </c>
      <c r="P94" s="52">
        <f>1307387.195+10897.478+36177.004</f>
        <v>1354461.6769999999</v>
      </c>
      <c r="Q94" s="52">
        <f>1370320.579+11472.054+36100.609</f>
        <v>1417893.2419999999</v>
      </c>
      <c r="R94" s="7">
        <f>E94</f>
        <v>1401996.2669999998</v>
      </c>
      <c r="S94" s="52">
        <f>1333257.564+9839.583+37378.345</f>
        <v>1380475.4920000001</v>
      </c>
      <c r="T94" s="52">
        <f>1352027.696+10248.246+38340.16</f>
        <v>1400616.102</v>
      </c>
      <c r="U94" s="52">
        <f>1381696.187+10787.227+36298.873</f>
        <v>1428782.2869999998</v>
      </c>
      <c r="V94" s="7">
        <f>F94</f>
        <v>1317854.0719999999</v>
      </c>
      <c r="W94" s="52">
        <f>1433997.921+11219.795 +37753.382</f>
        <v>1482971.098</v>
      </c>
      <c r="X94" s="52">
        <f>1448144.739+11621.5+37936.985</f>
        <v>1497703.2240000002</v>
      </c>
      <c r="Y94" s="52">
        <f>1453172.645+11545.945+41638.555</f>
        <v>1506357.145</v>
      </c>
      <c r="Z94" s="7">
        <f>G94</f>
        <v>1580392.601</v>
      </c>
      <c r="AA94" s="52">
        <f>1499397.684+12479.164+48986.017</f>
        <v>1560862.865</v>
      </c>
      <c r="AB94" s="52">
        <f>1454072.468+11889.772+46484.952</f>
        <v>1512447.1920000003</v>
      </c>
      <c r="AC94" s="52">
        <f>1450360.298+11485.403+47553.133</f>
        <v>1509398.8339999998</v>
      </c>
      <c r="AD94" s="7">
        <f>H94</f>
        <v>1519102.1529999999</v>
      </c>
      <c r="AE94" s="52">
        <f>1512813.94+12472.221+53036.535</f>
        <v>1578322.6959999998</v>
      </c>
    </row>
    <row r="95" spans="2:31" s="19" customFormat="1" ht="13.5" customHeight="1">
      <c r="B95" s="63" t="s">
        <v>213</v>
      </c>
      <c r="C95" s="52">
        <v>231843.261</v>
      </c>
      <c r="D95" s="52">
        <v>353427.06099999999</v>
      </c>
      <c r="E95" s="52">
        <v>480799.53399999999</v>
      </c>
      <c r="F95" s="52">
        <v>425728.43199999997</v>
      </c>
      <c r="G95" s="52">
        <v>459384.55499999999</v>
      </c>
      <c r="H95" s="52">
        <v>424300.96</v>
      </c>
      <c r="I95" s="7">
        <f>AE95</f>
        <v>424223.56099999999</v>
      </c>
      <c r="J95" s="7"/>
      <c r="K95" s="151">
        <v>243132.084</v>
      </c>
      <c r="L95" s="151">
        <v>294350.75699999998</v>
      </c>
      <c r="M95" s="151">
        <v>330783.03100000002</v>
      </c>
      <c r="N95" s="7">
        <f t="shared" ref="N95:N97" si="289">D95</f>
        <v>353427.06099999999</v>
      </c>
      <c r="O95" s="52">
        <v>406541.973</v>
      </c>
      <c r="P95" s="52">
        <v>489035.36800000002</v>
      </c>
      <c r="Q95" s="52">
        <v>512074.31099999999</v>
      </c>
      <c r="R95" s="7">
        <f>E95</f>
        <v>480799.53399999999</v>
      </c>
      <c r="S95" s="52">
        <v>457677.56199999998</v>
      </c>
      <c r="T95" s="52">
        <v>485774.69400000002</v>
      </c>
      <c r="U95" s="52">
        <v>494772.266</v>
      </c>
      <c r="V95" s="7">
        <f>F95</f>
        <v>425728.43199999997</v>
      </c>
      <c r="W95" s="52">
        <f>433720.308</f>
        <v>433720.30800000002</v>
      </c>
      <c r="X95" s="52">
        <v>452083.72</v>
      </c>
      <c r="Y95" s="52">
        <v>467674.92300000001</v>
      </c>
      <c r="Z95" s="7">
        <f t="shared" ref="Z95:Z97" si="290">G95</f>
        <v>459384.55499999999</v>
      </c>
      <c r="AA95" s="52">
        <v>454802.223</v>
      </c>
      <c r="AB95" s="52">
        <v>461341.72700000001</v>
      </c>
      <c r="AC95" s="52">
        <v>474938.174</v>
      </c>
      <c r="AD95" s="7">
        <f>H95</f>
        <v>424300.96</v>
      </c>
      <c r="AE95" s="52">
        <v>424223.56099999999</v>
      </c>
    </row>
    <row r="96" spans="2:31" s="19" customFormat="1" ht="13.5" customHeight="1">
      <c r="B96" s="63" t="s">
        <v>214</v>
      </c>
      <c r="C96" s="52">
        <f>275387.923+5313.079</f>
        <v>280701.00200000004</v>
      </c>
      <c r="D96" s="52">
        <f>372995.729+5307.264</f>
        <v>378302.99300000002</v>
      </c>
      <c r="E96" s="52">
        <f>445263.536+6204.099</f>
        <v>451467.63500000001</v>
      </c>
      <c r="F96" s="52">
        <f>446486.753+9040.528</f>
        <v>455527.28100000002</v>
      </c>
      <c r="G96" s="52">
        <f>506711.173+15501.99</f>
        <v>522213.163</v>
      </c>
      <c r="H96" s="52">
        <f>473691.412+16123.78</f>
        <v>489815.19200000004</v>
      </c>
      <c r="I96" s="7">
        <f>AE96</f>
        <v>404600.28899999999</v>
      </c>
      <c r="J96" s="7"/>
      <c r="K96" s="151">
        <f>232095.227+4765.117</f>
        <v>236860.34400000001</v>
      </c>
      <c r="L96" s="151">
        <f>219403.103+3497.501</f>
        <v>222900.60399999999</v>
      </c>
      <c r="M96" s="151">
        <f>286669.489+4829.683</f>
        <v>291499.17200000002</v>
      </c>
      <c r="N96" s="7">
        <f t="shared" si="289"/>
        <v>378302.99300000002</v>
      </c>
      <c r="O96" s="52">
        <f>333712.709+6757.563</f>
        <v>340470.272</v>
      </c>
      <c r="P96" s="52">
        <f>305095.12+5930.381</f>
        <v>311025.50099999999</v>
      </c>
      <c r="Q96" s="52">
        <f>387713.357+4794.889</f>
        <v>392508.24600000004</v>
      </c>
      <c r="R96" s="7">
        <f>E96</f>
        <v>451467.63500000001</v>
      </c>
      <c r="S96" s="52">
        <f>341427.15+6197.382</f>
        <v>347624.53200000001</v>
      </c>
      <c r="T96" s="52">
        <f>310599.397+5197.48</f>
        <v>315796.87699999998</v>
      </c>
      <c r="U96" s="52">
        <f>407376.971+9184.176</f>
        <v>416561.147</v>
      </c>
      <c r="V96" s="7">
        <f>F96</f>
        <v>455527.28100000002</v>
      </c>
      <c r="W96" s="52">
        <f>404033.048+6533.92</f>
        <v>410566.96799999999</v>
      </c>
      <c r="X96" s="52">
        <f>348027.739+7935.045</f>
        <v>355962.78399999999</v>
      </c>
      <c r="Y96" s="52">
        <f>423027.147+6058.986</f>
        <v>429086.13299999997</v>
      </c>
      <c r="Z96" s="7">
        <f t="shared" si="290"/>
        <v>522213.163</v>
      </c>
      <c r="AA96" s="52">
        <f>412266.475+11361.595</f>
        <v>423628.06999999995</v>
      </c>
      <c r="AB96" s="52">
        <f>336883.19+12334.713</f>
        <v>349217.90299999999</v>
      </c>
      <c r="AC96" s="52">
        <f>399329.989+11205.402</f>
        <v>410535.391</v>
      </c>
      <c r="AD96" s="7">
        <f>H96</f>
        <v>489815.19200000004</v>
      </c>
      <c r="AE96" s="52">
        <f>391339.484+13260.805</f>
        <v>404600.28899999999</v>
      </c>
    </row>
    <row r="97" spans="2:31" s="19" customFormat="1" ht="13.5" customHeight="1">
      <c r="B97" s="63" t="s">
        <v>215</v>
      </c>
      <c r="C97" s="52">
        <f>324521.077+18432.354</f>
        <v>342953.43099999998</v>
      </c>
      <c r="D97" s="52">
        <f>515522.729+26208.319</f>
        <v>541731.04799999995</v>
      </c>
      <c r="E97" s="52">
        <f>491315.277+34282.408</f>
        <v>525597.68500000006</v>
      </c>
      <c r="F97" s="52">
        <f>434974.163+55140.63</f>
        <v>490114.79300000001</v>
      </c>
      <c r="G97" s="52">
        <f>514887.185+36417.518</f>
        <v>551304.70299999998</v>
      </c>
      <c r="H97" s="52">
        <f>460627.211+24463.561</f>
        <v>485090.772</v>
      </c>
      <c r="I97" s="7">
        <f>AE97</f>
        <v>459795.77</v>
      </c>
      <c r="J97" s="7"/>
      <c r="K97" s="151">
        <f>311063.33+18860.422</f>
        <v>329923.75200000004</v>
      </c>
      <c r="L97" s="151">
        <f>345652.067+21977.445</f>
        <v>367629.51199999999</v>
      </c>
      <c r="M97" s="151">
        <f>425905.785+23127.519</f>
        <v>449033.304</v>
      </c>
      <c r="N97" s="7">
        <f t="shared" si="289"/>
        <v>541731.04799999995</v>
      </c>
      <c r="O97" s="52">
        <f>481113.715+29304.465</f>
        <v>510418.18000000005</v>
      </c>
      <c r="P97" s="52">
        <f>428151.643+34203.271</f>
        <v>462354.91399999999</v>
      </c>
      <c r="Q97" s="52">
        <f>489575.842+30964.613</f>
        <v>520540.45500000002</v>
      </c>
      <c r="R97" s="7">
        <f>E97</f>
        <v>525597.68500000006</v>
      </c>
      <c r="S97" s="52">
        <f>380844.221+36678.305</f>
        <v>417522.52600000001</v>
      </c>
      <c r="T97" s="52">
        <f>352530.301+35488.377</f>
        <v>388018.67799999996</v>
      </c>
      <c r="U97" s="52">
        <f>418482.221+52995.09</f>
        <v>471477.31099999999</v>
      </c>
      <c r="V97" s="7">
        <f>F97</f>
        <v>490114.79300000001</v>
      </c>
      <c r="W97" s="52">
        <f>390208.996+67980.409</f>
        <v>458189.40499999997</v>
      </c>
      <c r="X97" s="52">
        <f>318533.227+41543.333</f>
        <v>360076.56</v>
      </c>
      <c r="Y97" s="52">
        <f>413338.508+29047.863</f>
        <v>442386.37099999998</v>
      </c>
      <c r="Z97" s="7">
        <f t="shared" si="290"/>
        <v>551304.70299999998</v>
      </c>
      <c r="AA97" s="52">
        <f>434246.435+38098.08</f>
        <v>472344.51500000001</v>
      </c>
      <c r="AB97" s="52">
        <f>370508.015+27502.55</f>
        <v>398010.565</v>
      </c>
      <c r="AC97" s="52">
        <f>407650.573+23529.942</f>
        <v>431180.51499999996</v>
      </c>
      <c r="AD97" s="7">
        <f>H97</f>
        <v>485090.772</v>
      </c>
      <c r="AE97" s="52">
        <f>427444.261+32351.509</f>
        <v>459795.77</v>
      </c>
    </row>
    <row r="98" spans="2:31" s="19" customFormat="1" ht="13.5" customHeight="1">
      <c r="B98" s="19" t="s">
        <v>216</v>
      </c>
      <c r="C98" s="44">
        <f t="shared" ref="C98:I98" si="291">+C95+C96-C97</f>
        <v>169590.83200000005</v>
      </c>
      <c r="D98" s="44">
        <f t="shared" si="291"/>
        <v>189999.00600000005</v>
      </c>
      <c r="E98" s="44">
        <f t="shared" si="291"/>
        <v>406669.48399999994</v>
      </c>
      <c r="F98" s="44">
        <f t="shared" si="291"/>
        <v>391140.92</v>
      </c>
      <c r="G98" s="44">
        <f t="shared" si="291"/>
        <v>430293.01500000001</v>
      </c>
      <c r="H98" s="44">
        <f t="shared" si="291"/>
        <v>429025.38</v>
      </c>
      <c r="I98" s="44">
        <f t="shared" si="291"/>
        <v>369028.07999999996</v>
      </c>
      <c r="J98" s="7"/>
      <c r="K98" s="44">
        <f t="shared" ref="K98:N98" si="292">+K95+K96-K97</f>
        <v>150068.67599999998</v>
      </c>
      <c r="L98" s="44">
        <f t="shared" si="292"/>
        <v>149621.84899999999</v>
      </c>
      <c r="M98" s="44">
        <f t="shared" si="292"/>
        <v>173248.89899999998</v>
      </c>
      <c r="N98" s="44">
        <f t="shared" si="292"/>
        <v>189999.00600000005</v>
      </c>
      <c r="O98" s="44">
        <f t="shared" ref="O98:P98" si="293">+O95+O96-O97</f>
        <v>236594.06499999994</v>
      </c>
      <c r="P98" s="44">
        <f t="shared" si="293"/>
        <v>337705.95499999996</v>
      </c>
      <c r="Q98" s="44">
        <f t="shared" ref="Q98:T98" si="294">+Q95+Q96-Q97</f>
        <v>384042.10200000001</v>
      </c>
      <c r="R98" s="44">
        <f t="shared" si="294"/>
        <v>406669.48399999994</v>
      </c>
      <c r="S98" s="44">
        <f t="shared" si="294"/>
        <v>387779.56800000003</v>
      </c>
      <c r="T98" s="44">
        <f t="shared" si="294"/>
        <v>413552.89300000004</v>
      </c>
      <c r="U98" s="44">
        <f t="shared" ref="U98:Y98" si="295">+U95+U96-U97</f>
        <v>439856.10199999996</v>
      </c>
      <c r="V98" s="44">
        <f t="shared" si="295"/>
        <v>391140.92</v>
      </c>
      <c r="W98" s="44">
        <f t="shared" si="295"/>
        <v>386097.8710000001</v>
      </c>
      <c r="X98" s="44">
        <f t="shared" si="295"/>
        <v>447969.94399999996</v>
      </c>
      <c r="Y98" s="44">
        <f t="shared" si="295"/>
        <v>454374.685</v>
      </c>
      <c r="Z98" s="44">
        <f t="shared" ref="Z98" si="296">+Z95+Z96-Z97</f>
        <v>430293.01500000001</v>
      </c>
      <c r="AA98" s="44">
        <f>+AA95+AA96-AA97</f>
        <v>406085.77799999993</v>
      </c>
      <c r="AB98" s="44">
        <f t="shared" ref="AB98:AD98" si="297">+AB95+AB96-AB97</f>
        <v>412549.065</v>
      </c>
      <c r="AC98" s="44">
        <f t="shared" si="297"/>
        <v>454293.05</v>
      </c>
      <c r="AD98" s="44">
        <f t="shared" si="297"/>
        <v>429025.38</v>
      </c>
      <c r="AE98" s="44">
        <f>+AE95+AE96-AE97</f>
        <v>369028.07999999996</v>
      </c>
    </row>
    <row r="99" spans="2:31" s="30" customFormat="1" ht="13.5" customHeight="1">
      <c r="B99" s="57" t="s">
        <v>217</v>
      </c>
      <c r="C99" s="65">
        <f t="shared" ref="C99" si="298">+C98/C83</f>
        <v>9.1295978237066353E-2</v>
      </c>
      <c r="D99" s="65">
        <f t="shared" ref="D99:E99" si="299">+D98/D83</f>
        <v>7.6467206094381304E-2</v>
      </c>
      <c r="E99" s="65">
        <f t="shared" si="299"/>
        <v>0.14998312399121588</v>
      </c>
      <c r="F99" s="65">
        <f t="shared" ref="F99:G99" si="300">+F98/F83</f>
        <v>0.15245853522015429</v>
      </c>
      <c r="G99" s="65">
        <f t="shared" si="300"/>
        <v>0.14814362894242805</v>
      </c>
      <c r="H99" s="65">
        <f t="shared" ref="H99:I99" si="301">+H98/H83</f>
        <v>0.14745038069930988</v>
      </c>
      <c r="I99" s="67">
        <f t="shared" si="301"/>
        <v>0.12674973905348003</v>
      </c>
      <c r="J99" s="7"/>
      <c r="K99" s="84"/>
      <c r="L99" s="84"/>
      <c r="M99" s="84"/>
      <c r="N99" s="65">
        <f t="shared" ref="N99" si="302">+N98/N83</f>
        <v>7.6467206094381304E-2</v>
      </c>
      <c r="O99" s="68">
        <f t="shared" ref="O99:P99" si="303">+O98/O83</f>
        <v>9.0457140080723905E-2</v>
      </c>
      <c r="P99" s="68">
        <f t="shared" si="303"/>
        <v>0.12488912855246</v>
      </c>
      <c r="Q99" s="68">
        <f t="shared" ref="Q99:T99" si="304">+Q98/Q83</f>
        <v>0.13887287638375448</v>
      </c>
      <c r="R99" s="65">
        <f t="shared" si="304"/>
        <v>0.14998312399121588</v>
      </c>
      <c r="S99" s="68">
        <f t="shared" si="304"/>
        <v>0.14137056440214055</v>
      </c>
      <c r="T99" s="68">
        <f t="shared" si="304"/>
        <v>0.14990646221181075</v>
      </c>
      <c r="U99" s="68">
        <f t="shared" ref="U99:X99" si="305">+U98/U83</f>
        <v>0.1592924908699716</v>
      </c>
      <c r="V99" s="65">
        <f t="shared" si="305"/>
        <v>0.15245853522015429</v>
      </c>
      <c r="W99" s="68">
        <f t="shared" si="305"/>
        <v>0.14967648515062881</v>
      </c>
      <c r="X99" s="68">
        <f t="shared" si="305"/>
        <v>0.17706678354364402</v>
      </c>
      <c r="Y99" s="68">
        <f t="shared" ref="Y99:AB99" si="306">+Y98/Y83</f>
        <v>0.18109103338314872</v>
      </c>
      <c r="Z99" s="65">
        <f t="shared" si="306"/>
        <v>0.14814362894242805</v>
      </c>
      <c r="AA99" s="68">
        <f t="shared" si="306"/>
        <v>0.13644378591318612</v>
      </c>
      <c r="AB99" s="68">
        <f t="shared" si="306"/>
        <v>0.13608808859996113</v>
      </c>
      <c r="AC99" s="68">
        <f t="shared" ref="AC99:AE99" si="307">+AC98/AC83</f>
        <v>0.1502147745541827</v>
      </c>
      <c r="AD99" s="65">
        <f t="shared" si="307"/>
        <v>0.14745038069930988</v>
      </c>
      <c r="AE99" s="68">
        <f t="shared" si="307"/>
        <v>0.12674973905348003</v>
      </c>
    </row>
    <row r="100" spans="2:31" ht="13.5" customHeight="1">
      <c r="C100" s="60"/>
      <c r="D100" s="60"/>
      <c r="E100" s="60"/>
      <c r="F100" s="60"/>
      <c r="G100" s="60"/>
      <c r="H100" s="60"/>
      <c r="I100" s="7"/>
      <c r="J100" s="7"/>
      <c r="K100" s="52"/>
      <c r="L100" s="52"/>
      <c r="M100" s="52"/>
      <c r="N100" s="7"/>
      <c r="O100" s="52"/>
      <c r="P100" s="52"/>
      <c r="Q100" s="52"/>
      <c r="R100" s="7"/>
      <c r="S100" s="52"/>
      <c r="T100" s="52"/>
      <c r="U100" s="52"/>
      <c r="V100" s="7"/>
      <c r="W100" s="52"/>
      <c r="X100" s="52"/>
      <c r="Y100" s="52"/>
      <c r="Z100" s="7"/>
      <c r="AA100" s="52"/>
      <c r="AB100" s="52"/>
      <c r="AC100" s="52"/>
      <c r="AD100" s="7"/>
      <c r="AE100" s="52"/>
    </row>
    <row r="101" spans="2:31" ht="13.5" customHeight="1">
      <c r="B101" s="277" t="s">
        <v>218</v>
      </c>
      <c r="C101" s="278">
        <f t="shared" ref="C101:I101" si="308">IFERROR((C95/-C9)*365,"-")</f>
        <v>85.995631229608705</v>
      </c>
      <c r="D101" s="278">
        <f t="shared" si="308"/>
        <v>99.879910759563529</v>
      </c>
      <c r="E101" s="278">
        <f t="shared" si="308"/>
        <v>115.8419024802232</v>
      </c>
      <c r="F101" s="278">
        <f t="shared" si="308"/>
        <v>112.71545693228082</v>
      </c>
      <c r="G101" s="278">
        <f t="shared" si="308"/>
        <v>105.39271688980844</v>
      </c>
      <c r="H101" s="278">
        <f t="shared" si="308"/>
        <v>95.714817286124088</v>
      </c>
      <c r="I101" s="279">
        <f t="shared" si="308"/>
        <v>95.904592622564522</v>
      </c>
      <c r="J101" s="280"/>
      <c r="K101" s="281">
        <f t="shared" ref="K101:AD101" si="309">IFERROR((K95/-K9)*(365/4),"-")</f>
        <v>79.15842571993376</v>
      </c>
      <c r="L101" s="281">
        <f t="shared" si="309"/>
        <v>107.62450125134612</v>
      </c>
      <c r="M101" s="281">
        <f t="shared" si="309"/>
        <v>91.425407038247712</v>
      </c>
      <c r="N101" s="281">
        <f t="shared" si="309"/>
        <v>74.727032039985332</v>
      </c>
      <c r="O101" s="281">
        <f t="shared" si="309"/>
        <v>98.468254296813882</v>
      </c>
      <c r="P101" s="281">
        <f t="shared" si="309"/>
        <v>133.92922395825809</v>
      </c>
      <c r="Q101" s="281">
        <f t="shared" si="309"/>
        <v>119.28785274601046</v>
      </c>
      <c r="R101" s="281">
        <f t="shared" si="309"/>
        <v>106.15895463446218</v>
      </c>
      <c r="S101" s="281">
        <f t="shared" si="309"/>
        <v>110.75225381134108</v>
      </c>
      <c r="T101" s="281">
        <f t="shared" si="309"/>
        <v>136.46348637584811</v>
      </c>
      <c r="U101" s="281">
        <f t="shared" si="309"/>
        <v>122.56405478139189</v>
      </c>
      <c r="V101" s="281">
        <f t="shared" si="309"/>
        <v>125.99079102761488</v>
      </c>
      <c r="W101" s="281">
        <f t="shared" si="309"/>
        <v>100.47536627603306</v>
      </c>
      <c r="X101" s="281">
        <f t="shared" si="309"/>
        <v>131.15723786477341</v>
      </c>
      <c r="Y101" s="281">
        <f t="shared" si="309"/>
        <v>113.03572025530407</v>
      </c>
      <c r="Z101" s="281">
        <f t="shared" si="309"/>
        <v>83.008619912793492</v>
      </c>
      <c r="AA101" s="281">
        <f t="shared" si="309"/>
        <v>95.296748034374843</v>
      </c>
      <c r="AB101" s="281">
        <f t="shared" si="309"/>
        <v>122.70360506159047</v>
      </c>
      <c r="AC101" s="281">
        <f t="shared" si="309"/>
        <v>114.44162071127151</v>
      </c>
      <c r="AD101" s="281">
        <f t="shared" si="309"/>
        <v>84.027573866797937</v>
      </c>
      <c r="AE101" s="281">
        <f t="shared" ref="AE101" si="310">IFERROR((AE95/-AE9)*(365/4),"-")</f>
        <v>89.60888892949913</v>
      </c>
    </row>
    <row r="102" spans="2:31" ht="13.5" customHeight="1">
      <c r="B102" s="277" t="s">
        <v>219</v>
      </c>
      <c r="C102" s="278">
        <f t="shared" ref="C102:I102" si="311">IFERROR((C96/C7)*365,"-")</f>
        <v>55.155154188676136</v>
      </c>
      <c r="D102" s="278">
        <f t="shared" si="311"/>
        <v>55.572065046098629</v>
      </c>
      <c r="E102" s="278">
        <f t="shared" si="311"/>
        <v>60.774346401542367</v>
      </c>
      <c r="F102" s="278">
        <f t="shared" si="311"/>
        <v>64.807571233250314</v>
      </c>
      <c r="G102" s="278">
        <f t="shared" si="311"/>
        <v>65.623495800037915</v>
      </c>
      <c r="H102" s="278">
        <f t="shared" si="311"/>
        <v>61.445209452264876</v>
      </c>
      <c r="I102" s="279">
        <f t="shared" si="311"/>
        <v>50.723208065562652</v>
      </c>
      <c r="J102" s="280"/>
      <c r="K102" s="281">
        <f t="shared" ref="K102:AD102" si="312">IFERROR((K96/K7)*(365/4),"-")</f>
        <v>37.942432116219145</v>
      </c>
      <c r="L102" s="281">
        <f t="shared" si="312"/>
        <v>43.276413645752079</v>
      </c>
      <c r="M102" s="281">
        <f t="shared" si="312"/>
        <v>42.714042004299884</v>
      </c>
      <c r="N102" s="281">
        <f t="shared" si="312"/>
        <v>41.97751130055719</v>
      </c>
      <c r="O102" s="281">
        <f t="shared" si="312"/>
        <v>44.353273075355816</v>
      </c>
      <c r="P102" s="281">
        <f t="shared" si="312"/>
        <v>50.81634809651225</v>
      </c>
      <c r="Q102" s="281">
        <f t="shared" si="312"/>
        <v>52.355047014054641</v>
      </c>
      <c r="R102" s="281">
        <f t="shared" si="312"/>
        <v>53.615929983182319</v>
      </c>
      <c r="S102" s="281">
        <f t="shared" si="312"/>
        <v>43.332521420728987</v>
      </c>
      <c r="T102" s="281">
        <f t="shared" si="312"/>
        <v>50.181769933644127</v>
      </c>
      <c r="U102" s="281">
        <f t="shared" si="312"/>
        <v>55.355297857869132</v>
      </c>
      <c r="V102" s="281">
        <f t="shared" si="312"/>
        <v>72.592347354374908</v>
      </c>
      <c r="W102" s="281">
        <f t="shared" si="312"/>
        <v>50.218540869909994</v>
      </c>
      <c r="X102" s="281">
        <f t="shared" si="312"/>
        <v>61.912001273875632</v>
      </c>
      <c r="Y102" s="281">
        <f t="shared" si="312"/>
        <v>58.805558896490481</v>
      </c>
      <c r="Z102" s="281">
        <f t="shared" si="312"/>
        <v>49.2232701863785</v>
      </c>
      <c r="AA102" s="281">
        <f t="shared" si="312"/>
        <v>47.275836764807885</v>
      </c>
      <c r="AB102" s="281">
        <f t="shared" si="312"/>
        <v>54.94976684262997</v>
      </c>
      <c r="AC102" s="281">
        <f t="shared" si="312"/>
        <v>56.877877719556274</v>
      </c>
      <c r="AD102" s="281">
        <f t="shared" si="312"/>
        <v>52.372802878827152</v>
      </c>
      <c r="AE102" s="281">
        <f t="shared" ref="AE102" si="313">IFERROR((AE96/AE7)*(365/4),"-")</f>
        <v>45.050748066955812</v>
      </c>
    </row>
    <row r="103" spans="2:31" ht="13.5" customHeight="1">
      <c r="B103" s="277" t="s">
        <v>220</v>
      </c>
      <c r="C103" s="278">
        <f t="shared" ref="C103:I103" si="314">IFERROR((C97/-C9)*365,"-")</f>
        <v>127.20877309090754</v>
      </c>
      <c r="D103" s="278">
        <f t="shared" si="314"/>
        <v>153.09537582331544</v>
      </c>
      <c r="E103" s="278">
        <f t="shared" si="314"/>
        <v>126.63538848105681</v>
      </c>
      <c r="F103" s="278">
        <f t="shared" si="314"/>
        <v>129.76232896342057</v>
      </c>
      <c r="G103" s="278">
        <f t="shared" si="314"/>
        <v>126.48117976734966</v>
      </c>
      <c r="H103" s="278">
        <f t="shared" si="314"/>
        <v>109.42792731170081</v>
      </c>
      <c r="I103" s="279">
        <f t="shared" si="314"/>
        <v>103.94643312003214</v>
      </c>
      <c r="J103" s="280"/>
      <c r="K103" s="281">
        <f t="shared" ref="K103:AD103" si="315">IFERROR((K97/-K9)*(365/4),"-")</f>
        <v>107.4158720078007</v>
      </c>
      <c r="L103" s="281">
        <f t="shared" si="315"/>
        <v>134.4176698491581</v>
      </c>
      <c r="M103" s="281">
        <f t="shared" si="315"/>
        <v>124.10870191200716</v>
      </c>
      <c r="N103" s="281">
        <f t="shared" si="315"/>
        <v>114.54118217889047</v>
      </c>
      <c r="O103" s="281">
        <f t="shared" si="315"/>
        <v>123.62803962177092</v>
      </c>
      <c r="P103" s="281">
        <f t="shared" si="315"/>
        <v>126.62240581607004</v>
      </c>
      <c r="Q103" s="281">
        <f t="shared" si="315"/>
        <v>121.26004333847806</v>
      </c>
      <c r="R103" s="281">
        <f t="shared" si="315"/>
        <v>116.05023892950227</v>
      </c>
      <c r="S103" s="281">
        <f t="shared" si="315"/>
        <v>101.03523661818548</v>
      </c>
      <c r="T103" s="281">
        <f t="shared" si="315"/>
        <v>109.00193491517608</v>
      </c>
      <c r="U103" s="281">
        <f t="shared" si="315"/>
        <v>116.79347236004399</v>
      </c>
      <c r="V103" s="281">
        <f t="shared" si="315"/>
        <v>145.04539942121065</v>
      </c>
      <c r="W103" s="281">
        <f t="shared" si="315"/>
        <v>106.14386147483012</v>
      </c>
      <c r="X103" s="281">
        <f t="shared" si="315"/>
        <v>104.46438334353063</v>
      </c>
      <c r="Y103" s="281">
        <f t="shared" si="315"/>
        <v>106.92354799856388</v>
      </c>
      <c r="Z103" s="281">
        <f t="shared" si="315"/>
        <v>99.618156617090676</v>
      </c>
      <c r="AA103" s="281">
        <f t="shared" si="315"/>
        <v>98.972463094961569</v>
      </c>
      <c r="AB103" s="281">
        <f t="shared" si="315"/>
        <v>105.85934096115369</v>
      </c>
      <c r="AC103" s="281">
        <f t="shared" si="315"/>
        <v>103.89772744551108</v>
      </c>
      <c r="AD103" s="281">
        <f t="shared" si="315"/>
        <v>96.066246647973713</v>
      </c>
      <c r="AE103" s="281">
        <f t="shared" ref="AE103" si="316">IFERROR((AE97/-AE9)*(365/4),"-")</f>
        <v>97.122818890729945</v>
      </c>
    </row>
    <row r="104" spans="2:31" ht="13.5" customHeight="1">
      <c r="C104" s="60"/>
      <c r="D104" s="60"/>
      <c r="E104" s="60"/>
      <c r="F104" s="60"/>
      <c r="G104" s="60"/>
      <c r="H104" s="60"/>
      <c r="I104" s="7"/>
      <c r="J104" s="7"/>
      <c r="K104" s="52"/>
      <c r="L104" s="52"/>
      <c r="M104" s="52"/>
      <c r="N104" s="7"/>
      <c r="O104" s="52"/>
      <c r="P104" s="52"/>
      <c r="Q104" s="52"/>
      <c r="R104" s="7"/>
      <c r="S104" s="52"/>
      <c r="T104" s="52"/>
      <c r="U104" s="52"/>
      <c r="V104" s="7"/>
      <c r="W104" s="52"/>
      <c r="X104" s="52"/>
      <c r="Z104" s="7"/>
      <c r="AA104" s="52"/>
      <c r="AB104" s="52"/>
      <c r="AD104" s="7"/>
      <c r="AE104" s="52"/>
    </row>
    <row r="105" spans="2:31" ht="13.5" customHeight="1">
      <c r="B105" s="2" t="s">
        <v>221</v>
      </c>
      <c r="C105" s="60"/>
      <c r="D105" s="60"/>
      <c r="E105" s="60"/>
      <c r="F105" s="60"/>
      <c r="G105" s="60"/>
    </row>
    <row r="106" spans="2:31" ht="13.5" customHeight="1">
      <c r="B106" s="6" t="s">
        <v>222</v>
      </c>
      <c r="C106" s="52">
        <f>37754.705+7691.023</f>
        <v>45445.728000000003</v>
      </c>
      <c r="D106" s="52">
        <f>76169.204+8087.63</f>
        <v>84256.834000000003</v>
      </c>
      <c r="E106" s="52">
        <f>134737.116+30871.086</f>
        <v>165608.20200000002</v>
      </c>
      <c r="F106" s="52">
        <f>24494.87+38650.859</f>
        <v>63145.728999999992</v>
      </c>
      <c r="G106" s="52">
        <f>41257.611+98433.154</f>
        <v>139690.76499999998</v>
      </c>
      <c r="H106" s="52">
        <f>124816.755+41058.78</f>
        <v>165875.535</v>
      </c>
      <c r="I106" s="7">
        <f>AE106</f>
        <v>120403.682</v>
      </c>
      <c r="J106" s="7"/>
      <c r="K106" s="151">
        <f>41411.279+7192.5</f>
        <v>48603.779000000002</v>
      </c>
      <c r="L106" s="151">
        <f>61289.733+7804.49</f>
        <v>69094.222999999998</v>
      </c>
      <c r="M106" s="151">
        <f>64126.525+7340.297</f>
        <v>71466.822</v>
      </c>
      <c r="N106" s="7">
        <f t="shared" ref="N106:N107" si="317">D106</f>
        <v>84256.834000000003</v>
      </c>
      <c r="O106" s="52">
        <f>81013.066+10569.594</f>
        <v>91582.66</v>
      </c>
      <c r="P106" s="52">
        <f>141492.315+17357.3</f>
        <v>158849.61499999999</v>
      </c>
      <c r="Q106" s="52">
        <f>165097.613+11338.507</f>
        <v>176436.12000000002</v>
      </c>
      <c r="R106" s="7">
        <f>E106</f>
        <v>165608.20200000002</v>
      </c>
      <c r="S106" s="52">
        <f>107559.335+24587.681</f>
        <v>132147.016</v>
      </c>
      <c r="T106" s="52">
        <f>29621.543+44578.074</f>
        <v>74199.616999999998</v>
      </c>
      <c r="U106" s="52">
        <f>42191.827+32208.645</f>
        <v>74400.471999999994</v>
      </c>
      <c r="V106" s="7">
        <f>F106</f>
        <v>63145.728999999992</v>
      </c>
      <c r="W106" s="52">
        <f>25097.484+33123.81</f>
        <v>58221.293999999994</v>
      </c>
      <c r="X106" s="52">
        <f>75182.177+96174.313</f>
        <v>171356.49</v>
      </c>
      <c r="Y106" s="52">
        <f>71451.984+90263.742</f>
        <v>161715.726</v>
      </c>
      <c r="Z106" s="7">
        <f>G106</f>
        <v>139690.76499999998</v>
      </c>
      <c r="AA106" s="52">
        <f>33795.782+92541.67</f>
        <v>126337.45199999999</v>
      </c>
      <c r="AB106" s="52">
        <f>92000.97+40903.25</f>
        <v>132904.22</v>
      </c>
      <c r="AC106" s="52">
        <f>110690.862+34423.775</f>
        <v>145114.63699999999</v>
      </c>
      <c r="AD106" s="7">
        <f>H106</f>
        <v>165875.535</v>
      </c>
      <c r="AE106" s="52">
        <f>85852.526+34551.156</f>
        <v>120403.682</v>
      </c>
    </row>
    <row r="107" spans="2:31" ht="13.5" customHeight="1">
      <c r="B107" s="6" t="s">
        <v>223</v>
      </c>
      <c r="C107" s="52">
        <f>88151.4+324725.456</f>
        <v>412876.85600000003</v>
      </c>
      <c r="D107" s="52">
        <f>114492.596+339740.414</f>
        <v>454233.01</v>
      </c>
      <c r="E107" s="52">
        <f>84839.97+1081682.928</f>
        <v>1166522.898</v>
      </c>
      <c r="F107" s="52">
        <f>174074.17+1050838.488</f>
        <v>1224912.6579999998</v>
      </c>
      <c r="G107" s="52">
        <f>166647.324+1059003.92</f>
        <v>1225651.2439999999</v>
      </c>
      <c r="H107" s="52">
        <f>39713.245+992483.21</f>
        <v>1032196.455</v>
      </c>
      <c r="I107" s="7">
        <f>AE107</f>
        <v>1046265.659</v>
      </c>
      <c r="J107" s="7"/>
      <c r="K107" s="151">
        <f>86983.317+325525.69</f>
        <v>412509.00699999998</v>
      </c>
      <c r="L107" s="151">
        <f>39143.411+328780.956</f>
        <v>367924.36700000003</v>
      </c>
      <c r="M107" s="151">
        <f>40855.587+330013.839</f>
        <v>370869.42599999998</v>
      </c>
      <c r="N107" s="7">
        <f t="shared" si="317"/>
        <v>454233.01</v>
      </c>
      <c r="O107" s="52">
        <f>112771.821+814692.362</f>
        <v>927464.18299999996</v>
      </c>
      <c r="P107" s="52">
        <f>61820.938+982200.672</f>
        <v>1044021.61</v>
      </c>
      <c r="Q107" s="52">
        <f>126818.265+1006058.674</f>
        <v>1132876.939</v>
      </c>
      <c r="R107" s="7">
        <f>E107</f>
        <v>1166522.898</v>
      </c>
      <c r="S107" s="52">
        <f>74307.931+1047272.741</f>
        <v>1121580.672</v>
      </c>
      <c r="T107" s="52">
        <f>174395.287+1048761.511</f>
        <v>1223156.798</v>
      </c>
      <c r="U107" s="52">
        <f>176150.291+1066823.971</f>
        <v>1242974.2619999999</v>
      </c>
      <c r="V107" s="7">
        <f>F107</f>
        <v>1224912.6579999998</v>
      </c>
      <c r="W107" s="52">
        <f>172922.837+1117312.253</f>
        <v>1290235.0900000001</v>
      </c>
      <c r="X107" s="52">
        <f>171173.692+1031632.249</f>
        <v>1202805.9409999999</v>
      </c>
      <c r="Y107" s="52">
        <f>168609.778+1008309.288</f>
        <v>1176919.0659999999</v>
      </c>
      <c r="Z107" s="7">
        <f>G107</f>
        <v>1225651.2439999999</v>
      </c>
      <c r="AA107" s="52">
        <f>166263.683+1039093.986</f>
        <v>1205357.669</v>
      </c>
      <c r="AB107" s="52">
        <f>35006.446+1017335.003</f>
        <v>1052341.449</v>
      </c>
      <c r="AC107" s="52">
        <f>37701.506+1037259.218</f>
        <v>1074960.7239999999</v>
      </c>
      <c r="AD107" s="7">
        <f>H107</f>
        <v>1032196.455</v>
      </c>
      <c r="AE107" s="52">
        <f>40280.382+1005985.277</f>
        <v>1046265.659</v>
      </c>
    </row>
    <row r="108" spans="2:31" ht="13.5" customHeight="1">
      <c r="B108" s="2" t="s">
        <v>224</v>
      </c>
      <c r="C108" s="44">
        <f t="shared" ref="C108" si="318">SUM(C106:C107)</f>
        <v>458322.58400000003</v>
      </c>
      <c r="D108" s="44">
        <f t="shared" ref="D108:E108" si="319">SUM(D106:D107)</f>
        <v>538489.84400000004</v>
      </c>
      <c r="E108" s="44">
        <f t="shared" si="319"/>
        <v>1332131.1000000001</v>
      </c>
      <c r="F108" s="44">
        <f t="shared" ref="F108:G108" si="320">SUM(F106:F107)</f>
        <v>1288058.3869999999</v>
      </c>
      <c r="G108" s="44">
        <f t="shared" si="320"/>
        <v>1365342.0089999998</v>
      </c>
      <c r="H108" s="44">
        <f t="shared" ref="H108:I108" si="321">SUM(H106:H107)</f>
        <v>1198071.99</v>
      </c>
      <c r="I108" s="44">
        <f t="shared" si="321"/>
        <v>1166669.341</v>
      </c>
      <c r="J108" s="44"/>
      <c r="K108" s="44">
        <f t="shared" ref="K108:N108" si="322">SUM(K106:K107)</f>
        <v>461112.78599999996</v>
      </c>
      <c r="L108" s="44">
        <f t="shared" si="322"/>
        <v>437018.59</v>
      </c>
      <c r="M108" s="44">
        <f t="shared" si="322"/>
        <v>442336.24799999996</v>
      </c>
      <c r="N108" s="44">
        <f t="shared" si="322"/>
        <v>538489.84400000004</v>
      </c>
      <c r="O108" s="44">
        <f t="shared" ref="O108:P108" si="323">SUM(O106:O107)</f>
        <v>1019046.843</v>
      </c>
      <c r="P108" s="44">
        <f t="shared" si="323"/>
        <v>1202871.2250000001</v>
      </c>
      <c r="Q108" s="44">
        <f t="shared" ref="Q108:T108" si="324">SUM(Q106:Q107)</f>
        <v>1309313.0590000001</v>
      </c>
      <c r="R108" s="44">
        <f t="shared" si="324"/>
        <v>1332131.1000000001</v>
      </c>
      <c r="S108" s="44">
        <f t="shared" si="324"/>
        <v>1253727.6880000001</v>
      </c>
      <c r="T108" s="44">
        <f t="shared" si="324"/>
        <v>1297356.415</v>
      </c>
      <c r="U108" s="44">
        <f t="shared" ref="U108:Y108" si="325">SUM(U106:U107)</f>
        <v>1317374.7339999999</v>
      </c>
      <c r="V108" s="44">
        <f t="shared" si="325"/>
        <v>1288058.3869999999</v>
      </c>
      <c r="W108" s="44">
        <f t="shared" si="325"/>
        <v>1348456.3840000001</v>
      </c>
      <c r="X108" s="44">
        <f t="shared" si="325"/>
        <v>1374162.4309999999</v>
      </c>
      <c r="Y108" s="44">
        <f t="shared" si="325"/>
        <v>1338634.7919999999</v>
      </c>
      <c r="Z108" s="44">
        <f t="shared" ref="Z108:AC108" si="326">SUM(Z106:Z107)</f>
        <v>1365342.0089999998</v>
      </c>
      <c r="AA108" s="44">
        <f t="shared" si="326"/>
        <v>1331695.121</v>
      </c>
      <c r="AB108" s="44">
        <f t="shared" si="326"/>
        <v>1185245.669</v>
      </c>
      <c r="AC108" s="44">
        <f t="shared" si="326"/>
        <v>1220075.361</v>
      </c>
      <c r="AD108" s="44">
        <f t="shared" ref="AD108:AE108" si="327">SUM(AD106:AD107)</f>
        <v>1198071.99</v>
      </c>
      <c r="AE108" s="44">
        <f t="shared" si="327"/>
        <v>1166669.341</v>
      </c>
    </row>
    <row r="109" spans="2:31" ht="13.5" customHeight="1">
      <c r="C109" s="52"/>
      <c r="D109" s="52"/>
      <c r="E109" s="52"/>
      <c r="F109" s="52"/>
      <c r="G109" s="52"/>
      <c r="H109" s="52"/>
      <c r="I109" s="7"/>
      <c r="J109" s="7"/>
      <c r="K109" s="52"/>
      <c r="L109" s="52"/>
      <c r="M109" s="52"/>
      <c r="N109" s="7"/>
      <c r="O109" s="52"/>
      <c r="P109" s="52"/>
      <c r="Q109" s="52"/>
      <c r="R109" s="7"/>
      <c r="S109" s="52"/>
      <c r="T109" s="52"/>
      <c r="U109" s="52"/>
      <c r="V109" s="7"/>
      <c r="W109" s="52"/>
      <c r="X109" s="52"/>
      <c r="Z109" s="7"/>
      <c r="AA109" s="52"/>
      <c r="AB109" s="52"/>
      <c r="AD109" s="7"/>
      <c r="AE109" s="52"/>
    </row>
    <row r="110" spans="2:31" ht="13.5" customHeight="1">
      <c r="B110" s="2" t="s">
        <v>16</v>
      </c>
      <c r="C110" s="52"/>
      <c r="D110" s="52"/>
      <c r="E110" s="52"/>
      <c r="F110" s="52"/>
      <c r="G110" s="52"/>
    </row>
    <row r="111" spans="2:31" ht="13.5" customHeight="1">
      <c r="B111" s="6" t="s">
        <v>17</v>
      </c>
      <c r="C111" s="52">
        <v>4934.6390000000001</v>
      </c>
      <c r="D111" s="52">
        <v>6152.3609999999999</v>
      </c>
      <c r="E111" s="52">
        <v>9120.616</v>
      </c>
      <c r="F111" s="52">
        <v>7142.36</v>
      </c>
      <c r="G111" s="52">
        <v>9451.5509999999995</v>
      </c>
      <c r="H111" s="52">
        <v>9689.8700000000008</v>
      </c>
      <c r="I111" s="7">
        <f>AE111</f>
        <v>11649.606</v>
      </c>
      <c r="J111" s="7"/>
      <c r="K111" s="151">
        <v>4999.4849999999997</v>
      </c>
      <c r="L111" s="151">
        <v>4467.8069999999998</v>
      </c>
      <c r="M111" s="151">
        <v>6201.6790000000001</v>
      </c>
      <c r="N111" s="7">
        <f t="shared" ref="N111:N112" si="328">D111</f>
        <v>6152.3609999999999</v>
      </c>
      <c r="O111" s="52">
        <v>6703.5339999999997</v>
      </c>
      <c r="P111" s="52">
        <v>8758.5139999999992</v>
      </c>
      <c r="Q111" s="52">
        <v>9066.1219999999994</v>
      </c>
      <c r="R111" s="7">
        <f>E111</f>
        <v>9120.616</v>
      </c>
      <c r="S111" s="52">
        <f>8358.621</f>
        <v>8358.6209999999992</v>
      </c>
      <c r="T111" s="52">
        <v>8112.4769999999999</v>
      </c>
      <c r="U111" s="52">
        <v>7402.5069999999996</v>
      </c>
      <c r="V111" s="7">
        <f>F111</f>
        <v>7142.36</v>
      </c>
      <c r="W111" s="52">
        <f>6994.71</f>
        <v>6994.71</v>
      </c>
      <c r="X111" s="52">
        <v>8038.01</v>
      </c>
      <c r="Y111" s="52">
        <v>8902.02</v>
      </c>
      <c r="Z111" s="7">
        <f>G111</f>
        <v>9451.5509999999995</v>
      </c>
      <c r="AA111" s="52">
        <v>9974.0470000000005</v>
      </c>
      <c r="AB111" s="52">
        <v>9314.3829999999998</v>
      </c>
      <c r="AC111" s="52">
        <v>9589.4310000000005</v>
      </c>
      <c r="AD111" s="7">
        <f>H111</f>
        <v>9689.8700000000008</v>
      </c>
      <c r="AE111" s="52">
        <v>11649.606</v>
      </c>
    </row>
    <row r="112" spans="2:31" ht="13.5" customHeight="1">
      <c r="B112" s="6" t="s">
        <v>18</v>
      </c>
      <c r="C112" s="52">
        <v>27200.272000000001</v>
      </c>
      <c r="D112" s="52">
        <v>29009.023000000001</v>
      </c>
      <c r="E112" s="52">
        <v>31306.552</v>
      </c>
      <c r="F112" s="52">
        <v>34061.739000000001</v>
      </c>
      <c r="G112" s="52">
        <v>39782.317000000003</v>
      </c>
      <c r="H112" s="52">
        <v>42232.779000000002</v>
      </c>
      <c r="I112" s="7">
        <f>AE112</f>
        <v>45202.298000000003</v>
      </c>
      <c r="J112" s="7"/>
      <c r="K112" s="151">
        <v>27224.502</v>
      </c>
      <c r="L112" s="151">
        <v>26681.947</v>
      </c>
      <c r="M112" s="151">
        <v>29251.951000000001</v>
      </c>
      <c r="N112" s="7">
        <f t="shared" si="328"/>
        <v>29009.023000000001</v>
      </c>
      <c r="O112" s="52">
        <v>29067.282999999999</v>
      </c>
      <c r="P112" s="52">
        <v>33339.877</v>
      </c>
      <c r="Q112" s="52">
        <v>32758.366000000002</v>
      </c>
      <c r="R112" s="7">
        <f>E112</f>
        <v>31306.552</v>
      </c>
      <c r="S112" s="52">
        <f>34480.263</f>
        <v>34480.262999999999</v>
      </c>
      <c r="T112" s="52">
        <v>35633.127</v>
      </c>
      <c r="U112" s="52">
        <v>34313.718999999997</v>
      </c>
      <c r="V112" s="7">
        <f>F112</f>
        <v>34061.739000000001</v>
      </c>
      <c r="W112" s="52">
        <f>35226.387</f>
        <v>35226.387000000002</v>
      </c>
      <c r="X112" s="52">
        <v>34606.451000000001</v>
      </c>
      <c r="Y112" s="52">
        <v>37191.65</v>
      </c>
      <c r="Z112" s="7">
        <f>G112</f>
        <v>39782.317000000003</v>
      </c>
      <c r="AA112" s="52">
        <v>43489.885999999999</v>
      </c>
      <c r="AB112" s="52">
        <v>41537.584999999999</v>
      </c>
      <c r="AC112" s="52">
        <v>42358.944000000003</v>
      </c>
      <c r="AD112" s="7">
        <f>H112</f>
        <v>42232.779000000002</v>
      </c>
      <c r="AE112" s="52">
        <v>45202.298000000003</v>
      </c>
    </row>
    <row r="113" spans="2:31" ht="13.5" customHeight="1">
      <c r="B113" s="2" t="s">
        <v>225</v>
      </c>
      <c r="C113" s="44">
        <f t="shared" ref="C113" si="329">SUM(C111:C112)</f>
        <v>32134.911</v>
      </c>
      <c r="D113" s="44">
        <f t="shared" ref="D113:E113" si="330">SUM(D111:D112)</f>
        <v>35161.383999999998</v>
      </c>
      <c r="E113" s="44">
        <f t="shared" si="330"/>
        <v>40427.167999999998</v>
      </c>
      <c r="F113" s="44">
        <f t="shared" ref="F113:G113" si="331">SUM(F111:F112)</f>
        <v>41204.099000000002</v>
      </c>
      <c r="G113" s="44">
        <f t="shared" si="331"/>
        <v>49233.868000000002</v>
      </c>
      <c r="H113" s="44">
        <f t="shared" ref="H113:I113" si="332">SUM(H111:H112)</f>
        <v>51922.649000000005</v>
      </c>
      <c r="I113" s="44">
        <f t="shared" si="332"/>
        <v>56851.904000000002</v>
      </c>
      <c r="J113" s="44"/>
      <c r="K113" s="44">
        <f t="shared" ref="K113:N113" si="333">SUM(K111:K112)</f>
        <v>32223.987000000001</v>
      </c>
      <c r="L113" s="44">
        <f t="shared" si="333"/>
        <v>31149.754000000001</v>
      </c>
      <c r="M113" s="44">
        <f t="shared" si="333"/>
        <v>35453.630000000005</v>
      </c>
      <c r="N113" s="44">
        <f t="shared" si="333"/>
        <v>35161.383999999998</v>
      </c>
      <c r="O113" s="44">
        <f t="shared" ref="O113:Q113" si="334">SUM(O111:O112)</f>
        <v>35770.816999999995</v>
      </c>
      <c r="P113" s="44">
        <f t="shared" si="334"/>
        <v>42098.391000000003</v>
      </c>
      <c r="Q113" s="44">
        <f t="shared" si="334"/>
        <v>41824.487999999998</v>
      </c>
      <c r="R113" s="44">
        <f t="shared" ref="R113:U113" si="335">SUM(R111:R112)</f>
        <v>40427.167999999998</v>
      </c>
      <c r="S113" s="44">
        <f t="shared" si="335"/>
        <v>42838.883999999998</v>
      </c>
      <c r="T113" s="44">
        <f t="shared" si="335"/>
        <v>43745.603999999999</v>
      </c>
      <c r="U113" s="44">
        <f t="shared" si="335"/>
        <v>41716.225999999995</v>
      </c>
      <c r="V113" s="44">
        <f t="shared" ref="V113:Y113" si="336">SUM(V111:V112)</f>
        <v>41204.099000000002</v>
      </c>
      <c r="W113" s="44">
        <f t="shared" si="336"/>
        <v>42221.097000000002</v>
      </c>
      <c r="X113" s="44">
        <f t="shared" si="336"/>
        <v>42644.461000000003</v>
      </c>
      <c r="Y113" s="44">
        <f t="shared" si="336"/>
        <v>46093.67</v>
      </c>
      <c r="Z113" s="44">
        <f t="shared" ref="Z113:AC113" si="337">SUM(Z111:Z112)</f>
        <v>49233.868000000002</v>
      </c>
      <c r="AA113" s="44">
        <f t="shared" si="337"/>
        <v>53463.932999999997</v>
      </c>
      <c r="AB113" s="44">
        <f t="shared" si="337"/>
        <v>50851.968000000001</v>
      </c>
      <c r="AC113" s="44">
        <f t="shared" si="337"/>
        <v>51948.375</v>
      </c>
      <c r="AD113" s="44">
        <f t="shared" ref="AD113:AE113" si="338">SUM(AD111:AD112)</f>
        <v>51922.649000000005</v>
      </c>
      <c r="AE113" s="44">
        <f t="shared" si="338"/>
        <v>56851.904000000002</v>
      </c>
    </row>
    <row r="114" spans="2:31" ht="13.5" customHeight="1">
      <c r="B114" s="19"/>
      <c r="C114" s="52"/>
      <c r="D114" s="52"/>
      <c r="E114" s="52"/>
      <c r="F114" s="52"/>
      <c r="G114" s="52"/>
      <c r="H114" s="52"/>
      <c r="I114" s="7"/>
      <c r="J114" s="7"/>
      <c r="K114" s="52"/>
      <c r="L114" s="52"/>
      <c r="M114" s="52"/>
      <c r="N114" s="7"/>
      <c r="O114" s="52"/>
      <c r="P114" s="52"/>
      <c r="Q114" s="52"/>
      <c r="R114" s="7"/>
      <c r="S114" s="52"/>
      <c r="T114" s="52"/>
      <c r="U114" s="52"/>
      <c r="V114" s="7"/>
      <c r="W114" s="52"/>
      <c r="X114" s="52"/>
      <c r="Z114" s="7"/>
      <c r="AA114" s="52"/>
      <c r="AB114" s="52"/>
      <c r="AD114" s="7"/>
      <c r="AE114" s="52"/>
    </row>
    <row r="115" spans="2:31" ht="13.5" customHeight="1">
      <c r="B115" s="2" t="s">
        <v>226</v>
      </c>
      <c r="C115" s="52"/>
      <c r="D115" s="52"/>
      <c r="E115" s="52"/>
      <c r="F115" s="52"/>
      <c r="G115" s="52"/>
    </row>
    <row r="116" spans="2:31" ht="13.5" customHeight="1">
      <c r="B116" s="6" t="s">
        <v>222</v>
      </c>
      <c r="C116" s="7">
        <f t="shared" ref="C116:C117" si="339">C106+C111</f>
        <v>50380.367000000006</v>
      </c>
      <c r="D116" s="7">
        <f t="shared" ref="D116:E116" si="340">D106+D111</f>
        <v>90409.195000000007</v>
      </c>
      <c r="E116" s="7">
        <f t="shared" si="340"/>
        <v>174728.81800000003</v>
      </c>
      <c r="F116" s="7">
        <f t="shared" ref="F116:G116" si="341">F106+F111</f>
        <v>70288.088999999993</v>
      </c>
      <c r="G116" s="7">
        <f t="shared" si="341"/>
        <v>149142.31599999999</v>
      </c>
      <c r="H116" s="7">
        <f t="shared" ref="H116:I116" si="342">H106+H111</f>
        <v>175565.405</v>
      </c>
      <c r="I116" s="7">
        <f t="shared" si="342"/>
        <v>132053.288</v>
      </c>
      <c r="J116" s="7"/>
      <c r="K116" s="7">
        <f t="shared" ref="K116:M116" si="343">K106+K111</f>
        <v>53603.264000000003</v>
      </c>
      <c r="L116" s="7">
        <f t="shared" si="343"/>
        <v>73562.03</v>
      </c>
      <c r="M116" s="7">
        <f t="shared" si="343"/>
        <v>77668.501000000004</v>
      </c>
      <c r="N116" s="7">
        <f t="shared" ref="N116:N117" si="344">D116</f>
        <v>90409.195000000007</v>
      </c>
      <c r="O116" s="7">
        <f t="shared" ref="O116:P116" si="345">O106+O111</f>
        <v>98286.194000000003</v>
      </c>
      <c r="P116" s="7">
        <f t="shared" si="345"/>
        <v>167608.12899999999</v>
      </c>
      <c r="Q116" s="7">
        <f t="shared" ref="Q116" si="346">Q106+Q111</f>
        <v>185502.24200000003</v>
      </c>
      <c r="R116" s="7">
        <f>E116</f>
        <v>174728.81800000003</v>
      </c>
      <c r="S116" s="7">
        <f t="shared" ref="S116:U117" si="347">S106+S111</f>
        <v>140505.63699999999</v>
      </c>
      <c r="T116" s="7">
        <f t="shared" si="347"/>
        <v>82312.093999999997</v>
      </c>
      <c r="U116" s="7">
        <f t="shared" si="347"/>
        <v>81802.978999999992</v>
      </c>
      <c r="V116" s="7">
        <f>F116</f>
        <v>70288.088999999993</v>
      </c>
      <c r="W116" s="7">
        <f t="shared" ref="W116" si="348">W106+W111</f>
        <v>65216.003999999994</v>
      </c>
      <c r="X116" s="7">
        <f>X106+X111</f>
        <v>179394.5</v>
      </c>
      <c r="Y116" s="7">
        <f t="shared" ref="Y116:AB116" si="349">Y106+Y111</f>
        <v>170617.74599999998</v>
      </c>
      <c r="Z116" s="7">
        <f t="shared" si="349"/>
        <v>149142.31599999999</v>
      </c>
      <c r="AA116" s="7">
        <f t="shared" si="349"/>
        <v>136311.49899999998</v>
      </c>
      <c r="AB116" s="7">
        <f t="shared" si="349"/>
        <v>142218.603</v>
      </c>
      <c r="AC116" s="7">
        <f t="shared" ref="AC116:AE116" si="350">AC106+AC111</f>
        <v>154704.068</v>
      </c>
      <c r="AD116" s="7">
        <f t="shared" si="350"/>
        <v>175565.405</v>
      </c>
      <c r="AE116" s="7">
        <f t="shared" si="350"/>
        <v>132053.288</v>
      </c>
    </row>
    <row r="117" spans="2:31" ht="13.5" customHeight="1">
      <c r="B117" s="6" t="s">
        <v>223</v>
      </c>
      <c r="C117" s="7">
        <f t="shared" si="339"/>
        <v>440077.12800000003</v>
      </c>
      <c r="D117" s="7">
        <f t="shared" ref="D117:E117" si="351">D107+D112</f>
        <v>483242.033</v>
      </c>
      <c r="E117" s="7">
        <f t="shared" si="351"/>
        <v>1197829.45</v>
      </c>
      <c r="F117" s="7">
        <f t="shared" ref="F117:G117" si="352">F107+F112</f>
        <v>1258974.3969999999</v>
      </c>
      <c r="G117" s="7">
        <f t="shared" si="352"/>
        <v>1265433.561</v>
      </c>
      <c r="H117" s="7">
        <f t="shared" ref="H117:I117" si="353">H107+H112</f>
        <v>1074429.2339999999</v>
      </c>
      <c r="I117" s="7">
        <f t="shared" si="353"/>
        <v>1091467.9569999999</v>
      </c>
      <c r="J117" s="7"/>
      <c r="K117" s="7">
        <f t="shared" ref="K117:M117" si="354">K107+K112</f>
        <v>439733.50899999996</v>
      </c>
      <c r="L117" s="7">
        <f t="shared" si="354"/>
        <v>394606.31400000001</v>
      </c>
      <c r="M117" s="7">
        <f t="shared" si="354"/>
        <v>400121.37699999998</v>
      </c>
      <c r="N117" s="7">
        <f t="shared" si="344"/>
        <v>483242.033</v>
      </c>
      <c r="O117" s="7">
        <f t="shared" ref="O117:P117" si="355">O107+O112</f>
        <v>956531.46600000001</v>
      </c>
      <c r="P117" s="7">
        <f t="shared" si="355"/>
        <v>1077361.487</v>
      </c>
      <c r="Q117" s="7">
        <f t="shared" ref="Q117" si="356">Q107+Q112</f>
        <v>1165635.3049999999</v>
      </c>
      <c r="R117" s="7">
        <f>E117</f>
        <v>1197829.45</v>
      </c>
      <c r="S117" s="7">
        <f t="shared" ref="S117:T117" si="357">S107+S112</f>
        <v>1156060.9350000001</v>
      </c>
      <c r="T117" s="7">
        <f t="shared" si="357"/>
        <v>1258789.925</v>
      </c>
      <c r="U117" s="7">
        <f t="shared" si="347"/>
        <v>1277287.9809999999</v>
      </c>
      <c r="V117" s="7">
        <f>F117</f>
        <v>1258974.3969999999</v>
      </c>
      <c r="W117" s="7">
        <f t="shared" ref="W117" si="358">W107+W112</f>
        <v>1325461.4770000002</v>
      </c>
      <c r="X117" s="7">
        <f>X107+X112</f>
        <v>1237412.392</v>
      </c>
      <c r="Y117" s="7">
        <f t="shared" ref="Y117:AB117" si="359">Y107+Y112</f>
        <v>1214110.7159999998</v>
      </c>
      <c r="Z117" s="7">
        <f t="shared" si="359"/>
        <v>1265433.561</v>
      </c>
      <c r="AA117" s="7">
        <f t="shared" si="359"/>
        <v>1248847.5549999999</v>
      </c>
      <c r="AB117" s="7">
        <f t="shared" si="359"/>
        <v>1093879.034</v>
      </c>
      <c r="AC117" s="7">
        <f t="shared" ref="AC117:AE117" si="360">AC107+AC112</f>
        <v>1117319.6679999998</v>
      </c>
      <c r="AD117" s="7">
        <f t="shared" si="360"/>
        <v>1074429.2339999999</v>
      </c>
      <c r="AE117" s="7">
        <f t="shared" si="360"/>
        <v>1091467.9569999999</v>
      </c>
    </row>
    <row r="118" spans="2:31" s="19" customFormat="1" ht="13.5" customHeight="1">
      <c r="B118" s="19" t="s">
        <v>227</v>
      </c>
      <c r="C118" s="44">
        <f t="shared" ref="C118" si="361">SUM(C116:C117)</f>
        <v>490457.49500000005</v>
      </c>
      <c r="D118" s="44">
        <f t="shared" ref="D118:E118" si="362">SUM(D116:D117)</f>
        <v>573651.228</v>
      </c>
      <c r="E118" s="44">
        <f t="shared" si="362"/>
        <v>1372558.2679999999</v>
      </c>
      <c r="F118" s="44">
        <f t="shared" ref="F118:G118" si="363">SUM(F116:F117)</f>
        <v>1329262.4859999998</v>
      </c>
      <c r="G118" s="44">
        <f t="shared" si="363"/>
        <v>1414575.8769999999</v>
      </c>
      <c r="H118" s="44">
        <f t="shared" ref="H118:I118" si="364">SUM(H116:H117)</f>
        <v>1249994.639</v>
      </c>
      <c r="I118" s="44">
        <f t="shared" si="364"/>
        <v>1223521.2449999999</v>
      </c>
      <c r="J118" s="44"/>
      <c r="K118" s="44">
        <f t="shared" ref="K118:N118" si="365">SUM(K116:K117)</f>
        <v>493336.77299999999</v>
      </c>
      <c r="L118" s="44">
        <f t="shared" si="365"/>
        <v>468168.34400000004</v>
      </c>
      <c r="M118" s="44">
        <f t="shared" si="365"/>
        <v>477789.87799999997</v>
      </c>
      <c r="N118" s="44">
        <f t="shared" si="365"/>
        <v>573651.228</v>
      </c>
      <c r="O118" s="44">
        <f t="shared" ref="O118:P118" si="366">SUM(O116:O117)</f>
        <v>1054817.6599999999</v>
      </c>
      <c r="P118" s="44">
        <f t="shared" si="366"/>
        <v>1244969.6159999999</v>
      </c>
      <c r="Q118" s="44">
        <f t="shared" ref="Q118:R118" si="367">SUM(Q116:Q117)</f>
        <v>1351137.547</v>
      </c>
      <c r="R118" s="44">
        <f t="shared" si="367"/>
        <v>1372558.2679999999</v>
      </c>
      <c r="S118" s="44">
        <f>SUM(S116:S117)</f>
        <v>1296566.5720000002</v>
      </c>
      <c r="T118" s="44">
        <f t="shared" ref="T118:V118" si="368">SUM(T116:T117)</f>
        <v>1341102.0190000001</v>
      </c>
      <c r="U118" s="44">
        <f t="shared" si="368"/>
        <v>1359090.96</v>
      </c>
      <c r="V118" s="44">
        <f t="shared" si="368"/>
        <v>1329262.4859999998</v>
      </c>
      <c r="W118" s="44">
        <f>SUM(W116:W117)</f>
        <v>1390677.4810000001</v>
      </c>
      <c r="X118" s="44">
        <f>SUM(X116:X117)</f>
        <v>1416806.892</v>
      </c>
      <c r="Y118" s="44">
        <f>SUM(Y116:Y117)</f>
        <v>1384728.4619999998</v>
      </c>
      <c r="Z118" s="44">
        <f t="shared" ref="Z118:AB118" si="369">SUM(Z116:Z117)</f>
        <v>1414575.8769999999</v>
      </c>
      <c r="AA118" s="44">
        <f t="shared" si="369"/>
        <v>1385159.054</v>
      </c>
      <c r="AB118" s="44">
        <f t="shared" si="369"/>
        <v>1236097.6370000001</v>
      </c>
      <c r="AC118" s="44">
        <f>SUM(AC116:AC117)</f>
        <v>1272023.7359999998</v>
      </c>
      <c r="AD118" s="44">
        <f t="shared" ref="AD118:AE118" si="370">SUM(AD116:AD117)</f>
        <v>1249994.639</v>
      </c>
      <c r="AE118" s="44">
        <f t="shared" si="370"/>
        <v>1223521.2449999999</v>
      </c>
    </row>
    <row r="119" spans="2:31" ht="13.5" customHeight="1">
      <c r="B119" s="63" t="s">
        <v>203</v>
      </c>
      <c r="C119" s="52">
        <v>396389.016</v>
      </c>
      <c r="D119" s="52">
        <v>265568.125</v>
      </c>
      <c r="E119" s="52">
        <v>597081.67500000005</v>
      </c>
      <c r="F119" s="52">
        <v>618154.01599999995</v>
      </c>
      <c r="G119" s="52">
        <v>707122.81499999994</v>
      </c>
      <c r="H119" s="52">
        <v>519175.929</v>
      </c>
      <c r="I119" s="7">
        <f>AE119</f>
        <v>611569.36499999999</v>
      </c>
      <c r="J119" s="7"/>
      <c r="K119" s="151">
        <v>467671.30699999997</v>
      </c>
      <c r="L119" s="151">
        <v>374994.97899999999</v>
      </c>
      <c r="M119" s="151">
        <v>382522.23100000003</v>
      </c>
      <c r="N119" s="7">
        <f>D119</f>
        <v>265568.125</v>
      </c>
      <c r="O119" s="52">
        <v>742082.429</v>
      </c>
      <c r="P119" s="52">
        <v>643999.16899999999</v>
      </c>
      <c r="Q119" s="52">
        <v>635484.23199999996</v>
      </c>
      <c r="R119" s="7">
        <f>E119</f>
        <v>597081.67500000005</v>
      </c>
      <c r="S119" s="52">
        <v>572309.49800000002</v>
      </c>
      <c r="T119" s="52">
        <v>591015.446</v>
      </c>
      <c r="U119" s="52">
        <f>626525.901</f>
        <v>626525.90099999995</v>
      </c>
      <c r="V119" s="7">
        <f>F119</f>
        <v>618154.01599999995</v>
      </c>
      <c r="W119" s="52">
        <f>692386.24</f>
        <v>692386.24</v>
      </c>
      <c r="X119" s="52">
        <v>636538.81599999999</v>
      </c>
      <c r="Y119" s="52">
        <v>599279.00300000003</v>
      </c>
      <c r="Z119" s="7">
        <f>G119</f>
        <v>707122.81499999994</v>
      </c>
      <c r="AA119" s="52">
        <v>771435.03899999999</v>
      </c>
      <c r="AB119" s="52">
        <v>511260.23200000002</v>
      </c>
      <c r="AC119" s="52">
        <v>498784.51199999999</v>
      </c>
      <c r="AD119" s="7">
        <f>H119</f>
        <v>519175.929</v>
      </c>
      <c r="AE119" s="52">
        <v>611569.36499999999</v>
      </c>
    </row>
    <row r="120" spans="2:31" ht="13.5" customHeight="1">
      <c r="B120" s="19" t="s">
        <v>228</v>
      </c>
      <c r="C120" s="44">
        <f t="shared" ref="C120" si="371">C118-C119</f>
        <v>94068.47900000005</v>
      </c>
      <c r="D120" s="44">
        <f t="shared" ref="D120:E120" si="372">D118-D119</f>
        <v>308083.103</v>
      </c>
      <c r="E120" s="44">
        <f t="shared" si="372"/>
        <v>775476.59299999988</v>
      </c>
      <c r="F120" s="44">
        <f t="shared" ref="F120:G120" si="373">F118-F119</f>
        <v>711108.46999999986</v>
      </c>
      <c r="G120" s="44">
        <f t="shared" si="373"/>
        <v>707453.06199999992</v>
      </c>
      <c r="H120" s="44">
        <f t="shared" ref="H120:I120" si="374">H118-H119</f>
        <v>730818.71</v>
      </c>
      <c r="I120" s="44">
        <f t="shared" si="374"/>
        <v>611951.87999999989</v>
      </c>
      <c r="J120" s="44"/>
      <c r="K120" s="44">
        <f t="shared" ref="K120:N120" si="375">K118-K119</f>
        <v>25665.466000000015</v>
      </c>
      <c r="L120" s="44">
        <f t="shared" si="375"/>
        <v>93173.365000000049</v>
      </c>
      <c r="M120" s="44">
        <f t="shared" si="375"/>
        <v>95267.646999999939</v>
      </c>
      <c r="N120" s="44">
        <f t="shared" si="375"/>
        <v>308083.103</v>
      </c>
      <c r="O120" s="44">
        <f t="shared" ref="O120:P120" si="376">O118-O119</f>
        <v>312735.23099999991</v>
      </c>
      <c r="P120" s="44">
        <f t="shared" si="376"/>
        <v>600970.44699999993</v>
      </c>
      <c r="Q120" s="44">
        <f t="shared" ref="Q120:T120" si="377">Q118-Q119</f>
        <v>715653.31500000006</v>
      </c>
      <c r="R120" s="44">
        <f t="shared" si="377"/>
        <v>775476.59299999988</v>
      </c>
      <c r="S120" s="44">
        <f t="shared" si="377"/>
        <v>724257.07400000014</v>
      </c>
      <c r="T120" s="44">
        <f t="shared" si="377"/>
        <v>750086.57300000009</v>
      </c>
      <c r="U120" s="44">
        <f t="shared" ref="U120:Y120" si="378">U118-U119</f>
        <v>732565.05900000001</v>
      </c>
      <c r="V120" s="44">
        <f t="shared" si="378"/>
        <v>711108.46999999986</v>
      </c>
      <c r="W120" s="44">
        <f t="shared" si="378"/>
        <v>698291.24100000015</v>
      </c>
      <c r="X120" s="44">
        <f t="shared" si="378"/>
        <v>780268.076</v>
      </c>
      <c r="Y120" s="44">
        <f t="shared" si="378"/>
        <v>785449.4589999998</v>
      </c>
      <c r="Z120" s="44">
        <f t="shared" ref="Z120:AC120" si="379">Z118-Z119</f>
        <v>707453.06199999992</v>
      </c>
      <c r="AA120" s="44">
        <f t="shared" si="379"/>
        <v>613724.01500000001</v>
      </c>
      <c r="AB120" s="44">
        <f t="shared" si="379"/>
        <v>724837.40500000003</v>
      </c>
      <c r="AC120" s="44">
        <f t="shared" si="379"/>
        <v>773239.22399999981</v>
      </c>
      <c r="AD120" s="44">
        <f t="shared" ref="AD120:AE120" si="380">AD118-AD119</f>
        <v>730818.71</v>
      </c>
      <c r="AE120" s="44">
        <f t="shared" si="380"/>
        <v>611951.87999999989</v>
      </c>
    </row>
    <row r="121" spans="2:31" ht="13.5" customHeight="1">
      <c r="C121" s="53"/>
      <c r="D121" s="53"/>
      <c r="E121" s="53"/>
      <c r="F121" s="53"/>
      <c r="G121" s="53"/>
      <c r="H121" s="53"/>
      <c r="I121" s="54"/>
      <c r="J121" s="7"/>
      <c r="K121" s="53"/>
      <c r="L121" s="53"/>
      <c r="M121" s="53"/>
      <c r="N121" s="54"/>
      <c r="O121" s="53"/>
      <c r="P121" s="53"/>
      <c r="Q121" s="53"/>
      <c r="R121" s="54"/>
      <c r="S121" s="53"/>
      <c r="T121" s="53"/>
      <c r="U121" s="53"/>
      <c r="V121" s="54"/>
      <c r="W121" s="53"/>
      <c r="X121" s="53"/>
      <c r="Z121" s="54"/>
      <c r="AA121" s="53"/>
      <c r="AB121" s="53"/>
      <c r="AD121" s="54"/>
      <c r="AE121" s="53"/>
    </row>
    <row r="122" spans="2:31" ht="13.5" customHeight="1">
      <c r="B122" s="19" t="s">
        <v>229</v>
      </c>
      <c r="C122" s="44">
        <f>C120</f>
        <v>94068.47900000005</v>
      </c>
      <c r="D122" s="44">
        <f>D120</f>
        <v>308083.103</v>
      </c>
      <c r="E122" s="44">
        <f>E120</f>
        <v>775476.59299999988</v>
      </c>
      <c r="F122" s="44">
        <f>F120</f>
        <v>711108.46999999986</v>
      </c>
      <c r="G122" s="207">
        <v>732545</v>
      </c>
      <c r="H122" s="207">
        <v>762365</v>
      </c>
      <c r="I122" s="44">
        <f>AE122</f>
        <v>635620</v>
      </c>
      <c r="J122" s="44"/>
      <c r="K122" s="44">
        <f t="shared" ref="K122:N122" si="381">K120</f>
        <v>25665.466000000015</v>
      </c>
      <c r="L122" s="44">
        <f t="shared" si="381"/>
        <v>93173.365000000049</v>
      </c>
      <c r="M122" s="44">
        <f t="shared" si="381"/>
        <v>95267.646999999939</v>
      </c>
      <c r="N122" s="44">
        <f t="shared" si="381"/>
        <v>308083.103</v>
      </c>
      <c r="O122" s="44">
        <f t="shared" ref="O122:P122" si="382">O120</f>
        <v>312735.23099999991</v>
      </c>
      <c r="P122" s="44">
        <f t="shared" si="382"/>
        <v>600970.44699999993</v>
      </c>
      <c r="Q122" s="44">
        <f t="shared" ref="Q122" si="383">Q120</f>
        <v>715653.31500000006</v>
      </c>
      <c r="R122" s="44">
        <f>E122</f>
        <v>775476.59299999988</v>
      </c>
      <c r="S122" s="44">
        <f t="shared" ref="S122:U122" si="384">S120</f>
        <v>724257.07400000014</v>
      </c>
      <c r="T122" s="44">
        <f t="shared" si="384"/>
        <v>750086.57300000009</v>
      </c>
      <c r="U122" s="44">
        <f t="shared" si="384"/>
        <v>732565.05900000001</v>
      </c>
      <c r="V122" s="44">
        <f>F122</f>
        <v>711108.46999999986</v>
      </c>
      <c r="W122" s="44">
        <f>W120</f>
        <v>698291.24100000015</v>
      </c>
      <c r="X122" s="44">
        <f>X120</f>
        <v>780268.076</v>
      </c>
      <c r="Y122" s="44">
        <f>Y120</f>
        <v>785449.4589999998</v>
      </c>
      <c r="Z122" s="44">
        <f>G122</f>
        <v>732545</v>
      </c>
      <c r="AA122" s="44">
        <f>AA120</f>
        <v>613724.01500000001</v>
      </c>
      <c r="AB122" s="44">
        <f>AB120</f>
        <v>724837.40500000003</v>
      </c>
      <c r="AC122" s="207">
        <v>797799</v>
      </c>
      <c r="AD122" s="44">
        <f>H122</f>
        <v>762365</v>
      </c>
      <c r="AE122" s="207">
        <v>635620</v>
      </c>
    </row>
    <row r="123" spans="2:31" ht="13.5" customHeight="1">
      <c r="B123" s="16" t="s">
        <v>230</v>
      </c>
      <c r="C123" s="52">
        <v>1408818.675</v>
      </c>
      <c r="D123" s="52">
        <v>1425515.3030000001</v>
      </c>
      <c r="E123" s="52">
        <v>1435969.0530000001</v>
      </c>
      <c r="F123" s="52">
        <v>1337382.581</v>
      </c>
      <c r="G123" s="52">
        <v>1672515.31</v>
      </c>
      <c r="H123" s="52">
        <v>1616460.503</v>
      </c>
      <c r="I123" s="7">
        <f>AE123</f>
        <v>1739768.341</v>
      </c>
      <c r="J123" s="7"/>
      <c r="K123" s="151">
        <v>1421690.2490000001</v>
      </c>
      <c r="L123" s="151">
        <v>1439685.6329999999</v>
      </c>
      <c r="M123" s="151">
        <v>1522417.216</v>
      </c>
      <c r="N123" s="7">
        <f>D123</f>
        <v>1425515.3030000001</v>
      </c>
      <c r="O123" s="52">
        <v>1395047.051</v>
      </c>
      <c r="P123" s="52">
        <v>1495307.858</v>
      </c>
      <c r="Q123" s="52">
        <v>1513986.497</v>
      </c>
      <c r="R123" s="7">
        <f>E123</f>
        <v>1435969.0530000001</v>
      </c>
      <c r="S123" s="52">
        <v>1392273.541</v>
      </c>
      <c r="T123" s="52">
        <v>1411022.8929999999</v>
      </c>
      <c r="U123" s="52">
        <v>1463711.54</v>
      </c>
      <c r="V123" s="7">
        <f>F123</f>
        <v>1337382.581</v>
      </c>
      <c r="W123" s="52">
        <f>1535535.026</f>
        <v>1535535.0260000001</v>
      </c>
      <c r="X123" s="52">
        <v>1523244.4480000001</v>
      </c>
      <c r="Y123" s="52">
        <v>1523319.5919999999</v>
      </c>
      <c r="Z123" s="7">
        <f>G123</f>
        <v>1672515.31</v>
      </c>
      <c r="AA123" s="52">
        <v>1676208.432</v>
      </c>
      <c r="AB123" s="52">
        <v>1610362.659</v>
      </c>
      <c r="AC123" s="52">
        <v>1620638.9790000001</v>
      </c>
      <c r="AD123" s="7">
        <f>H123</f>
        <v>1616460.503</v>
      </c>
      <c r="AE123" s="52">
        <v>1739768.341</v>
      </c>
    </row>
    <row r="124" spans="2:31" s="19" customFormat="1" ht="13.5" customHeight="1">
      <c r="B124" s="19" t="s">
        <v>231</v>
      </c>
      <c r="C124" s="44">
        <f t="shared" ref="C124:E124" si="385">+C118+C123</f>
        <v>1899276.1700000002</v>
      </c>
      <c r="D124" s="44">
        <f t="shared" si="385"/>
        <v>1999166.531</v>
      </c>
      <c r="E124" s="44">
        <f t="shared" si="385"/>
        <v>2808527.321</v>
      </c>
      <c r="F124" s="44">
        <f t="shared" ref="F124:G124" si="386">+F118+F123</f>
        <v>2666645.0669999998</v>
      </c>
      <c r="G124" s="44">
        <f t="shared" si="386"/>
        <v>3087091.1869999999</v>
      </c>
      <c r="H124" s="44">
        <f t="shared" ref="H124:I124" si="387">+H118+H123</f>
        <v>2866455.142</v>
      </c>
      <c r="I124" s="44">
        <f t="shared" si="387"/>
        <v>2963289.5860000001</v>
      </c>
      <c r="J124" s="44"/>
      <c r="K124" s="44">
        <f t="shared" ref="K124:N124" si="388">+K118+K123</f>
        <v>1915027.0220000001</v>
      </c>
      <c r="L124" s="44">
        <f t="shared" si="388"/>
        <v>1907853.977</v>
      </c>
      <c r="M124" s="44">
        <f t="shared" si="388"/>
        <v>2000207.094</v>
      </c>
      <c r="N124" s="44">
        <f t="shared" si="388"/>
        <v>1999166.531</v>
      </c>
      <c r="O124" s="44">
        <f t="shared" ref="O124:P124" si="389">+O118+O123</f>
        <v>2449864.7110000001</v>
      </c>
      <c r="P124" s="44">
        <f t="shared" si="389"/>
        <v>2740277.4739999999</v>
      </c>
      <c r="Q124" s="44">
        <f t="shared" ref="Q124:T124" si="390">+Q118+Q123</f>
        <v>2865124.0439999998</v>
      </c>
      <c r="R124" s="44">
        <f t="shared" si="390"/>
        <v>2808527.321</v>
      </c>
      <c r="S124" s="44">
        <f t="shared" si="390"/>
        <v>2688840.1129999999</v>
      </c>
      <c r="T124" s="44">
        <f t="shared" si="390"/>
        <v>2752124.912</v>
      </c>
      <c r="U124" s="44">
        <f t="shared" ref="U124:Y124" si="391">+U118+U123</f>
        <v>2822802.5</v>
      </c>
      <c r="V124" s="44">
        <f t="shared" si="391"/>
        <v>2666645.0669999998</v>
      </c>
      <c r="W124" s="44">
        <f t="shared" si="391"/>
        <v>2926212.5070000002</v>
      </c>
      <c r="X124" s="44">
        <f t="shared" si="391"/>
        <v>2940051.34</v>
      </c>
      <c r="Y124" s="44">
        <f t="shared" si="391"/>
        <v>2908048.0539999995</v>
      </c>
      <c r="Z124" s="44">
        <f t="shared" ref="Z124:AC124" si="392">+Z118+Z123</f>
        <v>3087091.1869999999</v>
      </c>
      <c r="AA124" s="44">
        <f t="shared" si="392"/>
        <v>3061367.486</v>
      </c>
      <c r="AB124" s="44">
        <f t="shared" si="392"/>
        <v>2846460.2960000001</v>
      </c>
      <c r="AC124" s="44">
        <f t="shared" si="392"/>
        <v>2892662.7149999999</v>
      </c>
      <c r="AD124" s="44">
        <f t="shared" ref="AD124:AE124" si="393">+AD118+AD123</f>
        <v>2866455.142</v>
      </c>
      <c r="AE124" s="44">
        <f t="shared" si="393"/>
        <v>2963289.5860000001</v>
      </c>
    </row>
    <row r="125" spans="2:31" ht="13.5" customHeight="1"/>
    <row r="126" spans="2:31" ht="13.5" customHeight="1">
      <c r="B126" s="40" t="s">
        <v>232</v>
      </c>
      <c r="C126" s="45">
        <f t="shared" ref="C126:H126" si="394">C3</f>
        <v>44196</v>
      </c>
      <c r="D126" s="45">
        <f t="shared" si="394"/>
        <v>44561</v>
      </c>
      <c r="E126" s="45">
        <f t="shared" si="394"/>
        <v>44926</v>
      </c>
      <c r="F126" s="45">
        <f t="shared" si="394"/>
        <v>45291</v>
      </c>
      <c r="G126" s="45">
        <f t="shared" si="394"/>
        <v>45657</v>
      </c>
      <c r="H126" s="45">
        <f t="shared" si="394"/>
        <v>46022</v>
      </c>
      <c r="I126" s="45">
        <f t="shared" ref="I126" si="395">I3</f>
        <v>46112</v>
      </c>
      <c r="J126" s="193"/>
      <c r="K126" s="45">
        <f t="shared" ref="K126:Z126" si="396">K3</f>
        <v>44286</v>
      </c>
      <c r="L126" s="45">
        <f t="shared" si="396"/>
        <v>44377</v>
      </c>
      <c r="M126" s="45">
        <f t="shared" si="396"/>
        <v>44469</v>
      </c>
      <c r="N126" s="45">
        <f t="shared" si="396"/>
        <v>44561</v>
      </c>
      <c r="O126" s="45">
        <f t="shared" si="396"/>
        <v>44651</v>
      </c>
      <c r="P126" s="45">
        <f t="shared" si="396"/>
        <v>44742</v>
      </c>
      <c r="Q126" s="45">
        <f t="shared" si="396"/>
        <v>44834</v>
      </c>
      <c r="R126" s="45">
        <f t="shared" si="396"/>
        <v>44926</v>
      </c>
      <c r="S126" s="45">
        <f t="shared" si="396"/>
        <v>45016</v>
      </c>
      <c r="T126" s="45">
        <f t="shared" si="396"/>
        <v>45107</v>
      </c>
      <c r="U126" s="45">
        <f t="shared" si="396"/>
        <v>45199</v>
      </c>
      <c r="V126" s="45">
        <f t="shared" si="396"/>
        <v>45291</v>
      </c>
      <c r="W126" s="45">
        <f t="shared" si="396"/>
        <v>45382</v>
      </c>
      <c r="X126" s="45">
        <f t="shared" si="396"/>
        <v>45473</v>
      </c>
      <c r="Y126" s="45">
        <f t="shared" si="396"/>
        <v>45565</v>
      </c>
      <c r="Z126" s="45">
        <f t="shared" si="396"/>
        <v>45657</v>
      </c>
      <c r="AA126" s="45">
        <f t="shared" ref="AA126:AD126" si="397">AA3</f>
        <v>45747</v>
      </c>
      <c r="AB126" s="45">
        <f t="shared" si="397"/>
        <v>45838</v>
      </c>
      <c r="AC126" s="45">
        <f t="shared" si="397"/>
        <v>45930</v>
      </c>
      <c r="AD126" s="45">
        <f t="shared" si="397"/>
        <v>46022</v>
      </c>
      <c r="AE126" s="45">
        <f t="shared" ref="AE126" si="398">AE3</f>
        <v>46112</v>
      </c>
    </row>
    <row r="127" spans="2:31" ht="13.5" customHeight="1">
      <c r="B127" s="19"/>
    </row>
    <row r="128" spans="2:31" ht="13.5" customHeight="1">
      <c r="B128" s="2" t="s">
        <v>233</v>
      </c>
      <c r="C128" s="83">
        <f t="shared" ref="C128:E128" si="399">IF((C120-C113)&lt;0,"net cash",(C120-C113)/C86)</f>
        <v>0.20894924587280964</v>
      </c>
      <c r="D128" s="83">
        <f t="shared" si="399"/>
        <v>0.6133105579889121</v>
      </c>
      <c r="E128" s="83">
        <f t="shared" si="399"/>
        <v>2.053619979997745</v>
      </c>
      <c r="F128" s="83">
        <f t="shared" ref="F128:G128" si="400">IF((F120-F113)&lt;0,"net cash",(F120-F113)/F86)</f>
        <v>1.7656831339850365</v>
      </c>
      <c r="G128" s="83">
        <f t="shared" si="400"/>
        <v>1.5825007058656126</v>
      </c>
      <c r="H128" s="83">
        <f t="shared" ref="H128:I128" si="401">IF((H120-H113)&lt;0,"net cash",(H120-H113)/H86)</f>
        <v>1.8045765555017845</v>
      </c>
      <c r="I128" s="83">
        <f t="shared" si="401"/>
        <v>1.475162646122792</v>
      </c>
      <c r="K128" s="85"/>
      <c r="L128" s="85"/>
      <c r="M128" s="85"/>
      <c r="N128" s="83">
        <f t="shared" ref="N128" si="402">IF((N120-N113)&lt;0,"net cash",(N120-N113)/N86)</f>
        <v>0.6133105579889121</v>
      </c>
      <c r="O128" s="83">
        <f t="shared" ref="O128" si="403">IF((O120-O113)&lt;0,"net cash",(O120-O113)/O86)</f>
        <v>0.6106240780444856</v>
      </c>
      <c r="P128" s="83">
        <f t="shared" ref="P128" si="404">IF((P120-P113)&lt;0,"net cash",(P120-P113)/P86)</f>
        <v>1.3166310394030785</v>
      </c>
      <c r="Q128" s="83">
        <f t="shared" ref="Q128" si="405">IF((Q120-Q113)&lt;0,"net cash",(Q120-Q113)/Q86)</f>
        <v>1.7250872157105315</v>
      </c>
      <c r="R128" s="83">
        <f t="shared" ref="R128" si="406">IF((R120-R113)&lt;0,"net cash",(R120-R113)/R86)</f>
        <v>2.053619979997745</v>
      </c>
      <c r="S128" s="83">
        <f t="shared" ref="S128" si="407">IF((S120-S113)&lt;0,"net cash",(S120-S113)/S86)</f>
        <v>1.9024485067575232</v>
      </c>
      <c r="T128" s="83">
        <f t="shared" ref="T128" si="408">IF((T120-T113)&lt;0,"net cash",(T120-T113)/T86)</f>
        <v>1.8945159690399815</v>
      </c>
      <c r="U128" s="83">
        <f t="shared" ref="U128:X128" si="409">IF((U120-U113)&lt;0,"net cash",(U120-U113)/U86)</f>
        <v>1.7642970249483823</v>
      </c>
      <c r="V128" s="83">
        <f t="shared" si="409"/>
        <v>1.7656831339850365</v>
      </c>
      <c r="W128" s="83">
        <f t="shared" si="409"/>
        <v>1.7818845680943021</v>
      </c>
      <c r="X128" s="83">
        <f t="shared" si="409"/>
        <v>2.0501784768314204</v>
      </c>
      <c r="Y128" s="83">
        <f t="shared" ref="Y128:AB128" si="410">IF((Y120-Y113)&lt;0,"net cash",(Y120-Y113)/Y86)</f>
        <v>2.1500906305469223</v>
      </c>
      <c r="Z128" s="83">
        <f t="shared" si="410"/>
        <v>1.5825007058656126</v>
      </c>
      <c r="AA128" s="83">
        <f t="shared" si="410"/>
        <v>1.3234692314567158</v>
      </c>
      <c r="AB128" s="83">
        <f t="shared" si="410"/>
        <v>1.6665393788805569</v>
      </c>
      <c r="AC128" s="83">
        <f t="shared" ref="AC128:AE128" si="411">IF((AC120-AC113)&lt;0,"net cash",(AC120-AC113)/AC86)</f>
        <v>1.7694898042816165</v>
      </c>
      <c r="AD128" s="83">
        <f t="shared" si="411"/>
        <v>1.8045765555017845</v>
      </c>
      <c r="AE128" s="83">
        <f t="shared" si="411"/>
        <v>1.475162646122792</v>
      </c>
    </row>
    <row r="129" spans="2:31" ht="13.5" customHeight="1">
      <c r="B129" s="6" t="s">
        <v>234</v>
      </c>
      <c r="C129" s="50">
        <f t="shared" ref="C129:E129" si="412">(C118-C113)/C86</f>
        <v>1.5462722621321829</v>
      </c>
      <c r="D129" s="50">
        <f t="shared" si="412"/>
        <v>1.2100960960714242</v>
      </c>
      <c r="E129" s="50">
        <f t="shared" si="412"/>
        <v>3.7217783592394134</v>
      </c>
      <c r="F129" s="50">
        <f t="shared" ref="F129:G129" si="413">(F118-F113)/F86</f>
        <v>3.3949666071276781</v>
      </c>
      <c r="G129" s="50">
        <f t="shared" si="413"/>
        <v>3.2825762491977311</v>
      </c>
      <c r="H129" s="50">
        <f t="shared" ref="H129:I129" si="414">(H118-H113)/H86</f>
        <v>3.1846003374548499</v>
      </c>
      <c r="I129" s="50">
        <f t="shared" si="414"/>
        <v>3.1003911126450743</v>
      </c>
      <c r="K129" s="85"/>
      <c r="L129" s="85"/>
      <c r="M129" s="85"/>
      <c r="N129" s="50">
        <f t="shared" ref="N129" si="415">(N118-N113)/N86</f>
        <v>1.2100960960714242</v>
      </c>
      <c r="O129" s="50">
        <f t="shared" ref="O129" si="416">(O118-O113)/O86</f>
        <v>2.2466949092998596</v>
      </c>
      <c r="P129" s="50">
        <f t="shared" ref="P129" si="417">(P118-P113)/P86</f>
        <v>2.8338106624529544</v>
      </c>
      <c r="Q129" s="50">
        <f t="shared" ref="Q129" si="418">(Q118-Q113)/Q86</f>
        <v>3.3520074074298232</v>
      </c>
      <c r="R129" s="50">
        <f t="shared" ref="R129" si="419">(R118-R113)/R86</f>
        <v>3.7217783592394134</v>
      </c>
      <c r="S129" s="50">
        <f t="shared" ref="S129" si="420">(S118-S113)/S86</f>
        <v>3.5002769267373997</v>
      </c>
      <c r="T129" s="50">
        <f t="shared" ref="T129" si="421">(T118-T113)/T86</f>
        <v>3.4797110087408241</v>
      </c>
      <c r="U129" s="50">
        <f t="shared" ref="U129:X129" si="422">(U118-U113)/U86</f>
        <v>3.3643254687793132</v>
      </c>
      <c r="V129" s="50">
        <f t="shared" si="422"/>
        <v>3.3949666071276781</v>
      </c>
      <c r="W129" s="50">
        <f t="shared" si="422"/>
        <v>3.662403545371276</v>
      </c>
      <c r="X129" s="50">
        <f t="shared" si="422"/>
        <v>3.819398108216129</v>
      </c>
      <c r="Y129" s="50">
        <f t="shared" ref="Y129:AB129" si="423">(Y118-Y113)/Y86</f>
        <v>3.8928296319910589</v>
      </c>
      <c r="Z129" s="50">
        <f t="shared" si="423"/>
        <v>3.2825762491977311</v>
      </c>
      <c r="AA129" s="50">
        <f t="shared" si="423"/>
        <v>3.1457845649701812</v>
      </c>
      <c r="AB129" s="50">
        <f t="shared" si="423"/>
        <v>2.9307140371285652</v>
      </c>
      <c r="AC129" s="50">
        <f t="shared" ref="AC129:AE129" si="424">(AC118-AC113)/AC86</f>
        <v>2.993121172600254</v>
      </c>
      <c r="AD129" s="50">
        <f t="shared" si="424"/>
        <v>3.1846003374548499</v>
      </c>
      <c r="AE129" s="50">
        <f t="shared" si="424"/>
        <v>3.1003911126450743</v>
      </c>
    </row>
    <row r="130" spans="2:31" ht="13.5" customHeight="1">
      <c r="B130" s="2"/>
      <c r="C130" s="144"/>
      <c r="D130" s="144"/>
      <c r="E130" s="144"/>
      <c r="F130" s="144"/>
      <c r="G130" s="144"/>
      <c r="H130" s="144"/>
      <c r="I130" s="144"/>
      <c r="K130" s="85"/>
      <c r="L130" s="85"/>
      <c r="M130" s="85"/>
    </row>
    <row r="131" spans="2:31" s="19" customFormat="1" ht="13.5" customHeight="1">
      <c r="B131" s="2" t="s">
        <v>235</v>
      </c>
      <c r="C131" s="145">
        <f t="shared" ref="C131:E131" si="425">IF(C120&lt;0,"net cash", C120/C86)</f>
        <v>0.3173648537002135</v>
      </c>
      <c r="D131" s="145">
        <f t="shared" si="425"/>
        <v>0.69232533233416094</v>
      </c>
      <c r="E131" s="145">
        <f t="shared" si="425"/>
        <v>2.1665675412308221</v>
      </c>
      <c r="F131" s="145">
        <f t="shared" ref="F131:G131" si="426">IF(F120&lt;0,"net cash", F120/F86)</f>
        <v>1.874285773115077</v>
      </c>
      <c r="G131" s="145">
        <f t="shared" si="426"/>
        <v>1.7008695282468305</v>
      </c>
      <c r="H131" s="145">
        <f t="shared" ref="H131:I131" si="427">IF(H120&lt;0,"net cash", H120/H86)</f>
        <v>1.9425923733383652</v>
      </c>
      <c r="I131" s="145">
        <f t="shared" si="427"/>
        <v>1.6262449894262243</v>
      </c>
      <c r="J131" s="51"/>
      <c r="K131" s="85"/>
      <c r="L131" s="85"/>
      <c r="M131" s="85"/>
      <c r="N131" s="83">
        <f t="shared" ref="N131" si="428">IF(N120&lt;0,"net cash", N120/N86)</f>
        <v>0.69232533233416094</v>
      </c>
      <c r="O131" s="83">
        <f t="shared" ref="O131" si="429">IF(O120&lt;0,"net cash", O120/O86)</f>
        <v>0.68948808023186769</v>
      </c>
      <c r="P131" s="83">
        <f t="shared" ref="P131" si="430">IF(P120&lt;0,"net cash", P120/P86)</f>
        <v>1.4158094608404304</v>
      </c>
      <c r="Q131" s="83">
        <f t="shared" ref="Q131" si="431">IF(Q120&lt;0,"net cash", Q120/Q86)</f>
        <v>1.8321632069139153</v>
      </c>
      <c r="R131" s="83">
        <f t="shared" ref="R131" si="432">IF(R120&lt;0,"net cash", R120/R86)</f>
        <v>2.1665675412308221</v>
      </c>
      <c r="S131" s="83">
        <f t="shared" ref="S131" si="433">IF(S120&lt;0,"net cash", S120/S86)</f>
        <v>2.0220502022992268</v>
      </c>
      <c r="T131" s="83">
        <f t="shared" ref="T131" si="434">IF(T120&lt;0,"net cash", T120/T86)</f>
        <v>2.011848459990679</v>
      </c>
      <c r="U131" s="83">
        <f t="shared" ref="U131:X131" si="435">IF(U120&lt;0,"net cash", U120/U86)</f>
        <v>1.8708323622149567</v>
      </c>
      <c r="V131" s="83">
        <f t="shared" si="435"/>
        <v>1.874285773115077</v>
      </c>
      <c r="W131" s="83">
        <f t="shared" si="435"/>
        <v>1.8965569425047928</v>
      </c>
      <c r="X131" s="83">
        <f t="shared" si="435"/>
        <v>2.1687060758946326</v>
      </c>
      <c r="Y131" s="83">
        <f t="shared" ref="Y131:AB131" si="436">IF(Y120&lt;0,"net cash", Y120/Y86)</f>
        <v>2.2841337657586789</v>
      </c>
      <c r="Z131" s="83">
        <f t="shared" si="436"/>
        <v>1.7008695282468305</v>
      </c>
      <c r="AA131" s="83">
        <f t="shared" si="436"/>
        <v>1.449763915999605</v>
      </c>
      <c r="AB131" s="83">
        <f t="shared" si="436"/>
        <v>1.7922791983383681</v>
      </c>
      <c r="AC131" s="83">
        <f t="shared" ref="AC131:AE131" si="437">IF(AC120&lt;0,"net cash", AC120/AC86)</f>
        <v>1.896930932973238</v>
      </c>
      <c r="AD131" s="83">
        <f t="shared" si="437"/>
        <v>1.9425923733383652</v>
      </c>
      <c r="AE131" s="83">
        <f t="shared" si="437"/>
        <v>1.6262449894262243</v>
      </c>
    </row>
    <row r="132" spans="2:31" ht="13.5" customHeight="1">
      <c r="B132" s="6" t="s">
        <v>236</v>
      </c>
      <c r="C132" s="50">
        <f t="shared" ref="C132:E132" si="438">+C118/C86</f>
        <v>1.6546878699595868</v>
      </c>
      <c r="D132" s="50">
        <f t="shared" si="438"/>
        <v>1.2891108704166729</v>
      </c>
      <c r="E132" s="50">
        <f t="shared" si="438"/>
        <v>3.8347259204724908</v>
      </c>
      <c r="F132" s="50">
        <f t="shared" ref="F132:G132" si="439">+F118/F86</f>
        <v>3.5035692462577184</v>
      </c>
      <c r="G132" s="50">
        <f t="shared" si="439"/>
        <v>3.4009450715789491</v>
      </c>
      <c r="H132" s="50">
        <f t="shared" ref="H132:I132" si="440">+H118/H86</f>
        <v>3.3226161552914308</v>
      </c>
      <c r="I132" s="50">
        <f t="shared" si="440"/>
        <v>3.2514734559485068</v>
      </c>
      <c r="J132" s="50"/>
      <c r="K132" s="85"/>
      <c r="L132" s="85"/>
      <c r="M132" s="85"/>
      <c r="N132" s="50">
        <f t="shared" ref="N132" si="441">+N118/N86</f>
        <v>1.2891108704166729</v>
      </c>
      <c r="O132" s="50">
        <f t="shared" ref="O132" si="442">+O118/O86</f>
        <v>2.3255589114872417</v>
      </c>
      <c r="P132" s="50">
        <f t="shared" ref="P132" si="443">+P118/P86</f>
        <v>2.9329890838903063</v>
      </c>
      <c r="Q132" s="50">
        <f t="shared" ref="Q132" si="444">+Q118/Q86</f>
        <v>3.4590833986332066</v>
      </c>
      <c r="R132" s="50">
        <f t="shared" ref="R132" si="445">+R118/R86</f>
        <v>3.8347259204724908</v>
      </c>
      <c r="S132" s="50">
        <f t="shared" ref="S132" si="446">+S118/S86</f>
        <v>3.6198786222791037</v>
      </c>
      <c r="T132" s="50">
        <f t="shared" ref="T132" si="447">+T118/T86</f>
        <v>3.5970434996915217</v>
      </c>
      <c r="U132" s="50">
        <f t="shared" ref="U132:X132" si="448">+U118/U86</f>
        <v>3.4708608060458879</v>
      </c>
      <c r="V132" s="50">
        <f t="shared" si="448"/>
        <v>3.5035692462577184</v>
      </c>
      <c r="W132" s="50">
        <f t="shared" si="448"/>
        <v>3.7770759197817672</v>
      </c>
      <c r="X132" s="50">
        <f t="shared" si="448"/>
        <v>3.9379257072793408</v>
      </c>
      <c r="Y132" s="50">
        <f t="shared" ref="Y132:AB132" si="449">+Y118/Y86</f>
        <v>4.0268727672028151</v>
      </c>
      <c r="Z132" s="50">
        <f t="shared" si="449"/>
        <v>3.4009450715789491</v>
      </c>
      <c r="AA132" s="50">
        <f t="shared" si="449"/>
        <v>3.2720792495130704</v>
      </c>
      <c r="AB132" s="50">
        <f t="shared" si="449"/>
        <v>3.0564538565863764</v>
      </c>
      <c r="AC132" s="50">
        <f t="shared" ref="AC132:AE132" si="450">+AC118/AC86</f>
        <v>3.1205623012918755</v>
      </c>
      <c r="AD132" s="50">
        <f t="shared" si="450"/>
        <v>3.3226161552914308</v>
      </c>
      <c r="AE132" s="50">
        <f t="shared" si="450"/>
        <v>3.2514734559485068</v>
      </c>
    </row>
    <row r="133" spans="2:31" ht="13.5" customHeight="1">
      <c r="C133" s="143"/>
      <c r="D133" s="143"/>
      <c r="E133" s="143"/>
      <c r="F133" s="143"/>
      <c r="G133" s="143"/>
      <c r="H133" s="143"/>
      <c r="I133" s="143"/>
      <c r="J133" s="50"/>
      <c r="K133" s="85"/>
      <c r="L133" s="85"/>
      <c r="M133" s="85"/>
      <c r="N133" s="50"/>
      <c r="O133" s="50"/>
      <c r="P133" s="50"/>
      <c r="Q133" s="50"/>
      <c r="R133" s="50"/>
      <c r="S133" s="50"/>
      <c r="T133" s="50"/>
      <c r="U133" s="50"/>
      <c r="V133" s="50"/>
      <c r="W133" s="50"/>
      <c r="X133" s="50"/>
      <c r="Y133" s="50"/>
      <c r="Z133" s="50"/>
      <c r="AA133" s="50"/>
      <c r="AB133" s="50"/>
      <c r="AC133" s="50"/>
      <c r="AD133" s="50"/>
      <c r="AE133" s="50"/>
    </row>
    <row r="134" spans="2:31" ht="13.5" customHeight="1">
      <c r="B134" s="19" t="s">
        <v>237</v>
      </c>
      <c r="C134" s="209">
        <f t="shared" ref="C134:E134" si="451">C122/C86</f>
        <v>0.3173648537002135</v>
      </c>
      <c r="D134" s="209">
        <f t="shared" si="451"/>
        <v>0.69232533233416094</v>
      </c>
      <c r="E134" s="209">
        <f t="shared" si="451"/>
        <v>2.1665675412308221</v>
      </c>
      <c r="F134" s="209">
        <f t="shared" ref="F134:G134" si="452">F122/F86</f>
        <v>1.874285773115077</v>
      </c>
      <c r="G134" s="209">
        <f t="shared" si="452"/>
        <v>1.7611959513570874</v>
      </c>
      <c r="H134" s="209">
        <f t="shared" ref="H134:I134" si="453">H122/H86</f>
        <v>2.0264457032033332</v>
      </c>
      <c r="I134" s="209">
        <f t="shared" si="453"/>
        <v>1.6891423557340763</v>
      </c>
      <c r="J134" s="209"/>
      <c r="K134" s="208"/>
      <c r="L134" s="208"/>
      <c r="M134" s="208"/>
      <c r="N134" s="209">
        <f t="shared" ref="N134" si="454">N122/N86</f>
        <v>0.69232533233416094</v>
      </c>
      <c r="O134" s="209">
        <f t="shared" ref="O134" si="455">O122/O86</f>
        <v>0.68948808023186769</v>
      </c>
      <c r="P134" s="209">
        <f t="shared" ref="P134" si="456">P122/P86</f>
        <v>1.4158094608404304</v>
      </c>
      <c r="Q134" s="209">
        <f t="shared" ref="Q134" si="457">Q122/Q86</f>
        <v>1.8321632069139153</v>
      </c>
      <c r="R134" s="209">
        <f t="shared" ref="R134" si="458">R122/R86</f>
        <v>2.1665675412308221</v>
      </c>
      <c r="S134" s="209">
        <f t="shared" ref="S134" si="459">S122/S86</f>
        <v>2.0220502022992268</v>
      </c>
      <c r="T134" s="209">
        <f t="shared" ref="T134" si="460">T122/T86</f>
        <v>2.011848459990679</v>
      </c>
      <c r="U134" s="209">
        <f t="shared" ref="U134:X134" si="461">U122/U86</f>
        <v>1.8708323622149567</v>
      </c>
      <c r="V134" s="209">
        <f t="shared" si="461"/>
        <v>1.874285773115077</v>
      </c>
      <c r="W134" s="209">
        <f t="shared" si="461"/>
        <v>1.8965569425047928</v>
      </c>
      <c r="X134" s="209">
        <f t="shared" si="461"/>
        <v>2.1687060758946326</v>
      </c>
      <c r="Y134" s="209">
        <f t="shared" ref="Y134:AB134" si="462">Y122/Y86</f>
        <v>2.2841337657586789</v>
      </c>
      <c r="Z134" s="209">
        <f t="shared" si="462"/>
        <v>1.7611959513570874</v>
      </c>
      <c r="AA134" s="209">
        <f t="shared" si="462"/>
        <v>1.449763915999605</v>
      </c>
      <c r="AB134" s="209">
        <f t="shared" si="462"/>
        <v>1.7922791983383681</v>
      </c>
      <c r="AC134" s="209">
        <f t="shared" ref="AC134:AE134" si="463">AC122/AC86</f>
        <v>1.9571816255859218</v>
      </c>
      <c r="AD134" s="209">
        <f t="shared" si="463"/>
        <v>2.0264457032033332</v>
      </c>
      <c r="AE134" s="209">
        <f t="shared" si="463"/>
        <v>1.6891423557340763</v>
      </c>
    </row>
    <row r="135" spans="2:31" ht="13.5" customHeight="1">
      <c r="C135" s="143"/>
      <c r="D135" s="143"/>
      <c r="E135" s="143"/>
      <c r="F135" s="143"/>
      <c r="G135" s="143"/>
      <c r="H135" s="143"/>
      <c r="I135" s="143"/>
      <c r="J135" s="50"/>
      <c r="K135" s="85"/>
      <c r="L135" s="85"/>
      <c r="M135" s="85"/>
      <c r="N135" s="50"/>
      <c r="O135" s="50"/>
      <c r="P135" s="50"/>
      <c r="Q135" s="50"/>
      <c r="R135" s="50"/>
      <c r="S135" s="50"/>
      <c r="T135" s="50"/>
      <c r="U135" s="50"/>
      <c r="V135" s="50"/>
      <c r="W135" s="50"/>
      <c r="X135" s="50"/>
      <c r="Y135" s="50"/>
      <c r="Z135" s="50"/>
      <c r="AA135" s="50"/>
      <c r="AB135" s="50"/>
      <c r="AC135" s="50"/>
      <c r="AD135" s="50"/>
      <c r="AE135" s="50"/>
    </row>
    <row r="136" spans="2:31" s="19" customFormat="1" ht="13.5" customHeight="1">
      <c r="B136" s="19" t="s">
        <v>238</v>
      </c>
      <c r="C136" s="145">
        <f t="shared" ref="C136" si="464">(C86-C89)/C87</f>
        <v>8.1810903706726599</v>
      </c>
      <c r="D136" s="145">
        <f t="shared" ref="D136:E136" si="465">(D86-D89)/D87</f>
        <v>9.5042656430429791</v>
      </c>
      <c r="E136" s="145">
        <f t="shared" si="465"/>
        <v>3.6694990659996942</v>
      </c>
      <c r="F136" s="145">
        <f t="shared" ref="F136:G136" si="466">(F86-F89)/F87</f>
        <v>3.6369562404834168</v>
      </c>
      <c r="G136" s="145">
        <f t="shared" si="466"/>
        <v>4.584266071100318</v>
      </c>
      <c r="H136" s="145">
        <f t="shared" ref="H136:I136" si="467">(H86-H89)/H87</f>
        <v>4.3059266570104748</v>
      </c>
      <c r="I136" s="145">
        <f t="shared" si="467"/>
        <v>4.1241975630582388</v>
      </c>
      <c r="J136" s="51"/>
      <c r="K136" s="85"/>
      <c r="L136" s="85"/>
      <c r="M136" s="85"/>
      <c r="N136" s="209">
        <f t="shared" ref="N136" si="468">(N86-N89)/N87</f>
        <v>9.5042656430429791</v>
      </c>
      <c r="O136" s="209">
        <f t="shared" ref="O136" si="469">(O86-O89)/O87</f>
        <v>9.7794261528450299</v>
      </c>
      <c r="P136" s="209">
        <f t="shared" ref="P136" si="470">(P86-P89)/P87</f>
        <v>7.9023721065713151</v>
      </c>
      <c r="Q136" s="209">
        <f t="shared" ref="Q136" si="471">(Q86-Q89)/Q87</f>
        <v>4.403190160709527</v>
      </c>
      <c r="R136" s="209">
        <f t="shared" ref="R136" si="472">(R86-R89)/R87</f>
        <v>3.6694990659996942</v>
      </c>
      <c r="S136" s="209">
        <f t="shared" ref="S136" si="473">(S86-S89)/S87</f>
        <v>2.7332304564663588</v>
      </c>
      <c r="T136" s="209">
        <f t="shared" ref="T136:W136" si="474">(T86-T89)/T87</f>
        <v>2.8892485740119325</v>
      </c>
      <c r="U136" s="209">
        <f t="shared" si="474"/>
        <v>3.2426595176055861</v>
      </c>
      <c r="V136" s="209">
        <f t="shared" si="474"/>
        <v>3.6369562404834168</v>
      </c>
      <c r="W136" s="209">
        <f t="shared" si="474"/>
        <v>3.4157857262691413</v>
      </c>
      <c r="X136" s="209">
        <f t="shared" ref="X136:AA136" si="475">(X86-X89)/X87</f>
        <v>4.0529884860301095</v>
      </c>
      <c r="Y136" s="209">
        <f t="shared" si="475"/>
        <v>4.1092400953805344</v>
      </c>
      <c r="Z136" s="209">
        <f t="shared" si="475"/>
        <v>4.584266071100318</v>
      </c>
      <c r="AA136" s="209">
        <f t="shared" si="475"/>
        <v>4.836682482080815</v>
      </c>
      <c r="AB136" s="209">
        <f t="shared" ref="AB136:AE136" si="476">(AB86-AB89)/AB87</f>
        <v>4.2410623853957068</v>
      </c>
      <c r="AC136" s="209">
        <f t="shared" si="476"/>
        <v>4.2320510094123138</v>
      </c>
      <c r="AD136" s="209">
        <f t="shared" si="476"/>
        <v>4.3059266570104748</v>
      </c>
      <c r="AE136" s="209">
        <f t="shared" si="476"/>
        <v>4.1241975630582388</v>
      </c>
    </row>
    <row r="137" spans="2:31" ht="13.5" customHeight="1">
      <c r="B137" s="16" t="s">
        <v>239</v>
      </c>
      <c r="C137" s="50">
        <f t="shared" ref="C137" si="477">C86/C87</f>
        <v>13.487979671525734</v>
      </c>
      <c r="D137" s="50">
        <f t="shared" ref="D137:E137" si="478">D86/D87</f>
        <v>15.352892034772935</v>
      </c>
      <c r="E137" s="50">
        <f t="shared" si="478"/>
        <v>7.5989741080852786</v>
      </c>
      <c r="F137" s="50">
        <f t="shared" ref="F137:G137" si="479">F86/F87</f>
        <v>5.3852089079655245</v>
      </c>
      <c r="G137" s="50">
        <f t="shared" si="479"/>
        <v>6.0446042305852767</v>
      </c>
      <c r="H137" s="50">
        <f t="shared" ref="H137:I137" si="480">H86/H87</f>
        <v>6.8419127655661276</v>
      </c>
      <c r="I137" s="50">
        <f t="shared" si="480"/>
        <v>6.9172241858737351</v>
      </c>
      <c r="J137" s="50"/>
      <c r="K137" s="85"/>
      <c r="L137" s="85"/>
      <c r="M137" s="85"/>
      <c r="N137" s="50">
        <f t="shared" ref="N137" si="481">N86/N87</f>
        <v>15.352892034772935</v>
      </c>
      <c r="O137" s="50">
        <f t="shared" ref="O137" si="482">O86/O87</f>
        <v>15.565618114397289</v>
      </c>
      <c r="P137" s="50">
        <f t="shared" ref="P137" si="483">P86/P87</f>
        <v>13.442205624751441</v>
      </c>
      <c r="Q137" s="50">
        <f t="shared" ref="Q137" si="484">Q86/Q87</f>
        <v>8.811666884022479</v>
      </c>
      <c r="R137" s="50">
        <f t="shared" ref="R137" si="485">R86/R87</f>
        <v>7.5989741080852786</v>
      </c>
      <c r="S137" s="50">
        <f t="shared" ref="S137" si="486">S86/S87</f>
        <v>5.4885644325183343</v>
      </c>
      <c r="T137" s="50">
        <f t="shared" ref="T137:W137" si="487">T86/T87</f>
        <v>5.1268071318393398</v>
      </c>
      <c r="U137" s="50">
        <f t="shared" si="487"/>
        <v>5.2887758131087192</v>
      </c>
      <c r="V137" s="50">
        <f t="shared" si="487"/>
        <v>5.3852089079655245</v>
      </c>
      <c r="W137" s="50">
        <f t="shared" si="487"/>
        <v>5.6493787199448073</v>
      </c>
      <c r="X137" s="50">
        <f t="shared" ref="X137:AA137" si="488">X86/X87</f>
        <v>5.659498075447007</v>
      </c>
      <c r="Y137" s="50">
        <f t="shared" si="488"/>
        <v>5.5505573180745058</v>
      </c>
      <c r="Z137" s="50">
        <f t="shared" si="488"/>
        <v>6.0446042305852767</v>
      </c>
      <c r="AA137" s="50">
        <f t="shared" si="488"/>
        <v>5.9962470946322535</v>
      </c>
      <c r="AB137" s="50">
        <f t="shared" ref="AB137:AE137" si="489">AB86/AB87</f>
        <v>6.2100239929655512</v>
      </c>
      <c r="AC137" s="50">
        <f t="shared" si="489"/>
        <v>6.364083863003029</v>
      </c>
      <c r="AD137" s="50">
        <f t="shared" si="489"/>
        <v>6.8419127655661276</v>
      </c>
      <c r="AE137" s="50">
        <f t="shared" si="489"/>
        <v>6.9172241858737351</v>
      </c>
    </row>
    <row r="138" spans="2:31" ht="13.5" customHeight="1">
      <c r="C138" s="146"/>
      <c r="D138" s="146"/>
      <c r="E138" s="146"/>
      <c r="F138" s="146"/>
      <c r="G138" s="146"/>
      <c r="H138" s="146"/>
      <c r="I138" s="146"/>
      <c r="J138" s="49"/>
      <c r="K138" s="85"/>
      <c r="L138" s="85"/>
      <c r="M138" s="85"/>
      <c r="N138" s="49"/>
      <c r="O138" s="49"/>
      <c r="P138" s="49"/>
      <c r="Q138" s="49"/>
      <c r="R138" s="49"/>
      <c r="S138" s="49"/>
      <c r="T138" s="49"/>
      <c r="U138" s="49"/>
      <c r="V138" s="49"/>
      <c r="W138" s="49"/>
      <c r="X138" s="49"/>
      <c r="Y138" s="49"/>
      <c r="Z138" s="49"/>
      <c r="AA138" s="49"/>
      <c r="AB138" s="49"/>
      <c r="AC138" s="49"/>
      <c r="AD138" s="49"/>
      <c r="AE138" s="49"/>
    </row>
    <row r="139" spans="2:31" s="19" customFormat="1" ht="13.5" customHeight="1">
      <c r="B139" s="48" t="s">
        <v>240</v>
      </c>
      <c r="C139" s="147">
        <f t="shared" ref="C139:E139" si="490">C120/C123</f>
        <v>6.6771175502766567E-2</v>
      </c>
      <c r="D139" s="147">
        <f t="shared" si="490"/>
        <v>0.21612051610504526</v>
      </c>
      <c r="E139" s="147">
        <f t="shared" si="490"/>
        <v>0.5400371208417678</v>
      </c>
      <c r="F139" s="147">
        <f t="shared" ref="F139:G139" si="491">F120/F123</f>
        <v>0.53171656345956242</v>
      </c>
      <c r="G139" s="147">
        <f t="shared" si="491"/>
        <v>0.42298749540295683</v>
      </c>
      <c r="H139" s="147">
        <f t="shared" ref="H139:I139" si="492">H120/H123</f>
        <v>0.45211046520695591</v>
      </c>
      <c r="I139" s="147">
        <f t="shared" si="492"/>
        <v>0.35174331293340844</v>
      </c>
      <c r="J139" s="198"/>
      <c r="K139" s="86"/>
      <c r="L139" s="86"/>
      <c r="M139" s="86"/>
      <c r="N139" s="47">
        <f t="shared" ref="N139" si="493">N120/N123</f>
        <v>0.21612051610504526</v>
      </c>
      <c r="O139" s="47">
        <f t="shared" ref="O139" si="494">O120/O123</f>
        <v>0.22417540023171587</v>
      </c>
      <c r="P139" s="47">
        <f t="shared" ref="P139" si="495">P120/P123</f>
        <v>0.40190415892270387</v>
      </c>
      <c r="Q139" s="47">
        <f t="shared" ref="Q139" si="496">Q120/Q123</f>
        <v>0.47269464847809672</v>
      </c>
      <c r="R139" s="47">
        <f t="shared" ref="R139" si="497">R120/R123</f>
        <v>0.5400371208417678</v>
      </c>
      <c r="S139" s="47">
        <f t="shared" ref="S139" si="498">S120/S123</f>
        <v>0.52019739847947033</v>
      </c>
      <c r="T139" s="47">
        <f t="shared" ref="T139" si="499">T120/T123</f>
        <v>0.53159064726811633</v>
      </c>
      <c r="U139" s="47">
        <f t="shared" ref="U139:X139" si="500">U120/U123</f>
        <v>0.50048458250182271</v>
      </c>
      <c r="V139" s="47">
        <f t="shared" si="500"/>
        <v>0.53171656345956242</v>
      </c>
      <c r="W139" s="47">
        <f t="shared" si="500"/>
        <v>0.45475435543728204</v>
      </c>
      <c r="X139" s="47">
        <f t="shared" si="500"/>
        <v>0.51224087967264986</v>
      </c>
      <c r="Y139" s="47">
        <f t="shared" ref="Y139:AB139" si="501">Y120/Y123</f>
        <v>0.51561698748242701</v>
      </c>
      <c r="Z139" s="47">
        <f t="shared" si="501"/>
        <v>0.42298749540295683</v>
      </c>
      <c r="AA139" s="47">
        <f t="shared" si="501"/>
        <v>0.36613824586702709</v>
      </c>
      <c r="AB139" s="47">
        <f t="shared" si="501"/>
        <v>0.4501081796383109</v>
      </c>
      <c r="AC139" s="47">
        <f t="shared" ref="AC139:AE139" si="502">AC120/AC123</f>
        <v>0.47711997182563126</v>
      </c>
      <c r="AD139" s="47">
        <f t="shared" si="502"/>
        <v>0.45211046520695591</v>
      </c>
      <c r="AE139" s="47">
        <f t="shared" si="502"/>
        <v>0.35174331293340844</v>
      </c>
    </row>
    <row r="140" spans="2:31" s="19" customFormat="1" ht="13.5" customHeight="1">
      <c r="C140" s="46"/>
      <c r="D140" s="46"/>
      <c r="E140" s="46"/>
      <c r="F140" s="46"/>
      <c r="G140" s="46"/>
      <c r="H140" s="46"/>
      <c r="I140" s="46"/>
      <c r="J140" s="46"/>
      <c r="K140" s="46"/>
      <c r="L140" s="46"/>
      <c r="M140" s="46"/>
      <c r="N140" s="46"/>
      <c r="O140" s="46"/>
      <c r="P140" s="46"/>
      <c r="Q140" s="46"/>
      <c r="R140" s="46"/>
      <c r="S140" s="46"/>
      <c r="T140" s="46"/>
      <c r="U140" s="46"/>
      <c r="V140" s="46"/>
      <c r="W140" s="46"/>
      <c r="X140" s="46"/>
      <c r="Z140" s="46"/>
      <c r="AA140" s="46"/>
      <c r="AB140" s="46"/>
      <c r="AD140" s="46"/>
      <c r="AE140" s="46"/>
    </row>
    <row r="141" spans="2:31" s="19" customFormat="1" ht="13.5" customHeight="1">
      <c r="C141" s="46"/>
      <c r="D141" s="46"/>
      <c r="E141" s="46"/>
      <c r="F141" s="46"/>
      <c r="G141" s="46"/>
    </row>
    <row r="142" spans="2:31" ht="13.5" customHeight="1">
      <c r="B142" s="37" t="s">
        <v>241</v>
      </c>
      <c r="C142" s="45">
        <f t="shared" ref="C142:H142" si="503">C3</f>
        <v>44196</v>
      </c>
      <c r="D142" s="45">
        <f t="shared" si="503"/>
        <v>44561</v>
      </c>
      <c r="E142" s="45">
        <f t="shared" si="503"/>
        <v>44926</v>
      </c>
      <c r="F142" s="45">
        <f t="shared" si="503"/>
        <v>45291</v>
      </c>
      <c r="G142" s="45">
        <f t="shared" si="503"/>
        <v>45657</v>
      </c>
      <c r="H142" s="45">
        <f t="shared" si="503"/>
        <v>46022</v>
      </c>
      <c r="I142" s="45">
        <f t="shared" ref="I142" si="504">I3</f>
        <v>46112</v>
      </c>
      <c r="J142" s="193"/>
      <c r="K142" s="45">
        <f t="shared" ref="K142:Z142" si="505">K3</f>
        <v>44286</v>
      </c>
      <c r="L142" s="45">
        <f t="shared" si="505"/>
        <v>44377</v>
      </c>
      <c r="M142" s="45">
        <f t="shared" si="505"/>
        <v>44469</v>
      </c>
      <c r="N142" s="45">
        <f t="shared" si="505"/>
        <v>44561</v>
      </c>
      <c r="O142" s="45">
        <f t="shared" si="505"/>
        <v>44651</v>
      </c>
      <c r="P142" s="45">
        <f t="shared" si="505"/>
        <v>44742</v>
      </c>
      <c r="Q142" s="45">
        <f t="shared" si="505"/>
        <v>44834</v>
      </c>
      <c r="R142" s="45">
        <f t="shared" si="505"/>
        <v>44926</v>
      </c>
      <c r="S142" s="45">
        <f t="shared" si="505"/>
        <v>45016</v>
      </c>
      <c r="T142" s="45">
        <f t="shared" si="505"/>
        <v>45107</v>
      </c>
      <c r="U142" s="45">
        <f t="shared" si="505"/>
        <v>45199</v>
      </c>
      <c r="V142" s="45">
        <f t="shared" si="505"/>
        <v>45291</v>
      </c>
      <c r="W142" s="45">
        <f t="shared" si="505"/>
        <v>45382</v>
      </c>
      <c r="X142" s="45">
        <f t="shared" si="505"/>
        <v>45473</v>
      </c>
      <c r="Y142" s="45">
        <f t="shared" si="505"/>
        <v>45565</v>
      </c>
      <c r="Z142" s="45">
        <f t="shared" si="505"/>
        <v>45657</v>
      </c>
      <c r="AA142" s="45">
        <f t="shared" ref="AA142:AD142" si="506">AA3</f>
        <v>45747</v>
      </c>
      <c r="AB142" s="45">
        <f t="shared" si="506"/>
        <v>45838</v>
      </c>
      <c r="AC142" s="45">
        <f t="shared" si="506"/>
        <v>45930</v>
      </c>
      <c r="AD142" s="45">
        <f t="shared" si="506"/>
        <v>46022</v>
      </c>
      <c r="AE142" s="45">
        <f t="shared" ref="AE142" si="507">AE3</f>
        <v>46112</v>
      </c>
    </row>
    <row r="143" spans="2:31" ht="13.5" customHeight="1">
      <c r="B143" s="16" t="s">
        <v>242</v>
      </c>
      <c r="C143" s="7">
        <f t="shared" ref="C143:E143" si="508">C83</f>
        <v>1857593.6780000001</v>
      </c>
      <c r="D143" s="7">
        <f t="shared" si="508"/>
        <v>2484712.2799999998</v>
      </c>
      <c r="E143" s="7">
        <f t="shared" si="508"/>
        <v>2711434.9479999999</v>
      </c>
      <c r="F143" s="7">
        <f t="shared" ref="F143:G143" si="509">F83</f>
        <v>2565556.0669999998</v>
      </c>
      <c r="G143" s="7">
        <f t="shared" si="509"/>
        <v>2904566.4539999999</v>
      </c>
      <c r="H143" s="7">
        <f t="shared" ref="H143:I143" si="510">H83</f>
        <v>2909625.4479999999</v>
      </c>
      <c r="I143" s="7">
        <f t="shared" si="510"/>
        <v>2911470.1359999999</v>
      </c>
      <c r="J143" s="7"/>
      <c r="K143" s="84"/>
      <c r="L143" s="84"/>
      <c r="M143" s="84"/>
      <c r="N143" s="7">
        <f t="shared" ref="N143" si="511">N83</f>
        <v>2484712.2799999998</v>
      </c>
      <c r="O143" s="7">
        <f t="shared" ref="O143" si="512">O83</f>
        <v>2615537.7539999997</v>
      </c>
      <c r="P143" s="7">
        <f t="shared" ref="P143" si="513">P83</f>
        <v>2704046.0520000001</v>
      </c>
      <c r="Q143" s="7">
        <f t="shared" ref="Q143:T143" si="514">Q83</f>
        <v>2765421.96</v>
      </c>
      <c r="R143" s="7">
        <f t="shared" si="514"/>
        <v>2711434.9479999999</v>
      </c>
      <c r="S143" s="7">
        <f t="shared" si="514"/>
        <v>2743000.7769999998</v>
      </c>
      <c r="T143" s="7">
        <f t="shared" si="514"/>
        <v>2758739.5959999999</v>
      </c>
      <c r="U143" s="7">
        <f t="shared" ref="U143:X143" si="515">U83</f>
        <v>2761310.9670000002</v>
      </c>
      <c r="V143" s="7">
        <f t="shared" si="515"/>
        <v>2565556.0669999998</v>
      </c>
      <c r="W143" s="7">
        <f t="shared" si="515"/>
        <v>2579549.29</v>
      </c>
      <c r="X143" s="7">
        <f t="shared" si="515"/>
        <v>2529949.068</v>
      </c>
      <c r="Y143" s="7">
        <f t="shared" ref="Y143:AB143" si="516">Y83</f>
        <v>2509095.4339999999</v>
      </c>
      <c r="Z143" s="7">
        <f t="shared" si="516"/>
        <v>2904566.4539999999</v>
      </c>
      <c r="AA143" s="7">
        <f t="shared" si="516"/>
        <v>2976213.0630000001</v>
      </c>
      <c r="AB143" s="7">
        <f t="shared" si="516"/>
        <v>3031485.483</v>
      </c>
      <c r="AC143" s="7">
        <f t="shared" ref="AC143:AE143" si="517">AC83</f>
        <v>3024290.0630000001</v>
      </c>
      <c r="AD143" s="7">
        <f t="shared" si="517"/>
        <v>2909625.4479999999</v>
      </c>
      <c r="AE143" s="7">
        <f t="shared" si="517"/>
        <v>2911470.1359999999</v>
      </c>
    </row>
    <row r="144" spans="2:31" ht="13.5" customHeight="1">
      <c r="B144" s="16" t="s">
        <v>243</v>
      </c>
      <c r="C144" s="7">
        <f t="shared" ref="C144:E144" si="518">C86</f>
        <v>296404.84100000001</v>
      </c>
      <c r="D144" s="7">
        <f t="shared" si="518"/>
        <v>444997.58799999999</v>
      </c>
      <c r="E144" s="7">
        <f t="shared" si="518"/>
        <v>357928.64899999998</v>
      </c>
      <c r="F144" s="7">
        <f t="shared" ref="F144:G144" si="519">F86</f>
        <v>379402.37300000002</v>
      </c>
      <c r="G144" s="7">
        <f t="shared" si="519"/>
        <v>415936.114</v>
      </c>
      <c r="H144" s="7">
        <f t="shared" ref="H144:I144" si="520">H86</f>
        <v>376207.95799999998</v>
      </c>
      <c r="I144" s="7">
        <f t="shared" si="520"/>
        <v>376297.473</v>
      </c>
      <c r="J144" s="7"/>
      <c r="K144" s="84"/>
      <c r="L144" s="84"/>
      <c r="M144" s="84"/>
      <c r="N144" s="7">
        <f t="shared" ref="N144" si="521">N86</f>
        <v>444997.58799999999</v>
      </c>
      <c r="O144" s="7">
        <f t="shared" ref="O144" si="522">O86</f>
        <v>453575.97899999993</v>
      </c>
      <c r="P144" s="7">
        <f t="shared" ref="P144" si="523">P86</f>
        <v>424471.27499999991</v>
      </c>
      <c r="Q144" s="7">
        <f t="shared" ref="Q144:T144" si="524">Q86</f>
        <v>390605.658</v>
      </c>
      <c r="R144" s="7">
        <f t="shared" si="524"/>
        <v>357928.64899999998</v>
      </c>
      <c r="S144" s="7">
        <f t="shared" si="524"/>
        <v>358179.57099999994</v>
      </c>
      <c r="T144" s="7">
        <f t="shared" si="524"/>
        <v>372834.52899999998</v>
      </c>
      <c r="U144" s="7">
        <f t="shared" ref="U144:X144" si="525">U86</f>
        <v>391571.7269999999</v>
      </c>
      <c r="V144" s="7">
        <f t="shared" si="525"/>
        <v>379402.37300000002</v>
      </c>
      <c r="W144" s="7">
        <f t="shared" si="525"/>
        <v>368188.91400000005</v>
      </c>
      <c r="X144" s="7">
        <f t="shared" si="525"/>
        <v>359785.07400000002</v>
      </c>
      <c r="Y144" s="7">
        <f t="shared" ref="Y144:AB144" si="526">Y86</f>
        <v>343871.91800000006</v>
      </c>
      <c r="Z144" s="7">
        <f t="shared" si="526"/>
        <v>415936.114</v>
      </c>
      <c r="AA144" s="7">
        <f t="shared" si="526"/>
        <v>423326.86599999998</v>
      </c>
      <c r="AB144" s="7">
        <f t="shared" si="526"/>
        <v>404422.14899999998</v>
      </c>
      <c r="AC144" s="7">
        <f t="shared" ref="AC144:AE144" si="527">AC86</f>
        <v>407626.45099999994</v>
      </c>
      <c r="AD144" s="7">
        <f t="shared" si="527"/>
        <v>376207.95799999998</v>
      </c>
      <c r="AE144" s="7">
        <f t="shared" si="527"/>
        <v>376297.473</v>
      </c>
    </row>
    <row r="145" spans="2:31" ht="13.5" customHeight="1">
      <c r="B145" s="16" t="s">
        <v>244</v>
      </c>
      <c r="C145" s="17">
        <f t="shared" ref="C145" si="528">C144/C143</f>
        <v>0.15956387261132787</v>
      </c>
      <c r="D145" s="17">
        <f t="shared" ref="D145:E145" si="529">D144/D143</f>
        <v>0.17909421206708087</v>
      </c>
      <c r="E145" s="17">
        <f t="shared" si="529"/>
        <v>0.13200709434833174</v>
      </c>
      <c r="F145" s="17">
        <f t="shared" ref="F145:G145" si="530">F144/F143</f>
        <v>0.14788309555193208</v>
      </c>
      <c r="G145" s="17">
        <f t="shared" si="530"/>
        <v>0.14320075666617887</v>
      </c>
      <c r="H145" s="17">
        <f t="shared" ref="H145:I145" si="531">H144/H143</f>
        <v>0.12929772739601086</v>
      </c>
      <c r="I145" s="17">
        <f t="shared" si="531"/>
        <v>0.12924655085660133</v>
      </c>
      <c r="J145" s="17"/>
      <c r="K145" s="87"/>
      <c r="L145" s="87"/>
      <c r="M145" s="87"/>
      <c r="N145" s="17">
        <f t="shared" ref="N145" si="532">N144/N143</f>
        <v>0.17909421206708087</v>
      </c>
      <c r="O145" s="17">
        <f t="shared" ref="O145:P145" si="533">O144/O143</f>
        <v>0.17341595559319919</v>
      </c>
      <c r="P145" s="17">
        <f t="shared" si="533"/>
        <v>0.15697634834512053</v>
      </c>
      <c r="Q145" s="17">
        <f t="shared" ref="Q145:T145" si="534">Q144/Q143</f>
        <v>0.14124631381751232</v>
      </c>
      <c r="R145" s="17">
        <f t="shared" si="534"/>
        <v>0.13200709434833174</v>
      </c>
      <c r="S145" s="17">
        <f t="shared" si="534"/>
        <v>0.1305794639226236</v>
      </c>
      <c r="T145" s="17">
        <f t="shared" si="534"/>
        <v>0.13514669146032729</v>
      </c>
      <c r="U145" s="17">
        <f t="shared" ref="U145:X145" si="535">U144/U143</f>
        <v>0.14180645775851144</v>
      </c>
      <c r="V145" s="17">
        <f t="shared" si="535"/>
        <v>0.14788309555193208</v>
      </c>
      <c r="W145" s="17">
        <f t="shared" si="535"/>
        <v>0.14273381610785194</v>
      </c>
      <c r="X145" s="17">
        <f t="shared" si="535"/>
        <v>0.14221040200007695</v>
      </c>
      <c r="Y145" s="17">
        <f t="shared" ref="Y145:AB145" si="536">Y144/Y143</f>
        <v>0.13705015494440539</v>
      </c>
      <c r="Z145" s="17">
        <f t="shared" si="536"/>
        <v>0.14320075666617887</v>
      </c>
      <c r="AA145" s="17">
        <f t="shared" si="536"/>
        <v>0.14223674751742729</v>
      </c>
      <c r="AB145" s="17">
        <f t="shared" si="536"/>
        <v>0.13340725240741652</v>
      </c>
      <c r="AC145" s="17">
        <f t="shared" ref="AC145:AE145" si="537">AC144/AC143</f>
        <v>0.13478417827278361</v>
      </c>
      <c r="AD145" s="17">
        <f t="shared" si="537"/>
        <v>0.12929772739601086</v>
      </c>
      <c r="AE145" s="17">
        <f t="shared" si="537"/>
        <v>0.12924655085660133</v>
      </c>
    </row>
    <row r="146" spans="2:31" ht="13.5" customHeight="1">
      <c r="B146" s="16" t="s">
        <v>224</v>
      </c>
      <c r="C146" s="7">
        <f t="shared" ref="C146:E146" si="538">C118</f>
        <v>490457.49500000005</v>
      </c>
      <c r="D146" s="7">
        <f t="shared" si="538"/>
        <v>573651.228</v>
      </c>
      <c r="E146" s="7">
        <f t="shared" si="538"/>
        <v>1372558.2679999999</v>
      </c>
      <c r="F146" s="7">
        <f t="shared" ref="F146:G146" si="539">F118</f>
        <v>1329262.4859999998</v>
      </c>
      <c r="G146" s="7">
        <f t="shared" si="539"/>
        <v>1414575.8769999999</v>
      </c>
      <c r="H146" s="7">
        <f t="shared" ref="H146:I146" si="540">H118</f>
        <v>1249994.639</v>
      </c>
      <c r="I146" s="7">
        <f t="shared" si="540"/>
        <v>1223521.2449999999</v>
      </c>
      <c r="J146" s="7"/>
      <c r="K146" s="7">
        <f t="shared" ref="K146:N146" si="541">K118</f>
        <v>493336.77299999999</v>
      </c>
      <c r="L146" s="7">
        <f t="shared" si="541"/>
        <v>468168.34400000004</v>
      </c>
      <c r="M146" s="7">
        <f t="shared" si="541"/>
        <v>477789.87799999997</v>
      </c>
      <c r="N146" s="7">
        <f t="shared" si="541"/>
        <v>573651.228</v>
      </c>
      <c r="O146" s="7">
        <f t="shared" ref="O146:P146" si="542">O118</f>
        <v>1054817.6599999999</v>
      </c>
      <c r="P146" s="7">
        <f t="shared" si="542"/>
        <v>1244969.6159999999</v>
      </c>
      <c r="Q146" s="7">
        <f t="shared" ref="Q146:T146" si="543">Q118</f>
        <v>1351137.547</v>
      </c>
      <c r="R146" s="7">
        <f t="shared" si="543"/>
        <v>1372558.2679999999</v>
      </c>
      <c r="S146" s="7">
        <f t="shared" si="543"/>
        <v>1296566.5720000002</v>
      </c>
      <c r="T146" s="7">
        <f t="shared" si="543"/>
        <v>1341102.0190000001</v>
      </c>
      <c r="U146" s="7">
        <f t="shared" ref="U146:X146" si="544">U118</f>
        <v>1359090.96</v>
      </c>
      <c r="V146" s="7">
        <f t="shared" si="544"/>
        <v>1329262.4859999998</v>
      </c>
      <c r="W146" s="7">
        <f t="shared" si="544"/>
        <v>1390677.4810000001</v>
      </c>
      <c r="X146" s="7">
        <f t="shared" si="544"/>
        <v>1416806.892</v>
      </c>
      <c r="Y146" s="7">
        <f t="shared" ref="Y146:AB146" si="545">Y118</f>
        <v>1384728.4619999998</v>
      </c>
      <c r="Z146" s="7">
        <f t="shared" si="545"/>
        <v>1414575.8769999999</v>
      </c>
      <c r="AA146" s="7">
        <f t="shared" si="545"/>
        <v>1385159.054</v>
      </c>
      <c r="AB146" s="7">
        <f t="shared" si="545"/>
        <v>1236097.6370000001</v>
      </c>
      <c r="AC146" s="7">
        <f t="shared" ref="AC146:AE146" si="546">AC118</f>
        <v>1272023.7359999998</v>
      </c>
      <c r="AD146" s="7">
        <f t="shared" si="546"/>
        <v>1249994.639</v>
      </c>
      <c r="AE146" s="7">
        <f t="shared" si="546"/>
        <v>1223521.2449999999</v>
      </c>
    </row>
    <row r="147" spans="2:31" ht="13.5" customHeight="1">
      <c r="B147" s="16" t="s">
        <v>245</v>
      </c>
      <c r="C147" s="7">
        <f t="shared" ref="C147" si="547">C119</f>
        <v>396389.016</v>
      </c>
      <c r="D147" s="7">
        <f t="shared" ref="D147:E147" si="548">D119</f>
        <v>265568.125</v>
      </c>
      <c r="E147" s="7">
        <f t="shared" si="548"/>
        <v>597081.67500000005</v>
      </c>
      <c r="F147" s="7">
        <f t="shared" ref="F147:G147" si="549">F119</f>
        <v>618154.01599999995</v>
      </c>
      <c r="G147" s="7">
        <f t="shared" si="549"/>
        <v>707122.81499999994</v>
      </c>
      <c r="H147" s="7">
        <f t="shared" ref="H147:I147" si="550">H119</f>
        <v>519175.929</v>
      </c>
      <c r="I147" s="7">
        <f t="shared" si="550"/>
        <v>611569.36499999999</v>
      </c>
      <c r="J147" s="7"/>
      <c r="K147" s="7">
        <f t="shared" ref="K147:N147" si="551">K119</f>
        <v>467671.30699999997</v>
      </c>
      <c r="L147" s="7">
        <f t="shared" si="551"/>
        <v>374994.97899999999</v>
      </c>
      <c r="M147" s="7">
        <f t="shared" si="551"/>
        <v>382522.23100000003</v>
      </c>
      <c r="N147" s="7">
        <f t="shared" si="551"/>
        <v>265568.125</v>
      </c>
      <c r="O147" s="7">
        <f t="shared" ref="O147:P147" si="552">O119</f>
        <v>742082.429</v>
      </c>
      <c r="P147" s="7">
        <f t="shared" si="552"/>
        <v>643999.16899999999</v>
      </c>
      <c r="Q147" s="7">
        <f t="shared" ref="Q147:T147" si="553">Q119</f>
        <v>635484.23199999996</v>
      </c>
      <c r="R147" s="7">
        <f t="shared" si="553"/>
        <v>597081.67500000005</v>
      </c>
      <c r="S147" s="7">
        <f t="shared" si="553"/>
        <v>572309.49800000002</v>
      </c>
      <c r="T147" s="7">
        <f t="shared" si="553"/>
        <v>591015.446</v>
      </c>
      <c r="U147" s="7">
        <f t="shared" ref="U147:X147" si="554">U119</f>
        <v>626525.90099999995</v>
      </c>
      <c r="V147" s="7">
        <f t="shared" si="554"/>
        <v>618154.01599999995</v>
      </c>
      <c r="W147" s="7">
        <f t="shared" si="554"/>
        <v>692386.24</v>
      </c>
      <c r="X147" s="7">
        <f t="shared" si="554"/>
        <v>636538.81599999999</v>
      </c>
      <c r="Y147" s="7">
        <f t="shared" ref="Y147:AB147" si="555">Y119</f>
        <v>599279.00300000003</v>
      </c>
      <c r="Z147" s="7">
        <f t="shared" si="555"/>
        <v>707122.81499999994</v>
      </c>
      <c r="AA147" s="7">
        <f t="shared" si="555"/>
        <v>771435.03899999999</v>
      </c>
      <c r="AB147" s="7">
        <f t="shared" si="555"/>
        <v>511260.23200000002</v>
      </c>
      <c r="AC147" s="7">
        <f t="shared" ref="AC147:AE147" si="556">AC119</f>
        <v>498784.51199999999</v>
      </c>
      <c r="AD147" s="7">
        <f t="shared" si="556"/>
        <v>519175.929</v>
      </c>
      <c r="AE147" s="7">
        <f t="shared" si="556"/>
        <v>611569.36499999999</v>
      </c>
    </row>
    <row r="148" spans="2:31" ht="13.5" customHeight="1">
      <c r="B148" s="16" t="s">
        <v>246</v>
      </c>
      <c r="C148" s="7">
        <f t="shared" ref="C148" si="557">C146-C147</f>
        <v>94068.47900000005</v>
      </c>
      <c r="D148" s="7">
        <f t="shared" ref="D148:E148" si="558">D146-D147</f>
        <v>308083.103</v>
      </c>
      <c r="E148" s="7">
        <f t="shared" si="558"/>
        <v>775476.59299999988</v>
      </c>
      <c r="F148" s="7">
        <f t="shared" ref="F148:G148" si="559">F146-F147</f>
        <v>711108.46999999986</v>
      </c>
      <c r="G148" s="7">
        <f t="shared" si="559"/>
        <v>707453.06199999992</v>
      </c>
      <c r="H148" s="7">
        <f t="shared" ref="H148:I148" si="560">H146-H147</f>
        <v>730818.71</v>
      </c>
      <c r="I148" s="7">
        <f t="shared" si="560"/>
        <v>611951.87999999989</v>
      </c>
      <c r="J148" s="7"/>
      <c r="K148" s="7">
        <f t="shared" ref="K148:N148" si="561">K146-K147</f>
        <v>25665.466000000015</v>
      </c>
      <c r="L148" s="7">
        <f t="shared" si="561"/>
        <v>93173.365000000049</v>
      </c>
      <c r="M148" s="7">
        <f t="shared" si="561"/>
        <v>95267.646999999939</v>
      </c>
      <c r="N148" s="7">
        <f t="shared" si="561"/>
        <v>308083.103</v>
      </c>
      <c r="O148" s="7">
        <f t="shared" ref="O148:P148" si="562">O146-O147</f>
        <v>312735.23099999991</v>
      </c>
      <c r="P148" s="7">
        <f t="shared" si="562"/>
        <v>600970.44699999993</v>
      </c>
      <c r="Q148" s="7">
        <f t="shared" ref="Q148:T148" si="563">Q146-Q147</f>
        <v>715653.31500000006</v>
      </c>
      <c r="R148" s="7">
        <f t="shared" si="563"/>
        <v>775476.59299999988</v>
      </c>
      <c r="S148" s="7">
        <f t="shared" si="563"/>
        <v>724257.07400000014</v>
      </c>
      <c r="T148" s="7">
        <f t="shared" si="563"/>
        <v>750086.57300000009</v>
      </c>
      <c r="U148" s="7">
        <f t="shared" ref="U148:X148" si="564">U146-U147</f>
        <v>732565.05900000001</v>
      </c>
      <c r="V148" s="7">
        <f t="shared" si="564"/>
        <v>711108.46999999986</v>
      </c>
      <c r="W148" s="7">
        <f t="shared" si="564"/>
        <v>698291.24100000015</v>
      </c>
      <c r="X148" s="7">
        <f t="shared" si="564"/>
        <v>780268.076</v>
      </c>
      <c r="Y148" s="7">
        <f t="shared" ref="Y148:AB148" si="565">Y146-Y147</f>
        <v>785449.4589999998</v>
      </c>
      <c r="Z148" s="7">
        <f t="shared" si="565"/>
        <v>707453.06199999992</v>
      </c>
      <c r="AA148" s="7">
        <f t="shared" si="565"/>
        <v>613724.01500000001</v>
      </c>
      <c r="AB148" s="7">
        <f t="shared" si="565"/>
        <v>724837.40500000003</v>
      </c>
      <c r="AC148" s="7">
        <f t="shared" ref="AC148:AE148" si="566">AC146-AC147</f>
        <v>773239.22399999981</v>
      </c>
      <c r="AD148" s="7">
        <f t="shared" si="566"/>
        <v>730818.71</v>
      </c>
      <c r="AE148" s="7">
        <f t="shared" si="566"/>
        <v>611951.87999999989</v>
      </c>
    </row>
    <row r="149" spans="2:31" ht="13.5" customHeight="1">
      <c r="B149" s="16" t="s">
        <v>247</v>
      </c>
      <c r="C149" s="22">
        <f t="shared" ref="C149:E149" si="567">C132</f>
        <v>1.6546878699595868</v>
      </c>
      <c r="D149" s="22">
        <f t="shared" si="567"/>
        <v>1.2891108704166729</v>
      </c>
      <c r="E149" s="22">
        <f t="shared" si="567"/>
        <v>3.8347259204724908</v>
      </c>
      <c r="F149" s="22">
        <f t="shared" ref="F149:G149" si="568">F132</f>
        <v>3.5035692462577184</v>
      </c>
      <c r="G149" s="22">
        <f t="shared" si="568"/>
        <v>3.4009450715789491</v>
      </c>
      <c r="H149" s="22">
        <f t="shared" ref="H149:I149" si="569">H132</f>
        <v>3.3226161552914308</v>
      </c>
      <c r="I149" s="22">
        <f t="shared" si="569"/>
        <v>3.2514734559485068</v>
      </c>
      <c r="J149" s="22"/>
      <c r="K149" s="88"/>
      <c r="L149" s="88"/>
      <c r="M149" s="88"/>
      <c r="N149" s="22">
        <f t="shared" ref="N149" si="570">N132</f>
        <v>1.2891108704166729</v>
      </c>
      <c r="O149" s="22">
        <f t="shared" ref="O149" si="571">O132</f>
        <v>2.3255589114872417</v>
      </c>
      <c r="P149" s="22">
        <f t="shared" ref="P149" si="572">P132</f>
        <v>2.9329890838903063</v>
      </c>
      <c r="Q149" s="22">
        <f t="shared" ref="Q149:T149" si="573">Q132</f>
        <v>3.4590833986332066</v>
      </c>
      <c r="R149" s="22">
        <f t="shared" si="573"/>
        <v>3.8347259204724908</v>
      </c>
      <c r="S149" s="22">
        <f t="shared" si="573"/>
        <v>3.6198786222791037</v>
      </c>
      <c r="T149" s="22">
        <f t="shared" si="573"/>
        <v>3.5970434996915217</v>
      </c>
      <c r="U149" s="22">
        <f t="shared" ref="U149:X149" si="574">U132</f>
        <v>3.4708608060458879</v>
      </c>
      <c r="V149" s="22">
        <f t="shared" si="574"/>
        <v>3.5035692462577184</v>
      </c>
      <c r="W149" s="22">
        <f t="shared" si="574"/>
        <v>3.7770759197817672</v>
      </c>
      <c r="X149" s="22">
        <f t="shared" si="574"/>
        <v>3.9379257072793408</v>
      </c>
      <c r="Y149" s="22">
        <f t="shared" ref="Y149:AB149" si="575">Y132</f>
        <v>4.0268727672028151</v>
      </c>
      <c r="Z149" s="22">
        <f t="shared" si="575"/>
        <v>3.4009450715789491</v>
      </c>
      <c r="AA149" s="22">
        <f t="shared" si="575"/>
        <v>3.2720792495130704</v>
      </c>
      <c r="AB149" s="22">
        <f t="shared" si="575"/>
        <v>3.0564538565863764</v>
      </c>
      <c r="AC149" s="22">
        <f t="shared" ref="AC149:AE149" si="576">AC132</f>
        <v>3.1205623012918755</v>
      </c>
      <c r="AD149" s="22">
        <f t="shared" si="576"/>
        <v>3.3226161552914308</v>
      </c>
      <c r="AE149" s="22">
        <f t="shared" si="576"/>
        <v>3.2514734559485068</v>
      </c>
    </row>
    <row r="150" spans="2:31" ht="13.5" customHeight="1">
      <c r="B150" s="16" t="s">
        <v>248</v>
      </c>
      <c r="C150" s="22">
        <f t="shared" ref="C150:E150" si="577">C131</f>
        <v>0.3173648537002135</v>
      </c>
      <c r="D150" s="22">
        <f t="shared" si="577"/>
        <v>0.69232533233416094</v>
      </c>
      <c r="E150" s="22">
        <f t="shared" si="577"/>
        <v>2.1665675412308221</v>
      </c>
      <c r="F150" s="22">
        <f t="shared" ref="F150:G150" si="578">F131</f>
        <v>1.874285773115077</v>
      </c>
      <c r="G150" s="22">
        <f t="shared" si="578"/>
        <v>1.7008695282468305</v>
      </c>
      <c r="H150" s="22">
        <f t="shared" ref="H150:I150" si="579">H131</f>
        <v>1.9425923733383652</v>
      </c>
      <c r="I150" s="22">
        <f t="shared" si="579"/>
        <v>1.6262449894262243</v>
      </c>
      <c r="J150" s="22"/>
      <c r="K150" s="89"/>
      <c r="L150" s="89"/>
      <c r="M150" s="89"/>
      <c r="N150" s="22">
        <f t="shared" ref="N150" si="580">N131</f>
        <v>0.69232533233416094</v>
      </c>
      <c r="O150" s="22">
        <f t="shared" ref="O150" si="581">O131</f>
        <v>0.68948808023186769</v>
      </c>
      <c r="P150" s="22">
        <f t="shared" ref="P150" si="582">P131</f>
        <v>1.4158094608404304</v>
      </c>
      <c r="Q150" s="22">
        <f t="shared" ref="Q150:T150" si="583">Q131</f>
        <v>1.8321632069139153</v>
      </c>
      <c r="R150" s="22">
        <f t="shared" si="583"/>
        <v>2.1665675412308221</v>
      </c>
      <c r="S150" s="22">
        <f t="shared" si="583"/>
        <v>2.0220502022992268</v>
      </c>
      <c r="T150" s="22">
        <f t="shared" si="583"/>
        <v>2.011848459990679</v>
      </c>
      <c r="U150" s="22">
        <f t="shared" ref="U150:X150" si="584">U131</f>
        <v>1.8708323622149567</v>
      </c>
      <c r="V150" s="22">
        <f t="shared" si="584"/>
        <v>1.874285773115077</v>
      </c>
      <c r="W150" s="22">
        <f t="shared" si="584"/>
        <v>1.8965569425047928</v>
      </c>
      <c r="X150" s="22">
        <f t="shared" si="584"/>
        <v>2.1687060758946326</v>
      </c>
      <c r="Y150" s="22">
        <f t="shared" ref="Y150:AB150" si="585">Y131</f>
        <v>2.2841337657586789</v>
      </c>
      <c r="Z150" s="22">
        <f t="shared" si="585"/>
        <v>1.7008695282468305</v>
      </c>
      <c r="AA150" s="22">
        <f t="shared" si="585"/>
        <v>1.449763915999605</v>
      </c>
      <c r="AB150" s="22">
        <f t="shared" si="585"/>
        <v>1.7922791983383681</v>
      </c>
      <c r="AC150" s="22">
        <f t="shared" ref="AC150:AE150" si="586">AC131</f>
        <v>1.896930932973238</v>
      </c>
      <c r="AD150" s="22">
        <f t="shared" si="586"/>
        <v>1.9425923733383652</v>
      </c>
      <c r="AE150" s="22">
        <f t="shared" si="586"/>
        <v>1.6262449894262243</v>
      </c>
    </row>
    <row r="151" spans="2:31" ht="13.5" customHeight="1">
      <c r="C151" s="7"/>
      <c r="D151" s="7"/>
      <c r="E151" s="7"/>
      <c r="F151" s="7"/>
      <c r="G151" s="7"/>
      <c r="H151" s="7"/>
      <c r="I151" s="7"/>
      <c r="J151" s="7"/>
      <c r="K151" s="7"/>
      <c r="L151" s="7"/>
      <c r="M151" s="7"/>
      <c r="N151" s="7"/>
      <c r="O151" s="7"/>
      <c r="P151" s="7"/>
      <c r="Q151" s="7"/>
      <c r="R151" s="7"/>
      <c r="S151" s="7"/>
      <c r="T151" s="7"/>
      <c r="U151" s="7"/>
      <c r="V151" s="7"/>
      <c r="W151" s="7"/>
      <c r="X151" s="7"/>
      <c r="Z151" s="7"/>
      <c r="AA151" s="7"/>
      <c r="AB151" s="7"/>
      <c r="AD151" s="7"/>
      <c r="AE151" s="7"/>
    </row>
    <row r="152" spans="2:31" ht="13.5" customHeight="1">
      <c r="B152" s="40" t="s">
        <v>249</v>
      </c>
      <c r="C152" s="39"/>
      <c r="D152" s="39"/>
      <c r="E152" s="39"/>
      <c r="F152" s="39"/>
      <c r="G152" s="39"/>
      <c r="H152" s="39"/>
      <c r="I152" s="39"/>
      <c r="J152" s="199"/>
      <c r="K152" s="39"/>
      <c r="L152" s="39"/>
      <c r="M152" s="39"/>
      <c r="N152" s="39"/>
      <c r="O152" s="39"/>
      <c r="P152" s="39"/>
      <c r="Q152" s="39"/>
      <c r="R152" s="39"/>
      <c r="S152" s="39"/>
      <c r="T152" s="39"/>
      <c r="U152" s="39"/>
      <c r="V152" s="39"/>
      <c r="W152" s="39"/>
      <c r="X152" s="39"/>
      <c r="Y152" s="39"/>
      <c r="Z152" s="39"/>
      <c r="AA152" s="39"/>
      <c r="AB152" s="39"/>
      <c r="AC152" s="39"/>
      <c r="AD152" s="39"/>
      <c r="AE152" s="39"/>
    </row>
    <row r="153" spans="2:31" s="38" customFormat="1" ht="13.5" customHeight="1">
      <c r="B153" s="37" t="s">
        <v>141</v>
      </c>
      <c r="C153" s="36">
        <f t="shared" ref="C153:H153" si="587">C3</f>
        <v>44196</v>
      </c>
      <c r="D153" s="36">
        <f t="shared" si="587"/>
        <v>44561</v>
      </c>
      <c r="E153" s="36">
        <f t="shared" si="587"/>
        <v>44926</v>
      </c>
      <c r="F153" s="36">
        <f t="shared" si="587"/>
        <v>45291</v>
      </c>
      <c r="G153" s="36">
        <f t="shared" si="587"/>
        <v>45657</v>
      </c>
      <c r="H153" s="36">
        <f t="shared" si="587"/>
        <v>46022</v>
      </c>
      <c r="I153" s="36">
        <f t="shared" ref="I153" si="588">I3</f>
        <v>46112</v>
      </c>
      <c r="J153" s="193"/>
      <c r="K153" s="36">
        <f t="shared" ref="K153:Z153" si="589">K3</f>
        <v>44286</v>
      </c>
      <c r="L153" s="36">
        <f t="shared" si="589"/>
        <v>44377</v>
      </c>
      <c r="M153" s="36">
        <f t="shared" si="589"/>
        <v>44469</v>
      </c>
      <c r="N153" s="36">
        <f t="shared" si="589"/>
        <v>44561</v>
      </c>
      <c r="O153" s="36">
        <f t="shared" si="589"/>
        <v>44651</v>
      </c>
      <c r="P153" s="36">
        <f t="shared" si="589"/>
        <v>44742</v>
      </c>
      <c r="Q153" s="36">
        <f t="shared" si="589"/>
        <v>44834</v>
      </c>
      <c r="R153" s="36">
        <f t="shared" si="589"/>
        <v>44926</v>
      </c>
      <c r="S153" s="36">
        <f t="shared" si="589"/>
        <v>45016</v>
      </c>
      <c r="T153" s="36">
        <f t="shared" si="589"/>
        <v>45107</v>
      </c>
      <c r="U153" s="36">
        <f t="shared" si="589"/>
        <v>45199</v>
      </c>
      <c r="V153" s="36">
        <f t="shared" si="589"/>
        <v>45291</v>
      </c>
      <c r="W153" s="36">
        <f t="shared" si="589"/>
        <v>45382</v>
      </c>
      <c r="X153" s="36">
        <f t="shared" si="589"/>
        <v>45473</v>
      </c>
      <c r="Y153" s="36">
        <f t="shared" si="589"/>
        <v>45565</v>
      </c>
      <c r="Z153" s="36">
        <f t="shared" si="589"/>
        <v>45657</v>
      </c>
      <c r="AA153" s="36">
        <f t="shared" ref="AA153:AD153" si="590">AA3</f>
        <v>45747</v>
      </c>
      <c r="AB153" s="36">
        <f t="shared" si="590"/>
        <v>45838</v>
      </c>
      <c r="AC153" s="36">
        <f t="shared" si="590"/>
        <v>45930</v>
      </c>
      <c r="AD153" s="36">
        <f t="shared" si="590"/>
        <v>46022</v>
      </c>
      <c r="AE153" s="36">
        <f t="shared" ref="AE153" si="591">AE3</f>
        <v>46112</v>
      </c>
    </row>
    <row r="154" spans="2:31" s="19" customFormat="1" ht="13.5" customHeight="1">
      <c r="B154" s="37"/>
      <c r="C154" s="36" t="s">
        <v>142</v>
      </c>
      <c r="D154" s="36" t="s">
        <v>142</v>
      </c>
      <c r="E154" s="36" t="s">
        <v>142</v>
      </c>
      <c r="F154" s="36" t="s">
        <v>142</v>
      </c>
      <c r="G154" s="36" t="s">
        <v>142</v>
      </c>
      <c r="H154" s="36" t="s">
        <v>142</v>
      </c>
      <c r="I154" s="36" t="s">
        <v>142</v>
      </c>
      <c r="J154" s="193"/>
      <c r="K154" s="36" t="s">
        <v>142</v>
      </c>
      <c r="L154" s="36" t="s">
        <v>142</v>
      </c>
      <c r="M154" s="36" t="s">
        <v>142</v>
      </c>
      <c r="N154" s="36" t="s">
        <v>142</v>
      </c>
      <c r="O154" s="36" t="s">
        <v>142</v>
      </c>
      <c r="P154" s="36" t="s">
        <v>142</v>
      </c>
      <c r="Q154" s="36" t="s">
        <v>142</v>
      </c>
      <c r="R154" s="36" t="s">
        <v>142</v>
      </c>
      <c r="S154" s="36" t="s">
        <v>142</v>
      </c>
      <c r="T154" s="36" t="s">
        <v>142</v>
      </c>
      <c r="U154" s="36" t="s">
        <v>142</v>
      </c>
      <c r="V154" s="36" t="s">
        <v>142</v>
      </c>
      <c r="W154" s="36" t="s">
        <v>142</v>
      </c>
      <c r="X154" s="36" t="s">
        <v>142</v>
      </c>
      <c r="Y154" s="36" t="s">
        <v>142</v>
      </c>
      <c r="Z154" s="36" t="s">
        <v>142</v>
      </c>
      <c r="AA154" s="36" t="s">
        <v>142</v>
      </c>
      <c r="AB154" s="36" t="s">
        <v>142</v>
      </c>
      <c r="AC154" s="36" t="s">
        <v>142</v>
      </c>
      <c r="AD154" s="36" t="s">
        <v>142</v>
      </c>
      <c r="AE154" s="36" t="s">
        <v>142</v>
      </c>
    </row>
    <row r="155" spans="2:31" ht="13.5" customHeight="1"/>
    <row r="156" spans="2:31" s="19" customFormat="1" ht="13.5" customHeight="1">
      <c r="B156" s="19" t="str">
        <f t="shared" ref="B156:G156" si="592">B7</f>
        <v>Revenue</v>
      </c>
      <c r="C156" s="44">
        <f t="shared" si="592"/>
        <v>1857593.6780000001</v>
      </c>
      <c r="D156" s="44">
        <f t="shared" si="592"/>
        <v>2484712.2799999998</v>
      </c>
      <c r="E156" s="44">
        <f t="shared" si="592"/>
        <v>2711434.9479999999</v>
      </c>
      <c r="F156" s="44">
        <f t="shared" si="592"/>
        <v>2565556.0669999998</v>
      </c>
      <c r="G156" s="44">
        <f t="shared" si="592"/>
        <v>2904566.4539999999</v>
      </c>
      <c r="H156" s="44">
        <f t="shared" ref="H156:I156" si="593">H7</f>
        <v>2909625.4479999999</v>
      </c>
      <c r="I156" s="44">
        <f t="shared" si="593"/>
        <v>2911470.1359999999</v>
      </c>
      <c r="J156" s="34"/>
      <c r="K156" s="34">
        <f t="shared" ref="K156:Z156" si="594">K7</f>
        <v>569639.45600000001</v>
      </c>
      <c r="L156" s="34">
        <f t="shared" si="594"/>
        <v>469994.58600000001</v>
      </c>
      <c r="M156" s="34">
        <f t="shared" si="594"/>
        <v>622729.62699999998</v>
      </c>
      <c r="N156" s="34">
        <f t="shared" si="594"/>
        <v>822348.6109999998</v>
      </c>
      <c r="O156" s="34">
        <f t="shared" si="594"/>
        <v>700464.93</v>
      </c>
      <c r="P156" s="34">
        <f t="shared" si="594"/>
        <v>558502.88399999996</v>
      </c>
      <c r="Q156" s="34">
        <f t="shared" si="594"/>
        <v>684105.53500000003</v>
      </c>
      <c r="R156" s="34">
        <f t="shared" si="594"/>
        <v>768361.59899999993</v>
      </c>
      <c r="S156" s="34">
        <f t="shared" si="594"/>
        <v>732030.75899999996</v>
      </c>
      <c r="T156" s="34">
        <f t="shared" si="594"/>
        <v>574241.70299999998</v>
      </c>
      <c r="U156" s="34">
        <f t="shared" si="594"/>
        <v>686676.90599999996</v>
      </c>
      <c r="V156" s="34">
        <f t="shared" si="594"/>
        <v>572606.69900000002</v>
      </c>
      <c r="W156" s="34">
        <f t="shared" si="594"/>
        <v>746023.98199999996</v>
      </c>
      <c r="X156" s="34">
        <f t="shared" si="594"/>
        <v>524641.48100000003</v>
      </c>
      <c r="Y156" s="34">
        <f t="shared" si="594"/>
        <v>665823.272</v>
      </c>
      <c r="Z156" s="34">
        <f t="shared" si="594"/>
        <v>968077.71900000004</v>
      </c>
      <c r="AA156" s="34">
        <f t="shared" ref="AA156:AD156" si="595">AA7</f>
        <v>817670.59100000001</v>
      </c>
      <c r="AB156" s="34">
        <f t="shared" si="595"/>
        <v>579913.90099999995</v>
      </c>
      <c r="AC156" s="34">
        <f t="shared" si="595"/>
        <v>658627.85199999996</v>
      </c>
      <c r="AD156" s="34">
        <f t="shared" si="595"/>
        <v>853413.10399999982</v>
      </c>
      <c r="AE156" s="34">
        <f t="shared" ref="AE156" si="596">AE7</f>
        <v>819515.27899999998</v>
      </c>
    </row>
    <row r="157" spans="2:31" s="30" customFormat="1" ht="13.5" customHeight="1">
      <c r="B157" s="35" t="s">
        <v>250</v>
      </c>
      <c r="C157" s="43"/>
      <c r="D157" s="43">
        <f>D156/C156-1</f>
        <v>0.33759729559114038</v>
      </c>
      <c r="E157" s="43">
        <f>E156/D156-1</f>
        <v>9.1247050946277053E-2</v>
      </c>
      <c r="F157" s="43">
        <f>F156/E156-1</f>
        <v>-5.3801357509094094E-2</v>
      </c>
      <c r="G157" s="43">
        <f>G156/F156-1</f>
        <v>0.13213914572384211</v>
      </c>
      <c r="H157" s="43">
        <f>H156/G156-1</f>
        <v>1.7417380804054527E-3</v>
      </c>
      <c r="I157" s="43"/>
      <c r="J157" s="200"/>
      <c r="K157" s="43"/>
      <c r="L157" s="43"/>
      <c r="M157" s="43"/>
      <c r="N157" s="43"/>
      <c r="O157" s="43">
        <f t="shared" ref="O157:S157" si="597">O156/K156-1</f>
        <v>0.22966364534973516</v>
      </c>
      <c r="P157" s="43">
        <f t="shared" si="597"/>
        <v>0.18831769691917244</v>
      </c>
      <c r="Q157" s="43">
        <f t="shared" si="597"/>
        <v>9.8559479650387694E-2</v>
      </c>
      <c r="R157" s="43">
        <f t="shared" si="597"/>
        <v>-6.5649788031319378E-2</v>
      </c>
      <c r="S157" s="43">
        <f t="shared" si="597"/>
        <v>4.5064110490156795E-2</v>
      </c>
      <c r="T157" s="43">
        <f t="shared" ref="T157" si="598">T156/P156-1</f>
        <v>2.8180371938777649E-2</v>
      </c>
      <c r="U157" s="43">
        <f t="shared" ref="U157:AE157" si="599">U156/Q156-1</f>
        <v>3.7587343888394464E-3</v>
      </c>
      <c r="V157" s="43">
        <f t="shared" si="599"/>
        <v>-0.25476923918994543</v>
      </c>
      <c r="W157" s="43">
        <f t="shared" si="599"/>
        <v>1.9115621615566569E-2</v>
      </c>
      <c r="X157" s="43">
        <f t="shared" si="599"/>
        <v>-8.6375165267298493E-2</v>
      </c>
      <c r="Y157" s="43">
        <f t="shared" si="599"/>
        <v>-3.0368917052235878E-2</v>
      </c>
      <c r="Z157" s="43">
        <f t="shared" si="599"/>
        <v>0.69065035510525874</v>
      </c>
      <c r="AA157" s="43">
        <f t="shared" si="599"/>
        <v>9.6037943455817842E-2</v>
      </c>
      <c r="AB157" s="43">
        <f t="shared" si="599"/>
        <v>0.10535274468699507</v>
      </c>
      <c r="AC157" s="43">
        <f t="shared" si="599"/>
        <v>-1.080680159824754E-2</v>
      </c>
      <c r="AD157" s="43">
        <f t="shared" si="599"/>
        <v>-0.11844567099266146</v>
      </c>
      <c r="AE157" s="43">
        <f t="shared" si="599"/>
        <v>2.2560283081038968E-3</v>
      </c>
    </row>
    <row r="158" spans="2:31" ht="13.5" customHeight="1">
      <c r="K158" s="29"/>
      <c r="L158" s="29"/>
      <c r="M158" s="29"/>
      <c r="N158" s="29"/>
      <c r="O158" s="29"/>
      <c r="P158" s="29"/>
      <c r="Q158" s="29"/>
      <c r="R158" s="29"/>
      <c r="S158" s="29"/>
      <c r="T158" s="29"/>
      <c r="U158" s="29"/>
      <c r="V158" s="29"/>
      <c r="W158" s="29"/>
      <c r="X158" s="29"/>
      <c r="Z158" s="29"/>
      <c r="AA158" s="29"/>
      <c r="AB158" s="29"/>
      <c r="AD158" s="29"/>
      <c r="AE158" s="29"/>
    </row>
    <row r="159" spans="2:31" s="19" customFormat="1" ht="13.5" customHeight="1" thickBot="1">
      <c r="B159" s="25" t="str">
        <f t="shared" ref="B159:D159" si="600">B51</f>
        <v xml:space="preserve">Adj. EBITDA </v>
      </c>
      <c r="C159" s="33">
        <f t="shared" si="600"/>
        <v>296404.84100000001</v>
      </c>
      <c r="D159" s="33">
        <f t="shared" si="600"/>
        <v>444997.58799999999</v>
      </c>
      <c r="E159" s="33">
        <f t="shared" ref="E159:F159" si="601">E51</f>
        <v>357928.64899999998</v>
      </c>
      <c r="F159" s="33">
        <f t="shared" si="601"/>
        <v>379402.37300000002</v>
      </c>
      <c r="G159" s="33">
        <f t="shared" ref="G159:H159" si="602">G51</f>
        <v>415936.114</v>
      </c>
      <c r="H159" s="33">
        <f t="shared" si="602"/>
        <v>376207.95799999998</v>
      </c>
      <c r="I159" s="33">
        <f t="shared" ref="I159" si="603">I51</f>
        <v>376297.473</v>
      </c>
      <c r="J159" s="44"/>
      <c r="K159" s="33">
        <f t="shared" ref="K159:N159" si="604">K51</f>
        <v>126547.394</v>
      </c>
      <c r="L159" s="33">
        <f t="shared" si="604"/>
        <v>61575.586000000003</v>
      </c>
      <c r="M159" s="33">
        <f t="shared" si="604"/>
        <v>101472.273</v>
      </c>
      <c r="N159" s="33">
        <f t="shared" si="604"/>
        <v>155402.33499999996</v>
      </c>
      <c r="O159" s="33">
        <f t="shared" ref="O159:P159" si="605">O51</f>
        <v>135125.785</v>
      </c>
      <c r="P159" s="33">
        <f t="shared" si="605"/>
        <v>32470.882000000001</v>
      </c>
      <c r="Q159" s="33">
        <f t="shared" ref="Q159:T159" si="606">Q51</f>
        <v>67606.656000000003</v>
      </c>
      <c r="R159" s="33">
        <f t="shared" si="606"/>
        <v>122725.32599999994</v>
      </c>
      <c r="S159" s="33">
        <f t="shared" si="606"/>
        <v>135376.70699999999</v>
      </c>
      <c r="T159" s="33">
        <f t="shared" si="606"/>
        <v>47125.84</v>
      </c>
      <c r="U159" s="33">
        <f t="shared" ref="U159:X159" si="607">U51</f>
        <v>86343.854000000007</v>
      </c>
      <c r="V159" s="33">
        <f t="shared" si="607"/>
        <v>110555.97200000001</v>
      </c>
      <c r="W159" s="33">
        <f t="shared" si="607"/>
        <v>124163.24800000001</v>
      </c>
      <c r="X159" s="33">
        <f t="shared" si="607"/>
        <v>38722</v>
      </c>
      <c r="Y159" s="33">
        <f t="shared" ref="Y159:AB159" si="608">Y51</f>
        <v>70430.698000000004</v>
      </c>
      <c r="Z159" s="33">
        <f t="shared" si="608"/>
        <v>182620.16799999998</v>
      </c>
      <c r="AA159" s="33">
        <f t="shared" si="608"/>
        <v>131554</v>
      </c>
      <c r="AB159" s="33">
        <f t="shared" si="608"/>
        <v>19817.282999999999</v>
      </c>
      <c r="AC159" s="33">
        <f t="shared" ref="AC159:AE159" si="609">AC51</f>
        <v>73635</v>
      </c>
      <c r="AD159" s="33">
        <f t="shared" si="609"/>
        <v>151201.67499999999</v>
      </c>
      <c r="AE159" s="33">
        <f t="shared" si="609"/>
        <v>131643.51500000001</v>
      </c>
    </row>
    <row r="160" spans="2:31" s="30" customFormat="1" ht="13.5" customHeight="1" thickTop="1">
      <c r="B160" s="32" t="str">
        <f>B52</f>
        <v xml:space="preserve">% growth </v>
      </c>
      <c r="C160" s="43"/>
      <c r="D160" s="43">
        <f t="shared" ref="D160:E160" si="610">D52</f>
        <v>0.50131686951766063</v>
      </c>
      <c r="E160" s="43">
        <f t="shared" si="610"/>
        <v>-0.19566159760847968</v>
      </c>
      <c r="F160" s="43">
        <f t="shared" ref="F160:G160" si="611">F52</f>
        <v>5.9994426431062342E-2</v>
      </c>
      <c r="G160" s="43">
        <f t="shared" si="611"/>
        <v>9.6292863724392053E-2</v>
      </c>
      <c r="H160" s="43">
        <f t="shared" ref="H160" si="612">H52</f>
        <v>-9.551504344727324E-2</v>
      </c>
      <c r="I160" s="43"/>
      <c r="J160" s="200"/>
      <c r="K160" s="43"/>
      <c r="L160" s="43"/>
      <c r="M160" s="43"/>
      <c r="N160" s="43"/>
      <c r="O160" s="43">
        <f t="shared" ref="O160:P160" si="613">O52</f>
        <v>6.7787970410516651E-2</v>
      </c>
      <c r="P160" s="43">
        <f t="shared" si="613"/>
        <v>-0.47266629342350064</v>
      </c>
      <c r="Q160" s="43">
        <f t="shared" ref="Q160:T160" si="614">Q52</f>
        <v>-0.33374256827774029</v>
      </c>
      <c r="R160" s="43">
        <f t="shared" si="614"/>
        <v>-0.21027360367526027</v>
      </c>
      <c r="S160" s="43">
        <f t="shared" si="614"/>
        <v>1.8569512843162883E-3</v>
      </c>
      <c r="T160" s="43">
        <f t="shared" si="614"/>
        <v>0.45132614506744817</v>
      </c>
      <c r="U160" s="43">
        <f t="shared" ref="U160:X161" si="615">U52</f>
        <v>0.27715019657236128</v>
      </c>
      <c r="V160" s="43">
        <f t="shared" si="615"/>
        <v>-9.9159272145668886E-2</v>
      </c>
      <c r="W160" s="43">
        <f t="shared" si="615"/>
        <v>-8.2831524333059625E-2</v>
      </c>
      <c r="X160" s="43">
        <f t="shared" si="615"/>
        <v>-0.17832764360274522</v>
      </c>
      <c r="Y160" s="43">
        <f t="shared" ref="Y160:AB160" si="616">Y52</f>
        <v>-0.18429981131025264</v>
      </c>
      <c r="Z160" s="43">
        <f t="shared" si="616"/>
        <v>0.65183449339127475</v>
      </c>
      <c r="AA160" s="43">
        <f t="shared" si="616"/>
        <v>5.952447377987391E-2</v>
      </c>
      <c r="AB160" s="43">
        <f t="shared" si="616"/>
        <v>-0.48821644026651523</v>
      </c>
      <c r="AC160" s="43">
        <f t="shared" ref="AC160:AE161" si="617">AC52</f>
        <v>4.5495814907300813E-2</v>
      </c>
      <c r="AD160" s="43">
        <f t="shared" si="617"/>
        <v>-0.17204284359217104</v>
      </c>
      <c r="AE160" s="43">
        <f t="shared" si="617"/>
        <v>6.8044301199510215E-4</v>
      </c>
    </row>
    <row r="161" spans="2:31" s="30" customFormat="1" ht="13.5" customHeight="1">
      <c r="B161" s="32" t="str">
        <f>B53</f>
        <v>% margin</v>
      </c>
      <c r="C161" s="43">
        <f>C53</f>
        <v>0.15956387261132787</v>
      </c>
      <c r="D161" s="43">
        <f t="shared" ref="D161:E161" si="618">D53</f>
        <v>0.17909421206708087</v>
      </c>
      <c r="E161" s="43">
        <f t="shared" si="618"/>
        <v>0.13200709434833174</v>
      </c>
      <c r="F161" s="43">
        <f t="shared" ref="F161:G161" si="619">F53</f>
        <v>0.14788309555193208</v>
      </c>
      <c r="G161" s="43">
        <f t="shared" si="619"/>
        <v>0.14320075666617887</v>
      </c>
      <c r="H161" s="43">
        <f t="shared" ref="H161:I161" si="620">H53</f>
        <v>0.12929772739601086</v>
      </c>
      <c r="I161" s="43">
        <f t="shared" si="620"/>
        <v>0.12924655085660133</v>
      </c>
      <c r="J161" s="200"/>
      <c r="K161" s="43">
        <f>K53</f>
        <v>0.22215349141826299</v>
      </c>
      <c r="L161" s="43">
        <f>L53</f>
        <v>0.13101339426918421</v>
      </c>
      <c r="M161" s="43">
        <f>M53</f>
        <v>0.16294755958351087</v>
      </c>
      <c r="N161" s="43">
        <f>N53</f>
        <v>0.18897379155420013</v>
      </c>
      <c r="O161" s="43">
        <f t="shared" ref="O161:P161" si="621">O53</f>
        <v>0.19290870850593475</v>
      </c>
      <c r="P161" s="43">
        <f t="shared" si="621"/>
        <v>5.8139148302052461E-2</v>
      </c>
      <c r="Q161" s="43">
        <f t="shared" ref="Q161" si="622">Q53</f>
        <v>9.8824892565735484E-2</v>
      </c>
      <c r="R161" s="43">
        <f>R53</f>
        <v>0.15972339867026586</v>
      </c>
      <c r="S161" s="43">
        <f t="shared" ref="S161:T161" si="623">S53</f>
        <v>0.18493308557817037</v>
      </c>
      <c r="T161" s="43">
        <f t="shared" si="623"/>
        <v>8.2066209670599272E-2</v>
      </c>
      <c r="U161" s="43">
        <f t="shared" si="615"/>
        <v>0.12574160168421336</v>
      </c>
      <c r="V161" s="43">
        <f>V53</f>
        <v>0.19307488402261952</v>
      </c>
      <c r="W161" s="43">
        <f t="shared" ref="W161:X161" si="624">W53</f>
        <v>0.16643331983394605</v>
      </c>
      <c r="X161" s="43">
        <f t="shared" si="624"/>
        <v>7.3806592506168986E-2</v>
      </c>
      <c r="Y161" s="43">
        <f t="shared" ref="Y161" si="625">Y53</f>
        <v>0.10577986826510324</v>
      </c>
      <c r="Z161" s="43">
        <f>Z53</f>
        <v>0.18864205261189362</v>
      </c>
      <c r="AA161" s="43">
        <f t="shared" ref="AA161:AB161" si="626">AA53</f>
        <v>0.16088875085884066</v>
      </c>
      <c r="AB161" s="43">
        <f t="shared" si="626"/>
        <v>3.4172802144986004E-2</v>
      </c>
      <c r="AC161" s="43">
        <f t="shared" si="617"/>
        <v>0.11180061665536732</v>
      </c>
      <c r="AD161" s="43">
        <f>AD53</f>
        <v>0.17717290054641582</v>
      </c>
      <c r="AE161" s="43">
        <f t="shared" ref="AE161" si="627">AE53</f>
        <v>0.16063582751091091</v>
      </c>
    </row>
    <row r="162" spans="2:31" ht="13.5" customHeight="1">
      <c r="K162" s="29"/>
      <c r="L162" s="29"/>
      <c r="M162" s="29"/>
      <c r="N162" s="29"/>
      <c r="O162" s="29"/>
      <c r="P162" s="29"/>
      <c r="Q162" s="29"/>
      <c r="R162" s="29"/>
      <c r="S162" s="29"/>
      <c r="T162" s="29"/>
      <c r="U162" s="29"/>
      <c r="V162" s="29"/>
      <c r="W162" s="29"/>
      <c r="X162" s="29"/>
      <c r="Y162" s="29"/>
      <c r="Z162" s="29"/>
      <c r="AA162" s="29"/>
      <c r="AB162" s="29"/>
      <c r="AC162" s="29"/>
      <c r="AD162" s="29"/>
      <c r="AE162" s="29"/>
    </row>
    <row r="163" spans="2:31" s="19" customFormat="1" ht="13.5" customHeight="1">
      <c r="B163" s="19" t="str">
        <f t="shared" ref="B163:C180" si="628">B59</f>
        <v xml:space="preserve">Adj. EBITDA </v>
      </c>
      <c r="C163" s="28">
        <f t="shared" si="628"/>
        <v>296404.84100000001</v>
      </c>
      <c r="D163" s="28">
        <f t="shared" ref="D163:E163" si="629">D59</f>
        <v>444997.58799999999</v>
      </c>
      <c r="E163" s="28">
        <f t="shared" si="629"/>
        <v>357928.64899999998</v>
      </c>
      <c r="F163" s="28">
        <f t="shared" ref="F163:G163" si="630">F59</f>
        <v>379402.37300000002</v>
      </c>
      <c r="G163" s="28">
        <f t="shared" si="630"/>
        <v>415936.114</v>
      </c>
      <c r="H163" s="28">
        <f t="shared" ref="H163:I163" si="631">H59</f>
        <v>376207.95799999998</v>
      </c>
      <c r="I163" s="28">
        <f t="shared" si="631"/>
        <v>376297.473</v>
      </c>
      <c r="J163" s="9"/>
      <c r="K163" s="28">
        <f t="shared" ref="K163:U178" si="632">K59</f>
        <v>126547.394</v>
      </c>
      <c r="L163" s="28">
        <f t="shared" si="632"/>
        <v>61575.586000000003</v>
      </c>
      <c r="M163" s="28">
        <f t="shared" si="632"/>
        <v>101472.273</v>
      </c>
      <c r="N163" s="28">
        <f t="shared" si="632"/>
        <v>155402.33499999996</v>
      </c>
      <c r="O163" s="28">
        <f t="shared" si="632"/>
        <v>135125.785</v>
      </c>
      <c r="P163" s="28">
        <f t="shared" si="632"/>
        <v>32470.882000000001</v>
      </c>
      <c r="Q163" s="28">
        <f t="shared" si="632"/>
        <v>67606.656000000003</v>
      </c>
      <c r="R163" s="28">
        <f t="shared" si="632"/>
        <v>122725.32599999994</v>
      </c>
      <c r="S163" s="28">
        <f t="shared" si="632"/>
        <v>135376.70699999999</v>
      </c>
      <c r="T163" s="28">
        <f t="shared" ref="T163:T180" si="633">T59</f>
        <v>47125.84</v>
      </c>
      <c r="U163" s="28">
        <f t="shared" si="632"/>
        <v>86343.854000000007</v>
      </c>
      <c r="V163" s="28">
        <f t="shared" ref="V163:X178" si="634">V59</f>
        <v>110555.97200000001</v>
      </c>
      <c r="W163" s="28">
        <f t="shared" si="634"/>
        <v>124163.24800000001</v>
      </c>
      <c r="X163" s="28">
        <f t="shared" si="634"/>
        <v>38722</v>
      </c>
      <c r="Y163" s="28">
        <f t="shared" ref="Y163:AB163" si="635">Y59</f>
        <v>70430.698000000004</v>
      </c>
      <c r="Z163" s="28">
        <f t="shared" si="635"/>
        <v>182620.16799999998</v>
      </c>
      <c r="AA163" s="28">
        <f t="shared" si="635"/>
        <v>131554</v>
      </c>
      <c r="AB163" s="28">
        <f t="shared" si="635"/>
        <v>19817.282999999999</v>
      </c>
      <c r="AC163" s="28">
        <f t="shared" ref="AC163:AE163" si="636">AC59</f>
        <v>73635</v>
      </c>
      <c r="AD163" s="28">
        <f t="shared" si="636"/>
        <v>151201.67499999999</v>
      </c>
      <c r="AE163" s="28">
        <f t="shared" si="636"/>
        <v>131643.51500000001</v>
      </c>
    </row>
    <row r="164" spans="2:31" ht="13.5" customHeight="1">
      <c r="B164" s="16" t="str">
        <f t="shared" si="628"/>
        <v>Working Capital</v>
      </c>
      <c r="C164" s="12">
        <f t="shared" si="628"/>
        <v>861375.57299999986</v>
      </c>
      <c r="D164" s="12">
        <f t="shared" ref="D164:E164" si="637">D60</f>
        <v>1090656.933</v>
      </c>
      <c r="E164" s="12">
        <f t="shared" si="637"/>
        <v>843182.38499999978</v>
      </c>
      <c r="F164" s="12">
        <f t="shared" ref="F164:G164" si="638">F60</f>
        <v>1059813.9879999999</v>
      </c>
      <c r="G164" s="12">
        <f t="shared" si="638"/>
        <v>1156802.949</v>
      </c>
      <c r="H164" s="12">
        <f t="shared" ref="H164:I164" si="639">H60</f>
        <v>1173349.52</v>
      </c>
      <c r="I164" s="12">
        <f t="shared" si="639"/>
        <v>1205642.5519999999</v>
      </c>
      <c r="J164" s="120"/>
      <c r="K164" s="12">
        <f t="shared" si="632"/>
        <v>336612.14199999999</v>
      </c>
      <c r="L164" s="12">
        <f t="shared" si="632"/>
        <v>208517.02599999995</v>
      </c>
      <c r="M164" s="12">
        <f t="shared" si="632"/>
        <v>237333.03900000022</v>
      </c>
      <c r="N164" s="12">
        <f t="shared" si="632"/>
        <v>308194.72599999979</v>
      </c>
      <c r="O164" s="12">
        <f t="shared" si="632"/>
        <v>312473.57399999991</v>
      </c>
      <c r="P164" s="12">
        <f t="shared" si="632"/>
        <v>129893.11800000013</v>
      </c>
      <c r="Q164" s="12">
        <f t="shared" si="632"/>
        <v>171250.61800000025</v>
      </c>
      <c r="R164" s="12">
        <f t="shared" si="632"/>
        <v>229565.07499999949</v>
      </c>
      <c r="S164" s="12">
        <f t="shared" si="632"/>
        <v>350525.03899999999</v>
      </c>
      <c r="T164" s="12">
        <f t="shared" si="633"/>
        <v>245153.76299999992</v>
      </c>
      <c r="U164" s="12">
        <f t="shared" si="632"/>
        <v>244821.22999999998</v>
      </c>
      <c r="V164" s="12">
        <f t="shared" ref="V164:W164" si="640">V60</f>
        <v>219313.95600000001</v>
      </c>
      <c r="W164" s="12">
        <f t="shared" si="640"/>
        <v>379506.03000000014</v>
      </c>
      <c r="X164" s="12">
        <f t="shared" si="634"/>
        <v>110919.83099999989</v>
      </c>
      <c r="Y164" s="12">
        <f t="shared" ref="Y164:AB164" si="641">Y60</f>
        <v>350064.17099999986</v>
      </c>
      <c r="Z164" s="12">
        <f t="shared" si="641"/>
        <v>316312.91700000013</v>
      </c>
      <c r="AA164" s="12">
        <f t="shared" si="641"/>
        <v>426541.88800000004</v>
      </c>
      <c r="AB164" s="12">
        <f t="shared" si="641"/>
        <v>202219.61700000009</v>
      </c>
      <c r="AC164" s="12">
        <f t="shared" ref="AC164:AE164" si="642">AC60</f>
        <v>212609.82299999963</v>
      </c>
      <c r="AD164" s="12">
        <f t="shared" si="642"/>
        <v>331978.19200000027</v>
      </c>
      <c r="AE164" s="12">
        <f t="shared" si="642"/>
        <v>458834.91999999993</v>
      </c>
    </row>
    <row r="165" spans="2:31" ht="13.5" customHeight="1">
      <c r="B165" s="16" t="str">
        <f t="shared" si="628"/>
        <v>Taxes</v>
      </c>
      <c r="C165" s="12">
        <f t="shared" si="628"/>
        <v>-43031.71</v>
      </c>
      <c r="D165" s="12">
        <f t="shared" ref="D165:E165" si="643">D61</f>
        <v>-78971.520000000004</v>
      </c>
      <c r="E165" s="12">
        <f t="shared" si="643"/>
        <v>-66276.732999999993</v>
      </c>
      <c r="F165" s="12">
        <f t="shared" ref="F165:G165" si="644">F61</f>
        <v>-8959.8709999999992</v>
      </c>
      <c r="G165" s="12">
        <f t="shared" si="644"/>
        <v>-14703.915000000001</v>
      </c>
      <c r="H165" s="12">
        <f t="shared" ref="H165:I165" si="645">H61</f>
        <v>-57562.563999999998</v>
      </c>
      <c r="I165" s="12">
        <f t="shared" si="645"/>
        <v>-61352.404999999999</v>
      </c>
      <c r="J165" s="120"/>
      <c r="K165" s="12">
        <f t="shared" si="632"/>
        <v>-17854.366999999998</v>
      </c>
      <c r="L165" s="12">
        <f t="shared" si="632"/>
        <v>-24759.469000000005</v>
      </c>
      <c r="M165" s="12">
        <f t="shared" si="632"/>
        <v>-16804.425999999999</v>
      </c>
      <c r="N165" s="12">
        <f t="shared" si="632"/>
        <v>-19553.258000000002</v>
      </c>
      <c r="O165" s="12">
        <f t="shared" si="632"/>
        <v>-25404.387999999999</v>
      </c>
      <c r="P165" s="12">
        <f t="shared" si="632"/>
        <v>-20186.462</v>
      </c>
      <c r="Q165" s="12">
        <f t="shared" si="632"/>
        <v>-10895.656999999999</v>
      </c>
      <c r="R165" s="12">
        <f t="shared" si="632"/>
        <v>-9790.2259999999951</v>
      </c>
      <c r="S165" s="12">
        <f t="shared" si="632"/>
        <v>-18661.397000000001</v>
      </c>
      <c r="T165" s="12">
        <f t="shared" si="633"/>
        <v>2481.7750000000015</v>
      </c>
      <c r="U165" s="12">
        <f t="shared" si="632"/>
        <v>10444.671999999999</v>
      </c>
      <c r="V165" s="12">
        <f t="shared" ref="V165:W165" si="646">V61</f>
        <v>-3224.9209999999985</v>
      </c>
      <c r="W165" s="12">
        <f t="shared" si="646"/>
        <v>-5647.1840000000002</v>
      </c>
      <c r="X165" s="12">
        <f t="shared" si="634"/>
        <v>1409.8739999999998</v>
      </c>
      <c r="Y165" s="12">
        <f t="shared" ref="Y165:AB165" si="647">Y61</f>
        <v>-5148.4530000000004</v>
      </c>
      <c r="Z165" s="12">
        <f t="shared" si="647"/>
        <v>-5318.152</v>
      </c>
      <c r="AA165" s="12">
        <f t="shared" si="647"/>
        <v>-7687.4650000000001</v>
      </c>
      <c r="AB165" s="12">
        <f t="shared" si="647"/>
        <v>-36132.337</v>
      </c>
      <c r="AC165" s="12">
        <f t="shared" ref="AC165:AE165" si="648">AC61</f>
        <v>-7591.4229999999952</v>
      </c>
      <c r="AD165" s="12">
        <f t="shared" si="648"/>
        <v>-6151.3390000000072</v>
      </c>
      <c r="AE165" s="12">
        <f t="shared" si="648"/>
        <v>-11477.306</v>
      </c>
    </row>
    <row r="166" spans="2:31" ht="13.5" customHeight="1">
      <c r="B166" s="16" t="str">
        <f t="shared" si="628"/>
        <v>Cash interest paid</v>
      </c>
      <c r="C166" s="12">
        <f t="shared" si="628"/>
        <v>-21975.481</v>
      </c>
      <c r="D166" s="12">
        <f t="shared" ref="D166:E166" si="649">D62</f>
        <v>-28984.61</v>
      </c>
      <c r="E166" s="12">
        <f t="shared" si="649"/>
        <v>-47102.233</v>
      </c>
      <c r="F166" s="12">
        <f t="shared" ref="F166:G166" si="650">F62</f>
        <v>-70452.675000000003</v>
      </c>
      <c r="G166" s="12">
        <f t="shared" si="650"/>
        <v>-68811.141000000003</v>
      </c>
      <c r="H166" s="12">
        <f t="shared" ref="H166:I166" si="651">H62</f>
        <v>-54985.786999999997</v>
      </c>
      <c r="I166" s="12">
        <f t="shared" si="651"/>
        <v>-54400.068999999996</v>
      </c>
      <c r="J166" s="120"/>
      <c r="K166" s="12">
        <f t="shared" si="632"/>
        <v>-6499.6270000000004</v>
      </c>
      <c r="L166" s="12">
        <f t="shared" si="632"/>
        <v>-5618.0550000000003</v>
      </c>
      <c r="M166" s="12">
        <f t="shared" si="632"/>
        <v>-8332.4539999999979</v>
      </c>
      <c r="N166" s="12">
        <f t="shared" si="632"/>
        <v>-8534.474000000002</v>
      </c>
      <c r="O166" s="12">
        <f t="shared" si="632"/>
        <v>-6654.6229999999996</v>
      </c>
      <c r="P166" s="12">
        <f t="shared" si="632"/>
        <v>-8055.9510000000009</v>
      </c>
      <c r="Q166" s="12">
        <f t="shared" si="632"/>
        <v>-21083.188999999998</v>
      </c>
      <c r="R166" s="12">
        <f t="shared" si="632"/>
        <v>-11308.470000000001</v>
      </c>
      <c r="S166" s="12">
        <f t="shared" si="632"/>
        <v>-24811.634999999998</v>
      </c>
      <c r="T166" s="12">
        <f t="shared" si="633"/>
        <v>-15519.263999999999</v>
      </c>
      <c r="U166" s="12">
        <f t="shared" si="632"/>
        <v>-22398.885000000006</v>
      </c>
      <c r="V166" s="12">
        <f t="shared" ref="V166:W166" si="652">V62</f>
        <v>-7722.8910000000033</v>
      </c>
      <c r="W166" s="12">
        <f t="shared" si="652"/>
        <v>-19532.306</v>
      </c>
      <c r="X166" s="12">
        <f t="shared" si="634"/>
        <v>-13917.823</v>
      </c>
      <c r="Y166" s="12">
        <f t="shared" ref="Y166:AB166" si="653">Y62</f>
        <v>-20779.663000000004</v>
      </c>
      <c r="Z166" s="12">
        <f t="shared" si="653"/>
        <v>-14581.349000000002</v>
      </c>
      <c r="AA166" s="12">
        <f t="shared" si="653"/>
        <v>-21319.800999999999</v>
      </c>
      <c r="AB166" s="12">
        <f t="shared" si="653"/>
        <v>-8443.2750000000015</v>
      </c>
      <c r="AC166" s="12">
        <f t="shared" ref="AC166:AE166" si="654">AC62</f>
        <v>-19706.656000000003</v>
      </c>
      <c r="AD166" s="12">
        <f t="shared" si="654"/>
        <v>-5516.054999999993</v>
      </c>
      <c r="AE166" s="12">
        <f t="shared" si="654"/>
        <v>-20734.082999999999</v>
      </c>
    </row>
    <row r="167" spans="2:31" s="19" customFormat="1" ht="13.5" customHeight="1" thickBot="1">
      <c r="B167" s="25" t="str">
        <f t="shared" si="628"/>
        <v xml:space="preserve">Net cash from operations </v>
      </c>
      <c r="C167" s="24">
        <f t="shared" si="628"/>
        <v>1092773.223</v>
      </c>
      <c r="D167" s="24">
        <f t="shared" ref="D167:E167" si="655">D63</f>
        <v>1427698.3909999998</v>
      </c>
      <c r="E167" s="24">
        <f t="shared" si="655"/>
        <v>1087732.0679999997</v>
      </c>
      <c r="F167" s="24">
        <f t="shared" ref="F167:G167" si="656">F63</f>
        <v>1359803.8149999999</v>
      </c>
      <c r="G167" s="24">
        <f t="shared" si="656"/>
        <v>1489224.007</v>
      </c>
      <c r="H167" s="24">
        <f t="shared" ref="H167:I167" si="657">H63</f>
        <v>1437009.1270000001</v>
      </c>
      <c r="I167" s="24">
        <f t="shared" si="657"/>
        <v>1466187.551</v>
      </c>
      <c r="J167" s="26"/>
      <c r="K167" s="24">
        <f t="shared" si="632"/>
        <v>438805.54200000002</v>
      </c>
      <c r="L167" s="24">
        <f t="shared" si="632"/>
        <v>239715.08799999996</v>
      </c>
      <c r="M167" s="24">
        <f t="shared" si="632"/>
        <v>313668.43200000026</v>
      </c>
      <c r="N167" s="24">
        <f t="shared" si="632"/>
        <v>435509.32899999974</v>
      </c>
      <c r="O167" s="24">
        <f t="shared" si="632"/>
        <v>415540.34799999994</v>
      </c>
      <c r="P167" s="24">
        <f t="shared" si="632"/>
        <v>134121.58700000015</v>
      </c>
      <c r="Q167" s="24">
        <f t="shared" si="632"/>
        <v>206878.42800000025</v>
      </c>
      <c r="R167" s="24">
        <f t="shared" si="632"/>
        <v>331191.70499999949</v>
      </c>
      <c r="S167" s="24">
        <f t="shared" si="632"/>
        <v>442428.71399999998</v>
      </c>
      <c r="T167" s="24">
        <f t="shared" si="633"/>
        <v>279242.11399999988</v>
      </c>
      <c r="U167" s="24">
        <f t="shared" si="632"/>
        <v>319210.87099999998</v>
      </c>
      <c r="V167" s="24">
        <f t="shared" ref="V167:W167" si="658">V63</f>
        <v>318922.11600000004</v>
      </c>
      <c r="W167" s="24">
        <f t="shared" si="658"/>
        <v>478489.78800000018</v>
      </c>
      <c r="X167" s="24">
        <f t="shared" si="634"/>
        <v>137133.8819999999</v>
      </c>
      <c r="Y167" s="24">
        <f t="shared" ref="Y167:AB167" si="659">Y63</f>
        <v>394566.75299999985</v>
      </c>
      <c r="Z167" s="24">
        <f t="shared" si="659"/>
        <v>479033.58400000009</v>
      </c>
      <c r="AA167" s="24">
        <f t="shared" si="659"/>
        <v>529088.62200000009</v>
      </c>
      <c r="AB167" s="24">
        <f t="shared" si="659"/>
        <v>177461.28800000009</v>
      </c>
      <c r="AC167" s="24">
        <f t="shared" ref="AC167:AE167" si="660">AC63</f>
        <v>258946.7439999996</v>
      </c>
      <c r="AD167" s="24">
        <f t="shared" si="660"/>
        <v>471512.47300000029</v>
      </c>
      <c r="AE167" s="24">
        <f t="shared" si="660"/>
        <v>558267.04599999997</v>
      </c>
    </row>
    <row r="168" spans="2:31" ht="13.5" customHeight="1" thickTop="1">
      <c r="B168" s="16" t="str">
        <f t="shared" si="628"/>
        <v>Net Capex</v>
      </c>
      <c r="C168" s="27">
        <f t="shared" si="628"/>
        <v>-116621.44499999999</v>
      </c>
      <c r="D168" s="27">
        <f t="shared" ref="D168:E168" si="661">D64</f>
        <v>-169520.155</v>
      </c>
      <c r="E168" s="27">
        <f t="shared" si="661"/>
        <v>-185087.049</v>
      </c>
      <c r="F168" s="27">
        <f t="shared" ref="F168:G168" si="662">F64</f>
        <v>-123169.077</v>
      </c>
      <c r="G168" s="27">
        <f t="shared" si="662"/>
        <v>-100487.535</v>
      </c>
      <c r="H168" s="27">
        <f t="shared" ref="H168:I168" si="663">H64</f>
        <v>-139443.19199999998</v>
      </c>
      <c r="I168" s="27">
        <f t="shared" si="663"/>
        <v>-151940.84099999999</v>
      </c>
      <c r="J168" s="120"/>
      <c r="K168" s="27">
        <f t="shared" si="632"/>
        <v>-28147.351000000002</v>
      </c>
      <c r="L168" s="27">
        <f t="shared" si="632"/>
        <v>-40634.110999999997</v>
      </c>
      <c r="M168" s="27">
        <f t="shared" si="632"/>
        <v>-35834.724999999984</v>
      </c>
      <c r="N168" s="27">
        <f t="shared" si="632"/>
        <v>-64903.968000000023</v>
      </c>
      <c r="O168" s="27">
        <f t="shared" si="632"/>
        <v>-27234.55</v>
      </c>
      <c r="P168" s="27">
        <f t="shared" si="632"/>
        <v>-46960.861000000004</v>
      </c>
      <c r="Q168" s="27">
        <f t="shared" si="632"/>
        <v>-56320.621999999988</v>
      </c>
      <c r="R168" s="27">
        <f t="shared" si="632"/>
        <v>-54571.016000000003</v>
      </c>
      <c r="S168" s="27">
        <f t="shared" si="632"/>
        <v>-21958.516000000003</v>
      </c>
      <c r="T168" s="27">
        <f t="shared" si="633"/>
        <v>-29870.827999999994</v>
      </c>
      <c r="U168" s="27">
        <f t="shared" si="632"/>
        <v>-45090.518000000011</v>
      </c>
      <c r="V168" s="27">
        <f t="shared" ref="V168:W168" si="664">V64</f>
        <v>-26249.214999999997</v>
      </c>
      <c r="W168" s="27">
        <f t="shared" si="664"/>
        <v>-44360.167999999998</v>
      </c>
      <c r="X168" s="27">
        <f t="shared" si="634"/>
        <v>13571.025999999998</v>
      </c>
      <c r="Y168" s="27">
        <f t="shared" ref="Y168:AB168" si="665">Y64</f>
        <v>-32255.112000000001</v>
      </c>
      <c r="Z168" s="27">
        <f t="shared" si="665"/>
        <v>-37443.281000000003</v>
      </c>
      <c r="AA168" s="27">
        <f t="shared" si="665"/>
        <v>-25736.312999999998</v>
      </c>
      <c r="AB168" s="27">
        <f t="shared" si="665"/>
        <v>-32792.123000000007</v>
      </c>
      <c r="AC168" s="27">
        <f t="shared" ref="AC168:AE168" si="666">AC64</f>
        <v>-40587.292000000001</v>
      </c>
      <c r="AD168" s="27">
        <f t="shared" si="666"/>
        <v>-40327.463999999978</v>
      </c>
      <c r="AE168" s="27">
        <f t="shared" si="666"/>
        <v>-38233.962</v>
      </c>
    </row>
    <row r="169" spans="2:31" ht="13.5" customHeight="1">
      <c r="B169" s="16" t="str">
        <f t="shared" si="628"/>
        <v>Purchase of intangible assets</v>
      </c>
      <c r="C169" s="27">
        <f t="shared" si="628"/>
        <v>-5773.0709999999999</v>
      </c>
      <c r="D169" s="27">
        <f t="shared" ref="D169:E169" si="667">D65</f>
        <v>-2186.5529999999999</v>
      </c>
      <c r="E169" s="27">
        <f t="shared" si="667"/>
        <v>-14933.852999999999</v>
      </c>
      <c r="F169" s="27">
        <f t="shared" ref="F169:G169" si="668">F65</f>
        <v>-5047.2219999999998</v>
      </c>
      <c r="G169" s="27">
        <f t="shared" si="668"/>
        <v>-7169.2879999999996</v>
      </c>
      <c r="H169" s="27">
        <f t="shared" ref="H169:I169" si="669">H65</f>
        <v>-14522.823</v>
      </c>
      <c r="I169" s="27">
        <f t="shared" si="669"/>
        <v>-15950.022000000001</v>
      </c>
      <c r="J169" s="120"/>
      <c r="K169" s="27">
        <f t="shared" si="632"/>
        <v>-1935.7470000000001</v>
      </c>
      <c r="L169" s="27">
        <f t="shared" si="632"/>
        <v>-83.377999999999929</v>
      </c>
      <c r="M169" s="27">
        <f t="shared" si="632"/>
        <v>-110.93899999999985</v>
      </c>
      <c r="N169" s="27">
        <f t="shared" si="632"/>
        <v>-56.489000000000033</v>
      </c>
      <c r="O169" s="27">
        <f t="shared" si="632"/>
        <v>-252.286</v>
      </c>
      <c r="P169" s="27">
        <f t="shared" si="632"/>
        <v>-1466.615</v>
      </c>
      <c r="Q169" s="27">
        <f t="shared" si="632"/>
        <v>-13504.368</v>
      </c>
      <c r="R169" s="27">
        <f t="shared" si="632"/>
        <v>289.41600000000108</v>
      </c>
      <c r="S169" s="27">
        <f t="shared" si="632"/>
        <v>-784.88699999999994</v>
      </c>
      <c r="T169" s="27">
        <f t="shared" si="633"/>
        <v>-549.62699999999995</v>
      </c>
      <c r="U169" s="27">
        <f t="shared" si="632"/>
        <v>-504.13000000000011</v>
      </c>
      <c r="V169" s="27">
        <f t="shared" ref="V169:W169" si="670">V65</f>
        <v>-3208.5779999999995</v>
      </c>
      <c r="W169" s="27">
        <f t="shared" si="670"/>
        <v>-401.315</v>
      </c>
      <c r="X169" s="27">
        <f t="shared" si="634"/>
        <v>-2925.0650000000001</v>
      </c>
      <c r="Y169" s="27">
        <f t="shared" ref="Y169:AB169" si="671">Y65</f>
        <v>-824.94999999999982</v>
      </c>
      <c r="Z169" s="27">
        <f t="shared" si="671"/>
        <v>-3017.9579999999996</v>
      </c>
      <c r="AA169" s="27">
        <f t="shared" si="671"/>
        <v>-2342.0940000000001</v>
      </c>
      <c r="AB169" s="27">
        <f t="shared" si="671"/>
        <v>-5543.88</v>
      </c>
      <c r="AC169" s="27">
        <f t="shared" ref="AC169:AE169" si="672">AC65</f>
        <v>-2953.2439999999997</v>
      </c>
      <c r="AD169" s="27">
        <f t="shared" si="672"/>
        <v>-3683.6049999999996</v>
      </c>
      <c r="AE169" s="27">
        <f t="shared" si="672"/>
        <v>-3769.2930000000001</v>
      </c>
    </row>
    <row r="170" spans="2:31" ht="13.5" customHeight="1">
      <c r="B170" s="16" t="str">
        <f t="shared" si="628"/>
        <v>Disposals/ Acquistion, of subsidiaries, businesses</v>
      </c>
      <c r="C170" s="27">
        <f t="shared" si="628"/>
        <v>-19041.501</v>
      </c>
      <c r="D170" s="27">
        <f t="shared" ref="D170:E170" si="673">D66</f>
        <v>-5791.7179999999998</v>
      </c>
      <c r="E170" s="27">
        <f t="shared" si="673"/>
        <v>-36465.915000000001</v>
      </c>
      <c r="F170" s="27">
        <f t="shared" ref="F170:G170" si="674">F66</f>
        <v>-9086.8990000000013</v>
      </c>
      <c r="G170" s="27">
        <f t="shared" si="674"/>
        <v>-11209.682000000001</v>
      </c>
      <c r="H170" s="27">
        <f t="shared" ref="H170:I170" si="675">H66</f>
        <v>-10975.902</v>
      </c>
      <c r="I170" s="27">
        <f t="shared" si="675"/>
        <v>-16779.080000000002</v>
      </c>
      <c r="J170" s="120"/>
      <c r="K170" s="27">
        <f t="shared" si="632"/>
        <v>0</v>
      </c>
      <c r="L170" s="27">
        <f t="shared" si="632"/>
        <v>0</v>
      </c>
      <c r="M170" s="27">
        <f t="shared" si="632"/>
        <v>-5791.7179999999998</v>
      </c>
      <c r="N170" s="27">
        <f t="shared" si="632"/>
        <v>0</v>
      </c>
      <c r="O170" s="27">
        <f t="shared" si="632"/>
        <v>0</v>
      </c>
      <c r="P170" s="27">
        <f t="shared" si="632"/>
        <v>0</v>
      </c>
      <c r="Q170" s="27">
        <f t="shared" si="632"/>
        <v>0</v>
      </c>
      <c r="R170" s="27">
        <f t="shared" si="632"/>
        <v>-36465.915000000001</v>
      </c>
      <c r="S170" s="27">
        <f t="shared" si="632"/>
        <v>-2000</v>
      </c>
      <c r="T170" s="27">
        <f t="shared" si="633"/>
        <v>-4176.8459999999995</v>
      </c>
      <c r="U170" s="27">
        <f t="shared" si="632"/>
        <v>-4369.5590000000011</v>
      </c>
      <c r="V170" s="27">
        <f t="shared" ref="V170:W170" si="676">V66</f>
        <v>1459.5059999999994</v>
      </c>
      <c r="W170" s="27">
        <f t="shared" si="676"/>
        <v>0</v>
      </c>
      <c r="X170" s="27">
        <f t="shared" si="634"/>
        <v>-11158.097</v>
      </c>
      <c r="Y170" s="27">
        <f t="shared" ref="Y170:AB170" si="677">Y66</f>
        <v>-45.759000000000015</v>
      </c>
      <c r="Z170" s="27">
        <f t="shared" si="677"/>
        <v>-5.8260000000009313</v>
      </c>
      <c r="AA170" s="27">
        <f t="shared" si="677"/>
        <v>0</v>
      </c>
      <c r="AB170" s="27">
        <f t="shared" si="677"/>
        <v>0</v>
      </c>
      <c r="AC170" s="27">
        <f t="shared" ref="AC170:AE170" si="678">AC66</f>
        <v>-7008.5519999999997</v>
      </c>
      <c r="AD170" s="27">
        <f t="shared" si="678"/>
        <v>-3967.3500000000004</v>
      </c>
      <c r="AE170" s="27">
        <f t="shared" si="678"/>
        <v>-5803.1779999999999</v>
      </c>
    </row>
    <row r="171" spans="2:31" s="19" customFormat="1" ht="13.5" customHeight="1" thickBot="1">
      <c r="B171" s="25" t="str">
        <f t="shared" si="628"/>
        <v xml:space="preserve">Free cash flow </v>
      </c>
      <c r="C171" s="24">
        <f t="shared" si="628"/>
        <v>951337.20600000001</v>
      </c>
      <c r="D171" s="24">
        <f t="shared" ref="D171:E171" si="679">D67</f>
        <v>1250199.9649999996</v>
      </c>
      <c r="E171" s="24">
        <f t="shared" si="679"/>
        <v>851245.2509999997</v>
      </c>
      <c r="F171" s="24">
        <f t="shared" ref="F171:G171" si="680">F67</f>
        <v>1222500.6169999999</v>
      </c>
      <c r="G171" s="24">
        <f t="shared" si="680"/>
        <v>1370357.5020000001</v>
      </c>
      <c r="H171" s="24">
        <f t="shared" ref="H171:I171" si="681">H67</f>
        <v>1272067.21</v>
      </c>
      <c r="I171" s="24">
        <f t="shared" si="681"/>
        <v>1281517.6079999998</v>
      </c>
      <c r="J171" s="26"/>
      <c r="K171" s="24">
        <f t="shared" si="632"/>
        <v>408722.44400000002</v>
      </c>
      <c r="L171" s="24">
        <f t="shared" si="632"/>
        <v>198997.59899999996</v>
      </c>
      <c r="M171" s="24">
        <f t="shared" si="632"/>
        <v>271931.05000000028</v>
      </c>
      <c r="N171" s="24">
        <f t="shared" si="632"/>
        <v>370548.87199999968</v>
      </c>
      <c r="O171" s="24">
        <f t="shared" si="632"/>
        <v>388053.51199999993</v>
      </c>
      <c r="P171" s="24">
        <f t="shared" si="632"/>
        <v>85694.111000000135</v>
      </c>
      <c r="Q171" s="24">
        <f t="shared" si="632"/>
        <v>137053.43800000029</v>
      </c>
      <c r="R171" s="24">
        <f t="shared" si="632"/>
        <v>240444.18999999951</v>
      </c>
      <c r="S171" s="24">
        <f t="shared" si="632"/>
        <v>417685.31099999999</v>
      </c>
      <c r="T171" s="24">
        <f t="shared" si="633"/>
        <v>244644.81299999991</v>
      </c>
      <c r="U171" s="24">
        <f t="shared" si="632"/>
        <v>269246.66399999999</v>
      </c>
      <c r="V171" s="24">
        <f t="shared" ref="V171:W171" si="682">V67</f>
        <v>290923.82900000009</v>
      </c>
      <c r="W171" s="24">
        <f t="shared" si="682"/>
        <v>433728.30500000017</v>
      </c>
      <c r="X171" s="24">
        <f t="shared" si="634"/>
        <v>136621.74599999987</v>
      </c>
      <c r="Y171" s="24">
        <f t="shared" ref="Y171:AB171" si="683">Y67</f>
        <v>361440.9319999998</v>
      </c>
      <c r="Z171" s="24">
        <f t="shared" si="683"/>
        <v>438566.51900000009</v>
      </c>
      <c r="AA171" s="24">
        <f t="shared" si="683"/>
        <v>501010.21500000008</v>
      </c>
      <c r="AB171" s="24">
        <f t="shared" si="683"/>
        <v>139125.28500000009</v>
      </c>
      <c r="AC171" s="24">
        <f t="shared" ref="AC171:AE171" si="684">AC67</f>
        <v>208397.65599999958</v>
      </c>
      <c r="AD171" s="24">
        <f t="shared" si="684"/>
        <v>423534.05400000035</v>
      </c>
      <c r="AE171" s="24">
        <f t="shared" si="684"/>
        <v>510460.61299999995</v>
      </c>
    </row>
    <row r="172" spans="2:31" s="19" customFormat="1" ht="13.5" customHeight="1" thickTop="1">
      <c r="B172" s="16" t="str">
        <f t="shared" si="628"/>
        <v xml:space="preserve">Other Investing </v>
      </c>
      <c r="C172" s="27">
        <f t="shared" si="628"/>
        <v>890.87</v>
      </c>
      <c r="D172" s="27">
        <f t="shared" ref="D172:E172" si="685">D68</f>
        <v>-1494.1070000000002</v>
      </c>
      <c r="E172" s="27">
        <f t="shared" si="685"/>
        <v>30.021000000000001</v>
      </c>
      <c r="F172" s="27">
        <f t="shared" ref="F172:G172" si="686">F68</f>
        <v>71.381000000000085</v>
      </c>
      <c r="G172" s="27">
        <f t="shared" si="686"/>
        <v>572.25400000000002</v>
      </c>
      <c r="H172" s="27">
        <f t="shared" ref="H172:I172" si="687">H68</f>
        <v>641.45800000000008</v>
      </c>
      <c r="I172" s="27">
        <f t="shared" si="687"/>
        <v>668.63800000000003</v>
      </c>
      <c r="J172" s="120"/>
      <c r="K172" s="27">
        <f t="shared" si="632"/>
        <v>0</v>
      </c>
      <c r="L172" s="27">
        <f t="shared" si="632"/>
        <v>25.228999999999999</v>
      </c>
      <c r="M172" s="27">
        <f t="shared" si="632"/>
        <v>31.494999999999997</v>
      </c>
      <c r="N172" s="27">
        <f t="shared" si="632"/>
        <v>-1550.8310000000001</v>
      </c>
      <c r="O172" s="27">
        <f t="shared" si="632"/>
        <v>2253.7689999999998</v>
      </c>
      <c r="P172" s="27">
        <f t="shared" si="632"/>
        <v>-29640.05</v>
      </c>
      <c r="Q172" s="27">
        <f t="shared" si="632"/>
        <v>-2042.5540000000001</v>
      </c>
      <c r="R172" s="27">
        <f t="shared" si="632"/>
        <v>29458.856</v>
      </c>
      <c r="S172" s="27">
        <f t="shared" si="632"/>
        <v>0</v>
      </c>
      <c r="T172" s="27">
        <f t="shared" si="633"/>
        <v>-553.20800000000008</v>
      </c>
      <c r="U172" s="27">
        <f t="shared" si="632"/>
        <v>-1192.5759999999998</v>
      </c>
      <c r="V172" s="27">
        <f t="shared" ref="V172:W172" si="688">V68</f>
        <v>1817.165</v>
      </c>
      <c r="W172" s="27">
        <f t="shared" si="688"/>
        <v>-9214.3160000000007</v>
      </c>
      <c r="X172" s="27">
        <f t="shared" si="634"/>
        <v>9214.3160000000007</v>
      </c>
      <c r="Y172" s="27">
        <f t="shared" ref="Y172:AB172" si="689">Y68</f>
        <v>391.45499999999993</v>
      </c>
      <c r="Z172" s="27">
        <f t="shared" si="689"/>
        <v>180.79900000000009</v>
      </c>
      <c r="AA172" s="27">
        <f t="shared" si="689"/>
        <v>0</v>
      </c>
      <c r="AB172" s="27">
        <f t="shared" si="689"/>
        <v>934.68700000000001</v>
      </c>
      <c r="AC172" s="27">
        <f t="shared" ref="AC172:AE172" si="690">AC68</f>
        <v>30.121999999999957</v>
      </c>
      <c r="AD172" s="27">
        <f t="shared" si="690"/>
        <v>-323.35099999999989</v>
      </c>
      <c r="AE172" s="27">
        <f t="shared" si="690"/>
        <v>27.18</v>
      </c>
    </row>
    <row r="173" spans="2:31" ht="13.5" customHeight="1">
      <c r="B173" s="16" t="str">
        <f t="shared" si="628"/>
        <v>Equity Issuance</v>
      </c>
      <c r="C173" s="27">
        <f t="shared" si="628"/>
        <v>0</v>
      </c>
      <c r="D173" s="27">
        <f t="shared" ref="D173:E173" si="691">D69</f>
        <v>0</v>
      </c>
      <c r="E173" s="27">
        <f t="shared" si="691"/>
        <v>1648.1210000000001</v>
      </c>
      <c r="F173" s="27">
        <f t="shared" ref="F173:G173" si="692">F69</f>
        <v>2768.7</v>
      </c>
      <c r="G173" s="27">
        <f t="shared" si="692"/>
        <v>2746.1840000000002</v>
      </c>
      <c r="H173" s="27">
        <f t="shared" ref="H173:I173" si="693">H69</f>
        <v>230.13499999999999</v>
      </c>
      <c r="I173" s="27">
        <f t="shared" si="693"/>
        <v>3310.4209999999998</v>
      </c>
      <c r="J173" s="120"/>
      <c r="K173" s="27">
        <f t="shared" si="632"/>
        <v>0</v>
      </c>
      <c r="L173" s="27">
        <f t="shared" si="632"/>
        <v>0</v>
      </c>
      <c r="M173" s="27">
        <f t="shared" si="632"/>
        <v>0</v>
      </c>
      <c r="N173" s="27">
        <f t="shared" si="632"/>
        <v>0</v>
      </c>
      <c r="O173" s="27">
        <f t="shared" si="632"/>
        <v>0</v>
      </c>
      <c r="P173" s="27">
        <f t="shared" si="632"/>
        <v>1648.1210000000001</v>
      </c>
      <c r="Q173" s="27">
        <f t="shared" si="632"/>
        <v>0</v>
      </c>
      <c r="R173" s="27">
        <f t="shared" si="632"/>
        <v>0</v>
      </c>
      <c r="S173" s="27">
        <f t="shared" si="632"/>
        <v>1355.5530000000001</v>
      </c>
      <c r="T173" s="27">
        <f t="shared" si="633"/>
        <v>1413.1469999999997</v>
      </c>
      <c r="U173" s="27">
        <f t="shared" si="632"/>
        <v>0</v>
      </c>
      <c r="V173" s="27">
        <f t="shared" ref="V173:W173" si="694">V69</f>
        <v>0</v>
      </c>
      <c r="W173" s="27">
        <f t="shared" si="694"/>
        <v>944.43399999999997</v>
      </c>
      <c r="X173" s="27">
        <f t="shared" si="634"/>
        <v>419.1690000000001</v>
      </c>
      <c r="Y173" s="27">
        <f t="shared" ref="Y173:AB173" si="695">Y69</f>
        <v>453.61299999999983</v>
      </c>
      <c r="Z173" s="27">
        <f t="shared" si="695"/>
        <v>928.9680000000003</v>
      </c>
      <c r="AA173" s="27">
        <f t="shared" si="695"/>
        <v>230.13499999999999</v>
      </c>
      <c r="AB173" s="27">
        <f t="shared" si="695"/>
        <v>0</v>
      </c>
      <c r="AC173" s="27">
        <f t="shared" ref="AC173:AE173" si="696">AC69</f>
        <v>0</v>
      </c>
      <c r="AD173" s="27">
        <f t="shared" si="696"/>
        <v>0</v>
      </c>
      <c r="AE173" s="27">
        <f t="shared" si="696"/>
        <v>3310.4209999999998</v>
      </c>
    </row>
    <row r="174" spans="2:31" ht="13.5" customHeight="1">
      <c r="B174" s="16" t="str">
        <f t="shared" si="628"/>
        <v>Dividends</v>
      </c>
      <c r="C174" s="27">
        <f t="shared" si="628"/>
        <v>-102135.64599999999</v>
      </c>
      <c r="D174" s="27">
        <f t="shared" ref="D174:E174" si="697">D70</f>
        <v>-274136.47200000001</v>
      </c>
      <c r="E174" s="27">
        <f t="shared" si="697"/>
        <v>-158320.848</v>
      </c>
      <c r="F174" s="27">
        <f t="shared" ref="F174:G174" si="698">F70</f>
        <v>-65583.415999999997</v>
      </c>
      <c r="G174" s="27">
        <f t="shared" si="698"/>
        <v>-81797.392000000007</v>
      </c>
      <c r="H174" s="27">
        <f t="shared" ref="H174:I174" si="699">H70</f>
        <v>-78322.009000000005</v>
      </c>
      <c r="I174" s="27">
        <f t="shared" si="699"/>
        <v>-78292.831000000006</v>
      </c>
      <c r="J174" s="120"/>
      <c r="K174" s="27">
        <f t="shared" si="632"/>
        <v>-772.16499999999996</v>
      </c>
      <c r="L174" s="27">
        <f t="shared" si="632"/>
        <v>-56187.968000000001</v>
      </c>
      <c r="M174" s="27">
        <f t="shared" si="632"/>
        <v>0</v>
      </c>
      <c r="N174" s="27">
        <f t="shared" si="632"/>
        <v>-217176.33900000001</v>
      </c>
      <c r="O174" s="27">
        <f t="shared" si="632"/>
        <v>-2396.3270000000002</v>
      </c>
      <c r="P174" s="27">
        <f t="shared" si="632"/>
        <v>-111420.201</v>
      </c>
      <c r="Q174" s="27">
        <f t="shared" si="632"/>
        <v>220.99100000000908</v>
      </c>
      <c r="R174" s="27">
        <f t="shared" si="632"/>
        <v>-44725.311000000002</v>
      </c>
      <c r="S174" s="27">
        <f t="shared" si="632"/>
        <v>-3319.8270000000002</v>
      </c>
      <c r="T174" s="27">
        <f t="shared" si="633"/>
        <v>-32985.458000000006</v>
      </c>
      <c r="U174" s="27">
        <f t="shared" si="632"/>
        <v>0</v>
      </c>
      <c r="V174" s="27">
        <f t="shared" ref="V174:W174" si="700">V70</f>
        <v>-29278.130999999994</v>
      </c>
      <c r="W174" s="27">
        <f t="shared" si="700"/>
        <v>0</v>
      </c>
      <c r="X174" s="27">
        <f t="shared" si="634"/>
        <v>-41753.925000000003</v>
      </c>
      <c r="Y174" s="27">
        <f t="shared" ref="Y174:AB174" si="701">Y70</f>
        <v>0</v>
      </c>
      <c r="Z174" s="27">
        <f t="shared" si="701"/>
        <v>-40043.467000000004</v>
      </c>
      <c r="AA174" s="27">
        <f t="shared" si="701"/>
        <v>-29.178000000000001</v>
      </c>
      <c r="AB174" s="27">
        <f t="shared" si="701"/>
        <v>-48143.351000000002</v>
      </c>
      <c r="AC174" s="27">
        <f t="shared" ref="AC174:AE174" si="702">AC70</f>
        <v>-1502.4329999999973</v>
      </c>
      <c r="AD174" s="27">
        <f t="shared" si="702"/>
        <v>-28647.047000000006</v>
      </c>
      <c r="AE174" s="27">
        <f t="shared" si="702"/>
        <v>0</v>
      </c>
    </row>
    <row r="175" spans="2:31" ht="13.5" customHeight="1">
      <c r="B175" s="16" t="str">
        <f t="shared" si="628"/>
        <v>Net Change in debt</v>
      </c>
      <c r="C175" s="27">
        <f t="shared" si="628"/>
        <v>173380.19999999998</v>
      </c>
      <c r="D175" s="27">
        <f t="shared" ref="D175:E175" si="703">D71</f>
        <v>54174.942000000003</v>
      </c>
      <c r="E175" s="27">
        <f t="shared" si="703"/>
        <v>703771.21</v>
      </c>
      <c r="F175" s="27">
        <f t="shared" ref="F175:G175" si="704">F71</f>
        <v>-82273.053999999989</v>
      </c>
      <c r="G175" s="27">
        <f t="shared" si="704"/>
        <v>-37677.565999999999</v>
      </c>
      <c r="H175" s="27">
        <f t="shared" ref="H175:I175" si="705">H71</f>
        <v>-132124.69099999996</v>
      </c>
      <c r="I175" s="27">
        <f t="shared" si="705"/>
        <v>-168632.46599999999</v>
      </c>
      <c r="J175" s="120"/>
      <c r="K175" s="27">
        <f t="shared" si="632"/>
        <v>-1398.7989999999998</v>
      </c>
      <c r="L175" s="27">
        <f t="shared" si="632"/>
        <v>-27188.011000000002</v>
      </c>
      <c r="M175" s="27">
        <f t="shared" si="632"/>
        <v>-1355.2939999999944</v>
      </c>
      <c r="N175" s="27">
        <f t="shared" si="632"/>
        <v>84117.046000000002</v>
      </c>
      <c r="O175" s="27">
        <f t="shared" si="632"/>
        <v>489436.16200000001</v>
      </c>
      <c r="P175" s="27">
        <f t="shared" si="632"/>
        <v>65717.10400000005</v>
      </c>
      <c r="Q175" s="27">
        <f t="shared" si="632"/>
        <v>79691.437999999966</v>
      </c>
      <c r="R175" s="27">
        <f t="shared" si="632"/>
        <v>68926.505999999936</v>
      </c>
      <c r="S175" s="27">
        <f t="shared" si="632"/>
        <v>-39826.366999999998</v>
      </c>
      <c r="T175" s="27">
        <f t="shared" si="633"/>
        <v>27557.551999999996</v>
      </c>
      <c r="U175" s="27">
        <f t="shared" si="632"/>
        <v>-39465.881000000001</v>
      </c>
      <c r="V175" s="27">
        <f t="shared" ref="V175:W175" si="706">V71</f>
        <v>-30538.357999999986</v>
      </c>
      <c r="W175" s="27">
        <f t="shared" si="706"/>
        <v>-6645.1769999999979</v>
      </c>
      <c r="X175" s="27">
        <f t="shared" si="634"/>
        <v>37911.472999999991</v>
      </c>
      <c r="Y175" s="27">
        <f t="shared" ref="Y175:AB175" si="707">Y71</f>
        <v>-18527.719999999994</v>
      </c>
      <c r="Z175" s="27">
        <f t="shared" si="707"/>
        <v>-50416.142</v>
      </c>
      <c r="AA175" s="27">
        <f t="shared" si="707"/>
        <v>-7910.2180000000008</v>
      </c>
      <c r="AB175" s="27">
        <f t="shared" si="707"/>
        <v>-130682.80200000003</v>
      </c>
      <c r="AC175" s="27">
        <f t="shared" ref="AC175:AE175" si="708">AC71</f>
        <v>10656.955000000016</v>
      </c>
      <c r="AD175" s="27">
        <f t="shared" si="708"/>
        <v>-4188.6259999999602</v>
      </c>
      <c r="AE175" s="27">
        <f t="shared" si="708"/>
        <v>-44417.993000000002</v>
      </c>
    </row>
    <row r="176" spans="2:31" ht="13.5" customHeight="1">
      <c r="B176" s="16" t="str">
        <f t="shared" si="628"/>
        <v>Other financing activities</v>
      </c>
      <c r="C176" s="27">
        <f t="shared" si="628"/>
        <v>-6494.9990000000007</v>
      </c>
      <c r="D176" s="27">
        <f t="shared" ref="D176:E176" si="709">D72</f>
        <v>-13682.325000000003</v>
      </c>
      <c r="E176" s="27">
        <f t="shared" si="709"/>
        <v>-9996.5399999999991</v>
      </c>
      <c r="F176" s="27">
        <f t="shared" ref="F176:G176" si="710">F72</f>
        <v>27051.595000000001</v>
      </c>
      <c r="G176" s="27">
        <f t="shared" si="710"/>
        <v>-8307.0000000000018</v>
      </c>
      <c r="H176" s="27">
        <f t="shared" ref="H176:I176" si="711">H72</f>
        <v>3637.15</v>
      </c>
      <c r="I176" s="27">
        <f t="shared" si="711"/>
        <v>5646.6090000000004</v>
      </c>
      <c r="J176" s="120"/>
      <c r="K176" s="27">
        <f t="shared" si="632"/>
        <v>-1532.1570000000002</v>
      </c>
      <c r="L176" s="27">
        <f t="shared" si="632"/>
        <v>-4746.3109999999997</v>
      </c>
      <c r="M176" s="27">
        <f t="shared" si="632"/>
        <v>-2046.2420000000029</v>
      </c>
      <c r="N176" s="27">
        <f t="shared" si="632"/>
        <v>-5357.6149999999998</v>
      </c>
      <c r="O176" s="27">
        <f t="shared" si="632"/>
        <v>-2121.527</v>
      </c>
      <c r="P176" s="27">
        <f t="shared" si="632"/>
        <v>-2585.7870000000003</v>
      </c>
      <c r="Q176" s="27">
        <f t="shared" si="632"/>
        <v>-2645.2549999999992</v>
      </c>
      <c r="R176" s="27">
        <f t="shared" si="632"/>
        <v>-2643.9709999999995</v>
      </c>
      <c r="S176" s="27">
        <f t="shared" si="632"/>
        <v>-5745.8240000000005</v>
      </c>
      <c r="T176" s="27">
        <f t="shared" si="633"/>
        <v>11681.536</v>
      </c>
      <c r="U176" s="27">
        <f t="shared" si="632"/>
        <v>20405.399000000001</v>
      </c>
      <c r="V176" s="27">
        <f t="shared" ref="V176:W176" si="712">V72</f>
        <v>710.48400000000038</v>
      </c>
      <c r="W176" s="27">
        <f t="shared" si="712"/>
        <v>-34370.866000000002</v>
      </c>
      <c r="X176" s="27">
        <f t="shared" si="634"/>
        <v>-951.03100000000268</v>
      </c>
      <c r="Y176" s="27">
        <f t="shared" ref="Y176:AB176" si="713">Y72</f>
        <v>-4655.7909999999974</v>
      </c>
      <c r="Z176" s="27">
        <f t="shared" si="713"/>
        <v>31670.688000000002</v>
      </c>
      <c r="AA176" s="27">
        <f t="shared" si="713"/>
        <v>-2449.5329999999999</v>
      </c>
      <c r="AB176" s="27">
        <f t="shared" si="713"/>
        <v>-50.606999999999971</v>
      </c>
      <c r="AC176" s="27">
        <f t="shared" ref="AC176:AE176" si="714">AC72</f>
        <v>6137.29</v>
      </c>
      <c r="AD176" s="27">
        <f t="shared" si="714"/>
        <v>0</v>
      </c>
      <c r="AE176" s="27">
        <f t="shared" si="714"/>
        <v>-440.07400000000001</v>
      </c>
    </row>
    <row r="177" spans="2:31" s="19" customFormat="1" ht="13.5" customHeight="1" thickBot="1">
      <c r="B177" s="25" t="str">
        <f t="shared" si="628"/>
        <v>Cash flow after financing activities</v>
      </c>
      <c r="C177" s="24">
        <f t="shared" si="628"/>
        <v>1016977.6310000001</v>
      </c>
      <c r="D177" s="24">
        <f t="shared" ref="D177:E177" si="715">D73</f>
        <v>1015062.0029999996</v>
      </c>
      <c r="E177" s="24">
        <f t="shared" si="715"/>
        <v>1388377.2149999996</v>
      </c>
      <c r="F177" s="24">
        <f t="shared" ref="F177:G177" si="716">F73</f>
        <v>1104535.8229999999</v>
      </c>
      <c r="G177" s="24">
        <f t="shared" si="716"/>
        <v>1245893.9819999998</v>
      </c>
      <c r="H177" s="24">
        <f t="shared" ref="H177:I177" si="717">H73</f>
        <v>1066129.253</v>
      </c>
      <c r="I177" s="24">
        <f t="shared" si="717"/>
        <v>1044217.9789999999</v>
      </c>
      <c r="J177" s="26"/>
      <c r="K177" s="24">
        <f t="shared" si="632"/>
        <v>405019.32300000003</v>
      </c>
      <c r="L177" s="24">
        <f t="shared" si="632"/>
        <v>110900.53799999996</v>
      </c>
      <c r="M177" s="24">
        <f t="shared" si="632"/>
        <v>268561.00900000025</v>
      </c>
      <c r="N177" s="24">
        <f t="shared" si="632"/>
        <v>230581.13299999968</v>
      </c>
      <c r="O177" s="24">
        <f t="shared" si="632"/>
        <v>875225.58899999992</v>
      </c>
      <c r="P177" s="24">
        <f t="shared" si="632"/>
        <v>9413.2980000001808</v>
      </c>
      <c r="Q177" s="24">
        <f t="shared" si="632"/>
        <v>212278.05800000025</v>
      </c>
      <c r="R177" s="24">
        <f t="shared" si="632"/>
        <v>291460.26999999944</v>
      </c>
      <c r="S177" s="24">
        <f t="shared" si="632"/>
        <v>370148.84600000002</v>
      </c>
      <c r="T177" s="24">
        <f t="shared" si="633"/>
        <v>251758.38199999987</v>
      </c>
      <c r="U177" s="24">
        <f t="shared" si="632"/>
        <v>248993.606</v>
      </c>
      <c r="V177" s="24">
        <f t="shared" ref="V177:W177" si="718">V73</f>
        <v>233634.98900000009</v>
      </c>
      <c r="W177" s="24">
        <f t="shared" si="718"/>
        <v>384442.38000000018</v>
      </c>
      <c r="X177" s="24">
        <f t="shared" si="634"/>
        <v>141461.74799999985</v>
      </c>
      <c r="Y177" s="24">
        <f t="shared" ref="Y177:AB177" si="719">Y73</f>
        <v>339102.48899999983</v>
      </c>
      <c r="Z177" s="24">
        <f t="shared" si="719"/>
        <v>380887.36500000011</v>
      </c>
      <c r="AA177" s="24">
        <f t="shared" si="719"/>
        <v>490851.42100000009</v>
      </c>
      <c r="AB177" s="24">
        <f t="shared" si="719"/>
        <v>-38816.787999999928</v>
      </c>
      <c r="AC177" s="24">
        <f t="shared" ref="AC177:AE177" si="720">AC73</f>
        <v>223719.58999999962</v>
      </c>
      <c r="AD177" s="24">
        <f t="shared" si="720"/>
        <v>390375.03000000038</v>
      </c>
      <c r="AE177" s="24">
        <f t="shared" si="720"/>
        <v>468940.14699999988</v>
      </c>
    </row>
    <row r="178" spans="2:31" s="19" customFormat="1" ht="13.5" customHeight="1" thickTop="1">
      <c r="B178" s="16" t="str">
        <f t="shared" si="628"/>
        <v>Balancing figure</v>
      </c>
      <c r="C178" s="27">
        <f t="shared" si="628"/>
        <v>-812103.71000000008</v>
      </c>
      <c r="D178" s="27">
        <f t="shared" ref="D178:E178" si="721">D74</f>
        <v>-1134342.8179999995</v>
      </c>
      <c r="E178" s="27">
        <f t="shared" si="721"/>
        <v>-1041794.9149999996</v>
      </c>
      <c r="F178" s="27">
        <f t="shared" ref="F178:G178" si="722">F74</f>
        <v>-1065706.4079999998</v>
      </c>
      <c r="G178" s="27">
        <f t="shared" si="722"/>
        <v>-1201707.2799999998</v>
      </c>
      <c r="H178" s="27">
        <f t="shared" ref="H178:I178" si="723">H74</f>
        <v>-1197958.6030000001</v>
      </c>
      <c r="I178" s="27">
        <f t="shared" si="723"/>
        <v>-1183296.6039999998</v>
      </c>
      <c r="J178" s="120"/>
      <c r="K178" s="27">
        <f t="shared" si="632"/>
        <v>-327948.71500000003</v>
      </c>
      <c r="L178" s="27">
        <f t="shared" si="632"/>
        <v>-198894.57299999992</v>
      </c>
      <c r="M178" s="27">
        <f t="shared" si="632"/>
        <v>-262947.21500000032</v>
      </c>
      <c r="N178" s="27">
        <f t="shared" si="632"/>
        <v>-344552.31499999925</v>
      </c>
      <c r="O178" s="27">
        <f t="shared" si="632"/>
        <v>-364661.73099999991</v>
      </c>
      <c r="P178" s="27">
        <f t="shared" si="632"/>
        <v>-186357.42000000016</v>
      </c>
      <c r="Q178" s="27">
        <f t="shared" si="632"/>
        <v>-227392.45600000024</v>
      </c>
      <c r="R178" s="27">
        <f t="shared" si="632"/>
        <v>-263383.30799999926</v>
      </c>
      <c r="S178" s="27">
        <f t="shared" si="632"/>
        <v>-348804.05499999999</v>
      </c>
      <c r="T178" s="27">
        <f t="shared" si="633"/>
        <v>-225793.18199999986</v>
      </c>
      <c r="U178" s="27">
        <f t="shared" si="632"/>
        <v>-260603.27100000007</v>
      </c>
      <c r="V178" s="27">
        <f t="shared" ref="V178:W178" si="724">V74</f>
        <v>-230505.89999999991</v>
      </c>
      <c r="W178" s="27">
        <f t="shared" si="724"/>
        <v>-357209.60500000016</v>
      </c>
      <c r="X178" s="27">
        <f t="shared" si="634"/>
        <v>-171730.2759999999</v>
      </c>
      <c r="Y178" s="27">
        <f t="shared" ref="Y178:AB178" si="725">Y74</f>
        <v>-347896.56999999983</v>
      </c>
      <c r="Z178" s="27">
        <f t="shared" si="725"/>
        <v>-324870.82899999991</v>
      </c>
      <c r="AA178" s="27">
        <f t="shared" si="725"/>
        <v>-398658.8710000001</v>
      </c>
      <c r="AB178" s="27">
        <f t="shared" si="725"/>
        <v>-209722.03400000004</v>
      </c>
      <c r="AC178" s="27">
        <f t="shared" ref="AC178:AE178" si="726">AC74</f>
        <v>-243871.37599999958</v>
      </c>
      <c r="AD178" s="27">
        <f t="shared" si="726"/>
        <v>-345706.32200000039</v>
      </c>
      <c r="AE178" s="27">
        <f t="shared" si="726"/>
        <v>-383996.87199999986</v>
      </c>
    </row>
    <row r="179" spans="2:31" ht="13.5" customHeight="1">
      <c r="B179" s="16" t="str">
        <f t="shared" si="628"/>
        <v xml:space="preserve">FX </v>
      </c>
      <c r="C179" s="27">
        <f t="shared" si="628"/>
        <v>-4854.1289999999999</v>
      </c>
      <c r="D179" s="27">
        <f t="shared" ref="D179:E179" si="727">D75</f>
        <v>-11540.075999999999</v>
      </c>
      <c r="E179" s="27">
        <f t="shared" si="727"/>
        <v>-15068.75</v>
      </c>
      <c r="F179" s="27">
        <f t="shared" ref="F179:G179" si="728">F75</f>
        <v>-17757.074000000001</v>
      </c>
      <c r="G179" s="27">
        <f t="shared" si="728"/>
        <v>44782.097000000002</v>
      </c>
      <c r="H179" s="27">
        <f t="shared" ref="H179:I179" si="729">H75</f>
        <v>-56117.536</v>
      </c>
      <c r="I179" s="27">
        <f t="shared" si="729"/>
        <v>-20787.048999999999</v>
      </c>
      <c r="J179" s="120"/>
      <c r="K179" s="27">
        <f t="shared" ref="K179:U180" si="730">K75</f>
        <v>-5788.317</v>
      </c>
      <c r="L179" s="27">
        <f t="shared" si="730"/>
        <v>-4682.2930000000006</v>
      </c>
      <c r="M179" s="27">
        <f t="shared" si="730"/>
        <v>1913.4580000000005</v>
      </c>
      <c r="N179" s="27">
        <f t="shared" si="730"/>
        <v>-2982.9239999999991</v>
      </c>
      <c r="O179" s="27">
        <f t="shared" si="730"/>
        <v>-34049.553999999996</v>
      </c>
      <c r="P179" s="27">
        <f t="shared" si="730"/>
        <v>78860.861999999994</v>
      </c>
      <c r="Q179" s="27">
        <f t="shared" si="730"/>
        <v>6599.4610000000102</v>
      </c>
      <c r="R179" s="27">
        <f t="shared" si="730"/>
        <v>-66479.519</v>
      </c>
      <c r="S179" s="27">
        <f t="shared" si="730"/>
        <v>-46116.968000000001</v>
      </c>
      <c r="T179" s="27">
        <f t="shared" si="633"/>
        <v>-7259.2520000000004</v>
      </c>
      <c r="U179" s="27">
        <f t="shared" si="730"/>
        <v>47120.12</v>
      </c>
      <c r="V179" s="27">
        <f t="shared" ref="V179:X180" si="731">V75</f>
        <v>-11500.974000000002</v>
      </c>
      <c r="W179" s="27">
        <f t="shared" si="731"/>
        <v>46999.449000000001</v>
      </c>
      <c r="X179" s="27">
        <f t="shared" si="731"/>
        <v>-25578.896000000001</v>
      </c>
      <c r="Y179" s="27">
        <f t="shared" ref="Y179:AB179" si="732">Y75</f>
        <v>-28465.731999999996</v>
      </c>
      <c r="Z179" s="27">
        <f t="shared" si="732"/>
        <v>51827.275999999998</v>
      </c>
      <c r="AA179" s="27">
        <f t="shared" si="732"/>
        <v>-27880.326000000001</v>
      </c>
      <c r="AB179" s="27">
        <f t="shared" si="732"/>
        <v>-11635.985000000001</v>
      </c>
      <c r="AC179" s="27">
        <f t="shared" ref="AC179:AE179" si="733">AC75</f>
        <v>7676.0660000000025</v>
      </c>
      <c r="AD179" s="27">
        <f t="shared" si="733"/>
        <v>-24277.291000000001</v>
      </c>
      <c r="AE179" s="27">
        <f t="shared" si="733"/>
        <v>7450.1610000000001</v>
      </c>
    </row>
    <row r="180" spans="2:31" s="19" customFormat="1" ht="13.5" customHeight="1" thickBot="1">
      <c r="B180" s="25" t="str">
        <f t="shared" si="628"/>
        <v xml:space="preserve">Net change in cash </v>
      </c>
      <c r="C180" s="24">
        <f t="shared" si="628"/>
        <v>200019.79199999999</v>
      </c>
      <c r="D180" s="24">
        <f t="shared" ref="D180:E180" si="734">D76</f>
        <v>-130820.89099999995</v>
      </c>
      <c r="E180" s="24">
        <f t="shared" si="734"/>
        <v>331513.55000000005</v>
      </c>
      <c r="F180" s="24">
        <f t="shared" ref="F180:G180" si="735">F76</f>
        <v>21072.341000000037</v>
      </c>
      <c r="G180" s="24">
        <f t="shared" si="735"/>
        <v>88968.799000000057</v>
      </c>
      <c r="H180" s="24">
        <f t="shared" ref="H180:I180" si="736">H76</f>
        <v>-187946.88600000009</v>
      </c>
      <c r="I180" s="24">
        <f t="shared" si="736"/>
        <v>-159865.67399999988</v>
      </c>
      <c r="J180" s="26"/>
      <c r="K180" s="24">
        <f t="shared" si="730"/>
        <v>71282.291000000012</v>
      </c>
      <c r="L180" s="24">
        <f t="shared" si="730"/>
        <v>-92676.327999999965</v>
      </c>
      <c r="M180" s="24">
        <f t="shared" si="730"/>
        <v>7527.2519999999367</v>
      </c>
      <c r="N180" s="24">
        <f t="shared" si="730"/>
        <v>-116954.10599999993</v>
      </c>
      <c r="O180" s="24">
        <f t="shared" si="730"/>
        <v>476514.304</v>
      </c>
      <c r="P180" s="24">
        <f t="shared" si="730"/>
        <v>-98083.25999999998</v>
      </c>
      <c r="Q180" s="24">
        <f t="shared" si="730"/>
        <v>-8514.9369999999763</v>
      </c>
      <c r="R180" s="24">
        <f t="shared" si="730"/>
        <v>-38402.556999999826</v>
      </c>
      <c r="S180" s="24">
        <f t="shared" si="730"/>
        <v>-24772.176999999974</v>
      </c>
      <c r="T180" s="24">
        <f t="shared" si="633"/>
        <v>18705.948000000011</v>
      </c>
      <c r="U180" s="24">
        <f t="shared" si="730"/>
        <v>35510.454999999936</v>
      </c>
      <c r="V180" s="24">
        <f t="shared" ref="V180:W180" si="737">V76</f>
        <v>-8371.8849999998201</v>
      </c>
      <c r="W180" s="24">
        <f t="shared" si="737"/>
        <v>74232.224000000017</v>
      </c>
      <c r="X180" s="24">
        <f t="shared" si="731"/>
        <v>-55847.42400000005</v>
      </c>
      <c r="Y180" s="24">
        <f t="shared" ref="Y180:AB180" si="738">Y76</f>
        <v>-37259.813000000002</v>
      </c>
      <c r="Z180" s="24">
        <f t="shared" si="738"/>
        <v>107843.81200000019</v>
      </c>
      <c r="AA180" s="24">
        <f t="shared" si="738"/>
        <v>64312.223999999987</v>
      </c>
      <c r="AB180" s="24">
        <f t="shared" si="738"/>
        <v>-260174.80699999997</v>
      </c>
      <c r="AC180" s="24">
        <f t="shared" ref="AC180:AE180" si="739">AC76</f>
        <v>-12475.719999999961</v>
      </c>
      <c r="AD180" s="24">
        <f t="shared" si="739"/>
        <v>20391.416999999983</v>
      </c>
      <c r="AE180" s="24">
        <f t="shared" si="739"/>
        <v>92393.436000000016</v>
      </c>
    </row>
    <row r="181" spans="2:31" ht="13.5" customHeight="1" thickTop="1">
      <c r="C181" s="23"/>
      <c r="D181" s="23"/>
      <c r="E181" s="23"/>
      <c r="F181" s="23"/>
      <c r="G181" s="23"/>
      <c r="H181" s="23"/>
      <c r="I181" s="23"/>
      <c r="J181" s="23"/>
      <c r="K181" s="23"/>
      <c r="L181" s="23"/>
      <c r="M181" s="23"/>
      <c r="N181" s="23"/>
      <c r="O181" s="23"/>
      <c r="P181" s="23"/>
      <c r="Q181" s="23"/>
      <c r="R181" s="23"/>
      <c r="S181" s="23"/>
      <c r="T181" s="23"/>
      <c r="U181" s="23"/>
      <c r="V181" s="23"/>
      <c r="W181" s="23"/>
      <c r="X181" s="23"/>
      <c r="Z181" s="23"/>
      <c r="AA181" s="23"/>
      <c r="AB181" s="23"/>
      <c r="AD181" s="23"/>
      <c r="AE181" s="23"/>
    </row>
    <row r="182" spans="2:31" s="19" customFormat="1" ht="13.5" customHeight="1">
      <c r="B182" s="19" t="str">
        <f>+B118</f>
        <v>Total debt</v>
      </c>
      <c r="C182" s="26">
        <f t="shared" ref="C182:C184" si="740">C118</f>
        <v>490457.49500000005</v>
      </c>
      <c r="D182" s="26">
        <f t="shared" ref="D182" si="741">D118</f>
        <v>573651.228</v>
      </c>
      <c r="E182" s="26">
        <f t="shared" ref="E182:F182" si="742">E118</f>
        <v>1372558.2679999999</v>
      </c>
      <c r="F182" s="26">
        <f t="shared" si="742"/>
        <v>1329262.4859999998</v>
      </c>
      <c r="G182" s="26">
        <f t="shared" ref="G182:H182" si="743">G118</f>
        <v>1414575.8769999999</v>
      </c>
      <c r="H182" s="26">
        <f t="shared" si="743"/>
        <v>1249994.639</v>
      </c>
      <c r="I182" s="26">
        <f t="shared" ref="I182" si="744">I118</f>
        <v>1223521.2449999999</v>
      </c>
      <c r="J182" s="26"/>
      <c r="K182" s="26">
        <f t="shared" ref="K182:N182" si="745">K118</f>
        <v>493336.77299999999</v>
      </c>
      <c r="L182" s="26">
        <f t="shared" si="745"/>
        <v>468168.34400000004</v>
      </c>
      <c r="M182" s="26">
        <f t="shared" si="745"/>
        <v>477789.87799999997</v>
      </c>
      <c r="N182" s="26">
        <f t="shared" si="745"/>
        <v>573651.228</v>
      </c>
      <c r="O182" s="26">
        <f t="shared" ref="O182:P182" si="746">O118</f>
        <v>1054817.6599999999</v>
      </c>
      <c r="P182" s="26">
        <f t="shared" si="746"/>
        <v>1244969.6159999999</v>
      </c>
      <c r="Q182" s="26">
        <f t="shared" ref="Q182:T182" si="747">Q118</f>
        <v>1351137.547</v>
      </c>
      <c r="R182" s="26">
        <f t="shared" si="747"/>
        <v>1372558.2679999999</v>
      </c>
      <c r="S182" s="26">
        <f t="shared" si="747"/>
        <v>1296566.5720000002</v>
      </c>
      <c r="T182" s="26">
        <f t="shared" si="747"/>
        <v>1341102.0190000001</v>
      </c>
      <c r="U182" s="26">
        <f t="shared" ref="U182:X182" si="748">U118</f>
        <v>1359090.96</v>
      </c>
      <c r="V182" s="26">
        <f t="shared" si="748"/>
        <v>1329262.4859999998</v>
      </c>
      <c r="W182" s="26">
        <f t="shared" si="748"/>
        <v>1390677.4810000001</v>
      </c>
      <c r="X182" s="26">
        <f t="shared" si="748"/>
        <v>1416806.892</v>
      </c>
      <c r="Y182" s="26">
        <f t="shared" ref="Y182:AB182" si="749">Y118</f>
        <v>1384728.4619999998</v>
      </c>
      <c r="Z182" s="26">
        <f t="shared" si="749"/>
        <v>1414575.8769999999</v>
      </c>
      <c r="AA182" s="26">
        <f t="shared" si="749"/>
        <v>1385159.054</v>
      </c>
      <c r="AB182" s="26">
        <f t="shared" si="749"/>
        <v>1236097.6370000001</v>
      </c>
      <c r="AC182" s="26">
        <f t="shared" ref="AC182:AE182" si="750">AC118</f>
        <v>1272023.7359999998</v>
      </c>
      <c r="AD182" s="26">
        <f t="shared" si="750"/>
        <v>1249994.639</v>
      </c>
      <c r="AE182" s="26">
        <f t="shared" si="750"/>
        <v>1223521.2449999999</v>
      </c>
    </row>
    <row r="183" spans="2:31" ht="13.5" customHeight="1">
      <c r="B183" s="16" t="str">
        <f>+B119</f>
        <v>Cash and cash equivalents</v>
      </c>
      <c r="C183" s="23">
        <f t="shared" si="740"/>
        <v>396389.016</v>
      </c>
      <c r="D183" s="23">
        <f t="shared" ref="D183" si="751">D119</f>
        <v>265568.125</v>
      </c>
      <c r="E183" s="23">
        <f t="shared" ref="E183:F183" si="752">E119</f>
        <v>597081.67500000005</v>
      </c>
      <c r="F183" s="23">
        <f t="shared" si="752"/>
        <v>618154.01599999995</v>
      </c>
      <c r="G183" s="23">
        <f t="shared" ref="G183:H183" si="753">G119</f>
        <v>707122.81499999994</v>
      </c>
      <c r="H183" s="23">
        <f t="shared" si="753"/>
        <v>519175.929</v>
      </c>
      <c r="I183" s="23">
        <f t="shared" ref="I183" si="754">I119</f>
        <v>611569.36499999999</v>
      </c>
      <c r="J183" s="23"/>
      <c r="K183" s="23">
        <f t="shared" ref="K183:N183" si="755">K119</f>
        <v>467671.30699999997</v>
      </c>
      <c r="L183" s="23">
        <f t="shared" si="755"/>
        <v>374994.97899999999</v>
      </c>
      <c r="M183" s="23">
        <f t="shared" si="755"/>
        <v>382522.23100000003</v>
      </c>
      <c r="N183" s="23">
        <f t="shared" si="755"/>
        <v>265568.125</v>
      </c>
      <c r="O183" s="23">
        <f t="shared" ref="O183:P183" si="756">O119</f>
        <v>742082.429</v>
      </c>
      <c r="P183" s="23">
        <f t="shared" si="756"/>
        <v>643999.16899999999</v>
      </c>
      <c r="Q183" s="23">
        <f t="shared" ref="Q183:T183" si="757">Q119</f>
        <v>635484.23199999996</v>
      </c>
      <c r="R183" s="23">
        <f t="shared" si="757"/>
        <v>597081.67500000005</v>
      </c>
      <c r="S183" s="23">
        <f t="shared" si="757"/>
        <v>572309.49800000002</v>
      </c>
      <c r="T183" s="23">
        <f t="shared" si="757"/>
        <v>591015.446</v>
      </c>
      <c r="U183" s="23">
        <f t="shared" ref="U183:X183" si="758">U119</f>
        <v>626525.90099999995</v>
      </c>
      <c r="V183" s="23">
        <f t="shared" si="758"/>
        <v>618154.01599999995</v>
      </c>
      <c r="W183" s="23">
        <f t="shared" si="758"/>
        <v>692386.24</v>
      </c>
      <c r="X183" s="23">
        <f t="shared" si="758"/>
        <v>636538.81599999999</v>
      </c>
      <c r="Y183" s="23">
        <f t="shared" ref="Y183:AB183" si="759">Y119</f>
        <v>599279.00300000003</v>
      </c>
      <c r="Z183" s="23">
        <f t="shared" si="759"/>
        <v>707122.81499999994</v>
      </c>
      <c r="AA183" s="23">
        <f t="shared" si="759"/>
        <v>771435.03899999999</v>
      </c>
      <c r="AB183" s="23">
        <f t="shared" si="759"/>
        <v>511260.23200000002</v>
      </c>
      <c r="AC183" s="23">
        <f t="shared" ref="AC183:AE183" si="760">AC119</f>
        <v>498784.51199999999</v>
      </c>
      <c r="AD183" s="23">
        <f t="shared" si="760"/>
        <v>519175.929</v>
      </c>
      <c r="AE183" s="23">
        <f t="shared" si="760"/>
        <v>611569.36499999999</v>
      </c>
    </row>
    <row r="184" spans="2:31" s="19" customFormat="1" ht="13.5" customHeight="1" thickBot="1">
      <c r="B184" s="25" t="str">
        <f>+B120</f>
        <v xml:space="preserve">Net debt </v>
      </c>
      <c r="C184" s="24">
        <f t="shared" si="740"/>
        <v>94068.47900000005</v>
      </c>
      <c r="D184" s="24">
        <f t="shared" ref="D184" si="761">D120</f>
        <v>308083.103</v>
      </c>
      <c r="E184" s="24">
        <f t="shared" ref="E184:F184" si="762">E120</f>
        <v>775476.59299999988</v>
      </c>
      <c r="F184" s="24">
        <f t="shared" si="762"/>
        <v>711108.46999999986</v>
      </c>
      <c r="G184" s="24">
        <f t="shared" ref="G184:H184" si="763">G120</f>
        <v>707453.06199999992</v>
      </c>
      <c r="H184" s="24">
        <f t="shared" si="763"/>
        <v>730818.71</v>
      </c>
      <c r="I184" s="24">
        <f t="shared" ref="I184" si="764">I120</f>
        <v>611951.87999999989</v>
      </c>
      <c r="J184" s="26"/>
      <c r="K184" s="24">
        <f t="shared" ref="K184:N184" si="765">K120</f>
        <v>25665.466000000015</v>
      </c>
      <c r="L184" s="24">
        <f t="shared" si="765"/>
        <v>93173.365000000049</v>
      </c>
      <c r="M184" s="24">
        <f t="shared" si="765"/>
        <v>95267.646999999939</v>
      </c>
      <c r="N184" s="24">
        <f t="shared" si="765"/>
        <v>308083.103</v>
      </c>
      <c r="O184" s="24">
        <f t="shared" ref="O184:P184" si="766">O120</f>
        <v>312735.23099999991</v>
      </c>
      <c r="P184" s="24">
        <f t="shared" si="766"/>
        <v>600970.44699999993</v>
      </c>
      <c r="Q184" s="24">
        <f t="shared" ref="Q184:T184" si="767">Q120</f>
        <v>715653.31500000006</v>
      </c>
      <c r="R184" s="24">
        <f t="shared" si="767"/>
        <v>775476.59299999988</v>
      </c>
      <c r="S184" s="24">
        <f t="shared" si="767"/>
        <v>724257.07400000014</v>
      </c>
      <c r="T184" s="24">
        <f t="shared" si="767"/>
        <v>750086.57300000009</v>
      </c>
      <c r="U184" s="24">
        <f t="shared" ref="U184:X184" si="768">U120</f>
        <v>732565.05900000001</v>
      </c>
      <c r="V184" s="24">
        <f t="shared" si="768"/>
        <v>711108.46999999986</v>
      </c>
      <c r="W184" s="24">
        <f t="shared" si="768"/>
        <v>698291.24100000015</v>
      </c>
      <c r="X184" s="24">
        <f t="shared" si="768"/>
        <v>780268.076</v>
      </c>
      <c r="Y184" s="24">
        <f t="shared" ref="Y184:AB184" si="769">Y120</f>
        <v>785449.4589999998</v>
      </c>
      <c r="Z184" s="24">
        <f t="shared" si="769"/>
        <v>707453.06199999992</v>
      </c>
      <c r="AA184" s="24">
        <f t="shared" si="769"/>
        <v>613724.01500000001</v>
      </c>
      <c r="AB184" s="24">
        <f t="shared" si="769"/>
        <v>724837.40500000003</v>
      </c>
      <c r="AC184" s="24">
        <f t="shared" ref="AC184:AE184" si="770">AC120</f>
        <v>773239.22399999981</v>
      </c>
      <c r="AD184" s="24">
        <f t="shared" si="770"/>
        <v>730818.71</v>
      </c>
      <c r="AE184" s="24">
        <f t="shared" si="770"/>
        <v>611951.87999999989</v>
      </c>
    </row>
    <row r="185" spans="2:31" ht="13.5" customHeight="1" thickTop="1">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row>
    <row r="186" spans="2:31" ht="13.5" customHeight="1">
      <c r="B186" s="19" t="str">
        <f t="shared" ref="B186:D186" si="771">B122</f>
        <v>Company reported net debt</v>
      </c>
      <c r="C186" s="42">
        <f t="shared" si="771"/>
        <v>94068.47900000005</v>
      </c>
      <c r="D186" s="42">
        <f t="shared" si="771"/>
        <v>308083.103</v>
      </c>
      <c r="E186" s="42">
        <f t="shared" ref="E186:F186" si="772">E122</f>
        <v>775476.59299999988</v>
      </c>
      <c r="F186" s="42">
        <f t="shared" si="772"/>
        <v>711108.46999999986</v>
      </c>
      <c r="G186" s="42">
        <f t="shared" ref="G186:H186" si="773">G122</f>
        <v>732545</v>
      </c>
      <c r="H186" s="42">
        <f t="shared" si="773"/>
        <v>762365</v>
      </c>
      <c r="I186" s="42">
        <f t="shared" ref="I186" si="774">I122</f>
        <v>635620</v>
      </c>
      <c r="J186" s="23"/>
      <c r="K186" s="42">
        <f t="shared" ref="K186:N186" si="775">K122</f>
        <v>25665.466000000015</v>
      </c>
      <c r="L186" s="42">
        <f t="shared" si="775"/>
        <v>93173.365000000049</v>
      </c>
      <c r="M186" s="42">
        <f t="shared" si="775"/>
        <v>95267.646999999939</v>
      </c>
      <c r="N186" s="42">
        <f t="shared" si="775"/>
        <v>308083.103</v>
      </c>
      <c r="O186" s="42">
        <f t="shared" ref="O186:P186" si="776">O122</f>
        <v>312735.23099999991</v>
      </c>
      <c r="P186" s="42">
        <f t="shared" si="776"/>
        <v>600970.44699999993</v>
      </c>
      <c r="Q186" s="42">
        <f t="shared" ref="Q186:T186" si="777">Q122</f>
        <v>715653.31500000006</v>
      </c>
      <c r="R186" s="42">
        <f t="shared" si="777"/>
        <v>775476.59299999988</v>
      </c>
      <c r="S186" s="42">
        <f t="shared" si="777"/>
        <v>724257.07400000014</v>
      </c>
      <c r="T186" s="42">
        <f t="shared" si="777"/>
        <v>750086.57300000009</v>
      </c>
      <c r="U186" s="42">
        <f t="shared" ref="U186:X186" si="778">U122</f>
        <v>732565.05900000001</v>
      </c>
      <c r="V186" s="42">
        <f t="shared" si="778"/>
        <v>711108.46999999986</v>
      </c>
      <c r="W186" s="42">
        <f t="shared" si="778"/>
        <v>698291.24100000015</v>
      </c>
      <c r="X186" s="42">
        <f t="shared" si="778"/>
        <v>780268.076</v>
      </c>
      <c r="Y186" s="42">
        <f t="shared" ref="Y186:AB186" si="779">Y122</f>
        <v>785449.4589999998</v>
      </c>
      <c r="Z186" s="42">
        <f t="shared" si="779"/>
        <v>732545</v>
      </c>
      <c r="AA186" s="42">
        <f t="shared" si="779"/>
        <v>613724.01500000001</v>
      </c>
      <c r="AB186" s="42">
        <f t="shared" si="779"/>
        <v>724837.40500000003</v>
      </c>
      <c r="AC186" s="42">
        <f t="shared" ref="AC186:AE186" si="780">AC122</f>
        <v>797799</v>
      </c>
      <c r="AD186" s="42">
        <f t="shared" si="780"/>
        <v>762365</v>
      </c>
      <c r="AE186" s="42">
        <f t="shared" si="780"/>
        <v>635620</v>
      </c>
    </row>
    <row r="187" spans="2:31" ht="13.5" customHeight="1">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row>
    <row r="188" spans="2:31" ht="13.5" customHeight="1">
      <c r="B188" s="19" t="str">
        <f>+B128</f>
        <v>Net Leverage excluding lease obligations</v>
      </c>
      <c r="C188" s="21">
        <f t="shared" ref="C188:C189" si="781">C128</f>
        <v>0.20894924587280964</v>
      </c>
      <c r="D188" s="21">
        <f t="shared" ref="D188:E188" si="782">D128</f>
        <v>0.6133105579889121</v>
      </c>
      <c r="E188" s="21">
        <f t="shared" si="782"/>
        <v>2.053619979997745</v>
      </c>
      <c r="F188" s="21">
        <f t="shared" ref="F188:G188" si="783">F128</f>
        <v>1.7656831339850365</v>
      </c>
      <c r="G188" s="21">
        <f t="shared" si="783"/>
        <v>1.5825007058656126</v>
      </c>
      <c r="H188" s="21">
        <f t="shared" ref="H188:I188" si="784">H128</f>
        <v>1.8045765555017845</v>
      </c>
      <c r="I188" s="21">
        <f t="shared" si="784"/>
        <v>1.475162646122792</v>
      </c>
      <c r="J188" s="21"/>
      <c r="K188" s="90"/>
      <c r="L188" s="90"/>
      <c r="M188" s="90"/>
      <c r="N188" s="21">
        <f t="shared" ref="N188" si="785">N128</f>
        <v>0.6133105579889121</v>
      </c>
      <c r="O188" s="21">
        <f t="shared" ref="O188:P188" si="786">O128</f>
        <v>0.6106240780444856</v>
      </c>
      <c r="P188" s="21">
        <f t="shared" si="786"/>
        <v>1.3166310394030785</v>
      </c>
      <c r="Q188" s="21">
        <f t="shared" ref="Q188:T188" si="787">Q128</f>
        <v>1.7250872157105315</v>
      </c>
      <c r="R188" s="21">
        <f t="shared" si="787"/>
        <v>2.053619979997745</v>
      </c>
      <c r="S188" s="21">
        <f t="shared" si="787"/>
        <v>1.9024485067575232</v>
      </c>
      <c r="T188" s="21">
        <f t="shared" si="787"/>
        <v>1.8945159690399815</v>
      </c>
      <c r="U188" s="21">
        <f t="shared" ref="U188:X188" si="788">U128</f>
        <v>1.7642970249483823</v>
      </c>
      <c r="V188" s="21">
        <f t="shared" si="788"/>
        <v>1.7656831339850365</v>
      </c>
      <c r="W188" s="21">
        <f t="shared" si="788"/>
        <v>1.7818845680943021</v>
      </c>
      <c r="X188" s="21">
        <f t="shared" si="788"/>
        <v>2.0501784768314204</v>
      </c>
      <c r="Y188" s="21">
        <f t="shared" ref="Y188:AB188" si="789">Y128</f>
        <v>2.1500906305469223</v>
      </c>
      <c r="Z188" s="21">
        <f t="shared" si="789"/>
        <v>1.5825007058656126</v>
      </c>
      <c r="AA188" s="21">
        <f t="shared" si="789"/>
        <v>1.3234692314567158</v>
      </c>
      <c r="AB188" s="21">
        <f t="shared" si="789"/>
        <v>1.6665393788805569</v>
      </c>
      <c r="AC188" s="21">
        <f t="shared" ref="AC188:AE188" si="790">AC128</f>
        <v>1.7694898042816165</v>
      </c>
      <c r="AD188" s="21">
        <f t="shared" si="790"/>
        <v>1.8045765555017845</v>
      </c>
      <c r="AE188" s="21">
        <f t="shared" si="790"/>
        <v>1.475162646122792</v>
      </c>
    </row>
    <row r="189" spans="2:31" ht="13.5" customHeight="1">
      <c r="B189" s="16" t="str">
        <f>+B129</f>
        <v>Gross Leverage  excluding lease obligations</v>
      </c>
      <c r="C189" s="22">
        <f t="shared" si="781"/>
        <v>1.5462722621321829</v>
      </c>
      <c r="D189" s="22">
        <f t="shared" ref="D189:E189" si="791">D129</f>
        <v>1.2100960960714242</v>
      </c>
      <c r="E189" s="22">
        <f t="shared" si="791"/>
        <v>3.7217783592394134</v>
      </c>
      <c r="F189" s="22">
        <f t="shared" ref="F189:G189" si="792">F129</f>
        <v>3.3949666071276781</v>
      </c>
      <c r="G189" s="22">
        <f t="shared" si="792"/>
        <v>3.2825762491977311</v>
      </c>
      <c r="H189" s="22">
        <f t="shared" ref="H189:I189" si="793">H129</f>
        <v>3.1846003374548499</v>
      </c>
      <c r="I189" s="22">
        <f t="shared" si="793"/>
        <v>3.1003911126450743</v>
      </c>
      <c r="J189" s="22"/>
      <c r="K189" s="90"/>
      <c r="L189" s="90"/>
      <c r="M189" s="90"/>
      <c r="N189" s="22">
        <f t="shared" ref="N189" si="794">N129</f>
        <v>1.2100960960714242</v>
      </c>
      <c r="O189" s="22">
        <f t="shared" ref="O189:P189" si="795">O129</f>
        <v>2.2466949092998596</v>
      </c>
      <c r="P189" s="22">
        <f t="shared" si="795"/>
        <v>2.8338106624529544</v>
      </c>
      <c r="Q189" s="22">
        <f t="shared" ref="Q189:T189" si="796">Q129</f>
        <v>3.3520074074298232</v>
      </c>
      <c r="R189" s="22">
        <f t="shared" si="796"/>
        <v>3.7217783592394134</v>
      </c>
      <c r="S189" s="22">
        <f t="shared" si="796"/>
        <v>3.5002769267373997</v>
      </c>
      <c r="T189" s="22">
        <f t="shared" si="796"/>
        <v>3.4797110087408241</v>
      </c>
      <c r="U189" s="22">
        <f t="shared" ref="U189:X189" si="797">U129</f>
        <v>3.3643254687793132</v>
      </c>
      <c r="V189" s="22">
        <f t="shared" si="797"/>
        <v>3.3949666071276781</v>
      </c>
      <c r="W189" s="22">
        <f t="shared" si="797"/>
        <v>3.662403545371276</v>
      </c>
      <c r="X189" s="22">
        <f t="shared" si="797"/>
        <v>3.819398108216129</v>
      </c>
      <c r="Y189" s="22">
        <f t="shared" ref="Y189:AB189" si="798">Y129</f>
        <v>3.8928296319910589</v>
      </c>
      <c r="Z189" s="22">
        <f t="shared" si="798"/>
        <v>3.2825762491977311</v>
      </c>
      <c r="AA189" s="22">
        <f t="shared" si="798"/>
        <v>3.1457845649701812</v>
      </c>
      <c r="AB189" s="22">
        <f t="shared" si="798"/>
        <v>2.9307140371285652</v>
      </c>
      <c r="AC189" s="22">
        <f t="shared" ref="AC189:AE189" si="799">AC129</f>
        <v>2.993121172600254</v>
      </c>
      <c r="AD189" s="22">
        <f t="shared" si="799"/>
        <v>3.1846003374548499</v>
      </c>
      <c r="AE189" s="22">
        <f t="shared" si="799"/>
        <v>3.1003911126450743</v>
      </c>
    </row>
    <row r="190" spans="2:31" ht="13.5" customHeight="1">
      <c r="C190" s="18"/>
      <c r="D190" s="18"/>
      <c r="E190" s="18"/>
      <c r="F190" s="18"/>
      <c r="G190" s="18"/>
      <c r="H190" s="18"/>
      <c r="I190" s="18"/>
      <c r="J190" s="18"/>
      <c r="K190" s="90"/>
      <c r="L190" s="90"/>
      <c r="M190" s="90"/>
      <c r="N190" s="18"/>
      <c r="O190" s="18"/>
      <c r="P190" s="18"/>
      <c r="Q190" s="18"/>
      <c r="R190" s="18"/>
      <c r="S190" s="18"/>
      <c r="T190" s="18"/>
      <c r="U190" s="18"/>
      <c r="V190" s="18"/>
      <c r="W190" s="18"/>
      <c r="X190" s="18"/>
      <c r="Z190" s="18"/>
      <c r="AA190" s="18"/>
      <c r="AB190" s="18"/>
      <c r="AD190" s="18"/>
      <c r="AE190" s="18"/>
    </row>
    <row r="191" spans="2:31" s="19" customFormat="1" ht="13.5" customHeight="1">
      <c r="B191" s="19" t="str">
        <f>+B131</f>
        <v>Net Leverage including lease obligations</v>
      </c>
      <c r="C191" s="21">
        <f t="shared" ref="C191:C192" si="800">C131</f>
        <v>0.3173648537002135</v>
      </c>
      <c r="D191" s="21">
        <f t="shared" ref="D191:E191" si="801">D131</f>
        <v>0.69232533233416094</v>
      </c>
      <c r="E191" s="21">
        <f t="shared" si="801"/>
        <v>2.1665675412308221</v>
      </c>
      <c r="F191" s="21">
        <f t="shared" ref="F191:G191" si="802">F131</f>
        <v>1.874285773115077</v>
      </c>
      <c r="G191" s="21">
        <f t="shared" si="802"/>
        <v>1.7008695282468305</v>
      </c>
      <c r="H191" s="21">
        <f t="shared" ref="H191:I191" si="803">H131</f>
        <v>1.9425923733383652</v>
      </c>
      <c r="I191" s="21">
        <f t="shared" si="803"/>
        <v>1.6262449894262243</v>
      </c>
      <c r="J191" s="21"/>
      <c r="K191" s="90"/>
      <c r="L191" s="90"/>
      <c r="M191" s="90"/>
      <c r="N191" s="21">
        <f t="shared" ref="N191" si="804">N131</f>
        <v>0.69232533233416094</v>
      </c>
      <c r="O191" s="21">
        <f t="shared" ref="O191:P191" si="805">O131</f>
        <v>0.68948808023186769</v>
      </c>
      <c r="P191" s="21">
        <f t="shared" si="805"/>
        <v>1.4158094608404304</v>
      </c>
      <c r="Q191" s="21">
        <f t="shared" ref="Q191:T191" si="806">Q131</f>
        <v>1.8321632069139153</v>
      </c>
      <c r="R191" s="21">
        <f t="shared" si="806"/>
        <v>2.1665675412308221</v>
      </c>
      <c r="S191" s="21">
        <f t="shared" si="806"/>
        <v>2.0220502022992268</v>
      </c>
      <c r="T191" s="21">
        <f t="shared" si="806"/>
        <v>2.011848459990679</v>
      </c>
      <c r="U191" s="21">
        <f t="shared" ref="U191:X191" si="807">U131</f>
        <v>1.8708323622149567</v>
      </c>
      <c r="V191" s="21">
        <f t="shared" si="807"/>
        <v>1.874285773115077</v>
      </c>
      <c r="W191" s="21">
        <f t="shared" si="807"/>
        <v>1.8965569425047928</v>
      </c>
      <c r="X191" s="21">
        <f t="shared" si="807"/>
        <v>2.1687060758946326</v>
      </c>
      <c r="Y191" s="21">
        <f t="shared" ref="Y191:AB191" si="808">Y131</f>
        <v>2.2841337657586789</v>
      </c>
      <c r="Z191" s="21">
        <f t="shared" si="808"/>
        <v>1.7008695282468305</v>
      </c>
      <c r="AA191" s="21">
        <f t="shared" si="808"/>
        <v>1.449763915999605</v>
      </c>
      <c r="AB191" s="21">
        <f t="shared" si="808"/>
        <v>1.7922791983383681</v>
      </c>
      <c r="AC191" s="21">
        <f t="shared" ref="AC191:AE191" si="809">AC131</f>
        <v>1.896930932973238</v>
      </c>
      <c r="AD191" s="21">
        <f t="shared" si="809"/>
        <v>1.9425923733383652</v>
      </c>
      <c r="AE191" s="21">
        <f t="shared" si="809"/>
        <v>1.6262449894262243</v>
      </c>
    </row>
    <row r="192" spans="2:31" ht="13.5" customHeight="1">
      <c r="B192" s="16" t="str">
        <f>+B132</f>
        <v>Gross Leverage  including lease obligations</v>
      </c>
      <c r="C192" s="22">
        <f t="shared" si="800"/>
        <v>1.6546878699595868</v>
      </c>
      <c r="D192" s="22">
        <f t="shared" ref="D192:E192" si="810">D132</f>
        <v>1.2891108704166729</v>
      </c>
      <c r="E192" s="22">
        <f t="shared" si="810"/>
        <v>3.8347259204724908</v>
      </c>
      <c r="F192" s="22">
        <f t="shared" ref="F192:G192" si="811">F132</f>
        <v>3.5035692462577184</v>
      </c>
      <c r="G192" s="22">
        <f t="shared" si="811"/>
        <v>3.4009450715789491</v>
      </c>
      <c r="H192" s="22">
        <f t="shared" ref="H192:I192" si="812">H132</f>
        <v>3.3226161552914308</v>
      </c>
      <c r="I192" s="22">
        <f t="shared" si="812"/>
        <v>3.2514734559485068</v>
      </c>
      <c r="J192" s="22"/>
      <c r="K192" s="90"/>
      <c r="L192" s="90"/>
      <c r="M192" s="90"/>
      <c r="N192" s="22">
        <f t="shared" ref="N192" si="813">N132</f>
        <v>1.2891108704166729</v>
      </c>
      <c r="O192" s="22">
        <f t="shared" ref="O192:P192" si="814">O132</f>
        <v>2.3255589114872417</v>
      </c>
      <c r="P192" s="22">
        <f t="shared" si="814"/>
        <v>2.9329890838903063</v>
      </c>
      <c r="Q192" s="22">
        <f t="shared" ref="Q192:T192" si="815">Q132</f>
        <v>3.4590833986332066</v>
      </c>
      <c r="R192" s="22">
        <f t="shared" si="815"/>
        <v>3.8347259204724908</v>
      </c>
      <c r="S192" s="22">
        <f t="shared" si="815"/>
        <v>3.6198786222791037</v>
      </c>
      <c r="T192" s="22">
        <f t="shared" si="815"/>
        <v>3.5970434996915217</v>
      </c>
      <c r="U192" s="22">
        <f t="shared" ref="U192:X192" si="816">U132</f>
        <v>3.4708608060458879</v>
      </c>
      <c r="V192" s="22">
        <f t="shared" si="816"/>
        <v>3.5035692462577184</v>
      </c>
      <c r="W192" s="22">
        <f t="shared" si="816"/>
        <v>3.7770759197817672</v>
      </c>
      <c r="X192" s="22">
        <f t="shared" si="816"/>
        <v>3.9379257072793408</v>
      </c>
      <c r="Y192" s="22">
        <f t="shared" ref="Y192:AB192" si="817">Y132</f>
        <v>4.0268727672028151</v>
      </c>
      <c r="Z192" s="22">
        <f t="shared" si="817"/>
        <v>3.4009450715789491</v>
      </c>
      <c r="AA192" s="22">
        <f t="shared" si="817"/>
        <v>3.2720792495130704</v>
      </c>
      <c r="AB192" s="22">
        <f t="shared" si="817"/>
        <v>3.0564538565863764</v>
      </c>
      <c r="AC192" s="22">
        <f t="shared" ref="AC192:AE192" si="818">AC132</f>
        <v>3.1205623012918755</v>
      </c>
      <c r="AD192" s="22">
        <f t="shared" si="818"/>
        <v>3.3226161552914308</v>
      </c>
      <c r="AE192" s="22">
        <f t="shared" si="818"/>
        <v>3.2514734559485068</v>
      </c>
    </row>
    <row r="193" spans="2:31" ht="13.5" customHeight="1">
      <c r="C193" s="22"/>
      <c r="D193" s="22"/>
      <c r="E193" s="22"/>
      <c r="F193" s="22"/>
      <c r="G193" s="22"/>
      <c r="H193" s="22"/>
      <c r="I193" s="22"/>
      <c r="J193" s="22"/>
      <c r="K193" s="90"/>
      <c r="L193" s="90"/>
      <c r="M193" s="90"/>
      <c r="N193" s="22"/>
      <c r="O193" s="22"/>
      <c r="P193" s="22"/>
      <c r="Q193" s="22"/>
      <c r="R193" s="22"/>
      <c r="S193" s="22"/>
      <c r="T193" s="22"/>
      <c r="U193" s="22"/>
      <c r="V193" s="22"/>
      <c r="W193" s="22"/>
      <c r="X193" s="22"/>
      <c r="Y193" s="22"/>
      <c r="Z193" s="22"/>
      <c r="AA193" s="22"/>
      <c r="AB193" s="22"/>
      <c r="AC193" s="22"/>
      <c r="AD193" s="22"/>
      <c r="AE193" s="22"/>
    </row>
    <row r="194" spans="2:31" ht="13.5" customHeight="1">
      <c r="B194" s="19" t="str">
        <f>+B134</f>
        <v>Company reported net leverage</v>
      </c>
      <c r="C194" s="21">
        <f t="shared" ref="C194:E194" si="819">C134</f>
        <v>0.3173648537002135</v>
      </c>
      <c r="D194" s="21">
        <f t="shared" si="819"/>
        <v>0.69232533233416094</v>
      </c>
      <c r="E194" s="21">
        <f t="shared" si="819"/>
        <v>2.1665675412308221</v>
      </c>
      <c r="F194" s="21">
        <f t="shared" ref="F194:G194" si="820">F134</f>
        <v>1.874285773115077</v>
      </c>
      <c r="G194" s="21">
        <f t="shared" si="820"/>
        <v>1.7611959513570874</v>
      </c>
      <c r="H194" s="21">
        <f t="shared" ref="H194:I194" si="821">H134</f>
        <v>2.0264457032033332</v>
      </c>
      <c r="I194" s="21">
        <f t="shared" si="821"/>
        <v>1.6891423557340763</v>
      </c>
      <c r="J194" s="22"/>
      <c r="K194" s="90"/>
      <c r="L194" s="90"/>
      <c r="M194" s="90"/>
      <c r="N194" s="21">
        <f t="shared" ref="N194" si="822">N134</f>
        <v>0.69232533233416094</v>
      </c>
      <c r="O194" s="21">
        <f t="shared" ref="O194" si="823">O134</f>
        <v>0.68948808023186769</v>
      </c>
      <c r="P194" s="21">
        <f t="shared" ref="P194" si="824">P134</f>
        <v>1.4158094608404304</v>
      </c>
      <c r="Q194" s="21">
        <f t="shared" ref="Q194:T194" si="825">Q134</f>
        <v>1.8321632069139153</v>
      </c>
      <c r="R194" s="21">
        <f t="shared" si="825"/>
        <v>2.1665675412308221</v>
      </c>
      <c r="S194" s="21">
        <f t="shared" si="825"/>
        <v>2.0220502022992268</v>
      </c>
      <c r="T194" s="21">
        <f t="shared" si="825"/>
        <v>2.011848459990679</v>
      </c>
      <c r="U194" s="21">
        <f t="shared" ref="U194:X194" si="826">U134</f>
        <v>1.8708323622149567</v>
      </c>
      <c r="V194" s="21">
        <f t="shared" si="826"/>
        <v>1.874285773115077</v>
      </c>
      <c r="W194" s="21">
        <f t="shared" si="826"/>
        <v>1.8965569425047928</v>
      </c>
      <c r="X194" s="21">
        <f t="shared" si="826"/>
        <v>2.1687060758946326</v>
      </c>
      <c r="Y194" s="21">
        <f t="shared" ref="Y194:AB194" si="827">Y134</f>
        <v>2.2841337657586789</v>
      </c>
      <c r="Z194" s="21">
        <f t="shared" si="827"/>
        <v>1.7611959513570874</v>
      </c>
      <c r="AA194" s="21">
        <f t="shared" si="827"/>
        <v>1.449763915999605</v>
      </c>
      <c r="AB194" s="21">
        <f t="shared" si="827"/>
        <v>1.7922791983383681</v>
      </c>
      <c r="AC194" s="21">
        <f t="shared" ref="AC194:AE194" si="828">AC134</f>
        <v>1.9571816255859218</v>
      </c>
      <c r="AD194" s="21">
        <f t="shared" si="828"/>
        <v>2.0264457032033332</v>
      </c>
      <c r="AE194" s="21">
        <f t="shared" si="828"/>
        <v>1.6891423557340763</v>
      </c>
    </row>
    <row r="195" spans="2:31" ht="13.5" customHeight="1">
      <c r="C195" s="22"/>
      <c r="D195" s="22"/>
      <c r="E195" s="22"/>
      <c r="F195" s="22"/>
      <c r="G195" s="22"/>
      <c r="H195" s="22"/>
      <c r="I195" s="22"/>
      <c r="J195" s="22"/>
      <c r="K195" s="90"/>
      <c r="L195" s="90"/>
      <c r="M195" s="90"/>
      <c r="N195" s="22"/>
      <c r="O195" s="22"/>
      <c r="P195" s="22"/>
      <c r="Q195" s="22"/>
      <c r="R195" s="22"/>
      <c r="S195" s="22"/>
      <c r="T195" s="22"/>
      <c r="U195" s="22"/>
      <c r="V195" s="22"/>
      <c r="W195" s="22"/>
      <c r="X195" s="22"/>
      <c r="Y195" s="22"/>
      <c r="Z195" s="22"/>
      <c r="AA195" s="22"/>
      <c r="AB195" s="22"/>
      <c r="AC195" s="22"/>
      <c r="AD195" s="22"/>
      <c r="AE195" s="22"/>
    </row>
    <row r="196" spans="2:31" s="19" customFormat="1" ht="13.5" customHeight="1">
      <c r="B196" s="19" t="str">
        <f>+B136</f>
        <v>EBITDA - Capex / Interest</v>
      </c>
      <c r="C196" s="21">
        <f t="shared" ref="C196" si="829">C136</f>
        <v>8.1810903706726599</v>
      </c>
      <c r="D196" s="21">
        <f t="shared" ref="D196:E196" si="830">D136</f>
        <v>9.5042656430429791</v>
      </c>
      <c r="E196" s="21">
        <f t="shared" si="830"/>
        <v>3.6694990659996942</v>
      </c>
      <c r="F196" s="21">
        <f t="shared" ref="F196:G196" si="831">F136</f>
        <v>3.6369562404834168</v>
      </c>
      <c r="G196" s="21">
        <f t="shared" si="831"/>
        <v>4.584266071100318</v>
      </c>
      <c r="H196" s="21">
        <f t="shared" ref="H196:I196" si="832">H136</f>
        <v>4.3059266570104748</v>
      </c>
      <c r="I196" s="21">
        <f t="shared" si="832"/>
        <v>4.1241975630582388</v>
      </c>
      <c r="J196" s="21"/>
      <c r="K196" s="90"/>
      <c r="L196" s="90"/>
      <c r="M196" s="90"/>
      <c r="N196" s="21">
        <f t="shared" ref="N196:U197" si="833">N136</f>
        <v>9.5042656430429791</v>
      </c>
      <c r="O196" s="21">
        <f t="shared" si="833"/>
        <v>9.7794261528450299</v>
      </c>
      <c r="P196" s="21">
        <f t="shared" si="833"/>
        <v>7.9023721065713151</v>
      </c>
      <c r="Q196" s="21">
        <f t="shared" si="833"/>
        <v>4.403190160709527</v>
      </c>
      <c r="R196" s="21">
        <f t="shared" si="833"/>
        <v>3.6694990659996942</v>
      </c>
      <c r="S196" s="21">
        <f t="shared" si="833"/>
        <v>2.7332304564663588</v>
      </c>
      <c r="T196" s="21">
        <f t="shared" si="833"/>
        <v>2.8892485740119325</v>
      </c>
      <c r="U196" s="21">
        <f t="shared" si="833"/>
        <v>3.2426595176055861</v>
      </c>
      <c r="V196" s="21">
        <f t="shared" ref="V196:X196" si="834">V136</f>
        <v>3.6369562404834168</v>
      </c>
      <c r="W196" s="21">
        <f t="shared" si="834"/>
        <v>3.4157857262691413</v>
      </c>
      <c r="X196" s="21">
        <f t="shared" si="834"/>
        <v>4.0529884860301095</v>
      </c>
      <c r="Y196" s="21">
        <f t="shared" ref="Y196:AB196" si="835">Y136</f>
        <v>4.1092400953805344</v>
      </c>
      <c r="Z196" s="21">
        <f t="shared" si="835"/>
        <v>4.584266071100318</v>
      </c>
      <c r="AA196" s="21">
        <f t="shared" si="835"/>
        <v>4.836682482080815</v>
      </c>
      <c r="AB196" s="21">
        <f t="shared" si="835"/>
        <v>4.2410623853957068</v>
      </c>
      <c r="AC196" s="21">
        <f t="shared" ref="AC196:AE196" si="836">AC136</f>
        <v>4.2320510094123138</v>
      </c>
      <c r="AD196" s="21">
        <f t="shared" si="836"/>
        <v>4.3059266570104748</v>
      </c>
      <c r="AE196" s="21">
        <f t="shared" si="836"/>
        <v>4.1241975630582388</v>
      </c>
    </row>
    <row r="197" spans="2:31" ht="12.75" customHeight="1">
      <c r="B197" s="16" t="str">
        <f>+B137</f>
        <v>EBITDA/Interest</v>
      </c>
      <c r="C197" s="22">
        <f t="shared" ref="C197" si="837">C137</f>
        <v>13.487979671525734</v>
      </c>
      <c r="D197" s="22">
        <f t="shared" ref="D197:E197" si="838">D137</f>
        <v>15.352892034772935</v>
      </c>
      <c r="E197" s="22">
        <f t="shared" si="838"/>
        <v>7.5989741080852786</v>
      </c>
      <c r="F197" s="22">
        <f t="shared" ref="F197:G197" si="839">F137</f>
        <v>5.3852089079655245</v>
      </c>
      <c r="G197" s="22">
        <f t="shared" si="839"/>
        <v>6.0446042305852767</v>
      </c>
      <c r="H197" s="22">
        <f t="shared" ref="H197:I197" si="840">H137</f>
        <v>6.8419127655661276</v>
      </c>
      <c r="I197" s="22">
        <f t="shared" si="840"/>
        <v>6.9172241858737351</v>
      </c>
      <c r="J197" s="22"/>
      <c r="K197" s="89"/>
      <c r="L197" s="89"/>
      <c r="M197" s="89"/>
      <c r="N197" s="22">
        <f t="shared" si="833"/>
        <v>15.352892034772935</v>
      </c>
      <c r="O197" s="22">
        <f t="shared" si="833"/>
        <v>15.565618114397289</v>
      </c>
      <c r="P197" s="22">
        <f t="shared" si="833"/>
        <v>13.442205624751441</v>
      </c>
      <c r="Q197" s="22">
        <f t="shared" si="833"/>
        <v>8.811666884022479</v>
      </c>
      <c r="R197" s="22">
        <f t="shared" si="833"/>
        <v>7.5989741080852786</v>
      </c>
      <c r="S197" s="22">
        <f t="shared" si="833"/>
        <v>5.4885644325183343</v>
      </c>
      <c r="T197" s="22">
        <f t="shared" si="833"/>
        <v>5.1268071318393398</v>
      </c>
      <c r="U197" s="22">
        <f t="shared" si="833"/>
        <v>5.2887758131087192</v>
      </c>
      <c r="V197" s="22">
        <f t="shared" ref="V197:X197" si="841">V137</f>
        <v>5.3852089079655245</v>
      </c>
      <c r="W197" s="22">
        <f t="shared" si="841"/>
        <v>5.6493787199448073</v>
      </c>
      <c r="X197" s="22">
        <f t="shared" si="841"/>
        <v>5.659498075447007</v>
      </c>
      <c r="Y197" s="22">
        <f t="shared" ref="Y197:AB197" si="842">Y137</f>
        <v>5.5505573180745058</v>
      </c>
      <c r="Z197" s="22">
        <f t="shared" si="842"/>
        <v>6.0446042305852767</v>
      </c>
      <c r="AA197" s="22">
        <f t="shared" si="842"/>
        <v>5.9962470946322535</v>
      </c>
      <c r="AB197" s="22">
        <f t="shared" si="842"/>
        <v>6.2100239929655512</v>
      </c>
      <c r="AC197" s="22">
        <f t="shared" ref="AC197:AE197" si="843">AC137</f>
        <v>6.364083863003029</v>
      </c>
      <c r="AD197" s="22">
        <f t="shared" si="843"/>
        <v>6.8419127655661276</v>
      </c>
      <c r="AE197" s="22">
        <f t="shared" si="843"/>
        <v>6.9172241858737351</v>
      </c>
    </row>
    <row r="198" spans="2:31" ht="13.5" customHeight="1">
      <c r="C198" s="18"/>
      <c r="D198" s="18"/>
      <c r="E198" s="18"/>
      <c r="F198" s="18"/>
      <c r="G198" s="18"/>
      <c r="H198" s="18"/>
      <c r="I198" s="18"/>
      <c r="J198" s="18"/>
      <c r="K198" s="90"/>
      <c r="L198" s="90"/>
      <c r="M198" s="90"/>
      <c r="N198" s="18"/>
      <c r="O198" s="18"/>
      <c r="P198" s="18"/>
      <c r="Q198" s="18"/>
      <c r="R198" s="18"/>
      <c r="S198" s="18"/>
      <c r="T198" s="18"/>
      <c r="U198" s="18"/>
      <c r="V198" s="18"/>
      <c r="W198" s="18"/>
      <c r="X198" s="18"/>
      <c r="Y198" s="18"/>
      <c r="Z198" s="18"/>
      <c r="AA198" s="18"/>
      <c r="AB198" s="18"/>
      <c r="AC198" s="18"/>
      <c r="AD198" s="18"/>
      <c r="AE198" s="18"/>
    </row>
    <row r="199" spans="2:31" s="19" customFormat="1" ht="13.5" customHeight="1">
      <c r="B199" s="48" t="str">
        <f t="shared" ref="B199:C199" si="844">+B139</f>
        <v xml:space="preserve">Gearing (Net debt / Equity) </v>
      </c>
      <c r="C199" s="282">
        <f t="shared" si="844"/>
        <v>6.6771175502766567E-2</v>
      </c>
      <c r="D199" s="282">
        <f t="shared" ref="D199:E199" si="845">+D139</f>
        <v>0.21612051610504526</v>
      </c>
      <c r="E199" s="282">
        <f t="shared" si="845"/>
        <v>0.5400371208417678</v>
      </c>
      <c r="F199" s="282">
        <f t="shared" ref="F199:G199" si="846">+F139</f>
        <v>0.53171656345956242</v>
      </c>
      <c r="G199" s="282">
        <f t="shared" si="846"/>
        <v>0.42298749540295683</v>
      </c>
      <c r="H199" s="282">
        <f t="shared" ref="H199:I199" si="847">+H139</f>
        <v>0.45211046520695591</v>
      </c>
      <c r="I199" s="282">
        <f t="shared" si="847"/>
        <v>0.35174331293340844</v>
      </c>
      <c r="J199" s="283"/>
      <c r="K199" s="284"/>
      <c r="L199" s="284"/>
      <c r="M199" s="284"/>
      <c r="N199" s="282">
        <f t="shared" ref="N199" si="848">+N139</f>
        <v>0.21612051610504526</v>
      </c>
      <c r="O199" s="282">
        <f t="shared" ref="O199:P199" si="849">+O139</f>
        <v>0.22417540023171587</v>
      </c>
      <c r="P199" s="282">
        <f t="shared" si="849"/>
        <v>0.40190415892270387</v>
      </c>
      <c r="Q199" s="282">
        <f t="shared" ref="Q199:T199" si="850">+Q139</f>
        <v>0.47269464847809672</v>
      </c>
      <c r="R199" s="282">
        <f t="shared" si="850"/>
        <v>0.5400371208417678</v>
      </c>
      <c r="S199" s="282">
        <f t="shared" si="850"/>
        <v>0.52019739847947033</v>
      </c>
      <c r="T199" s="282">
        <f t="shared" si="850"/>
        <v>0.53159064726811633</v>
      </c>
      <c r="U199" s="282">
        <f t="shared" ref="U199:X199" si="851">+U139</f>
        <v>0.50048458250182271</v>
      </c>
      <c r="V199" s="282">
        <f t="shared" si="851"/>
        <v>0.53171656345956242</v>
      </c>
      <c r="W199" s="282">
        <f t="shared" si="851"/>
        <v>0.45475435543728204</v>
      </c>
      <c r="X199" s="282">
        <f t="shared" si="851"/>
        <v>0.51224087967264986</v>
      </c>
      <c r="Y199" s="282">
        <f t="shared" ref="Y199:AB199" si="852">+Y139</f>
        <v>0.51561698748242701</v>
      </c>
      <c r="Z199" s="282">
        <f t="shared" si="852"/>
        <v>0.42298749540295683</v>
      </c>
      <c r="AA199" s="282">
        <f t="shared" si="852"/>
        <v>0.36613824586702709</v>
      </c>
      <c r="AB199" s="282">
        <f t="shared" si="852"/>
        <v>0.4501081796383109</v>
      </c>
      <c r="AC199" s="282">
        <f t="shared" ref="AC199:AE199" si="853">+AC139</f>
        <v>0.47711997182563126</v>
      </c>
      <c r="AD199" s="282">
        <f t="shared" si="853"/>
        <v>0.45211046520695591</v>
      </c>
      <c r="AE199" s="282">
        <f t="shared" si="853"/>
        <v>0.35174331293340844</v>
      </c>
    </row>
    <row r="200" spans="2:31" ht="13.5" customHeight="1">
      <c r="C200" s="7"/>
      <c r="D200" s="7"/>
      <c r="E200" s="7"/>
      <c r="F200" s="7"/>
      <c r="G200" s="7"/>
      <c r="H200" s="7"/>
      <c r="I200" s="7"/>
      <c r="J200" s="18"/>
      <c r="K200" s="7"/>
      <c r="L200" s="7"/>
      <c r="M200" s="7"/>
      <c r="N200" s="7"/>
      <c r="O200" s="7"/>
      <c r="P200" s="7"/>
      <c r="Q200" s="7"/>
      <c r="R200" s="7"/>
      <c r="S200" s="7"/>
      <c r="T200" s="7"/>
      <c r="U200" s="7"/>
      <c r="V200" s="7"/>
      <c r="W200" s="7"/>
      <c r="X200" s="7"/>
      <c r="Z200" s="7"/>
      <c r="AA200" s="7"/>
      <c r="AB200" s="7"/>
      <c r="AD200" s="7"/>
      <c r="AE200" s="7"/>
    </row>
    <row r="201" spans="2:31" ht="13.5" customHeight="1">
      <c r="C201" s="7"/>
      <c r="D201" s="7"/>
      <c r="E201" s="7"/>
      <c r="F201" s="7"/>
      <c r="G201" s="7"/>
      <c r="H201" s="1"/>
      <c r="I201" s="286"/>
      <c r="J201" s="195"/>
      <c r="K201" s="1"/>
      <c r="L201" s="1"/>
      <c r="M201" s="1"/>
      <c r="N201" s="1"/>
      <c r="O201" s="1"/>
      <c r="P201" s="1"/>
      <c r="Q201" s="1"/>
      <c r="R201" s="1"/>
      <c r="S201" s="1"/>
      <c r="T201" s="1"/>
      <c r="U201" s="1"/>
      <c r="V201" s="1"/>
      <c r="W201" s="1"/>
      <c r="X201" s="1"/>
      <c r="Y201" s="1"/>
      <c r="Z201" s="1"/>
      <c r="AA201" s="1"/>
      <c r="AB201" s="1"/>
      <c r="AC201" s="1"/>
      <c r="AD201" s="1"/>
      <c r="AE201" s="1"/>
    </row>
    <row r="202" spans="2:31" ht="13.5" customHeight="1">
      <c r="B202" s="305" t="s">
        <v>251</v>
      </c>
      <c r="C202" s="234">
        <f>1/791.51</f>
        <v>1.2634079165140049E-3</v>
      </c>
      <c r="D202" s="234">
        <f>1/759.78</f>
        <v>1.3161704703993262E-3</v>
      </c>
      <c r="E202" s="234">
        <f>1/872.81</f>
        <v>1.1457247281768082E-3</v>
      </c>
      <c r="F202" s="234">
        <f>1/839.55</f>
        <v>1.1911142874158776E-3</v>
      </c>
      <c r="G202" s="235">
        <f>AVERAGE(W202:Z202)</f>
        <v>1.0672949691532794E-3</v>
      </c>
      <c r="H202" s="235">
        <f>AVERAGE(AA202:AD202)</f>
        <v>1.0522194878522027E-3</v>
      </c>
      <c r="I202" s="235">
        <f>AVERAGE(AB202:AE202)</f>
        <v>1.068276097096097E-3</v>
      </c>
      <c r="J202" s="18"/>
      <c r="K202" s="234">
        <f>K203</f>
        <v>1.3718738424814455E-3</v>
      </c>
      <c r="L202" s="234">
        <f t="shared" ref="L202:AB202" si="854">AVERAGE(K203:L203)</f>
        <v>1.3744524816923891E-3</v>
      </c>
      <c r="M202" s="234">
        <f t="shared" si="854"/>
        <v>1.3060282194611759E-3</v>
      </c>
      <c r="N202" s="234">
        <f t="shared" si="854"/>
        <v>1.2049876913206364E-3</v>
      </c>
      <c r="O202" s="234">
        <f t="shared" si="854"/>
        <v>1.2219283873004679E-3</v>
      </c>
      <c r="P202" s="234">
        <f t="shared" si="854"/>
        <v>1.1744101584450647E-3</v>
      </c>
      <c r="Q202" s="234">
        <f t="shared" si="854"/>
        <v>1.0593563775480727E-3</v>
      </c>
      <c r="R202" s="234">
        <f t="shared" si="854"/>
        <v>1.1095093345077865E-3</v>
      </c>
      <c r="S202" s="234">
        <f t="shared" si="854"/>
        <v>1.2229891082965573E-3</v>
      </c>
      <c r="T202" s="234">
        <f t="shared" si="854"/>
        <v>1.2555443541077699E-3</v>
      </c>
      <c r="U202" s="234">
        <f t="shared" si="854"/>
        <v>1.1840212428944393E-3</v>
      </c>
      <c r="V202" s="234">
        <f t="shared" si="854"/>
        <v>1.1291638180346156E-3</v>
      </c>
      <c r="W202" s="234">
        <f t="shared" si="854"/>
        <v>1.0785484620884011E-3</v>
      </c>
      <c r="X202" s="234">
        <f t="shared" si="854"/>
        <v>1.0424012560737998E-3</v>
      </c>
      <c r="Y202" s="234">
        <f t="shared" si="854"/>
        <v>1.0880814748403175E-3</v>
      </c>
      <c r="Z202" s="234">
        <f t="shared" si="854"/>
        <v>1.060148683610599E-3</v>
      </c>
      <c r="AA202" s="234">
        <f>AVERAGE(Z203:AA203)</f>
        <v>1.0307275841225066E-3</v>
      </c>
      <c r="AB202" s="234">
        <f t="shared" si="854"/>
        <v>1.0655725672677136E-3</v>
      </c>
      <c r="AC202" s="234">
        <f>1/959.92</f>
        <v>1.0417534794566214E-3</v>
      </c>
      <c r="AD202" s="234">
        <f>1/933.86</f>
        <v>1.0708243205619686E-3</v>
      </c>
      <c r="AE202" s="234">
        <v>1.0949540210980844E-3</v>
      </c>
    </row>
    <row r="203" spans="2:31" ht="13.5" customHeight="1">
      <c r="B203" s="305" t="s">
        <v>252</v>
      </c>
      <c r="C203" s="234">
        <f>1/710</f>
        <v>1.4084507042253522E-3</v>
      </c>
      <c r="D203" s="234">
        <f>1/851.1</f>
        <v>1.1749500646222534E-3</v>
      </c>
      <c r="E203" s="234">
        <f>1/847.8</f>
        <v>1.1795234725171032E-3</v>
      </c>
      <c r="F203" s="234">
        <f>1/880.58</f>
        <v>1.1356151627336527E-3</v>
      </c>
      <c r="G203" s="235">
        <f>Z203</f>
        <v>1.0074551682450132E-3</v>
      </c>
      <c r="H203" s="235">
        <f>AD203</f>
        <v>1.1103092211180814E-3</v>
      </c>
      <c r="I203" s="235">
        <f>AE203</f>
        <v>1.0795988210780874E-3</v>
      </c>
      <c r="J203" s="18"/>
      <c r="K203" s="234">
        <f>1/728.93</f>
        <v>1.3718738424814455E-3</v>
      </c>
      <c r="L203" s="234">
        <f>1/726.2</f>
        <v>1.3770311209033324E-3</v>
      </c>
      <c r="M203" s="234">
        <f>1/809.7</f>
        <v>1.2350253180190194E-3</v>
      </c>
      <c r="N203" s="234">
        <f>1/851.1</f>
        <v>1.1749500646222534E-3</v>
      </c>
      <c r="O203" s="234">
        <f>1/788.08</f>
        <v>1.2689067099786824E-3</v>
      </c>
      <c r="P203" s="234">
        <f>1/926</f>
        <v>1.0799136069114472E-3</v>
      </c>
      <c r="Q203" s="234">
        <f>1/962.65</f>
        <v>1.0387991481846984E-3</v>
      </c>
      <c r="R203" s="234">
        <f>1/847.3</f>
        <v>1.1802195208308747E-3</v>
      </c>
      <c r="S203" s="234">
        <f>1/790.04</f>
        <v>1.26575869576224E-3</v>
      </c>
      <c r="T203" s="234">
        <f>1/803</f>
        <v>1.2453300124533001E-3</v>
      </c>
      <c r="U203" s="234">
        <f>1/890.7</f>
        <v>1.1227124733355787E-3</v>
      </c>
      <c r="V203" s="234">
        <f>1/880.58</f>
        <v>1.1356151627336527E-3</v>
      </c>
      <c r="W203" s="234">
        <f>1/978.97</f>
        <v>1.0214817614431495E-3</v>
      </c>
      <c r="X203" s="234">
        <f>1/940.45</f>
        <v>1.06332075070445E-3</v>
      </c>
      <c r="Y203" s="234">
        <f>1/898.6</f>
        <v>1.1128421989761851E-3</v>
      </c>
      <c r="Z203" s="234">
        <f>1/992.6</f>
        <v>1.0074551682450132E-3</v>
      </c>
      <c r="AA203" s="234">
        <v>1.054E-3</v>
      </c>
      <c r="AB203" s="234">
        <f>1/928.38</f>
        <v>1.0771451345354273E-3</v>
      </c>
      <c r="AC203" s="234">
        <f>1/961.93</f>
        <v>1.0395766843741229E-3</v>
      </c>
      <c r="AD203" s="234">
        <f>1/900.65</f>
        <v>1.1103092211180814E-3</v>
      </c>
      <c r="AE203" s="234">
        <f>1/926.27</f>
        <v>1.0795988210780874E-3</v>
      </c>
    </row>
    <row r="204" spans="2:31" ht="13.5" customHeight="1">
      <c r="B204" s="305" t="s">
        <v>253</v>
      </c>
      <c r="C204" s="235">
        <f t="shared" ref="C204:H204" si="855">C202</f>
        <v>1.2634079165140049E-3</v>
      </c>
      <c r="D204" s="235">
        <f t="shared" si="855"/>
        <v>1.3161704703993262E-3</v>
      </c>
      <c r="E204" s="235">
        <f t="shared" si="855"/>
        <v>1.1457247281768082E-3</v>
      </c>
      <c r="F204" s="235">
        <f t="shared" si="855"/>
        <v>1.1911142874158776E-3</v>
      </c>
      <c r="G204" s="235">
        <f t="shared" si="855"/>
        <v>1.0672949691532794E-3</v>
      </c>
      <c r="H204" s="235">
        <f t="shared" si="855"/>
        <v>1.0522194878522027E-3</v>
      </c>
      <c r="I204" s="235">
        <f>I202</f>
        <v>1.068276097096097E-3</v>
      </c>
      <c r="J204" s="18"/>
      <c r="K204" s="235">
        <f>K202</f>
        <v>1.3718738424814455E-3</v>
      </c>
      <c r="L204" s="235">
        <f>L202</f>
        <v>1.3744524816923891E-3</v>
      </c>
      <c r="M204" s="235">
        <f>M202</f>
        <v>1.3060282194611759E-3</v>
      </c>
      <c r="N204" s="235">
        <f t="shared" ref="N204:AD204" si="856">AVERAGE(K202:N202)</f>
        <v>1.3143355587389117E-3</v>
      </c>
      <c r="O204" s="235">
        <f t="shared" si="856"/>
        <v>1.2768491949436672E-3</v>
      </c>
      <c r="P204" s="235">
        <f t="shared" si="856"/>
        <v>1.2268386141318362E-3</v>
      </c>
      <c r="Q204" s="235">
        <f t="shared" si="856"/>
        <v>1.1651706536535604E-3</v>
      </c>
      <c r="R204" s="235">
        <f t="shared" si="856"/>
        <v>1.141301064450348E-3</v>
      </c>
      <c r="S204" s="235">
        <f t="shared" si="856"/>
        <v>1.1415662446993703E-3</v>
      </c>
      <c r="T204" s="235">
        <f t="shared" si="856"/>
        <v>1.1618497936150467E-3</v>
      </c>
      <c r="U204" s="235">
        <f t="shared" si="856"/>
        <v>1.1930160099516383E-3</v>
      </c>
      <c r="V204" s="235">
        <f t="shared" si="856"/>
        <v>1.1979296308333456E-3</v>
      </c>
      <c r="W204" s="235">
        <f t="shared" si="856"/>
        <v>1.1618194692813064E-3</v>
      </c>
      <c r="X204" s="235">
        <f t="shared" si="856"/>
        <v>1.108533694772814E-3</v>
      </c>
      <c r="Y204" s="235">
        <f t="shared" si="856"/>
        <v>1.0845487527592836E-3</v>
      </c>
      <c r="Z204" s="235">
        <f t="shared" si="856"/>
        <v>1.0672949691532794E-3</v>
      </c>
      <c r="AA204" s="235">
        <f>AVERAGE(X202:AA202)</f>
        <v>1.0553397496618057E-3</v>
      </c>
      <c r="AB204" s="235">
        <f t="shared" si="856"/>
        <v>1.0611325774602842E-3</v>
      </c>
      <c r="AC204" s="235">
        <f t="shared" si="856"/>
        <v>1.0495505786143602E-3</v>
      </c>
      <c r="AD204" s="235">
        <f t="shared" si="856"/>
        <v>1.0522194878522027E-3</v>
      </c>
      <c r="AE204" s="235">
        <f>AVERAGE(AB202:AE202)</f>
        <v>1.068276097096097E-3</v>
      </c>
    </row>
    <row r="205" spans="2:31" ht="13.5" customHeight="1">
      <c r="B205" s="302" t="s">
        <v>254</v>
      </c>
      <c r="C205" s="285">
        <f>1/C203</f>
        <v>710</v>
      </c>
      <c r="D205" s="285">
        <f t="shared" ref="D205:AD205" si="857">1/D203</f>
        <v>851.10000000000014</v>
      </c>
      <c r="E205" s="285">
        <f t="shared" si="857"/>
        <v>847.8</v>
      </c>
      <c r="F205" s="285">
        <f t="shared" si="857"/>
        <v>880.58</v>
      </c>
      <c r="G205" s="285">
        <f t="shared" si="857"/>
        <v>992.59999999999991</v>
      </c>
      <c r="H205" s="285">
        <f t="shared" si="857"/>
        <v>900.65</v>
      </c>
      <c r="I205" s="285">
        <f>1/I203</f>
        <v>926.27</v>
      </c>
      <c r="J205" s="18"/>
      <c r="K205" s="285">
        <f t="shared" si="857"/>
        <v>728.93</v>
      </c>
      <c r="L205" s="285">
        <f t="shared" si="857"/>
        <v>726.2</v>
      </c>
      <c r="M205" s="285">
        <f t="shared" si="857"/>
        <v>809.7</v>
      </c>
      <c r="N205" s="285">
        <f t="shared" si="857"/>
        <v>851.10000000000014</v>
      </c>
      <c r="O205" s="285">
        <f t="shared" si="857"/>
        <v>788.08</v>
      </c>
      <c r="P205" s="285">
        <f t="shared" si="857"/>
        <v>926</v>
      </c>
      <c r="Q205" s="285">
        <f t="shared" si="857"/>
        <v>962.65000000000009</v>
      </c>
      <c r="R205" s="285">
        <f t="shared" si="857"/>
        <v>847.3</v>
      </c>
      <c r="S205" s="285">
        <f t="shared" si="857"/>
        <v>790.04</v>
      </c>
      <c r="T205" s="285">
        <f t="shared" si="857"/>
        <v>803</v>
      </c>
      <c r="U205" s="285">
        <f t="shared" si="857"/>
        <v>890.7</v>
      </c>
      <c r="V205" s="285">
        <f t="shared" si="857"/>
        <v>880.58</v>
      </c>
      <c r="W205" s="285">
        <f t="shared" si="857"/>
        <v>978.96999999999991</v>
      </c>
      <c r="X205" s="285">
        <f t="shared" si="857"/>
        <v>940.45</v>
      </c>
      <c r="Y205" s="285">
        <f t="shared" si="857"/>
        <v>898.6</v>
      </c>
      <c r="Z205" s="285">
        <f t="shared" si="857"/>
        <v>992.59999999999991</v>
      </c>
      <c r="AA205" s="285">
        <f t="shared" si="857"/>
        <v>948.76660341555976</v>
      </c>
      <c r="AB205" s="285">
        <f t="shared" si="857"/>
        <v>928.38</v>
      </c>
      <c r="AC205" s="285">
        <f t="shared" si="857"/>
        <v>961.93</v>
      </c>
      <c r="AD205" s="285">
        <f t="shared" si="857"/>
        <v>900.65</v>
      </c>
      <c r="AE205" s="285">
        <f t="shared" ref="AE205" si="858">1/AE203</f>
        <v>926.27</v>
      </c>
    </row>
    <row r="206" spans="2:31" ht="13.5" customHeight="1">
      <c r="C206" s="7"/>
      <c r="D206" s="7"/>
      <c r="E206" s="7"/>
      <c r="F206" s="7"/>
      <c r="G206" s="7"/>
      <c r="H206" s="7"/>
      <c r="I206" s="7"/>
      <c r="J206" s="18"/>
      <c r="K206" s="7"/>
      <c r="L206" s="7"/>
      <c r="M206" s="7"/>
      <c r="N206" s="7"/>
      <c r="O206" s="7"/>
      <c r="P206" s="7"/>
      <c r="Q206" s="7"/>
      <c r="R206" s="7"/>
      <c r="S206" s="7"/>
      <c r="T206" s="7"/>
      <c r="U206" s="7"/>
      <c r="V206" s="7"/>
      <c r="W206" s="7"/>
      <c r="X206" s="7"/>
      <c r="Z206" s="7"/>
      <c r="AA206" s="7"/>
      <c r="AB206" s="7"/>
      <c r="AD206" s="7"/>
      <c r="AE206" s="7"/>
    </row>
    <row r="207" spans="2:31" ht="13.5" customHeight="1">
      <c r="B207" s="37" t="s">
        <v>255</v>
      </c>
      <c r="C207" s="36">
        <f t="shared" ref="C207:H207" si="859">C3</f>
        <v>44196</v>
      </c>
      <c r="D207" s="36">
        <f t="shared" si="859"/>
        <v>44561</v>
      </c>
      <c r="E207" s="36">
        <f t="shared" si="859"/>
        <v>44926</v>
      </c>
      <c r="F207" s="36">
        <f t="shared" si="859"/>
        <v>45291</v>
      </c>
      <c r="G207" s="36">
        <f t="shared" si="859"/>
        <v>45657</v>
      </c>
      <c r="H207" s="36">
        <f t="shared" si="859"/>
        <v>46022</v>
      </c>
      <c r="I207" s="36">
        <f t="shared" ref="I207" si="860">I3</f>
        <v>46112</v>
      </c>
      <c r="J207" s="193"/>
      <c r="K207" s="36">
        <f t="shared" ref="K207:Z207" si="861">K3</f>
        <v>44286</v>
      </c>
      <c r="L207" s="36">
        <f t="shared" si="861"/>
        <v>44377</v>
      </c>
      <c r="M207" s="36">
        <f t="shared" si="861"/>
        <v>44469</v>
      </c>
      <c r="N207" s="36">
        <f t="shared" si="861"/>
        <v>44561</v>
      </c>
      <c r="O207" s="36">
        <f t="shared" si="861"/>
        <v>44651</v>
      </c>
      <c r="P207" s="36">
        <f t="shared" si="861"/>
        <v>44742</v>
      </c>
      <c r="Q207" s="36">
        <f t="shared" si="861"/>
        <v>44834</v>
      </c>
      <c r="R207" s="36">
        <f t="shared" si="861"/>
        <v>44926</v>
      </c>
      <c r="S207" s="36">
        <f t="shared" si="861"/>
        <v>45016</v>
      </c>
      <c r="T207" s="36">
        <f t="shared" si="861"/>
        <v>45107</v>
      </c>
      <c r="U207" s="36">
        <f t="shared" si="861"/>
        <v>45199</v>
      </c>
      <c r="V207" s="36">
        <f t="shared" si="861"/>
        <v>45291</v>
      </c>
      <c r="W207" s="36">
        <f t="shared" si="861"/>
        <v>45382</v>
      </c>
      <c r="X207" s="36">
        <f t="shared" si="861"/>
        <v>45473</v>
      </c>
      <c r="Y207" s="36">
        <f t="shared" si="861"/>
        <v>45565</v>
      </c>
      <c r="Z207" s="36">
        <f t="shared" si="861"/>
        <v>45657</v>
      </c>
      <c r="AA207" s="36">
        <f t="shared" ref="AA207:AD207" si="862">AA3</f>
        <v>45747</v>
      </c>
      <c r="AB207" s="36">
        <f t="shared" si="862"/>
        <v>45838</v>
      </c>
      <c r="AC207" s="36">
        <f t="shared" si="862"/>
        <v>45930</v>
      </c>
      <c r="AD207" s="36">
        <f t="shared" si="862"/>
        <v>46022</v>
      </c>
      <c r="AE207" s="36">
        <f t="shared" ref="AE207" si="863">AE3</f>
        <v>46112</v>
      </c>
    </row>
    <row r="208" spans="2:31" ht="13.5" customHeight="1">
      <c r="B208" s="16" t="s">
        <v>242</v>
      </c>
      <c r="C208" s="7">
        <f t="shared" ref="C208:I209" si="864">C143*C$204</f>
        <v>2346.8985584515676</v>
      </c>
      <c r="D208" s="7">
        <f t="shared" si="864"/>
        <v>3270.304930374582</v>
      </c>
      <c r="E208" s="7">
        <f t="shared" si="864"/>
        <v>3106.5580687663978</v>
      </c>
      <c r="F208" s="7">
        <f t="shared" si="864"/>
        <v>3055.8704865701861</v>
      </c>
      <c r="G208" s="7">
        <f t="shared" si="864"/>
        <v>3100.0291639255802</v>
      </c>
      <c r="H208" s="7">
        <f t="shared" si="864"/>
        <v>3061.5645987362959</v>
      </c>
      <c r="I208" s="7">
        <f t="shared" si="864"/>
        <v>3110.2539536979225</v>
      </c>
      <c r="J208" s="7"/>
      <c r="K208" s="84"/>
      <c r="L208" s="84"/>
      <c r="M208" s="84"/>
      <c r="N208" s="7">
        <f t="shared" ref="N208" si="865">N143*N$204</f>
        <v>3265.745702839235</v>
      </c>
      <c r="O208" s="7">
        <f t="shared" ref="O208:P208" si="866">O143*O$204</f>
        <v>3339.6472755396671</v>
      </c>
      <c r="P208" s="7">
        <f t="shared" si="866"/>
        <v>3317.4281109843432</v>
      </c>
      <c r="Q208" s="7">
        <f t="shared" ref="Q208:T208" si="867">Q143*Q$204</f>
        <v>3222.1885127611104</v>
      </c>
      <c r="R208" s="7">
        <f t="shared" si="867"/>
        <v>3094.5635923402738</v>
      </c>
      <c r="S208" s="7">
        <f t="shared" si="867"/>
        <v>3131.3170962073445</v>
      </c>
      <c r="T208" s="7">
        <f t="shared" si="867"/>
        <v>3205.2410302502572</v>
      </c>
      <c r="U208" s="7">
        <f t="shared" ref="U208:X208" si="868">U143*U$204</f>
        <v>3294.2881920860405</v>
      </c>
      <c r="V208" s="7">
        <f t="shared" si="868"/>
        <v>3073.3556322235595</v>
      </c>
      <c r="W208" s="7">
        <f t="shared" si="868"/>
        <v>2996.970587092771</v>
      </c>
      <c r="X208" s="7">
        <f t="shared" si="868"/>
        <v>2804.5337879370772</v>
      </c>
      <c r="Y208" s="7">
        <f t="shared" ref="Y208:AB208" si="869">Y143*Y$204</f>
        <v>2721.2363234987133</v>
      </c>
      <c r="Z208" s="7">
        <f t="shared" si="869"/>
        <v>3100.0291639255802</v>
      </c>
      <c r="AA208" s="7">
        <f t="shared" si="869"/>
        <v>3140.9159488466162</v>
      </c>
      <c r="AB208" s="7">
        <f t="shared" si="869"/>
        <v>3216.8080041092248</v>
      </c>
      <c r="AC208" s="7">
        <f t="shared" ref="AC208:AE208" si="870">AC143*AC$204</f>
        <v>3174.1453855193099</v>
      </c>
      <c r="AD208" s="7">
        <f t="shared" si="870"/>
        <v>3061.5645987362959</v>
      </c>
      <c r="AE208" s="7">
        <f t="shared" si="870"/>
        <v>3110.2539536979225</v>
      </c>
    </row>
    <row r="209" spans="2:31" ht="13.5" customHeight="1">
      <c r="B209" s="16" t="s">
        <v>243</v>
      </c>
      <c r="C209" s="7">
        <f t="shared" si="864"/>
        <v>374.4802226124749</v>
      </c>
      <c r="D209" s="7">
        <f t="shared" si="864"/>
        <v>585.69268472452552</v>
      </c>
      <c r="E209" s="7">
        <f t="shared" si="864"/>
        <v>410.08770408221716</v>
      </c>
      <c r="F209" s="7">
        <f t="shared" si="864"/>
        <v>451.91158715978804</v>
      </c>
      <c r="G209" s="7">
        <f t="shared" si="864"/>
        <v>443.92652196136493</v>
      </c>
      <c r="H209" s="7">
        <f t="shared" si="864"/>
        <v>395.85334489268297</v>
      </c>
      <c r="I209" s="7">
        <f t="shared" si="864"/>
        <v>401.98959580356393</v>
      </c>
      <c r="J209" s="7"/>
      <c r="K209" s="84"/>
      <c r="L209" s="84"/>
      <c r="M209" s="84"/>
      <c r="N209" s="7">
        <f t="shared" ref="N209" si="871">N144*N$204</f>
        <v>584.87615346144798</v>
      </c>
      <c r="O209" s="7">
        <f t="shared" ref="O209:P209" si="872">O144*O$204</f>
        <v>579.14812363193562</v>
      </c>
      <c r="P209" s="7">
        <f t="shared" si="872"/>
        <v>520.75775075977344</v>
      </c>
      <c r="Q209" s="7">
        <f t="shared" ref="Q209:T209" si="873">Q144*Q$204</f>
        <v>455.12224985263907</v>
      </c>
      <c r="R209" s="7">
        <f t="shared" si="873"/>
        <v>408.50434810097494</v>
      </c>
      <c r="S209" s="7">
        <f t="shared" si="873"/>
        <v>408.8857077945014</v>
      </c>
      <c r="T209" s="7">
        <f t="shared" si="873"/>
        <v>433.17772057121311</v>
      </c>
      <c r="U209" s="7">
        <f t="shared" ref="U209:X209" si="874">U144*U$204</f>
        <v>467.15133935541206</v>
      </c>
      <c r="V209" s="7">
        <f t="shared" si="874"/>
        <v>454.49734462518529</v>
      </c>
      <c r="W209" s="7">
        <f t="shared" si="874"/>
        <v>427.76904865874064</v>
      </c>
      <c r="X209" s="7">
        <f t="shared" si="874"/>
        <v>398.83387740533033</v>
      </c>
      <c r="Y209" s="7">
        <f t="shared" ref="Y209:AB209" si="875">Y144*Y$204</f>
        <v>372.94585977584268</v>
      </c>
      <c r="Z209" s="7">
        <f t="shared" si="875"/>
        <v>443.92652196136493</v>
      </c>
      <c r="AA209" s="7">
        <f t="shared" si="875"/>
        <v>446.75366878955674</v>
      </c>
      <c r="AB209" s="7">
        <f t="shared" si="875"/>
        <v>429.14551735039709</v>
      </c>
      <c r="AC209" s="7">
        <f t="shared" ref="AC209:AE209" si="876">AC144*AC$204</f>
        <v>427.82457750556807</v>
      </c>
      <c r="AD209" s="7">
        <f t="shared" si="876"/>
        <v>395.85334489268297</v>
      </c>
      <c r="AE209" s="7">
        <f t="shared" si="876"/>
        <v>401.98959580356393</v>
      </c>
    </row>
    <row r="210" spans="2:31" ht="13.5" customHeight="1">
      <c r="B210" s="16" t="s">
        <v>244</v>
      </c>
      <c r="C210" s="17">
        <f t="shared" ref="C210" si="877">C209/C208</f>
        <v>0.15956387261132784</v>
      </c>
      <c r="D210" s="17">
        <f t="shared" ref="D210:E210" si="878">D209/D208</f>
        <v>0.17909421206708087</v>
      </c>
      <c r="E210" s="17">
        <f t="shared" si="878"/>
        <v>0.13200709434833174</v>
      </c>
      <c r="F210" s="17">
        <f t="shared" ref="F210:G210" si="879">F209/F208</f>
        <v>0.14788309555193208</v>
      </c>
      <c r="G210" s="17">
        <f t="shared" si="879"/>
        <v>0.14320075666617887</v>
      </c>
      <c r="H210" s="17">
        <f t="shared" ref="H210:I210" si="880">H209/H208</f>
        <v>0.12929772739601086</v>
      </c>
      <c r="I210" s="17">
        <f t="shared" si="880"/>
        <v>0.12924655085660133</v>
      </c>
      <c r="J210" s="17"/>
      <c r="K210" s="84"/>
      <c r="L210" s="84"/>
      <c r="M210" s="84"/>
      <c r="N210" s="17">
        <f t="shared" ref="N210" si="881">N209/N208</f>
        <v>0.17909421206708087</v>
      </c>
      <c r="O210" s="17">
        <f t="shared" ref="O210:P210" si="882">O209/O208</f>
        <v>0.17341595559319919</v>
      </c>
      <c r="P210" s="17">
        <f t="shared" si="882"/>
        <v>0.15697634834512053</v>
      </c>
      <c r="Q210" s="17">
        <f t="shared" ref="Q210:T210" si="883">Q209/Q208</f>
        <v>0.14124631381751232</v>
      </c>
      <c r="R210" s="17">
        <f t="shared" si="883"/>
        <v>0.13200709434833174</v>
      </c>
      <c r="S210" s="17">
        <f t="shared" si="883"/>
        <v>0.1305794639226236</v>
      </c>
      <c r="T210" s="17">
        <f t="shared" si="883"/>
        <v>0.13514669146032729</v>
      </c>
      <c r="U210" s="17">
        <f t="shared" ref="U210:X210" si="884">U209/U208</f>
        <v>0.14180645775851142</v>
      </c>
      <c r="V210" s="17">
        <f t="shared" si="884"/>
        <v>0.14788309555193208</v>
      </c>
      <c r="W210" s="17">
        <f t="shared" si="884"/>
        <v>0.14273381610785194</v>
      </c>
      <c r="X210" s="17">
        <f t="shared" si="884"/>
        <v>0.14221040200007695</v>
      </c>
      <c r="Y210" s="17">
        <f t="shared" ref="Y210:AB210" si="885">Y209/Y208</f>
        <v>0.13705015494440537</v>
      </c>
      <c r="Z210" s="17">
        <f t="shared" si="885"/>
        <v>0.14320075666617887</v>
      </c>
      <c r="AA210" s="17">
        <f t="shared" si="885"/>
        <v>0.14223674751742729</v>
      </c>
      <c r="AB210" s="17">
        <f t="shared" si="885"/>
        <v>0.13340725240741652</v>
      </c>
      <c r="AC210" s="17">
        <f t="shared" ref="AC210:AE210" si="886">AC209/AC208</f>
        <v>0.13478417827278361</v>
      </c>
      <c r="AD210" s="17">
        <f t="shared" si="886"/>
        <v>0.12929772739601086</v>
      </c>
      <c r="AE210" s="17">
        <f t="shared" si="886"/>
        <v>0.12924655085660133</v>
      </c>
    </row>
    <row r="211" spans="2:31" ht="13.5" customHeight="1">
      <c r="B211" s="16" t="s">
        <v>224</v>
      </c>
      <c r="C211" s="7">
        <f>C146*C$203</f>
        <v>690.78520422535223</v>
      </c>
      <c r="D211" s="7">
        <f t="shared" ref="D211:E211" si="887">D146*D$203</f>
        <v>674.01154740923505</v>
      </c>
      <c r="E211" s="7">
        <f t="shared" si="887"/>
        <v>1618.9646945034206</v>
      </c>
      <c r="F211" s="7">
        <f t="shared" ref="F211:G211" si="888">F146*F$203</f>
        <v>1509.5306343546295</v>
      </c>
      <c r="G211" s="7">
        <f t="shared" si="888"/>
        <v>1425.1217781583719</v>
      </c>
      <c r="H211" s="7">
        <f t="shared" ref="H211:I211" si="889">H146*H$203</f>
        <v>1387.8805740298674</v>
      </c>
      <c r="I211" s="7">
        <f t="shared" si="889"/>
        <v>1320.9120936659936</v>
      </c>
      <c r="J211" s="7"/>
      <c r="K211" s="7">
        <f t="shared" ref="K211:N211" si="890">K146*K$203</f>
        <v>676.79581441290668</v>
      </c>
      <c r="L211" s="7">
        <f t="shared" si="890"/>
        <v>644.68237950977698</v>
      </c>
      <c r="M211" s="7">
        <f t="shared" si="890"/>
        <v>590.08259602321846</v>
      </c>
      <c r="N211" s="7">
        <f t="shared" si="890"/>
        <v>674.01154740923505</v>
      </c>
      <c r="O211" s="7">
        <f t="shared" ref="O211:P211" si="891">O146*O$203</f>
        <v>1338.4652065780124</v>
      </c>
      <c r="P211" s="7">
        <f t="shared" si="891"/>
        <v>1344.4596285097193</v>
      </c>
      <c r="Q211" s="7">
        <f t="shared" ref="Q211:T211" si="892">Q146*Q$203</f>
        <v>1403.5605329039629</v>
      </c>
      <c r="R211" s="7">
        <f t="shared" si="892"/>
        <v>1619.9200613714152</v>
      </c>
      <c r="S211" s="7">
        <f t="shared" si="892"/>
        <v>1641.1404131436386</v>
      </c>
      <c r="T211" s="7">
        <f t="shared" si="892"/>
        <v>1670.114594022416</v>
      </c>
      <c r="U211" s="7">
        <f t="shared" ref="U211:X211" si="893">U146*U$203</f>
        <v>1525.868373189626</v>
      </c>
      <c r="V211" s="7">
        <f t="shared" si="893"/>
        <v>1509.5306343546295</v>
      </c>
      <c r="W211" s="7">
        <f t="shared" si="893"/>
        <v>1420.5516828912023</v>
      </c>
      <c r="X211" s="7">
        <f t="shared" si="893"/>
        <v>1506.5201680046785</v>
      </c>
      <c r="Y211" s="7">
        <f t="shared" ref="Y211:AB211" si="894">Y146*Y$203</f>
        <v>1540.9842666369905</v>
      </c>
      <c r="Z211" s="7">
        <f t="shared" si="894"/>
        <v>1425.1217781583719</v>
      </c>
      <c r="AA211" s="7">
        <f t="shared" si="894"/>
        <v>1459.9576429159999</v>
      </c>
      <c r="AB211" s="7">
        <f t="shared" si="894"/>
        <v>1331.4565555052889</v>
      </c>
      <c r="AC211" s="7">
        <f t="shared" ref="AC211:AE211" si="895">AC146*AC$203</f>
        <v>1322.3662179160644</v>
      </c>
      <c r="AD211" s="7">
        <f t="shared" si="895"/>
        <v>1387.8805740298674</v>
      </c>
      <c r="AE211" s="7">
        <f t="shared" si="895"/>
        <v>1320.9120936659936</v>
      </c>
    </row>
    <row r="212" spans="2:31" ht="13.5" customHeight="1">
      <c r="B212" s="16" t="s">
        <v>245</v>
      </c>
      <c r="C212" s="7">
        <f>C147*C$203</f>
        <v>558.2943887323944</v>
      </c>
      <c r="D212" s="7">
        <f t="shared" ref="D212:E212" si="896">D147*D$203</f>
        <v>312.02928563036068</v>
      </c>
      <c r="E212" s="7">
        <f t="shared" si="896"/>
        <v>704.27185067232847</v>
      </c>
      <c r="F212" s="7">
        <f t="shared" ref="F212:G212" si="897">F147*F$203</f>
        <v>701.98507347430086</v>
      </c>
      <c r="G212" s="7">
        <f t="shared" si="897"/>
        <v>712.39453455571231</v>
      </c>
      <c r="H212" s="7">
        <f t="shared" ref="H212:I212" si="898">H147*H$203</f>
        <v>576.44582135124631</v>
      </c>
      <c r="I212" s="7">
        <f t="shared" si="898"/>
        <v>660.2495654614745</v>
      </c>
      <c r="J212" s="7"/>
      <c r="K212" s="7">
        <f t="shared" ref="K212:N212" si="899">K147*K$203</f>
        <v>641.58603295240971</v>
      </c>
      <c r="L212" s="7">
        <f t="shared" si="899"/>
        <v>516.37975626549155</v>
      </c>
      <c r="M212" s="7">
        <f t="shared" si="899"/>
        <v>472.42463999011983</v>
      </c>
      <c r="N212" s="7">
        <f t="shared" si="899"/>
        <v>312.02928563036068</v>
      </c>
      <c r="O212" s="7">
        <f t="shared" ref="O212:P212" si="900">O147*O$203</f>
        <v>941.63337351537916</v>
      </c>
      <c r="P212" s="7">
        <f t="shared" si="900"/>
        <v>695.46346544276457</v>
      </c>
      <c r="Q212" s="7">
        <f t="shared" ref="Q212:T212" si="901">Q147*Q$203</f>
        <v>660.14047888640721</v>
      </c>
      <c r="R212" s="7">
        <f t="shared" si="901"/>
        <v>704.68744836539611</v>
      </c>
      <c r="S212" s="7">
        <f t="shared" si="901"/>
        <v>724.4057237608223</v>
      </c>
      <c r="T212" s="7">
        <f t="shared" si="901"/>
        <v>736.00927272727267</v>
      </c>
      <c r="U212" s="7">
        <f t="shared" ref="U212:X212" si="902">U147*U$203</f>
        <v>703.4084439205119</v>
      </c>
      <c r="V212" s="7">
        <f t="shared" si="902"/>
        <v>701.98507347430086</v>
      </c>
      <c r="W212" s="7">
        <f t="shared" si="902"/>
        <v>707.25991603419925</v>
      </c>
      <c r="X212" s="7">
        <f t="shared" si="902"/>
        <v>676.8449316816417</v>
      </c>
      <c r="Y212" s="7">
        <f t="shared" ref="Y212:AB212" si="903">Y147*Y$203</f>
        <v>666.90296349877588</v>
      </c>
      <c r="Z212" s="7">
        <f t="shared" si="903"/>
        <v>712.39453455571231</v>
      </c>
      <c r="AA212" s="7">
        <f t="shared" si="903"/>
        <v>813.09253110600002</v>
      </c>
      <c r="AB212" s="7">
        <f t="shared" si="903"/>
        <v>550.70147138025379</v>
      </c>
      <c r="AC212" s="7">
        <f t="shared" ref="AC212:AE212" si="904">AC147*AC$203</f>
        <v>518.52474920212489</v>
      </c>
      <c r="AD212" s="7">
        <f t="shared" si="904"/>
        <v>576.44582135124631</v>
      </c>
      <c r="AE212" s="7">
        <f t="shared" si="904"/>
        <v>660.2495654614745</v>
      </c>
    </row>
    <row r="213" spans="2:31" ht="13.5" customHeight="1">
      <c r="B213" s="16" t="s">
        <v>246</v>
      </c>
      <c r="C213" s="7">
        <f>C148*C$203</f>
        <v>132.49081549295784</v>
      </c>
      <c r="D213" s="7">
        <f t="shared" ref="D213:E213" si="905">D148*D$203</f>
        <v>361.98226177887437</v>
      </c>
      <c r="E213" s="7">
        <f t="shared" si="905"/>
        <v>914.6928438310922</v>
      </c>
      <c r="F213" s="7">
        <f t="shared" ref="F213:G213" si="906">F148*F$203</f>
        <v>807.54556088032859</v>
      </c>
      <c r="G213" s="7">
        <f t="shared" si="906"/>
        <v>712.72724360265966</v>
      </c>
      <c r="H213" s="7">
        <f t="shared" ref="H213:I213" si="907">H148*H$203</f>
        <v>811.43475267862095</v>
      </c>
      <c r="I213" s="7">
        <f t="shared" si="907"/>
        <v>660.66252820451916</v>
      </c>
      <c r="J213" s="7"/>
      <c r="K213" s="7">
        <f t="shared" ref="K213:N213" si="908">K148*K$203</f>
        <v>35.209781460496913</v>
      </c>
      <c r="L213" s="7">
        <f t="shared" si="908"/>
        <v>128.3026232442854</v>
      </c>
      <c r="M213" s="7">
        <f t="shared" si="908"/>
        <v>117.6579560330986</v>
      </c>
      <c r="N213" s="7">
        <f t="shared" si="908"/>
        <v>361.98226177887437</v>
      </c>
      <c r="O213" s="7">
        <f t="shared" ref="O213:P213" si="909">O148*O$203</f>
        <v>396.83183306263311</v>
      </c>
      <c r="P213" s="7">
        <f t="shared" si="909"/>
        <v>648.99616306695464</v>
      </c>
      <c r="Q213" s="7">
        <f t="shared" ref="Q213:T213" si="910">Q148*Q$203</f>
        <v>743.42005401755569</v>
      </c>
      <c r="R213" s="7">
        <f t="shared" si="910"/>
        <v>915.23261300601905</v>
      </c>
      <c r="S213" s="7">
        <f t="shared" si="910"/>
        <v>916.73468938281633</v>
      </c>
      <c r="T213" s="7">
        <f t="shared" si="910"/>
        <v>934.10532129514331</v>
      </c>
      <c r="U213" s="7">
        <f t="shared" ref="U213:X213" si="911">U148*U$203</f>
        <v>822.45992926911413</v>
      </c>
      <c r="V213" s="7">
        <f t="shared" si="911"/>
        <v>807.54556088032859</v>
      </c>
      <c r="W213" s="7">
        <f t="shared" si="911"/>
        <v>713.29176685700293</v>
      </c>
      <c r="X213" s="7">
        <f t="shared" si="911"/>
        <v>829.67523632303687</v>
      </c>
      <c r="Y213" s="7">
        <f t="shared" ref="Y213:AB213" si="912">Y148*Y$203</f>
        <v>874.08130313821471</v>
      </c>
      <c r="Z213" s="7">
        <f t="shared" si="912"/>
        <v>712.72724360265966</v>
      </c>
      <c r="AA213" s="7">
        <f t="shared" si="912"/>
        <v>646.86511181000003</v>
      </c>
      <c r="AB213" s="7">
        <f t="shared" si="912"/>
        <v>780.75508412503507</v>
      </c>
      <c r="AC213" s="7">
        <f t="shared" ref="AC213:AE213" si="913">AC148*AC$203</f>
        <v>803.84146871393955</v>
      </c>
      <c r="AD213" s="7">
        <f t="shared" si="913"/>
        <v>811.43475267862095</v>
      </c>
      <c r="AE213" s="7">
        <f t="shared" si="913"/>
        <v>660.66252820451916</v>
      </c>
    </row>
    <row r="214" spans="2:31" ht="13.5" customHeight="1">
      <c r="B214" s="16" t="s">
        <v>247</v>
      </c>
      <c r="C214" s="22">
        <f t="shared" ref="C214" si="914">C211/C209</f>
        <v>1.8446506985235391</v>
      </c>
      <c r="D214" s="22">
        <f t="shared" ref="D214:E214" si="915">D211/D209</f>
        <v>1.1507938633828922</v>
      </c>
      <c r="E214" s="22">
        <f t="shared" si="915"/>
        <v>3.9478498828115058</v>
      </c>
      <c r="F214" s="22">
        <f t="shared" ref="F214:G214" si="916">F211/F209</f>
        <v>3.3403229243176846</v>
      </c>
      <c r="G214" s="22">
        <f t="shared" si="916"/>
        <v>3.210265004807261</v>
      </c>
      <c r="H214" s="22">
        <f t="shared" ref="H214:I214" si="917">H211/H209</f>
        <v>3.5060473580338849</v>
      </c>
      <c r="I214" s="22">
        <f t="shared" si="917"/>
        <v>3.2859360228603278</v>
      </c>
      <c r="J214" s="22"/>
      <c r="K214" s="84"/>
      <c r="L214" s="84"/>
      <c r="M214" s="84"/>
      <c r="N214" s="22">
        <f t="shared" ref="N214" si="918">N211/N209</f>
        <v>1.1524004584906751</v>
      </c>
      <c r="O214" s="22">
        <f t="shared" ref="O214:P214" si="919">O211/O209</f>
        <v>2.3110930554074338</v>
      </c>
      <c r="P214" s="22">
        <f t="shared" si="919"/>
        <v>2.5817371446669473</v>
      </c>
      <c r="Q214" s="22">
        <f t="shared" ref="Q214:T214" si="920">Q211/Q209</f>
        <v>3.0839198333160205</v>
      </c>
      <c r="R214" s="22">
        <f t="shared" si="920"/>
        <v>3.9654903770351058</v>
      </c>
      <c r="S214" s="22">
        <f t="shared" si="920"/>
        <v>4.0136898450078533</v>
      </c>
      <c r="T214" s="22">
        <f t="shared" si="920"/>
        <v>3.8554951344683808</v>
      </c>
      <c r="U214" s="22">
        <f t="shared" ref="U214:X214" si="921">U211/U209</f>
        <v>3.2663255879669748</v>
      </c>
      <c r="V214" s="22">
        <f t="shared" si="921"/>
        <v>3.321318930035793</v>
      </c>
      <c r="W214" s="22">
        <f t="shared" si="921"/>
        <v>3.3208379319291734</v>
      </c>
      <c r="X214" s="22">
        <f t="shared" si="921"/>
        <v>3.7773124434803695</v>
      </c>
      <c r="Y214" s="22">
        <f t="shared" ref="Y214:AB214" si="922">Y211/Y209</f>
        <v>4.1319248524791012</v>
      </c>
      <c r="Z214" s="22">
        <f t="shared" si="922"/>
        <v>3.210265004807261</v>
      </c>
      <c r="AA214" s="22">
        <f t="shared" si="922"/>
        <v>3.2679253577740908</v>
      </c>
      <c r="AB214" s="22">
        <f t="shared" si="922"/>
        <v>3.1025759367728765</v>
      </c>
      <c r="AC214" s="22">
        <f t="shared" ref="AC214:AE214" si="923">AC211/AC209</f>
        <v>3.0909075528716068</v>
      </c>
      <c r="AD214" s="22">
        <f t="shared" si="923"/>
        <v>3.5060473580338849</v>
      </c>
      <c r="AE214" s="22">
        <f t="shared" si="923"/>
        <v>3.2859360228603278</v>
      </c>
    </row>
    <row r="215" spans="2:31" ht="13.5" customHeight="1">
      <c r="B215" s="16" t="s">
        <v>248</v>
      </c>
      <c r="C215" s="22">
        <f t="shared" ref="C215" si="924">C213/C209</f>
        <v>0.35379923289050147</v>
      </c>
      <c r="D215" s="22">
        <f t="shared" ref="D215:E215" si="925">D213/D209</f>
        <v>0.61804128892121812</v>
      </c>
      <c r="E215" s="22">
        <f t="shared" si="925"/>
        <v>2.2304810281454048</v>
      </c>
      <c r="F215" s="22">
        <f t="shared" ref="F215:G215" si="926">F213/F209</f>
        <v>1.7869547580217158</v>
      </c>
      <c r="G215" s="22">
        <f t="shared" si="926"/>
        <v>1.6055072367689907</v>
      </c>
      <c r="H215" s="22">
        <f t="shared" ref="H215:I215" si="927">H213/H209</f>
        <v>2.0498367972578415</v>
      </c>
      <c r="I215" s="22">
        <f t="shared" si="927"/>
        <v>1.6434816599764892</v>
      </c>
      <c r="J215" s="22"/>
      <c r="K215" s="84"/>
      <c r="L215" s="84"/>
      <c r="M215" s="84"/>
      <c r="N215" s="22">
        <f t="shared" ref="N215" si="928">N213/N209</f>
        <v>0.6189041212170644</v>
      </c>
      <c r="O215" s="22">
        <f t="shared" ref="O215:P215" si="929">O213/O209</f>
        <v>0.68519920357167652</v>
      </c>
      <c r="P215" s="22">
        <f t="shared" si="929"/>
        <v>1.2462534875766791</v>
      </c>
      <c r="Q215" s="22">
        <f t="shared" ref="Q215:T215" si="930">Q213/Q209</f>
        <v>1.6334513512759761</v>
      </c>
      <c r="R215" s="22">
        <f t="shared" si="930"/>
        <v>2.2404476653937353</v>
      </c>
      <c r="S215" s="22">
        <f t="shared" si="930"/>
        <v>2.2420316286612558</v>
      </c>
      <c r="T215" s="22">
        <f t="shared" si="930"/>
        <v>2.1564020422457975</v>
      </c>
      <c r="U215" s="22">
        <f t="shared" ref="U215:X215" si="931">U213/U209</f>
        <v>1.7605856175088064</v>
      </c>
      <c r="V215" s="22">
        <f t="shared" si="931"/>
        <v>1.7767882924515104</v>
      </c>
      <c r="W215" s="22">
        <f t="shared" si="931"/>
        <v>1.6674693250797639</v>
      </c>
      <c r="X215" s="22">
        <f t="shared" si="931"/>
        <v>2.0802526648954833</v>
      </c>
      <c r="Y215" s="22">
        <f t="shared" ref="Y215:AB215" si="932">Y213/Y209</f>
        <v>2.3437216963973726</v>
      </c>
      <c r="Z215" s="22">
        <f t="shared" si="932"/>
        <v>1.6055072367689907</v>
      </c>
      <c r="AA215" s="22">
        <f t="shared" si="932"/>
        <v>1.4479234464098061</v>
      </c>
      <c r="AB215" s="22">
        <f t="shared" si="932"/>
        <v>1.8193248037298009</v>
      </c>
      <c r="AC215" s="22">
        <f t="shared" ref="AC215:AE215" si="933">AC213/AC209</f>
        <v>1.8789043710409032</v>
      </c>
      <c r="AD215" s="22">
        <f t="shared" si="933"/>
        <v>2.0498367972578415</v>
      </c>
      <c r="AE215" s="22">
        <f t="shared" si="933"/>
        <v>1.6434816599764892</v>
      </c>
    </row>
    <row r="216" spans="2:31" ht="13.5" customHeight="1">
      <c r="C216" s="7"/>
      <c r="D216" s="7"/>
      <c r="E216" s="7"/>
      <c r="F216" s="7"/>
      <c r="G216" s="7"/>
      <c r="H216" s="7"/>
      <c r="I216" s="7"/>
      <c r="J216" s="7"/>
      <c r="K216" s="7"/>
      <c r="L216" s="7"/>
      <c r="M216" s="7"/>
      <c r="N216" s="7"/>
      <c r="O216" s="7"/>
      <c r="P216" s="7"/>
      <c r="Q216" s="7"/>
      <c r="R216" s="7"/>
      <c r="S216" s="7"/>
      <c r="T216" s="7"/>
      <c r="U216" s="7"/>
      <c r="V216" s="7"/>
      <c r="W216" s="7"/>
      <c r="X216" s="7"/>
      <c r="Z216" s="7"/>
      <c r="AA216" s="7"/>
      <c r="AB216" s="7"/>
      <c r="AD216" s="7"/>
      <c r="AE216" s="7"/>
    </row>
    <row r="217" spans="2:31" ht="13.5" customHeight="1">
      <c r="B217" s="40" t="s">
        <v>249</v>
      </c>
      <c r="C217" s="39"/>
      <c r="D217" s="39"/>
      <c r="E217" s="39"/>
      <c r="F217" s="39"/>
      <c r="G217" s="39"/>
      <c r="H217" s="39"/>
      <c r="I217" s="39"/>
      <c r="J217" s="199"/>
      <c r="K217" s="39"/>
      <c r="L217" s="39"/>
      <c r="M217" s="39"/>
      <c r="N217" s="39"/>
      <c r="O217" s="39"/>
      <c r="P217" s="39"/>
      <c r="Q217" s="39"/>
      <c r="R217" s="39"/>
      <c r="S217" s="39"/>
      <c r="T217" s="39"/>
      <c r="U217" s="39"/>
      <c r="V217" s="39"/>
      <c r="W217" s="39"/>
      <c r="X217" s="39"/>
      <c r="Y217" s="39"/>
      <c r="Z217" s="39"/>
      <c r="AA217" s="39"/>
      <c r="AB217" s="39"/>
      <c r="AC217" s="39"/>
      <c r="AD217" s="39"/>
      <c r="AE217" s="39"/>
    </row>
    <row r="218" spans="2:31" s="38" customFormat="1" ht="13.5" customHeight="1">
      <c r="B218" s="37" t="s">
        <v>256</v>
      </c>
      <c r="C218" s="36">
        <f t="shared" ref="C218:H218" si="934">C3</f>
        <v>44196</v>
      </c>
      <c r="D218" s="36">
        <f t="shared" si="934"/>
        <v>44561</v>
      </c>
      <c r="E218" s="36">
        <f t="shared" si="934"/>
        <v>44926</v>
      </c>
      <c r="F218" s="36">
        <f t="shared" si="934"/>
        <v>45291</v>
      </c>
      <c r="G218" s="36">
        <f t="shared" si="934"/>
        <v>45657</v>
      </c>
      <c r="H218" s="36">
        <f t="shared" si="934"/>
        <v>46022</v>
      </c>
      <c r="I218" s="36">
        <f t="shared" ref="I218" si="935">I3</f>
        <v>46112</v>
      </c>
      <c r="J218" s="193"/>
      <c r="K218" s="36">
        <f t="shared" ref="K218:Z218" si="936">K3</f>
        <v>44286</v>
      </c>
      <c r="L218" s="36">
        <f t="shared" si="936"/>
        <v>44377</v>
      </c>
      <c r="M218" s="36">
        <f t="shared" si="936"/>
        <v>44469</v>
      </c>
      <c r="N218" s="36">
        <f t="shared" si="936"/>
        <v>44561</v>
      </c>
      <c r="O218" s="36">
        <f t="shared" si="936"/>
        <v>44651</v>
      </c>
      <c r="P218" s="36">
        <f t="shared" si="936"/>
        <v>44742</v>
      </c>
      <c r="Q218" s="36">
        <f t="shared" si="936"/>
        <v>44834</v>
      </c>
      <c r="R218" s="36">
        <f t="shared" si="936"/>
        <v>44926</v>
      </c>
      <c r="S218" s="36">
        <f t="shared" si="936"/>
        <v>45016</v>
      </c>
      <c r="T218" s="36">
        <f t="shared" si="936"/>
        <v>45107</v>
      </c>
      <c r="U218" s="36">
        <f t="shared" si="936"/>
        <v>45199</v>
      </c>
      <c r="V218" s="36">
        <f t="shared" si="936"/>
        <v>45291</v>
      </c>
      <c r="W218" s="36">
        <f t="shared" si="936"/>
        <v>45382</v>
      </c>
      <c r="X218" s="36">
        <f t="shared" si="936"/>
        <v>45473</v>
      </c>
      <c r="Y218" s="36">
        <f t="shared" si="936"/>
        <v>45565</v>
      </c>
      <c r="Z218" s="36">
        <f t="shared" si="936"/>
        <v>45657</v>
      </c>
      <c r="AA218" s="36">
        <f t="shared" ref="AA218:AD218" si="937">AA3</f>
        <v>45747</v>
      </c>
      <c r="AB218" s="36">
        <f t="shared" si="937"/>
        <v>45838</v>
      </c>
      <c r="AC218" s="36">
        <f t="shared" si="937"/>
        <v>45930</v>
      </c>
      <c r="AD218" s="36">
        <f t="shared" si="937"/>
        <v>46022</v>
      </c>
      <c r="AE218" s="36">
        <f t="shared" ref="AE218" si="938">AE3</f>
        <v>46112</v>
      </c>
    </row>
    <row r="219" spans="2:31" s="19" customFormat="1" ht="13.5" customHeight="1">
      <c r="B219" s="37"/>
      <c r="C219" s="36" t="s">
        <v>142</v>
      </c>
      <c r="D219" s="36" t="s">
        <v>142</v>
      </c>
      <c r="E219" s="36" t="s">
        <v>142</v>
      </c>
      <c r="F219" s="36" t="s">
        <v>142</v>
      </c>
      <c r="G219" s="36" t="s">
        <v>142</v>
      </c>
      <c r="H219" s="36" t="s">
        <v>142</v>
      </c>
      <c r="I219" s="36" t="s">
        <v>142</v>
      </c>
      <c r="J219" s="193"/>
      <c r="K219" s="36" t="s">
        <v>142</v>
      </c>
      <c r="L219" s="36" t="s">
        <v>142</v>
      </c>
      <c r="M219" s="36" t="s">
        <v>142</v>
      </c>
      <c r="N219" s="36" t="s">
        <v>142</v>
      </c>
      <c r="O219" s="36" t="s">
        <v>142</v>
      </c>
      <c r="P219" s="36" t="s">
        <v>142</v>
      </c>
      <c r="Q219" s="36" t="s">
        <v>142</v>
      </c>
      <c r="R219" s="36" t="s">
        <v>142</v>
      </c>
      <c r="S219" s="36" t="s">
        <v>142</v>
      </c>
      <c r="T219" s="36" t="s">
        <v>142</v>
      </c>
      <c r="U219" s="36" t="s">
        <v>142</v>
      </c>
      <c r="V219" s="36" t="s">
        <v>142</v>
      </c>
      <c r="W219" s="36" t="s">
        <v>142</v>
      </c>
      <c r="X219" s="36" t="s">
        <v>142</v>
      </c>
      <c r="Y219" s="36" t="s">
        <v>142</v>
      </c>
      <c r="Z219" s="36" t="s">
        <v>142</v>
      </c>
      <c r="AA219" s="36" t="s">
        <v>142</v>
      </c>
      <c r="AB219" s="36" t="s">
        <v>142</v>
      </c>
      <c r="AC219" s="36" t="s">
        <v>142</v>
      </c>
      <c r="AD219" s="36" t="s">
        <v>142</v>
      </c>
      <c r="AE219" s="36" t="s">
        <v>142</v>
      </c>
    </row>
    <row r="220" spans="2:31" ht="13.5" customHeight="1"/>
    <row r="221" spans="2:31" s="19" customFormat="1" ht="13.5" customHeight="1">
      <c r="B221" s="19" t="str">
        <f>B7</f>
        <v>Revenue</v>
      </c>
      <c r="C221" s="34">
        <f t="shared" ref="C221:H221" si="939">C7*C$202</f>
        <v>2346.8985584515676</v>
      </c>
      <c r="D221" s="34">
        <f t="shared" si="939"/>
        <v>3270.304930374582</v>
      </c>
      <c r="E221" s="34">
        <f t="shared" si="939"/>
        <v>3106.5580687663978</v>
      </c>
      <c r="F221" s="34">
        <f t="shared" si="939"/>
        <v>3055.8704865701861</v>
      </c>
      <c r="G221" s="34">
        <f t="shared" si="939"/>
        <v>3100.0291639255802</v>
      </c>
      <c r="H221" s="34">
        <f t="shared" si="939"/>
        <v>3061.5645987362959</v>
      </c>
      <c r="I221" s="34">
        <f t="shared" ref="I221" si="940">I7*I$202</f>
        <v>3110.2539536979225</v>
      </c>
      <c r="J221" s="34"/>
      <c r="K221" s="34">
        <f t="shared" ref="K221:Z221" si="941">K7*K$202</f>
        <v>781.47346933176027</v>
      </c>
      <c r="L221" s="34">
        <f t="shared" si="941"/>
        <v>645.98522510968701</v>
      </c>
      <c r="M221" s="34">
        <f t="shared" si="941"/>
        <v>813.30246595653216</v>
      </c>
      <c r="N221" s="34">
        <f t="shared" si="941"/>
        <v>990.91995422962191</v>
      </c>
      <c r="O221" s="34">
        <f t="shared" si="941"/>
        <v>855.91798227543518</v>
      </c>
      <c r="P221" s="34">
        <f t="shared" si="941"/>
        <v>655.91146049046552</v>
      </c>
      <c r="Q221" s="34">
        <f t="shared" si="941"/>
        <v>724.71156141818631</v>
      </c>
      <c r="R221" s="34">
        <f t="shared" si="941"/>
        <v>852.50436636782865</v>
      </c>
      <c r="S221" s="34">
        <f t="shared" si="941"/>
        <v>895.26564519506201</v>
      </c>
      <c r="T221" s="34">
        <f t="shared" si="941"/>
        <v>720.98592809488082</v>
      </c>
      <c r="U221" s="34">
        <f t="shared" si="941"/>
        <v>813.04004370902805</v>
      </c>
      <c r="V221" s="34">
        <f t="shared" si="941"/>
        <v>646.56676647503798</v>
      </c>
      <c r="W221" s="34">
        <f t="shared" si="941"/>
        <v>804.62301846716502</v>
      </c>
      <c r="X221" s="34">
        <f t="shared" si="941"/>
        <v>546.88693878281867</v>
      </c>
      <c r="Y221" s="34">
        <f t="shared" si="941"/>
        <v>724.46996778076584</v>
      </c>
      <c r="Z221" s="34">
        <f t="shared" si="941"/>
        <v>1026.3063194306014</v>
      </c>
      <c r="AA221" s="34">
        <f t="shared" ref="AA221:AD221" si="942">AA7*AA$202</f>
        <v>842.79563286945222</v>
      </c>
      <c r="AB221" s="34">
        <f t="shared" si="942"/>
        <v>617.94034428280463</v>
      </c>
      <c r="AC221" s="34">
        <f t="shared" si="942"/>
        <v>686.12785648804061</v>
      </c>
      <c r="AD221" s="34">
        <f t="shared" si="942"/>
        <v>913.85550724948052</v>
      </c>
      <c r="AE221" s="34">
        <f>AE7*AE$202</f>
        <v>897.3315500923685</v>
      </c>
    </row>
    <row r="222" spans="2:31" s="30" customFormat="1" ht="13.5" customHeight="1">
      <c r="B222" s="35" t="s">
        <v>250</v>
      </c>
      <c r="C222" s="31"/>
      <c r="D222" s="31">
        <f>D221/C221-1</f>
        <v>0.39345815293024744</v>
      </c>
      <c r="E222" s="31">
        <f>E221/D221-1</f>
        <v>-5.0070823698213585E-2</v>
      </c>
      <c r="F222" s="31">
        <f>F221/E221-1</f>
        <v>-1.6316315701878858E-2</v>
      </c>
      <c r="G222" s="31">
        <f>G221/F221-1</f>
        <v>1.4450441387964919E-2</v>
      </c>
      <c r="H222" s="31">
        <f>H221/G221-1</f>
        <v>-1.2407807525454562E-2</v>
      </c>
      <c r="I222" s="31"/>
      <c r="J222" s="34"/>
      <c r="K222" s="31"/>
      <c r="L222" s="31"/>
      <c r="M222" s="31"/>
      <c r="N222" s="31"/>
      <c r="O222" s="31">
        <f t="shared" ref="O222:S222" si="943">O221/K221-1</f>
        <v>9.5261727832337773E-2</v>
      </c>
      <c r="P222" s="31">
        <f t="shared" si="943"/>
        <v>1.5366040885986365E-2</v>
      </c>
      <c r="Q222" s="31">
        <f t="shared" si="943"/>
        <v>-0.10892737726320956</v>
      </c>
      <c r="R222" s="31">
        <f t="shared" si="943"/>
        <v>-0.1396839242877117</v>
      </c>
      <c r="S222" s="31">
        <f t="shared" si="943"/>
        <v>4.5971300678859572E-2</v>
      </c>
      <c r="T222" s="31">
        <f t="shared" ref="T222" si="944">T221/P221-1</f>
        <v>9.9212274101378117E-2</v>
      </c>
      <c r="U222" s="31">
        <f t="shared" ref="U222:AE222" si="945">U221/Q221-1</f>
        <v>0.12188087922592539</v>
      </c>
      <c r="V222" s="31">
        <f t="shared" si="945"/>
        <v>-0.24156779486092994</v>
      </c>
      <c r="W222" s="31">
        <f t="shared" si="945"/>
        <v>-0.10124662686922115</v>
      </c>
      <c r="X222" s="31">
        <f t="shared" si="945"/>
        <v>-0.24147349140654928</v>
      </c>
      <c r="Y222" s="31">
        <f t="shared" si="945"/>
        <v>-0.10893691720793008</v>
      </c>
      <c r="Z222" s="31">
        <f t="shared" si="945"/>
        <v>0.5873168443621577</v>
      </c>
      <c r="AA222" s="31">
        <f t="shared" si="945"/>
        <v>4.7441613682650319E-2</v>
      </c>
      <c r="AB222" s="31">
        <f t="shared" si="945"/>
        <v>0.12992339085319227</v>
      </c>
      <c r="AC222" s="31">
        <f t="shared" si="945"/>
        <v>-5.2924362634626188E-2</v>
      </c>
      <c r="AD222" s="31">
        <f t="shared" si="945"/>
        <v>-0.10956846903516004</v>
      </c>
      <c r="AE222" s="31">
        <f t="shared" si="945"/>
        <v>6.4708352886498455E-2</v>
      </c>
    </row>
    <row r="223" spans="2:31" ht="13.5" customHeight="1">
      <c r="K223" s="29"/>
      <c r="L223" s="29"/>
      <c r="M223" s="29"/>
      <c r="N223" s="29"/>
      <c r="O223" s="29"/>
      <c r="P223" s="29"/>
      <c r="Q223" s="29"/>
      <c r="R223" s="29"/>
      <c r="S223" s="29"/>
      <c r="T223" s="29"/>
      <c r="U223" s="29"/>
      <c r="V223" s="29"/>
      <c r="W223" s="29"/>
      <c r="X223" s="29"/>
      <c r="Y223" s="29"/>
      <c r="Z223" s="29"/>
      <c r="AA223" s="29"/>
      <c r="AB223" s="29"/>
      <c r="AC223" s="29"/>
      <c r="AD223" s="29"/>
      <c r="AE223" s="29"/>
    </row>
    <row r="224" spans="2:31" s="19" customFormat="1" ht="13.5" customHeight="1" thickBot="1">
      <c r="B224" s="25" t="str">
        <f>B51</f>
        <v xml:space="preserve">Adj. EBITDA </v>
      </c>
      <c r="C224" s="33">
        <f t="shared" ref="C224:E224" si="946">C51*C$202</f>
        <v>374.4802226124749</v>
      </c>
      <c r="D224" s="33">
        <f t="shared" si="946"/>
        <v>585.69268472452552</v>
      </c>
      <c r="E224" s="33">
        <f t="shared" si="946"/>
        <v>410.08770408221716</v>
      </c>
      <c r="F224" s="33">
        <f t="shared" ref="F224:G224" si="947">F51*F$202</f>
        <v>451.91158715978804</v>
      </c>
      <c r="G224" s="33">
        <f t="shared" si="947"/>
        <v>443.92652196136493</v>
      </c>
      <c r="H224" s="33">
        <f t="shared" ref="H224:I224" si="948">H51*H$202</f>
        <v>395.85334489268297</v>
      </c>
      <c r="I224" s="33">
        <f t="shared" si="948"/>
        <v>401.98959580356393</v>
      </c>
      <c r="J224" s="44"/>
      <c r="K224" s="33">
        <f t="shared" ref="K224:N224" si="949">K51*K$202</f>
        <v>173.60705966279343</v>
      </c>
      <c r="L224" s="33">
        <f t="shared" si="949"/>
        <v>84.632716989363132</v>
      </c>
      <c r="M224" s="33">
        <f t="shared" si="949"/>
        <v>132.52565203086834</v>
      </c>
      <c r="N224" s="33">
        <f t="shared" si="949"/>
        <v>187.25790087748609</v>
      </c>
      <c r="O224" s="33">
        <f t="shared" ref="O224:P224" si="950">O51*O$202</f>
        <v>165.11403254775976</v>
      </c>
      <c r="P224" s="33">
        <f t="shared" si="950"/>
        <v>38.134133674471002</v>
      </c>
      <c r="Q224" s="33">
        <f t="shared" ref="Q224:T224" si="951">Q51*Q$202</f>
        <v>71.619542198298674</v>
      </c>
      <c r="R224" s="33">
        <f t="shared" si="951"/>
        <v>136.16489477751108</v>
      </c>
      <c r="S224" s="33">
        <f t="shared" si="951"/>
        <v>165.5642381780543</v>
      </c>
      <c r="T224" s="33">
        <f t="shared" si="951"/>
        <v>59.168582344586106</v>
      </c>
      <c r="U224" s="33">
        <f t="shared" ref="U224:X224" si="952">U51*U$202</f>
        <v>102.23295732937602</v>
      </c>
      <c r="V224" s="33">
        <f t="shared" si="952"/>
        <v>124.83580345004806</v>
      </c>
      <c r="W224" s="33">
        <f t="shared" si="952"/>
        <v>133.91608017830075</v>
      </c>
      <c r="X224" s="33">
        <f t="shared" si="952"/>
        <v>40.363861437689678</v>
      </c>
      <c r="Y224" s="33">
        <f t="shared" ref="Y224:AB224" si="953">Y51*Y$202</f>
        <v>76.634337753873012</v>
      </c>
      <c r="Z224" s="33">
        <f t="shared" si="953"/>
        <v>193.60453070594642</v>
      </c>
      <c r="AA224" s="33">
        <f t="shared" si="953"/>
        <v>135.59633660165224</v>
      </c>
      <c r="AB224" s="33">
        <f t="shared" si="953"/>
        <v>21.116753122580818</v>
      </c>
      <c r="AC224" s="33">
        <f t="shared" ref="AC224:AE224" si="954">AC51*AC$202</f>
        <v>76.709517459788316</v>
      </c>
      <c r="AD224" s="33">
        <f t="shared" si="954"/>
        <v>161.9104308997066</v>
      </c>
      <c r="AE224" s="33">
        <f t="shared" si="954"/>
        <v>144.143596100736</v>
      </c>
    </row>
    <row r="225" spans="2:31" s="30" customFormat="1" ht="13.5" customHeight="1" thickTop="1">
      <c r="B225" s="32" t="str">
        <f>B52</f>
        <v xml:space="preserve">% growth </v>
      </c>
      <c r="C225" s="31"/>
      <c r="D225" s="31">
        <f>D224/C224-1</f>
        <v>0.56401499827834845</v>
      </c>
      <c r="E225" s="31">
        <f>E224/D224-1</f>
        <v>-0.29982443903137079</v>
      </c>
      <c r="F225" s="31">
        <f>F224/E224-1</f>
        <v>0.1019876544974041</v>
      </c>
      <c r="G225" s="31">
        <f>G224/F224-1</f>
        <v>-1.7669529671961559E-2</v>
      </c>
      <c r="H225" s="31">
        <f>H224/G224-1</f>
        <v>-0.10829084249412291</v>
      </c>
      <c r="I225" s="31"/>
      <c r="J225" s="201"/>
      <c r="K225" s="31"/>
      <c r="L225" s="31"/>
      <c r="M225" s="31"/>
      <c r="N225" s="31"/>
      <c r="O225" s="31">
        <f t="shared" ref="O225:S225" si="955">O224/K224-1</f>
        <v>-4.8920977819278511E-2</v>
      </c>
      <c r="P225" s="31">
        <f t="shared" si="955"/>
        <v>-0.54941617106226426</v>
      </c>
      <c r="Q225" s="31">
        <f t="shared" si="955"/>
        <v>-0.45957977870113176</v>
      </c>
      <c r="R225" s="31">
        <f t="shared" si="955"/>
        <v>-0.27284833302389055</v>
      </c>
      <c r="S225" s="31">
        <f t="shared" si="955"/>
        <v>2.7266345770116107E-3</v>
      </c>
      <c r="T225" s="31">
        <f t="shared" ref="T225" si="956">T224/P224-1</f>
        <v>0.55159109813989748</v>
      </c>
      <c r="U225" s="31">
        <f t="shared" ref="U225:AE225" si="957">U224/Q224-1</f>
        <v>0.42744499882888909</v>
      </c>
      <c r="V225" s="31">
        <f t="shared" si="957"/>
        <v>-8.320126377635273E-2</v>
      </c>
      <c r="W225" s="31">
        <f t="shared" si="957"/>
        <v>-0.19115334536023343</v>
      </c>
      <c r="X225" s="31">
        <f t="shared" si="957"/>
        <v>-0.31781597871284895</v>
      </c>
      <c r="Y225" s="31">
        <f t="shared" si="957"/>
        <v>-0.25039498263782889</v>
      </c>
      <c r="Z225" s="31">
        <f t="shared" si="957"/>
        <v>0.55087343018075385</v>
      </c>
      <c r="AA225" s="31">
        <f t="shared" si="957"/>
        <v>1.2547084869228176E-2</v>
      </c>
      <c r="AB225" s="31">
        <f t="shared" si="957"/>
        <v>-0.47684011463623033</v>
      </c>
      <c r="AC225" s="31">
        <f t="shared" si="957"/>
        <v>9.8101853710486075E-4</v>
      </c>
      <c r="AD225" s="31">
        <f t="shared" si="957"/>
        <v>-0.16370536211457765</v>
      </c>
      <c r="AE225" s="31">
        <f t="shared" si="957"/>
        <v>6.303459011723489E-2</v>
      </c>
    </row>
    <row r="226" spans="2:31" s="30" customFormat="1" ht="13.5" customHeight="1">
      <c r="B226" s="32" t="str">
        <f>B53</f>
        <v>% margin</v>
      </c>
      <c r="C226" s="31">
        <f t="shared" ref="C226" si="958">C224/C221</f>
        <v>0.15956387261132784</v>
      </c>
      <c r="D226" s="31">
        <f t="shared" ref="D226:E226" si="959">D224/D221</f>
        <v>0.17909421206708087</v>
      </c>
      <c r="E226" s="31">
        <f t="shared" si="959"/>
        <v>0.13200709434833174</v>
      </c>
      <c r="F226" s="31">
        <f t="shared" ref="F226:G226" si="960">F224/F221</f>
        <v>0.14788309555193208</v>
      </c>
      <c r="G226" s="31">
        <f t="shared" si="960"/>
        <v>0.14320075666617887</v>
      </c>
      <c r="H226" s="31">
        <f t="shared" ref="H226:I226" si="961">H224/H221</f>
        <v>0.12929772739601086</v>
      </c>
      <c r="I226" s="31">
        <f t="shared" si="961"/>
        <v>0.12924655085660133</v>
      </c>
      <c r="J226" s="201"/>
      <c r="K226" s="31">
        <f t="shared" ref="K226:N226" si="962">K224/K221</f>
        <v>0.22215349141826302</v>
      </c>
      <c r="L226" s="31">
        <f t="shared" si="962"/>
        <v>0.13101339426918421</v>
      </c>
      <c r="M226" s="31">
        <f t="shared" si="962"/>
        <v>0.16294755958351087</v>
      </c>
      <c r="N226" s="31">
        <f t="shared" si="962"/>
        <v>0.18897379155420013</v>
      </c>
      <c r="O226" s="31">
        <f t="shared" ref="O226:P226" si="963">O224/O221</f>
        <v>0.19290870850593475</v>
      </c>
      <c r="P226" s="31">
        <f t="shared" si="963"/>
        <v>5.8139148302052468E-2</v>
      </c>
      <c r="Q226" s="31">
        <f t="shared" ref="Q226:T226" si="964">Q224/Q221</f>
        <v>9.8824892565735484E-2</v>
      </c>
      <c r="R226" s="31">
        <f t="shared" si="964"/>
        <v>0.15972339867026586</v>
      </c>
      <c r="S226" s="31">
        <f t="shared" si="964"/>
        <v>0.18493308557817034</v>
      </c>
      <c r="T226" s="31">
        <f t="shared" si="964"/>
        <v>8.2066209670599286E-2</v>
      </c>
      <c r="U226" s="31">
        <f t="shared" ref="U226:X226" si="965">U224/U221</f>
        <v>0.12574160168421336</v>
      </c>
      <c r="V226" s="31">
        <f t="shared" si="965"/>
        <v>0.19307488402261949</v>
      </c>
      <c r="W226" s="31">
        <f t="shared" si="965"/>
        <v>0.16643331983394605</v>
      </c>
      <c r="X226" s="31">
        <f t="shared" si="965"/>
        <v>7.3806592506168986E-2</v>
      </c>
      <c r="Y226" s="31">
        <f t="shared" ref="Y226:AB226" si="966">Y224/Y221</f>
        <v>0.10577986826510326</v>
      </c>
      <c r="Z226" s="31">
        <f t="shared" si="966"/>
        <v>0.18864205261189362</v>
      </c>
      <c r="AA226" s="31">
        <f t="shared" si="966"/>
        <v>0.16088875085884066</v>
      </c>
      <c r="AB226" s="31">
        <f t="shared" si="966"/>
        <v>3.4172802144986004E-2</v>
      </c>
      <c r="AC226" s="31">
        <f t="shared" ref="AC226:AE226" si="967">AC224/AC221</f>
        <v>0.11180061665536732</v>
      </c>
      <c r="AD226" s="31">
        <f t="shared" si="967"/>
        <v>0.17717290054641582</v>
      </c>
      <c r="AE226" s="31">
        <f t="shared" si="967"/>
        <v>0.16063582751091091</v>
      </c>
    </row>
    <row r="227" spans="2:31" ht="13.5" customHeight="1">
      <c r="K227" s="29"/>
      <c r="L227" s="29"/>
      <c r="M227" s="29"/>
      <c r="N227" s="29"/>
      <c r="O227" s="29"/>
      <c r="P227" s="29"/>
      <c r="Q227" s="29"/>
      <c r="R227" s="29"/>
      <c r="S227" s="29"/>
      <c r="T227" s="29"/>
      <c r="U227" s="29"/>
      <c r="V227" s="29"/>
      <c r="W227" s="29"/>
      <c r="X227" s="29"/>
      <c r="Y227" s="29"/>
      <c r="Z227" s="29"/>
      <c r="AA227" s="29"/>
      <c r="AB227" s="29"/>
      <c r="AC227" s="29"/>
      <c r="AD227" s="29"/>
      <c r="AE227" s="29"/>
    </row>
    <row r="228" spans="2:31" s="19" customFormat="1" ht="13.5" customHeight="1">
      <c r="B228" s="19" t="str">
        <f t="shared" ref="B228:B245" si="968">B59</f>
        <v xml:space="preserve">Adj. EBITDA </v>
      </c>
      <c r="C228" s="28">
        <f t="shared" ref="C228:C245" si="969">C59*C$202</f>
        <v>374.4802226124749</v>
      </c>
      <c r="D228" s="28">
        <f t="shared" ref="D228:E228" si="970">D59*D$202</f>
        <v>585.69268472452552</v>
      </c>
      <c r="E228" s="28">
        <f t="shared" si="970"/>
        <v>410.08770408221716</v>
      </c>
      <c r="F228" s="28">
        <f t="shared" ref="F228:G228" si="971">F59*F$202</f>
        <v>451.91158715978804</v>
      </c>
      <c r="G228" s="28">
        <f t="shared" si="971"/>
        <v>443.92652196136493</v>
      </c>
      <c r="H228" s="28">
        <f t="shared" ref="H228:I228" si="972">H59*H$202</f>
        <v>395.85334489268297</v>
      </c>
      <c r="I228" s="28">
        <f t="shared" si="972"/>
        <v>401.98959580356393</v>
      </c>
      <c r="J228" s="9"/>
      <c r="K228" s="28">
        <f t="shared" ref="K228:X228" si="973">K59*K$202</f>
        <v>173.60705966279343</v>
      </c>
      <c r="L228" s="28">
        <f t="shared" si="973"/>
        <v>84.632716989363132</v>
      </c>
      <c r="M228" s="28">
        <f t="shared" si="973"/>
        <v>132.52565203086834</v>
      </c>
      <c r="N228" s="28">
        <f t="shared" si="973"/>
        <v>187.25790087748609</v>
      </c>
      <c r="O228" s="28">
        <f t="shared" si="973"/>
        <v>165.11403254775976</v>
      </c>
      <c r="P228" s="28">
        <f t="shared" si="973"/>
        <v>38.134133674471002</v>
      </c>
      <c r="Q228" s="28">
        <f t="shared" si="973"/>
        <v>71.619542198298674</v>
      </c>
      <c r="R228" s="28">
        <f t="shared" si="973"/>
        <v>136.16489477751108</v>
      </c>
      <c r="S228" s="28">
        <f t="shared" si="973"/>
        <v>165.5642381780543</v>
      </c>
      <c r="T228" s="28">
        <f t="shared" si="973"/>
        <v>59.168582344586106</v>
      </c>
      <c r="U228" s="28">
        <f t="shared" si="973"/>
        <v>102.23295732937602</v>
      </c>
      <c r="V228" s="28">
        <f t="shared" si="973"/>
        <v>124.83580345004806</v>
      </c>
      <c r="W228" s="28">
        <f t="shared" si="973"/>
        <v>133.91608017830075</v>
      </c>
      <c r="X228" s="28">
        <f t="shared" si="973"/>
        <v>40.363861437689678</v>
      </c>
      <c r="Y228" s="28">
        <f t="shared" ref="Y228:AB228" si="974">Y59*Y$202</f>
        <v>76.634337753873012</v>
      </c>
      <c r="Z228" s="28">
        <f t="shared" si="974"/>
        <v>193.60453070594642</v>
      </c>
      <c r="AA228" s="28">
        <f t="shared" si="974"/>
        <v>135.59633660165224</v>
      </c>
      <c r="AB228" s="28">
        <f t="shared" si="974"/>
        <v>21.116753122580818</v>
      </c>
      <c r="AC228" s="28">
        <f t="shared" ref="AC228:AE228" si="975">AC59*AC$202</f>
        <v>76.709517459788316</v>
      </c>
      <c r="AD228" s="28">
        <f t="shared" si="975"/>
        <v>161.9104308997066</v>
      </c>
      <c r="AE228" s="28">
        <f t="shared" si="975"/>
        <v>144.143596100736</v>
      </c>
    </row>
    <row r="229" spans="2:31" ht="13.5" customHeight="1">
      <c r="B229" s="16" t="str">
        <f t="shared" si="968"/>
        <v>Working Capital</v>
      </c>
      <c r="C229" s="12">
        <f t="shared" si="969"/>
        <v>1088.2687180199869</v>
      </c>
      <c r="D229" s="12">
        <f t="shared" ref="D229:E229" si="976">D60*D$202</f>
        <v>1435.4904485508964</v>
      </c>
      <c r="E229" s="12">
        <f t="shared" si="976"/>
        <v>966.05490885759764</v>
      </c>
      <c r="F229" s="12">
        <f t="shared" ref="F229:G229" si="977">F60*F$202</f>
        <v>1262.3595831099994</v>
      </c>
      <c r="G229" s="12">
        <f t="shared" si="977"/>
        <v>1234.6499677693778</v>
      </c>
      <c r="H229" s="12">
        <f t="shared" ref="H229:I229" si="978">H60*H$202</f>
        <v>1234.621231006028</v>
      </c>
      <c r="I229" s="12">
        <f t="shared" si="978"/>
        <v>1287.9591199435381</v>
      </c>
      <c r="J229" s="120"/>
      <c r="K229" s="12">
        <f t="shared" ref="K229:U229" si="979">K60*K$202</f>
        <v>461.78939267144995</v>
      </c>
      <c r="L229" s="12">
        <f t="shared" si="979"/>
        <v>286.59674386081633</v>
      </c>
      <c r="M229" s="12">
        <f t="shared" si="979"/>
        <v>309.96364634448008</v>
      </c>
      <c r="N229" s="12">
        <f t="shared" si="979"/>
        <v>371.37085135993584</v>
      </c>
      <c r="O229" s="12">
        <f t="shared" si="979"/>
        <v>381.82033035183332</v>
      </c>
      <c r="P229" s="12">
        <f t="shared" si="979"/>
        <v>152.54779729130362</v>
      </c>
      <c r="Q229" s="12">
        <f t="shared" si="979"/>
        <v>181.41543433734904</v>
      </c>
      <c r="R229" s="12">
        <f t="shared" si="979"/>
        <v>254.70459358947954</v>
      </c>
      <c r="S229" s="12">
        <f t="shared" si="979"/>
        <v>428.68830488222596</v>
      </c>
      <c r="T229" s="12">
        <f t="shared" si="979"/>
        <v>307.80142302292421</v>
      </c>
      <c r="U229" s="12">
        <f t="shared" si="979"/>
        <v>289.87353703154537</v>
      </c>
      <c r="V229" s="12">
        <f t="shared" ref="V229:W229" si="980">V60*V$202</f>
        <v>247.6413839052357</v>
      </c>
      <c r="W229" s="12">
        <f t="shared" si="980"/>
        <v>409.31564500977476</v>
      </c>
      <c r="X229" s="12">
        <f t="shared" ref="X229:X245" si="981">X60*X$202</f>
        <v>115.62297115789349</v>
      </c>
      <c r="Y229" s="12">
        <f t="shared" ref="Y229:AB229" si="982">Y60*Y$202</f>
        <v>380.89833947043297</v>
      </c>
      <c r="Z229" s="12">
        <f t="shared" si="982"/>
        <v>335.33872256657884</v>
      </c>
      <c r="AA229" s="12">
        <f t="shared" si="982"/>
        <v>439.64848974529281</v>
      </c>
      <c r="AB229" s="12">
        <f t="shared" si="982"/>
        <v>215.47967643858388</v>
      </c>
      <c r="AC229" s="12">
        <f t="shared" ref="AC229" si="983">AC60*AC$202</f>
        <v>221.48702287690602</v>
      </c>
      <c r="AD229" s="12">
        <f>AD60*AD$202</f>
        <v>355.49032188979106</v>
      </c>
      <c r="AE229" s="12">
        <f>AE60*AE$202</f>
        <v>502.40314067421781</v>
      </c>
    </row>
    <row r="230" spans="2:31" ht="13.5" customHeight="1">
      <c r="B230" s="16" t="str">
        <f t="shared" si="968"/>
        <v>Taxes</v>
      </c>
      <c r="C230" s="12">
        <f t="shared" si="969"/>
        <v>-54.366603075134869</v>
      </c>
      <c r="D230" s="12">
        <f t="shared" ref="D230:E230" si="984">D61*D$202</f>
        <v>-103.93998262654981</v>
      </c>
      <c r="E230" s="12">
        <f t="shared" si="984"/>
        <v>-75.934891900871889</v>
      </c>
      <c r="F230" s="12">
        <f t="shared" ref="F230:G230" si="985">F61*F$202</f>
        <v>-10.672230361503185</v>
      </c>
      <c r="G230" s="12">
        <f t="shared" si="985"/>
        <v>-15.693414506357444</v>
      </c>
      <c r="H230" s="12">
        <f t="shared" ref="H230" si="986">H61*H$202</f>
        <v>-60.568451611539636</v>
      </c>
      <c r="I230" s="12">
        <f>I61*I$202</f>
        <v>-65.54130776085907</v>
      </c>
      <c r="J230" s="120"/>
      <c r="K230" s="12">
        <f t="shared" ref="K230:U230" si="987">K61*K$202</f>
        <v>-24.493939061363918</v>
      </c>
      <c r="L230" s="12">
        <f t="shared" si="987"/>
        <v>-34.030713612435783</v>
      </c>
      <c r="M230" s="12">
        <f t="shared" si="987"/>
        <v>-21.94705456784709</v>
      </c>
      <c r="N230" s="12">
        <f t="shared" si="987"/>
        <v>-23.561435215216765</v>
      </c>
      <c r="O230" s="12">
        <f t="shared" si="987"/>
        <v>-31.042342859195358</v>
      </c>
      <c r="P230" s="12">
        <f t="shared" si="987"/>
        <v>-23.707186035865277</v>
      </c>
      <c r="Q230" s="12">
        <f t="shared" si="987"/>
        <v>-11.5423837305263</v>
      </c>
      <c r="R230" s="12">
        <f t="shared" si="987"/>
        <v>-10.862347133940824</v>
      </c>
      <c r="S230" s="12">
        <f t="shared" si="987"/>
        <v>-22.822685276598051</v>
      </c>
      <c r="T230" s="12">
        <f t="shared" si="987"/>
        <v>3.1159785894158127</v>
      </c>
      <c r="U230" s="12">
        <f t="shared" si="987"/>
        <v>12.366713523064748</v>
      </c>
      <c r="V230" s="12">
        <f t="shared" ref="V230:W230" si="988">V61*V$202</f>
        <v>-3.6414641092200091</v>
      </c>
      <c r="W230" s="12">
        <f t="shared" si="988"/>
        <v>-6.0907616183302258</v>
      </c>
      <c r="X230" s="12">
        <f t="shared" si="981"/>
        <v>1.4696544285057922</v>
      </c>
      <c r="Y230" s="12">
        <f t="shared" ref="Y230:AB230" si="989">Y61*Y$202</f>
        <v>-5.6019363333860577</v>
      </c>
      <c r="Z230" s="12">
        <f t="shared" si="989"/>
        <v>-5.6380318420410749</v>
      </c>
      <c r="AA230" s="12">
        <f t="shared" si="989"/>
        <v>-7.9236822274763252</v>
      </c>
      <c r="AB230" s="12">
        <f t="shared" si="989"/>
        <v>-38.501627098472198</v>
      </c>
      <c r="AC230" s="12">
        <f t="shared" ref="AC230:AE230" si="990">AC61*AC$202</f>
        <v>-7.9083913242770185</v>
      </c>
      <c r="AD230" s="12">
        <f t="shared" si="990"/>
        <v>-6.5870034052213473</v>
      </c>
      <c r="AE230" s="12">
        <f t="shared" si="990"/>
        <v>-12.567122356073172</v>
      </c>
    </row>
    <row r="231" spans="2:31" ht="13.5" customHeight="1">
      <c r="B231" s="16" t="str">
        <f t="shared" si="968"/>
        <v>Cash interest paid</v>
      </c>
      <c r="C231" s="12">
        <f t="shared" si="969"/>
        <v>-27.763996664603102</v>
      </c>
      <c r="D231" s="12">
        <f t="shared" ref="D231:E231" si="991">D62*D$202</f>
        <v>-38.148687778041015</v>
      </c>
      <c r="E231" s="12">
        <f t="shared" si="991"/>
        <v>-53.966193100445686</v>
      </c>
      <c r="F231" s="12">
        <f t="shared" ref="F231:G231" si="992">F62*F$202</f>
        <v>-83.917187779167421</v>
      </c>
      <c r="G231" s="12">
        <f t="shared" si="992"/>
        <v>-73.441784610996962</v>
      </c>
      <c r="H231" s="12">
        <f t="shared" ref="H231:I231" si="993">H62*H$202</f>
        <v>-57.8571166362903</v>
      </c>
      <c r="I231" s="12">
        <f t="shared" si="993"/>
        <v>-58.11429339307837</v>
      </c>
      <c r="J231" s="120"/>
      <c r="K231" s="12">
        <f t="shared" ref="K231:U231" si="994">K62*K$202</f>
        <v>-8.9166682671861501</v>
      </c>
      <c r="L231" s="12">
        <f t="shared" si="994"/>
        <v>-7.7217496370343355</v>
      </c>
      <c r="M231" s="12">
        <f t="shared" si="994"/>
        <v>-10.882420061362151</v>
      </c>
      <c r="N231" s="12">
        <f t="shared" si="994"/>
        <v>-10.283936121896</v>
      </c>
      <c r="O231" s="12">
        <f t="shared" si="994"/>
        <v>-8.131472750482601</v>
      </c>
      <c r="P231" s="12">
        <f t="shared" si="994"/>
        <v>-9.4609906903356773</v>
      </c>
      <c r="Q231" s="12">
        <f t="shared" si="994"/>
        <v>-22.334610726201372</v>
      </c>
      <c r="R231" s="12">
        <f t="shared" si="994"/>
        <v>-12.546853024001271</v>
      </c>
      <c r="S231" s="12">
        <f t="shared" si="994"/>
        <v>-30.34435936402965</v>
      </c>
      <c r="T231" s="12">
        <f t="shared" si="994"/>
        <v>-19.485124295107966</v>
      </c>
      <c r="U231" s="12">
        <f t="shared" si="994"/>
        <v>-26.520755657149621</v>
      </c>
      <c r="V231" s="12">
        <f t="shared" ref="V231:W231" si="995">V62*V$202</f>
        <v>-8.7204090878251748</v>
      </c>
      <c r="W231" s="12">
        <f t="shared" si="995"/>
        <v>-21.066538597340049</v>
      </c>
      <c r="X231" s="12">
        <f t="shared" si="981"/>
        <v>-14.507956177012822</v>
      </c>
      <c r="Y231" s="12">
        <f t="shared" ref="Y231:AB231" si="996">Y62*Y$202</f>
        <v>-22.60996636372478</v>
      </c>
      <c r="Z231" s="12">
        <f t="shared" si="996"/>
        <v>-15.458397947616726</v>
      </c>
      <c r="AA231" s="12">
        <f t="shared" si="996"/>
        <v>-21.974906978702599</v>
      </c>
      <c r="AB231" s="12">
        <f t="shared" si="996"/>
        <v>-8.9969222178973052</v>
      </c>
      <c r="AC231" s="12">
        <f t="shared" ref="AC231:AE231" si="997">AC62*AC$202</f>
        <v>-20.529477456454707</v>
      </c>
      <c r="AD231" s="12">
        <f t="shared" si="997"/>
        <v>-5.9067258475574427</v>
      </c>
      <c r="AE231" s="12">
        <f t="shared" si="997"/>
        <v>-22.702867554631432</v>
      </c>
    </row>
    <row r="232" spans="2:31" s="19" customFormat="1" ht="13.5" customHeight="1" thickBot="1">
      <c r="B232" s="25" t="str">
        <f t="shared" si="968"/>
        <v xml:space="preserve">Net cash from operations </v>
      </c>
      <c r="C232" s="24">
        <f t="shared" si="969"/>
        <v>1380.6183408927241</v>
      </c>
      <c r="D232" s="24">
        <f t="shared" ref="D232:E232" si="998">D63*D$202</f>
        <v>1879.094462870831</v>
      </c>
      <c r="E232" s="24">
        <f t="shared" si="998"/>
        <v>1246.2415279384973</v>
      </c>
      <c r="F232" s="24">
        <f t="shared" ref="F232:G232" si="999">F63*F$202</f>
        <v>1619.6817521291168</v>
      </c>
      <c r="G232" s="24">
        <f t="shared" si="999"/>
        <v>1589.4412906133882</v>
      </c>
      <c r="H232" s="24">
        <f t="shared" ref="H232:I232" si="1000">H63*H$202</f>
        <v>1512.0490076508811</v>
      </c>
      <c r="I232" s="24">
        <f t="shared" si="1000"/>
        <v>1566.2931145931645</v>
      </c>
      <c r="J232" s="26"/>
      <c r="K232" s="24">
        <f t="shared" ref="K232:U232" si="1001">K63*K$202</f>
        <v>601.98584500569336</v>
      </c>
      <c r="L232" s="24">
        <f t="shared" si="1001"/>
        <v>329.47699760070935</v>
      </c>
      <c r="M232" s="24">
        <f t="shared" si="1001"/>
        <v>409.6598237461393</v>
      </c>
      <c r="N232" s="24">
        <f t="shared" si="1001"/>
        <v>524.78338090030911</v>
      </c>
      <c r="O232" s="24">
        <f t="shared" si="1001"/>
        <v>507.76054728991517</v>
      </c>
      <c r="P232" s="24">
        <f t="shared" si="1001"/>
        <v>157.5137542395737</v>
      </c>
      <c r="Q232" s="24">
        <f t="shared" si="1001"/>
        <v>219.15798207892004</v>
      </c>
      <c r="R232" s="24">
        <f t="shared" si="1001"/>
        <v>367.4602882090486</v>
      </c>
      <c r="S232" s="24">
        <f t="shared" si="1001"/>
        <v>541.08549841965259</v>
      </c>
      <c r="T232" s="24">
        <f t="shared" si="1001"/>
        <v>350.60085966181811</v>
      </c>
      <c r="U232" s="24">
        <f t="shared" si="1001"/>
        <v>377.9524522268365</v>
      </c>
      <c r="V232" s="24">
        <f t="shared" ref="V232:W232" si="1002">V63*V$202</f>
        <v>360.11531415823862</v>
      </c>
      <c r="W232" s="24">
        <f t="shared" si="1002"/>
        <v>516.07442497240527</v>
      </c>
      <c r="X232" s="24">
        <f t="shared" si="981"/>
        <v>142.94853084707614</v>
      </c>
      <c r="Y232" s="24">
        <f t="shared" ref="Y232:AB232" si="1003">Y63*Y$202</f>
        <v>429.32077452719511</v>
      </c>
      <c r="Z232" s="24">
        <f t="shared" si="1003"/>
        <v>507.84682348286742</v>
      </c>
      <c r="AA232" s="24">
        <f t="shared" si="1003"/>
        <v>545.34623714076622</v>
      </c>
      <c r="AB232" s="24">
        <f t="shared" si="1003"/>
        <v>189.09788024479519</v>
      </c>
      <c r="AC232" s="24">
        <f t="shared" ref="AC232:AE232" si="1004">AC63*AC$202</f>
        <v>269.75867155596256</v>
      </c>
      <c r="AD232" s="24">
        <f t="shared" si="1004"/>
        <v>504.9070235367189</v>
      </c>
      <c r="AE232" s="24">
        <f t="shared" si="1004"/>
        <v>611.27674686424928</v>
      </c>
    </row>
    <row r="233" spans="2:31" ht="13.5" customHeight="1" thickTop="1">
      <c r="B233" s="16" t="str">
        <f t="shared" si="968"/>
        <v>Net Capex</v>
      </c>
      <c r="C233" s="27">
        <f t="shared" si="969"/>
        <v>-147.34045684830261</v>
      </c>
      <c r="D233" s="27">
        <f t="shared" ref="D233:E233" si="1005">D64*D$202</f>
        <v>-223.11742214851668</v>
      </c>
      <c r="E233" s="27">
        <f t="shared" si="1005"/>
        <v>-212.05880890457257</v>
      </c>
      <c r="F233" s="27">
        <f t="shared" ref="F233:G233" si="1006">F64*F$202</f>
        <v>-146.70844738252637</v>
      </c>
      <c r="G233" s="27">
        <f t="shared" si="1006"/>
        <v>-107.2498405681141</v>
      </c>
      <c r="H233" s="27">
        <f t="shared" ref="H233:I233" si="1007">H64*H$202</f>
        <v>-146.72484407071636</v>
      </c>
      <c r="I233" s="27">
        <f t="shared" si="1007"/>
        <v>-162.31476861297861</v>
      </c>
      <c r="J233" s="120"/>
      <c r="K233" s="27">
        <f t="shared" ref="K233:U233" si="1008">K64*K$202</f>
        <v>-38.614614572043962</v>
      </c>
      <c r="L233" s="27">
        <f t="shared" si="1008"/>
        <v>-55.849654705314002</v>
      </c>
      <c r="M233" s="27">
        <f t="shared" si="1008"/>
        <v>-46.801162086630868</v>
      </c>
      <c r="N233" s="27">
        <f t="shared" si="1008"/>
        <v>-78.208482557868493</v>
      </c>
      <c r="O233" s="27">
        <f t="shared" si="1008"/>
        <v>-33.278669760353957</v>
      </c>
      <c r="P233" s="27">
        <f t="shared" si="1008"/>
        <v>-55.151312207726662</v>
      </c>
      <c r="Q233" s="27">
        <f t="shared" si="1008"/>
        <v>-59.663610103174278</v>
      </c>
      <c r="R233" s="27">
        <f t="shared" si="1008"/>
        <v>-60.547051645573774</v>
      </c>
      <c r="S233" s="27">
        <f t="shared" si="1008"/>
        <v>-26.855025902355692</v>
      </c>
      <c r="T233" s="27">
        <f t="shared" si="1008"/>
        <v>-37.504149447924284</v>
      </c>
      <c r="U233" s="27">
        <f t="shared" si="1008"/>
        <v>-53.388131165114103</v>
      </c>
      <c r="V233" s="27">
        <f t="shared" ref="V233:W233" si="1009">V64*V$202</f>
        <v>-29.6396638298115</v>
      </c>
      <c r="W233" s="27">
        <f t="shared" si="1009"/>
        <v>-47.844590974383102</v>
      </c>
      <c r="X233" s="27">
        <f t="shared" si="981"/>
        <v>14.146454548610194</v>
      </c>
      <c r="Y233" s="27">
        <f t="shared" ref="Y233:AB233" si="1010">Y64*Y$202</f>
        <v>-35.096189836099626</v>
      </c>
      <c r="Z233" s="27">
        <f t="shared" si="1010"/>
        <v>-39.695445062211753</v>
      </c>
      <c r="AA233" s="27">
        <f t="shared" si="1010"/>
        <v>-26.527127722710659</v>
      </c>
      <c r="AB233" s="27">
        <f t="shared" si="1010"/>
        <v>-34.942386691268645</v>
      </c>
      <c r="AC233" s="27">
        <f t="shared" ref="AC233:AE233" si="1011">AC64*AC$202</f>
        <v>-42.281952662721899</v>
      </c>
      <c r="AD233" s="27">
        <f t="shared" si="1011"/>
        <v>-43.18362923778723</v>
      </c>
      <c r="AE233" s="27">
        <f t="shared" si="1011"/>
        <v>-41.864430434411361</v>
      </c>
    </row>
    <row r="234" spans="2:31" ht="13.5" customHeight="1">
      <c r="B234" s="16" t="str">
        <f t="shared" si="968"/>
        <v>Purchase of intangible assets</v>
      </c>
      <c r="C234" s="27">
        <f t="shared" si="969"/>
        <v>-7.2937436039974228</v>
      </c>
      <c r="D234" s="27">
        <f t="shared" ref="D234:E234" si="1012">D65*D$202</f>
        <v>-2.8778764905630578</v>
      </c>
      <c r="E234" s="27">
        <f t="shared" si="1012"/>
        <v>-17.110084669057411</v>
      </c>
      <c r="F234" s="27">
        <f t="shared" ref="F234:G234" si="1013">F65*F$202</f>
        <v>-6.0118182359597405</v>
      </c>
      <c r="G234" s="27">
        <f t="shared" si="1013"/>
        <v>-7.6517450148109756</v>
      </c>
      <c r="H234" s="27">
        <f t="shared" ref="H234:I234" si="1014">H65*H$202</f>
        <v>-15.281197379228191</v>
      </c>
      <c r="I234" s="27">
        <f t="shared" si="1014"/>
        <v>-17.039027250756885</v>
      </c>
      <c r="J234" s="120"/>
      <c r="K234" s="27">
        <f t="shared" ref="K234:U234" si="1015">K65*K$202</f>
        <v>-2.655600674961931</v>
      </c>
      <c r="L234" s="27">
        <f t="shared" si="1015"/>
        <v>-0.11459909901854792</v>
      </c>
      <c r="M234" s="27">
        <f t="shared" si="1015"/>
        <v>-0.1448894646388032</v>
      </c>
      <c r="N234" s="27">
        <f t="shared" si="1015"/>
        <v>-6.8068549695011471E-2</v>
      </c>
      <c r="O234" s="27">
        <f t="shared" si="1015"/>
        <v>-0.30827542511848582</v>
      </c>
      <c r="P234" s="27">
        <f t="shared" si="1015"/>
        <v>-1.7224075545279085</v>
      </c>
      <c r="Q234" s="27">
        <f t="shared" si="1015"/>
        <v>-14.305938365556111</v>
      </c>
      <c r="R234" s="27">
        <f t="shared" si="1015"/>
        <v>0.32110975355590676</v>
      </c>
      <c r="S234" s="27">
        <f t="shared" si="1015"/>
        <v>-0.95990825224355991</v>
      </c>
      <c r="T234" s="27">
        <f t="shared" si="1015"/>
        <v>-0.69008107671519126</v>
      </c>
      <c r="U234" s="27">
        <f t="shared" si="1015"/>
        <v>-0.59690062918037379</v>
      </c>
      <c r="V234" s="27">
        <f t="shared" ref="V234:W234" si="1016">V65*V$202</f>
        <v>-3.6230101849418705</v>
      </c>
      <c r="W234" s="27">
        <f t="shared" si="1016"/>
        <v>-0.43283767606300666</v>
      </c>
      <c r="X234" s="27">
        <f t="shared" si="981"/>
        <v>-3.0490914300975094</v>
      </c>
      <c r="Y234" s="27">
        <f t="shared" ref="Y234:AB234" si="1017">Y65*Y$202</f>
        <v>-0.89761281266951976</v>
      </c>
      <c r="Z234" s="27">
        <f t="shared" si="1017"/>
        <v>-3.1994842008920759</v>
      </c>
      <c r="AA234" s="27">
        <f t="shared" si="1017"/>
        <v>-2.4140608904078182</v>
      </c>
      <c r="AB234" s="27">
        <f t="shared" si="1017"/>
        <v>-5.9074064442241321</v>
      </c>
      <c r="AC234" s="27">
        <f t="shared" ref="AC234:AE234" si="1018">AC65*AC$202</f>
        <v>-3.0765522126843901</v>
      </c>
      <c r="AD234" s="27">
        <f t="shared" si="1018"/>
        <v>-3.94449382134367</v>
      </c>
      <c r="AE234" s="27">
        <f t="shared" si="1018"/>
        <v>-4.1272025270468617</v>
      </c>
    </row>
    <row r="235" spans="2:31" ht="13.5" customHeight="1">
      <c r="B235" s="16" t="str">
        <f t="shared" si="968"/>
        <v>Disposals/ Acquistion, of subsidiaries, businesses</v>
      </c>
      <c r="C235" s="27">
        <f t="shared" si="969"/>
        <v>-24.057183105709342</v>
      </c>
      <c r="D235" s="27">
        <f t="shared" ref="D235:E235" si="1019">D66*D$202</f>
        <v>-7.6228882044802448</v>
      </c>
      <c r="E235" s="27">
        <f t="shared" si="1019"/>
        <v>-41.779900551093597</v>
      </c>
      <c r="F235" s="27">
        <f t="shared" ref="F235:G235" si="1020">F66*F$202</f>
        <v>-10.823535227205053</v>
      </c>
      <c r="G235" s="27">
        <f t="shared" si="1020"/>
        <v>-11.964037204408072</v>
      </c>
      <c r="H235" s="27">
        <f t="shared" ref="H235:I235" si="1021">H66*H$202</f>
        <v>-11.549057981155968</v>
      </c>
      <c r="I235" s="27">
        <f t="shared" si="1021"/>
        <v>-17.92469009526318</v>
      </c>
      <c r="J235" s="120"/>
      <c r="K235" s="27">
        <f t="shared" ref="K235:U235" si="1022">K66*K$202</f>
        <v>0</v>
      </c>
      <c r="L235" s="27">
        <f t="shared" si="1022"/>
        <v>0</v>
      </c>
      <c r="M235" s="27">
        <f t="shared" si="1022"/>
        <v>-7.5641471471612425</v>
      </c>
      <c r="N235" s="27">
        <f t="shared" si="1022"/>
        <v>0</v>
      </c>
      <c r="O235" s="27">
        <f t="shared" si="1022"/>
        <v>0</v>
      </c>
      <c r="P235" s="27">
        <f t="shared" si="1022"/>
        <v>0</v>
      </c>
      <c r="Q235" s="27">
        <f t="shared" si="1022"/>
        <v>0</v>
      </c>
      <c r="R235" s="27">
        <f t="shared" si="1022"/>
        <v>-40.459273083867515</v>
      </c>
      <c r="S235" s="27">
        <f t="shared" si="1022"/>
        <v>-2.4459782165931148</v>
      </c>
      <c r="T235" s="27">
        <f t="shared" si="1022"/>
        <v>-5.2442154132776215</v>
      </c>
      <c r="U235" s="27">
        <f t="shared" si="1022"/>
        <v>-5.1736506780805849</v>
      </c>
      <c r="V235" s="27">
        <f t="shared" ref="V235:W235" si="1023">V66*V$202</f>
        <v>1.6480213674044291</v>
      </c>
      <c r="W235" s="27">
        <f t="shared" si="1023"/>
        <v>0</v>
      </c>
      <c r="X235" s="27">
        <f t="shared" si="981"/>
        <v>-11.631214328193298</v>
      </c>
      <c r="Y235" s="27">
        <f t="shared" ref="Y235:AB235" si="1024">Y66*Y$202</f>
        <v>-4.9789520207218108E-2</v>
      </c>
      <c r="Z235" s="27">
        <f t="shared" si="1024"/>
        <v>-6.1764262307163371E-3</v>
      </c>
      <c r="AA235" s="27">
        <f t="shared" si="1024"/>
        <v>0</v>
      </c>
      <c r="AB235" s="27">
        <f t="shared" si="1024"/>
        <v>0</v>
      </c>
      <c r="AC235" s="27">
        <f t="shared" ref="AC235:AE235" si="1025">AC66*AC$202</f>
        <v>-7.3011834319526629</v>
      </c>
      <c r="AD235" s="27">
        <f t="shared" si="1025"/>
        <v>-4.2483348681815265</v>
      </c>
      <c r="AE235" s="27">
        <f t="shared" si="1025"/>
        <v>-6.3542130862479391</v>
      </c>
    </row>
    <row r="236" spans="2:31" s="19" customFormat="1" ht="13.5" customHeight="1" thickBot="1">
      <c r="B236" s="25" t="str">
        <f t="shared" si="968"/>
        <v xml:space="preserve">Free cash flow </v>
      </c>
      <c r="C236" s="24">
        <f t="shared" si="969"/>
        <v>1201.9269573347146</v>
      </c>
      <c r="D236" s="24">
        <f t="shared" ref="D236:E236" si="1026">D67*D$202</f>
        <v>1645.4762760272706</v>
      </c>
      <c r="E236" s="24">
        <f t="shared" si="1026"/>
        <v>975.29273381377357</v>
      </c>
      <c r="F236" s="24">
        <f t="shared" ref="F236:G236" si="1027">F67*F$202</f>
        <v>1456.1379512834255</v>
      </c>
      <c r="G236" s="24">
        <f t="shared" si="1027"/>
        <v>1462.5756678260552</v>
      </c>
      <c r="H236" s="24">
        <f t="shared" ref="H236:I236" si="1028">H67*H$202</f>
        <v>1338.4939082197805</v>
      </c>
      <c r="I236" s="24">
        <f t="shared" si="1028"/>
        <v>1369.0146286341658</v>
      </c>
      <c r="J236" s="26"/>
      <c r="K236" s="24">
        <f t="shared" ref="K236:U236" si="1029">K67*K$202</f>
        <v>560.71562975868744</v>
      </c>
      <c r="L236" s="24">
        <f t="shared" si="1029"/>
        <v>273.51274379637681</v>
      </c>
      <c r="M236" s="24">
        <f t="shared" si="1029"/>
        <v>355.14962504770835</v>
      </c>
      <c r="N236" s="24">
        <f t="shared" si="1029"/>
        <v>446.50682979274563</v>
      </c>
      <c r="O236" s="24">
        <f t="shared" si="1029"/>
        <v>474.17360210444269</v>
      </c>
      <c r="P236" s="24">
        <f t="shared" si="1029"/>
        <v>100.64003447731912</v>
      </c>
      <c r="Q236" s="24">
        <f t="shared" si="1029"/>
        <v>145.18843361018966</v>
      </c>
      <c r="R236" s="24">
        <f t="shared" si="1029"/>
        <v>266.77507323316325</v>
      </c>
      <c r="S236" s="24">
        <f t="shared" si="1029"/>
        <v>510.82458604846022</v>
      </c>
      <c r="T236" s="24">
        <f t="shared" si="1029"/>
        <v>307.16241372390107</v>
      </c>
      <c r="U236" s="24">
        <f t="shared" si="1029"/>
        <v>318.79376975446149</v>
      </c>
      <c r="V236" s="24">
        <f t="shared" ref="V236:W236" si="1030">V67*V$202</f>
        <v>328.5006615108897</v>
      </c>
      <c r="W236" s="24">
        <f t="shared" si="1030"/>
        <v>467.79699632195917</v>
      </c>
      <c r="X236" s="24">
        <f t="shared" si="981"/>
        <v>142.41467963739549</v>
      </c>
      <c r="Y236" s="24">
        <f t="shared" ref="Y236:AB236" si="1031">Y67*Y$202</f>
        <v>393.27718235821868</v>
      </c>
      <c r="Z236" s="24">
        <f t="shared" si="1031"/>
        <v>464.94571779353288</v>
      </c>
      <c r="AA236" s="24">
        <f t="shared" si="1031"/>
        <v>516.40504852764775</v>
      </c>
      <c r="AB236" s="24">
        <f t="shared" si="1031"/>
        <v>148.24808710930242</v>
      </c>
      <c r="AC236" s="24">
        <f t="shared" ref="AC236:AE236" si="1032">AC67*AC$202</f>
        <v>217.09898324860362</v>
      </c>
      <c r="AD236" s="24">
        <f t="shared" si="1032"/>
        <v>453.53056560940649</v>
      </c>
      <c r="AE236" s="24">
        <f t="shared" si="1032"/>
        <v>558.93090081654304</v>
      </c>
    </row>
    <row r="237" spans="2:31" s="19" customFormat="1" ht="13.5" customHeight="1" thickTop="1">
      <c r="B237" s="16" t="str">
        <f t="shared" si="968"/>
        <v xml:space="preserve">Other Investing </v>
      </c>
      <c r="C237" s="27">
        <f t="shared" si="969"/>
        <v>1.1255322105848315</v>
      </c>
      <c r="D237" s="27">
        <f t="shared" ref="D237:E237" si="1033">D68*D$202</f>
        <v>-1.9664995130169263</v>
      </c>
      <c r="E237" s="27">
        <f t="shared" si="1033"/>
        <v>3.4395802064595964E-2</v>
      </c>
      <c r="F237" s="27">
        <f t="shared" ref="F237:G237" si="1034">F68*F$202</f>
        <v>8.5022928950032856E-2</v>
      </c>
      <c r="G237" s="27">
        <f t="shared" si="1034"/>
        <v>0.61076381527784074</v>
      </c>
      <c r="H237" s="27">
        <f t="shared" ref="H237:I237" si="1035">H68*H$202</f>
        <v>0.67495460823869835</v>
      </c>
      <c r="I237" s="27">
        <f t="shared" si="1035"/>
        <v>0.71428999301014007</v>
      </c>
      <c r="J237" s="120"/>
      <c r="K237" s="27">
        <f t="shared" ref="K237:U237" si="1036">K68*K$202</f>
        <v>0</v>
      </c>
      <c r="L237" s="27">
        <f t="shared" si="1036"/>
        <v>3.4676061660617284E-2</v>
      </c>
      <c r="M237" s="27">
        <f t="shared" si="1036"/>
        <v>4.113335877192973E-2</v>
      </c>
      <c r="N237" s="27">
        <f t="shared" si="1036"/>
        <v>-1.868732266318474</v>
      </c>
      <c r="O237" s="27">
        <f t="shared" si="1036"/>
        <v>2.753944319517788</v>
      </c>
      <c r="P237" s="27">
        <f t="shared" si="1036"/>
        <v>-34.809575816819638</v>
      </c>
      <c r="Q237" s="27">
        <f t="shared" si="1036"/>
        <v>-2.163792606386326</v>
      </c>
      <c r="R237" s="27">
        <f t="shared" si="1036"/>
        <v>32.684875715920711</v>
      </c>
      <c r="S237" s="27">
        <f t="shared" si="1036"/>
        <v>0</v>
      </c>
      <c r="T237" s="27">
        <f t="shared" si="1036"/>
        <v>-0.6945771810472513</v>
      </c>
      <c r="U237" s="27">
        <f t="shared" si="1036"/>
        <v>-1.4120353177660787</v>
      </c>
      <c r="V237" s="27">
        <f t="shared" ref="V237:W237" si="1037">V68*V$202</f>
        <v>2.0518769693988723</v>
      </c>
      <c r="W237" s="27">
        <f t="shared" si="1037"/>
        <v>-9.9380863509965476</v>
      </c>
      <c r="X237" s="27">
        <f t="shared" si="981"/>
        <v>9.6050145722609113</v>
      </c>
      <c r="Y237" s="27">
        <f t="shared" ref="Y237:AB237" si="1038">Y68*Y$202</f>
        <v>0.42593493373361641</v>
      </c>
      <c r="Z237" s="27">
        <f t="shared" si="1038"/>
        <v>0.1916738218481128</v>
      </c>
      <c r="AA237" s="27">
        <f t="shared" si="1038"/>
        <v>0</v>
      </c>
      <c r="AB237" s="27">
        <f t="shared" si="1038"/>
        <v>0.99597682618175742</v>
      </c>
      <c r="AC237" s="27">
        <f t="shared" ref="AC237:AE237" si="1039">AC68*AC$202</f>
        <v>3.1379698308192303E-2</v>
      </c>
      <c r="AD237" s="27">
        <f t="shared" si="1039"/>
        <v>-0.34625211487803298</v>
      </c>
      <c r="AE237" s="27">
        <f t="shared" si="1039"/>
        <v>2.9760850293445933E-2</v>
      </c>
    </row>
    <row r="238" spans="2:31" ht="13.5" customHeight="1">
      <c r="B238" s="16" t="str">
        <f t="shared" si="968"/>
        <v>Equity Issuance</v>
      </c>
      <c r="C238" s="27">
        <f t="shared" si="969"/>
        <v>0</v>
      </c>
      <c r="D238" s="27">
        <f t="shared" ref="D238:E238" si="1040">D69*D$202</f>
        <v>0</v>
      </c>
      <c r="E238" s="27">
        <f t="shared" si="1040"/>
        <v>1.8882929847274894</v>
      </c>
      <c r="F238" s="27">
        <f t="shared" ref="F238:G238" si="1041">F69*F$202</f>
        <v>3.2978381275683399</v>
      </c>
      <c r="G238" s="27">
        <f t="shared" si="1041"/>
        <v>2.9309883675692299</v>
      </c>
      <c r="H238" s="27">
        <f t="shared" ref="H238:I238" si="1042">H69*H$202</f>
        <v>0.24215253183686666</v>
      </c>
      <c r="I238" s="27">
        <f t="shared" si="1042"/>
        <v>3.5364436256249583</v>
      </c>
      <c r="J238" s="120"/>
      <c r="K238" s="27">
        <f t="shared" ref="K238:U238" si="1043">K69*K$202</f>
        <v>0</v>
      </c>
      <c r="L238" s="27">
        <f t="shared" si="1043"/>
        <v>0</v>
      </c>
      <c r="M238" s="27">
        <f t="shared" si="1043"/>
        <v>0</v>
      </c>
      <c r="N238" s="27">
        <f t="shared" si="1043"/>
        <v>0</v>
      </c>
      <c r="O238" s="27">
        <f t="shared" si="1043"/>
        <v>0</v>
      </c>
      <c r="P238" s="27">
        <f t="shared" si="1043"/>
        <v>1.9355700447466386</v>
      </c>
      <c r="Q238" s="27">
        <f t="shared" si="1043"/>
        <v>0</v>
      </c>
      <c r="R238" s="27">
        <f t="shared" si="1043"/>
        <v>0</v>
      </c>
      <c r="S238" s="27">
        <f t="shared" si="1043"/>
        <v>1.6578265547187234</v>
      </c>
      <c r="T238" s="27">
        <f t="shared" si="1043"/>
        <v>1.7742687373743324</v>
      </c>
      <c r="U238" s="27">
        <f t="shared" si="1043"/>
        <v>0</v>
      </c>
      <c r="V238" s="27">
        <f t="shared" ref="V238:W238" si="1044">V69*V$202</f>
        <v>0</v>
      </c>
      <c r="W238" s="27">
        <f t="shared" si="1044"/>
        <v>1.018617838243997</v>
      </c>
      <c r="X238" s="27">
        <f t="shared" si="981"/>
        <v>0.4369422921071987</v>
      </c>
      <c r="Y238" s="27">
        <f t="shared" ref="Y238:AB238" si="1045">Y69*Y$202</f>
        <v>0.49356790204674078</v>
      </c>
      <c r="Z238" s="27">
        <f t="shared" si="1045"/>
        <v>0.98484420231637126</v>
      </c>
      <c r="AA238" s="27">
        <f t="shared" si="1045"/>
        <v>0.23720649257203305</v>
      </c>
      <c r="AB238" s="27">
        <f t="shared" si="1045"/>
        <v>0</v>
      </c>
      <c r="AC238" s="27">
        <f t="shared" ref="AC238:AE238" si="1046">AC69*AC$202</f>
        <v>0</v>
      </c>
      <c r="AD238" s="27">
        <f t="shared" si="1046"/>
        <v>0</v>
      </c>
      <c r="AE238" s="27">
        <f t="shared" si="1046"/>
        <v>3.6247587854775416</v>
      </c>
    </row>
    <row r="239" spans="2:31" ht="13.5" customHeight="1">
      <c r="B239" s="16" t="str">
        <f t="shared" si="968"/>
        <v>Dividends</v>
      </c>
      <c r="C239" s="27">
        <f t="shared" si="969"/>
        <v>-129.03898371467196</v>
      </c>
      <c r="D239" s="27">
        <f t="shared" ref="D239:E239" si="1047">D70*D$202</f>
        <v>-360.81032930585172</v>
      </c>
      <c r="E239" s="27">
        <f t="shared" si="1047"/>
        <v>-181.39211053952178</v>
      </c>
      <c r="F239" s="27">
        <f t="shared" ref="F239:G239" si="1048">F70*F$202</f>
        <v>-78.117343815139066</v>
      </c>
      <c r="G239" s="27">
        <f t="shared" si="1048"/>
        <v>-87.30194497145871</v>
      </c>
      <c r="H239" s="27">
        <f t="shared" ref="H239:I239" si="1049">H70*H$202</f>
        <v>-82.411944197535618</v>
      </c>
      <c r="I239" s="27">
        <f t="shared" si="1049"/>
        <v>-83.638359931284313</v>
      </c>
      <c r="J239" s="120"/>
      <c r="K239" s="27">
        <f t="shared" ref="K239:U239" si="1050">K70*K$202</f>
        <v>-1.0593129655796854</v>
      </c>
      <c r="L239" s="27">
        <f t="shared" si="1050"/>
        <v>-77.22769205885254</v>
      </c>
      <c r="M239" s="27">
        <f t="shared" si="1050"/>
        <v>0</v>
      </c>
      <c r="N239" s="27">
        <f t="shared" si="1050"/>
        <v>-261.69481534107791</v>
      </c>
      <c r="O239" s="27">
        <f t="shared" si="1050"/>
        <v>-2.9281399865545685</v>
      </c>
      <c r="P239" s="27">
        <f t="shared" si="1050"/>
        <v>-130.85301591039095</v>
      </c>
      <c r="Q239" s="27">
        <f t="shared" si="1050"/>
        <v>0.23410822523073574</v>
      </c>
      <c r="R239" s="27">
        <f t="shared" si="1050"/>
        <v>-49.623150043263784</v>
      </c>
      <c r="S239" s="27">
        <f t="shared" si="1050"/>
        <v>-4.0601122624288353</v>
      </c>
      <c r="T239" s="27">
        <f t="shared" si="1050"/>
        <v>-41.414705559558982</v>
      </c>
      <c r="U239" s="27">
        <f t="shared" si="1050"/>
        <v>0</v>
      </c>
      <c r="V239" s="27">
        <f t="shared" ref="V239:W239" si="1051">V70*V$202</f>
        <v>-33.05980618487763</v>
      </c>
      <c r="W239" s="27">
        <f t="shared" si="1051"/>
        <v>0</v>
      </c>
      <c r="X239" s="27">
        <f t="shared" si="981"/>
        <v>-43.524343866011236</v>
      </c>
      <c r="Y239" s="27">
        <f t="shared" ref="Y239:AB239" si="1052">Y70*Y$202</f>
        <v>0</v>
      </c>
      <c r="Z239" s="27">
        <f t="shared" si="1052"/>
        <v>-42.452028827254466</v>
      </c>
      <c r="AA239" s="27">
        <f t="shared" si="1052"/>
        <v>-3.0074569449526498E-2</v>
      </c>
      <c r="AB239" s="27">
        <f t="shared" si="1052"/>
        <v>-51.300234121940647</v>
      </c>
      <c r="AC239" s="27">
        <f t="shared" ref="AC239:AE239" si="1053">AC70*AC$202</f>
        <v>-1.5651648054004472</v>
      </c>
      <c r="AD239" s="27">
        <f t="shared" si="1053"/>
        <v>-30.675954639881788</v>
      </c>
      <c r="AE239" s="27">
        <f t="shared" si="1053"/>
        <v>0</v>
      </c>
    </row>
    <row r="240" spans="2:31" ht="13.5" customHeight="1">
      <c r="B240" s="16" t="str">
        <f t="shared" si="968"/>
        <v>Net Change in debt</v>
      </c>
      <c r="C240" s="27">
        <f t="shared" si="969"/>
        <v>219.04991724678146</v>
      </c>
      <c r="D240" s="27">
        <f t="shared" ref="D240:E240" si="1054">D71*D$202</f>
        <v>71.303458895996215</v>
      </c>
      <c r="E240" s="27">
        <f t="shared" si="1054"/>
        <v>806.32807827591341</v>
      </c>
      <c r="F240" s="27">
        <f t="shared" ref="F240:G240" si="1055">F71*F$202</f>
        <v>-97.996610088738009</v>
      </c>
      <c r="G240" s="27">
        <f t="shared" si="1055"/>
        <v>-40.213076641740649</v>
      </c>
      <c r="H240" s="27">
        <f t="shared" ref="H240:I240" si="1056">H71*H$202</f>
        <v>-139.0241746966505</v>
      </c>
      <c r="I240" s="27">
        <f t="shared" si="1056"/>
        <v>-180.14603262217025</v>
      </c>
      <c r="J240" s="120"/>
      <c r="K240" s="27">
        <f t="shared" ref="K240:U240" si="1057">K71*K$202</f>
        <v>-1.9189757589892031</v>
      </c>
      <c r="L240" s="27">
        <f t="shared" si="1057"/>
        <v>-37.368629191229978</v>
      </c>
      <c r="M240" s="27">
        <f t="shared" si="1057"/>
        <v>-1.7700522096664075</v>
      </c>
      <c r="N240" s="27">
        <f t="shared" si="1057"/>
        <v>101.36000506025178</v>
      </c>
      <c r="O240" s="27">
        <f t="shared" si="1057"/>
        <v>598.05594011919061</v>
      </c>
      <c r="P240" s="27">
        <f t="shared" si="1057"/>
        <v>77.178834521190851</v>
      </c>
      <c r="Q240" s="27">
        <f t="shared" si="1057"/>
        <v>84.421633081276795</v>
      </c>
      <c r="R240" s="27">
        <f t="shared" si="1057"/>
        <v>76.474601802006887</v>
      </c>
      <c r="S240" s="27">
        <f t="shared" si="1057"/>
        <v>-48.707213064021438</v>
      </c>
      <c r="T240" s="27">
        <f t="shared" si="1057"/>
        <v>34.599728826631278</v>
      </c>
      <c r="U240" s="27">
        <f t="shared" si="1057"/>
        <v>-46.728441473544038</v>
      </c>
      <c r="V240" s="27">
        <f t="shared" ref="V240:W240" si="1058">V71*V$202</f>
        <v>-34.482808915787935</v>
      </c>
      <c r="W240" s="27">
        <f t="shared" si="1058"/>
        <v>-7.1671454336552127</v>
      </c>
      <c r="X240" s="27">
        <f t="shared" si="981"/>
        <v>39.518967074807939</v>
      </c>
      <c r="Y240" s="27">
        <f t="shared" ref="Y240:AB240" si="1059">Y71*Y$202</f>
        <v>-20.15966890302844</v>
      </c>
      <c r="Z240" s="27">
        <f t="shared" si="1059"/>
        <v>-53.448606574025035</v>
      </c>
      <c r="AA240" s="27">
        <f t="shared" si="1059"/>
        <v>-8.1532798890223663</v>
      </c>
      <c r="AB240" s="27">
        <f t="shared" si="1059"/>
        <v>-139.25200882487832</v>
      </c>
      <c r="AC240" s="27">
        <f t="shared" ref="AC240:AE240" si="1060">AC71*AC$202</f>
        <v>11.101919951662655</v>
      </c>
      <c r="AD240" s="27">
        <f t="shared" si="1060"/>
        <v>-4.4852825905381541</v>
      </c>
      <c r="AE240" s="27">
        <f t="shared" si="1060"/>
        <v>-48.635660044456571</v>
      </c>
    </row>
    <row r="241" spans="2:31" ht="13.5" customHeight="1">
      <c r="B241" s="16" t="str">
        <f t="shared" si="968"/>
        <v>Other financing activities</v>
      </c>
      <c r="C241" s="27">
        <f t="shared" si="969"/>
        <v>-8.2058331543505467</v>
      </c>
      <c r="D241" s="27">
        <f t="shared" ref="D241:E241" si="1061">D72*D$202</f>
        <v>-18.008272131406464</v>
      </c>
      <c r="E241" s="27">
        <f t="shared" si="1061"/>
        <v>-11.45328307420859</v>
      </c>
      <c r="F241" s="27">
        <f t="shared" ref="F241:G241" si="1062">F72*F$202</f>
        <v>32.221541301887918</v>
      </c>
      <c r="G241" s="27">
        <f t="shared" si="1062"/>
        <v>-8.8660193087562948</v>
      </c>
      <c r="H241" s="27">
        <f t="shared" ref="H241:I241" si="1063">H72*H$202</f>
        <v>3.8270801102416394</v>
      </c>
      <c r="I241" s="27">
        <f t="shared" si="1063"/>
        <v>6.0321374243476953</v>
      </c>
      <c r="J241" s="120"/>
      <c r="K241" s="27">
        <f t="shared" ref="K241:U241" si="1064">K72*K$202</f>
        <v>-2.1019261108748442</v>
      </c>
      <c r="L241" s="27">
        <f t="shared" si="1064"/>
        <v>-6.5235789328338845</v>
      </c>
      <c r="M241" s="27">
        <f t="shared" si="1064"/>
        <v>-2.6724497958466791</v>
      </c>
      <c r="N241" s="27">
        <f t="shared" si="1064"/>
        <v>-6.4558601298348108</v>
      </c>
      <c r="O241" s="27">
        <f t="shared" si="1064"/>
        <v>-2.5923540657244</v>
      </c>
      <c r="P241" s="27">
        <f t="shared" si="1064"/>
        <v>-3.0367745203751886</v>
      </c>
      <c r="Q241" s="27">
        <f t="shared" si="1064"/>
        <v>-2.8022677544909262</v>
      </c>
      <c r="R241" s="27">
        <f t="shared" si="1064"/>
        <v>-2.9335105046678862</v>
      </c>
      <c r="S241" s="27">
        <f t="shared" si="1064"/>
        <v>-7.0270801701889587</v>
      </c>
      <c r="T241" s="27">
        <f t="shared" si="1064"/>
        <v>14.666686572106663</v>
      </c>
      <c r="U241" s="27">
        <f t="shared" si="1064"/>
        <v>24.160425885736952</v>
      </c>
      <c r="V241" s="27">
        <f t="shared" ref="V241:W241" si="1065">V72*V$202</f>
        <v>0.80225282609250625</v>
      </c>
      <c r="W241" s="27">
        <f t="shared" si="1065"/>
        <v>-37.070644664946514</v>
      </c>
      <c r="X241" s="27">
        <f t="shared" si="981"/>
        <v>-0.99135590896512471</v>
      </c>
      <c r="Y241" s="27">
        <f t="shared" ref="Y241:AB241" si="1066">Y72*Y$202</f>
        <v>-5.0658799378282744</v>
      </c>
      <c r="Z241" s="27">
        <f t="shared" si="1066"/>
        <v>33.575638192241996</v>
      </c>
      <c r="AA241" s="27">
        <f t="shared" si="1066"/>
        <v>-2.5248012313183557</v>
      </c>
      <c r="AB241" s="27">
        <f t="shared" si="1066"/>
        <v>-5.392543091171715E-2</v>
      </c>
      <c r="AC241" s="27">
        <f t="shared" ref="AC241:AE241" si="1067">AC72*AC$202</f>
        <v>6.3935432119343281</v>
      </c>
      <c r="AD241" s="27">
        <f t="shared" si="1067"/>
        <v>0</v>
      </c>
      <c r="AE241" s="27">
        <f t="shared" si="1067"/>
        <v>-0.4818607958807184</v>
      </c>
    </row>
    <row r="242" spans="2:31" s="19" customFormat="1" ht="13.5" customHeight="1" thickBot="1">
      <c r="B242" s="25" t="str">
        <f t="shared" si="968"/>
        <v>Cash flow after financing activities</v>
      </c>
      <c r="C242" s="24">
        <f t="shared" si="969"/>
        <v>1284.8575899230586</v>
      </c>
      <c r="D242" s="24">
        <f t="shared" ref="D242:E242" si="1068">D73*D$202</f>
        <v>1335.9946339729918</v>
      </c>
      <c r="E242" s="24">
        <f t="shared" si="1068"/>
        <v>1590.6981072627486</v>
      </c>
      <c r="F242" s="24">
        <f t="shared" ref="F242:G242" si="1069">F73*F$202</f>
        <v>1315.6283997379549</v>
      </c>
      <c r="G242" s="24">
        <f t="shared" si="1069"/>
        <v>1329.7363790869463</v>
      </c>
      <c r="H242" s="24">
        <f t="shared" ref="H242:I242" si="1070">H73*H$202</f>
        <v>1121.8019765759116</v>
      </c>
      <c r="I242" s="24">
        <f t="shared" si="1070"/>
        <v>1115.513107123694</v>
      </c>
      <c r="J242" s="26"/>
      <c r="K242" s="24">
        <f t="shared" ref="K242:U242" si="1071">K73*K$202</f>
        <v>555.63541492324373</v>
      </c>
      <c r="L242" s="24">
        <f t="shared" si="1071"/>
        <v>152.42751967512103</v>
      </c>
      <c r="M242" s="24">
        <f t="shared" si="1071"/>
        <v>350.74825640096714</v>
      </c>
      <c r="N242" s="24">
        <f t="shared" si="1071"/>
        <v>277.84742711576621</v>
      </c>
      <c r="O242" s="24">
        <f t="shared" si="1071"/>
        <v>1069.462992490872</v>
      </c>
      <c r="P242" s="24">
        <f t="shared" si="1071"/>
        <v>11.055072795670823</v>
      </c>
      <c r="Q242" s="24">
        <f t="shared" si="1071"/>
        <v>224.87811455581993</v>
      </c>
      <c r="R242" s="24">
        <f t="shared" si="1071"/>
        <v>323.37789020315915</v>
      </c>
      <c r="S242" s="24">
        <f t="shared" si="1071"/>
        <v>452.68800710653977</v>
      </c>
      <c r="T242" s="24">
        <f t="shared" si="1071"/>
        <v>316.09381511940705</v>
      </c>
      <c r="U242" s="24">
        <f t="shared" si="1071"/>
        <v>294.8137188488883</v>
      </c>
      <c r="V242" s="24">
        <f t="shared" ref="V242:W242" si="1072">V73*V$202</f>
        <v>263.8121762057155</v>
      </c>
      <c r="W242" s="24">
        <f t="shared" si="1072"/>
        <v>414.63973771060489</v>
      </c>
      <c r="X242" s="24">
        <f t="shared" si="981"/>
        <v>147.45990380159517</v>
      </c>
      <c r="Y242" s="24">
        <f t="shared" ref="Y242:AB242" si="1073">Y73*Y$202</f>
        <v>368.97113635314236</v>
      </c>
      <c r="Z242" s="24">
        <f t="shared" si="1073"/>
        <v>403.79723860865988</v>
      </c>
      <c r="AA242" s="24">
        <f t="shared" si="1073"/>
        <v>505.93409933042949</v>
      </c>
      <c r="AB242" s="24">
        <f t="shared" si="1073"/>
        <v>-41.362104442246498</v>
      </c>
      <c r="AC242" s="24">
        <f t="shared" ref="AC242:AE242" si="1074">AC73*AC$202</f>
        <v>233.06066130510837</v>
      </c>
      <c r="AD242" s="24">
        <f t="shared" si="1074"/>
        <v>418.02307626410851</v>
      </c>
      <c r="AE242" s="24">
        <f t="shared" si="1074"/>
        <v>513.46789961197669</v>
      </c>
    </row>
    <row r="243" spans="2:31" s="19" customFormat="1" ht="13.5" customHeight="1" thickTop="1">
      <c r="B243" s="16" t="str">
        <f t="shared" si="968"/>
        <v>Balancing figure</v>
      </c>
      <c r="C243" s="27">
        <f t="shared" si="969"/>
        <v>-1026.0182562443938</v>
      </c>
      <c r="D243" s="27">
        <f t="shared" ref="D243:E243" si="1075">D74*D$202</f>
        <v>-1492.9885203611566</v>
      </c>
      <c r="E243" s="27">
        <f t="shared" si="1075"/>
        <v>-1193.6101958043555</v>
      </c>
      <c r="F243" s="27">
        <f t="shared" ref="F243:G243" si="1076">F74*F$202</f>
        <v>-1269.3781287594543</v>
      </c>
      <c r="G243" s="27">
        <f t="shared" si="1076"/>
        <v>-1282.576134338871</v>
      </c>
      <c r="H243" s="27">
        <f t="shared" ref="H243:I243" si="1077">H74*H$202</f>
        <v>-1260.5153877168004</v>
      </c>
      <c r="I243" s="27">
        <f t="shared" si="1077"/>
        <v>-1264.0874778281857</v>
      </c>
      <c r="J243" s="120"/>
      <c r="K243" s="27">
        <f t="shared" ref="K243:U243" si="1078">K74*K$202</f>
        <v>-449.90426378390248</v>
      </c>
      <c r="L243" s="27">
        <f t="shared" si="1078"/>
        <v>-273.37113945499794</v>
      </c>
      <c r="M243" s="27">
        <f t="shared" si="1078"/>
        <v>-343.41648301872539</v>
      </c>
      <c r="N243" s="27">
        <f t="shared" si="1078"/>
        <v>-415.18129859102976</v>
      </c>
      <c r="O243" s="27">
        <f t="shared" si="1078"/>
        <v>-445.59052087102691</v>
      </c>
      <c r="P243" s="27">
        <f t="shared" si="1078"/>
        <v>-218.86004714961365</v>
      </c>
      <c r="Q243" s="27">
        <f t="shared" si="1078"/>
        <v>-240.88964846991976</v>
      </c>
      <c r="R243" s="27">
        <f t="shared" si="1078"/>
        <v>-292.22623877953856</v>
      </c>
      <c r="S243" s="27">
        <f t="shared" si="1078"/>
        <v>-426.58356019467334</v>
      </c>
      <c r="T243" s="27">
        <f t="shared" si="1078"/>
        <v>-283.49335485612795</v>
      </c>
      <c r="U243" s="27">
        <f t="shared" si="1078"/>
        <v>-308.55980883177648</v>
      </c>
      <c r="V243" s="27">
        <f t="shared" ref="V243:W243" si="1079">V74*V$202</f>
        <v>-260.2789221235052</v>
      </c>
      <c r="W243" s="27">
        <f t="shared" si="1079"/>
        <v>-385.26787011595542</v>
      </c>
      <c r="X243" s="27">
        <f t="shared" si="981"/>
        <v>-179.01185540830022</v>
      </c>
      <c r="Y243" s="27">
        <f t="shared" ref="Y243:AB243" si="1080">Y74*Y$202</f>
        <v>-378.5398129774876</v>
      </c>
      <c r="Z243" s="27">
        <f t="shared" si="1080"/>
        <v>-344.41138170783393</v>
      </c>
      <c r="AA243" s="27">
        <f t="shared" si="1080"/>
        <v>-410.90869499483614</v>
      </c>
      <c r="AB243" s="27">
        <f t="shared" si="1080"/>
        <v>-223.47404618198675</v>
      </c>
      <c r="AC243" s="27">
        <f t="shared" ref="AC243:AE243" si="1081">AC74*AC$202</f>
        <v>-254.05385448787356</v>
      </c>
      <c r="AD243" s="27">
        <f t="shared" si="1081"/>
        <v>-370.19073736962758</v>
      </c>
      <c r="AE243" s="27">
        <f t="shared" si="1081"/>
        <v>-420.45891908548629</v>
      </c>
    </row>
    <row r="244" spans="2:31" ht="13.5" customHeight="1">
      <c r="B244" s="16" t="str">
        <f t="shared" si="968"/>
        <v xml:space="preserve">FX </v>
      </c>
      <c r="C244" s="27">
        <f t="shared" si="969"/>
        <v>-6.13274500638021</v>
      </c>
      <c r="D244" s="27">
        <f t="shared" ref="D244:E244" si="1082">D75*D$202</f>
        <v>-15.188707257363975</v>
      </c>
      <c r="E244" s="27">
        <f t="shared" si="1082"/>
        <v>-17.264639497714278</v>
      </c>
      <c r="F244" s="27">
        <f t="shared" ref="F244:G244" si="1083">F75*F$202</f>
        <v>-21.150704544101007</v>
      </c>
      <c r="G244" s="27">
        <f t="shared" si="1083"/>
        <v>47.795706836234167</v>
      </c>
      <c r="H244" s="27">
        <f t="shared" ref="H244:I244" si="1084">H75*H$202</f>
        <v>-59.04796498944755</v>
      </c>
      <c r="I244" s="27">
        <f t="shared" si="1084"/>
        <v>-22.206307575865324</v>
      </c>
      <c r="J244" s="120"/>
      <c r="K244" s="27">
        <f t="shared" ref="K244:U244" si="1085">K75*K$202</f>
        <v>-7.9408406842906736</v>
      </c>
      <c r="L244" s="27">
        <f t="shared" si="1085"/>
        <v>-6.4355892338609024</v>
      </c>
      <c r="M244" s="27">
        <f t="shared" si="1085"/>
        <v>2.4990301447537435</v>
      </c>
      <c r="N244" s="27">
        <f t="shared" si="1085"/>
        <v>-3.5943867041449167</v>
      </c>
      <c r="O244" s="27">
        <f t="shared" si="1085"/>
        <v>-41.606116607520192</v>
      </c>
      <c r="P244" s="27">
        <f t="shared" si="1085"/>
        <v>92.614997436534367</v>
      </c>
      <c r="Q244" s="27">
        <f t="shared" si="1085"/>
        <v>6.9911810987297924</v>
      </c>
      <c r="R244" s="27">
        <f t="shared" si="1085"/>
        <v>-73.759646884087758</v>
      </c>
      <c r="S244" s="27">
        <f t="shared" si="1085"/>
        <v>-56.400549571660868</v>
      </c>
      <c r="T244" s="27">
        <f t="shared" si="1085"/>
        <v>-9.1143128636455373</v>
      </c>
      <c r="U244" s="27">
        <f t="shared" si="1085"/>
        <v>55.79122304773513</v>
      </c>
      <c r="V244" s="27">
        <f>V75*V$202</f>
        <v>-12.986483712956847</v>
      </c>
      <c r="W244" s="27">
        <f>W75*W$202</f>
        <v>50.69118343795224</v>
      </c>
      <c r="X244" s="27">
        <f t="shared" si="981"/>
        <v>-26.663473319381094</v>
      </c>
      <c r="Y244" s="27">
        <f t="shared" ref="Y244:AB244" si="1086">Y75*Y$202</f>
        <v>-30.973035656969216</v>
      </c>
      <c r="Z244" s="27">
        <f t="shared" si="1086"/>
        <v>54.944618426523192</v>
      </c>
      <c r="AA244" s="27">
        <f t="shared" si="1086"/>
        <v>-28.737021062527909</v>
      </c>
      <c r="AB244" s="27">
        <f t="shared" si="1086"/>
        <v>-12.398986409138606</v>
      </c>
      <c r="AC244" s="27">
        <f t="shared" ref="AC244:AE244" si="1087">AC75*AC$202</f>
        <v>7.9965684640386723</v>
      </c>
      <c r="AD244" s="27">
        <f t="shared" si="1087"/>
        <v>-25.996713640160198</v>
      </c>
      <c r="AE244" s="27">
        <f t="shared" si="1087"/>
        <v>8.1575837447781261</v>
      </c>
    </row>
    <row r="245" spans="2:31" s="19" customFormat="1" ht="13.5" customHeight="1" thickBot="1">
      <c r="B245" s="25" t="str">
        <f t="shared" si="968"/>
        <v xml:space="preserve">Net change in cash </v>
      </c>
      <c r="C245" s="24">
        <f t="shared" si="969"/>
        <v>252.7065886722846</v>
      </c>
      <c r="D245" s="24">
        <f t="shared" ref="D245:E245" si="1088">D76*D$202</f>
        <v>-172.18259364552893</v>
      </c>
      <c r="E245" s="24">
        <f t="shared" si="1088"/>
        <v>379.82327196067877</v>
      </c>
      <c r="F245" s="24">
        <f t="shared" ref="F245:G245" si="1089">F76*F$202</f>
        <v>25.099566434399424</v>
      </c>
      <c r="G245" s="24">
        <f t="shared" si="1089"/>
        <v>94.955951584309375</v>
      </c>
      <c r="H245" s="24">
        <f t="shared" ref="H245:I245" si="1090">H76*H$202</f>
        <v>-197.76137613033643</v>
      </c>
      <c r="I245" s="24">
        <f t="shared" si="1090"/>
        <v>-170.78067828035685</v>
      </c>
      <c r="J245" s="26"/>
      <c r="K245" s="24">
        <f t="shared" ref="K245:U245" si="1091">K76*K$202</f>
        <v>97.790310455050573</v>
      </c>
      <c r="L245" s="24">
        <f t="shared" si="1091"/>
        <v>-127.37920901373779</v>
      </c>
      <c r="M245" s="24">
        <f t="shared" si="1091"/>
        <v>9.8308035269954921</v>
      </c>
      <c r="N245" s="24">
        <f t="shared" si="1091"/>
        <v>-140.92825817940891</v>
      </c>
      <c r="O245" s="24">
        <f t="shared" si="1091"/>
        <v>582.26635501232488</v>
      </c>
      <c r="P245" s="24">
        <f t="shared" si="1091"/>
        <v>-115.18997691740844</v>
      </c>
      <c r="Q245" s="24">
        <f t="shared" si="1091"/>
        <v>-9.0203528153700283</v>
      </c>
      <c r="R245" s="24">
        <f t="shared" si="1091"/>
        <v>-42.607995460467144</v>
      </c>
      <c r="S245" s="24">
        <f t="shared" si="1091"/>
        <v>-30.296102659794457</v>
      </c>
      <c r="T245" s="24">
        <f t="shared" si="1091"/>
        <v>23.486147399633545</v>
      </c>
      <c r="U245" s="24">
        <f t="shared" si="1091"/>
        <v>42.045133064846979</v>
      </c>
      <c r="V245" s="24">
        <f t="shared" ref="V245:W245" si="1092">V76*V$202</f>
        <v>-9.4532296307465256</v>
      </c>
      <c r="W245" s="24">
        <f t="shared" si="1092"/>
        <v>80.06305103260172</v>
      </c>
      <c r="X245" s="24">
        <f t="shared" si="981"/>
        <v>-58.215424926086129</v>
      </c>
      <c r="Y245" s="24">
        <f t="shared" ref="Y245:AB245" si="1093">Y76*Y$202</f>
        <v>-40.541712281314439</v>
      </c>
      <c r="Z245" s="24">
        <f t="shared" si="1093"/>
        <v>114.33047532734913</v>
      </c>
      <c r="AA245" s="24">
        <f t="shared" si="1093"/>
        <v>66.288383273065477</v>
      </c>
      <c r="AB245" s="24">
        <f t="shared" si="1093"/>
        <v>-277.23513703337187</v>
      </c>
      <c r="AC245" s="24">
        <f t="shared" ref="AC245:AE245" si="1094">AC76*AC$202</f>
        <v>-12.996624718726521</v>
      </c>
      <c r="AD245" s="24">
        <f t="shared" si="1094"/>
        <v>21.83562525432076</v>
      </c>
      <c r="AE245" s="24">
        <f t="shared" si="1094"/>
        <v>101.16656427126853</v>
      </c>
    </row>
    <row r="246" spans="2:31" ht="13.5" customHeight="1" thickTop="1">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row>
    <row r="247" spans="2:31" s="19" customFormat="1" ht="13.5" customHeight="1">
      <c r="B247" s="19" t="str">
        <f>+B118</f>
        <v>Total debt</v>
      </c>
      <c r="C247" s="26">
        <f t="shared" ref="C247:E247" si="1095">C118*C$203</f>
        <v>690.78520422535223</v>
      </c>
      <c r="D247" s="26">
        <f t="shared" si="1095"/>
        <v>674.01154740923505</v>
      </c>
      <c r="E247" s="26">
        <f t="shared" si="1095"/>
        <v>1618.9646945034206</v>
      </c>
      <c r="F247" s="26">
        <f t="shared" ref="F247:G247" si="1096">F118*F$203</f>
        <v>1509.5306343546295</v>
      </c>
      <c r="G247" s="26">
        <f t="shared" si="1096"/>
        <v>1425.1217781583719</v>
      </c>
      <c r="H247" s="26">
        <f t="shared" ref="H247:I247" si="1097">H118*H$203</f>
        <v>1387.8805740298674</v>
      </c>
      <c r="I247" s="26">
        <f t="shared" si="1097"/>
        <v>1320.9120936659936</v>
      </c>
      <c r="J247" s="26"/>
      <c r="K247" s="26">
        <f t="shared" ref="K247:N247" si="1098">K118*K$203</f>
        <v>676.79581441290668</v>
      </c>
      <c r="L247" s="26">
        <f t="shared" si="1098"/>
        <v>644.68237950977698</v>
      </c>
      <c r="M247" s="26">
        <f t="shared" si="1098"/>
        <v>590.08259602321846</v>
      </c>
      <c r="N247" s="26">
        <f t="shared" si="1098"/>
        <v>674.01154740923505</v>
      </c>
      <c r="O247" s="26">
        <f t="shared" ref="O247:P247" si="1099">O118*O$203</f>
        <v>1338.4652065780124</v>
      </c>
      <c r="P247" s="26">
        <f t="shared" si="1099"/>
        <v>1344.4596285097193</v>
      </c>
      <c r="Q247" s="26">
        <f t="shared" ref="Q247:T247" si="1100">Q118*Q$203</f>
        <v>1403.5605329039629</v>
      </c>
      <c r="R247" s="26">
        <f t="shared" si="1100"/>
        <v>1619.9200613714152</v>
      </c>
      <c r="S247" s="26">
        <f t="shared" si="1100"/>
        <v>1641.1404131436386</v>
      </c>
      <c r="T247" s="26">
        <f t="shared" si="1100"/>
        <v>1670.114594022416</v>
      </c>
      <c r="U247" s="26">
        <f t="shared" ref="U247:X247" si="1101">U118*U$203</f>
        <v>1525.868373189626</v>
      </c>
      <c r="V247" s="26">
        <f t="shared" si="1101"/>
        <v>1509.5306343546295</v>
      </c>
      <c r="W247" s="26">
        <f t="shared" si="1101"/>
        <v>1420.5516828912023</v>
      </c>
      <c r="X247" s="26">
        <f t="shared" si="1101"/>
        <v>1506.5201680046785</v>
      </c>
      <c r="Y247" s="26">
        <f t="shared" ref="Y247:AB247" si="1102">Y118*Y$203</f>
        <v>1540.9842666369905</v>
      </c>
      <c r="Z247" s="26">
        <f t="shared" si="1102"/>
        <v>1425.1217781583719</v>
      </c>
      <c r="AA247" s="26">
        <f t="shared" si="1102"/>
        <v>1459.9576429159999</v>
      </c>
      <c r="AB247" s="26">
        <f t="shared" si="1102"/>
        <v>1331.4565555052889</v>
      </c>
      <c r="AC247" s="26">
        <f t="shared" ref="AC247:AE247" si="1103">AC118*AC$203</f>
        <v>1322.3662179160644</v>
      </c>
      <c r="AD247" s="26">
        <f t="shared" si="1103"/>
        <v>1387.8805740298674</v>
      </c>
      <c r="AE247" s="26">
        <f t="shared" si="1103"/>
        <v>1320.9120936659936</v>
      </c>
    </row>
    <row r="248" spans="2:31" ht="13.5" customHeight="1">
      <c r="B248" s="16" t="str">
        <f>+B119</f>
        <v>Cash and cash equivalents</v>
      </c>
      <c r="C248" s="23">
        <f t="shared" ref="C248" si="1104">(C119)*C$203</f>
        <v>558.2943887323944</v>
      </c>
      <c r="D248" s="23">
        <f t="shared" ref="D248:E248" si="1105">(D119)*D$203</f>
        <v>312.02928563036068</v>
      </c>
      <c r="E248" s="23">
        <f t="shared" si="1105"/>
        <v>704.27185067232847</v>
      </c>
      <c r="F248" s="23">
        <f t="shared" ref="F248" si="1106">(F119)*F$203</f>
        <v>701.98507347430086</v>
      </c>
      <c r="G248" s="23">
        <f>(G119)*G$203</f>
        <v>712.39453455571231</v>
      </c>
      <c r="H248" s="23">
        <f>(H119)*H$203</f>
        <v>576.44582135124631</v>
      </c>
      <c r="I248" s="23">
        <f>(I119)*I$203</f>
        <v>660.2495654614745</v>
      </c>
      <c r="J248" s="23"/>
      <c r="K248" s="23">
        <f t="shared" ref="K248:N248" si="1107">(K119)*K$203</f>
        <v>641.58603295240971</v>
      </c>
      <c r="L248" s="23">
        <f t="shared" si="1107"/>
        <v>516.37975626549155</v>
      </c>
      <c r="M248" s="23">
        <f t="shared" si="1107"/>
        <v>472.42463999011983</v>
      </c>
      <c r="N248" s="23">
        <f t="shared" si="1107"/>
        <v>312.02928563036068</v>
      </c>
      <c r="O248" s="23">
        <f t="shared" ref="O248:P248" si="1108">(O119)*O$203</f>
        <v>941.63337351537916</v>
      </c>
      <c r="P248" s="23">
        <f t="shared" si="1108"/>
        <v>695.46346544276457</v>
      </c>
      <c r="Q248" s="23">
        <f t="shared" ref="Q248:T248" si="1109">(Q119)*Q$203</f>
        <v>660.14047888640721</v>
      </c>
      <c r="R248" s="23">
        <f t="shared" si="1109"/>
        <v>704.68744836539611</v>
      </c>
      <c r="S248" s="23">
        <f t="shared" si="1109"/>
        <v>724.4057237608223</v>
      </c>
      <c r="T248" s="23">
        <f t="shared" si="1109"/>
        <v>736.00927272727267</v>
      </c>
      <c r="U248" s="23">
        <f t="shared" ref="U248:X248" si="1110">(U119)*U$203</f>
        <v>703.4084439205119</v>
      </c>
      <c r="V248" s="23">
        <f t="shared" si="1110"/>
        <v>701.98507347430086</v>
      </c>
      <c r="W248" s="23">
        <f t="shared" si="1110"/>
        <v>707.25991603419925</v>
      </c>
      <c r="X248" s="23">
        <f t="shared" si="1110"/>
        <v>676.8449316816417</v>
      </c>
      <c r="Y248" s="23">
        <f t="shared" ref="Y248:AB248" si="1111">(Y119)*Y$203</f>
        <v>666.90296349877588</v>
      </c>
      <c r="Z248" s="23">
        <f t="shared" si="1111"/>
        <v>712.39453455571231</v>
      </c>
      <c r="AA248" s="23">
        <f t="shared" si="1111"/>
        <v>813.09253110600002</v>
      </c>
      <c r="AB248" s="23">
        <f t="shared" si="1111"/>
        <v>550.70147138025379</v>
      </c>
      <c r="AC248" s="23">
        <f t="shared" ref="AC248:AE248" si="1112">(AC119)*AC$203</f>
        <v>518.52474920212489</v>
      </c>
      <c r="AD248" s="23">
        <f t="shared" si="1112"/>
        <v>576.44582135124631</v>
      </c>
      <c r="AE248" s="23">
        <f t="shared" si="1112"/>
        <v>660.2495654614745</v>
      </c>
    </row>
    <row r="249" spans="2:31" s="19" customFormat="1" ht="13.5" customHeight="1" thickBot="1">
      <c r="B249" s="25" t="str">
        <f>+B120</f>
        <v xml:space="preserve">Net debt </v>
      </c>
      <c r="C249" s="24">
        <f t="shared" ref="C249" si="1113">C247-C248</f>
        <v>132.49081549295784</v>
      </c>
      <c r="D249" s="24">
        <f t="shared" ref="D249:E249" si="1114">D247-D248</f>
        <v>361.98226177887437</v>
      </c>
      <c r="E249" s="24">
        <f t="shared" si="1114"/>
        <v>914.69284383109209</v>
      </c>
      <c r="F249" s="24">
        <f t="shared" ref="F249:G249" si="1115">F247-F248</f>
        <v>807.54556088032859</v>
      </c>
      <c r="G249" s="24">
        <f t="shared" si="1115"/>
        <v>712.72724360265954</v>
      </c>
      <c r="H249" s="24">
        <f t="shared" ref="H249:I249" si="1116">H247-H248</f>
        <v>811.43475267862107</v>
      </c>
      <c r="I249" s="24">
        <f t="shared" si="1116"/>
        <v>660.66252820451905</v>
      </c>
      <c r="J249" s="26"/>
      <c r="K249" s="24">
        <f t="shared" ref="K249:N249" si="1117">K247-K248</f>
        <v>35.20978146049697</v>
      </c>
      <c r="L249" s="24">
        <f t="shared" si="1117"/>
        <v>128.30262324428543</v>
      </c>
      <c r="M249" s="24">
        <f t="shared" si="1117"/>
        <v>117.65795603309863</v>
      </c>
      <c r="N249" s="24">
        <f t="shared" si="1117"/>
        <v>361.98226177887437</v>
      </c>
      <c r="O249" s="24">
        <f t="shared" ref="O249:P249" si="1118">O247-O248</f>
        <v>396.83183306263322</v>
      </c>
      <c r="P249" s="24">
        <f t="shared" si="1118"/>
        <v>648.99616306695475</v>
      </c>
      <c r="Q249" s="24">
        <f t="shared" ref="Q249:T249" si="1119">Q247-Q248</f>
        <v>743.42005401755569</v>
      </c>
      <c r="R249" s="24">
        <f t="shared" si="1119"/>
        <v>915.23261300601905</v>
      </c>
      <c r="S249" s="24">
        <f t="shared" si="1119"/>
        <v>916.73468938281633</v>
      </c>
      <c r="T249" s="24">
        <f t="shared" si="1119"/>
        <v>934.10532129514331</v>
      </c>
      <c r="U249" s="24">
        <f t="shared" ref="U249:X249" si="1120">U247-U248</f>
        <v>822.45992926911413</v>
      </c>
      <c r="V249" s="24">
        <f t="shared" si="1120"/>
        <v>807.54556088032859</v>
      </c>
      <c r="W249" s="24">
        <f t="shared" si="1120"/>
        <v>713.29176685700304</v>
      </c>
      <c r="X249" s="24">
        <f t="shared" si="1120"/>
        <v>829.67523632303676</v>
      </c>
      <c r="Y249" s="24">
        <f t="shared" ref="Y249:AB249" si="1121">Y247-Y248</f>
        <v>874.08130313821459</v>
      </c>
      <c r="Z249" s="24">
        <f t="shared" si="1121"/>
        <v>712.72724360265954</v>
      </c>
      <c r="AA249" s="24">
        <f t="shared" si="1121"/>
        <v>646.86511180999992</v>
      </c>
      <c r="AB249" s="24">
        <f t="shared" si="1121"/>
        <v>780.75508412503507</v>
      </c>
      <c r="AC249" s="24">
        <f t="shared" ref="AC249:AE249" si="1122">AC247-AC248</f>
        <v>803.84146871393955</v>
      </c>
      <c r="AD249" s="24">
        <f t="shared" si="1122"/>
        <v>811.43475267862107</v>
      </c>
      <c r="AE249" s="24">
        <f t="shared" si="1122"/>
        <v>660.66252820451905</v>
      </c>
    </row>
    <row r="250" spans="2:31" ht="13.5" customHeight="1" thickTop="1">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row>
    <row r="251" spans="2:31" ht="13.5" customHeight="1">
      <c r="B251" s="19" t="str">
        <f>B122</f>
        <v>Company reported net debt</v>
      </c>
      <c r="C251" s="20">
        <f t="shared" ref="C251:E251" si="1123">C122*C203</f>
        <v>132.49081549295784</v>
      </c>
      <c r="D251" s="20">
        <f t="shared" si="1123"/>
        <v>361.98226177887437</v>
      </c>
      <c r="E251" s="20">
        <f t="shared" si="1123"/>
        <v>914.6928438310922</v>
      </c>
      <c r="F251" s="20">
        <f t="shared" ref="F251:G251" si="1124">F122*F203</f>
        <v>807.54556088032859</v>
      </c>
      <c r="G251" s="20">
        <f t="shared" si="1124"/>
        <v>738.00624622204316</v>
      </c>
      <c r="H251" s="20">
        <f t="shared" ref="H251:I251" si="1125">H122*H203</f>
        <v>846.46088935768614</v>
      </c>
      <c r="I251" s="20">
        <f t="shared" si="1125"/>
        <v>686.21460265365397</v>
      </c>
      <c r="J251" s="18"/>
      <c r="K251" s="20">
        <f t="shared" ref="K251:N251" si="1126">K122*K203</f>
        <v>35.209781460496913</v>
      </c>
      <c r="L251" s="20">
        <f t="shared" si="1126"/>
        <v>128.3026232442854</v>
      </c>
      <c r="M251" s="20">
        <f t="shared" si="1126"/>
        <v>117.6579560330986</v>
      </c>
      <c r="N251" s="20">
        <f t="shared" si="1126"/>
        <v>361.98226177887437</v>
      </c>
      <c r="O251" s="20">
        <f t="shared" ref="O251:P251" si="1127">O122*O203</f>
        <v>396.83183306263311</v>
      </c>
      <c r="P251" s="20">
        <f t="shared" si="1127"/>
        <v>648.99616306695464</v>
      </c>
      <c r="Q251" s="20">
        <f t="shared" ref="Q251:T251" si="1128">Q122*Q203</f>
        <v>743.42005401755569</v>
      </c>
      <c r="R251" s="20">
        <f t="shared" si="1128"/>
        <v>915.23261300601905</v>
      </c>
      <c r="S251" s="20">
        <f t="shared" si="1128"/>
        <v>916.73468938281633</v>
      </c>
      <c r="T251" s="20">
        <f t="shared" si="1128"/>
        <v>934.10532129514331</v>
      </c>
      <c r="U251" s="20">
        <f t="shared" ref="U251:X251" si="1129">U122*U203</f>
        <v>822.45992926911413</v>
      </c>
      <c r="V251" s="20">
        <f t="shared" si="1129"/>
        <v>807.54556088032859</v>
      </c>
      <c r="W251" s="20">
        <f t="shared" si="1129"/>
        <v>713.29176685700293</v>
      </c>
      <c r="X251" s="20">
        <f t="shared" si="1129"/>
        <v>829.67523632303687</v>
      </c>
      <c r="Y251" s="20">
        <f t="shared" ref="Y251" si="1130">Y122*Y203</f>
        <v>874.08130313821471</v>
      </c>
      <c r="Z251" s="20">
        <f>Z122*Z203</f>
        <v>738.00624622204316</v>
      </c>
      <c r="AA251" s="20">
        <f t="shared" ref="AA251:AC251" si="1131">AA122*AA203</f>
        <v>646.86511181000003</v>
      </c>
      <c r="AB251" s="20">
        <f t="shared" si="1131"/>
        <v>780.75508412503507</v>
      </c>
      <c r="AC251" s="20">
        <f t="shared" si="1131"/>
        <v>829.3732392169909</v>
      </c>
      <c r="AD251" s="20">
        <f>AD122*AD203</f>
        <v>846.46088935768614</v>
      </c>
      <c r="AE251" s="20">
        <f t="shared" ref="AE251" si="1132">AE122*AE203</f>
        <v>686.21460265365397</v>
      </c>
    </row>
    <row r="252" spans="2:31" ht="13.5" customHeight="1">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row>
    <row r="253" spans="2:31" ht="13.5" customHeight="1">
      <c r="B253" s="16" t="s">
        <v>257</v>
      </c>
      <c r="C253" s="27">
        <f t="shared" ref="C253:F253" si="1133">(C113)*C$203</f>
        <v>45.26043802816902</v>
      </c>
      <c r="D253" s="27">
        <f t="shared" si="1133"/>
        <v>41.312870403007864</v>
      </c>
      <c r="E253" s="27">
        <f t="shared" si="1133"/>
        <v>47.684793583392313</v>
      </c>
      <c r="F253" s="27">
        <f t="shared" si="1133"/>
        <v>46.791999591178538</v>
      </c>
      <c r="G253" s="27">
        <f>(G113)*G$203</f>
        <v>49.600914769292771</v>
      </c>
      <c r="H253" s="27">
        <f>(H113)*H$203</f>
        <v>57.650195969577531</v>
      </c>
      <c r="I253" s="27">
        <f>(I113)*I$203</f>
        <v>61.377248534444604</v>
      </c>
      <c r="J253" s="18"/>
      <c r="K253" s="27">
        <f t="shared" ref="K253:AA253" si="1134">(K113)*K$203</f>
        <v>44.207244865762149</v>
      </c>
      <c r="L253" s="27">
        <f t="shared" si="1134"/>
        <v>42.894180666483066</v>
      </c>
      <c r="M253" s="27">
        <f t="shared" si="1134"/>
        <v>43.786130665678648</v>
      </c>
      <c r="N253" s="27">
        <f t="shared" si="1134"/>
        <v>41.312870403007864</v>
      </c>
      <c r="O253" s="27">
        <f t="shared" si="1134"/>
        <v>45.389829712719518</v>
      </c>
      <c r="P253" s="27">
        <f t="shared" si="1134"/>
        <v>45.46262526997841</v>
      </c>
      <c r="Q253" s="27">
        <f t="shared" si="1134"/>
        <v>43.447242507661137</v>
      </c>
      <c r="R253" s="27">
        <f t="shared" si="1134"/>
        <v>47.712932845509265</v>
      </c>
      <c r="S253" s="27">
        <f t="shared" si="1134"/>
        <v>54.223689939749889</v>
      </c>
      <c r="T253" s="27">
        <f t="shared" si="1134"/>
        <v>54.477713574097137</v>
      </c>
      <c r="U253" s="27">
        <f t="shared" si="1134"/>
        <v>46.835327270685973</v>
      </c>
      <c r="V253" s="27">
        <f t="shared" si="1134"/>
        <v>46.791999591178538</v>
      </c>
      <c r="W253" s="27">
        <f t="shared" si="1134"/>
        <v>43.128080533622075</v>
      </c>
      <c r="X253" s="27">
        <f t="shared" si="1134"/>
        <v>45.344740283906646</v>
      </c>
      <c r="Y253" s="27">
        <f t="shared" si="1134"/>
        <v>51.294981081682614</v>
      </c>
      <c r="Z253" s="27">
        <f t="shared" si="1134"/>
        <v>49.600914769292771</v>
      </c>
      <c r="AA253" s="27">
        <f t="shared" si="1134"/>
        <v>56.350985381999998</v>
      </c>
      <c r="AB253" s="27">
        <f t="shared" ref="AB253:AE253" si="1135">(AB113)*AB$203</f>
        <v>54.774949912751246</v>
      </c>
      <c r="AC253" s="27">
        <f t="shared" si="1135"/>
        <v>54.004319441123577</v>
      </c>
      <c r="AD253" s="27">
        <f t="shared" si="1135"/>
        <v>57.650195969577531</v>
      </c>
      <c r="AE253" s="27">
        <f t="shared" si="1135"/>
        <v>61.377248534444604</v>
      </c>
    </row>
    <row r="254" spans="2:31" ht="13.5" customHeight="1">
      <c r="B254" s="16" t="s">
        <v>22</v>
      </c>
      <c r="C254" s="27">
        <f t="shared" ref="C254:F254" si="1136">(C123)*C$203</f>
        <v>1984.2516549295776</v>
      </c>
      <c r="D254" s="27">
        <f t="shared" si="1136"/>
        <v>1674.9092973798613</v>
      </c>
      <c r="E254" s="27">
        <f t="shared" si="1136"/>
        <v>1693.7592038216562</v>
      </c>
      <c r="F254" s="27">
        <f t="shared" si="1136"/>
        <v>1518.7519373594675</v>
      </c>
      <c r="G254" s="27">
        <f>(G123)*G$203</f>
        <v>1684.9841930284103</v>
      </c>
      <c r="H254" s="27">
        <f>(H123)*H$203</f>
        <v>1794.7710020540721</v>
      </c>
      <c r="I254" s="27">
        <f>(I123)*I$203</f>
        <v>1878.2518498925801</v>
      </c>
      <c r="J254" s="18"/>
      <c r="K254" s="27">
        <f t="shared" ref="K254:AA254" si="1137">(K123)*K$203</f>
        <v>1950.3796647140332</v>
      </c>
      <c r="L254" s="27">
        <f t="shared" si="1137"/>
        <v>1982.4919209584136</v>
      </c>
      <c r="M254" s="27">
        <f t="shared" si="1137"/>
        <v>1880.2238063480302</v>
      </c>
      <c r="N254" s="27">
        <f t="shared" si="1137"/>
        <v>1674.9092973798613</v>
      </c>
      <c r="O254" s="27">
        <f t="shared" si="1137"/>
        <v>1770.1845637498732</v>
      </c>
      <c r="P254" s="27">
        <f t="shared" si="1137"/>
        <v>1614.8033023758101</v>
      </c>
      <c r="Q254" s="27">
        <f t="shared" si="1137"/>
        <v>1572.7278834467354</v>
      </c>
      <c r="R254" s="27">
        <f t="shared" si="1137"/>
        <v>1694.7587076596249</v>
      </c>
      <c r="S254" s="27">
        <f t="shared" si="1137"/>
        <v>1762.2823414004356</v>
      </c>
      <c r="T254" s="27">
        <f t="shared" si="1137"/>
        <v>1757.1891569115814</v>
      </c>
      <c r="U254" s="27">
        <f t="shared" si="1137"/>
        <v>1643.327203323229</v>
      </c>
      <c r="V254" s="27">
        <f t="shared" si="1137"/>
        <v>1518.7519373594675</v>
      </c>
      <c r="W254" s="27">
        <f t="shared" si="1137"/>
        <v>1568.5210231161325</v>
      </c>
      <c r="X254" s="27">
        <f t="shared" si="1137"/>
        <v>1619.6974299537455</v>
      </c>
      <c r="Y254" s="27">
        <f t="shared" si="1137"/>
        <v>1695.2143245047851</v>
      </c>
      <c r="Z254" s="27">
        <f t="shared" si="1137"/>
        <v>1684.9841930284103</v>
      </c>
      <c r="AA254" s="27">
        <f t="shared" si="1137"/>
        <v>1766.7236873280001</v>
      </c>
      <c r="AB254" s="27">
        <f t="shared" ref="AB254:AE254" si="1138">(AB123)*AB$203</f>
        <v>1734.5943029793834</v>
      </c>
      <c r="AC254" s="27">
        <f t="shared" si="1138"/>
        <v>1684.7784963562838</v>
      </c>
      <c r="AD254" s="27">
        <f t="shared" si="1138"/>
        <v>1794.7710020540721</v>
      </c>
      <c r="AE254" s="27">
        <f t="shared" si="1138"/>
        <v>1878.2518498925801</v>
      </c>
    </row>
    <row r="255" spans="2:31" ht="13.5" customHeight="1">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row>
    <row r="256" spans="2:31" s="19" customFormat="1" ht="13.5" customHeight="1">
      <c r="B256" s="19" t="s">
        <v>258</v>
      </c>
      <c r="C256" s="287">
        <f t="shared" ref="C256:H256" si="1139">C228</f>
        <v>374.4802226124749</v>
      </c>
      <c r="D256" s="287">
        <f t="shared" si="1139"/>
        <v>585.69268472452552</v>
      </c>
      <c r="E256" s="287">
        <f t="shared" si="1139"/>
        <v>410.08770408221716</v>
      </c>
      <c r="F256" s="287">
        <f t="shared" si="1139"/>
        <v>451.91158715978804</v>
      </c>
      <c r="G256" s="287">
        <f t="shared" si="1139"/>
        <v>443.92652196136493</v>
      </c>
      <c r="H256" s="287">
        <f t="shared" si="1139"/>
        <v>395.85334489268297</v>
      </c>
      <c r="I256" s="287">
        <f t="shared" ref="I256" si="1140">I228</f>
        <v>401.98959580356393</v>
      </c>
      <c r="J256" s="283"/>
      <c r="K256" s="90"/>
      <c r="L256" s="90"/>
      <c r="M256" s="90"/>
      <c r="N256" s="287">
        <f t="shared" ref="N256:AD256" si="1141">SUM(K228:N228)</f>
        <v>578.023329560511</v>
      </c>
      <c r="O256" s="287">
        <f t="shared" si="1141"/>
        <v>569.53030244547733</v>
      </c>
      <c r="P256" s="287">
        <f t="shared" si="1141"/>
        <v>523.03171913058509</v>
      </c>
      <c r="Q256" s="287">
        <f t="shared" si="1141"/>
        <v>462.12560929801555</v>
      </c>
      <c r="R256" s="287">
        <f t="shared" si="1141"/>
        <v>411.03260319804053</v>
      </c>
      <c r="S256" s="287">
        <f t="shared" si="1141"/>
        <v>411.48280882833501</v>
      </c>
      <c r="T256" s="287">
        <f t="shared" si="1141"/>
        <v>432.51725749845019</v>
      </c>
      <c r="U256" s="287">
        <f t="shared" si="1141"/>
        <v>463.13067262952751</v>
      </c>
      <c r="V256" s="287">
        <f t="shared" si="1141"/>
        <v>451.80158130206445</v>
      </c>
      <c r="W256" s="287">
        <f t="shared" si="1141"/>
        <v>420.1534233023109</v>
      </c>
      <c r="X256" s="287">
        <f t="shared" si="1141"/>
        <v>401.34870239541453</v>
      </c>
      <c r="Y256" s="287">
        <f t="shared" si="1141"/>
        <v>375.75008281991148</v>
      </c>
      <c r="Z256" s="287">
        <f t="shared" si="1141"/>
        <v>444.51881007580982</v>
      </c>
      <c r="AA256" s="287">
        <f>SUM(X228:AA228)</f>
        <v>446.19906649916135</v>
      </c>
      <c r="AB256" s="287">
        <f t="shared" si="1141"/>
        <v>426.95195818405244</v>
      </c>
      <c r="AC256" s="287">
        <f t="shared" si="1141"/>
        <v>427.02713788996778</v>
      </c>
      <c r="AD256" s="287">
        <f t="shared" si="1141"/>
        <v>395.33303808372796</v>
      </c>
      <c r="AE256" s="287">
        <f>SUM(AB228:AE228)</f>
        <v>403.88029758281175</v>
      </c>
    </row>
    <row r="257" spans="2:31" ht="13.5" customHeight="1">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row>
    <row r="258" spans="2:31" ht="13.5" customHeight="1">
      <c r="B258" s="19" t="str">
        <f>+B128</f>
        <v>Net Leverage excluding lease obligations</v>
      </c>
      <c r="C258" s="21">
        <f t="shared" ref="C258:F258" si="1142">(C249-C253)/C256</f>
        <v>0.23293720788843322</v>
      </c>
      <c r="D258" s="21">
        <f t="shared" si="1142"/>
        <v>0.54750451856281934</v>
      </c>
      <c r="E258" s="21">
        <f t="shared" si="1142"/>
        <v>2.1142015271783818</v>
      </c>
      <c r="F258" s="21">
        <f t="shared" si="1142"/>
        <v>1.6834123817678543</v>
      </c>
      <c r="G258" s="21">
        <f>(G249-G253)/G256</f>
        <v>1.4937749740734771</v>
      </c>
      <c r="H258" s="21">
        <f>(H249-H253)/H256</f>
        <v>1.9042015595785777</v>
      </c>
      <c r="I258" s="21">
        <f>(I249-I253)/I256</f>
        <v>1.4907979856347351</v>
      </c>
      <c r="J258" s="21"/>
      <c r="K258" s="90"/>
      <c r="L258" s="90"/>
      <c r="M258" s="90"/>
      <c r="N258" s="21">
        <f t="shared" ref="N258:AA258" si="1143">(N249-N253)/N256</f>
        <v>0.5547689426647906</v>
      </c>
      <c r="O258" s="21">
        <f t="shared" si="1143"/>
        <v>0.61707340564825908</v>
      </c>
      <c r="P258" s="21">
        <f t="shared" si="1143"/>
        <v>1.153913836813198</v>
      </c>
      <c r="Q258" s="21">
        <f t="shared" si="1143"/>
        <v>1.5146808517562507</v>
      </c>
      <c r="R258" s="21">
        <f t="shared" si="1143"/>
        <v>2.1105860542710482</v>
      </c>
      <c r="S258" s="21">
        <f t="shared" si="1143"/>
        <v>2.0961045782179792</v>
      </c>
      <c r="T258" s="21">
        <f t="shared" si="1143"/>
        <v>2.0337399085727768</v>
      </c>
      <c r="U258" s="21">
        <f t="shared" si="1143"/>
        <v>1.6747424600375673</v>
      </c>
      <c r="V258" s="21">
        <f t="shared" si="1143"/>
        <v>1.683822263518213</v>
      </c>
      <c r="W258" s="21">
        <f t="shared" si="1143"/>
        <v>1.5950451648258532</v>
      </c>
      <c r="X258" s="21">
        <f t="shared" si="1143"/>
        <v>1.9542370296899487</v>
      </c>
      <c r="Y258" s="21">
        <f t="shared" si="1143"/>
        <v>2.1897169413289919</v>
      </c>
      <c r="Z258" s="21">
        <f t="shared" si="1143"/>
        <v>1.4917846304867837</v>
      </c>
      <c r="AA258" s="21">
        <f t="shared" si="1143"/>
        <v>1.3234320077384336</v>
      </c>
      <c r="AB258" s="21">
        <f t="shared" ref="AB258:AE258" si="1144">(AB249-AB253)/AB256</f>
        <v>1.7003789777662173</v>
      </c>
      <c r="AC258" s="21">
        <f t="shared" si="1144"/>
        <v>1.7559472987546443</v>
      </c>
      <c r="AD258" s="21">
        <f t="shared" si="1144"/>
        <v>1.9067077225895772</v>
      </c>
      <c r="AE258" s="21">
        <f t="shared" si="1144"/>
        <v>1.4838190504878412</v>
      </c>
    </row>
    <row r="259" spans="2:31" ht="13.5" customHeight="1">
      <c r="B259" s="16" t="str">
        <f>+B129</f>
        <v>Gross Leverage  excluding lease obligations</v>
      </c>
      <c r="C259" s="22">
        <f t="shared" ref="C259:F259" si="1145">(C247-C253)/C256</f>
        <v>1.7237886735214709</v>
      </c>
      <c r="D259" s="22">
        <f t="shared" si="1145"/>
        <v>1.0802570930244937</v>
      </c>
      <c r="E259" s="22">
        <f t="shared" si="1145"/>
        <v>3.8315703818444833</v>
      </c>
      <c r="F259" s="22">
        <f t="shared" si="1145"/>
        <v>3.2367805480638228</v>
      </c>
      <c r="G259" s="22">
        <f>(G247-G253)/G256</f>
        <v>3.0985327421117477</v>
      </c>
      <c r="H259" s="22">
        <f>(H247-H253)/H256</f>
        <v>3.3604121203546211</v>
      </c>
      <c r="I259" s="22">
        <f>(I247-I253)/I256</f>
        <v>3.1332523485185741</v>
      </c>
      <c r="J259" s="22"/>
      <c r="K259" s="90"/>
      <c r="L259" s="90"/>
      <c r="M259" s="90"/>
      <c r="N259" s="22">
        <f t="shared" ref="N259:AA259" si="1146">(N247-N253)/N256</f>
        <v>1.0945902088195774</v>
      </c>
      <c r="O259" s="22">
        <f t="shared" si="1146"/>
        <v>2.2704241922036843</v>
      </c>
      <c r="P259" s="22">
        <f t="shared" si="1146"/>
        <v>2.4835912540811336</v>
      </c>
      <c r="Q259" s="22">
        <f t="shared" si="1146"/>
        <v>2.9431679678223417</v>
      </c>
      <c r="R259" s="22">
        <f t="shared" si="1146"/>
        <v>3.825018055242682</v>
      </c>
      <c r="S259" s="22">
        <f t="shared" si="1146"/>
        <v>3.8565808562513451</v>
      </c>
      <c r="T259" s="22">
        <f t="shared" si="1146"/>
        <v>3.7354275521690785</v>
      </c>
      <c r="U259" s="22">
        <f t="shared" si="1146"/>
        <v>3.1935545048687897</v>
      </c>
      <c r="V259" s="22">
        <f t="shared" si="1146"/>
        <v>3.2375686480510488</v>
      </c>
      <c r="W259" s="22">
        <f t="shared" si="1146"/>
        <v>3.2783824335675815</v>
      </c>
      <c r="X259" s="22">
        <f t="shared" si="1146"/>
        <v>3.6406631415521571</v>
      </c>
      <c r="Y259" s="22">
        <f t="shared" si="1146"/>
        <v>3.964574736419372</v>
      </c>
      <c r="Z259" s="22">
        <f t="shared" si="1146"/>
        <v>3.0944041786544259</v>
      </c>
      <c r="AA259" s="22">
        <f t="shared" si="1146"/>
        <v>3.1456960870549873</v>
      </c>
      <c r="AB259" s="22">
        <f t="shared" ref="AB259:AE259" si="1147">(AB247-AB253)/AB256</f>
        <v>2.9902230944732655</v>
      </c>
      <c r="AC259" s="22">
        <f t="shared" si="1147"/>
        <v>2.9702138012637507</v>
      </c>
      <c r="AD259" s="22">
        <f t="shared" si="1147"/>
        <v>3.3648348352271009</v>
      </c>
      <c r="AE259" s="22">
        <f t="shared" si="1147"/>
        <v>3.1185845228642122</v>
      </c>
    </row>
    <row r="260" spans="2:31" ht="13.5" customHeight="1">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row>
    <row r="261" spans="2:31" s="19" customFormat="1" ht="13.5" customHeight="1">
      <c r="B261" s="19" t="str">
        <f>+B131</f>
        <v>Net Leverage including lease obligations</v>
      </c>
      <c r="C261" s="21">
        <f t="shared" ref="C261:F261" si="1148">(C249)/C256</f>
        <v>0.35379923289050147</v>
      </c>
      <c r="D261" s="21">
        <f t="shared" si="1148"/>
        <v>0.61804128892121812</v>
      </c>
      <c r="E261" s="21">
        <f t="shared" si="1148"/>
        <v>2.2304810281454044</v>
      </c>
      <c r="F261" s="21">
        <f t="shared" si="1148"/>
        <v>1.7869547580217158</v>
      </c>
      <c r="G261" s="21">
        <f>(G249)/G256</f>
        <v>1.6055072367689904</v>
      </c>
      <c r="H261" s="21">
        <f>(H249)/H256</f>
        <v>2.0498367972578415</v>
      </c>
      <c r="I261" s="21">
        <f>(I249)/I256</f>
        <v>1.6434816599764888</v>
      </c>
      <c r="J261" s="21"/>
      <c r="K261" s="90"/>
      <c r="L261" s="90"/>
      <c r="M261" s="90"/>
      <c r="N261" s="21">
        <f t="shared" ref="N261:AA261" si="1149">(N249)/N256</f>
        <v>0.62624161217523988</v>
      </c>
      <c r="O261" s="21">
        <f t="shared" si="1149"/>
        <v>0.69677035858969594</v>
      </c>
      <c r="P261" s="21">
        <f t="shared" si="1149"/>
        <v>1.2408351909244728</v>
      </c>
      <c r="Q261" s="21">
        <f t="shared" si="1149"/>
        <v>1.608696940961216</v>
      </c>
      <c r="R261" s="21">
        <f t="shared" si="1149"/>
        <v>2.2266667069352861</v>
      </c>
      <c r="S261" s="21">
        <f t="shared" si="1149"/>
        <v>2.2278808973651811</v>
      </c>
      <c r="T261" s="21">
        <f t="shared" si="1149"/>
        <v>2.1596949141352826</v>
      </c>
      <c r="U261" s="21">
        <f t="shared" si="1149"/>
        <v>1.7758701331514382</v>
      </c>
      <c r="V261" s="21">
        <f t="shared" si="1149"/>
        <v>1.7873898505468524</v>
      </c>
      <c r="W261" s="21">
        <f t="shared" si="1149"/>
        <v>1.6976935740537136</v>
      </c>
      <c r="X261" s="21">
        <f t="shared" si="1149"/>
        <v>2.0672179363510903</v>
      </c>
      <c r="Y261" s="21">
        <f t="shared" si="1149"/>
        <v>2.3262305002794692</v>
      </c>
      <c r="Z261" s="21">
        <f t="shared" si="1149"/>
        <v>1.6033680182872543</v>
      </c>
      <c r="AA261" s="21">
        <f t="shared" si="1149"/>
        <v>1.4497231401339468</v>
      </c>
      <c r="AB261" s="21">
        <f t="shared" ref="AB261:AE261" si="1150">(AB249)/AB256</f>
        <v>1.8286719832503111</v>
      </c>
      <c r="AC261" s="21">
        <f t="shared" si="1150"/>
        <v>1.8824130772716035</v>
      </c>
      <c r="AD261" s="21">
        <f t="shared" si="1150"/>
        <v>2.0525346341197177</v>
      </c>
      <c r="AE261" s="21">
        <f t="shared" si="1150"/>
        <v>1.6357879603400476</v>
      </c>
    </row>
    <row r="262" spans="2:31" ht="13.5" customHeight="1">
      <c r="B262" s="16" t="str">
        <f>+B132</f>
        <v>Gross Leverage  including lease obligations</v>
      </c>
      <c r="C262" s="22">
        <f t="shared" ref="C262:F262" si="1151">(C247)/C256</f>
        <v>1.8446506985235391</v>
      </c>
      <c r="D262" s="22">
        <f t="shared" si="1151"/>
        <v>1.1507938633828922</v>
      </c>
      <c r="E262" s="22">
        <f t="shared" si="1151"/>
        <v>3.9478498828115058</v>
      </c>
      <c r="F262" s="22">
        <f t="shared" si="1151"/>
        <v>3.3403229243176846</v>
      </c>
      <c r="G262" s="22">
        <f>(G247)/G256</f>
        <v>3.210265004807261</v>
      </c>
      <c r="H262" s="22">
        <f>(H247)/H256</f>
        <v>3.5060473580338849</v>
      </c>
      <c r="I262" s="22">
        <f>(I247)/I256</f>
        <v>3.2859360228603278</v>
      </c>
      <c r="J262" s="22"/>
      <c r="K262" s="90"/>
      <c r="L262" s="90"/>
      <c r="M262" s="90"/>
      <c r="N262" s="22">
        <f t="shared" ref="N262:AA262" si="1152">(N247)/N256</f>
        <v>1.1660628783300266</v>
      </c>
      <c r="O262" s="22">
        <f t="shared" si="1152"/>
        <v>2.3501211451451209</v>
      </c>
      <c r="P262" s="22">
        <f t="shared" si="1152"/>
        <v>2.5705126081924083</v>
      </c>
      <c r="Q262" s="22">
        <f t="shared" si="1152"/>
        <v>3.0371840570273068</v>
      </c>
      <c r="R262" s="22">
        <f t="shared" si="1152"/>
        <v>3.9410987079069195</v>
      </c>
      <c r="S262" s="22">
        <f t="shared" si="1152"/>
        <v>3.9883571753985474</v>
      </c>
      <c r="T262" s="22">
        <f t="shared" si="1152"/>
        <v>3.8613825577315848</v>
      </c>
      <c r="U262" s="22">
        <f t="shared" si="1152"/>
        <v>3.2946821779826601</v>
      </c>
      <c r="V262" s="22">
        <f t="shared" si="1152"/>
        <v>3.3411362350796887</v>
      </c>
      <c r="W262" s="22">
        <f t="shared" si="1152"/>
        <v>3.3810308427954419</v>
      </c>
      <c r="X262" s="22">
        <f t="shared" si="1152"/>
        <v>3.7536440482132991</v>
      </c>
      <c r="Y262" s="22">
        <f t="shared" si="1152"/>
        <v>4.1010882953698493</v>
      </c>
      <c r="Z262" s="22">
        <f t="shared" si="1152"/>
        <v>3.2059875664548967</v>
      </c>
      <c r="AA262" s="22">
        <f t="shared" si="1152"/>
        <v>3.2719872194505006</v>
      </c>
      <c r="AB262" s="22">
        <f t="shared" ref="AB262:AD262" si="1153">(AB247)/AB256</f>
        <v>3.1185160999573593</v>
      </c>
      <c r="AC262" s="22">
        <f t="shared" si="1153"/>
        <v>3.0966795797807092</v>
      </c>
      <c r="AD262" s="22">
        <f t="shared" si="1153"/>
        <v>3.5106617467572412</v>
      </c>
      <c r="AE262" s="22">
        <f>(AE247)/AE256</f>
        <v>3.2705534327164183</v>
      </c>
    </row>
    <row r="263" spans="2:31" ht="13.5" customHeight="1">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row>
    <row r="264" spans="2:31" ht="13.5" customHeight="1">
      <c r="B264" s="19" t="str">
        <f>+B134</f>
        <v>Company reported net leverage</v>
      </c>
      <c r="C264" s="21">
        <f t="shared" ref="C264:F264" si="1154">C251/C256</f>
        <v>0.35379923289050147</v>
      </c>
      <c r="D264" s="21">
        <f t="shared" si="1154"/>
        <v>0.61804128892121812</v>
      </c>
      <c r="E264" s="21">
        <f t="shared" si="1154"/>
        <v>2.2304810281454048</v>
      </c>
      <c r="F264" s="21">
        <f t="shared" si="1154"/>
        <v>1.7869547580217158</v>
      </c>
      <c r="G264" s="21">
        <f>G251/G256</f>
        <v>1.6624513510960539</v>
      </c>
      <c r="H264" s="21">
        <f>H251/H256</f>
        <v>2.1383194061102708</v>
      </c>
      <c r="I264" s="21">
        <f>I251/I256</f>
        <v>1.7070456793338982</v>
      </c>
      <c r="J264" s="22"/>
      <c r="K264" s="90"/>
      <c r="L264" s="90"/>
      <c r="M264" s="90"/>
      <c r="N264" s="21">
        <f t="shared" ref="N264:AA264" si="1155">N251/N256</f>
        <v>0.62624161217523988</v>
      </c>
      <c r="O264" s="21">
        <f t="shared" si="1155"/>
        <v>0.69677035858969572</v>
      </c>
      <c r="P264" s="21">
        <f t="shared" si="1155"/>
        <v>1.2408351909244726</v>
      </c>
      <c r="Q264" s="21">
        <f t="shared" si="1155"/>
        <v>1.608696940961216</v>
      </c>
      <c r="R264" s="21">
        <f t="shared" si="1155"/>
        <v>2.2266667069352861</v>
      </c>
      <c r="S264" s="21">
        <f t="shared" si="1155"/>
        <v>2.2278808973651811</v>
      </c>
      <c r="T264" s="21">
        <f t="shared" si="1155"/>
        <v>2.1596949141352826</v>
      </c>
      <c r="U264" s="21">
        <f t="shared" si="1155"/>
        <v>1.7758701331514382</v>
      </c>
      <c r="V264" s="21">
        <f t="shared" si="1155"/>
        <v>1.7873898505468524</v>
      </c>
      <c r="W264" s="21">
        <f t="shared" si="1155"/>
        <v>1.6976935740537134</v>
      </c>
      <c r="X264" s="21">
        <f t="shared" si="1155"/>
        <v>2.0672179363510907</v>
      </c>
      <c r="Y264" s="21">
        <f t="shared" si="1155"/>
        <v>2.3262305002794692</v>
      </c>
      <c r="Z264" s="21">
        <f t="shared" si="1155"/>
        <v>1.6602362588349882</v>
      </c>
      <c r="AA264" s="21">
        <f t="shared" si="1155"/>
        <v>1.449723140133947</v>
      </c>
      <c r="AB264" s="21">
        <f t="shared" ref="AB264:AE264" si="1156">AB251/AB256</f>
        <v>1.8286719832503111</v>
      </c>
      <c r="AC264" s="21">
        <f t="shared" si="1156"/>
        <v>1.9422026509020038</v>
      </c>
      <c r="AD264" s="21">
        <f t="shared" si="1156"/>
        <v>2.1411336969474668</v>
      </c>
      <c r="AE264" s="21">
        <f t="shared" si="1156"/>
        <v>1.6990544147872237</v>
      </c>
    </row>
    <row r="265" spans="2:31" ht="13.5" customHeight="1">
      <c r="C265" s="22"/>
      <c r="D265" s="22"/>
      <c r="E265" s="22"/>
      <c r="F265" s="22"/>
      <c r="G265" s="22"/>
      <c r="H265" s="22"/>
      <c r="I265" s="22"/>
      <c r="J265" s="22"/>
      <c r="K265" s="22"/>
      <c r="L265" s="22"/>
      <c r="M265" s="22"/>
      <c r="N265" s="22"/>
      <c r="O265" s="22"/>
      <c r="P265" s="22"/>
      <c r="Q265" s="22"/>
      <c r="R265" s="22"/>
      <c r="S265" s="22"/>
      <c r="T265" s="22"/>
      <c r="U265" s="22"/>
      <c r="V265" s="22"/>
      <c r="W265" s="22"/>
      <c r="X265" s="22"/>
      <c r="Z265" s="22"/>
      <c r="AA265" s="22"/>
      <c r="AB265" s="22"/>
      <c r="AD265" s="22"/>
      <c r="AE265" s="22"/>
    </row>
    <row r="266" spans="2:31" s="19" customFormat="1" ht="13.5" customHeight="1">
      <c r="B266" s="19" t="str">
        <f>+B136</f>
        <v>EBITDA - Capex / Interest</v>
      </c>
      <c r="C266" s="21">
        <f t="shared" ref="C266:F266" si="1157">(C256+C233)/-C231</f>
        <v>8.1810903706726599</v>
      </c>
      <c r="D266" s="21">
        <f t="shared" si="1157"/>
        <v>9.5042656430429808</v>
      </c>
      <c r="E266" s="21">
        <f t="shared" si="1157"/>
        <v>3.6694990659996942</v>
      </c>
      <c r="F266" s="21">
        <f t="shared" si="1157"/>
        <v>3.6369562404834164</v>
      </c>
      <c r="G266" s="21">
        <f>(G256+G233)/-G231</f>
        <v>4.584266071100318</v>
      </c>
      <c r="H266" s="21">
        <f>(H256+H233)/-H231</f>
        <v>4.3059266570104748</v>
      </c>
      <c r="I266" s="21">
        <f>(I256+I233)/-I231</f>
        <v>4.1241975630582388</v>
      </c>
      <c r="J266" s="21"/>
      <c r="K266" s="90"/>
      <c r="L266" s="90"/>
      <c r="M266" s="90"/>
      <c r="N266" s="21">
        <f t="shared" ref="N266:AE266" si="1158">(N256+SUM(K233:N233))/-SUM(K231:N231)</f>
        <v>9.4842364302716273</v>
      </c>
      <c r="O266" s="21">
        <f t="shared" si="1158"/>
        <v>9.6001182902679663</v>
      </c>
      <c r="P266" s="21">
        <f t="shared" si="1158"/>
        <v>7.987655339371865</v>
      </c>
      <c r="Q266" s="21">
        <f t="shared" si="1158"/>
        <v>4.6966498644810475</v>
      </c>
      <c r="R266" s="21">
        <f t="shared" si="1158"/>
        <v>3.8570004250767065</v>
      </c>
      <c r="S266" s="21">
        <f t="shared" si="1158"/>
        <v>2.8019110510871137</v>
      </c>
      <c r="T266" s="21">
        <f t="shared" si="1158"/>
        <v>2.926982025136498</v>
      </c>
      <c r="U266" s="21">
        <f t="shared" si="1158"/>
        <v>3.2041128339522835</v>
      </c>
      <c r="V266" s="21">
        <f t="shared" si="1158"/>
        <v>3.5783741709689747</v>
      </c>
      <c r="W266" s="21">
        <f t="shared" si="1158"/>
        <v>3.3219091533241953</v>
      </c>
      <c r="X266" s="21">
        <f t="shared" si="1158"/>
        <v>4.0192066685057721</v>
      </c>
      <c r="Y266" s="21">
        <f t="shared" si="1158"/>
        <v>4.1449313299895172</v>
      </c>
      <c r="Z266" s="21">
        <f t="shared" si="1158"/>
        <v>4.5629548190233349</v>
      </c>
      <c r="AA266" s="21">
        <f t="shared" si="1158"/>
        <v>4.8158396665621384</v>
      </c>
      <c r="AB266" s="21">
        <f t="shared" si="1158"/>
        <v>4.2104576204341724</v>
      </c>
      <c r="AC266" s="21">
        <f>(AC256+SUM(Z233:AC233))/-SUM(Z231:AC231)</f>
        <v>4.2350877657278634</v>
      </c>
      <c r="AD266" s="21">
        <f t="shared" si="1158"/>
        <v>4.3268847746452774</v>
      </c>
      <c r="AE266" s="21">
        <f t="shared" si="1158"/>
        <v>4.1559090293430723</v>
      </c>
    </row>
    <row r="267" spans="2:31" ht="12.75" customHeight="1">
      <c r="B267" s="16" t="str">
        <f>+B137</f>
        <v>EBITDA/Interest</v>
      </c>
      <c r="C267" s="22">
        <f t="shared" ref="C267:F267" si="1159">C256/-C231</f>
        <v>13.487979671525734</v>
      </c>
      <c r="D267" s="22">
        <f t="shared" si="1159"/>
        <v>15.352892034772935</v>
      </c>
      <c r="E267" s="22">
        <f t="shared" si="1159"/>
        <v>7.5989741080852786</v>
      </c>
      <c r="F267" s="22">
        <f t="shared" si="1159"/>
        <v>5.3852089079655245</v>
      </c>
      <c r="G267" s="22">
        <f>G256/-G231</f>
        <v>6.0446042305852767</v>
      </c>
      <c r="H267" s="22">
        <f>H256/-H231</f>
        <v>6.8419127655661276</v>
      </c>
      <c r="I267" s="22">
        <f>I256/-I231</f>
        <v>6.9172241858737351</v>
      </c>
      <c r="J267" s="22"/>
      <c r="K267" s="89"/>
      <c r="L267" s="89"/>
      <c r="M267" s="89"/>
      <c r="N267" s="22">
        <f t="shared" ref="N267:AE267" si="1160">N256/-SUM(K231:N231)</f>
        <v>15.289691408365242</v>
      </c>
      <c r="O267" s="22">
        <f t="shared" si="1160"/>
        <v>15.38457012298595</v>
      </c>
      <c r="P267" s="22">
        <f t="shared" si="1160"/>
        <v>13.494521355487441</v>
      </c>
      <c r="Q267" s="22">
        <f t="shared" si="1160"/>
        <v>9.2036708012631312</v>
      </c>
      <c r="R267" s="22">
        <f t="shared" si="1160"/>
        <v>7.8330825459614992</v>
      </c>
      <c r="S267" s="22">
        <f t="shared" si="1160"/>
        <v>5.5094438745915282</v>
      </c>
      <c r="T267" s="22">
        <f t="shared" si="1160"/>
        <v>5.1058012066426333</v>
      </c>
      <c r="U267" s="22">
        <f t="shared" si="1160"/>
        <v>5.2097392663498274</v>
      </c>
      <c r="V267" s="22">
        <f t="shared" si="1160"/>
        <v>5.3108985270203242</v>
      </c>
      <c r="W267" s="22">
        <f t="shared" si="1160"/>
        <v>5.5434456847584288</v>
      </c>
      <c r="X267" s="22">
        <f t="shared" si="1160"/>
        <v>5.6675134443374731</v>
      </c>
      <c r="Y267" s="22">
        <f t="shared" si="1160"/>
        <v>5.6161843158980744</v>
      </c>
      <c r="Z267" s="22">
        <f t="shared" si="1160"/>
        <v>6.0361427515809281</v>
      </c>
      <c r="AA267" s="22">
        <f t="shared" si="1160"/>
        <v>5.9851337350056388</v>
      </c>
      <c r="AB267" s="22">
        <f t="shared" si="1160"/>
        <v>6.18410720611526</v>
      </c>
      <c r="AC267" s="22">
        <f>AC256/-SUM(Z231:AC231)</f>
        <v>6.3773748769746881</v>
      </c>
      <c r="AD267" s="22">
        <f t="shared" si="1160"/>
        <v>6.8863714860723215</v>
      </c>
      <c r="AE267" s="22">
        <f t="shared" si="1160"/>
        <v>6.9471643333084483</v>
      </c>
    </row>
    <row r="268" spans="2:31" ht="13.5" customHeight="1">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row>
    <row r="269" spans="2:31" s="19" customFormat="1" ht="13.5" customHeight="1">
      <c r="B269" s="48" t="str">
        <f>+B139</f>
        <v xml:space="preserve">Gearing (Net debt / Equity) </v>
      </c>
      <c r="C269" s="282">
        <f t="shared" ref="C269:F269" si="1161">C249/C254</f>
        <v>6.6771175502766567E-2</v>
      </c>
      <c r="D269" s="282">
        <f t="shared" si="1161"/>
        <v>0.21612051610504526</v>
      </c>
      <c r="E269" s="282">
        <f t="shared" si="1161"/>
        <v>0.54003712084176769</v>
      </c>
      <c r="F269" s="282">
        <f t="shared" si="1161"/>
        <v>0.53171656345956231</v>
      </c>
      <c r="G269" s="282">
        <f>G249/G254</f>
        <v>0.42298749540295677</v>
      </c>
      <c r="H269" s="282">
        <f>H249/H254</f>
        <v>0.45211046520695597</v>
      </c>
      <c r="I269" s="282">
        <f>I249/I254</f>
        <v>0.35174331293340838</v>
      </c>
      <c r="J269" s="306"/>
      <c r="K269" s="282">
        <f t="shared" ref="K269:M269" si="1162">K249/K254</f>
        <v>1.8052783310607098E-2</v>
      </c>
      <c r="L269" s="282">
        <f t="shared" si="1162"/>
        <v>6.4717854276177308E-2</v>
      </c>
      <c r="M269" s="282">
        <f t="shared" si="1162"/>
        <v>6.2576569680620295E-2</v>
      </c>
      <c r="N269" s="282">
        <f t="shared" ref="N269:AA269" si="1163">N249/N254</f>
        <v>0.21612051610504526</v>
      </c>
      <c r="O269" s="282">
        <f t="shared" si="1163"/>
        <v>0.22417540023171589</v>
      </c>
      <c r="P269" s="282">
        <f t="shared" si="1163"/>
        <v>0.40190415892270398</v>
      </c>
      <c r="Q269" s="282">
        <f t="shared" si="1163"/>
        <v>0.47269464847809672</v>
      </c>
      <c r="R269" s="282">
        <f t="shared" si="1163"/>
        <v>0.5400371208417678</v>
      </c>
      <c r="S269" s="282">
        <f t="shared" si="1163"/>
        <v>0.52019739847947033</v>
      </c>
      <c r="T269" s="282">
        <f t="shared" si="1163"/>
        <v>0.53159064726811633</v>
      </c>
      <c r="U269" s="282">
        <f t="shared" si="1163"/>
        <v>0.50048458250182271</v>
      </c>
      <c r="V269" s="282">
        <f t="shared" si="1163"/>
        <v>0.53171656345956231</v>
      </c>
      <c r="W269" s="282">
        <f t="shared" si="1163"/>
        <v>0.4547543554372821</v>
      </c>
      <c r="X269" s="282">
        <f t="shared" si="1163"/>
        <v>0.51224087967264986</v>
      </c>
      <c r="Y269" s="282">
        <f t="shared" si="1163"/>
        <v>0.5156169874824269</v>
      </c>
      <c r="Z269" s="282">
        <f t="shared" si="1163"/>
        <v>0.42298749540295677</v>
      </c>
      <c r="AA269" s="282">
        <f t="shared" si="1163"/>
        <v>0.36613824586702703</v>
      </c>
      <c r="AB269" s="282">
        <f t="shared" ref="AB269:AE269" si="1164">AB249/AB254</f>
        <v>0.45010817963831096</v>
      </c>
      <c r="AC269" s="282">
        <f t="shared" si="1164"/>
        <v>0.47711997182563126</v>
      </c>
      <c r="AD269" s="282">
        <f t="shared" si="1164"/>
        <v>0.45211046520695597</v>
      </c>
      <c r="AE269" s="282">
        <f t="shared" si="1164"/>
        <v>0.35174331293340838</v>
      </c>
    </row>
    <row r="270" spans="2:31" ht="13.5" customHeight="1">
      <c r="C270" s="17"/>
      <c r="D270" s="17"/>
      <c r="E270" s="17"/>
      <c r="F270" s="17"/>
      <c r="G270" s="17"/>
      <c r="H270" s="17"/>
      <c r="I270" s="17"/>
      <c r="J270" s="17"/>
      <c r="K270" s="17"/>
      <c r="L270" s="17"/>
      <c r="M270" s="17"/>
      <c r="N270" s="17"/>
      <c r="O270" s="17"/>
      <c r="P270" s="17"/>
      <c r="Q270" s="17"/>
      <c r="S270" s="17"/>
      <c r="T270" s="17"/>
      <c r="U270" s="17"/>
      <c r="W270" s="17"/>
      <c r="X270" s="17"/>
      <c r="AA270" s="17"/>
      <c r="AB270" s="17"/>
      <c r="AE270" s="17"/>
    </row>
    <row r="271" spans="2:31" ht="13.5" customHeight="1">
      <c r="C271" s="7"/>
      <c r="D271" s="7"/>
      <c r="E271" s="7"/>
      <c r="F271" s="7"/>
      <c r="G271" s="7"/>
      <c r="H271" s="7"/>
      <c r="I271" s="7"/>
      <c r="J271" s="7"/>
      <c r="K271" s="7"/>
      <c r="L271" s="7"/>
      <c r="M271" s="7"/>
      <c r="N271" s="7"/>
      <c r="O271" s="7"/>
      <c r="P271" s="7"/>
      <c r="Q271" s="7"/>
      <c r="S271" s="7"/>
      <c r="T271" s="7"/>
      <c r="U271" s="7"/>
      <c r="W271" s="7"/>
      <c r="X271" s="7"/>
      <c r="AA271" s="7"/>
      <c r="AB271" s="7"/>
      <c r="AE271" s="7"/>
    </row>
  </sheetData>
  <pageMargins left="0.7" right="0.7" top="0.75" bottom="0.75" header="0.3" footer="0.3"/>
  <pageSetup orientation="portrait" horizontalDpi="90" verticalDpi="90" r:id="rId1"/>
  <headerFooter>
    <oddFooter>&amp;C_x000D_&amp;1#&amp;"Aptos"&amp;10&amp;K000000 Barings-Corporate</oddFooter>
  </headerFooter>
  <ignoredErrors>
    <ignoredError sqref="J88 C88:D88 O8:R8 O10:R12 P63 P67 P73 P76 O78:Q78 O81:R82 O116:R118 O120:R122 P79 V118" formula="1"/>
    <ignoredError sqref="J145:J146 J188:J195 J225:J226 J258:J265 J198 J268:J269 J196:J197 J266:J267 J148:J150 J147 J157:J161 C161 C148:C150 C198:C199 C226 C210:C215 C188:C195 C158:C159 C145:C146 C128:C135" evalError="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335B-79B7-4794-825D-2DFB05557F91}">
  <dimension ref="B2:Q18"/>
  <sheetViews>
    <sheetView showGridLines="0" zoomScaleNormal="100" workbookViewId="0">
      <selection activeCell="E16" sqref="E16"/>
    </sheetView>
  </sheetViews>
  <sheetFormatPr defaultRowHeight="12.75" outlineLevelCol="1"/>
  <cols>
    <col min="1" max="1" width="2.7109375" customWidth="1"/>
    <col min="2" max="2" width="50.7109375" customWidth="1"/>
    <col min="3" max="3" width="12.7109375" hidden="1" customWidth="1" outlineLevel="1"/>
    <col min="4" max="4" width="12.7109375" customWidth="1" collapsed="1"/>
    <col min="5" max="8" width="12.7109375" customWidth="1"/>
    <col min="9" max="11" width="12.7109375" hidden="1" customWidth="1" outlineLevel="1"/>
    <col min="12" max="12" width="12.7109375" customWidth="1" collapsed="1"/>
    <col min="13" max="17" width="12.7109375" customWidth="1"/>
  </cols>
  <sheetData>
    <row r="2" spans="2:17" ht="21">
      <c r="B2" s="210" t="s">
        <v>57</v>
      </c>
      <c r="C2" s="188" t="s">
        <v>138</v>
      </c>
      <c r="D2" s="188" t="s">
        <v>138</v>
      </c>
      <c r="E2" s="188" t="s">
        <v>138</v>
      </c>
      <c r="F2" s="188" t="s">
        <v>138</v>
      </c>
      <c r="G2" s="188" t="s">
        <v>139</v>
      </c>
      <c r="I2" s="188" t="s">
        <v>138</v>
      </c>
      <c r="J2" s="188" t="s">
        <v>138</v>
      </c>
      <c r="K2" s="188" t="s">
        <v>138</v>
      </c>
      <c r="L2" s="188" t="s">
        <v>138</v>
      </c>
      <c r="M2" s="188" t="s">
        <v>138</v>
      </c>
      <c r="N2" s="188" t="s">
        <v>138</v>
      </c>
      <c r="O2" s="188" t="s">
        <v>138</v>
      </c>
      <c r="P2" s="188" t="s">
        <v>138</v>
      </c>
      <c r="Q2" s="188" t="s">
        <v>138</v>
      </c>
    </row>
    <row r="3" spans="2:17">
      <c r="B3" s="37" t="s">
        <v>141</v>
      </c>
      <c r="C3" s="36">
        <v>44926</v>
      </c>
      <c r="D3" s="36">
        <v>45291</v>
      </c>
      <c r="E3" s="36">
        <v>45657</v>
      </c>
      <c r="F3" s="36">
        <v>46022</v>
      </c>
      <c r="G3" s="36">
        <f>Q3</f>
        <v>46112</v>
      </c>
      <c r="I3" s="36">
        <v>45382</v>
      </c>
      <c r="J3" s="36">
        <v>45473</v>
      </c>
      <c r="K3" s="36">
        <v>45565</v>
      </c>
      <c r="L3" s="36">
        <v>45657</v>
      </c>
      <c r="M3" s="36">
        <v>45747</v>
      </c>
      <c r="N3" s="36">
        <v>45838</v>
      </c>
      <c r="O3" s="36">
        <v>45565</v>
      </c>
      <c r="P3" s="36">
        <v>46022</v>
      </c>
      <c r="Q3" s="36">
        <v>46112</v>
      </c>
    </row>
    <row r="4" spans="2:17">
      <c r="B4" s="211"/>
      <c r="C4" s="36" t="s">
        <v>142</v>
      </c>
      <c r="D4" s="36" t="s">
        <v>142</v>
      </c>
      <c r="E4" s="36" t="s">
        <v>142</v>
      </c>
      <c r="F4" s="36" t="s">
        <v>142</v>
      </c>
      <c r="G4" s="36" t="s">
        <v>142</v>
      </c>
      <c r="I4" s="36" t="s">
        <v>142</v>
      </c>
      <c r="J4" s="36" t="s">
        <v>142</v>
      </c>
      <c r="K4" s="36" t="s">
        <v>142</v>
      </c>
      <c r="L4" s="36" t="s">
        <v>142</v>
      </c>
      <c r="M4" s="36" t="s">
        <v>142</v>
      </c>
      <c r="N4" s="36" t="s">
        <v>142</v>
      </c>
      <c r="O4" s="36" t="s">
        <v>142</v>
      </c>
      <c r="P4" s="36" t="s">
        <v>142</v>
      </c>
      <c r="Q4" s="36" t="s">
        <v>142</v>
      </c>
    </row>
    <row r="5" spans="2:17">
      <c r="C5" s="74" t="s">
        <v>143</v>
      </c>
      <c r="D5" s="74" t="s">
        <v>143</v>
      </c>
      <c r="E5" s="74" t="s">
        <v>143</v>
      </c>
      <c r="F5" s="74" t="s">
        <v>143</v>
      </c>
      <c r="G5" s="73" t="s">
        <v>139</v>
      </c>
      <c r="I5" s="74" t="s">
        <v>144</v>
      </c>
      <c r="J5" s="74" t="s">
        <v>145</v>
      </c>
      <c r="K5" s="74" t="s">
        <v>146</v>
      </c>
      <c r="L5" s="73" t="s">
        <v>147</v>
      </c>
      <c r="M5" s="74" t="s">
        <v>144</v>
      </c>
      <c r="N5" s="74" t="s">
        <v>145</v>
      </c>
      <c r="O5" s="74" t="s">
        <v>146</v>
      </c>
      <c r="P5" s="73" t="s">
        <v>147</v>
      </c>
      <c r="Q5" s="74" t="s">
        <v>144</v>
      </c>
    </row>
    <row r="6" spans="2:17">
      <c r="B6" s="211"/>
      <c r="C6" s="212"/>
      <c r="D6" s="212"/>
      <c r="E6" s="212"/>
      <c r="F6" s="212"/>
      <c r="G6" s="212"/>
      <c r="I6" s="212"/>
      <c r="J6" s="212"/>
      <c r="K6" s="212"/>
      <c r="L6" s="213"/>
      <c r="M6" s="212"/>
      <c r="N6" s="212"/>
      <c r="O6" s="212"/>
      <c r="P6" s="213"/>
      <c r="Q6" s="212"/>
    </row>
    <row r="7" spans="2:17">
      <c r="B7" s="186" t="s">
        <v>259</v>
      </c>
      <c r="C7" s="190">
        <f>Model!E27</f>
        <v>135484.45199999993</v>
      </c>
      <c r="D7" s="190">
        <f>Model!F27</f>
        <v>118425.44299999982</v>
      </c>
      <c r="E7" s="190">
        <f>Model!G27</f>
        <v>176544.79699999999</v>
      </c>
      <c r="F7" s="190">
        <f>Model!H27</f>
        <v>137292.68399999989</v>
      </c>
      <c r="G7" s="190">
        <f>Model!I27</f>
        <v>134852.41599999965</v>
      </c>
      <c r="I7" s="190">
        <f>Model!W27</f>
        <v>55027.606999999945</v>
      </c>
      <c r="J7" s="190">
        <f>Model!X27</f>
        <v>6830.6090000000659</v>
      </c>
      <c r="K7" s="190">
        <f>Model!Y27</f>
        <v>32553.900999999987</v>
      </c>
      <c r="L7" s="190">
        <f>Model!Z27</f>
        <v>82132.679999999906</v>
      </c>
      <c r="M7" s="190">
        <f>Model!AA27</f>
        <v>61487.966000000059</v>
      </c>
      <c r="N7" s="190">
        <f>Model!AB27</f>
        <v>-11212.532000000057</v>
      </c>
      <c r="O7" s="190">
        <f>Model!AC27</f>
        <v>20685.662999999979</v>
      </c>
      <c r="P7" s="190">
        <f>Model!AD27</f>
        <v>66331.58699999997</v>
      </c>
      <c r="Q7" s="190">
        <f>Model!AE27</f>
        <v>59047.697999999946</v>
      </c>
    </row>
    <row r="8" spans="2:17">
      <c r="B8" s="187" t="s">
        <v>159</v>
      </c>
      <c r="C8" s="191">
        <f>-Model!E17</f>
        <v>12669.54</v>
      </c>
      <c r="D8" s="191">
        <f>-Model!F17</f>
        <v>13316.208000000001</v>
      </c>
      <c r="E8" s="191">
        <f>-Model!G17</f>
        <v>94.936999999999998</v>
      </c>
      <c r="F8" s="191">
        <f>-Model!H17</f>
        <v>27672.921999999999</v>
      </c>
      <c r="G8" s="191">
        <f>-Model!I17</f>
        <v>14296.718000000001</v>
      </c>
      <c r="I8" s="191">
        <f>-Model!W17</f>
        <v>-1064.348</v>
      </c>
      <c r="J8" s="191">
        <f>-Model!X17</f>
        <v>5256.4129999999996</v>
      </c>
      <c r="K8" s="191">
        <f>-Model!Y17</f>
        <v>4311.7920000000004</v>
      </c>
      <c r="L8" s="191">
        <f>-Model!Z17</f>
        <v>-8408.92</v>
      </c>
      <c r="M8" s="191">
        <f>-Model!AA17</f>
        <v>7444.4589999999998</v>
      </c>
      <c r="N8" s="191">
        <f>-Model!AB17</f>
        <v>9465.32</v>
      </c>
      <c r="O8" s="191">
        <f>-Model!AC17</f>
        <v>-4187.2690000000002</v>
      </c>
      <c r="P8" s="191">
        <f>-Model!AD17</f>
        <v>14950.412</v>
      </c>
      <c r="Q8" s="191">
        <f>-Model!AE17</f>
        <v>-5931.7449999999999</v>
      </c>
    </row>
    <row r="9" spans="2:17">
      <c r="B9" s="187" t="s">
        <v>260</v>
      </c>
      <c r="C9" s="191">
        <f>-Model!E19</f>
        <v>-22870.538</v>
      </c>
      <c r="D9" s="191">
        <f>-Model!F19</f>
        <v>-39402.491999999998</v>
      </c>
      <c r="E9" s="191">
        <f>-Model!G19</f>
        <v>-38102.053</v>
      </c>
      <c r="F9" s="191">
        <f>-Model!H19</f>
        <v>-27522.242999999999</v>
      </c>
      <c r="G9" s="191">
        <f>-Model!I19</f>
        <v>-23045.073</v>
      </c>
      <c r="I9" s="191">
        <f>-Model!W19</f>
        <v>-12703.221</v>
      </c>
      <c r="J9" s="191">
        <f>-Model!X19</f>
        <v>-9103.8629999999994</v>
      </c>
      <c r="K9" s="191">
        <f>-Model!Y19</f>
        <v>-7834.17</v>
      </c>
      <c r="L9" s="191">
        <f>-Model!Z19</f>
        <v>-8460.7989999999991</v>
      </c>
      <c r="M9" s="191">
        <f>-Model!AA19</f>
        <v>-9495.9590000000007</v>
      </c>
      <c r="N9" s="191">
        <f>-Model!AB19</f>
        <v>-7982.0550000000003</v>
      </c>
      <c r="O9" s="191">
        <f>-Model!AC19</f>
        <v>-5392.8140000000003</v>
      </c>
      <c r="P9" s="191">
        <f>-Model!AD19</f>
        <v>-4651.4149999999972</v>
      </c>
      <c r="Q9" s="191">
        <f>-Model!AE19</f>
        <v>-5018.7889999999998</v>
      </c>
    </row>
    <row r="10" spans="2:17">
      <c r="B10" s="187" t="s">
        <v>261</v>
      </c>
      <c r="C10" s="191">
        <f>-Model!E20</f>
        <v>75930.875</v>
      </c>
      <c r="D10" s="191">
        <f>-Model!F20</f>
        <v>77023.047999999995</v>
      </c>
      <c r="E10" s="191">
        <f>-Model!G20</f>
        <v>97165.278000000006</v>
      </c>
      <c r="F10" s="191">
        <f>-Model!H20</f>
        <v>79947.714000000007</v>
      </c>
      <c r="G10" s="191">
        <f>-Model!I20</f>
        <v>77524.63900000001</v>
      </c>
      <c r="I10" s="191">
        <f>-Model!W20</f>
        <v>19368.518</v>
      </c>
      <c r="J10" s="191">
        <f>-Model!X20</f>
        <v>21389.853999999999</v>
      </c>
      <c r="K10" s="191">
        <f>-Model!Y20</f>
        <v>27687.402999999998</v>
      </c>
      <c r="L10" s="191">
        <f>-Model!Z20</f>
        <v>28719.503000000012</v>
      </c>
      <c r="M10" s="191">
        <f>-Model!AA20</f>
        <v>20752.883999999998</v>
      </c>
      <c r="N10" s="191">
        <f>-Model!AB20</f>
        <v>18154.517</v>
      </c>
      <c r="O10" s="191">
        <f>-Model!AC20</f>
        <v>20330.452000000001</v>
      </c>
      <c r="P10" s="191">
        <f>-Model!AD20</f>
        <v>20709.861000000004</v>
      </c>
      <c r="Q10" s="191">
        <f>-Model!AE20</f>
        <v>18329.809000000001</v>
      </c>
    </row>
    <row r="11" spans="2:17">
      <c r="B11" s="187" t="s">
        <v>262</v>
      </c>
      <c r="C11" s="191">
        <f>-Model!E21</f>
        <v>10978.067999999999</v>
      </c>
      <c r="D11" s="191">
        <f>-Model!F21</f>
        <v>19217.758000000002</v>
      </c>
      <c r="E11" s="191">
        <f>-Model!G21</f>
        <v>9494.7029999999995</v>
      </c>
      <c r="F11" s="191">
        <f>-Model!H21</f>
        <v>14352.591</v>
      </c>
      <c r="G11" s="191">
        <f>-Model!I21</f>
        <v>15194.615000000002</v>
      </c>
      <c r="I11" s="191">
        <f>-Model!W21</f>
        <v>3317.8389999999999</v>
      </c>
      <c r="J11" s="191">
        <f>-Model!X21</f>
        <v>2577.643</v>
      </c>
      <c r="K11" s="191">
        <f>-Model!Y21</f>
        <v>530.84100000000001</v>
      </c>
      <c r="L11" s="191">
        <f>-Model!Z21</f>
        <v>3068.3799999999992</v>
      </c>
      <c r="M11" s="191">
        <f>-Model!AA21</f>
        <v>1517.971</v>
      </c>
      <c r="N11" s="191">
        <f>-Model!AB21</f>
        <v>6064.9570000000003</v>
      </c>
      <c r="O11" s="191">
        <f>-Model!AC21</f>
        <v>5357.183</v>
      </c>
      <c r="P11" s="191">
        <f>-Model!AD21</f>
        <v>1412.4799999999996</v>
      </c>
      <c r="Q11" s="191">
        <f>-Model!AE21</f>
        <v>2359.9949999999999</v>
      </c>
    </row>
    <row r="12" spans="2:17">
      <c r="B12" s="187" t="s">
        <v>263</v>
      </c>
      <c r="C12" s="191">
        <f>-Model!E22</f>
        <v>20173.381000000001</v>
      </c>
      <c r="D12" s="191">
        <f>-Model!F22</f>
        <v>65944.570000000007</v>
      </c>
      <c r="E12" s="191">
        <f>-Model!G22</f>
        <v>17797.269</v>
      </c>
      <c r="F12" s="191">
        <f>-Model!H22</f>
        <v>-1473.55</v>
      </c>
      <c r="G12" s="191">
        <f>-Model!I22</f>
        <v>-7.9879999999993743</v>
      </c>
      <c r="I12" s="191">
        <f>-Model!W22</f>
        <v>8467.4349999999995</v>
      </c>
      <c r="J12" s="191">
        <f>-Model!X22</f>
        <v>-1.6279999999999999</v>
      </c>
      <c r="K12" s="191">
        <f>-Model!Y22</f>
        <v>-4573.0110000000004</v>
      </c>
      <c r="L12" s="191">
        <f>-Model!Z22</f>
        <v>13904.473000000002</v>
      </c>
      <c r="M12" s="191">
        <f>-Model!AA22</f>
        <v>444.23700000000002</v>
      </c>
      <c r="N12" s="191">
        <f>-Model!AB22</f>
        <v>-1916.962</v>
      </c>
      <c r="O12" s="191">
        <f>-Model!AC22</f>
        <v>9350.0229999999992</v>
      </c>
      <c r="P12" s="191">
        <f>-Model!AD22</f>
        <v>-9350.8479999999981</v>
      </c>
      <c r="Q12" s="191">
        <f>-Model!AE22</f>
        <v>1909.799</v>
      </c>
    </row>
    <row r="13" spans="2:17">
      <c r="B13" s="187" t="s">
        <v>264</v>
      </c>
      <c r="C13" s="191">
        <f>-Model!E23</f>
        <v>-1198.5650000000001</v>
      </c>
      <c r="D13" s="191">
        <f>-Model!F23</f>
        <v>14025.895</v>
      </c>
      <c r="E13" s="191">
        <f>-Model!G23</f>
        <v>10722.032999999999</v>
      </c>
      <c r="F13" s="191">
        <f>-Model!H23</f>
        <v>17631.013999999999</v>
      </c>
      <c r="G13" s="191">
        <f>-Model!I23</f>
        <v>14480.092999999997</v>
      </c>
      <c r="I13" s="191">
        <f>-Model!W23</f>
        <v>1879.441</v>
      </c>
      <c r="J13" s="191">
        <f>-Model!X23</f>
        <v>3395.306</v>
      </c>
      <c r="K13" s="191">
        <f>-Model!Y23</f>
        <v>-54.079000000000001</v>
      </c>
      <c r="L13" s="191">
        <f>-Model!Z23</f>
        <v>5501.3649999999989</v>
      </c>
      <c r="M13" s="191">
        <f>-Model!AA23</f>
        <v>6017.4210000000003</v>
      </c>
      <c r="N13" s="191">
        <f>-Model!AB23</f>
        <v>6474.768</v>
      </c>
      <c r="O13" s="191">
        <f>-Model!AC23</f>
        <v>2553.2460000000001</v>
      </c>
      <c r="P13" s="191">
        <f>-Model!AD23</f>
        <v>2585.5789999999979</v>
      </c>
      <c r="Q13" s="191">
        <f>-Model!AE23</f>
        <v>2866.5</v>
      </c>
    </row>
    <row r="14" spans="2:17">
      <c r="B14" s="187" t="s">
        <v>265</v>
      </c>
      <c r="C14" s="191">
        <f>-Model!E26</f>
        <v>263.94299999999998</v>
      </c>
      <c r="D14" s="191">
        <f>-Model!F26</f>
        <v>-15267.254999999999</v>
      </c>
      <c r="E14" s="191">
        <f>-Model!G26</f>
        <v>-11015.074000000001</v>
      </c>
      <c r="F14" s="191">
        <f>-Model!H26</f>
        <v>-27051.866999999998</v>
      </c>
      <c r="G14" s="191">
        <f>-Model!I26</f>
        <v>-12546.152999999998</v>
      </c>
      <c r="I14" s="191">
        <f>-Model!W26</f>
        <v>14620.924000000001</v>
      </c>
      <c r="J14" s="191">
        <f>-Model!X26</f>
        <v>-27900.465</v>
      </c>
      <c r="K14" s="191">
        <f>-Model!Y26</f>
        <v>-18994.161</v>
      </c>
      <c r="L14" s="191">
        <f>-Model!Z26</f>
        <v>21258.627999999997</v>
      </c>
      <c r="M14" s="191">
        <f>-Model!AA26</f>
        <v>3714.2739999999999</v>
      </c>
      <c r="N14" s="191">
        <f>-Model!AB26</f>
        <v>-36387.682000000001</v>
      </c>
      <c r="O14" s="191">
        <f>-Model!AC26</f>
        <v>-12304.255999999999</v>
      </c>
      <c r="P14" s="191">
        <f>-Model!AD26</f>
        <v>17925.796999999999</v>
      </c>
      <c r="Q14" s="191">
        <f>-Model!AE26</f>
        <v>18219.988000000001</v>
      </c>
    </row>
    <row r="15" spans="2:17">
      <c r="B15" s="186" t="s">
        <v>266</v>
      </c>
      <c r="C15" s="189">
        <f t="shared" ref="C15:M15" si="0">SUM(C7:C14)</f>
        <v>231431.15599999993</v>
      </c>
      <c r="D15" s="189">
        <f t="shared" si="0"/>
        <v>253283.17499999981</v>
      </c>
      <c r="E15" s="189">
        <f t="shared" si="0"/>
        <v>262701.88999999996</v>
      </c>
      <c r="F15" s="189">
        <f t="shared" ref="F15:G15" si="1">SUM(F7:F14)</f>
        <v>220849.2649999999</v>
      </c>
      <c r="G15" s="189">
        <f t="shared" si="1"/>
        <v>220749.26699999964</v>
      </c>
      <c r="I15" s="189">
        <f t="shared" si="0"/>
        <v>88914.194999999963</v>
      </c>
      <c r="J15" s="189">
        <f t="shared" si="0"/>
        <v>2443.8690000000643</v>
      </c>
      <c r="K15" s="189">
        <f t="shared" si="0"/>
        <v>33628.515999999989</v>
      </c>
      <c r="L15" s="189">
        <f t="shared" si="0"/>
        <v>137715.30999999994</v>
      </c>
      <c r="M15" s="189">
        <f t="shared" si="0"/>
        <v>91883.25300000007</v>
      </c>
      <c r="N15" s="189">
        <f t="shared" ref="N15" si="2">SUM(N7:N14)</f>
        <v>-17339.66900000006</v>
      </c>
      <c r="O15" s="189">
        <f t="shared" ref="O15" si="3">SUM(O7:O14)</f>
        <v>36392.227999999974</v>
      </c>
      <c r="P15" s="189">
        <f t="shared" ref="P15:Q15" si="4">SUM(P7:P14)</f>
        <v>109913.45299999998</v>
      </c>
      <c r="Q15" s="189">
        <f t="shared" si="4"/>
        <v>91783.254999999932</v>
      </c>
    </row>
    <row r="16" spans="2:17">
      <c r="B16" s="187" t="s">
        <v>267</v>
      </c>
      <c r="C16" s="191">
        <f>Model!E45</f>
        <v>126497.493</v>
      </c>
      <c r="D16" s="191">
        <f>Model!F45</f>
        <v>126119.198</v>
      </c>
      <c r="E16" s="191">
        <f>Model!G45</f>
        <v>153234.22399999999</v>
      </c>
      <c r="F16" s="191">
        <f>Model!H45</f>
        <v>155358.693</v>
      </c>
      <c r="G16" s="191">
        <f>Model!I45</f>
        <v>155548.158</v>
      </c>
      <c r="I16" s="191">
        <f>Model!W45</f>
        <v>35249.053</v>
      </c>
      <c r="J16" s="191">
        <f>Model!X45</f>
        <v>36277.690999999999</v>
      </c>
      <c r="K16" s="191">
        <f>Model!Y45</f>
        <v>36802.182000000001</v>
      </c>
      <c r="L16" s="191">
        <f>Model!Z45</f>
        <v>44905.297999999981</v>
      </c>
      <c r="M16" s="191">
        <f>Model!AA45</f>
        <v>39670.794999999998</v>
      </c>
      <c r="N16" s="191">
        <f>Model!AB45</f>
        <v>37156.951999999997</v>
      </c>
      <c r="O16" s="191">
        <f>Model!AC45</f>
        <v>37243.232000000004</v>
      </c>
      <c r="P16" s="191">
        <f>Model!AD45</f>
        <v>41287.713999999993</v>
      </c>
      <c r="Q16" s="191">
        <f>Model!AE45</f>
        <v>39860.26</v>
      </c>
    </row>
    <row r="17" spans="2:17">
      <c r="B17" s="186" t="s">
        <v>268</v>
      </c>
      <c r="C17" s="189">
        <f t="shared" ref="C17:M17" si="5">SUM(C15:C16)</f>
        <v>357928.64899999992</v>
      </c>
      <c r="D17" s="189">
        <f t="shared" si="5"/>
        <v>379402.37299999979</v>
      </c>
      <c r="E17" s="189">
        <f t="shared" si="5"/>
        <v>415936.11399999994</v>
      </c>
      <c r="F17" s="189">
        <f t="shared" ref="F17:G17" si="6">SUM(F15:F16)</f>
        <v>376207.95799999987</v>
      </c>
      <c r="G17" s="189">
        <f t="shared" si="6"/>
        <v>376297.42499999964</v>
      </c>
      <c r="I17" s="189">
        <f t="shared" si="5"/>
        <v>124163.24799999996</v>
      </c>
      <c r="J17" s="189">
        <f t="shared" si="5"/>
        <v>38721.560000000063</v>
      </c>
      <c r="K17" s="189">
        <f t="shared" si="5"/>
        <v>70430.697999999989</v>
      </c>
      <c r="L17" s="189">
        <f t="shared" si="5"/>
        <v>182620.60799999992</v>
      </c>
      <c r="M17" s="189">
        <f t="shared" si="5"/>
        <v>131554.04800000007</v>
      </c>
      <c r="N17" s="189">
        <f t="shared" ref="N17:Q17" si="7">SUM(N15:N16)</f>
        <v>19817.282999999938</v>
      </c>
      <c r="O17" s="189">
        <f t="shared" si="7"/>
        <v>73635.459999999977</v>
      </c>
      <c r="P17" s="189">
        <f t="shared" si="7"/>
        <v>151201.16699999996</v>
      </c>
      <c r="Q17" s="189">
        <f t="shared" si="7"/>
        <v>131643.51499999993</v>
      </c>
    </row>
    <row r="18" spans="2:17" s="270" customFormat="1" ht="11.25">
      <c r="B18" s="62" t="s">
        <v>25</v>
      </c>
      <c r="C18" s="269">
        <f>C17-Model!E51</f>
        <v>0</v>
      </c>
      <c r="D18" s="269">
        <f>D17-Model!F51</f>
        <v>0</v>
      </c>
      <c r="E18" s="269">
        <f>E17-Model!G51</f>
        <v>0</v>
      </c>
      <c r="F18" s="269">
        <f>F17-Model!H51</f>
        <v>0</v>
      </c>
      <c r="G18" s="269">
        <f>G17-Model!I51</f>
        <v>-4.8000000359024853E-2</v>
      </c>
      <c r="I18" s="269">
        <f>I17-Model!W51</f>
        <v>0</v>
      </c>
      <c r="J18" s="271">
        <f>J17-Model!X51</f>
        <v>-0.43999999993684469</v>
      </c>
      <c r="K18" s="271">
        <f>K17-Model!Y51</f>
        <v>0</v>
      </c>
      <c r="L18" s="271">
        <f>L17-Model!Z51</f>
        <v>0.43999999994412065</v>
      </c>
      <c r="M18" s="271">
        <f>M17-Model!AA51</f>
        <v>4.8000000067986548E-2</v>
      </c>
      <c r="N18" s="271">
        <f>N17-Model!AB51</f>
        <v>-6.184563972055912E-11</v>
      </c>
      <c r="O18" s="271">
        <f>O17-Model!AC51</f>
        <v>0.45999999997729901</v>
      </c>
      <c r="P18" s="271">
        <f>P17-Model!AD51</f>
        <v>-0.50800000003073364</v>
      </c>
      <c r="Q18" s="271">
        <f>Q17-Model!AE51</f>
        <v>0</v>
      </c>
    </row>
  </sheetData>
  <pageMargins left="0.7" right="0.7" top="0.75" bottom="0.75" header="0.3" footer="0.3"/>
  <headerFooter>
    <oddFooter>&amp;C_x000D_&amp;1#&amp;"Aptos"&amp;10&amp;K000000 Barings-Corporate</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E46"/>
  <sheetViews>
    <sheetView showGridLines="0" zoomScaleNormal="100" workbookViewId="0">
      <pane xSplit="2" ySplit="6" topLeftCell="F7" activePane="bottomRight" state="frozen"/>
      <selection pane="bottomRight" activeCell="I20" sqref="I20"/>
      <selection pane="bottomLeft" activeCell="I26" sqref="I26"/>
      <selection pane="topRight" activeCell="I26" sqref="I26"/>
    </sheetView>
  </sheetViews>
  <sheetFormatPr defaultRowHeight="12.75" outlineLevelCol="1"/>
  <cols>
    <col min="1" max="1" width="2.7109375" style="76" customWidth="1"/>
    <col min="2" max="2" width="50.7109375" style="76" customWidth="1"/>
    <col min="3" max="5" width="12.7109375" style="76" hidden="1" customWidth="1" outlineLevel="1"/>
    <col min="6" max="6" width="12.7109375" style="76" customWidth="1" collapsed="1"/>
    <col min="7" max="10" width="12.7109375" style="76" customWidth="1"/>
    <col min="11" max="13" width="12.7109375" style="76" hidden="1" customWidth="1" outlineLevel="1"/>
    <col min="14" max="14" width="12.7109375" style="135" hidden="1" customWidth="1" outlineLevel="1"/>
    <col min="15" max="19" width="12.7109375" style="76" hidden="1" customWidth="1" outlineLevel="1"/>
    <col min="20" max="20" width="12.7109375" style="76" hidden="1" customWidth="1" outlineLevel="1" collapsed="1"/>
    <col min="21" max="25" width="12.7109375" style="76" hidden="1" customWidth="1" outlineLevel="1"/>
    <col min="26" max="26" width="12.7109375" style="76" customWidth="1" collapsed="1"/>
    <col min="27" max="32" width="12.7109375" style="76" customWidth="1"/>
    <col min="33" max="258" width="9.140625" style="76"/>
    <col min="259" max="259" width="2.5703125" style="76" customWidth="1"/>
    <col min="260" max="260" width="29.42578125" style="76" customWidth="1"/>
    <col min="261" max="265" width="11.28515625" style="76" customWidth="1"/>
    <col min="266" max="266" width="6.140625" style="76" customWidth="1"/>
    <col min="267" max="270" width="11.28515625" style="76" customWidth="1"/>
    <col min="271" max="514" width="9.140625" style="76"/>
    <col min="515" max="515" width="2.5703125" style="76" customWidth="1"/>
    <col min="516" max="516" width="29.42578125" style="76" customWidth="1"/>
    <col min="517" max="521" width="11.28515625" style="76" customWidth="1"/>
    <col min="522" max="522" width="6.140625" style="76" customWidth="1"/>
    <col min="523" max="526" width="11.28515625" style="76" customWidth="1"/>
    <col min="527" max="770" width="9.140625" style="76"/>
    <col min="771" max="771" width="2.5703125" style="76" customWidth="1"/>
    <col min="772" max="772" width="29.42578125" style="76" customWidth="1"/>
    <col min="773" max="777" width="11.28515625" style="76" customWidth="1"/>
    <col min="778" max="778" width="6.140625" style="76" customWidth="1"/>
    <col min="779" max="782" width="11.28515625" style="76" customWidth="1"/>
    <col min="783" max="1026" width="9.140625" style="76"/>
    <col min="1027" max="1027" width="2.5703125" style="76" customWidth="1"/>
    <col min="1028" max="1028" width="29.42578125" style="76" customWidth="1"/>
    <col min="1029" max="1033" width="11.28515625" style="76" customWidth="1"/>
    <col min="1034" max="1034" width="6.140625" style="76" customWidth="1"/>
    <col min="1035" max="1038" width="11.28515625" style="76" customWidth="1"/>
    <col min="1039" max="1282" width="9.140625" style="76"/>
    <col min="1283" max="1283" width="2.5703125" style="76" customWidth="1"/>
    <col min="1284" max="1284" width="29.42578125" style="76" customWidth="1"/>
    <col min="1285" max="1289" width="11.28515625" style="76" customWidth="1"/>
    <col min="1290" max="1290" width="6.140625" style="76" customWidth="1"/>
    <col min="1291" max="1294" width="11.28515625" style="76" customWidth="1"/>
    <col min="1295" max="1538" width="9.140625" style="76"/>
    <col min="1539" max="1539" width="2.5703125" style="76" customWidth="1"/>
    <col min="1540" max="1540" width="29.42578125" style="76" customWidth="1"/>
    <col min="1541" max="1545" width="11.28515625" style="76" customWidth="1"/>
    <col min="1546" max="1546" width="6.140625" style="76" customWidth="1"/>
    <col min="1547" max="1550" width="11.28515625" style="76" customWidth="1"/>
    <col min="1551" max="1794" width="9.140625" style="76"/>
    <col min="1795" max="1795" width="2.5703125" style="76" customWidth="1"/>
    <col min="1796" max="1796" width="29.42578125" style="76" customWidth="1"/>
    <col min="1797" max="1801" width="11.28515625" style="76" customWidth="1"/>
    <col min="1802" max="1802" width="6.140625" style="76" customWidth="1"/>
    <col min="1803" max="1806" width="11.28515625" style="76" customWidth="1"/>
    <col min="1807" max="2050" width="9.140625" style="76"/>
    <col min="2051" max="2051" width="2.5703125" style="76" customWidth="1"/>
    <col min="2052" max="2052" width="29.42578125" style="76" customWidth="1"/>
    <col min="2053" max="2057" width="11.28515625" style="76" customWidth="1"/>
    <col min="2058" max="2058" width="6.140625" style="76" customWidth="1"/>
    <col min="2059" max="2062" width="11.28515625" style="76" customWidth="1"/>
    <col min="2063" max="2306" width="9.140625" style="76"/>
    <col min="2307" max="2307" width="2.5703125" style="76" customWidth="1"/>
    <col min="2308" max="2308" width="29.42578125" style="76" customWidth="1"/>
    <col min="2309" max="2313" width="11.28515625" style="76" customWidth="1"/>
    <col min="2314" max="2314" width="6.140625" style="76" customWidth="1"/>
    <col min="2315" max="2318" width="11.28515625" style="76" customWidth="1"/>
    <col min="2319" max="2562" width="9.140625" style="76"/>
    <col min="2563" max="2563" width="2.5703125" style="76" customWidth="1"/>
    <col min="2564" max="2564" width="29.42578125" style="76" customWidth="1"/>
    <col min="2565" max="2569" width="11.28515625" style="76" customWidth="1"/>
    <col min="2570" max="2570" width="6.140625" style="76" customWidth="1"/>
    <col min="2571" max="2574" width="11.28515625" style="76" customWidth="1"/>
    <col min="2575" max="2818" width="9.140625" style="76"/>
    <col min="2819" max="2819" width="2.5703125" style="76" customWidth="1"/>
    <col min="2820" max="2820" width="29.42578125" style="76" customWidth="1"/>
    <col min="2821" max="2825" width="11.28515625" style="76" customWidth="1"/>
    <col min="2826" max="2826" width="6.140625" style="76" customWidth="1"/>
    <col min="2827" max="2830" width="11.28515625" style="76" customWidth="1"/>
    <col min="2831" max="3074" width="9.140625" style="76"/>
    <col min="3075" max="3075" width="2.5703125" style="76" customWidth="1"/>
    <col min="3076" max="3076" width="29.42578125" style="76" customWidth="1"/>
    <col min="3077" max="3081" width="11.28515625" style="76" customWidth="1"/>
    <col min="3082" max="3082" width="6.140625" style="76" customWidth="1"/>
    <col min="3083" max="3086" width="11.28515625" style="76" customWidth="1"/>
    <col min="3087" max="3330" width="9.140625" style="76"/>
    <col min="3331" max="3331" width="2.5703125" style="76" customWidth="1"/>
    <col min="3332" max="3332" width="29.42578125" style="76" customWidth="1"/>
    <col min="3333" max="3337" width="11.28515625" style="76" customWidth="1"/>
    <col min="3338" max="3338" width="6.140625" style="76" customWidth="1"/>
    <col min="3339" max="3342" width="11.28515625" style="76" customWidth="1"/>
    <col min="3343" max="3586" width="9.140625" style="76"/>
    <col min="3587" max="3587" width="2.5703125" style="76" customWidth="1"/>
    <col min="3588" max="3588" width="29.42578125" style="76" customWidth="1"/>
    <col min="3589" max="3593" width="11.28515625" style="76" customWidth="1"/>
    <col min="3594" max="3594" width="6.140625" style="76" customWidth="1"/>
    <col min="3595" max="3598" width="11.28515625" style="76" customWidth="1"/>
    <col min="3599" max="3842" width="9.140625" style="76"/>
    <col min="3843" max="3843" width="2.5703125" style="76" customWidth="1"/>
    <col min="3844" max="3844" width="29.42578125" style="76" customWidth="1"/>
    <col min="3845" max="3849" width="11.28515625" style="76" customWidth="1"/>
    <col min="3850" max="3850" width="6.140625" style="76" customWidth="1"/>
    <col min="3851" max="3854" width="11.28515625" style="76" customWidth="1"/>
    <col min="3855" max="4098" width="9.140625" style="76"/>
    <col min="4099" max="4099" width="2.5703125" style="76" customWidth="1"/>
    <col min="4100" max="4100" width="29.42578125" style="76" customWidth="1"/>
    <col min="4101" max="4105" width="11.28515625" style="76" customWidth="1"/>
    <col min="4106" max="4106" width="6.140625" style="76" customWidth="1"/>
    <col min="4107" max="4110" width="11.28515625" style="76" customWidth="1"/>
    <col min="4111" max="4354" width="9.140625" style="76"/>
    <col min="4355" max="4355" width="2.5703125" style="76" customWidth="1"/>
    <col min="4356" max="4356" width="29.42578125" style="76" customWidth="1"/>
    <col min="4357" max="4361" width="11.28515625" style="76" customWidth="1"/>
    <col min="4362" max="4362" width="6.140625" style="76" customWidth="1"/>
    <col min="4363" max="4366" width="11.28515625" style="76" customWidth="1"/>
    <col min="4367" max="4610" width="9.140625" style="76"/>
    <col min="4611" max="4611" width="2.5703125" style="76" customWidth="1"/>
    <col min="4612" max="4612" width="29.42578125" style="76" customWidth="1"/>
    <col min="4613" max="4617" width="11.28515625" style="76" customWidth="1"/>
    <col min="4618" max="4618" width="6.140625" style="76" customWidth="1"/>
    <col min="4619" max="4622" width="11.28515625" style="76" customWidth="1"/>
    <col min="4623" max="4866" width="9.140625" style="76"/>
    <col min="4867" max="4867" width="2.5703125" style="76" customWidth="1"/>
    <col min="4868" max="4868" width="29.42578125" style="76" customWidth="1"/>
    <col min="4869" max="4873" width="11.28515625" style="76" customWidth="1"/>
    <col min="4874" max="4874" width="6.140625" style="76" customWidth="1"/>
    <col min="4875" max="4878" width="11.28515625" style="76" customWidth="1"/>
    <col min="4879" max="5122" width="9.140625" style="76"/>
    <col min="5123" max="5123" width="2.5703125" style="76" customWidth="1"/>
    <col min="5124" max="5124" width="29.42578125" style="76" customWidth="1"/>
    <col min="5125" max="5129" width="11.28515625" style="76" customWidth="1"/>
    <col min="5130" max="5130" width="6.140625" style="76" customWidth="1"/>
    <col min="5131" max="5134" width="11.28515625" style="76" customWidth="1"/>
    <col min="5135" max="5378" width="9.140625" style="76"/>
    <col min="5379" max="5379" width="2.5703125" style="76" customWidth="1"/>
    <col min="5380" max="5380" width="29.42578125" style="76" customWidth="1"/>
    <col min="5381" max="5385" width="11.28515625" style="76" customWidth="1"/>
    <col min="5386" max="5386" width="6.140625" style="76" customWidth="1"/>
    <col min="5387" max="5390" width="11.28515625" style="76" customWidth="1"/>
    <col min="5391" max="5634" width="9.140625" style="76"/>
    <col min="5635" max="5635" width="2.5703125" style="76" customWidth="1"/>
    <col min="5636" max="5636" width="29.42578125" style="76" customWidth="1"/>
    <col min="5637" max="5641" width="11.28515625" style="76" customWidth="1"/>
    <col min="5642" max="5642" width="6.140625" style="76" customWidth="1"/>
    <col min="5643" max="5646" width="11.28515625" style="76" customWidth="1"/>
    <col min="5647" max="5890" width="9.140625" style="76"/>
    <col min="5891" max="5891" width="2.5703125" style="76" customWidth="1"/>
    <col min="5892" max="5892" width="29.42578125" style="76" customWidth="1"/>
    <col min="5893" max="5897" width="11.28515625" style="76" customWidth="1"/>
    <col min="5898" max="5898" width="6.140625" style="76" customWidth="1"/>
    <col min="5899" max="5902" width="11.28515625" style="76" customWidth="1"/>
    <col min="5903" max="6146" width="9.140625" style="76"/>
    <col min="6147" max="6147" width="2.5703125" style="76" customWidth="1"/>
    <col min="6148" max="6148" width="29.42578125" style="76" customWidth="1"/>
    <col min="6149" max="6153" width="11.28515625" style="76" customWidth="1"/>
    <col min="6154" max="6154" width="6.140625" style="76" customWidth="1"/>
    <col min="6155" max="6158" width="11.28515625" style="76" customWidth="1"/>
    <col min="6159" max="6402" width="9.140625" style="76"/>
    <col min="6403" max="6403" width="2.5703125" style="76" customWidth="1"/>
    <col min="6404" max="6404" width="29.42578125" style="76" customWidth="1"/>
    <col min="6405" max="6409" width="11.28515625" style="76" customWidth="1"/>
    <col min="6410" max="6410" width="6.140625" style="76" customWidth="1"/>
    <col min="6411" max="6414" width="11.28515625" style="76" customWidth="1"/>
    <col min="6415" max="6658" width="9.140625" style="76"/>
    <col min="6659" max="6659" width="2.5703125" style="76" customWidth="1"/>
    <col min="6660" max="6660" width="29.42578125" style="76" customWidth="1"/>
    <col min="6661" max="6665" width="11.28515625" style="76" customWidth="1"/>
    <col min="6666" max="6666" width="6.140625" style="76" customWidth="1"/>
    <col min="6667" max="6670" width="11.28515625" style="76" customWidth="1"/>
    <col min="6671" max="6914" width="9.140625" style="76"/>
    <col min="6915" max="6915" width="2.5703125" style="76" customWidth="1"/>
    <col min="6916" max="6916" width="29.42578125" style="76" customWidth="1"/>
    <col min="6917" max="6921" width="11.28515625" style="76" customWidth="1"/>
    <col min="6922" max="6922" width="6.140625" style="76" customWidth="1"/>
    <col min="6923" max="6926" width="11.28515625" style="76" customWidth="1"/>
    <col min="6927" max="7170" width="9.140625" style="76"/>
    <col min="7171" max="7171" width="2.5703125" style="76" customWidth="1"/>
    <col min="7172" max="7172" width="29.42578125" style="76" customWidth="1"/>
    <col min="7173" max="7177" width="11.28515625" style="76" customWidth="1"/>
    <col min="7178" max="7178" width="6.140625" style="76" customWidth="1"/>
    <col min="7179" max="7182" width="11.28515625" style="76" customWidth="1"/>
    <col min="7183" max="7426" width="9.140625" style="76"/>
    <col min="7427" max="7427" width="2.5703125" style="76" customWidth="1"/>
    <col min="7428" max="7428" width="29.42578125" style="76" customWidth="1"/>
    <col min="7429" max="7433" width="11.28515625" style="76" customWidth="1"/>
    <col min="7434" max="7434" width="6.140625" style="76" customWidth="1"/>
    <col min="7435" max="7438" width="11.28515625" style="76" customWidth="1"/>
    <col min="7439" max="7682" width="9.140625" style="76"/>
    <col min="7683" max="7683" width="2.5703125" style="76" customWidth="1"/>
    <col min="7684" max="7684" width="29.42578125" style="76" customWidth="1"/>
    <col min="7685" max="7689" width="11.28515625" style="76" customWidth="1"/>
    <col min="7690" max="7690" width="6.140625" style="76" customWidth="1"/>
    <col min="7691" max="7694" width="11.28515625" style="76" customWidth="1"/>
    <col min="7695" max="7938" width="9.140625" style="76"/>
    <col min="7939" max="7939" width="2.5703125" style="76" customWidth="1"/>
    <col min="7940" max="7940" width="29.42578125" style="76" customWidth="1"/>
    <col min="7941" max="7945" width="11.28515625" style="76" customWidth="1"/>
    <col min="7946" max="7946" width="6.140625" style="76" customWidth="1"/>
    <col min="7947" max="7950" width="11.28515625" style="76" customWidth="1"/>
    <col min="7951" max="8194" width="9.140625" style="76"/>
    <col min="8195" max="8195" width="2.5703125" style="76" customWidth="1"/>
    <col min="8196" max="8196" width="29.42578125" style="76" customWidth="1"/>
    <col min="8197" max="8201" width="11.28515625" style="76" customWidth="1"/>
    <col min="8202" max="8202" width="6.140625" style="76" customWidth="1"/>
    <col min="8203" max="8206" width="11.28515625" style="76" customWidth="1"/>
    <col min="8207" max="8450" width="9.140625" style="76"/>
    <col min="8451" max="8451" width="2.5703125" style="76" customWidth="1"/>
    <col min="8452" max="8452" width="29.42578125" style="76" customWidth="1"/>
    <col min="8453" max="8457" width="11.28515625" style="76" customWidth="1"/>
    <col min="8458" max="8458" width="6.140625" style="76" customWidth="1"/>
    <col min="8459" max="8462" width="11.28515625" style="76" customWidth="1"/>
    <col min="8463" max="8706" width="9.140625" style="76"/>
    <col min="8707" max="8707" width="2.5703125" style="76" customWidth="1"/>
    <col min="8708" max="8708" width="29.42578125" style="76" customWidth="1"/>
    <col min="8709" max="8713" width="11.28515625" style="76" customWidth="1"/>
    <col min="8714" max="8714" width="6.140625" style="76" customWidth="1"/>
    <col min="8715" max="8718" width="11.28515625" style="76" customWidth="1"/>
    <col min="8719" max="8962" width="9.140625" style="76"/>
    <col min="8963" max="8963" width="2.5703125" style="76" customWidth="1"/>
    <col min="8964" max="8964" width="29.42578125" style="76" customWidth="1"/>
    <col min="8965" max="8969" width="11.28515625" style="76" customWidth="1"/>
    <col min="8970" max="8970" width="6.140625" style="76" customWidth="1"/>
    <col min="8971" max="8974" width="11.28515625" style="76" customWidth="1"/>
    <col min="8975" max="9218" width="9.140625" style="76"/>
    <col min="9219" max="9219" width="2.5703125" style="76" customWidth="1"/>
    <col min="9220" max="9220" width="29.42578125" style="76" customWidth="1"/>
    <col min="9221" max="9225" width="11.28515625" style="76" customWidth="1"/>
    <col min="9226" max="9226" width="6.140625" style="76" customWidth="1"/>
    <col min="9227" max="9230" width="11.28515625" style="76" customWidth="1"/>
    <col min="9231" max="9474" width="9.140625" style="76"/>
    <col min="9475" max="9475" width="2.5703125" style="76" customWidth="1"/>
    <col min="9476" max="9476" width="29.42578125" style="76" customWidth="1"/>
    <col min="9477" max="9481" width="11.28515625" style="76" customWidth="1"/>
    <col min="9482" max="9482" width="6.140625" style="76" customWidth="1"/>
    <col min="9483" max="9486" width="11.28515625" style="76" customWidth="1"/>
    <col min="9487" max="9730" width="9.140625" style="76"/>
    <col min="9731" max="9731" width="2.5703125" style="76" customWidth="1"/>
    <col min="9732" max="9732" width="29.42578125" style="76" customWidth="1"/>
    <col min="9733" max="9737" width="11.28515625" style="76" customWidth="1"/>
    <col min="9738" max="9738" width="6.140625" style="76" customWidth="1"/>
    <col min="9739" max="9742" width="11.28515625" style="76" customWidth="1"/>
    <col min="9743" max="9986" width="9.140625" style="76"/>
    <col min="9987" max="9987" width="2.5703125" style="76" customWidth="1"/>
    <col min="9988" max="9988" width="29.42578125" style="76" customWidth="1"/>
    <col min="9989" max="9993" width="11.28515625" style="76" customWidth="1"/>
    <col min="9994" max="9994" width="6.140625" style="76" customWidth="1"/>
    <col min="9995" max="9998" width="11.28515625" style="76" customWidth="1"/>
    <col min="9999" max="10242" width="9.140625" style="76"/>
    <col min="10243" max="10243" width="2.5703125" style="76" customWidth="1"/>
    <col min="10244" max="10244" width="29.42578125" style="76" customWidth="1"/>
    <col min="10245" max="10249" width="11.28515625" style="76" customWidth="1"/>
    <col min="10250" max="10250" width="6.140625" style="76" customWidth="1"/>
    <col min="10251" max="10254" width="11.28515625" style="76" customWidth="1"/>
    <col min="10255" max="10498" width="9.140625" style="76"/>
    <col min="10499" max="10499" width="2.5703125" style="76" customWidth="1"/>
    <col min="10500" max="10500" width="29.42578125" style="76" customWidth="1"/>
    <col min="10501" max="10505" width="11.28515625" style="76" customWidth="1"/>
    <col min="10506" max="10506" width="6.140625" style="76" customWidth="1"/>
    <col min="10507" max="10510" width="11.28515625" style="76" customWidth="1"/>
    <col min="10511" max="10754" width="9.140625" style="76"/>
    <col min="10755" max="10755" width="2.5703125" style="76" customWidth="1"/>
    <col min="10756" max="10756" width="29.42578125" style="76" customWidth="1"/>
    <col min="10757" max="10761" width="11.28515625" style="76" customWidth="1"/>
    <col min="10762" max="10762" width="6.140625" style="76" customWidth="1"/>
    <col min="10763" max="10766" width="11.28515625" style="76" customWidth="1"/>
    <col min="10767" max="11010" width="9.140625" style="76"/>
    <col min="11011" max="11011" width="2.5703125" style="76" customWidth="1"/>
    <col min="11012" max="11012" width="29.42578125" style="76" customWidth="1"/>
    <col min="11013" max="11017" width="11.28515625" style="76" customWidth="1"/>
    <col min="11018" max="11018" width="6.140625" style="76" customWidth="1"/>
    <col min="11019" max="11022" width="11.28515625" style="76" customWidth="1"/>
    <col min="11023" max="11266" width="9.140625" style="76"/>
    <col min="11267" max="11267" width="2.5703125" style="76" customWidth="1"/>
    <col min="11268" max="11268" width="29.42578125" style="76" customWidth="1"/>
    <col min="11269" max="11273" width="11.28515625" style="76" customWidth="1"/>
    <col min="11274" max="11274" width="6.140625" style="76" customWidth="1"/>
    <col min="11275" max="11278" width="11.28515625" style="76" customWidth="1"/>
    <col min="11279" max="11522" width="9.140625" style="76"/>
    <col min="11523" max="11523" width="2.5703125" style="76" customWidth="1"/>
    <col min="11524" max="11524" width="29.42578125" style="76" customWidth="1"/>
    <col min="11525" max="11529" width="11.28515625" style="76" customWidth="1"/>
    <col min="11530" max="11530" width="6.140625" style="76" customWidth="1"/>
    <col min="11531" max="11534" width="11.28515625" style="76" customWidth="1"/>
    <col min="11535" max="11778" width="9.140625" style="76"/>
    <col min="11779" max="11779" width="2.5703125" style="76" customWidth="1"/>
    <col min="11780" max="11780" width="29.42578125" style="76" customWidth="1"/>
    <col min="11781" max="11785" width="11.28515625" style="76" customWidth="1"/>
    <col min="11786" max="11786" width="6.140625" style="76" customWidth="1"/>
    <col min="11787" max="11790" width="11.28515625" style="76" customWidth="1"/>
    <col min="11791" max="12034" width="9.140625" style="76"/>
    <col min="12035" max="12035" width="2.5703125" style="76" customWidth="1"/>
    <col min="12036" max="12036" width="29.42578125" style="76" customWidth="1"/>
    <col min="12037" max="12041" width="11.28515625" style="76" customWidth="1"/>
    <col min="12042" max="12042" width="6.140625" style="76" customWidth="1"/>
    <col min="12043" max="12046" width="11.28515625" style="76" customWidth="1"/>
    <col min="12047" max="12290" width="9.140625" style="76"/>
    <col min="12291" max="12291" width="2.5703125" style="76" customWidth="1"/>
    <col min="12292" max="12292" width="29.42578125" style="76" customWidth="1"/>
    <col min="12293" max="12297" width="11.28515625" style="76" customWidth="1"/>
    <col min="12298" max="12298" width="6.140625" style="76" customWidth="1"/>
    <col min="12299" max="12302" width="11.28515625" style="76" customWidth="1"/>
    <col min="12303" max="12546" width="9.140625" style="76"/>
    <col min="12547" max="12547" width="2.5703125" style="76" customWidth="1"/>
    <col min="12548" max="12548" width="29.42578125" style="76" customWidth="1"/>
    <col min="12549" max="12553" width="11.28515625" style="76" customWidth="1"/>
    <col min="12554" max="12554" width="6.140625" style="76" customWidth="1"/>
    <col min="12555" max="12558" width="11.28515625" style="76" customWidth="1"/>
    <col min="12559" max="12802" width="9.140625" style="76"/>
    <col min="12803" max="12803" width="2.5703125" style="76" customWidth="1"/>
    <col min="12804" max="12804" width="29.42578125" style="76" customWidth="1"/>
    <col min="12805" max="12809" width="11.28515625" style="76" customWidth="1"/>
    <col min="12810" max="12810" width="6.140625" style="76" customWidth="1"/>
    <col min="12811" max="12814" width="11.28515625" style="76" customWidth="1"/>
    <col min="12815" max="13058" width="9.140625" style="76"/>
    <col min="13059" max="13059" width="2.5703125" style="76" customWidth="1"/>
    <col min="13060" max="13060" width="29.42578125" style="76" customWidth="1"/>
    <col min="13061" max="13065" width="11.28515625" style="76" customWidth="1"/>
    <col min="13066" max="13066" width="6.140625" style="76" customWidth="1"/>
    <col min="13067" max="13070" width="11.28515625" style="76" customWidth="1"/>
    <col min="13071" max="13314" width="9.140625" style="76"/>
    <col min="13315" max="13315" width="2.5703125" style="76" customWidth="1"/>
    <col min="13316" max="13316" width="29.42578125" style="76" customWidth="1"/>
    <col min="13317" max="13321" width="11.28515625" style="76" customWidth="1"/>
    <col min="13322" max="13322" width="6.140625" style="76" customWidth="1"/>
    <col min="13323" max="13326" width="11.28515625" style="76" customWidth="1"/>
    <col min="13327" max="13570" width="9.140625" style="76"/>
    <col min="13571" max="13571" width="2.5703125" style="76" customWidth="1"/>
    <col min="13572" max="13572" width="29.42578125" style="76" customWidth="1"/>
    <col min="13573" max="13577" width="11.28515625" style="76" customWidth="1"/>
    <col min="13578" max="13578" width="6.140625" style="76" customWidth="1"/>
    <col min="13579" max="13582" width="11.28515625" style="76" customWidth="1"/>
    <col min="13583" max="13826" width="9.140625" style="76"/>
    <col min="13827" max="13827" width="2.5703125" style="76" customWidth="1"/>
    <col min="13828" max="13828" width="29.42578125" style="76" customWidth="1"/>
    <col min="13829" max="13833" width="11.28515625" style="76" customWidth="1"/>
    <col min="13834" max="13834" width="6.140625" style="76" customWidth="1"/>
    <col min="13835" max="13838" width="11.28515625" style="76" customWidth="1"/>
    <col min="13839" max="14082" width="9.140625" style="76"/>
    <col min="14083" max="14083" width="2.5703125" style="76" customWidth="1"/>
    <col min="14084" max="14084" width="29.42578125" style="76" customWidth="1"/>
    <col min="14085" max="14089" width="11.28515625" style="76" customWidth="1"/>
    <col min="14090" max="14090" width="6.140625" style="76" customWidth="1"/>
    <col min="14091" max="14094" width="11.28515625" style="76" customWidth="1"/>
    <col min="14095" max="14338" width="9.140625" style="76"/>
    <col min="14339" max="14339" width="2.5703125" style="76" customWidth="1"/>
    <col min="14340" max="14340" width="29.42578125" style="76" customWidth="1"/>
    <col min="14341" max="14345" width="11.28515625" style="76" customWidth="1"/>
    <col min="14346" max="14346" width="6.140625" style="76" customWidth="1"/>
    <col min="14347" max="14350" width="11.28515625" style="76" customWidth="1"/>
    <col min="14351" max="14594" width="9.140625" style="76"/>
    <col min="14595" max="14595" width="2.5703125" style="76" customWidth="1"/>
    <col min="14596" max="14596" width="29.42578125" style="76" customWidth="1"/>
    <col min="14597" max="14601" width="11.28515625" style="76" customWidth="1"/>
    <col min="14602" max="14602" width="6.140625" style="76" customWidth="1"/>
    <col min="14603" max="14606" width="11.28515625" style="76" customWidth="1"/>
    <col min="14607" max="14850" width="9.140625" style="76"/>
    <col min="14851" max="14851" width="2.5703125" style="76" customWidth="1"/>
    <col min="14852" max="14852" width="29.42578125" style="76" customWidth="1"/>
    <col min="14853" max="14857" width="11.28515625" style="76" customWidth="1"/>
    <col min="14858" max="14858" width="6.140625" style="76" customWidth="1"/>
    <col min="14859" max="14862" width="11.28515625" style="76" customWidth="1"/>
    <col min="14863" max="15106" width="9.140625" style="76"/>
    <col min="15107" max="15107" width="2.5703125" style="76" customWidth="1"/>
    <col min="15108" max="15108" width="29.42578125" style="76" customWidth="1"/>
    <col min="15109" max="15113" width="11.28515625" style="76" customWidth="1"/>
    <col min="15114" max="15114" width="6.140625" style="76" customWidth="1"/>
    <col min="15115" max="15118" width="11.28515625" style="76" customWidth="1"/>
    <col min="15119" max="15362" width="9.140625" style="76"/>
    <col min="15363" max="15363" width="2.5703125" style="76" customWidth="1"/>
    <col min="15364" max="15364" width="29.42578125" style="76" customWidth="1"/>
    <col min="15365" max="15369" width="11.28515625" style="76" customWidth="1"/>
    <col min="15370" max="15370" width="6.140625" style="76" customWidth="1"/>
    <col min="15371" max="15374" width="11.28515625" style="76" customWidth="1"/>
    <col min="15375" max="15618" width="9.140625" style="76"/>
    <col min="15619" max="15619" width="2.5703125" style="76" customWidth="1"/>
    <col min="15620" max="15620" width="29.42578125" style="76" customWidth="1"/>
    <col min="15621" max="15625" width="11.28515625" style="76" customWidth="1"/>
    <col min="15626" max="15626" width="6.140625" style="76" customWidth="1"/>
    <col min="15627" max="15630" width="11.28515625" style="76" customWidth="1"/>
    <col min="15631" max="15874" width="9.140625" style="76"/>
    <col min="15875" max="15875" width="2.5703125" style="76" customWidth="1"/>
    <col min="15876" max="15876" width="29.42578125" style="76" customWidth="1"/>
    <col min="15877" max="15881" width="11.28515625" style="76" customWidth="1"/>
    <col min="15882" max="15882" width="6.140625" style="76" customWidth="1"/>
    <col min="15883" max="15886" width="11.28515625" style="76" customWidth="1"/>
    <col min="15887" max="16130" width="9.140625" style="76"/>
    <col min="16131" max="16131" width="2.5703125" style="76" customWidth="1"/>
    <col min="16132" max="16132" width="29.42578125" style="76" customWidth="1"/>
    <col min="16133" max="16137" width="11.28515625" style="76" customWidth="1"/>
    <col min="16138" max="16138" width="6.140625" style="76" customWidth="1"/>
    <col min="16139" max="16142" width="11.28515625" style="76" customWidth="1"/>
    <col min="16143" max="16384" width="9.140625" style="76"/>
  </cols>
  <sheetData>
    <row r="2" spans="2:31" s="82" customFormat="1" ht="21">
      <c r="B2" s="210" t="s">
        <v>57</v>
      </c>
      <c r="C2" s="219" t="s">
        <v>138</v>
      </c>
      <c r="D2" s="219" t="s">
        <v>138</v>
      </c>
      <c r="E2" s="219" t="s">
        <v>138</v>
      </c>
      <c r="F2" s="219" t="s">
        <v>138</v>
      </c>
      <c r="G2" s="219" t="s">
        <v>138</v>
      </c>
      <c r="H2" s="219" t="s">
        <v>138</v>
      </c>
      <c r="I2" s="219" t="s">
        <v>139</v>
      </c>
      <c r="J2" s="220"/>
      <c r="K2" s="221" t="s">
        <v>140</v>
      </c>
      <c r="L2" s="219" t="s">
        <v>140</v>
      </c>
      <c r="M2" s="219" t="s">
        <v>140</v>
      </c>
      <c r="N2" s="222" t="s">
        <v>140</v>
      </c>
      <c r="O2" s="221" t="s">
        <v>140</v>
      </c>
      <c r="P2" s="219" t="s">
        <v>140</v>
      </c>
      <c r="Q2" s="219" t="s">
        <v>140</v>
      </c>
      <c r="R2" s="219" t="s">
        <v>140</v>
      </c>
      <c r="S2" s="221" t="s">
        <v>140</v>
      </c>
      <c r="T2" s="219" t="s">
        <v>140</v>
      </c>
      <c r="U2" s="219" t="s">
        <v>140</v>
      </c>
      <c r="V2" s="219" t="s">
        <v>140</v>
      </c>
      <c r="W2" s="221" t="s">
        <v>140</v>
      </c>
      <c r="X2" s="219" t="s">
        <v>140</v>
      </c>
      <c r="Y2" s="219" t="s">
        <v>140</v>
      </c>
      <c r="Z2" s="219" t="s">
        <v>140</v>
      </c>
      <c r="AA2" s="221" t="s">
        <v>140</v>
      </c>
      <c r="AB2" s="219" t="s">
        <v>140</v>
      </c>
      <c r="AC2" s="219" t="s">
        <v>140</v>
      </c>
      <c r="AD2" s="219" t="s">
        <v>140</v>
      </c>
      <c r="AE2" s="221" t="s">
        <v>140</v>
      </c>
    </row>
    <row r="3" spans="2:31" s="82" customFormat="1">
      <c r="B3" s="37" t="s">
        <v>141</v>
      </c>
      <c r="C3" s="36">
        <v>44196</v>
      </c>
      <c r="D3" s="36">
        <v>44561</v>
      </c>
      <c r="E3" s="36">
        <v>44926</v>
      </c>
      <c r="F3" s="36">
        <v>45291</v>
      </c>
      <c r="G3" s="36">
        <v>45657</v>
      </c>
      <c r="H3" s="36">
        <v>46022</v>
      </c>
      <c r="I3" s="36">
        <f>AE3</f>
        <v>46112</v>
      </c>
      <c r="J3" s="214"/>
      <c r="K3" s="36">
        <v>44286</v>
      </c>
      <c r="L3" s="36">
        <v>44377</v>
      </c>
      <c r="M3" s="36">
        <v>44469</v>
      </c>
      <c r="N3" s="36">
        <v>44561</v>
      </c>
      <c r="O3" s="36">
        <v>44651</v>
      </c>
      <c r="P3" s="36">
        <v>44742</v>
      </c>
      <c r="Q3" s="36">
        <v>44834</v>
      </c>
      <c r="R3" s="36">
        <v>44926</v>
      </c>
      <c r="S3" s="36">
        <v>45016</v>
      </c>
      <c r="T3" s="36">
        <v>45107</v>
      </c>
      <c r="U3" s="36">
        <v>45199</v>
      </c>
      <c r="V3" s="36">
        <v>45291</v>
      </c>
      <c r="W3" s="36">
        <v>45382</v>
      </c>
      <c r="X3" s="36">
        <v>45473</v>
      </c>
      <c r="Y3" s="36">
        <v>45565</v>
      </c>
      <c r="Z3" s="36">
        <v>45657</v>
      </c>
      <c r="AA3" s="36">
        <v>45747</v>
      </c>
      <c r="AB3" s="36">
        <v>45838</v>
      </c>
      <c r="AC3" s="36">
        <v>45930</v>
      </c>
      <c r="AD3" s="36">
        <v>46022</v>
      </c>
      <c r="AE3" s="36">
        <v>46112</v>
      </c>
    </row>
    <row r="4" spans="2:31" s="80" customFormat="1">
      <c r="B4" s="211"/>
      <c r="C4" s="81" t="s">
        <v>142</v>
      </c>
      <c r="D4" s="81" t="s">
        <v>142</v>
      </c>
      <c r="E4" s="81" t="s">
        <v>142</v>
      </c>
      <c r="F4" s="81" t="s">
        <v>142</v>
      </c>
      <c r="G4" s="81" t="s">
        <v>142</v>
      </c>
      <c r="H4" s="81" t="s">
        <v>142</v>
      </c>
      <c r="I4" s="81" t="s">
        <v>142</v>
      </c>
      <c r="J4" s="214"/>
      <c r="K4" s="81" t="s">
        <v>142</v>
      </c>
      <c r="L4" s="81" t="s">
        <v>142</v>
      </c>
      <c r="M4" s="81" t="s">
        <v>142</v>
      </c>
      <c r="N4" s="133" t="s">
        <v>142</v>
      </c>
      <c r="O4" s="81" t="s">
        <v>142</v>
      </c>
      <c r="P4" s="81" t="s">
        <v>142</v>
      </c>
      <c r="Q4" s="81" t="s">
        <v>142</v>
      </c>
      <c r="R4" s="81" t="s">
        <v>142</v>
      </c>
      <c r="S4" s="81" t="s">
        <v>142</v>
      </c>
      <c r="T4" s="81" t="s">
        <v>142</v>
      </c>
      <c r="U4" s="81" t="s">
        <v>142</v>
      </c>
      <c r="V4" s="81" t="s">
        <v>142</v>
      </c>
      <c r="W4" s="81" t="s">
        <v>142</v>
      </c>
      <c r="X4" s="81" t="s">
        <v>142</v>
      </c>
      <c r="Y4" s="81" t="s">
        <v>142</v>
      </c>
      <c r="Z4" s="81" t="s">
        <v>142</v>
      </c>
      <c r="AA4" s="81" t="s">
        <v>142</v>
      </c>
      <c r="AB4" s="81" t="s">
        <v>142</v>
      </c>
      <c r="AC4" s="81" t="s">
        <v>142</v>
      </c>
      <c r="AD4" s="81" t="s">
        <v>142</v>
      </c>
      <c r="AE4" s="81" t="s">
        <v>142</v>
      </c>
    </row>
    <row r="5" spans="2:31" s="77" customFormat="1">
      <c r="C5" s="78" t="s">
        <v>143</v>
      </c>
      <c r="D5" s="78" t="s">
        <v>143</v>
      </c>
      <c r="E5" s="78" t="s">
        <v>143</v>
      </c>
      <c r="F5" s="78" t="s">
        <v>143</v>
      </c>
      <c r="G5" s="78" t="s">
        <v>143</v>
      </c>
      <c r="H5" s="78" t="s">
        <v>143</v>
      </c>
      <c r="I5" s="79" t="s">
        <v>139</v>
      </c>
      <c r="J5" s="214"/>
      <c r="K5" s="78" t="s">
        <v>144</v>
      </c>
      <c r="L5" s="78" t="s">
        <v>145</v>
      </c>
      <c r="M5" s="78" t="s">
        <v>146</v>
      </c>
      <c r="N5" s="134" t="s">
        <v>147</v>
      </c>
      <c r="O5" s="78" t="s">
        <v>144</v>
      </c>
      <c r="P5" s="78" t="s">
        <v>145</v>
      </c>
      <c r="Q5" s="78" t="s">
        <v>146</v>
      </c>
      <c r="R5" s="79" t="s">
        <v>147</v>
      </c>
      <c r="S5" s="78" t="s">
        <v>144</v>
      </c>
      <c r="T5" s="78" t="s">
        <v>145</v>
      </c>
      <c r="U5" s="78" t="s">
        <v>146</v>
      </c>
      <c r="V5" s="79" t="s">
        <v>147</v>
      </c>
      <c r="W5" s="78" t="s">
        <v>144</v>
      </c>
      <c r="X5" s="78" t="s">
        <v>145</v>
      </c>
      <c r="Y5" s="78" t="s">
        <v>146</v>
      </c>
      <c r="Z5" s="79" t="s">
        <v>147</v>
      </c>
      <c r="AA5" s="78" t="s">
        <v>144</v>
      </c>
      <c r="AB5" s="78" t="s">
        <v>145</v>
      </c>
      <c r="AC5" s="78" t="s">
        <v>146</v>
      </c>
      <c r="AD5" s="79" t="s">
        <v>147</v>
      </c>
      <c r="AE5" s="78" t="s">
        <v>144</v>
      </c>
    </row>
    <row r="6" spans="2:31" s="77" customFormat="1" ht="13.5" customHeight="1">
      <c r="B6" s="216"/>
      <c r="C6" s="217"/>
      <c r="D6" s="217"/>
      <c r="E6" s="217"/>
      <c r="F6" s="217"/>
      <c r="G6" s="217"/>
      <c r="H6" s="217"/>
      <c r="I6" s="217"/>
      <c r="J6" s="214"/>
      <c r="K6" s="217"/>
      <c r="L6" s="217"/>
      <c r="M6" s="217"/>
      <c r="N6" s="133"/>
      <c r="O6" s="217"/>
      <c r="P6" s="217"/>
      <c r="Q6" s="217"/>
      <c r="R6" s="218"/>
      <c r="S6" s="217"/>
      <c r="T6" s="217"/>
      <c r="U6" s="217"/>
      <c r="V6" s="218"/>
      <c r="W6" s="217"/>
      <c r="X6" s="217"/>
      <c r="Y6" s="217"/>
      <c r="Z6" s="218"/>
      <c r="AA6" s="217"/>
      <c r="AB6" s="217"/>
      <c r="AC6" s="217"/>
      <c r="AD6" s="218"/>
      <c r="AE6" s="217"/>
    </row>
    <row r="7" spans="2:31">
      <c r="B7" s="291" t="s">
        <v>269</v>
      </c>
      <c r="C7" s="294"/>
      <c r="D7" s="294"/>
      <c r="E7" s="294"/>
      <c r="F7" s="294"/>
      <c r="G7" s="294"/>
      <c r="H7" s="294"/>
      <c r="I7" s="294"/>
      <c r="J7" s="214"/>
      <c r="K7" s="295"/>
      <c r="L7" s="295"/>
      <c r="M7" s="295"/>
      <c r="N7" s="296"/>
      <c r="O7" s="295"/>
      <c r="P7" s="295"/>
      <c r="Q7" s="295"/>
      <c r="R7" s="295"/>
      <c r="S7" s="295"/>
      <c r="T7" s="295"/>
      <c r="U7" s="296"/>
      <c r="V7" s="295"/>
      <c r="W7" s="295"/>
      <c r="X7" s="295"/>
      <c r="Y7" s="292"/>
      <c r="Z7" s="295"/>
      <c r="AA7" s="295"/>
      <c r="AB7" s="295"/>
      <c r="AC7" s="292"/>
      <c r="AD7" s="295"/>
      <c r="AE7" s="295"/>
    </row>
    <row r="8" spans="2:31">
      <c r="B8" s="76" t="s">
        <v>270</v>
      </c>
      <c r="C8" s="136">
        <v>20483.027906879997</v>
      </c>
      <c r="D8" s="136">
        <v>23897.316091693003</v>
      </c>
      <c r="E8" s="136">
        <v>23387.927161600994</v>
      </c>
      <c r="F8" s="136">
        <v>22781.416680336999</v>
      </c>
      <c r="G8" s="136">
        <v>22707</v>
      </c>
      <c r="H8" s="136">
        <v>22966</v>
      </c>
      <c r="I8" s="288">
        <f>SUM(AB8:AE8)</f>
        <v>23216</v>
      </c>
      <c r="J8" s="214"/>
      <c r="K8" s="138">
        <v>6249.0651655680003</v>
      </c>
      <c r="L8" s="138">
        <v>4752.367210761</v>
      </c>
      <c r="M8" s="138">
        <v>5549.3599517279999</v>
      </c>
      <c r="N8" s="139">
        <f>D8-SUM(K8:M8)</f>
        <v>7346.5237636359998</v>
      </c>
      <c r="O8" s="138">
        <v>6729.0794322609972</v>
      </c>
      <c r="P8" s="138">
        <v>4601.090629059001</v>
      </c>
      <c r="Q8" s="138">
        <v>5285.431601573001</v>
      </c>
      <c r="R8" s="139">
        <f>E8-SUM(O8:Q8)</f>
        <v>6772.3254987079963</v>
      </c>
      <c r="S8" s="138">
        <v>6645.1366819960003</v>
      </c>
      <c r="T8" s="138">
        <v>4817.7771040019998</v>
      </c>
      <c r="U8" s="138">
        <v>5038.5181835080002</v>
      </c>
      <c r="V8" s="139">
        <f>F8-SUM(S8:U8)</f>
        <v>6279.9847108309987</v>
      </c>
      <c r="W8" s="138">
        <v>6587.926375985</v>
      </c>
      <c r="X8" s="138">
        <v>4414</v>
      </c>
      <c r="Y8" s="138">
        <v>5127</v>
      </c>
      <c r="Z8" s="139">
        <f>G8-SUM(W8:Y8)</f>
        <v>6578.073624015</v>
      </c>
      <c r="AA8" s="138">
        <v>6463</v>
      </c>
      <c r="AB8" s="138">
        <v>4557</v>
      </c>
      <c r="AC8" s="138">
        <v>5096</v>
      </c>
      <c r="AD8" s="139">
        <f>H8-SUM(AA8:AC8)</f>
        <v>6850</v>
      </c>
      <c r="AE8" s="138">
        <v>6713</v>
      </c>
    </row>
    <row r="9" spans="2:31">
      <c r="B9" s="76" t="s">
        <v>271</v>
      </c>
      <c r="C9" s="136">
        <v>8783.4652692459986</v>
      </c>
      <c r="D9" s="136">
        <v>9424.2215876560895</v>
      </c>
      <c r="E9" s="136">
        <v>9526.5547931359997</v>
      </c>
      <c r="F9" s="136">
        <v>9095.3137894379997</v>
      </c>
      <c r="G9" s="136">
        <v>9780</v>
      </c>
      <c r="H9" s="136">
        <v>12029</v>
      </c>
      <c r="I9" s="288">
        <f t="shared" ref="I9:I11" si="0">SUM(AB9:AE9)</f>
        <v>11973</v>
      </c>
      <c r="J9" s="214"/>
      <c r="K9" s="138">
        <v>2461.7702972710003</v>
      </c>
      <c r="L9" s="138">
        <v>1629.1314838780002</v>
      </c>
      <c r="M9" s="138">
        <v>2316.5858135220892</v>
      </c>
      <c r="N9" s="139">
        <f>D9-SUM(K9:M9)</f>
        <v>3016.7339929850004</v>
      </c>
      <c r="O9" s="138">
        <v>2655.7974546569999</v>
      </c>
      <c r="P9" s="138">
        <v>1601.837716856</v>
      </c>
      <c r="Q9" s="138">
        <v>2285.9535766649997</v>
      </c>
      <c r="R9" s="139">
        <f>E9-SUM(O9:Q9)</f>
        <v>2982.9660449579997</v>
      </c>
      <c r="S9" s="138">
        <v>2440.6785335379996</v>
      </c>
      <c r="T9" s="138">
        <v>1731.8667035649996</v>
      </c>
      <c r="U9" s="138">
        <v>2187.227328636</v>
      </c>
      <c r="V9" s="139">
        <f>F9-SUM(S9:U9)</f>
        <v>2735.5412236990014</v>
      </c>
      <c r="W9" s="138">
        <v>2081.5158986910901</v>
      </c>
      <c r="X9" s="138">
        <v>1260</v>
      </c>
      <c r="Y9" s="138">
        <v>2517</v>
      </c>
      <c r="Z9" s="139">
        <f t="shared" ref="Z9:Z11" si="1">G9-SUM(W9:Y9)</f>
        <v>3921.4841013089099</v>
      </c>
      <c r="AA9" s="138">
        <v>3382</v>
      </c>
      <c r="AB9" s="138">
        <v>2256</v>
      </c>
      <c r="AC9" s="138">
        <v>2650</v>
      </c>
      <c r="AD9" s="139">
        <f>H9-SUM(AA9:AC9)</f>
        <v>3741</v>
      </c>
      <c r="AE9" s="138">
        <v>3326</v>
      </c>
    </row>
    <row r="10" spans="2:31">
      <c r="B10" s="76" t="s">
        <v>272</v>
      </c>
      <c r="C10" s="136">
        <v>1532.9779075437832</v>
      </c>
      <c r="D10" s="136">
        <v>1582.6786614059993</v>
      </c>
      <c r="E10" s="136">
        <v>1573.3502782589999</v>
      </c>
      <c r="F10" s="136">
        <v>1346.9830384879999</v>
      </c>
      <c r="G10" s="136">
        <v>1361</v>
      </c>
      <c r="H10" s="136">
        <v>1321</v>
      </c>
      <c r="I10" s="288">
        <f t="shared" si="0"/>
        <v>1304</v>
      </c>
      <c r="J10" s="214"/>
      <c r="K10" s="138">
        <v>352.69223849100001</v>
      </c>
      <c r="L10" s="138">
        <v>413.31011452999991</v>
      </c>
      <c r="M10" s="138">
        <v>434.2314569199998</v>
      </c>
      <c r="N10" s="139">
        <f>D10-SUM(K10:M10)</f>
        <v>382.4448514649996</v>
      </c>
      <c r="O10" s="138">
        <v>352.18243659000001</v>
      </c>
      <c r="P10" s="138">
        <v>411.07609552000008</v>
      </c>
      <c r="Q10" s="138">
        <v>436.74294333499989</v>
      </c>
      <c r="R10" s="139">
        <f>E10-SUM(O10:Q10)</f>
        <v>373.34880281400001</v>
      </c>
      <c r="S10" s="138">
        <v>289.40475086999993</v>
      </c>
      <c r="T10" s="138">
        <v>355.86270050499996</v>
      </c>
      <c r="U10" s="138">
        <v>361.32584867299954</v>
      </c>
      <c r="V10" s="139">
        <f>F10-SUM(S10:U10)</f>
        <v>340.38973844000054</v>
      </c>
      <c r="W10" s="138">
        <v>297.18897772899987</v>
      </c>
      <c r="X10" s="138">
        <v>356</v>
      </c>
      <c r="Y10" s="138">
        <v>368</v>
      </c>
      <c r="Z10" s="139">
        <f t="shared" si="1"/>
        <v>339.81102227100018</v>
      </c>
      <c r="AA10" s="138">
        <v>286</v>
      </c>
      <c r="AB10" s="138">
        <v>371</v>
      </c>
      <c r="AC10" s="138">
        <v>357</v>
      </c>
      <c r="AD10" s="139">
        <f>H10-SUM(AA10:AC10)</f>
        <v>307</v>
      </c>
      <c r="AE10" s="138">
        <v>269</v>
      </c>
    </row>
    <row r="11" spans="2:31">
      <c r="B11" s="76" t="s">
        <v>273</v>
      </c>
      <c r="C11" s="138">
        <v>-112.53025949999346</v>
      </c>
      <c r="D11" s="138">
        <v>-206.09447490000042</v>
      </c>
      <c r="E11" s="138">
        <v>-166.999542284998</v>
      </c>
      <c r="F11" s="138">
        <v>-86.682107899995103</v>
      </c>
      <c r="G11" s="138">
        <v>-75</v>
      </c>
      <c r="H11" s="138">
        <v>-67</v>
      </c>
      <c r="I11" s="288">
        <f t="shared" si="0"/>
        <v>-61</v>
      </c>
      <c r="K11" s="138">
        <v>-21.548216999998317</v>
      </c>
      <c r="L11" s="138">
        <v>-36.08304450000054</v>
      </c>
      <c r="M11" s="138">
        <v>-87.352717500000381</v>
      </c>
      <c r="N11" s="139">
        <f>D11-SUM(K11:M11)</f>
        <v>-61.110495900001183</v>
      </c>
      <c r="O11" s="138">
        <v>-44.790977999998461</v>
      </c>
      <c r="P11" s="138">
        <v>-46.532535785000391</v>
      </c>
      <c r="Q11" s="138">
        <v>-44.379951000000858</v>
      </c>
      <c r="R11" s="139">
        <f>E11-SUM(O11:Q11)</f>
        <v>-31.29607749999829</v>
      </c>
      <c r="S11" s="138">
        <v>-12.93389249999916</v>
      </c>
      <c r="T11" s="138">
        <v>-22.557995400000152</v>
      </c>
      <c r="U11" s="138">
        <v>-27.751202499999522</v>
      </c>
      <c r="V11" s="139">
        <f>F11-SUM(S11:U11)</f>
        <v>-23.439017499996268</v>
      </c>
      <c r="W11" s="138">
        <v>-14.87538249999858</v>
      </c>
      <c r="X11" s="138">
        <v>-21</v>
      </c>
      <c r="Y11" s="138">
        <f>Y12-SUM(Y8:Y10)</f>
        <v>-21</v>
      </c>
      <c r="Z11" s="139">
        <f t="shared" si="1"/>
        <v>-18.12461750000142</v>
      </c>
      <c r="AA11" s="138">
        <v>-18</v>
      </c>
      <c r="AB11" s="138">
        <v>-18</v>
      </c>
      <c r="AC11" s="138">
        <v>-17</v>
      </c>
      <c r="AD11" s="139">
        <f>H11-SUM(AA11:AC11)</f>
        <v>-14</v>
      </c>
      <c r="AE11" s="138">
        <v>-12</v>
      </c>
    </row>
    <row r="12" spans="2:31" s="80" customFormat="1">
      <c r="B12" s="80" t="s">
        <v>33</v>
      </c>
      <c r="C12" s="137">
        <f t="shared" ref="C12" si="2">SUM(C8:C11)</f>
        <v>30686.940824169786</v>
      </c>
      <c r="D12" s="137">
        <f t="shared" ref="D12:I12" si="3">SUM(D8:D11)</f>
        <v>34698.121865855093</v>
      </c>
      <c r="E12" s="137">
        <f t="shared" si="3"/>
        <v>34320.832690710995</v>
      </c>
      <c r="F12" s="137">
        <f t="shared" si="3"/>
        <v>33137.031400363005</v>
      </c>
      <c r="G12" s="137">
        <f t="shared" si="3"/>
        <v>33773</v>
      </c>
      <c r="H12" s="137">
        <f t="shared" si="3"/>
        <v>36249</v>
      </c>
      <c r="I12" s="137">
        <f t="shared" si="3"/>
        <v>36432</v>
      </c>
      <c r="K12" s="137">
        <f t="shared" ref="K12:U12" si="4">SUM(K8:K11)</f>
        <v>9041.9794843300024</v>
      </c>
      <c r="L12" s="137">
        <f t="shared" si="4"/>
        <v>6758.7257646689995</v>
      </c>
      <c r="M12" s="137">
        <f t="shared" si="4"/>
        <v>8212.8245046700886</v>
      </c>
      <c r="N12" s="137">
        <f t="shared" si="4"/>
        <v>10684.592112185999</v>
      </c>
      <c r="O12" s="137">
        <f t="shared" si="4"/>
        <v>9692.2683455079969</v>
      </c>
      <c r="P12" s="137">
        <f t="shared" si="4"/>
        <v>6567.4719056500007</v>
      </c>
      <c r="Q12" s="137">
        <f t="shared" si="4"/>
        <v>7963.7481705729997</v>
      </c>
      <c r="R12" s="137">
        <f t="shared" si="4"/>
        <v>10097.344268979999</v>
      </c>
      <c r="S12" s="137">
        <f t="shared" si="4"/>
        <v>9362.2860739040007</v>
      </c>
      <c r="T12" s="137">
        <f t="shared" si="4"/>
        <v>6882.9485126719992</v>
      </c>
      <c r="U12" s="137">
        <f t="shared" si="4"/>
        <v>7559.3201583169994</v>
      </c>
      <c r="V12" s="137">
        <f t="shared" ref="V12:X12" si="5">SUM(V8:V11)</f>
        <v>9332.4766554700036</v>
      </c>
      <c r="W12" s="137">
        <f t="shared" si="5"/>
        <v>8951.7558699050915</v>
      </c>
      <c r="X12" s="137">
        <f t="shared" si="5"/>
        <v>6009</v>
      </c>
      <c r="Y12" s="184">
        <v>7991</v>
      </c>
      <c r="Z12" s="137">
        <f t="shared" ref="Z12:AB12" si="6">SUM(Z8:Z11)</f>
        <v>10821.244130094909</v>
      </c>
      <c r="AA12" s="137">
        <f t="shared" si="6"/>
        <v>10113</v>
      </c>
      <c r="AB12" s="137">
        <f t="shared" si="6"/>
        <v>7166</v>
      </c>
      <c r="AC12" s="184">
        <f>SUM(AC8:AC11)</f>
        <v>8086</v>
      </c>
      <c r="AD12" s="137">
        <f t="shared" ref="AD12:AE12" si="7">SUM(AD8:AD11)</f>
        <v>10884</v>
      </c>
      <c r="AE12" s="137">
        <f t="shared" si="7"/>
        <v>10296</v>
      </c>
    </row>
    <row r="13" spans="2:31">
      <c r="J13" s="80"/>
    </row>
    <row r="14" spans="2:31">
      <c r="J14" s="80"/>
    </row>
    <row r="15" spans="2:31">
      <c r="B15" s="291" t="s">
        <v>274</v>
      </c>
      <c r="C15" s="292"/>
      <c r="D15" s="292"/>
      <c r="E15" s="292"/>
      <c r="F15" s="292"/>
      <c r="G15" s="292"/>
      <c r="H15" s="292"/>
      <c r="I15" s="292"/>
      <c r="J15" s="80"/>
      <c r="K15" s="292"/>
      <c r="L15" s="292"/>
      <c r="M15" s="292"/>
      <c r="N15" s="293"/>
      <c r="O15" s="292"/>
      <c r="P15" s="292"/>
      <c r="Q15" s="292"/>
      <c r="R15" s="292"/>
      <c r="S15" s="292"/>
      <c r="T15" s="292"/>
      <c r="U15" s="292"/>
      <c r="V15" s="292"/>
      <c r="W15" s="292"/>
      <c r="X15" s="292"/>
      <c r="Y15" s="292"/>
      <c r="Z15" s="292"/>
      <c r="AA15" s="292"/>
      <c r="AB15" s="292"/>
      <c r="AC15" s="292"/>
      <c r="AD15" s="292"/>
      <c r="AE15" s="292"/>
    </row>
    <row r="16" spans="2:31">
      <c r="B16" s="76" t="s">
        <v>270</v>
      </c>
      <c r="C16" s="138">
        <v>1242762.8691499999</v>
      </c>
      <c r="D16" s="138">
        <v>1578151.9129540003</v>
      </c>
      <c r="E16" s="138">
        <v>1673349.356931</v>
      </c>
      <c r="F16" s="138">
        <v>1758971.234839</v>
      </c>
      <c r="G16" s="138">
        <v>1829243.6580000001</v>
      </c>
      <c r="H16" s="138">
        <v>1914527.6240000001</v>
      </c>
      <c r="I16" s="288">
        <f t="shared" ref="I16:I19" si="8">SUM(AB16:AE16)</f>
        <v>1934647.7770000002</v>
      </c>
      <c r="J16" s="80"/>
      <c r="K16" s="138">
        <v>393220.477075</v>
      </c>
      <c r="L16" s="138">
        <v>316435.84179400001</v>
      </c>
      <c r="M16" s="138">
        <v>378830.11422400002</v>
      </c>
      <c r="N16" s="139">
        <f t="shared" ref="N16:N19" si="9">D16-SUM(K16:M16)</f>
        <v>489665.47986100009</v>
      </c>
      <c r="O16" s="138">
        <v>458484.32371800003</v>
      </c>
      <c r="P16" s="138">
        <v>328283.17559300002</v>
      </c>
      <c r="Q16" s="138">
        <v>379318.88345299999</v>
      </c>
      <c r="R16" s="139">
        <f t="shared" ref="R16:R19" si="10">E16-SUM(O16:Q16)</f>
        <v>507262.97416700004</v>
      </c>
      <c r="S16" s="138">
        <v>487817.87036100001</v>
      </c>
      <c r="T16" s="138">
        <v>376377.66804999998</v>
      </c>
      <c r="U16" s="138">
        <v>398549.50715399999</v>
      </c>
      <c r="V16" s="139">
        <f>F16-SUM(S16:U16)</f>
        <v>496226.189274</v>
      </c>
      <c r="W16" s="138">
        <v>501876.68967300002</v>
      </c>
      <c r="X16" s="138">
        <v>355612.74900000001</v>
      </c>
      <c r="Y16" s="138">
        <v>426414.31900000002</v>
      </c>
      <c r="Z16" s="139">
        <f t="shared" ref="Z16:Z19" si="11">G16-SUM(W16:Y16)</f>
        <v>545339.90032700007</v>
      </c>
      <c r="AA16" s="138">
        <v>515794.592</v>
      </c>
      <c r="AB16" s="138">
        <v>389247</v>
      </c>
      <c r="AC16" s="138">
        <v>434113.76</v>
      </c>
      <c r="AD16" s="139">
        <f>H16-SUM(AA16:AC16)</f>
        <v>575372.27200000011</v>
      </c>
      <c r="AE16" s="138">
        <v>535914.745</v>
      </c>
    </row>
    <row r="17" spans="2:31">
      <c r="B17" s="76" t="s">
        <v>271</v>
      </c>
      <c r="C17" s="138">
        <v>402828.82528500003</v>
      </c>
      <c r="D17" s="138">
        <v>677906.79678737791</v>
      </c>
      <c r="E17" s="138">
        <v>782563.35195630393</v>
      </c>
      <c r="F17" s="138">
        <v>586484.36069020897</v>
      </c>
      <c r="G17" s="138">
        <v>850118.277</v>
      </c>
      <c r="H17" s="138">
        <v>780295.78500000003</v>
      </c>
      <c r="I17" s="288">
        <f t="shared" si="8"/>
        <v>763245.65899999999</v>
      </c>
      <c r="J17" s="80"/>
      <c r="K17" s="138">
        <v>124661.80318</v>
      </c>
      <c r="L17" s="138">
        <v>95899.854434318084</v>
      </c>
      <c r="M17" s="138">
        <v>185198.93464119636</v>
      </c>
      <c r="N17" s="139">
        <f t="shared" si="9"/>
        <v>272146.20453186345</v>
      </c>
      <c r="O17" s="138">
        <v>188548.21993122893</v>
      </c>
      <c r="P17" s="138">
        <v>163888.83788912659</v>
      </c>
      <c r="Q17" s="138">
        <v>232995.38502319079</v>
      </c>
      <c r="R17" s="139">
        <f t="shared" si="10"/>
        <v>197130.90911275765</v>
      </c>
      <c r="S17" s="138">
        <v>197386.86884058043</v>
      </c>
      <c r="T17" s="138">
        <v>142511.78064954845</v>
      </c>
      <c r="U17" s="138">
        <v>227378.58777019181</v>
      </c>
      <c r="V17" s="139">
        <f>F17-SUM(S17:U17)</f>
        <v>19207.123429888277</v>
      </c>
      <c r="W17" s="138">
        <v>194253.74986810796</v>
      </c>
      <c r="X17" s="138">
        <v>111001.545</v>
      </c>
      <c r="Y17" s="138">
        <v>177834.13200000001</v>
      </c>
      <c r="Z17" s="139">
        <f t="shared" si="11"/>
        <v>367028.85013189202</v>
      </c>
      <c r="AA17" s="138">
        <v>256029.91399999999</v>
      </c>
      <c r="AB17" s="138">
        <v>128328</v>
      </c>
      <c r="AC17" s="138">
        <v>161979.26300000001</v>
      </c>
      <c r="AD17" s="139">
        <f>H17-SUM(AA17:AC17)</f>
        <v>233958.60800000001</v>
      </c>
      <c r="AE17" s="138">
        <v>238979.788</v>
      </c>
    </row>
    <row r="18" spans="2:31">
      <c r="B18" s="76" t="s">
        <v>272</v>
      </c>
      <c r="C18" s="138">
        <v>235210.368644</v>
      </c>
      <c r="D18" s="138">
        <v>261620.06490154256</v>
      </c>
      <c r="E18" s="138">
        <v>296349.89308189542</v>
      </c>
      <c r="F18" s="138">
        <v>252825.49545708299</v>
      </c>
      <c r="G18" s="138">
        <v>282637.92300000001</v>
      </c>
      <c r="H18" s="138">
        <v>276488.98200000002</v>
      </c>
      <c r="I18" s="288">
        <f t="shared" si="8"/>
        <v>272184.60700000002</v>
      </c>
      <c r="J18" s="80"/>
      <c r="K18" s="138">
        <v>56402.915864000002</v>
      </c>
      <c r="L18" s="138">
        <v>64781.743110392599</v>
      </c>
      <c r="M18" s="138">
        <v>70846.894193505796</v>
      </c>
      <c r="N18" s="139">
        <f t="shared" si="9"/>
        <v>69588.511733644176</v>
      </c>
      <c r="O18" s="138">
        <v>64005.599109636503</v>
      </c>
      <c r="P18" s="138">
        <v>75617.507599121993</v>
      </c>
      <c r="Q18" s="138">
        <v>84892.705010955397</v>
      </c>
      <c r="R18" s="139">
        <f t="shared" si="10"/>
        <v>71834.081362181518</v>
      </c>
      <c r="S18" s="138">
        <v>52646.743672533899</v>
      </c>
      <c r="T18" s="138">
        <v>64369.29155055499</v>
      </c>
      <c r="U18" s="138">
        <v>72379.599031969105</v>
      </c>
      <c r="V18" s="139">
        <f>F18-SUM(S18:U18)</f>
        <v>63429.861202024971</v>
      </c>
      <c r="W18" s="138">
        <v>58765.210248358795</v>
      </c>
      <c r="X18" s="138">
        <v>72124.558000000005</v>
      </c>
      <c r="Y18" s="138">
        <v>74774.164000000004</v>
      </c>
      <c r="Z18" s="139">
        <f t="shared" si="11"/>
        <v>76973.99075164122</v>
      </c>
      <c r="AA18" s="138">
        <v>60021.512000000002</v>
      </c>
      <c r="AB18" s="138">
        <v>76444</v>
      </c>
      <c r="AC18" s="138">
        <v>75990.644</v>
      </c>
      <c r="AD18" s="139">
        <f>H18-SUM(AA18:AC18)</f>
        <v>64032.82600000003</v>
      </c>
      <c r="AE18" s="138">
        <v>55717.137000000002</v>
      </c>
    </row>
    <row r="19" spans="2:31">
      <c r="B19" s="76" t="s">
        <v>273</v>
      </c>
      <c r="C19" s="138">
        <v>-23208.385150999966</v>
      </c>
      <c r="D19" s="138">
        <v>-32966.494564101755</v>
      </c>
      <c r="E19" s="138">
        <v>-40827.653714325541</v>
      </c>
      <c r="F19" s="138">
        <v>-32725.023605472201</v>
      </c>
      <c r="G19" s="138">
        <v>-57433.404000000002</v>
      </c>
      <c r="H19" s="138">
        <v>-61686.942999999999</v>
      </c>
      <c r="I19" s="288">
        <f t="shared" si="8"/>
        <v>-58607.907000000007</v>
      </c>
      <c r="J19" s="80"/>
      <c r="K19" s="138">
        <v>-4645.7401390000377</v>
      </c>
      <c r="L19" s="138">
        <v>-7122.8539945687007</v>
      </c>
      <c r="M19" s="138">
        <v>-12146.316219291315</v>
      </c>
      <c r="N19" s="139">
        <f t="shared" si="9"/>
        <v>-9051.5842112417013</v>
      </c>
      <c r="O19" s="138">
        <v>-10573.212588468537</v>
      </c>
      <c r="P19" s="138">
        <v>-9286.636494253602</v>
      </c>
      <c r="Q19" s="138">
        <v>-13101.438209100248</v>
      </c>
      <c r="R19" s="139">
        <f t="shared" si="10"/>
        <v>-7866.3664225031534</v>
      </c>
      <c r="S19" s="138">
        <v>-5820.7235066632638</v>
      </c>
      <c r="T19" s="138">
        <v>-9017.0366350545228</v>
      </c>
      <c r="U19" s="138">
        <v>-11630.787787123802</v>
      </c>
      <c r="V19" s="139">
        <f>F19-SUM(S19:U19)</f>
        <v>-6256.4756766306127</v>
      </c>
      <c r="W19" s="138">
        <v>-8871.6674700097792</v>
      </c>
      <c r="X19" s="138">
        <v>-14097.370999999999</v>
      </c>
      <c r="Y19" s="138">
        <v>-13199.343000000001</v>
      </c>
      <c r="Z19" s="139">
        <f t="shared" si="11"/>
        <v>-21265.022529990223</v>
      </c>
      <c r="AA19" s="138">
        <v>-14175.427</v>
      </c>
      <c r="AB19" s="138">
        <v>-14104</v>
      </c>
      <c r="AC19" s="138">
        <v>-13455.815000000001</v>
      </c>
      <c r="AD19" s="139">
        <f>H19-SUM(AA19:AC19)</f>
        <v>-19951.701000000001</v>
      </c>
      <c r="AE19" s="138">
        <v>-11096.391</v>
      </c>
    </row>
    <row r="20" spans="2:31">
      <c r="B20" s="80" t="s">
        <v>33</v>
      </c>
      <c r="C20" s="137">
        <f t="shared" ref="C20" si="12">SUM(C16:C19)</f>
        <v>1857593.677928</v>
      </c>
      <c r="D20" s="137">
        <f t="shared" ref="D20:I20" si="13">SUM(D16:D19)</f>
        <v>2484712.280078819</v>
      </c>
      <c r="E20" s="137">
        <f t="shared" si="13"/>
        <v>2711434.948254874</v>
      </c>
      <c r="F20" s="137">
        <f t="shared" si="13"/>
        <v>2565556.0673808195</v>
      </c>
      <c r="G20" s="137">
        <f t="shared" si="13"/>
        <v>2904566.4539999999</v>
      </c>
      <c r="H20" s="137">
        <f t="shared" si="13"/>
        <v>2909625.4479999999</v>
      </c>
      <c r="I20" s="137">
        <f t="shared" si="13"/>
        <v>2911470.1359999999</v>
      </c>
      <c r="J20" s="80"/>
      <c r="K20" s="137">
        <f t="shared" ref="K20" si="14">SUM(K16:K19)</f>
        <v>569639.45597999997</v>
      </c>
      <c r="L20" s="137">
        <f t="shared" ref="L20" si="15">SUM(L16:L19)</f>
        <v>469994.58534414199</v>
      </c>
      <c r="M20" s="137">
        <f t="shared" ref="M20" si="16">SUM(M16:M19)</f>
        <v>622729.62683941086</v>
      </c>
      <c r="N20" s="137">
        <f t="shared" ref="N20" si="17">SUM(N16:N19)</f>
        <v>822348.61191526602</v>
      </c>
      <c r="O20" s="137">
        <f t="shared" ref="O20" si="18">SUM(O16:O19)</f>
        <v>700464.93017039692</v>
      </c>
      <c r="P20" s="137">
        <f t="shared" ref="P20" si="19">SUM(P16:P19)</f>
        <v>558502.884586995</v>
      </c>
      <c r="Q20" s="137">
        <f t="shared" ref="Q20" si="20">SUM(Q16:Q19)</f>
        <v>684105.53527804592</v>
      </c>
      <c r="R20" s="137">
        <f t="shared" ref="R20" si="21">SUM(R16:R19)</f>
        <v>768361.59821943601</v>
      </c>
      <c r="S20" s="137">
        <f t="shared" ref="S20" si="22">SUM(S16:S19)</f>
        <v>732030.75936745107</v>
      </c>
      <c r="T20" s="137">
        <f t="shared" ref="T20" si="23">SUM(T16:T19)</f>
        <v>574241.7036150489</v>
      </c>
      <c r="U20" s="137">
        <f t="shared" ref="U20:Y20" si="24">SUM(U16:U19)</f>
        <v>686676.9061690371</v>
      </c>
      <c r="V20" s="137">
        <f t="shared" si="24"/>
        <v>572606.69822928263</v>
      </c>
      <c r="W20" s="137">
        <f t="shared" si="24"/>
        <v>746023.98231945699</v>
      </c>
      <c r="X20" s="137">
        <f t="shared" si="24"/>
        <v>524641.48099999991</v>
      </c>
      <c r="Y20" s="137">
        <f t="shared" si="24"/>
        <v>665823.272</v>
      </c>
      <c r="Z20" s="137">
        <f t="shared" ref="Z20:AC20" si="25">SUM(Z16:Z19)</f>
        <v>968077.71868054313</v>
      </c>
      <c r="AA20" s="137">
        <f t="shared" si="25"/>
        <v>817670.59100000001</v>
      </c>
      <c r="AB20" s="137">
        <f t="shared" si="25"/>
        <v>579915</v>
      </c>
      <c r="AC20" s="137">
        <f t="shared" si="25"/>
        <v>658627.85200000007</v>
      </c>
      <c r="AD20" s="137">
        <f t="shared" ref="AD20:AE20" si="26">SUM(AD16:AD19)</f>
        <v>853412.00500000012</v>
      </c>
      <c r="AE20" s="137">
        <f t="shared" si="26"/>
        <v>819515.2790000001</v>
      </c>
    </row>
    <row r="21" spans="2:31">
      <c r="B21" s="289" t="s">
        <v>54</v>
      </c>
      <c r="C21" s="290">
        <f>C20-Model!C7</f>
        <v>-7.2000082582235336E-5</v>
      </c>
      <c r="D21" s="290">
        <f>D20-Model!D7</f>
        <v>7.881922647356987E-5</v>
      </c>
      <c r="E21" s="290">
        <f>E20-Model!E7</f>
        <v>2.5487411767244339E-4</v>
      </c>
      <c r="F21" s="290">
        <f>F20-Model!F7</f>
        <v>3.808196634054184E-4</v>
      </c>
      <c r="G21" s="290">
        <f>G20-Model!G7</f>
        <v>0</v>
      </c>
      <c r="H21" s="290">
        <f>H20-Model!H7</f>
        <v>0</v>
      </c>
      <c r="I21" s="290">
        <f>I20-Model!I7</f>
        <v>0</v>
      </c>
      <c r="J21" s="289"/>
      <c r="K21" s="290">
        <f>K20-Model!K7</f>
        <v>-2.0000035874545574E-5</v>
      </c>
      <c r="L21" s="290">
        <f>L20-Model!L7</f>
        <v>-6.5585802076384425E-4</v>
      </c>
      <c r="M21" s="290">
        <f>M20-Model!M7</f>
        <v>-1.6058911569416523E-4</v>
      </c>
      <c r="N21" s="290">
        <f>N20-Model!N7</f>
        <v>9.1526622418314219E-4</v>
      </c>
      <c r="O21" s="290">
        <f>O20-Model!O7</f>
        <v>1.7039687372744083E-4</v>
      </c>
      <c r="P21" s="290">
        <f>P20-Model!P7</f>
        <v>5.8699504006654024E-4</v>
      </c>
      <c r="Q21" s="290">
        <f>Q20-Model!Q7</f>
        <v>2.780458889901638E-4</v>
      </c>
      <c r="R21" s="290">
        <f>R20-Model!R7</f>
        <v>-7.8056391794234514E-4</v>
      </c>
      <c r="S21" s="290">
        <f>S20-Model!S7</f>
        <v>3.6745110992342234E-4</v>
      </c>
      <c r="T21" s="290">
        <f>T20-Model!T7</f>
        <v>6.1504892073571682E-4</v>
      </c>
      <c r="U21" s="290">
        <f>U20-Model!U7</f>
        <v>1.6903714276850224E-4</v>
      </c>
      <c r="V21" s="290">
        <f>V20-Model!V7</f>
        <v>-7.7071739360690117E-4</v>
      </c>
      <c r="W21" s="290">
        <f>W20-Model!W7</f>
        <v>3.1945703085511923E-4</v>
      </c>
      <c r="X21" s="290">
        <f>X20-Model!X7</f>
        <v>0</v>
      </c>
      <c r="Y21" s="290">
        <f>Y20-Model!Y7</f>
        <v>0</v>
      </c>
      <c r="Z21" s="290">
        <f>Z20-Model!Z7</f>
        <v>-3.194569144397974E-4</v>
      </c>
      <c r="AA21" s="290">
        <f>AA20-Model!AA7</f>
        <v>0</v>
      </c>
      <c r="AB21" s="290">
        <f>AB20-Model!AB7</f>
        <v>1.0990000000456348</v>
      </c>
      <c r="AC21" s="290">
        <f>AC20-Model!AC7</f>
        <v>0</v>
      </c>
      <c r="AD21" s="290">
        <f>AD20-Model!AD7</f>
        <v>-1.0989999996963888</v>
      </c>
      <c r="AE21" s="290">
        <f>AE20-Model!AE7</f>
        <v>0</v>
      </c>
    </row>
    <row r="22" spans="2:31">
      <c r="B22" s="140"/>
      <c r="C22" s="141"/>
      <c r="D22" s="141"/>
      <c r="E22" s="141"/>
      <c r="F22" s="141"/>
      <c r="G22" s="141"/>
      <c r="H22" s="141"/>
      <c r="I22" s="141"/>
      <c r="J22" s="215"/>
      <c r="K22" s="141"/>
      <c r="L22" s="141"/>
      <c r="M22" s="141"/>
      <c r="N22" s="141"/>
      <c r="O22" s="141"/>
      <c r="P22" s="141"/>
      <c r="Q22" s="141"/>
      <c r="R22" s="141"/>
      <c r="S22" s="141"/>
      <c r="T22" s="141"/>
      <c r="U22" s="141"/>
      <c r="V22" s="141"/>
      <c r="W22" s="141"/>
      <c r="X22" s="141"/>
      <c r="Y22" s="141"/>
      <c r="Z22" s="141"/>
      <c r="AA22" s="141"/>
      <c r="AB22" s="141"/>
      <c r="AC22" s="141"/>
      <c r="AD22" s="141"/>
      <c r="AE22" s="141"/>
    </row>
    <row r="23" spans="2:31">
      <c r="B23" s="140"/>
      <c r="C23" s="141"/>
      <c r="D23" s="141"/>
      <c r="E23" s="141"/>
      <c r="F23" s="141"/>
      <c r="G23" s="141"/>
      <c r="H23" s="141"/>
      <c r="I23" s="141"/>
      <c r="J23" s="215"/>
      <c r="K23" s="141"/>
      <c r="L23" s="141"/>
      <c r="M23" s="141"/>
      <c r="N23" s="141"/>
      <c r="O23" s="141"/>
      <c r="P23" s="141"/>
      <c r="Q23" s="141"/>
      <c r="R23" s="141"/>
      <c r="S23" s="141"/>
      <c r="T23" s="141"/>
      <c r="U23" s="141"/>
      <c r="V23" s="141"/>
      <c r="W23" s="141"/>
      <c r="X23" s="141"/>
      <c r="Y23" s="141"/>
      <c r="Z23" s="141"/>
      <c r="AA23" s="141"/>
      <c r="AB23" s="141"/>
      <c r="AC23" s="141"/>
      <c r="AD23" s="141"/>
      <c r="AE23" s="141"/>
    </row>
    <row r="24" spans="2:31">
      <c r="B24" s="227" t="s">
        <v>275</v>
      </c>
      <c r="C24" s="141"/>
      <c r="D24" s="141"/>
      <c r="E24" s="141"/>
      <c r="F24" s="141"/>
      <c r="G24" s="141"/>
      <c r="H24" s="141"/>
      <c r="I24" s="141"/>
      <c r="J24" s="215"/>
      <c r="K24" s="141"/>
      <c r="L24" s="141"/>
      <c r="M24" s="141"/>
      <c r="N24" s="141"/>
      <c r="O24" s="141"/>
      <c r="P24" s="141"/>
      <c r="Q24" s="141"/>
      <c r="R24" s="141"/>
      <c r="S24" s="141"/>
      <c r="T24" s="141"/>
      <c r="U24" s="141"/>
      <c r="V24" s="141"/>
      <c r="W24" s="141"/>
      <c r="X24" s="141"/>
      <c r="Y24" s="141"/>
      <c r="Z24" s="141"/>
      <c r="AA24" s="141"/>
      <c r="AB24" s="141"/>
      <c r="AC24" s="141"/>
      <c r="AD24" s="141"/>
      <c r="AE24" s="141"/>
    </row>
    <row r="25" spans="2:31">
      <c r="B25" s="76" t="s">
        <v>270</v>
      </c>
      <c r="C25" s="223">
        <f>C16/C$20</f>
        <v>0.66901760267412436</v>
      </c>
      <c r="D25" s="223">
        <f t="shared" ref="D25:G25" si="27">D16/D$20</f>
        <v>0.635144731084896</v>
      </c>
      <c r="E25" s="223">
        <f t="shared" si="27"/>
        <v>0.61714530824646796</v>
      </c>
      <c r="F25" s="223">
        <f t="shared" si="27"/>
        <v>0.68561013232298473</v>
      </c>
      <c r="G25" s="223">
        <f t="shared" si="27"/>
        <v>0.62978199568506077</v>
      </c>
      <c r="H25" s="223">
        <f t="shared" ref="H25:I25" si="28">H16/H$20</f>
        <v>0.65799796510440756</v>
      </c>
      <c r="I25" s="223">
        <f t="shared" si="28"/>
        <v>0.66449171265001095</v>
      </c>
      <c r="J25" s="215"/>
      <c r="K25" s="223">
        <f t="shared" ref="K25:AC25" si="29">K16/K$20</f>
        <v>0.69029712206031946</v>
      </c>
      <c r="L25" s="223">
        <f t="shared" si="29"/>
        <v>0.67327550499820676</v>
      </c>
      <c r="M25" s="223">
        <f t="shared" si="29"/>
        <v>0.6083380296946953</v>
      </c>
      <c r="N25" s="223">
        <f t="shared" si="29"/>
        <v>0.59544756659898723</v>
      </c>
      <c r="O25" s="223">
        <f t="shared" si="29"/>
        <v>0.65454286713036147</v>
      </c>
      <c r="P25" s="223">
        <f t="shared" si="29"/>
        <v>0.58779136984361469</v>
      </c>
      <c r="Q25" s="223">
        <f t="shared" si="29"/>
        <v>0.55447422055842699</v>
      </c>
      <c r="R25" s="223">
        <f t="shared" si="29"/>
        <v>0.66018782737516646</v>
      </c>
      <c r="S25" s="223">
        <f t="shared" si="29"/>
        <v>0.66638985332054101</v>
      </c>
      <c r="T25" s="223">
        <f t="shared" si="29"/>
        <v>0.65543422861936562</v>
      </c>
      <c r="U25" s="223">
        <f t="shared" si="29"/>
        <v>0.58040324870906657</v>
      </c>
      <c r="V25" s="223">
        <f t="shared" si="29"/>
        <v>0.86660912421828074</v>
      </c>
      <c r="W25" s="223">
        <f t="shared" si="29"/>
        <v>0.6727353296506895</v>
      </c>
      <c r="X25" s="223">
        <f t="shared" si="29"/>
        <v>0.67782049624093688</v>
      </c>
      <c r="Y25" s="223">
        <f t="shared" si="29"/>
        <v>0.64043168349934154</v>
      </c>
      <c r="Z25" s="223">
        <f t="shared" si="29"/>
        <v>0.56332243765539791</v>
      </c>
      <c r="AA25" s="223">
        <f t="shared" si="29"/>
        <v>0.63080976334148231</v>
      </c>
      <c r="AB25" s="223">
        <f t="shared" si="29"/>
        <v>0.67121388479346111</v>
      </c>
      <c r="AC25" s="223">
        <f t="shared" si="29"/>
        <v>0.65911843643077517</v>
      </c>
      <c r="AD25" s="223">
        <f t="shared" ref="AD25:AE25" si="30">AD16/AD$20</f>
        <v>0.67420222428204535</v>
      </c>
      <c r="AE25" s="223">
        <f t="shared" si="30"/>
        <v>0.65394112682553163</v>
      </c>
    </row>
    <row r="26" spans="2:31">
      <c r="B26" s="76" t="s">
        <v>271</v>
      </c>
      <c r="C26" s="223">
        <f t="shared" ref="C26:G28" si="31">C17/C$20</f>
        <v>0.2168551874779871</v>
      </c>
      <c r="D26" s="223">
        <f t="shared" si="31"/>
        <v>0.27283110492208523</v>
      </c>
      <c r="E26" s="223">
        <f t="shared" si="31"/>
        <v>0.28861594207154967</v>
      </c>
      <c r="F26" s="223">
        <f t="shared" si="31"/>
        <v>0.22859931542597384</v>
      </c>
      <c r="G26" s="223">
        <f t="shared" si="31"/>
        <v>0.29268336271985329</v>
      </c>
      <c r="H26" s="223">
        <f t="shared" ref="H26:I26" si="32">H17/H$20</f>
        <v>0.26817739910006455</v>
      </c>
      <c r="I26" s="223">
        <f t="shared" si="32"/>
        <v>0.26215129242184332</v>
      </c>
      <c r="J26" s="215"/>
      <c r="K26" s="223">
        <f t="shared" ref="K26:AC26" si="33">K17/K$20</f>
        <v>0.21884334357691837</v>
      </c>
      <c r="L26" s="223">
        <f t="shared" si="33"/>
        <v>0.20404459418207505</v>
      </c>
      <c r="M26" s="223">
        <f t="shared" si="33"/>
        <v>0.29739862479508361</v>
      </c>
      <c r="N26" s="223">
        <f t="shared" si="33"/>
        <v>0.33093775630997857</v>
      </c>
      <c r="O26" s="223">
        <f t="shared" si="33"/>
        <v>0.26917581710388011</v>
      </c>
      <c r="P26" s="223">
        <f t="shared" si="33"/>
        <v>0.29344313594784754</v>
      </c>
      <c r="Q26" s="223">
        <f t="shared" si="33"/>
        <v>0.34058397865249374</v>
      </c>
      <c r="R26" s="223">
        <f t="shared" si="33"/>
        <v>0.25656007480017129</v>
      </c>
      <c r="S26" s="223">
        <f t="shared" si="33"/>
        <v>0.26964286174414681</v>
      </c>
      <c r="T26" s="223">
        <f t="shared" si="33"/>
        <v>0.24817386085404075</v>
      </c>
      <c r="U26" s="223">
        <f t="shared" si="33"/>
        <v>0.33112892792439236</v>
      </c>
      <c r="V26" s="223">
        <f t="shared" si="33"/>
        <v>3.3543309027442389E-2</v>
      </c>
      <c r="W26" s="223">
        <f t="shared" si="33"/>
        <v>0.26038539574043618</v>
      </c>
      <c r="X26" s="223">
        <f t="shared" si="33"/>
        <v>0.21157599812432676</v>
      </c>
      <c r="Y26" s="223">
        <f t="shared" si="33"/>
        <v>0.26708909027138961</v>
      </c>
      <c r="Z26" s="223">
        <f t="shared" si="33"/>
        <v>0.37913159558319326</v>
      </c>
      <c r="AA26" s="223">
        <f t="shared" si="33"/>
        <v>0.31312109890962186</v>
      </c>
      <c r="AB26" s="223">
        <f t="shared" si="33"/>
        <v>0.22128760249346888</v>
      </c>
      <c r="AC26" s="223">
        <f t="shared" si="33"/>
        <v>0.24593442641110777</v>
      </c>
      <c r="AD26" s="223">
        <f t="shared" ref="AD26:AE26" si="34">AD17/AD$20</f>
        <v>0.27414496940431482</v>
      </c>
      <c r="AE26" s="223">
        <f t="shared" si="34"/>
        <v>0.2916111439576955</v>
      </c>
    </row>
    <row r="27" spans="2:31">
      <c r="B27" s="76" t="s">
        <v>272</v>
      </c>
      <c r="C27" s="223">
        <f t="shared" si="31"/>
        <v>0.12662099975833183</v>
      </c>
      <c r="D27" s="223">
        <f t="shared" si="31"/>
        <v>0.10529189516189921</v>
      </c>
      <c r="E27" s="223">
        <f t="shared" si="31"/>
        <v>0.10929633155043285</v>
      </c>
      <c r="F27" s="223">
        <f t="shared" si="31"/>
        <v>9.8546080778188938E-2</v>
      </c>
      <c r="G27" s="223">
        <f t="shared" si="31"/>
        <v>9.7308127555755353E-2</v>
      </c>
      <c r="H27" s="223">
        <f t="shared" ref="H27:I27" si="35">H18/H$20</f>
        <v>9.5025626817379971E-2</v>
      </c>
      <c r="I27" s="223">
        <f t="shared" si="35"/>
        <v>9.3486999448995897E-2</v>
      </c>
      <c r="J27" s="215"/>
      <c r="K27" s="223">
        <f t="shared" ref="K27:AC27" si="36">K18/K$20</f>
        <v>9.9015114335725199E-2</v>
      </c>
      <c r="L27" s="223">
        <f t="shared" si="36"/>
        <v>0.1378350839147599</v>
      </c>
      <c r="M27" s="223">
        <f t="shared" si="36"/>
        <v>0.11376830511996139</v>
      </c>
      <c r="N27" s="223">
        <f t="shared" si="36"/>
        <v>8.4621668627336971E-2</v>
      </c>
      <c r="O27" s="223">
        <f t="shared" si="36"/>
        <v>9.1375879580532796E-2</v>
      </c>
      <c r="P27" s="223">
        <f t="shared" si="36"/>
        <v>0.13539322658116631</v>
      </c>
      <c r="Q27" s="223">
        <f t="shared" si="36"/>
        <v>0.12409299535407478</v>
      </c>
      <c r="R27" s="223">
        <f t="shared" si="36"/>
        <v>9.348994214266608E-2</v>
      </c>
      <c r="S27" s="223">
        <f t="shared" si="36"/>
        <v>7.1918758875687189E-2</v>
      </c>
      <c r="T27" s="223">
        <f t="shared" si="36"/>
        <v>0.11209442146978907</v>
      </c>
      <c r="U27" s="223">
        <f t="shared" si="36"/>
        <v>0.10540561125868364</v>
      </c>
      <c r="V27" s="223">
        <f t="shared" si="36"/>
        <v>0.11077387218517386</v>
      </c>
      <c r="W27" s="223">
        <f t="shared" si="36"/>
        <v>7.8771207951857478E-2</v>
      </c>
      <c r="X27" s="223">
        <f t="shared" si="36"/>
        <v>0.13747399054784235</v>
      </c>
      <c r="Y27" s="223">
        <f t="shared" si="36"/>
        <v>0.1123033200317456</v>
      </c>
      <c r="Z27" s="223">
        <f t="shared" si="36"/>
        <v>7.9512201620087014E-2</v>
      </c>
      <c r="AA27" s="223">
        <f t="shared" si="36"/>
        <v>7.3405491967852857E-2</v>
      </c>
      <c r="AB27" s="223">
        <f t="shared" si="36"/>
        <v>0.13181931834837865</v>
      </c>
      <c r="AC27" s="223">
        <f t="shared" si="36"/>
        <v>0.11537721001206611</v>
      </c>
      <c r="AD27" s="223">
        <f t="shared" ref="AD27:AE27" si="37">AD18/AD$20</f>
        <v>7.503155055804496E-2</v>
      </c>
      <c r="AE27" s="223">
        <f t="shared" si="37"/>
        <v>6.798791728201567E-2</v>
      </c>
    </row>
    <row r="28" spans="2:31">
      <c r="B28" s="76" t="s">
        <v>273</v>
      </c>
      <c r="C28" s="223">
        <f t="shared" si="31"/>
        <v>-1.2493789910443224E-2</v>
      </c>
      <c r="D28" s="223">
        <f t="shared" si="31"/>
        <v>-1.3267731168880449E-2</v>
      </c>
      <c r="E28" s="223">
        <f t="shared" si="31"/>
        <v>-1.5057581868450475E-2</v>
      </c>
      <c r="F28" s="223">
        <f t="shared" si="31"/>
        <v>-1.2755528527147423E-2</v>
      </c>
      <c r="G28" s="223">
        <f t="shared" si="31"/>
        <v>-1.9773485960669298E-2</v>
      </c>
      <c r="H28" s="223">
        <f t="shared" ref="H28:I28" si="38">H19/H$20</f>
        <v>-2.1200991021851964E-2</v>
      </c>
      <c r="I28" s="223">
        <f t="shared" si="38"/>
        <v>-2.0130004520850085E-2</v>
      </c>
      <c r="J28" s="215"/>
      <c r="K28" s="223">
        <f t="shared" ref="K28:AC28" si="39">K19/K$20</f>
        <v>-8.1555799729630205E-3</v>
      </c>
      <c r="L28" s="223">
        <f t="shared" si="39"/>
        <v>-1.5155183095041757E-2</v>
      </c>
      <c r="M28" s="223">
        <f t="shared" si="39"/>
        <v>-1.9504959609740233E-2</v>
      </c>
      <c r="N28" s="223">
        <f t="shared" si="39"/>
        <v>-1.1006991536302815E-2</v>
      </c>
      <c r="O28" s="223">
        <f t="shared" si="39"/>
        <v>-1.5094563814774382E-2</v>
      </c>
      <c r="P28" s="223">
        <f t="shared" si="39"/>
        <v>-1.6627732372628549E-2</v>
      </c>
      <c r="Q28" s="223">
        <f t="shared" si="39"/>
        <v>-1.9151194564995498E-2</v>
      </c>
      <c r="R28" s="223">
        <f t="shared" si="39"/>
        <v>-1.0237844318003776E-2</v>
      </c>
      <c r="S28" s="223">
        <f t="shared" si="39"/>
        <v>-7.9514739403750735E-3</v>
      </c>
      <c r="T28" s="223">
        <f t="shared" si="39"/>
        <v>-1.5702510943195483E-2</v>
      </c>
      <c r="U28" s="223">
        <f t="shared" si="39"/>
        <v>-1.6937787892142519E-2</v>
      </c>
      <c r="V28" s="223">
        <f t="shared" si="39"/>
        <v>-1.0926305430897005E-2</v>
      </c>
      <c r="W28" s="223">
        <f t="shared" si="39"/>
        <v>-1.1891933342983092E-2</v>
      </c>
      <c r="X28" s="223">
        <f t="shared" si="39"/>
        <v>-2.6870484913105834E-2</v>
      </c>
      <c r="Y28" s="223">
        <f t="shared" si="39"/>
        <v>-1.9824093802476763E-2</v>
      </c>
      <c r="Z28" s="223">
        <f t="shared" si="39"/>
        <v>-2.196623485867821E-2</v>
      </c>
      <c r="AA28" s="223">
        <f t="shared" si="39"/>
        <v>-1.7336354218957104E-2</v>
      </c>
      <c r="AB28" s="223">
        <f t="shared" si="39"/>
        <v>-2.4320805635308623E-2</v>
      </c>
      <c r="AC28" s="223">
        <f t="shared" si="39"/>
        <v>-2.0430072853949089E-2</v>
      </c>
      <c r="AD28" s="223">
        <f t="shared" ref="AD28:AE28" si="40">AD19/AD$20</f>
        <v>-2.3378744244405138E-2</v>
      </c>
      <c r="AE28" s="223">
        <f t="shared" si="40"/>
        <v>-1.3540188065242891E-2</v>
      </c>
    </row>
    <row r="29" spans="2:31" s="80" customFormat="1">
      <c r="B29" s="80" t="s">
        <v>33</v>
      </c>
      <c r="C29" s="224">
        <f>SUM(C25:C28)</f>
        <v>1.0000000000000002</v>
      </c>
      <c r="D29" s="224">
        <f t="shared" ref="D29:K29" si="41">SUM(D25:D28)</f>
        <v>1</v>
      </c>
      <c r="E29" s="224">
        <f t="shared" si="41"/>
        <v>1.0000000000000002</v>
      </c>
      <c r="F29" s="224">
        <f t="shared" si="41"/>
        <v>1.0000000000000002</v>
      </c>
      <c r="G29" s="224">
        <f t="shared" si="41"/>
        <v>1</v>
      </c>
      <c r="H29" s="224">
        <f t="shared" ref="H29:I29" si="42">SUM(H25:H28)</f>
        <v>1</v>
      </c>
      <c r="I29" s="224">
        <f t="shared" si="42"/>
        <v>1</v>
      </c>
      <c r="J29" s="225"/>
      <c r="K29" s="224">
        <f t="shared" si="41"/>
        <v>1</v>
      </c>
      <c r="L29" s="224">
        <f t="shared" ref="L29" si="43">SUM(L25:L28)</f>
        <v>1</v>
      </c>
      <c r="M29" s="224">
        <f t="shared" ref="M29" si="44">SUM(M25:M28)</f>
        <v>1</v>
      </c>
      <c r="N29" s="224">
        <f t="shared" ref="N29" si="45">SUM(N25:N28)</f>
        <v>0.99999999999999989</v>
      </c>
      <c r="O29" s="224">
        <f t="shared" ref="O29" si="46">SUM(O25:O28)</f>
        <v>1</v>
      </c>
      <c r="P29" s="224">
        <f t="shared" ref="P29" si="47">SUM(P25:P28)</f>
        <v>0.99999999999999989</v>
      </c>
      <c r="Q29" s="224">
        <f t="shared" ref="Q29" si="48">SUM(Q25:Q28)</f>
        <v>1</v>
      </c>
      <c r="R29" s="224">
        <f t="shared" ref="R29" si="49">SUM(R25:R28)</f>
        <v>1</v>
      </c>
      <c r="S29" s="224">
        <f t="shared" ref="S29" si="50">SUM(S25:S28)</f>
        <v>0.99999999999999989</v>
      </c>
      <c r="T29" s="224">
        <f t="shared" ref="T29" si="51">SUM(T25:T28)</f>
        <v>0.99999999999999989</v>
      </c>
      <c r="U29" s="224">
        <f t="shared" ref="U29" si="52">SUM(U25:U28)</f>
        <v>1</v>
      </c>
      <c r="V29" s="224">
        <f t="shared" ref="V29" si="53">SUM(V25:V28)</f>
        <v>1</v>
      </c>
      <c r="W29" s="224">
        <f t="shared" ref="W29" si="54">SUM(W25:W28)</f>
        <v>1.0000000000000002</v>
      </c>
      <c r="X29" s="224">
        <f t="shared" ref="X29" si="55">SUM(X25:X28)</f>
        <v>1.0000000000000002</v>
      </c>
      <c r="Y29" s="224">
        <f t="shared" ref="Y29" si="56">SUM(Y25:Y28)</f>
        <v>1</v>
      </c>
      <c r="Z29" s="224">
        <f t="shared" ref="Z29" si="57">SUM(Z25:Z28)</f>
        <v>1</v>
      </c>
      <c r="AA29" s="224">
        <f t="shared" ref="AA29" si="58">SUM(AA25:AA28)</f>
        <v>1</v>
      </c>
      <c r="AB29" s="224">
        <f t="shared" ref="AB29" si="59">SUM(AB25:AB28)</f>
        <v>1</v>
      </c>
      <c r="AC29" s="224">
        <f t="shared" ref="AC29:AE29" si="60">SUM(AC25:AC28)</f>
        <v>1</v>
      </c>
      <c r="AD29" s="224">
        <f t="shared" si="60"/>
        <v>1</v>
      </c>
      <c r="AE29" s="224">
        <f t="shared" si="60"/>
        <v>0.99999999999999989</v>
      </c>
    </row>
    <row r="30" spans="2:31">
      <c r="B30" s="140"/>
    </row>
    <row r="31" spans="2:31">
      <c r="B31" s="140"/>
    </row>
    <row r="32" spans="2:31">
      <c r="B32" s="227" t="s">
        <v>276</v>
      </c>
    </row>
    <row r="33" spans="2:31">
      <c r="B33" s="76" t="s">
        <v>270</v>
      </c>
      <c r="C33" s="226"/>
      <c r="D33" s="223">
        <f>D16/C16-1</f>
        <v>0.26987372420725197</v>
      </c>
      <c r="E33" s="223">
        <f t="shared" ref="E33:I33" si="61">E16/D16-1</f>
        <v>6.0322104098843088E-2</v>
      </c>
      <c r="F33" s="223">
        <f t="shared" si="61"/>
        <v>5.1167962956064628E-2</v>
      </c>
      <c r="G33" s="223">
        <f t="shared" si="61"/>
        <v>3.9950865465649299E-2</v>
      </c>
      <c r="H33" s="223">
        <f t="shared" si="61"/>
        <v>4.6622529277070113E-2</v>
      </c>
      <c r="I33" s="223">
        <f t="shared" si="61"/>
        <v>1.0509199631167254E-2</v>
      </c>
      <c r="K33" s="228"/>
      <c r="L33" s="228"/>
      <c r="M33" s="228"/>
      <c r="N33" s="228"/>
      <c r="O33" s="223">
        <f t="shared" ref="O33:AE37" si="62">O16/K16-1</f>
        <v>0.16597265515893289</v>
      </c>
      <c r="P33" s="223">
        <f t="shared" si="62"/>
        <v>3.743992378307337E-2</v>
      </c>
      <c r="Q33" s="223">
        <f t="shared" si="62"/>
        <v>1.2902069044884446E-3</v>
      </c>
      <c r="R33" s="223">
        <f t="shared" si="62"/>
        <v>3.5937788203888266E-2</v>
      </c>
      <c r="S33" s="223">
        <f t="shared" si="62"/>
        <v>6.3979388444788343E-2</v>
      </c>
      <c r="T33" s="223">
        <f t="shared" si="62"/>
        <v>0.14650306818229009</v>
      </c>
      <c r="U33" s="223">
        <f t="shared" si="62"/>
        <v>5.0697775776256115E-2</v>
      </c>
      <c r="V33" s="223">
        <f t="shared" si="62"/>
        <v>-2.1757521157786175E-2</v>
      </c>
      <c r="W33" s="223">
        <f t="shared" si="62"/>
        <v>2.8819811995809186E-2</v>
      </c>
      <c r="X33" s="223">
        <f t="shared" si="62"/>
        <v>-5.5170433351113268E-2</v>
      </c>
      <c r="Y33" s="223">
        <f t="shared" si="62"/>
        <v>6.9915559662787397E-2</v>
      </c>
      <c r="Z33" s="223">
        <f t="shared" si="62"/>
        <v>9.8974443740777795E-2</v>
      </c>
      <c r="AA33" s="223">
        <f t="shared" si="62"/>
        <v>2.7731717000182288E-2</v>
      </c>
      <c r="AB33" s="223">
        <f t="shared" si="62"/>
        <v>9.4581116944150834E-2</v>
      </c>
      <c r="AC33" s="223">
        <f>AC16/Y16-1</f>
        <v>1.805624402589534E-2</v>
      </c>
      <c r="AD33" s="223">
        <f t="shared" si="62"/>
        <v>5.5070923024322704E-2</v>
      </c>
      <c r="AE33" s="223">
        <f t="shared" si="62"/>
        <v>3.9008072810503558E-2</v>
      </c>
    </row>
    <row r="34" spans="2:31">
      <c r="B34" s="76" t="s">
        <v>271</v>
      </c>
      <c r="C34" s="226"/>
      <c r="D34" s="223">
        <f t="shared" ref="D34:I37" si="63">D17/C17-1</f>
        <v>0.68286565964528778</v>
      </c>
      <c r="E34" s="223">
        <f t="shared" si="63"/>
        <v>0.15438192339256185</v>
      </c>
      <c r="F34" s="223">
        <f t="shared" si="63"/>
        <v>-0.25055989496048292</v>
      </c>
      <c r="G34" s="223">
        <f t="shared" si="63"/>
        <v>0.44951568017863464</v>
      </c>
      <c r="H34" s="223">
        <f t="shared" si="63"/>
        <v>-8.2132679521252028E-2</v>
      </c>
      <c r="I34" s="223">
        <f t="shared" si="63"/>
        <v>-2.1850849803065397E-2</v>
      </c>
      <c r="K34" s="228"/>
      <c r="L34" s="228"/>
      <c r="M34" s="228"/>
      <c r="N34" s="228"/>
      <c r="O34" s="223">
        <f t="shared" si="62"/>
        <v>0.51247788112757298</v>
      </c>
      <c r="P34" s="223">
        <f t="shared" si="62"/>
        <v>0.70895815072768675</v>
      </c>
      <c r="Q34" s="223">
        <f t="shared" si="62"/>
        <v>0.25808167025687845</v>
      </c>
      <c r="R34" s="223">
        <f t="shared" si="62"/>
        <v>-0.27564336437520609</v>
      </c>
      <c r="S34" s="223">
        <f t="shared" si="62"/>
        <v>4.6877392491826875E-2</v>
      </c>
      <c r="T34" s="223">
        <f t="shared" si="62"/>
        <v>-0.13043632205165834</v>
      </c>
      <c r="U34" s="223">
        <f t="shared" si="62"/>
        <v>-2.4106903458366413E-2</v>
      </c>
      <c r="V34" s="223">
        <f t="shared" si="62"/>
        <v>-0.90256665727188468</v>
      </c>
      <c r="W34" s="223">
        <f t="shared" si="62"/>
        <v>-1.5872985831711706E-2</v>
      </c>
      <c r="X34" s="223">
        <f t="shared" si="62"/>
        <v>-0.22110618157972117</v>
      </c>
      <c r="Y34" s="223">
        <f t="shared" si="62"/>
        <v>-0.2178941133202289</v>
      </c>
      <c r="Z34" s="223">
        <f t="shared" si="62"/>
        <v>18.108996277951597</v>
      </c>
      <c r="AA34" s="223">
        <f t="shared" si="62"/>
        <v>0.31801787184976371</v>
      </c>
      <c r="AB34" s="223">
        <f t="shared" si="62"/>
        <v>0.15609201655706695</v>
      </c>
      <c r="AC34" s="223">
        <f t="shared" ref="AC34:AC37" si="64">AC17/Y17-1</f>
        <v>-8.9155376539302389E-2</v>
      </c>
      <c r="AD34" s="223">
        <f t="shared" si="62"/>
        <v>-0.36256071446174643</v>
      </c>
      <c r="AE34" s="223">
        <f t="shared" si="62"/>
        <v>-6.6594273042641428E-2</v>
      </c>
    </row>
    <row r="35" spans="2:31">
      <c r="B35" s="76" t="s">
        <v>272</v>
      </c>
      <c r="C35" s="226"/>
      <c r="D35" s="223">
        <f t="shared" si="63"/>
        <v>0.11228117369908408</v>
      </c>
      <c r="E35" s="223">
        <f t="shared" si="63"/>
        <v>0.13274910008688745</v>
      </c>
      <c r="F35" s="223">
        <f t="shared" si="63"/>
        <v>-0.14686827510609091</v>
      </c>
      <c r="G35" s="223">
        <f t="shared" si="63"/>
        <v>0.11791701421970591</v>
      </c>
      <c r="H35" s="223">
        <f t="shared" si="63"/>
        <v>-2.1755541276037405E-2</v>
      </c>
      <c r="I35" s="223">
        <f t="shared" si="63"/>
        <v>-1.5567980209786447E-2</v>
      </c>
      <c r="K35" s="228"/>
      <c r="L35" s="228"/>
      <c r="M35" s="228"/>
      <c r="N35" s="228"/>
      <c r="O35" s="223">
        <f t="shared" si="62"/>
        <v>0.13479237959910195</v>
      </c>
      <c r="P35" s="223">
        <f t="shared" si="62"/>
        <v>0.1672657135863802</v>
      </c>
      <c r="Q35" s="223">
        <f t="shared" si="62"/>
        <v>0.19825584420237186</v>
      </c>
      <c r="R35" s="223">
        <f t="shared" si="62"/>
        <v>3.2269257850095157E-2</v>
      </c>
      <c r="S35" s="223">
        <f t="shared" si="62"/>
        <v>-0.17746659034697554</v>
      </c>
      <c r="T35" s="223">
        <f t="shared" si="62"/>
        <v>-0.14875147840362846</v>
      </c>
      <c r="U35" s="223">
        <f t="shared" si="62"/>
        <v>-0.14739907248062689</v>
      </c>
      <c r="V35" s="223">
        <f t="shared" si="62"/>
        <v>-0.11699488600380592</v>
      </c>
      <c r="W35" s="223">
        <f t="shared" si="62"/>
        <v>0.11621737925297237</v>
      </c>
      <c r="X35" s="223">
        <f t="shared" si="62"/>
        <v>0.12048084206976406</v>
      </c>
      <c r="Y35" s="223">
        <f t="shared" si="62"/>
        <v>3.3083424059495714E-2</v>
      </c>
      <c r="Z35" s="223">
        <f t="shared" si="62"/>
        <v>0.21352923202019958</v>
      </c>
      <c r="AA35" s="223">
        <f t="shared" si="62"/>
        <v>2.1378324800195747E-2</v>
      </c>
      <c r="AB35" s="223">
        <f t="shared" si="62"/>
        <v>5.9888644308919048E-2</v>
      </c>
      <c r="AC35" s="223">
        <f t="shared" si="64"/>
        <v>1.6268720837855133E-2</v>
      </c>
      <c r="AD35" s="223">
        <f t="shared" si="62"/>
        <v>-0.16812386398668389</v>
      </c>
      <c r="AE35" s="223">
        <f t="shared" si="62"/>
        <v>-7.1713871519931027E-2</v>
      </c>
    </row>
    <row r="36" spans="2:31">
      <c r="B36" s="76" t="s">
        <v>273</v>
      </c>
      <c r="C36" s="226"/>
      <c r="D36" s="223">
        <f t="shared" si="63"/>
        <v>0.42045619932679146</v>
      </c>
      <c r="E36" s="223">
        <f t="shared" si="63"/>
        <v>0.23845905529743661</v>
      </c>
      <c r="F36" s="223">
        <f t="shared" si="63"/>
        <v>-0.19845936201840331</v>
      </c>
      <c r="G36" s="223">
        <f t="shared" si="63"/>
        <v>0.75503017789714066</v>
      </c>
      <c r="H36" s="223">
        <f t="shared" si="63"/>
        <v>7.4060367377841496E-2</v>
      </c>
      <c r="I36" s="223">
        <f t="shared" si="63"/>
        <v>-4.9913901552877893E-2</v>
      </c>
      <c r="K36" s="228"/>
      <c r="L36" s="228"/>
      <c r="M36" s="228"/>
      <c r="N36" s="228"/>
      <c r="O36" s="223">
        <f t="shared" si="62"/>
        <v>1.2758941034408235</v>
      </c>
      <c r="P36" s="223">
        <f t="shared" si="62"/>
        <v>0.30378026860227969</v>
      </c>
      <c r="Q36" s="223">
        <f t="shared" si="62"/>
        <v>7.8634704758630214E-2</v>
      </c>
      <c r="R36" s="223">
        <f t="shared" si="62"/>
        <v>-0.13094037033501327</v>
      </c>
      <c r="S36" s="223">
        <f t="shared" si="62"/>
        <v>-0.44948392383488822</v>
      </c>
      <c r="T36" s="223">
        <f t="shared" si="62"/>
        <v>-2.903094778889026E-2</v>
      </c>
      <c r="U36" s="223">
        <f t="shared" si="62"/>
        <v>-0.11225106728778322</v>
      </c>
      <c r="V36" s="223">
        <f t="shared" si="62"/>
        <v>-0.20465493970216786</v>
      </c>
      <c r="W36" s="223">
        <f t="shared" si="62"/>
        <v>0.52415201647251441</v>
      </c>
      <c r="X36" s="223">
        <f t="shared" si="62"/>
        <v>0.56341507421576065</v>
      </c>
      <c r="Y36" s="223">
        <f t="shared" si="62"/>
        <v>0.13486233620500876</v>
      </c>
      <c r="Z36" s="223">
        <f t="shared" si="62"/>
        <v>2.3988819950855098</v>
      </c>
      <c r="AA36" s="223">
        <f t="shared" si="62"/>
        <v>0.59783119102686277</v>
      </c>
      <c r="AB36" s="223">
        <f t="shared" si="62"/>
        <v>4.7022952010000729E-4</v>
      </c>
      <c r="AC36" s="223">
        <f t="shared" si="64"/>
        <v>1.9430664086841354E-2</v>
      </c>
      <c r="AD36" s="223">
        <f t="shared" si="62"/>
        <v>-6.1759705551124422E-2</v>
      </c>
      <c r="AE36" s="223">
        <f t="shared" si="62"/>
        <v>-0.21720940046462089</v>
      </c>
    </row>
    <row r="37" spans="2:31" s="80" customFormat="1">
      <c r="B37" s="80" t="s">
        <v>33</v>
      </c>
      <c r="C37" s="227"/>
      <c r="D37" s="224">
        <f t="shared" si="63"/>
        <v>0.3375972956854163</v>
      </c>
      <c r="E37" s="224">
        <f t="shared" si="63"/>
        <v>9.1247051014237801E-2</v>
      </c>
      <c r="F37" s="224">
        <f t="shared" si="63"/>
        <v>-5.3801357457587073E-2</v>
      </c>
      <c r="G37" s="224">
        <f t="shared" si="63"/>
        <v>0.13213914555579231</v>
      </c>
      <c r="H37" s="224">
        <f t="shared" si="63"/>
        <v>1.7417380804054527E-3</v>
      </c>
      <c r="I37" s="224">
        <f t="shared" si="63"/>
        <v>6.3399500484440097E-4</v>
      </c>
      <c r="J37" s="76"/>
      <c r="K37" s="229"/>
      <c r="L37" s="229"/>
      <c r="M37" s="229"/>
      <c r="N37" s="229"/>
      <c r="O37" s="224">
        <f t="shared" si="62"/>
        <v>0.22966364569203979</v>
      </c>
      <c r="P37" s="224">
        <f t="shared" si="62"/>
        <v>0.18831769982636071</v>
      </c>
      <c r="Q37" s="224">
        <f t="shared" si="62"/>
        <v>9.8559480380179032E-2</v>
      </c>
      <c r="R37" s="224">
        <f t="shared" si="62"/>
        <v>-6.564979002043092E-2</v>
      </c>
      <c r="S37" s="224">
        <f t="shared" si="62"/>
        <v>4.5064110760513643E-2</v>
      </c>
      <c r="T37" s="224">
        <f t="shared" si="62"/>
        <v>2.8180371959390271E-2</v>
      </c>
      <c r="U37" s="224">
        <f t="shared" si="62"/>
        <v>3.7587342279667979E-3</v>
      </c>
      <c r="V37" s="224">
        <f t="shared" si="62"/>
        <v>-0.25476923943594565</v>
      </c>
      <c r="W37" s="224">
        <f t="shared" si="62"/>
        <v>1.9115621540408245E-2</v>
      </c>
      <c r="X37" s="224">
        <f t="shared" si="62"/>
        <v>-8.6375166245848289E-2</v>
      </c>
      <c r="Y37" s="224">
        <f t="shared" si="62"/>
        <v>-3.0368917290926944E-2</v>
      </c>
      <c r="Z37" s="224">
        <f t="shared" si="62"/>
        <v>0.69065035682294162</v>
      </c>
      <c r="AA37" s="224">
        <f t="shared" si="62"/>
        <v>9.6037942986480385E-2</v>
      </c>
      <c r="AB37" s="224">
        <f t="shared" si="62"/>
        <v>0.1053548394508288</v>
      </c>
      <c r="AC37" s="224">
        <f t="shared" si="64"/>
        <v>-1.0806801598247429E-2</v>
      </c>
      <c r="AD37" s="224">
        <f t="shared" si="62"/>
        <v>-0.11844680594118873</v>
      </c>
      <c r="AE37" s="224">
        <f t="shared" si="62"/>
        <v>2.2560283081038968E-3</v>
      </c>
    </row>
    <row r="38" spans="2:31">
      <c r="B38" s="140"/>
    </row>
    <row r="39" spans="2:31">
      <c r="B39" s="140"/>
    </row>
    <row r="40" spans="2:31">
      <c r="B40" s="291" t="s">
        <v>277</v>
      </c>
      <c r="C40" s="292"/>
      <c r="D40" s="292"/>
      <c r="E40" s="292"/>
      <c r="F40" s="292"/>
      <c r="G40" s="292"/>
      <c r="H40" s="292"/>
      <c r="I40" s="292"/>
      <c r="K40" s="292"/>
      <c r="L40" s="292"/>
      <c r="M40" s="292"/>
      <c r="N40" s="293"/>
      <c r="O40" s="292"/>
      <c r="P40" s="292"/>
      <c r="Q40" s="292"/>
      <c r="R40" s="292"/>
      <c r="S40" s="292"/>
      <c r="T40" s="292"/>
      <c r="U40" s="292"/>
      <c r="V40" s="292"/>
      <c r="W40" s="292"/>
      <c r="X40" s="292"/>
      <c r="Y40" s="292"/>
      <c r="Z40" s="292"/>
      <c r="AA40" s="292"/>
      <c r="AB40" s="292"/>
      <c r="AC40" s="292"/>
      <c r="AD40" s="292"/>
      <c r="AE40" s="292"/>
    </row>
    <row r="41" spans="2:31">
      <c r="B41" s="76" t="s">
        <v>270</v>
      </c>
      <c r="C41" s="138">
        <v>244767.95077299999</v>
      </c>
      <c r="D41" s="138">
        <v>334616.90071811777</v>
      </c>
      <c r="E41" s="138">
        <v>227005.8140408732</v>
      </c>
      <c r="F41" s="138">
        <v>283409.47024114698</v>
      </c>
      <c r="G41" s="138">
        <v>290079.50099999999</v>
      </c>
      <c r="H41" s="138">
        <v>312773.52299999999</v>
      </c>
      <c r="I41" s="288">
        <f t="shared" ref="I41:I45" si="65">SUM(AB41:AE41)</f>
        <v>325730.75</v>
      </c>
      <c r="K41" s="138">
        <v>103945.89964800001</v>
      </c>
      <c r="L41" s="138">
        <v>57934.894349447313</v>
      </c>
      <c r="M41" s="138">
        <v>77634.790181540258</v>
      </c>
      <c r="N41" s="139">
        <f t="shared" ref="N41:N44" si="66">D41-SUM(K41:M41)</f>
        <v>95101.316539130174</v>
      </c>
      <c r="O41" s="138">
        <v>93444.911238648405</v>
      </c>
      <c r="P41" s="138">
        <v>23711.451700483842</v>
      </c>
      <c r="Q41" s="138">
        <v>37946.769523014067</v>
      </c>
      <c r="R41" s="139">
        <f t="shared" ref="R41:R44" si="67">E41-SUM(O41:Q41)</f>
        <v>71902.681578726886</v>
      </c>
      <c r="S41" s="138">
        <v>99760.923292450418</v>
      </c>
      <c r="T41" s="138">
        <v>44105.782884393462</v>
      </c>
      <c r="U41" s="138">
        <v>52618.073611440399</v>
      </c>
      <c r="V41" s="139">
        <f>F41-SUM(S41:U41)</f>
        <v>86924.690452862706</v>
      </c>
      <c r="W41" s="138">
        <v>96733.379321161774</v>
      </c>
      <c r="X41" s="138">
        <v>26587</v>
      </c>
      <c r="Y41" s="138">
        <v>59879.873</v>
      </c>
      <c r="Z41" s="139">
        <f t="shared" ref="Z41:Z44" si="68">G41-SUM(W41:Y41)</f>
        <v>106879.24867883822</v>
      </c>
      <c r="AA41" s="138">
        <v>94399.941000000006</v>
      </c>
      <c r="AB41" s="138">
        <v>42305</v>
      </c>
      <c r="AC41" s="138">
        <v>62756.235000000001</v>
      </c>
      <c r="AD41" s="139">
        <f>H41-SUM(AA41:AC41)</f>
        <v>113312.34700000001</v>
      </c>
      <c r="AE41" s="138">
        <v>107357.16800000001</v>
      </c>
    </row>
    <row r="42" spans="2:31">
      <c r="B42" s="76" t="s">
        <v>271</v>
      </c>
      <c r="C42" s="138">
        <v>24201.159346</v>
      </c>
      <c r="D42" s="138">
        <v>90853.77005469508</v>
      </c>
      <c r="E42" s="138">
        <v>101832.73439175177</v>
      </c>
      <c r="F42" s="138">
        <v>85563.786159862095</v>
      </c>
      <c r="G42" s="138">
        <v>78445.523000000001</v>
      </c>
      <c r="H42" s="138">
        <v>55306.065999999999</v>
      </c>
      <c r="I42" s="288">
        <f t="shared" si="65"/>
        <v>48811.581999999995</v>
      </c>
      <c r="K42" s="138">
        <v>16706.270819000001</v>
      </c>
      <c r="L42" s="138">
        <v>-2223.2096777906886</v>
      </c>
      <c r="M42" s="138">
        <v>16932.532408046594</v>
      </c>
      <c r="N42" s="139">
        <f t="shared" si="66"/>
        <v>59438.176505439173</v>
      </c>
      <c r="O42" s="138">
        <v>33195.750021979758</v>
      </c>
      <c r="P42" s="138">
        <v>1072.1761783754691</v>
      </c>
      <c r="Q42" s="138">
        <v>19810.135824809906</v>
      </c>
      <c r="R42" s="139">
        <f t="shared" si="67"/>
        <v>47754.672366586638</v>
      </c>
      <c r="S42" s="138">
        <v>35807.110333633849</v>
      </c>
      <c r="T42" s="138">
        <v>1875.424815989501</v>
      </c>
      <c r="U42" s="138">
        <v>25785.43443093363</v>
      </c>
      <c r="V42" s="139">
        <f>F42-SUM(S42:U42)</f>
        <v>22095.816579305116</v>
      </c>
      <c r="W42" s="138">
        <v>26097.705741458703</v>
      </c>
      <c r="X42" s="138">
        <v>-24373</v>
      </c>
      <c r="Y42" s="138">
        <v>3953.7379999999998</v>
      </c>
      <c r="Z42" s="139">
        <f t="shared" si="68"/>
        <v>72767.0792585413</v>
      </c>
      <c r="AA42" s="138">
        <v>34983.112000000001</v>
      </c>
      <c r="AB42" s="138">
        <v>-26892</v>
      </c>
      <c r="AC42" s="138">
        <v>6845.2120000000004</v>
      </c>
      <c r="AD42" s="139">
        <f>H42-SUM(AA42:AC42)</f>
        <v>40369.741999999998</v>
      </c>
      <c r="AE42" s="138">
        <v>28488.628000000001</v>
      </c>
    </row>
    <row r="43" spans="2:31">
      <c r="B43" s="76" t="s">
        <v>272</v>
      </c>
      <c r="C43" s="138">
        <v>43104.576324000001</v>
      </c>
      <c r="D43" s="138">
        <v>45690.83889014156</v>
      </c>
      <c r="E43" s="138">
        <v>51374.740850212584</v>
      </c>
      <c r="F43" s="138">
        <v>32184.349510799701</v>
      </c>
      <c r="G43" s="138">
        <v>41829.076000000001</v>
      </c>
      <c r="H43" s="138">
        <v>35599.733</v>
      </c>
      <c r="I43" s="288">
        <f t="shared" si="65"/>
        <v>32295.95</v>
      </c>
      <c r="K43" s="138">
        <v>10179.583185</v>
      </c>
      <c r="L43" s="138">
        <v>10808.990608865181</v>
      </c>
      <c r="M43" s="138">
        <v>13404.367713175938</v>
      </c>
      <c r="N43" s="139">
        <f t="shared" si="66"/>
        <v>11297.89738310044</v>
      </c>
      <c r="O43" s="138">
        <v>11469.42658890946</v>
      </c>
      <c r="P43" s="138">
        <v>11788.40145107249</v>
      </c>
      <c r="Q43" s="138">
        <v>14733.42096274753</v>
      </c>
      <c r="R43" s="139">
        <f t="shared" si="67"/>
        <v>13383.491847483107</v>
      </c>
      <c r="S43" s="138">
        <v>3496.4510552014012</v>
      </c>
      <c r="T43" s="138">
        <v>6542.8741922318095</v>
      </c>
      <c r="U43" s="138">
        <v>11606.12959957895</v>
      </c>
      <c r="V43" s="139">
        <f>F43-SUM(S43:U43)</f>
        <v>10538.894663787542</v>
      </c>
      <c r="W43" s="138">
        <v>6666.9653387142707</v>
      </c>
      <c r="X43" s="138">
        <v>10419</v>
      </c>
      <c r="Y43" s="138">
        <v>12521.319</v>
      </c>
      <c r="Z43" s="139">
        <f t="shared" si="68"/>
        <v>12221.79166128573</v>
      </c>
      <c r="AA43" s="138">
        <v>6591.924</v>
      </c>
      <c r="AB43" s="138">
        <v>11285</v>
      </c>
      <c r="AC43" s="138">
        <v>11024.322</v>
      </c>
      <c r="AD43" s="139">
        <f>H43-SUM(AA43:AC43)</f>
        <v>6698.487000000001</v>
      </c>
      <c r="AE43" s="138">
        <v>3288.1410000000001</v>
      </c>
    </row>
    <row r="44" spans="2:31">
      <c r="B44" s="76" t="s">
        <v>273</v>
      </c>
      <c r="C44" s="138">
        <v>-15668.845662999964</v>
      </c>
      <c r="D44" s="138">
        <v>-26163.922696127498</v>
      </c>
      <c r="E44" s="138">
        <v>-22284.641979012318</v>
      </c>
      <c r="F44" s="138">
        <v>-21755.2344264903</v>
      </c>
      <c r="G44" s="138">
        <v>5582.0140000000001</v>
      </c>
      <c r="H44" s="138">
        <v>-27471.364000000001</v>
      </c>
      <c r="I44" s="288">
        <f t="shared" si="65"/>
        <v>-30540.857</v>
      </c>
      <c r="K44" s="138">
        <v>-4284.3603630000071</v>
      </c>
      <c r="L44" s="138">
        <v>-4945.0910242743048</v>
      </c>
      <c r="M44" s="138">
        <v>-6499.4162834837971</v>
      </c>
      <c r="N44" s="139">
        <f t="shared" si="66"/>
        <v>-10435.055025369389</v>
      </c>
      <c r="O44" s="138">
        <v>-2984.3032422367978</v>
      </c>
      <c r="P44" s="138">
        <v>-4101.1463219016741</v>
      </c>
      <c r="Q44" s="138">
        <v>-4883.6709482182068</v>
      </c>
      <c r="R44" s="139">
        <f t="shared" si="67"/>
        <v>-10315.521466655639</v>
      </c>
      <c r="S44" s="138">
        <v>-3687.7774834858551</v>
      </c>
      <c r="T44" s="138">
        <v>-5398.2414055176669</v>
      </c>
      <c r="U44" s="138">
        <v>-3665.7825393152834</v>
      </c>
      <c r="V44" s="139">
        <f>F44-SUM(S44:U44)</f>
        <v>-9003.4329981714945</v>
      </c>
      <c r="W44" s="138">
        <v>-5334.799413273543</v>
      </c>
      <c r="X44" s="138">
        <v>26089</v>
      </c>
      <c r="Y44" s="138">
        <v>-5924.232</v>
      </c>
      <c r="Z44" s="139">
        <f t="shared" si="68"/>
        <v>-9247.9545867264569</v>
      </c>
      <c r="AA44" s="138">
        <v>-4420.9290000000001</v>
      </c>
      <c r="AB44" s="138">
        <v>-6881</v>
      </c>
      <c r="AC44" s="138">
        <v>-6990.3090000000002</v>
      </c>
      <c r="AD44" s="139">
        <f>H44-SUM(AA44:AC44)</f>
        <v>-9179.1260000000002</v>
      </c>
      <c r="AE44" s="138">
        <v>-7490.4219999999996</v>
      </c>
    </row>
    <row r="45" spans="2:31">
      <c r="B45" s="80" t="s">
        <v>33</v>
      </c>
      <c r="C45" s="137">
        <f t="shared" ref="C45" si="69">SUM(C41:C44)</f>
        <v>296404.84078000003</v>
      </c>
      <c r="D45" s="137">
        <f t="shared" ref="D45:H45" si="70">SUM(D41:D44)</f>
        <v>444997.58696682693</v>
      </c>
      <c r="E45" s="137">
        <f t="shared" si="70"/>
        <v>357928.64730382524</v>
      </c>
      <c r="F45" s="137">
        <f t="shared" si="70"/>
        <v>379402.37148531841</v>
      </c>
      <c r="G45" s="137">
        <f t="shared" si="70"/>
        <v>415936.114</v>
      </c>
      <c r="H45" s="137">
        <f t="shared" si="70"/>
        <v>376207.95799999998</v>
      </c>
      <c r="I45" s="137">
        <f t="shared" si="65"/>
        <v>376297.42500000005</v>
      </c>
      <c r="J45" s="80"/>
      <c r="K45" s="137">
        <f t="shared" ref="K45" si="71">SUM(K41:K44)</f>
        <v>126547.393289</v>
      </c>
      <c r="L45" s="137">
        <f t="shared" ref="L45" si="72">SUM(L41:L44)</f>
        <v>61575.584256247494</v>
      </c>
      <c r="M45" s="137">
        <f t="shared" ref="M45" si="73">SUM(M41:M44)</f>
        <v>101472.27401927899</v>
      </c>
      <c r="N45" s="137">
        <f t="shared" ref="N45" si="74">SUM(N41:N44)</f>
        <v>155402.33540230038</v>
      </c>
      <c r="O45" s="137">
        <f t="shared" ref="O45" si="75">SUM(O41:O44)</f>
        <v>135125.78460730083</v>
      </c>
      <c r="P45" s="137">
        <f t="shared" ref="P45" si="76">SUM(P41:P44)</f>
        <v>32470.883008030127</v>
      </c>
      <c r="Q45" s="137">
        <f t="shared" ref="Q45" si="77">SUM(Q41:Q44)</f>
        <v>67606.655362353296</v>
      </c>
      <c r="R45" s="137">
        <f t="shared" ref="R45" si="78">SUM(R41:R44)</f>
        <v>122725.324326141</v>
      </c>
      <c r="S45" s="137">
        <f t="shared" ref="S45" si="79">SUM(S41:S44)</f>
        <v>135376.70719779984</v>
      </c>
      <c r="T45" s="137">
        <f t="shared" ref="T45" si="80">SUM(T41:T44)</f>
        <v>47125.840487097099</v>
      </c>
      <c r="U45" s="137">
        <f t="shared" ref="U45:X45" si="81">SUM(U41:U44)</f>
        <v>86343.855102637695</v>
      </c>
      <c r="V45" s="137">
        <f t="shared" si="81"/>
        <v>110555.96869778387</v>
      </c>
      <c r="W45" s="137">
        <f t="shared" si="81"/>
        <v>124163.25098806121</v>
      </c>
      <c r="X45" s="137">
        <f t="shared" si="81"/>
        <v>38722</v>
      </c>
      <c r="Y45" s="137">
        <f t="shared" ref="Y45:AB45" si="82">SUM(Y41:Y44)</f>
        <v>70430.697999999989</v>
      </c>
      <c r="Z45" s="137">
        <f t="shared" si="82"/>
        <v>182620.16501193881</v>
      </c>
      <c r="AA45" s="137">
        <f t="shared" si="82"/>
        <v>131554.04800000001</v>
      </c>
      <c r="AB45" s="137">
        <f t="shared" si="82"/>
        <v>19817</v>
      </c>
      <c r="AC45" s="137">
        <f t="shared" ref="AC45:AE45" si="83">SUM(AC41:AC44)</f>
        <v>73635.460000000006</v>
      </c>
      <c r="AD45" s="137">
        <f t="shared" si="83"/>
        <v>151201.45000000001</v>
      </c>
      <c r="AE45" s="137">
        <f t="shared" si="83"/>
        <v>131643.51500000001</v>
      </c>
    </row>
    <row r="46" spans="2:31">
      <c r="B46" s="289" t="s">
        <v>54</v>
      </c>
      <c r="C46" s="290">
        <f>C45-Model!C51</f>
        <v>-2.1999998716637492E-4</v>
      </c>
      <c r="D46" s="290">
        <f>D45-Model!D51</f>
        <v>-1.0331730591133237E-3</v>
      </c>
      <c r="E46" s="290">
        <f>E45-Model!E51</f>
        <v>-1.6961747314780951E-3</v>
      </c>
      <c r="F46" s="290">
        <f>F45-Model!F51</f>
        <v>-1.5146816149353981E-3</v>
      </c>
      <c r="G46" s="290">
        <f>G45-Model!G51</f>
        <v>0</v>
      </c>
      <c r="H46" s="290">
        <f>H45-Model!H51</f>
        <v>0</v>
      </c>
      <c r="I46" s="290">
        <f>I45-Model!I51</f>
        <v>-4.7999999951571226E-2</v>
      </c>
      <c r="J46" s="289"/>
      <c r="K46" s="290">
        <f>K45-Model!K51</f>
        <v>-7.1100000059232116E-4</v>
      </c>
      <c r="L46" s="290">
        <f>L45-Model!L51</f>
        <v>-1.743752509355545E-3</v>
      </c>
      <c r="M46" s="290">
        <f>M45-Model!M51</f>
        <v>1.0192789923166856E-3</v>
      </c>
      <c r="N46" s="290">
        <f>N45-Model!N51</f>
        <v>4.0230041486211121E-4</v>
      </c>
      <c r="O46" s="290">
        <f>O45-Model!O51</f>
        <v>-3.9269917760975659E-4</v>
      </c>
      <c r="P46" s="290">
        <f>P45-Model!P51</f>
        <v>1.0080301253765356E-3</v>
      </c>
      <c r="Q46" s="290">
        <f>Q45-Model!Q51</f>
        <v>-6.3764670630916953E-4</v>
      </c>
      <c r="R46" s="290">
        <f>R45-Model!R51</f>
        <v>-1.6738589474698529E-3</v>
      </c>
      <c r="S46" s="290">
        <f>S45-Model!S51</f>
        <v>1.9779984722845256E-4</v>
      </c>
      <c r="T46" s="290">
        <f>T45-Model!T51</f>
        <v>4.8709710245020688E-4</v>
      </c>
      <c r="U46" s="290">
        <f>U45-Model!U51</f>
        <v>1.1026376887457445E-3</v>
      </c>
      <c r="V46" s="290">
        <f>V45-Model!V51</f>
        <v>-3.3022161369444802E-3</v>
      </c>
      <c r="W46" s="290">
        <f>W45-Model!W51</f>
        <v>2.9880611982662231E-3</v>
      </c>
      <c r="X46" s="290">
        <f>X45-Model!X51</f>
        <v>0</v>
      </c>
      <c r="Y46" s="290">
        <f>Y45-Model!Y51</f>
        <v>0</v>
      </c>
      <c r="Z46" s="290">
        <f>Z45-Model!Z51</f>
        <v>-2.9880611691623926E-3</v>
      </c>
      <c r="AA46" s="290">
        <f>AA45-Model!AA51</f>
        <v>4.8000000009778887E-2</v>
      </c>
      <c r="AB46" s="290">
        <f>AB45-Model!AB51</f>
        <v>-0.28299999999944703</v>
      </c>
      <c r="AC46" s="290">
        <f>AC45-Model!AC51</f>
        <v>0.46000000000640284</v>
      </c>
      <c r="AD46" s="290">
        <f>AD45-Model!AD51</f>
        <v>-0.22499999997671694</v>
      </c>
      <c r="AE46" s="290">
        <f>AE45-Model!AE51</f>
        <v>0</v>
      </c>
    </row>
  </sheetData>
  <pageMargins left="0.7" right="0.7" top="0.75" bottom="0.75" header="0.3" footer="0.3"/>
  <pageSetup orientation="portrait" horizontalDpi="90" verticalDpi="90" r:id="rId1"/>
  <headerFooter>
    <oddFooter>&amp;C_x000D_&amp;1#&amp;"Aptos"&amp;10&amp;K000000 Barings-Corporate</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00EECCAA3DB94895FACE15614ECBE0" ma:contentTypeVersion="3" ma:contentTypeDescription="Create a new document." ma:contentTypeScope="" ma:versionID="df48d4251bee182ecc7fb5dcb95088a2">
  <xsd:schema xmlns:xsd="http://www.w3.org/2001/XMLSchema" xmlns:xs="http://www.w3.org/2001/XMLSchema" xmlns:p="http://schemas.microsoft.com/office/2006/metadata/properties" xmlns:ns2="aa33d72f-12a9-4590-815a-2b1f92f4a722" targetNamespace="http://schemas.microsoft.com/office/2006/metadata/properties" ma:root="true" ma:fieldsID="e53bcbeb5cc26077ba81130311515115" ns2:_="">
    <xsd:import namespace="aa33d72f-12a9-4590-815a-2b1f92f4a7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3d72f-12a9-4590-815a-2b1f92f4a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3D348A-C869-4EF5-97C9-803709354F39}"/>
</file>

<file path=customXml/itemProps2.xml><?xml version="1.0" encoding="utf-8"?>
<ds:datastoreItem xmlns:ds="http://schemas.openxmlformats.org/officeDocument/2006/customXml" ds:itemID="{B9EE3B42-5DFA-43DD-84F5-0D994504911A}"/>
</file>

<file path=customXml/itemProps3.xml><?xml version="1.0" encoding="utf-8"?>
<ds:datastoreItem xmlns:ds="http://schemas.openxmlformats.org/officeDocument/2006/customXml" ds:itemID="{9A7EB3A0-A57B-4C2C-8BDE-04B4F1015ACF}"/>
</file>

<file path=docProps/app.xml><?xml version="1.0" encoding="utf-8"?>
<Properties xmlns="http://schemas.openxmlformats.org/officeDocument/2006/extended-properties" xmlns:vt="http://schemas.openxmlformats.org/officeDocument/2006/docPropsVTypes">
  <Application>Microsoft Excel Online</Application>
  <Manager/>
  <Company>MassMutual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MAB</dc:creator>
  <cp:keywords/>
  <dc:description/>
  <cp:lastModifiedBy/>
  <cp:revision/>
  <dcterms:created xsi:type="dcterms:W3CDTF">2008-03-12T15:44:19Z</dcterms:created>
  <dcterms:modified xsi:type="dcterms:W3CDTF">2026-08-24T15:22:40Z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{7259EA4D-B0FF-4B67-B3B9-C4BFD77D0FED}</vt:lpwstr>
  </property>
  <property fmtid="{D5CDD505-2E9C-101B-9397-08002B2CF9AE}" pid="3" name="MSIP_Label_8c63c790-1b4f-473b-b88f-a693ca173b52_Enabled">
    <vt:lpwstr>true</vt:lpwstr>
  </property>
  <property fmtid="{D5CDD505-2E9C-101B-9397-08002B2CF9AE}" pid="4" name="MSIP_Label_8c63c790-1b4f-473b-b88f-a693ca173b52_SetDate">
    <vt:lpwstr>2021-11-30T06:38:54Z</vt:lpwstr>
  </property>
  <property fmtid="{D5CDD505-2E9C-101B-9397-08002B2CF9AE}" pid="5" name="MSIP_Label_8c63c790-1b4f-473b-b88f-a693ca173b52_Method">
    <vt:lpwstr>Privileged</vt:lpwstr>
  </property>
  <property fmtid="{D5CDD505-2E9C-101B-9397-08002B2CF9AE}" pid="6" name="MSIP_Label_8c63c790-1b4f-473b-b88f-a693ca173b52_Name">
    <vt:lpwstr>Internal</vt:lpwstr>
  </property>
  <property fmtid="{D5CDD505-2E9C-101B-9397-08002B2CF9AE}" pid="7" name="MSIP_Label_8c63c790-1b4f-473b-b88f-a693ca173b52_SiteId">
    <vt:lpwstr>4d8b04bf-7a7c-48a0-b6e3-38da5008297e</vt:lpwstr>
  </property>
  <property fmtid="{D5CDD505-2E9C-101B-9397-08002B2CF9AE}" pid="8" name="MSIP_Label_8c63c790-1b4f-473b-b88f-a693ca173b52_ActionId">
    <vt:lpwstr>74457a9d-0305-4b27-87c3-c6cf249b8cfb</vt:lpwstr>
  </property>
  <property fmtid="{D5CDD505-2E9C-101B-9397-08002B2CF9AE}" pid="9" name="MSIP_Label_8c63c790-1b4f-473b-b88f-a693ca173b52_ContentBits">
    <vt:lpwstr>0</vt:lpwstr>
  </property>
  <property fmtid="{D5CDD505-2E9C-101B-9397-08002B2CF9AE}" pid="10" name="WorkbookGuid">
    <vt:lpwstr>afbb2044-5f7f-4069-b80f-39a20339b747</vt:lpwstr>
  </property>
  <property fmtid="{D5CDD505-2E9C-101B-9397-08002B2CF9AE}" pid="11" name="ContentTypeId">
    <vt:lpwstr>0x0101003A00EECCAA3DB94895FACE15614ECBE0</vt:lpwstr>
  </property>
  <property fmtid="{D5CDD505-2E9C-101B-9397-08002B2CF9AE}" pid="12" name="MSIP_Label_e23aaa83-1940-48a9-a4d6-4a193a1929ec_Enabled">
    <vt:lpwstr>true</vt:lpwstr>
  </property>
  <property fmtid="{D5CDD505-2E9C-101B-9397-08002B2CF9AE}" pid="13" name="MSIP_Label_e23aaa83-1940-48a9-a4d6-4a193a1929ec_SetDate">
    <vt:lpwstr>2026-08-24T15:15:08Z</vt:lpwstr>
  </property>
  <property fmtid="{D5CDD505-2E9C-101B-9397-08002B2CF9AE}" pid="14" name="MSIP_Label_e23aaa83-1940-48a9-a4d6-4a193a1929ec_Method">
    <vt:lpwstr>Standard</vt:lpwstr>
  </property>
  <property fmtid="{D5CDD505-2E9C-101B-9397-08002B2CF9AE}" pid="15" name="MSIP_Label_e23aaa83-1940-48a9-a4d6-4a193a1929ec_Name">
    <vt:lpwstr>Corporate</vt:lpwstr>
  </property>
  <property fmtid="{D5CDD505-2E9C-101B-9397-08002B2CF9AE}" pid="16" name="MSIP_Label_e23aaa83-1940-48a9-a4d6-4a193a1929ec_SiteId">
    <vt:lpwstr>ce78e7b0-e32a-4428-9390-1c2ec8a59c47</vt:lpwstr>
  </property>
  <property fmtid="{D5CDD505-2E9C-101B-9397-08002B2CF9AE}" pid="17" name="MSIP_Label_e23aaa83-1940-48a9-a4d6-4a193a1929ec_ActionId">
    <vt:lpwstr>7d307b47-7c58-4f17-b7c2-56a9a8a10255</vt:lpwstr>
  </property>
  <property fmtid="{D5CDD505-2E9C-101B-9397-08002B2CF9AE}" pid="18" name="MSIP_Label_e23aaa83-1940-48a9-a4d6-4a193a1929ec_ContentBits">
    <vt:lpwstr>2</vt:lpwstr>
  </property>
  <property fmtid="{D5CDD505-2E9C-101B-9397-08002B2CF9AE}" pid="19" name="MSIP_Label_e23aaa83-1940-48a9-a4d6-4a193a1929ec_Tag">
    <vt:lpwstr>10, 3, 0, 2</vt:lpwstr>
  </property>
</Properties>
</file>