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crisil-my.sharepoint.com/personal/lokeshk_ad_crisil_com/Documents/1_Team_Fixed Income (Credit)/Bara Model Work/Bara - Model Update/WIP/May 2026 - Axiata/1Q26/"/>
    </mc:Choice>
  </mc:AlternateContent>
  <xr:revisionPtr revIDLastSave="0" documentId="8_{70BCD82B-9935-4C86-95BA-2FE04FFFF2B1}" xr6:coauthVersionLast="47" xr6:coauthVersionMax="47" xr10:uidLastSave="{00000000-0000-0000-0000-000000000000}"/>
  <bookViews>
    <workbookView xWindow="-120" yWindow="-120" windowWidth="29040" windowHeight="15720" tabRatio="643" xr2:uid="{00000000-000D-0000-FFFF-FFFF00000000}"/>
  </bookViews>
  <sheets>
    <sheet name="Capitalization" sheetId="3" r:id="rId1"/>
    <sheet name="Model" sheetId="1" r:id="rId2"/>
    <sheet name="KPI" sheetId="2" r:id="rId3"/>
  </sheets>
  <definedNames>
    <definedName name="CIQWBGuid" hidden="1">"6fa2d319-d0b7-4672-976a-7e057cc15c9e"</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44229.1709606481</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4" i="3" l="1"/>
  <c r="D48" i="3"/>
  <c r="D14" i="3"/>
  <c r="D10" i="3"/>
  <c r="E30" i="3"/>
  <c r="D30" i="3"/>
  <c r="E29" i="3"/>
  <c r="E28" i="3"/>
  <c r="E27" i="3"/>
  <c r="BM84" i="1"/>
  <c r="R84" i="1"/>
  <c r="D20" i="3"/>
  <c r="D18" i="3"/>
  <c r="D16" i="3"/>
  <c r="D13" i="3"/>
  <c r="D12" i="3"/>
  <c r="D9" i="3"/>
  <c r="D8" i="3"/>
  <c r="D49" i="3"/>
  <c r="D43" i="3"/>
  <c r="D40" i="3"/>
  <c r="D33" i="3"/>
  <c r="D24" i="3"/>
  <c r="J5" i="3"/>
  <c r="J3" i="3"/>
  <c r="J2" i="3"/>
  <c r="E35" i="3" s="1"/>
  <c r="E12" i="3" l="1"/>
  <c r="E10" i="3"/>
  <c r="E13" i="3"/>
  <c r="E36" i="3"/>
  <c r="E18" i="3"/>
  <c r="D15" i="3"/>
  <c r="D21" i="3" s="1"/>
  <c r="E45" i="3"/>
  <c r="E20" i="3"/>
  <c r="E9" i="3"/>
  <c r="E34" i="3"/>
  <c r="E14" i="3"/>
  <c r="E25" i="3"/>
  <c r="E16" i="3"/>
  <c r="E38" i="3"/>
  <c r="E47" i="3"/>
  <c r="E37" i="3"/>
  <c r="E46" i="3"/>
  <c r="E39" i="3"/>
  <c r="E48" i="3"/>
  <c r="E8" i="3"/>
  <c r="F15" i="3" l="1"/>
  <c r="E40" i="3"/>
  <c r="D19" i="3"/>
  <c r="F19" i="3" s="1"/>
  <c r="D17" i="3"/>
  <c r="F17" i="3" s="1"/>
  <c r="E15" i="3"/>
  <c r="E19" i="3" s="1"/>
  <c r="G19" i="3" s="1"/>
  <c r="E49" i="3"/>
  <c r="G15" i="3" l="1"/>
  <c r="E17" i="3"/>
  <c r="G17" i="3" s="1"/>
  <c r="AW259" i="2" l="1"/>
  <c r="AW260" i="2"/>
  <c r="AW261" i="2"/>
  <c r="AW263" i="2"/>
  <c r="AW264" i="2"/>
  <c r="AW267" i="2"/>
  <c r="AW268" i="2"/>
  <c r="AW269" i="2"/>
  <c r="BA232" i="2"/>
  <c r="BA231" i="2" s="1"/>
  <c r="BA228" i="2"/>
  <c r="BA224" i="2"/>
  <c r="BA223" i="2" s="1"/>
  <c r="BA201" i="2"/>
  <c r="BA202" i="2" s="1"/>
  <c r="BA150" i="2"/>
  <c r="BA160" i="2" s="1"/>
  <c r="AW232" i="2"/>
  <c r="AW231" i="2" s="1"/>
  <c r="AW265" i="2" s="1"/>
  <c r="AW228" i="2"/>
  <c r="AW262" i="2" s="1"/>
  <c r="AW224" i="2"/>
  <c r="AW217" i="2"/>
  <c r="AW216" i="2"/>
  <c r="AW215" i="2"/>
  <c r="AW213" i="2"/>
  <c r="AW212" i="2"/>
  <c r="AW210" i="2"/>
  <c r="AW209" i="2"/>
  <c r="AW208" i="2"/>
  <c r="AW207" i="2"/>
  <c r="AW219" i="2"/>
  <c r="AW184" i="2"/>
  <c r="AW182" i="2"/>
  <c r="AW181" i="2"/>
  <c r="AW180" i="2"/>
  <c r="AW178" i="2"/>
  <c r="AW177" i="2"/>
  <c r="AW175" i="2"/>
  <c r="AW174" i="2"/>
  <c r="AW173" i="2"/>
  <c r="AW172" i="2"/>
  <c r="AW76" i="2"/>
  <c r="BS276" i="1"/>
  <c r="BT276" i="1"/>
  <c r="R131" i="1"/>
  <c r="R122" i="1"/>
  <c r="R121" i="1"/>
  <c r="R120" i="1"/>
  <c r="R119" i="1"/>
  <c r="R118" i="1"/>
  <c r="BM229" i="1"/>
  <c r="R115" i="1"/>
  <c r="R114" i="1"/>
  <c r="R113" i="1"/>
  <c r="R110" i="1"/>
  <c r="R109" i="1"/>
  <c r="R108" i="1"/>
  <c r="BM231" i="1"/>
  <c r="BJ221" i="1"/>
  <c r="Q229" i="1"/>
  <c r="BC221" i="1"/>
  <c r="BC222" i="1"/>
  <c r="BC230" i="1" s="1"/>
  <c r="BC224" i="1"/>
  <c r="BC225" i="1"/>
  <c r="BC226" i="1"/>
  <c r="BC227" i="1"/>
  <c r="BC228" i="1"/>
  <c r="BC229" i="1"/>
  <c r="BC231" i="1" s="1"/>
  <c r="BD229" i="1"/>
  <c r="BD231" i="1" s="1"/>
  <c r="BD228" i="1"/>
  <c r="BD230" i="1" s="1"/>
  <c r="BD227" i="1"/>
  <c r="BD226" i="1"/>
  <c r="BD225" i="1"/>
  <c r="BD224" i="1"/>
  <c r="BD222" i="1"/>
  <c r="BD223" i="1" s="1"/>
  <c r="BD221" i="1"/>
  <c r="BE229" i="1"/>
  <c r="BE231" i="1" s="1"/>
  <c r="BE228" i="1"/>
  <c r="BE230" i="1" s="1"/>
  <c r="BE227" i="1"/>
  <c r="BE226" i="1"/>
  <c r="BE225" i="1"/>
  <c r="BE224" i="1"/>
  <c r="BE222" i="1"/>
  <c r="BE223" i="1" s="1"/>
  <c r="BE221" i="1"/>
  <c r="BF229" i="1"/>
  <c r="BF231" i="1" s="1"/>
  <c r="BF228" i="1"/>
  <c r="BF230" i="1" s="1"/>
  <c r="BF227" i="1"/>
  <c r="BF226" i="1"/>
  <c r="BF225" i="1"/>
  <c r="BF224" i="1"/>
  <c r="BF222" i="1"/>
  <c r="BF223" i="1" s="1"/>
  <c r="BF221" i="1"/>
  <c r="BG229" i="1"/>
  <c r="BG231" i="1" s="1"/>
  <c r="BG228" i="1"/>
  <c r="BG230" i="1" s="1"/>
  <c r="BG227" i="1"/>
  <c r="BG226" i="1"/>
  <c r="BG225" i="1"/>
  <c r="BG224" i="1"/>
  <c r="BG222" i="1"/>
  <c r="BG223" i="1" s="1"/>
  <c r="BG221" i="1"/>
  <c r="BH229" i="1"/>
  <c r="BH231" i="1" s="1"/>
  <c r="BH228" i="1"/>
  <c r="BH230" i="1" s="1"/>
  <c r="BH227" i="1"/>
  <c r="BH226" i="1"/>
  <c r="BH225" i="1"/>
  <c r="BH224" i="1"/>
  <c r="BH222" i="1"/>
  <c r="BH223" i="1" s="1"/>
  <c r="BH221" i="1"/>
  <c r="BI229" i="1"/>
  <c r="BI231" i="1" s="1"/>
  <c r="BI228" i="1"/>
  <c r="BI230" i="1" s="1"/>
  <c r="BI227" i="1"/>
  <c r="BI226" i="1"/>
  <c r="BI225" i="1"/>
  <c r="BI224" i="1"/>
  <c r="BI222" i="1"/>
  <c r="BI223" i="1" s="1"/>
  <c r="BI221" i="1"/>
  <c r="BJ229" i="1"/>
  <c r="BJ231" i="1" s="1"/>
  <c r="BJ228" i="1"/>
  <c r="BJ230" i="1" s="1"/>
  <c r="BJ227" i="1"/>
  <c r="BJ226" i="1"/>
  <c r="BJ225" i="1"/>
  <c r="BJ224" i="1"/>
  <c r="BJ222" i="1"/>
  <c r="BJ223" i="1" s="1"/>
  <c r="BK229" i="1"/>
  <c r="BK231" i="1" s="1"/>
  <c r="BK228" i="1"/>
  <c r="BK230" i="1" s="1"/>
  <c r="BK227" i="1"/>
  <c r="BK226" i="1"/>
  <c r="BK225" i="1"/>
  <c r="BK224" i="1"/>
  <c r="BK222" i="1"/>
  <c r="BK223" i="1" s="1"/>
  <c r="BK221" i="1"/>
  <c r="BL229" i="1"/>
  <c r="BL231" i="1" s="1"/>
  <c r="BL228" i="1"/>
  <c r="BL227" i="1"/>
  <c r="BL226" i="1"/>
  <c r="BL225" i="1"/>
  <c r="BL224" i="1"/>
  <c r="BL222" i="1"/>
  <c r="BL223" i="1" s="1"/>
  <c r="BL221" i="1"/>
  <c r="BM228" i="1"/>
  <c r="BM230" i="1" s="1"/>
  <c r="BM227" i="1"/>
  <c r="BM226" i="1"/>
  <c r="BM225" i="1"/>
  <c r="BM224" i="1"/>
  <c r="BM222" i="1"/>
  <c r="BM223" i="1" s="1"/>
  <c r="BM221" i="1"/>
  <c r="BM220" i="1"/>
  <c r="BT229" i="1"/>
  <c r="BT231" i="1" s="1"/>
  <c r="BS229" i="1"/>
  <c r="BS231" i="1" s="1"/>
  <c r="BR229" i="1"/>
  <c r="BR231" i="1" s="1"/>
  <c r="BQ229" i="1"/>
  <c r="BQ231" i="1" s="1"/>
  <c r="BP229" i="1"/>
  <c r="BP231" i="1" s="1"/>
  <c r="BT228" i="1"/>
  <c r="BT230" i="1" s="1"/>
  <c r="BS228" i="1"/>
  <c r="BS230" i="1" s="1"/>
  <c r="BR228" i="1"/>
  <c r="BQ228" i="1"/>
  <c r="BP228" i="1"/>
  <c r="BP230" i="1" s="1"/>
  <c r="BT227" i="1"/>
  <c r="BS227" i="1"/>
  <c r="BR227" i="1"/>
  <c r="BQ227" i="1"/>
  <c r="BP227" i="1"/>
  <c r="BT226" i="1"/>
  <c r="BS226" i="1"/>
  <c r="BR226" i="1"/>
  <c r="BQ226" i="1"/>
  <c r="BP226" i="1"/>
  <c r="BT225" i="1"/>
  <c r="BS225" i="1"/>
  <c r="BR225" i="1"/>
  <c r="BQ225" i="1"/>
  <c r="BP225" i="1"/>
  <c r="BT224" i="1"/>
  <c r="BS224" i="1"/>
  <c r="BR224" i="1"/>
  <c r="BQ224" i="1"/>
  <c r="BP224" i="1"/>
  <c r="BP223" i="1"/>
  <c r="BT222" i="1"/>
  <c r="BT223" i="1" s="1"/>
  <c r="BS222" i="1"/>
  <c r="BS223" i="1" s="1"/>
  <c r="BR222" i="1"/>
  <c r="BR223" i="1" s="1"/>
  <c r="BQ222" i="1"/>
  <c r="BQ230" i="1" s="1"/>
  <c r="BP222" i="1"/>
  <c r="BT221" i="1"/>
  <c r="BS221" i="1"/>
  <c r="BR221" i="1"/>
  <c r="BQ221" i="1"/>
  <c r="BP221" i="1"/>
  <c r="BO229" i="1"/>
  <c r="BO228" i="1"/>
  <c r="BO227" i="1"/>
  <c r="BO226" i="1"/>
  <c r="BO225" i="1"/>
  <c r="BO224" i="1"/>
  <c r="BO221" i="1"/>
  <c r="BO222" i="1"/>
  <c r="BR276" i="1"/>
  <c r="BQ276" i="1"/>
  <c r="BP276" i="1"/>
  <c r="BO276" i="1"/>
  <c r="BM276" i="1"/>
  <c r="BT244" i="1"/>
  <c r="R276" i="1"/>
  <c r="C276" i="1"/>
  <c r="D276" i="1"/>
  <c r="E276" i="1"/>
  <c r="F276" i="1"/>
  <c r="G276" i="1"/>
  <c r="H276" i="1"/>
  <c r="I276" i="1"/>
  <c r="J276" i="1"/>
  <c r="K276" i="1"/>
  <c r="L276" i="1"/>
  <c r="M276" i="1"/>
  <c r="N276" i="1"/>
  <c r="O276" i="1"/>
  <c r="P276" i="1"/>
  <c r="Q276" i="1"/>
  <c r="Z276" i="1"/>
  <c r="AA276" i="1"/>
  <c r="AB276" i="1"/>
  <c r="AC276" i="1"/>
  <c r="AD276" i="1"/>
  <c r="AE276" i="1"/>
  <c r="AF276" i="1"/>
  <c r="AG276" i="1"/>
  <c r="AH276" i="1"/>
  <c r="AI276" i="1"/>
  <c r="AQ276" i="1"/>
  <c r="BI276" i="1"/>
  <c r="BJ276" i="1"/>
  <c r="BK276" i="1"/>
  <c r="BL276" i="1"/>
  <c r="BT284" i="1"/>
  <c r="BT238" i="1"/>
  <c r="BM244" i="1"/>
  <c r="BM238" i="1"/>
  <c r="R216" i="1"/>
  <c r="R215" i="1"/>
  <c r="BM215" i="1"/>
  <c r="BM216" i="1"/>
  <c r="BT171" i="1"/>
  <c r="BT170" i="1"/>
  <c r="BM171" i="1"/>
  <c r="BT165" i="1"/>
  <c r="BM165" i="1"/>
  <c r="BT118" i="1"/>
  <c r="BT115" i="1"/>
  <c r="BT114" i="1"/>
  <c r="BT113" i="1"/>
  <c r="BT112" i="1"/>
  <c r="BT110" i="1"/>
  <c r="BT109" i="1"/>
  <c r="BT108" i="1"/>
  <c r="BT107" i="1"/>
  <c r="BT106" i="1"/>
  <c r="BM98" i="1"/>
  <c r="BT101" i="1"/>
  <c r="BT100" i="1"/>
  <c r="BT99" i="1"/>
  <c r="BT98" i="1"/>
  <c r="R101" i="1"/>
  <c r="R100" i="1"/>
  <c r="R99" i="1"/>
  <c r="R98" i="1"/>
  <c r="BT87" i="1"/>
  <c r="BT88" i="1"/>
  <c r="BT89" i="1"/>
  <c r="BT90" i="1"/>
  <c r="BT91" i="1"/>
  <c r="BT92" i="1"/>
  <c r="BT93" i="1"/>
  <c r="BT94" i="1"/>
  <c r="BT82" i="1"/>
  <c r="BT80" i="1"/>
  <c r="BT77" i="1"/>
  <c r="BT76" i="1"/>
  <c r="BT73" i="1"/>
  <c r="BT69" i="1"/>
  <c r="BT65" i="1"/>
  <c r="R82" i="1"/>
  <c r="BM82" i="1"/>
  <c r="BM80" i="1"/>
  <c r="BM77" i="1"/>
  <c r="BM76" i="1"/>
  <c r="BM73" i="1"/>
  <c r="BM69" i="1"/>
  <c r="BM65" i="1"/>
  <c r="R79" i="1"/>
  <c r="R77" i="1"/>
  <c r="R76" i="1"/>
  <c r="R75" i="1"/>
  <c r="R74" i="1"/>
  <c r="R71" i="1"/>
  <c r="R70" i="1"/>
  <c r="R67" i="1"/>
  <c r="R66" i="1"/>
  <c r="R65" i="1"/>
  <c r="R50" i="1"/>
  <c r="BI60" i="1"/>
  <c r="BI52" i="1"/>
  <c r="BT52" i="1"/>
  <c r="BT60" i="1"/>
  <c r="BM60" i="1"/>
  <c r="BM52" i="1"/>
  <c r="R3" i="1"/>
  <c r="BT8" i="1"/>
  <c r="BM268" i="1"/>
  <c r="BM262" i="1"/>
  <c r="BM258" i="1"/>
  <c r="BM257" i="1"/>
  <c r="BM254" i="1"/>
  <c r="BM253" i="1"/>
  <c r="BM250" i="1"/>
  <c r="BM249" i="1"/>
  <c r="BM243" i="1"/>
  <c r="BM237" i="1"/>
  <c r="BM236" i="1"/>
  <c r="BM235" i="1"/>
  <c r="BM218" i="1"/>
  <c r="BM189" i="1"/>
  <c r="BM185" i="1"/>
  <c r="BM184" i="1"/>
  <c r="BM181" i="1"/>
  <c r="BM180" i="1"/>
  <c r="BM177" i="1"/>
  <c r="BM176" i="1"/>
  <c r="BM170" i="1"/>
  <c r="BM172" i="1" s="1"/>
  <c r="BM164" i="1"/>
  <c r="BM163" i="1"/>
  <c r="BM162" i="1"/>
  <c r="BM147" i="1"/>
  <c r="BM123" i="1"/>
  <c r="BM154" i="1" s="1"/>
  <c r="BM112" i="1"/>
  <c r="BM111" i="1" s="1"/>
  <c r="BM107" i="1"/>
  <c r="BM106" i="1" s="1"/>
  <c r="BM102" i="1"/>
  <c r="BM260" i="1"/>
  <c r="BM186" i="1"/>
  <c r="BM175" i="1"/>
  <c r="BM64" i="1"/>
  <c r="BM174" i="1" s="1"/>
  <c r="BM61" i="1"/>
  <c r="BM50" i="1"/>
  <c r="BM48" i="1"/>
  <c r="BM63" i="1" s="1"/>
  <c r="BM86" i="1" s="1"/>
  <c r="BM46" i="1"/>
  <c r="BM38" i="1"/>
  <c r="BM37" i="1"/>
  <c r="BM36" i="1"/>
  <c r="BM35" i="1"/>
  <c r="BM19" i="1"/>
  <c r="BM27" i="1" s="1"/>
  <c r="BM8" i="1"/>
  <c r="BT236" i="1"/>
  <c r="BT235" i="1"/>
  <c r="BT220" i="1"/>
  <c r="BT216" i="1"/>
  <c r="BT218" i="1" s="1"/>
  <c r="BT215" i="1"/>
  <c r="BT262" i="1" s="1"/>
  <c r="BT189" i="1"/>
  <c r="BT185" i="1"/>
  <c r="BT184" i="1"/>
  <c r="BT181" i="1"/>
  <c r="BT180" i="1"/>
  <c r="BT177" i="1"/>
  <c r="BT176" i="1"/>
  <c r="BT164" i="1"/>
  <c r="BT163" i="1"/>
  <c r="BT162" i="1"/>
  <c r="BT147" i="1"/>
  <c r="BT131" i="1"/>
  <c r="BT122" i="1"/>
  <c r="BT121" i="1"/>
  <c r="BT120" i="1"/>
  <c r="BT119" i="1"/>
  <c r="BT186" i="1"/>
  <c r="BT179" i="1"/>
  <c r="BT175" i="1"/>
  <c r="BT64" i="1"/>
  <c r="BT174" i="1" s="1"/>
  <c r="BT61" i="1"/>
  <c r="BT50" i="1"/>
  <c r="BT46" i="1" s="1"/>
  <c r="BT48" i="1"/>
  <c r="BT63" i="1" s="1"/>
  <c r="BT86" i="1" s="1"/>
  <c r="BT38" i="1"/>
  <c r="BT37" i="1"/>
  <c r="BT36" i="1"/>
  <c r="BT35" i="1"/>
  <c r="BT19" i="1"/>
  <c r="BT27" i="1" s="1"/>
  <c r="D91" i="3"/>
  <c r="D81" i="3"/>
  <c r="D76" i="3"/>
  <c r="D96" i="3"/>
  <c r="D88" i="3"/>
  <c r="J60" i="3"/>
  <c r="J57" i="3"/>
  <c r="O167" i="2"/>
  <c r="AV507" i="2"/>
  <c r="AV378" i="2"/>
  <c r="AV367" i="2"/>
  <c r="AV356" i="2"/>
  <c r="AV75" i="2"/>
  <c r="AV70" i="2"/>
  <c r="AV69" i="2"/>
  <c r="AV68" i="2"/>
  <c r="AV23" i="2"/>
  <c r="AV18" i="2"/>
  <c r="AV17" i="2"/>
  <c r="AV16" i="2"/>
  <c r="AW223" i="2" l="1"/>
  <c r="AW257" i="2" s="1"/>
  <c r="AW266" i="2"/>
  <c r="AW258" i="2"/>
  <c r="AW236" i="2"/>
  <c r="AW241" i="2" s="1"/>
  <c r="BA236" i="2"/>
  <c r="BA241" i="2" s="1"/>
  <c r="BA161" i="2"/>
  <c r="BA163" i="2"/>
  <c r="BA151" i="2"/>
  <c r="BA164" i="2"/>
  <c r="BA155" i="2"/>
  <c r="BA165" i="2"/>
  <c r="BA156" i="2"/>
  <c r="BA166" i="2"/>
  <c r="BA157" i="2"/>
  <c r="BA167" i="2"/>
  <c r="BA158" i="2"/>
  <c r="O160" i="2"/>
  <c r="O159" i="2"/>
  <c r="O166" i="2"/>
  <c r="O158" i="2"/>
  <c r="O165" i="2"/>
  <c r="O157" i="2"/>
  <c r="O164" i="2"/>
  <c r="O156" i="2"/>
  <c r="O163" i="2"/>
  <c r="O162" i="2"/>
  <c r="O161" i="2"/>
  <c r="BC223" i="1"/>
  <c r="BL230" i="1"/>
  <c r="BR230" i="1"/>
  <c r="BQ223" i="1"/>
  <c r="BM245" i="1"/>
  <c r="R73" i="1"/>
  <c r="R69" i="1"/>
  <c r="BM247" i="1"/>
  <c r="BM193" i="1"/>
  <c r="BM266" i="1" s="1"/>
  <c r="BM116" i="1"/>
  <c r="BM129" i="1" s="1"/>
  <c r="BM68" i="1"/>
  <c r="BM72" i="1" s="1"/>
  <c r="BM187" i="1"/>
  <c r="BT172" i="1"/>
  <c r="BM42" i="1"/>
  <c r="BM43" i="1"/>
  <c r="BM29" i="1"/>
  <c r="BM32" i="1" s="1"/>
  <c r="BM178" i="1"/>
  <c r="BM251" i="1"/>
  <c r="BM161" i="1"/>
  <c r="BM96" i="1"/>
  <c r="BM134" i="1" s="1"/>
  <c r="BM234" i="1" s="1"/>
  <c r="BM183" i="1"/>
  <c r="BM256" i="1"/>
  <c r="BM39" i="1"/>
  <c r="BM49" i="1"/>
  <c r="BM51" i="1" s="1"/>
  <c r="BM248" i="1"/>
  <c r="BM45" i="1"/>
  <c r="BT187" i="1"/>
  <c r="BM179" i="1"/>
  <c r="BM259" i="1"/>
  <c r="BM252" i="1"/>
  <c r="BT102" i="1"/>
  <c r="BT123" i="1"/>
  <c r="BT193" i="1" s="1"/>
  <c r="BT266" i="1" s="1"/>
  <c r="BT45" i="1"/>
  <c r="BT49" i="1"/>
  <c r="BT51" i="1" s="1"/>
  <c r="BT55" i="1" s="1"/>
  <c r="BT268" i="1"/>
  <c r="BT96" i="1"/>
  <c r="BT134" i="1" s="1"/>
  <c r="BT234" i="1" s="1"/>
  <c r="BT161" i="1"/>
  <c r="BT43" i="1"/>
  <c r="BT29" i="1"/>
  <c r="BT42" i="1"/>
  <c r="BT39" i="1"/>
  <c r="BT249" i="1"/>
  <c r="BT257" i="1"/>
  <c r="BT68" i="1"/>
  <c r="BT237" i="1"/>
  <c r="BT250" i="1"/>
  <c r="BT258" i="1"/>
  <c r="BT259" i="1"/>
  <c r="BT243" i="1"/>
  <c r="BT252" i="1"/>
  <c r="BT247" i="1"/>
  <c r="BT253" i="1"/>
  <c r="BT248" i="1"/>
  <c r="BT254" i="1"/>
  <c r="D97" i="3"/>
  <c r="O155" i="2"/>
  <c r="O513" i="2"/>
  <c r="O500" i="2"/>
  <c r="O486" i="2"/>
  <c r="O378" i="2"/>
  <c r="O367" i="2"/>
  <c r="O356" i="2"/>
  <c r="O107" i="2"/>
  <c r="O105" i="2"/>
  <c r="O103" i="2"/>
  <c r="O101" i="2"/>
  <c r="O100" i="2"/>
  <c r="O99" i="2"/>
  <c r="O72" i="2"/>
  <c r="O74" i="2" s="1"/>
  <c r="O55" i="2"/>
  <c r="O53" i="2"/>
  <c r="O51" i="2"/>
  <c r="O49" i="2"/>
  <c r="O48" i="2"/>
  <c r="O47" i="2"/>
  <c r="O20" i="2"/>
  <c r="O22" i="2" s="1"/>
  <c r="O37" i="2" s="1"/>
  <c r="BJ218" i="1"/>
  <c r="BI218" i="1"/>
  <c r="BH218" i="1"/>
  <c r="BG218" i="1"/>
  <c r="BF218" i="1"/>
  <c r="BE218" i="1"/>
  <c r="BD218" i="1"/>
  <c r="BB218" i="1"/>
  <c r="AZ218" i="1"/>
  <c r="AX218" i="1"/>
  <c r="AU218" i="1"/>
  <c r="AS218" i="1"/>
  <c r="AR218" i="1"/>
  <c r="AQ218" i="1"/>
  <c r="AP218" i="1"/>
  <c r="AO218" i="1"/>
  <c r="AN218" i="1"/>
  <c r="AG218" i="1"/>
  <c r="AF218" i="1"/>
  <c r="AD218" i="1"/>
  <c r="AB218" i="1"/>
  <c r="Z218" i="1"/>
  <c r="Y218" i="1"/>
  <c r="X218" i="1"/>
  <c r="V218" i="1"/>
  <c r="U218" i="1"/>
  <c r="T218" i="1"/>
  <c r="J218" i="1"/>
  <c r="H218" i="1"/>
  <c r="G218" i="1"/>
  <c r="F218" i="1"/>
  <c r="E218" i="1"/>
  <c r="D218" i="1"/>
  <c r="C218" i="1"/>
  <c r="BG217" i="1"/>
  <c r="BH217" i="1"/>
  <c r="BS217" i="1" s="1"/>
  <c r="BI217" i="1"/>
  <c r="BT217" i="1" s="1"/>
  <c r="BJ217" i="1"/>
  <c r="BS216" i="1"/>
  <c r="BS218" i="1" s="1"/>
  <c r="BS215" i="1"/>
  <c r="BL215" i="1"/>
  <c r="BL216" i="1"/>
  <c r="J54" i="3" s="1"/>
  <c r="BS131" i="1"/>
  <c r="BS122" i="1"/>
  <c r="BS121" i="1"/>
  <c r="BS120" i="1"/>
  <c r="BS119" i="1"/>
  <c r="BS118" i="1"/>
  <c r="BS115" i="1"/>
  <c r="BS114" i="1"/>
  <c r="BS113" i="1"/>
  <c r="BS110" i="1"/>
  <c r="BS109" i="1"/>
  <c r="BS108" i="1"/>
  <c r="BL131" i="1"/>
  <c r="BL122" i="1"/>
  <c r="BL121" i="1"/>
  <c r="BL120" i="1"/>
  <c r="BL119" i="1"/>
  <c r="BL118" i="1"/>
  <c r="BL115" i="1"/>
  <c r="BL114" i="1"/>
  <c r="BL113" i="1"/>
  <c r="BL110" i="1"/>
  <c r="D62" i="3" s="1"/>
  <c r="BL109" i="1"/>
  <c r="BL108" i="1"/>
  <c r="BS101" i="1"/>
  <c r="BS100" i="1"/>
  <c r="BS99" i="1"/>
  <c r="BL101" i="1"/>
  <c r="BL100" i="1"/>
  <c r="BL99" i="1"/>
  <c r="P98" i="1"/>
  <c r="BS98" i="1" s="1"/>
  <c r="Q98" i="1"/>
  <c r="BL98" i="1" s="1"/>
  <c r="P75" i="1"/>
  <c r="P76" i="1"/>
  <c r="P77" i="1"/>
  <c r="P73" i="1"/>
  <c r="P71" i="1"/>
  <c r="P70" i="1"/>
  <c r="P180" i="1" s="1"/>
  <c r="P69" i="1"/>
  <c r="Q75" i="1"/>
  <c r="Q76" i="1"/>
  <c r="Q77" i="1"/>
  <c r="Q187" i="1" s="1"/>
  <c r="Q70" i="1"/>
  <c r="Q180" i="1" s="1"/>
  <c r="Q73" i="1"/>
  <c r="Q71" i="1"/>
  <c r="Q69" i="1"/>
  <c r="Q179" i="1" s="1"/>
  <c r="Q65" i="1"/>
  <c r="Q175" i="1" s="1"/>
  <c r="P65" i="1"/>
  <c r="P175" i="1" s="1"/>
  <c r="BS9" i="1"/>
  <c r="BS50" i="1" s="1"/>
  <c r="P57" i="1"/>
  <c r="CC31" i="1"/>
  <c r="CC30" i="1"/>
  <c r="CC28" i="1"/>
  <c r="CC26" i="1"/>
  <c r="CC25" i="1"/>
  <c r="CC24" i="1"/>
  <c r="CC23" i="1"/>
  <c r="CC22" i="1"/>
  <c r="CC21" i="1"/>
  <c r="CC20" i="1"/>
  <c r="CC18" i="1"/>
  <c r="CC17" i="1"/>
  <c r="CC16" i="1"/>
  <c r="CC15" i="1"/>
  <c r="CC14" i="1"/>
  <c r="CC13" i="1"/>
  <c r="CC12" i="1"/>
  <c r="CC11" i="1"/>
  <c r="CC10" i="1"/>
  <c r="CC9" i="1"/>
  <c r="CC7" i="1"/>
  <c r="CB31" i="1"/>
  <c r="CB30" i="1"/>
  <c r="CB28" i="1"/>
  <c r="CB26" i="1"/>
  <c r="CB25" i="1"/>
  <c r="CB24" i="1"/>
  <c r="CB23" i="1"/>
  <c r="CB22" i="1"/>
  <c r="CB21" i="1"/>
  <c r="CB20" i="1"/>
  <c r="CB18" i="1"/>
  <c r="CB17" i="1"/>
  <c r="CB16" i="1"/>
  <c r="CB15" i="1"/>
  <c r="CB14" i="1"/>
  <c r="CB13" i="1"/>
  <c r="CB12" i="1"/>
  <c r="CB11" i="1"/>
  <c r="CB10" i="1"/>
  <c r="CB9" i="1"/>
  <c r="CB7" i="1"/>
  <c r="BH9" i="1"/>
  <c r="BS31" i="1"/>
  <c r="BS30" i="1"/>
  <c r="BS28" i="1"/>
  <c r="BS26" i="1"/>
  <c r="BS25" i="1"/>
  <c r="BS24" i="1"/>
  <c r="BS23" i="1"/>
  <c r="BS22" i="1"/>
  <c r="BS21" i="1"/>
  <c r="BS20" i="1"/>
  <c r="BS18" i="1"/>
  <c r="BS17" i="1"/>
  <c r="BS16" i="1"/>
  <c r="BS15" i="1"/>
  <c r="BS14" i="1"/>
  <c r="BS13" i="1"/>
  <c r="BS12" i="1"/>
  <c r="BS11" i="1"/>
  <c r="BS10" i="1"/>
  <c r="BS7" i="1"/>
  <c r="BL31" i="1"/>
  <c r="R31" i="1" s="1"/>
  <c r="BL30" i="1"/>
  <c r="R30" i="1" s="1"/>
  <c r="BL28" i="1"/>
  <c r="R28" i="1" s="1"/>
  <c r="BL26" i="1"/>
  <c r="R26" i="1" s="1"/>
  <c r="BL25" i="1"/>
  <c r="R25" i="1" s="1"/>
  <c r="BL24" i="1"/>
  <c r="R24" i="1" s="1"/>
  <c r="BL23" i="1"/>
  <c r="R23" i="1" s="1"/>
  <c r="BL22" i="1"/>
  <c r="R22" i="1" s="1"/>
  <c r="BL21" i="1"/>
  <c r="R21" i="1" s="1"/>
  <c r="BL20" i="1"/>
  <c r="R20" i="1" s="1"/>
  <c r="BL18" i="1"/>
  <c r="R18" i="1" s="1"/>
  <c r="BL17" i="1"/>
  <c r="R17" i="1" s="1"/>
  <c r="BL16" i="1"/>
  <c r="R16" i="1" s="1"/>
  <c r="BL15" i="1"/>
  <c r="R15" i="1" s="1"/>
  <c r="BL14" i="1"/>
  <c r="R14" i="1" s="1"/>
  <c r="BL13" i="1"/>
  <c r="R13" i="1" s="1"/>
  <c r="BL12" i="1"/>
  <c r="R12" i="1" s="1"/>
  <c r="BL11" i="1"/>
  <c r="R11" i="1" s="1"/>
  <c r="BL10" i="1"/>
  <c r="R10" i="1" s="1"/>
  <c r="BL9" i="1"/>
  <c r="R9" i="1" s="1"/>
  <c r="BL7" i="1"/>
  <c r="P8" i="1"/>
  <c r="BS236" i="1"/>
  <c r="BS235" i="1"/>
  <c r="BS220" i="1"/>
  <c r="BS163" i="1"/>
  <c r="BS162" i="1"/>
  <c r="BS147" i="1"/>
  <c r="BS48" i="1"/>
  <c r="BS63" i="1" s="1"/>
  <c r="BS86" i="1" s="1"/>
  <c r="BS161" i="1" s="1"/>
  <c r="BO7" i="1"/>
  <c r="BL236" i="1"/>
  <c r="BL235" i="1"/>
  <c r="BL220" i="1"/>
  <c r="BL163" i="1"/>
  <c r="BL162" i="1"/>
  <c r="BL147" i="1"/>
  <c r="BL48" i="1"/>
  <c r="BL63" i="1" s="1"/>
  <c r="BL86" i="1" s="1"/>
  <c r="Q236" i="1"/>
  <c r="Q235" i="1"/>
  <c r="Q220" i="1"/>
  <c r="Q189" i="1"/>
  <c r="Q184" i="1"/>
  <c r="Q177" i="1"/>
  <c r="Q176" i="1"/>
  <c r="Q164" i="1"/>
  <c r="Q163" i="1"/>
  <c r="Q162" i="1"/>
  <c r="Q161" i="1"/>
  <c r="Q147" i="1"/>
  <c r="Q134" i="1"/>
  <c r="Q234" i="1" s="1"/>
  <c r="Q123" i="1"/>
  <c r="Q154" i="1" s="1"/>
  <c r="Q112" i="1"/>
  <c r="Q111" i="1" s="1"/>
  <c r="Q107" i="1"/>
  <c r="Q106" i="1" s="1"/>
  <c r="Q102" i="1"/>
  <c r="Q96" i="1"/>
  <c r="Q91" i="1"/>
  <c r="Q151" i="1" s="1"/>
  <c r="Q87" i="1"/>
  <c r="Q148" i="1" s="1"/>
  <c r="Q86" i="1"/>
  <c r="Q186" i="1"/>
  <c r="Q63" i="1"/>
  <c r="Q59" i="1"/>
  <c r="Q170" i="1" s="1"/>
  <c r="Q58" i="1"/>
  <c r="Q57" i="1"/>
  <c r="Q50" i="1"/>
  <c r="Q46" i="1" s="1"/>
  <c r="Q48" i="1"/>
  <c r="Q38" i="1"/>
  <c r="Q37" i="1"/>
  <c r="Q36" i="1"/>
  <c r="Q35" i="1"/>
  <c r="Q19" i="1"/>
  <c r="Q39" i="1" s="1"/>
  <c r="Q8" i="1"/>
  <c r="P236" i="1"/>
  <c r="P235" i="1"/>
  <c r="P220" i="1"/>
  <c r="P189" i="1"/>
  <c r="P184" i="1"/>
  <c r="P177" i="1"/>
  <c r="P176" i="1"/>
  <c r="P164" i="1"/>
  <c r="P163" i="1"/>
  <c r="P162" i="1"/>
  <c r="P161" i="1"/>
  <c r="P147" i="1"/>
  <c r="P134" i="1"/>
  <c r="P234" i="1" s="1"/>
  <c r="P123" i="1"/>
  <c r="P154" i="1" s="1"/>
  <c r="P112" i="1"/>
  <c r="P111" i="1" s="1"/>
  <c r="P107" i="1"/>
  <c r="P106" i="1" s="1"/>
  <c r="P102" i="1"/>
  <c r="P96" i="1"/>
  <c r="P91" i="1"/>
  <c r="P151" i="1" s="1"/>
  <c r="P87" i="1"/>
  <c r="P148" i="1" s="1"/>
  <c r="P86" i="1"/>
  <c r="P185" i="1"/>
  <c r="P63" i="1"/>
  <c r="P59" i="1"/>
  <c r="BS59" i="1" s="1"/>
  <c r="P58" i="1"/>
  <c r="P50" i="1"/>
  <c r="P46" i="1" s="1"/>
  <c r="P48" i="1"/>
  <c r="P38" i="1"/>
  <c r="P37" i="1"/>
  <c r="P36" i="1"/>
  <c r="P35" i="1"/>
  <c r="P19" i="1"/>
  <c r="P27" i="1" s="1"/>
  <c r="D141" i="3"/>
  <c r="D142" i="3" s="1"/>
  <c r="D118" i="3"/>
  <c r="D113" i="3"/>
  <c r="D112" i="3"/>
  <c r="D111" i="3"/>
  <c r="D109" i="3"/>
  <c r="D108" i="3"/>
  <c r="D107" i="3"/>
  <c r="D134" i="3"/>
  <c r="J107" i="3"/>
  <c r="J104" i="3"/>
  <c r="AU76" i="2"/>
  <c r="AW249" i="2" l="1"/>
  <c r="AW237" i="2"/>
  <c r="AW246" i="2"/>
  <c r="AW251" i="2"/>
  <c r="AW244" i="2"/>
  <c r="AW252" i="2"/>
  <c r="AW245" i="2"/>
  <c r="AW247" i="2"/>
  <c r="AW243" i="2"/>
  <c r="AW242" i="2"/>
  <c r="AW250" i="2"/>
  <c r="AW270" i="2"/>
  <c r="AW240" i="2"/>
  <c r="BA237" i="2"/>
  <c r="BA246" i="2"/>
  <c r="BA252" i="2"/>
  <c r="BA251" i="2"/>
  <c r="BA248" i="2"/>
  <c r="BA250" i="2"/>
  <c r="BA247" i="2"/>
  <c r="BA243" i="2"/>
  <c r="BA242" i="2"/>
  <c r="BA244" i="2"/>
  <c r="BA245" i="2"/>
  <c r="BA240" i="2"/>
  <c r="BA249" i="2"/>
  <c r="AW248" i="2"/>
  <c r="BM125" i="1"/>
  <c r="BM195" i="1" s="1"/>
  <c r="BM128" i="1"/>
  <c r="BM145" i="1" s="1"/>
  <c r="BM212" i="1" s="1"/>
  <c r="BM87" i="1"/>
  <c r="R7" i="1"/>
  <c r="BM126" i="1"/>
  <c r="BM196" i="1" s="1"/>
  <c r="BT154" i="1"/>
  <c r="BM41" i="1"/>
  <c r="BM103" i="1"/>
  <c r="BM148" i="1"/>
  <c r="BM40" i="1"/>
  <c r="BM182" i="1"/>
  <c r="BM78" i="1"/>
  <c r="BM255" i="1"/>
  <c r="Q165" i="1"/>
  <c r="BT260" i="1"/>
  <c r="BM53" i="1"/>
  <c r="BM55" i="1"/>
  <c r="BM274" i="1"/>
  <c r="BM155" i="1"/>
  <c r="BM132" i="1"/>
  <c r="BM199" i="1"/>
  <c r="BT53" i="1"/>
  <c r="E62" i="3"/>
  <c r="BT256" i="1"/>
  <c r="BT183" i="1"/>
  <c r="BS87" i="1"/>
  <c r="BT148" i="1"/>
  <c r="BS90" i="1"/>
  <c r="BT32" i="1"/>
  <c r="P90" i="1"/>
  <c r="BT245" i="1"/>
  <c r="BT178" i="1"/>
  <c r="BT72" i="1"/>
  <c r="BT251" i="1"/>
  <c r="E93" i="3"/>
  <c r="E87" i="3"/>
  <c r="E86" i="3"/>
  <c r="E84" i="3"/>
  <c r="E95" i="3"/>
  <c r="E94" i="3"/>
  <c r="D71" i="3"/>
  <c r="E71" i="3" s="1"/>
  <c r="R218" i="1"/>
  <c r="D66" i="3"/>
  <c r="E66" i="3" s="1"/>
  <c r="E83" i="3"/>
  <c r="E85" i="3"/>
  <c r="BS8" i="1"/>
  <c r="E82" i="3"/>
  <c r="D64" i="3"/>
  <c r="E64" i="3" s="1"/>
  <c r="D65" i="3"/>
  <c r="E65" i="3" s="1"/>
  <c r="E96" i="3"/>
  <c r="D60" i="3"/>
  <c r="D61" i="3"/>
  <c r="E61" i="3" s="1"/>
  <c r="BL218" i="1"/>
  <c r="E92" i="3"/>
  <c r="O40" i="2"/>
  <c r="O78" i="2"/>
  <c r="O83" i="2"/>
  <c r="O93" i="2"/>
  <c r="O84" i="2"/>
  <c r="O24" i="2"/>
  <c r="O26" i="2"/>
  <c r="O39" i="2"/>
  <c r="O31" i="2"/>
  <c r="O41" i="2"/>
  <c r="O85" i="2"/>
  <c r="O32" i="2"/>
  <c r="O86" i="2"/>
  <c r="O33" i="2"/>
  <c r="O87" i="2"/>
  <c r="O34" i="2"/>
  <c r="O89" i="2"/>
  <c r="O35" i="2"/>
  <c r="O76" i="2"/>
  <c r="O91" i="2"/>
  <c r="O92" i="2"/>
  <c r="BS112" i="1"/>
  <c r="BL59" i="1"/>
  <c r="R59" i="1" s="1"/>
  <c r="CC8" i="1"/>
  <c r="BL268" i="1"/>
  <c r="Q216" i="1"/>
  <c r="Q218" i="1" s="1"/>
  <c r="Q185" i="1"/>
  <c r="P60" i="1"/>
  <c r="P181" i="1"/>
  <c r="BL112" i="1"/>
  <c r="BL111" i="1" s="1"/>
  <c r="CB19" i="1"/>
  <c r="BL164" i="1"/>
  <c r="BL37" i="1"/>
  <c r="BL237" i="1"/>
  <c r="BL123" i="1"/>
  <c r="BL36" i="1"/>
  <c r="BL38" i="1"/>
  <c r="BL87" i="1"/>
  <c r="BL148" i="1" s="1"/>
  <c r="Q116" i="1"/>
  <c r="Q41" i="1" s="1"/>
  <c r="BL107" i="1"/>
  <c r="BL106" i="1" s="1"/>
  <c r="BL102" i="1"/>
  <c r="BS96" i="1"/>
  <c r="BS134" i="1" s="1"/>
  <c r="BS234" i="1" s="1"/>
  <c r="Q103" i="1"/>
  <c r="BL35" i="1"/>
  <c r="Q40" i="1"/>
  <c r="BL19" i="1"/>
  <c r="BL50" i="1"/>
  <c r="BL46" i="1" s="1"/>
  <c r="BL161" i="1"/>
  <c r="BL96" i="1"/>
  <c r="BL134" i="1" s="1"/>
  <c r="BL234" i="1" s="1"/>
  <c r="Q181" i="1"/>
  <c r="P193" i="1"/>
  <c r="Q90" i="1"/>
  <c r="Q149" i="1" s="1"/>
  <c r="Q193" i="1"/>
  <c r="Q172" i="1"/>
  <c r="P187" i="1"/>
  <c r="P103" i="1"/>
  <c r="P186" i="1"/>
  <c r="Q45" i="1"/>
  <c r="Q88" i="1"/>
  <c r="Q49" i="1"/>
  <c r="Q51" i="1" s="1"/>
  <c r="Q60" i="1"/>
  <c r="P40" i="1"/>
  <c r="Q61" i="1"/>
  <c r="Q93" i="1"/>
  <c r="Q152" i="1" s="1"/>
  <c r="Q27" i="1"/>
  <c r="Q64" i="1"/>
  <c r="P29" i="1"/>
  <c r="P42" i="1"/>
  <c r="P43" i="1"/>
  <c r="P116" i="1"/>
  <c r="P49" i="1"/>
  <c r="P51" i="1" s="1"/>
  <c r="P179" i="1"/>
  <c r="P45" i="1"/>
  <c r="P88" i="1"/>
  <c r="P39" i="1"/>
  <c r="P64" i="1"/>
  <c r="P170" i="1"/>
  <c r="P61" i="1"/>
  <c r="P93" i="1"/>
  <c r="P152" i="1" s="1"/>
  <c r="D115" i="3"/>
  <c r="BG217" i="2"/>
  <c r="BG216" i="2"/>
  <c r="BG215" i="2"/>
  <c r="BG213" i="2"/>
  <c r="BG212" i="2"/>
  <c r="BG210" i="2"/>
  <c r="BG209" i="2"/>
  <c r="BG208" i="2"/>
  <c r="BG201" i="2"/>
  <c r="BF201" i="2"/>
  <c r="BF202" i="2" s="1"/>
  <c r="BG182" i="2"/>
  <c r="BG181" i="2"/>
  <c r="BG180" i="2"/>
  <c r="BG178" i="2"/>
  <c r="BG177" i="2"/>
  <c r="BG175" i="2"/>
  <c r="BG174" i="2"/>
  <c r="BG173" i="2"/>
  <c r="BG150" i="2"/>
  <c r="BG151" i="2" s="1"/>
  <c r="BF150" i="2"/>
  <c r="BF151" i="2" s="1"/>
  <c r="BG76" i="2"/>
  <c r="BF76" i="2"/>
  <c r="BR216" i="1"/>
  <c r="BR218" i="1" s="1"/>
  <c r="BR215" i="1"/>
  <c r="BQ216" i="1"/>
  <c r="BQ218" i="1" s="1"/>
  <c r="BQ215" i="1"/>
  <c r="BQ237" i="1" s="1"/>
  <c r="BP216" i="1"/>
  <c r="BP218" i="1" s="1"/>
  <c r="BP215" i="1"/>
  <c r="BP249" i="1" s="1"/>
  <c r="BO216" i="1"/>
  <c r="BO218" i="1" s="1"/>
  <c r="BO215" i="1"/>
  <c r="BR217" i="1"/>
  <c r="BC216" i="1"/>
  <c r="BC218" i="1" s="1"/>
  <c r="BC215" i="1"/>
  <c r="BF217" i="1" s="1"/>
  <c r="BQ217" i="1" s="1"/>
  <c r="BA216" i="1"/>
  <c r="BA218" i="1" s="1"/>
  <c r="BA215" i="1"/>
  <c r="AY216" i="1"/>
  <c r="AY218" i="1" s="1"/>
  <c r="AY215" i="1"/>
  <c r="AW216" i="1"/>
  <c r="AW218" i="1" s="1"/>
  <c r="AW215" i="1"/>
  <c r="AT216" i="1"/>
  <c r="AT215" i="1"/>
  <c r="AV215" i="1" s="1"/>
  <c r="AS217" i="1"/>
  <c r="AR217" i="1"/>
  <c r="AQ217" i="1"/>
  <c r="AW217" i="1" s="1"/>
  <c r="AK216" i="1"/>
  <c r="AK218" i="1" s="1"/>
  <c r="AK215" i="1"/>
  <c r="AJ216" i="1"/>
  <c r="AJ218" i="1" s="1"/>
  <c r="AJ215" i="1"/>
  <c r="AG217" i="1"/>
  <c r="AB217" i="1"/>
  <c r="AA217" i="1"/>
  <c r="Z217" i="1"/>
  <c r="Y217" i="1"/>
  <c r="X217" i="1"/>
  <c r="W217" i="1"/>
  <c r="G217" i="1"/>
  <c r="F217" i="1"/>
  <c r="E217" i="1"/>
  <c r="D217" i="1"/>
  <c r="C217" i="1"/>
  <c r="BR163" i="1"/>
  <c r="BR131" i="1"/>
  <c r="BQ131" i="1"/>
  <c r="BP131" i="1"/>
  <c r="BR122" i="1"/>
  <c r="BR121" i="1"/>
  <c r="BR120" i="1"/>
  <c r="BR119" i="1"/>
  <c r="BR118" i="1"/>
  <c r="BQ122" i="1"/>
  <c r="BQ121" i="1"/>
  <c r="BQ120" i="1"/>
  <c r="BQ119" i="1"/>
  <c r="BQ118" i="1"/>
  <c r="BP122" i="1"/>
  <c r="BP121" i="1"/>
  <c r="BP120" i="1"/>
  <c r="BP119" i="1"/>
  <c r="BP118" i="1"/>
  <c r="BR115" i="1"/>
  <c r="BR114" i="1"/>
  <c r="BR113" i="1"/>
  <c r="BR110" i="1"/>
  <c r="BR109" i="1"/>
  <c r="BR108" i="1"/>
  <c r="BQ115" i="1"/>
  <c r="BQ114" i="1"/>
  <c r="BQ113" i="1"/>
  <c r="BQ110" i="1"/>
  <c r="BQ109" i="1"/>
  <c r="BQ108" i="1"/>
  <c r="BP115" i="1"/>
  <c r="BP114" i="1"/>
  <c r="BP113" i="1"/>
  <c r="BP110" i="1"/>
  <c r="BP109" i="1"/>
  <c r="BP108" i="1"/>
  <c r="BR101" i="1"/>
  <c r="BR100" i="1"/>
  <c r="BR99" i="1"/>
  <c r="BQ101" i="1"/>
  <c r="BQ100" i="1"/>
  <c r="BQ99" i="1"/>
  <c r="BP101" i="1"/>
  <c r="BP100" i="1"/>
  <c r="BP99" i="1"/>
  <c r="BK215" i="1"/>
  <c r="BK216" i="1"/>
  <c r="BR60" i="1"/>
  <c r="BP60" i="1"/>
  <c r="BK60" i="1"/>
  <c r="BK98" i="1"/>
  <c r="BS268" i="1"/>
  <c r="BO220" i="1"/>
  <c r="BP220" i="1"/>
  <c r="BQ220" i="1"/>
  <c r="BR220" i="1"/>
  <c r="BO235" i="1"/>
  <c r="BP235" i="1"/>
  <c r="BQ235" i="1"/>
  <c r="BR235" i="1"/>
  <c r="BO236" i="1"/>
  <c r="BP236" i="1"/>
  <c r="BQ236" i="1"/>
  <c r="BR236" i="1"/>
  <c r="BR79" i="1"/>
  <c r="BR74" i="1"/>
  <c r="BR67" i="1"/>
  <c r="BR66" i="1"/>
  <c r="BK79" i="1"/>
  <c r="BK67" i="1"/>
  <c r="BK66" i="1"/>
  <c r="BY77" i="1"/>
  <c r="BY76" i="1"/>
  <c r="BY75" i="1"/>
  <c r="BY73" i="1"/>
  <c r="BY71" i="1"/>
  <c r="BY70" i="1"/>
  <c r="BR70" i="1" s="1"/>
  <c r="BY69" i="1"/>
  <c r="BY65" i="1"/>
  <c r="BA253" i="2" l="1"/>
  <c r="AW253" i="2"/>
  <c r="BM270" i="1"/>
  <c r="BM156" i="1"/>
  <c r="BM273" i="1"/>
  <c r="BM287" i="1" s="1"/>
  <c r="BM198" i="1"/>
  <c r="BM271" i="1"/>
  <c r="Q268" i="1"/>
  <c r="Q227" i="1"/>
  <c r="BL170" i="1"/>
  <c r="BL172" i="1" s="1"/>
  <c r="BM90" i="1"/>
  <c r="BM261" i="1"/>
  <c r="R80" i="1"/>
  <c r="BM188" i="1"/>
  <c r="BM217" i="1"/>
  <c r="BL243" i="1"/>
  <c r="BL245" i="1" s="1"/>
  <c r="BT255" i="1"/>
  <c r="BT182" i="1"/>
  <c r="BT78" i="1"/>
  <c r="BL90" i="1"/>
  <c r="D73" i="3" s="1"/>
  <c r="J61" i="3" s="1"/>
  <c r="E88" i="3"/>
  <c r="BT149" i="1"/>
  <c r="BT201" i="1"/>
  <c r="BL61" i="1"/>
  <c r="Q171" i="1"/>
  <c r="BL154" i="1"/>
  <c r="D69" i="3"/>
  <c r="Q215" i="1"/>
  <c r="Q259" i="1" s="1"/>
  <c r="E97" i="3"/>
  <c r="J101" i="3"/>
  <c r="E137" i="3" s="1"/>
  <c r="BK218" i="1"/>
  <c r="Q266" i="1"/>
  <c r="E60" i="3"/>
  <c r="E68" i="3" s="1"/>
  <c r="D68" i="3"/>
  <c r="BL60" i="1"/>
  <c r="BP268" i="1"/>
  <c r="AV216" i="1"/>
  <c r="AV218" i="1" s="1"/>
  <c r="AT218" i="1"/>
  <c r="BL27" i="1"/>
  <c r="BL43" i="1" s="1"/>
  <c r="R217" i="1"/>
  <c r="O94" i="2"/>
  <c r="O42" i="2"/>
  <c r="Q254" i="1"/>
  <c r="BL64" i="1"/>
  <c r="BL174" i="1" s="1"/>
  <c r="BS107" i="1"/>
  <c r="BS106" i="1" s="1"/>
  <c r="Q129" i="1"/>
  <c r="Q274" i="1" s="1"/>
  <c r="Q126" i="1"/>
  <c r="Q271" i="1" s="1"/>
  <c r="CC19" i="1"/>
  <c r="BS123" i="1"/>
  <c r="BS40" i="1" s="1"/>
  <c r="BR268" i="1"/>
  <c r="BL193" i="1"/>
  <c r="BL266" i="1" s="1"/>
  <c r="BL40" i="1"/>
  <c r="CB27" i="1"/>
  <c r="BL116" i="1"/>
  <c r="BL125" i="1" s="1"/>
  <c r="BL103" i="1"/>
  <c r="BQ243" i="1"/>
  <c r="BQ245" i="1" s="1"/>
  <c r="Q128" i="1"/>
  <c r="Q139" i="1" s="1"/>
  <c r="Q125" i="1"/>
  <c r="Q136" i="1" s="1"/>
  <c r="Q203" i="1" s="1"/>
  <c r="BL49" i="1"/>
  <c r="BL51" i="1" s="1"/>
  <c r="BB217" i="1"/>
  <c r="BC217" i="1" s="1"/>
  <c r="BS102" i="1"/>
  <c r="BQ102" i="1"/>
  <c r="BQ268" i="1"/>
  <c r="Q142" i="1"/>
  <c r="Q209" i="1" s="1"/>
  <c r="BP262" i="1"/>
  <c r="BR249" i="1"/>
  <c r="BP243" i="1"/>
  <c r="BL39" i="1"/>
  <c r="AX217" i="1"/>
  <c r="AY217" i="1" s="1"/>
  <c r="BP258" i="1"/>
  <c r="Q143" i="1"/>
  <c r="Q210" i="1" s="1"/>
  <c r="Q201" i="1"/>
  <c r="BR253" i="1"/>
  <c r="BP254" i="1"/>
  <c r="BP257" i="1"/>
  <c r="BP253" i="1"/>
  <c r="BK217" i="1"/>
  <c r="BL217" i="1"/>
  <c r="BL42" i="1"/>
  <c r="BL29" i="1"/>
  <c r="BP237" i="1"/>
  <c r="BP250" i="1"/>
  <c r="BR257" i="1"/>
  <c r="AT217" i="1"/>
  <c r="AV217" i="1" s="1"/>
  <c r="Q53" i="1"/>
  <c r="Q52" i="1"/>
  <c r="Q89" i="1"/>
  <c r="Q150" i="1"/>
  <c r="Q174" i="1"/>
  <c r="Q68" i="1"/>
  <c r="Q183" i="1"/>
  <c r="BP102" i="1"/>
  <c r="Q55" i="1"/>
  <c r="AZ217" i="1"/>
  <c r="BA217" i="1" s="1"/>
  <c r="Q43" i="1"/>
  <c r="Q42" i="1"/>
  <c r="Q29" i="1"/>
  <c r="AU217" i="1"/>
  <c r="P172" i="1"/>
  <c r="P89" i="1"/>
  <c r="P53" i="1"/>
  <c r="P41" i="1"/>
  <c r="P129" i="1"/>
  <c r="P126" i="1"/>
  <c r="P125" i="1"/>
  <c r="P128" i="1"/>
  <c r="P139" i="1" s="1"/>
  <c r="BQ123" i="1"/>
  <c r="P183" i="1"/>
  <c r="BP123" i="1"/>
  <c r="P55" i="1"/>
  <c r="P174" i="1"/>
  <c r="P68" i="1"/>
  <c r="BD217" i="1"/>
  <c r="BO217" i="1" s="1"/>
  <c r="P92" i="1"/>
  <c r="P32" i="1"/>
  <c r="BE217" i="1"/>
  <c r="BP217" i="1" s="1"/>
  <c r="P143" i="1"/>
  <c r="P210" i="1" s="1"/>
  <c r="P142" i="1"/>
  <c r="P209" i="1" s="1"/>
  <c r="P201" i="1"/>
  <c r="P149" i="1"/>
  <c r="D119" i="3"/>
  <c r="BF167" i="2"/>
  <c r="BF155" i="2"/>
  <c r="BF156" i="2"/>
  <c r="BF157" i="2"/>
  <c r="BG155" i="2"/>
  <c r="BG160" i="2"/>
  <c r="BG161" i="2"/>
  <c r="BG163" i="2"/>
  <c r="BG164" i="2"/>
  <c r="BF165" i="2"/>
  <c r="BG165" i="2"/>
  <c r="BF166" i="2"/>
  <c r="BF158" i="2"/>
  <c r="BF160" i="2"/>
  <c r="BG156" i="2"/>
  <c r="BG166" i="2"/>
  <c r="BF161" i="2"/>
  <c r="BG157" i="2"/>
  <c r="BG167" i="2"/>
  <c r="BF163" i="2"/>
  <c r="BG158" i="2"/>
  <c r="BF164" i="2"/>
  <c r="BG219" i="2"/>
  <c r="BG184" i="2"/>
  <c r="BG202" i="2"/>
  <c r="BR243" i="1"/>
  <c r="BR237" i="1"/>
  <c r="BR262" i="1"/>
  <c r="BR250" i="1"/>
  <c r="BR123" i="1"/>
  <c r="BR102" i="1"/>
  <c r="BY45" i="1"/>
  <c r="BZ77" i="1"/>
  <c r="BZ76" i="1"/>
  <c r="BZ75" i="1"/>
  <c r="BZ73" i="1"/>
  <c r="BZ71" i="1"/>
  <c r="BZ70" i="1"/>
  <c r="BK70" i="1" s="1"/>
  <c r="BZ69" i="1"/>
  <c r="BZ45" i="1" s="1"/>
  <c r="BZ65" i="1"/>
  <c r="BK8" i="1"/>
  <c r="BR8" i="1"/>
  <c r="BK268" i="1"/>
  <c r="BK243" i="1"/>
  <c r="BK237" i="1"/>
  <c r="BK236" i="1"/>
  <c r="BK235" i="1"/>
  <c r="BK220" i="1"/>
  <c r="BK170" i="1"/>
  <c r="BK164" i="1"/>
  <c r="BK163" i="1"/>
  <c r="BK162" i="1"/>
  <c r="BK147" i="1"/>
  <c r="BK123" i="1"/>
  <c r="BK112" i="1"/>
  <c r="BK111" i="1" s="1"/>
  <c r="BK107" i="1"/>
  <c r="BK106" i="1" s="1"/>
  <c r="BK102" i="1"/>
  <c r="BK64" i="1"/>
  <c r="BK174" i="1" s="1"/>
  <c r="BK61" i="1"/>
  <c r="BK50" i="1"/>
  <c r="BK46" i="1" s="1"/>
  <c r="BK48" i="1"/>
  <c r="BK63" i="1" s="1"/>
  <c r="BK86" i="1" s="1"/>
  <c r="BK38" i="1"/>
  <c r="BK37" i="1"/>
  <c r="BK36" i="1"/>
  <c r="BK35" i="1"/>
  <c r="BK19" i="1"/>
  <c r="BK27" i="1" s="1"/>
  <c r="BR170" i="1"/>
  <c r="BR164" i="1"/>
  <c r="BR162" i="1"/>
  <c r="BR147" i="1"/>
  <c r="BR64" i="1"/>
  <c r="BR61" i="1"/>
  <c r="BR50" i="1"/>
  <c r="BR46" i="1" s="1"/>
  <c r="BR48" i="1"/>
  <c r="BR63" i="1" s="1"/>
  <c r="BR86" i="1" s="1"/>
  <c r="BR161" i="1" s="1"/>
  <c r="BR38" i="1"/>
  <c r="BR37" i="1"/>
  <c r="BR36" i="1"/>
  <c r="BR35" i="1"/>
  <c r="BR19" i="1"/>
  <c r="BZ64" i="1"/>
  <c r="BY64" i="1"/>
  <c r="BZ61" i="1"/>
  <c r="BY61" i="1"/>
  <c r="BZ60" i="1"/>
  <c r="BZ50" i="1"/>
  <c r="BZ46" i="1" s="1"/>
  <c r="BY50" i="1"/>
  <c r="BY46" i="1" s="1"/>
  <c r="BZ48" i="1"/>
  <c r="BZ63" i="1" s="1"/>
  <c r="BY48" i="1"/>
  <c r="BY63" i="1" s="1"/>
  <c r="BZ38" i="1"/>
  <c r="BY38" i="1"/>
  <c r="BZ37" i="1"/>
  <c r="BY37" i="1"/>
  <c r="BZ36" i="1"/>
  <c r="BY36" i="1"/>
  <c r="BZ35" i="1"/>
  <c r="BY35" i="1"/>
  <c r="BZ19" i="1"/>
  <c r="BZ49" i="1" s="1"/>
  <c r="BY19" i="1"/>
  <c r="BY39" i="1" s="1"/>
  <c r="BZ8" i="1"/>
  <c r="E118" i="3" l="1"/>
  <c r="E131" i="3"/>
  <c r="E141" i="3"/>
  <c r="BL149" i="1"/>
  <c r="BL201" i="1"/>
  <c r="Q140" i="1"/>
  <c r="E128" i="3"/>
  <c r="E138" i="3"/>
  <c r="Q132" i="1"/>
  <c r="BM190" i="1"/>
  <c r="BM263" i="1"/>
  <c r="Q199" i="1"/>
  <c r="E111" i="3"/>
  <c r="Q155" i="1"/>
  <c r="Q228" i="1" s="1"/>
  <c r="BM81" i="1"/>
  <c r="E107" i="3"/>
  <c r="E140" i="3"/>
  <c r="BM201" i="1"/>
  <c r="BM149" i="1"/>
  <c r="BM137" i="1"/>
  <c r="BM204" i="1" s="1"/>
  <c r="BM139" i="1"/>
  <c r="BM136" i="1"/>
  <c r="BM203" i="1" s="1"/>
  <c r="BM140" i="1"/>
  <c r="Q243" i="1"/>
  <c r="E109" i="3"/>
  <c r="E139" i="3"/>
  <c r="E113" i="3"/>
  <c r="E130" i="3"/>
  <c r="E112" i="3"/>
  <c r="E132" i="3"/>
  <c r="E108" i="3"/>
  <c r="E133" i="3"/>
  <c r="E129" i="3"/>
  <c r="BT150" i="1"/>
  <c r="BT188" i="1"/>
  <c r="BT261" i="1"/>
  <c r="J102" i="3"/>
  <c r="J55" i="3"/>
  <c r="E73" i="3" s="1"/>
  <c r="G68" i="3" s="1"/>
  <c r="E72" i="3"/>
  <c r="Q249" i="1"/>
  <c r="Q282" i="1"/>
  <c r="Q237" i="1"/>
  <c r="Q252" i="1"/>
  <c r="Q217" i="1"/>
  <c r="Q262" i="1"/>
  <c r="Q256" i="1"/>
  <c r="Q248" i="1"/>
  <c r="E69" i="3"/>
  <c r="E70" i="3" s="1"/>
  <c r="D77" i="3"/>
  <c r="Q257" i="1"/>
  <c r="BL55" i="1"/>
  <c r="Q253" i="1"/>
  <c r="F68" i="3"/>
  <c r="D72" i="3"/>
  <c r="F72" i="3" s="1"/>
  <c r="D74" i="3"/>
  <c r="D70" i="3"/>
  <c r="F70" i="3" s="1"/>
  <c r="Q247" i="1"/>
  <c r="Q258" i="1"/>
  <c r="Q260" i="1"/>
  <c r="Q250" i="1"/>
  <c r="BL247" i="1"/>
  <c r="BS154" i="1"/>
  <c r="Q196" i="1"/>
  <c r="BS193" i="1"/>
  <c r="BS266" i="1" s="1"/>
  <c r="Q137" i="1"/>
  <c r="Q204" i="1" s="1"/>
  <c r="CC27" i="1"/>
  <c r="Q273" i="1"/>
  <c r="Q287" i="1" s="1"/>
  <c r="BL41" i="1"/>
  <c r="Q145" i="1"/>
  <c r="Q212" i="1" s="1"/>
  <c r="BL129" i="1"/>
  <c r="BL274" i="1" s="1"/>
  <c r="Q156" i="1"/>
  <c r="Q198" i="1"/>
  <c r="BL128" i="1"/>
  <c r="BL145" i="1" s="1"/>
  <c r="BL212" i="1" s="1"/>
  <c r="BL126" i="1"/>
  <c r="BL137" i="1" s="1"/>
  <c r="BL204" i="1" s="1"/>
  <c r="BK103" i="1"/>
  <c r="CB29" i="1"/>
  <c r="CB32" i="1" s="1"/>
  <c r="BL53" i="1"/>
  <c r="Q195" i="1"/>
  <c r="Q270" i="1"/>
  <c r="BP245" i="1"/>
  <c r="BL195" i="1"/>
  <c r="BL270" i="1"/>
  <c r="BL136" i="1"/>
  <c r="BL203" i="1" s="1"/>
  <c r="BL32" i="1"/>
  <c r="Q207" i="1"/>
  <c r="Q157" i="1"/>
  <c r="Q92" i="1"/>
  <c r="Q32" i="1"/>
  <c r="Q206" i="1"/>
  <c r="Q158" i="1"/>
  <c r="Q251" i="1"/>
  <c r="Q72" i="1"/>
  <c r="Q178" i="1"/>
  <c r="P150" i="1"/>
  <c r="P72" i="1"/>
  <c r="P178" i="1"/>
  <c r="P195" i="1"/>
  <c r="P136" i="1"/>
  <c r="P203" i="1" s="1"/>
  <c r="P145" i="1"/>
  <c r="P212" i="1" s="1"/>
  <c r="P198" i="1"/>
  <c r="P156" i="1"/>
  <c r="P196" i="1"/>
  <c r="P137" i="1"/>
  <c r="P204" i="1" s="1"/>
  <c r="P132" i="1"/>
  <c r="P140" i="1"/>
  <c r="P155" i="1"/>
  <c r="P199" i="1"/>
  <c r="BK193" i="1"/>
  <c r="BK266" i="1" s="1"/>
  <c r="D116" i="3"/>
  <c r="BK238" i="1"/>
  <c r="BK244" i="1"/>
  <c r="BR174" i="1"/>
  <c r="BR247" i="1"/>
  <c r="BK165" i="1"/>
  <c r="BK171" i="1"/>
  <c r="BR245" i="1"/>
  <c r="BR49" i="1"/>
  <c r="BR51" i="1" s="1"/>
  <c r="BR53" i="1" s="1"/>
  <c r="BK154" i="1"/>
  <c r="BK116" i="1"/>
  <c r="BK129" i="1" s="1"/>
  <c r="BK247" i="1"/>
  <c r="BY27" i="1"/>
  <c r="BY43" i="1" s="1"/>
  <c r="BK245" i="1"/>
  <c r="BK172" i="1"/>
  <c r="BK42" i="1"/>
  <c r="BK29" i="1"/>
  <c r="BK43" i="1"/>
  <c r="BK161" i="1"/>
  <c r="BK96" i="1"/>
  <c r="BK134" i="1" s="1"/>
  <c r="BK234" i="1" s="1"/>
  <c r="BY68" i="1"/>
  <c r="BY72" i="1" s="1"/>
  <c r="BY78" i="1" s="1"/>
  <c r="BY80" i="1" s="1"/>
  <c r="BR172" i="1"/>
  <c r="BZ68" i="1"/>
  <c r="BZ72" i="1" s="1"/>
  <c r="BZ78" i="1" s="1"/>
  <c r="BK39" i="1"/>
  <c r="BK49" i="1"/>
  <c r="BK51" i="1" s="1"/>
  <c r="BR27" i="1"/>
  <c r="BZ51" i="1"/>
  <c r="BZ55" i="1" s="1"/>
  <c r="BR39" i="1"/>
  <c r="BR96" i="1"/>
  <c r="BR134" i="1" s="1"/>
  <c r="BR234" i="1" s="1"/>
  <c r="BY49" i="1"/>
  <c r="BY51" i="1" s="1"/>
  <c r="BY53" i="1" s="1"/>
  <c r="BZ39" i="1"/>
  <c r="BZ27" i="1"/>
  <c r="BF59" i="1"/>
  <c r="AR66" i="2"/>
  <c r="AR68" i="2"/>
  <c r="AR70" i="2"/>
  <c r="AR75" i="2"/>
  <c r="AT76" i="2"/>
  <c r="BL150" i="1" l="1"/>
  <c r="Q245" i="1"/>
  <c r="BM207" i="1"/>
  <c r="BM157" i="1"/>
  <c r="BM191" i="1"/>
  <c r="BM264" i="1"/>
  <c r="G70" i="3"/>
  <c r="BM150" i="1"/>
  <c r="BM206" i="1"/>
  <c r="BM158" i="1"/>
  <c r="G72" i="3"/>
  <c r="BM278" i="1"/>
  <c r="BM279" i="1"/>
  <c r="BM282" i="1"/>
  <c r="BM281" i="1"/>
  <c r="BT190" i="1"/>
  <c r="BT263" i="1"/>
  <c r="BT81" i="1"/>
  <c r="Q285" i="1"/>
  <c r="Q224" i="1"/>
  <c r="Q225" i="1"/>
  <c r="Q221" i="1"/>
  <c r="Q222" i="1"/>
  <c r="Q231" i="1" s="1"/>
  <c r="D78" i="3"/>
  <c r="E77" i="3"/>
  <c r="E78" i="3" s="1"/>
  <c r="Q279" i="1"/>
  <c r="Q278" i="1"/>
  <c r="Q284" i="1"/>
  <c r="Q281" i="1"/>
  <c r="BL139" i="1"/>
  <c r="BL206" i="1" s="1"/>
  <c r="BL271" i="1"/>
  <c r="BL198" i="1"/>
  <c r="CC29" i="1"/>
  <c r="CC32" i="1" s="1"/>
  <c r="BL155" i="1"/>
  <c r="BL156" i="1"/>
  <c r="BL199" i="1"/>
  <c r="BL273" i="1"/>
  <c r="BL287" i="1" s="1"/>
  <c r="BL140" i="1"/>
  <c r="BL207" i="1" s="1"/>
  <c r="BL132" i="1"/>
  <c r="BL196" i="1"/>
  <c r="Q94" i="1"/>
  <c r="Q153" i="1" s="1"/>
  <c r="Q226" i="1" s="1"/>
  <c r="Q255" i="1"/>
  <c r="Q182" i="1"/>
  <c r="Q78" i="1"/>
  <c r="Q80" i="1" s="1"/>
  <c r="BR55" i="1"/>
  <c r="P182" i="1"/>
  <c r="P78" i="1"/>
  <c r="P80" i="1" s="1"/>
  <c r="P94" i="1"/>
  <c r="P153" i="1" s="1"/>
  <c r="P207" i="1"/>
  <c r="P157" i="1"/>
  <c r="P206" i="1"/>
  <c r="P158" i="1"/>
  <c r="BK125" i="1"/>
  <c r="BK195" i="1" s="1"/>
  <c r="D121" i="3"/>
  <c r="D124" i="3"/>
  <c r="E116" i="3"/>
  <c r="D117" i="3"/>
  <c r="BK52" i="1"/>
  <c r="BK126" i="1"/>
  <c r="BK271" i="1" s="1"/>
  <c r="BK128" i="1"/>
  <c r="BK145" i="1" s="1"/>
  <c r="BK212" i="1" s="1"/>
  <c r="BZ80" i="1"/>
  <c r="BZ81" i="1" s="1"/>
  <c r="BY42" i="1"/>
  <c r="BY29" i="1"/>
  <c r="BY32" i="1" s="1"/>
  <c r="BZ53" i="1"/>
  <c r="BY81" i="1"/>
  <c r="BY82" i="1" s="1"/>
  <c r="BK274" i="1"/>
  <c r="BK199" i="1"/>
  <c r="BK132" i="1"/>
  <c r="BK155" i="1"/>
  <c r="BK53" i="1"/>
  <c r="BK55" i="1"/>
  <c r="BK32" i="1"/>
  <c r="BZ52" i="1"/>
  <c r="BY55" i="1"/>
  <c r="BR43" i="1"/>
  <c r="BR29" i="1"/>
  <c r="BR42" i="1"/>
  <c r="BZ42" i="1"/>
  <c r="BZ43" i="1"/>
  <c r="BZ29" i="1"/>
  <c r="BZ32" i="1" s="1"/>
  <c r="J151" i="3"/>
  <c r="D185" i="3"/>
  <c r="J148" i="3"/>
  <c r="D162" i="3"/>
  <c r="D157" i="3"/>
  <c r="D156" i="3"/>
  <c r="D155" i="3"/>
  <c r="D153" i="3"/>
  <c r="D152" i="3"/>
  <c r="D151" i="3"/>
  <c r="D178" i="3"/>
  <c r="BD217" i="2"/>
  <c r="BD216" i="2"/>
  <c r="BD215" i="2"/>
  <c r="BD213" i="2"/>
  <c r="BD212" i="2"/>
  <c r="BD210" i="2"/>
  <c r="BD209" i="2"/>
  <c r="BD208" i="2"/>
  <c r="BD182" i="2"/>
  <c r="BD181" i="2"/>
  <c r="BD180" i="2"/>
  <c r="BD178" i="2"/>
  <c r="BD177" i="2"/>
  <c r="BD174" i="2"/>
  <c r="BD175" i="2"/>
  <c r="BD173" i="2"/>
  <c r="AS150" i="2"/>
  <c r="AS151" i="2" s="1"/>
  <c r="BD201" i="2"/>
  <c r="BD150" i="2"/>
  <c r="BD76" i="2"/>
  <c r="BC201" i="2"/>
  <c r="BC202" i="2" s="1"/>
  <c r="BC150" i="2"/>
  <c r="BC76" i="2"/>
  <c r="AT512" i="2"/>
  <c r="AT511" i="2"/>
  <c r="AT510" i="2"/>
  <c r="AT509" i="2"/>
  <c r="AT508" i="2"/>
  <c r="AT506" i="2"/>
  <c r="AT505" i="2"/>
  <c r="AT504" i="2"/>
  <c r="AT503" i="2"/>
  <c r="AT499" i="2"/>
  <c r="AU499" i="2" s="1"/>
  <c r="AT498" i="2"/>
  <c r="AT497" i="2"/>
  <c r="AT496" i="2"/>
  <c r="AU496" i="2" s="1"/>
  <c r="AT495" i="2"/>
  <c r="AT493" i="2"/>
  <c r="AU493" i="2" s="1"/>
  <c r="AT492" i="2"/>
  <c r="AU492" i="2" s="1"/>
  <c r="AT491" i="2"/>
  <c r="AU491" i="2" s="1"/>
  <c r="AT490" i="2"/>
  <c r="AU490" i="2" s="1"/>
  <c r="AT485" i="2"/>
  <c r="AU485" i="2" s="1"/>
  <c r="AT484" i="2"/>
  <c r="AT483" i="2"/>
  <c r="AT482" i="2"/>
  <c r="AU482" i="2" s="1"/>
  <c r="AT481" i="2"/>
  <c r="AT479" i="2"/>
  <c r="AU479" i="2" s="1"/>
  <c r="AT478" i="2"/>
  <c r="AU478" i="2" s="1"/>
  <c r="AT477" i="2"/>
  <c r="AU477" i="2" s="1"/>
  <c r="AT476" i="2"/>
  <c r="AU476" i="2" s="1"/>
  <c r="J146" i="3"/>
  <c r="J145" i="3"/>
  <c r="BJ98" i="1"/>
  <c r="R107" i="1"/>
  <c r="BQ79" i="1"/>
  <c r="BS79" i="1" s="1"/>
  <c r="BQ74" i="1"/>
  <c r="BQ70" i="1"/>
  <c r="BQ67" i="1"/>
  <c r="BS67" i="1" s="1"/>
  <c r="BQ66" i="1"/>
  <c r="BV77" i="1"/>
  <c r="BR77" i="1" s="1"/>
  <c r="BV76" i="1"/>
  <c r="BR76" i="1" s="1"/>
  <c r="BV75" i="1"/>
  <c r="BV73" i="1"/>
  <c r="BR73" i="1" s="1"/>
  <c r="BV71" i="1"/>
  <c r="BV69" i="1"/>
  <c r="BR69" i="1" s="1"/>
  <c r="BV65" i="1"/>
  <c r="BR65" i="1" s="1"/>
  <c r="BJ79" i="1"/>
  <c r="BJ70" i="1"/>
  <c r="BJ67" i="1"/>
  <c r="BJ66" i="1"/>
  <c r="BW77" i="1"/>
  <c r="BK77" i="1" s="1"/>
  <c r="BW76" i="1"/>
  <c r="BK76" i="1" s="1"/>
  <c r="BW75" i="1"/>
  <c r="BK75" i="1" s="1"/>
  <c r="BW74" i="1"/>
  <c r="BW73" i="1"/>
  <c r="BK73" i="1" s="1"/>
  <c r="BW71" i="1"/>
  <c r="BK71" i="1" s="1"/>
  <c r="BW69" i="1"/>
  <c r="BK69" i="1" s="1"/>
  <c r="BW65" i="1"/>
  <c r="BK65" i="1" s="1"/>
  <c r="BW60" i="1"/>
  <c r="BJ60" i="1"/>
  <c r="BW8" i="1"/>
  <c r="BP8" i="1"/>
  <c r="BQ8" i="1"/>
  <c r="BJ8" i="1"/>
  <c r="BV64" i="1"/>
  <c r="BV61" i="1"/>
  <c r="BV50" i="1"/>
  <c r="BV46" i="1" s="1"/>
  <c r="BV48" i="1"/>
  <c r="BV63" i="1" s="1"/>
  <c r="BV38" i="1"/>
  <c r="BV37" i="1"/>
  <c r="BV36" i="1"/>
  <c r="BV35" i="1"/>
  <c r="BV19" i="1"/>
  <c r="BV27" i="1" s="1"/>
  <c r="BW64" i="1"/>
  <c r="BW61" i="1"/>
  <c r="BW50" i="1"/>
  <c r="BW46" i="1" s="1"/>
  <c r="BW48" i="1"/>
  <c r="BW63" i="1" s="1"/>
  <c r="BW38" i="1"/>
  <c r="BW37" i="1"/>
  <c r="BW36" i="1"/>
  <c r="BW35" i="1"/>
  <c r="BW19" i="1"/>
  <c r="BW27" i="1" s="1"/>
  <c r="BQ170" i="1"/>
  <c r="BQ164" i="1"/>
  <c r="BQ163" i="1"/>
  <c r="BQ162" i="1"/>
  <c r="BQ147" i="1"/>
  <c r="BQ64" i="1"/>
  <c r="BQ247" i="1" s="1"/>
  <c r="BQ61" i="1"/>
  <c r="BQ50" i="1"/>
  <c r="BQ46" i="1" s="1"/>
  <c r="BQ48" i="1"/>
  <c r="BQ63" i="1" s="1"/>
  <c r="BQ86" i="1" s="1"/>
  <c r="BQ38" i="1"/>
  <c r="BQ37" i="1"/>
  <c r="BQ36" i="1"/>
  <c r="BQ35" i="1"/>
  <c r="BQ19" i="1"/>
  <c r="BJ268" i="1"/>
  <c r="BJ237" i="1"/>
  <c r="BJ236" i="1"/>
  <c r="BJ235" i="1"/>
  <c r="BJ220" i="1"/>
  <c r="BJ164" i="1"/>
  <c r="BJ163" i="1"/>
  <c r="BJ162" i="1"/>
  <c r="BJ147" i="1"/>
  <c r="BJ123" i="1"/>
  <c r="BJ193" i="1" s="1"/>
  <c r="BJ266" i="1" s="1"/>
  <c r="BJ112" i="1"/>
  <c r="BJ111" i="1" s="1"/>
  <c r="BJ107" i="1"/>
  <c r="BJ106" i="1" s="1"/>
  <c r="BJ102" i="1"/>
  <c r="BJ243" i="1"/>
  <c r="BJ50" i="1"/>
  <c r="BJ46" i="1" s="1"/>
  <c r="BJ48" i="1"/>
  <c r="BJ63" i="1" s="1"/>
  <c r="BJ86" i="1" s="1"/>
  <c r="BJ38" i="1"/>
  <c r="BJ37" i="1"/>
  <c r="BJ36" i="1"/>
  <c r="BJ35" i="1"/>
  <c r="BJ19" i="1"/>
  <c r="BM88" i="1" s="1"/>
  <c r="J190" i="3"/>
  <c r="E224" i="3" s="1"/>
  <c r="D207" i="3"/>
  <c r="D202" i="3"/>
  <c r="D201" i="3"/>
  <c r="D200" i="3"/>
  <c r="D198" i="3"/>
  <c r="D197" i="3"/>
  <c r="D196" i="3"/>
  <c r="D225" i="3"/>
  <c r="R475" i="2"/>
  <c r="S475" i="2" s="1"/>
  <c r="T475" i="2" s="1"/>
  <c r="V475" i="2"/>
  <c r="W475" i="2" s="1"/>
  <c r="X475" i="2" s="1"/>
  <c r="Z475" i="2"/>
  <c r="AA475" i="2" s="1"/>
  <c r="AD475" i="2"/>
  <c r="AE475" i="2" s="1"/>
  <c r="R476" i="2"/>
  <c r="V476" i="2"/>
  <c r="W476" i="2" s="1"/>
  <c r="X476" i="2" s="1"/>
  <c r="Z476" i="2"/>
  <c r="AA476" i="2" s="1"/>
  <c r="AD476" i="2"/>
  <c r="AE476" i="2" s="1"/>
  <c r="AH476" i="2"/>
  <c r="AI476" i="2" s="1"/>
  <c r="AL476" i="2"/>
  <c r="AM476" i="2" s="1"/>
  <c r="AP476" i="2"/>
  <c r="AQ476" i="2" s="1"/>
  <c r="R477" i="2"/>
  <c r="V477" i="2"/>
  <c r="Z477" i="2"/>
  <c r="AA477" i="2" s="1"/>
  <c r="AD477" i="2"/>
  <c r="AE477" i="2" s="1"/>
  <c r="AH477" i="2"/>
  <c r="AI477" i="2" s="1"/>
  <c r="AL477" i="2"/>
  <c r="AM477" i="2" s="1"/>
  <c r="AN477" i="2" s="1"/>
  <c r="AP477" i="2"/>
  <c r="BT264" i="1" l="1"/>
  <c r="BT84" i="1"/>
  <c r="BT191" i="1"/>
  <c r="BS91" i="1"/>
  <c r="Q223" i="1"/>
  <c r="Q230" i="1"/>
  <c r="AU503" i="2"/>
  <c r="AV503" i="2" s="1"/>
  <c r="AU512" i="2"/>
  <c r="AV512" i="2" s="1"/>
  <c r="S476" i="2"/>
  <c r="T476" i="2" s="1"/>
  <c r="AV476" i="2"/>
  <c r="S477" i="2"/>
  <c r="T477" i="2" s="1"/>
  <c r="AV477" i="2"/>
  <c r="AU481" i="2"/>
  <c r="AU505" i="2"/>
  <c r="AV505" i="2" s="1"/>
  <c r="AU495" i="2"/>
  <c r="AV495" i="2" s="1"/>
  <c r="AU506" i="2"/>
  <c r="AV506" i="2" s="1"/>
  <c r="AU483" i="2"/>
  <c r="AV483" i="2" s="1"/>
  <c r="AU508" i="2"/>
  <c r="AV508" i="2" s="1"/>
  <c r="AU504" i="2"/>
  <c r="AU484" i="2"/>
  <c r="AV484" i="2" s="1"/>
  <c r="AU497" i="2"/>
  <c r="AV497" i="2" s="1"/>
  <c r="AU509" i="2"/>
  <c r="AV509" i="2" s="1"/>
  <c r="AU498" i="2"/>
  <c r="AV498" i="2" s="1"/>
  <c r="AU510" i="2"/>
  <c r="AV510" i="2" s="1"/>
  <c r="AU511" i="2"/>
  <c r="AV511" i="2" s="1"/>
  <c r="BL67" i="1"/>
  <c r="BR260" i="1"/>
  <c r="BL79" i="1"/>
  <c r="BL262" i="1" s="1"/>
  <c r="BQ249" i="1"/>
  <c r="BS66" i="1"/>
  <c r="BR259" i="1"/>
  <c r="BR248" i="1"/>
  <c r="BQ253" i="1"/>
  <c r="BS70" i="1"/>
  <c r="BQ257" i="1"/>
  <c r="BS74" i="1"/>
  <c r="BR256" i="1"/>
  <c r="BL70" i="1"/>
  <c r="BL253" i="1" s="1"/>
  <c r="BL66" i="1"/>
  <c r="BL158" i="1"/>
  <c r="BL157" i="1"/>
  <c r="BK270" i="1"/>
  <c r="BJ27" i="1"/>
  <c r="BJ43" i="1" s="1"/>
  <c r="BK156" i="1"/>
  <c r="Q261" i="1"/>
  <c r="Q188" i="1"/>
  <c r="BK196" i="1"/>
  <c r="D125" i="3"/>
  <c r="E124" i="3"/>
  <c r="E125" i="3" s="1"/>
  <c r="P81" i="1"/>
  <c r="P82" i="1" s="1"/>
  <c r="BS82" i="1" s="1"/>
  <c r="P188" i="1"/>
  <c r="E184" i="3"/>
  <c r="BC151" i="2"/>
  <c r="BC158" i="2"/>
  <c r="BC167" i="2"/>
  <c r="BC157" i="2"/>
  <c r="BC166" i="2"/>
  <c r="BC156" i="2"/>
  <c r="BC165" i="2"/>
  <c r="BC155" i="2"/>
  <c r="BC164" i="2"/>
  <c r="BC163" i="2"/>
  <c r="BC161" i="2"/>
  <c r="BC160" i="2"/>
  <c r="BD151" i="2"/>
  <c r="BD163" i="2"/>
  <c r="BD161" i="2"/>
  <c r="BD160" i="2"/>
  <c r="BD158" i="2"/>
  <c r="BD167" i="2"/>
  <c r="BD157" i="2"/>
  <c r="BD166" i="2"/>
  <c r="BD156" i="2"/>
  <c r="BD165" i="2"/>
  <c r="BD155" i="2"/>
  <c r="BD164" i="2"/>
  <c r="BQ189" i="1"/>
  <c r="BQ262" i="1"/>
  <c r="BQ75" i="1"/>
  <c r="BQ258" i="1" s="1"/>
  <c r="BR75" i="1"/>
  <c r="BR252" i="1"/>
  <c r="BQ71" i="1"/>
  <c r="BQ254" i="1" s="1"/>
  <c r="BR71" i="1"/>
  <c r="BJ74" i="1"/>
  <c r="BK74" i="1"/>
  <c r="BQ250" i="1"/>
  <c r="BK198" i="1"/>
  <c r="BK273" i="1"/>
  <c r="BK287" i="1" s="1"/>
  <c r="BJ165" i="1"/>
  <c r="BJ176" i="1"/>
  <c r="BK250" i="1"/>
  <c r="BK177" i="1"/>
  <c r="BJ238" i="1"/>
  <c r="BK253" i="1"/>
  <c r="BK180" i="1"/>
  <c r="BJ262" i="1"/>
  <c r="BJ71" i="1"/>
  <c r="BQ180" i="1"/>
  <c r="BR32" i="1"/>
  <c r="BR180" i="1"/>
  <c r="BQ27" i="1"/>
  <c r="BQ43" i="1" s="1"/>
  <c r="BQ184" i="1"/>
  <c r="BJ75" i="1"/>
  <c r="BQ176" i="1"/>
  <c r="D160" i="3"/>
  <c r="E160" i="3" s="1"/>
  <c r="E151" i="3"/>
  <c r="E162" i="3"/>
  <c r="E153" i="3"/>
  <c r="E185" i="3"/>
  <c r="E152" i="3"/>
  <c r="E155" i="3"/>
  <c r="E175" i="3"/>
  <c r="E181" i="3"/>
  <c r="E176" i="3"/>
  <c r="E177" i="3"/>
  <c r="E182" i="3"/>
  <c r="E172" i="3"/>
  <c r="E183" i="3"/>
  <c r="E173" i="3"/>
  <c r="E157" i="3"/>
  <c r="E174" i="3"/>
  <c r="BD219" i="2"/>
  <c r="E156" i="3"/>
  <c r="D159" i="3"/>
  <c r="BD202" i="2"/>
  <c r="BQ177" i="1"/>
  <c r="E207" i="3"/>
  <c r="BD184" i="2"/>
  <c r="AT486" i="2"/>
  <c r="AT500" i="2"/>
  <c r="AT513" i="2"/>
  <c r="BJ244" i="1"/>
  <c r="BV68" i="1"/>
  <c r="BV72" i="1" s="1"/>
  <c r="BJ253" i="1"/>
  <c r="BW68" i="1"/>
  <c r="BW72" i="1" s="1"/>
  <c r="BJ154" i="1"/>
  <c r="BV45" i="1"/>
  <c r="E198" i="3"/>
  <c r="BV43" i="1"/>
  <c r="BV42" i="1"/>
  <c r="BV29" i="1"/>
  <c r="BV39" i="1"/>
  <c r="BV49" i="1"/>
  <c r="BV51" i="1" s="1"/>
  <c r="E219" i="3"/>
  <c r="BW43" i="1"/>
  <c r="BW42" i="1"/>
  <c r="BW29" i="1"/>
  <c r="E197" i="3"/>
  <c r="BW49" i="1"/>
  <c r="BW51" i="1" s="1"/>
  <c r="BW39" i="1"/>
  <c r="BJ116" i="1"/>
  <c r="BJ128" i="1" s="1"/>
  <c r="E201" i="3"/>
  <c r="E200" i="3"/>
  <c r="E202" i="3"/>
  <c r="BW45" i="1"/>
  <c r="BQ172" i="1"/>
  <c r="BQ161" i="1"/>
  <c r="BQ96" i="1"/>
  <c r="BQ134" i="1" s="1"/>
  <c r="BQ234" i="1" s="1"/>
  <c r="BQ174" i="1"/>
  <c r="BQ39" i="1"/>
  <c r="BQ49" i="1"/>
  <c r="BQ51" i="1" s="1"/>
  <c r="E196" i="3"/>
  <c r="BJ245" i="1"/>
  <c r="BJ161" i="1"/>
  <c r="BJ96" i="1"/>
  <c r="BJ134" i="1" s="1"/>
  <c r="BJ234" i="1" s="1"/>
  <c r="E222" i="3"/>
  <c r="BJ170" i="1"/>
  <c r="BJ171" i="1" s="1"/>
  <c r="BJ249" i="1"/>
  <c r="BJ177" i="1"/>
  <c r="BJ39" i="1"/>
  <c r="BJ49" i="1"/>
  <c r="BJ51" i="1" s="1"/>
  <c r="BM89" i="1" s="1"/>
  <c r="BJ61" i="1"/>
  <c r="BJ180" i="1"/>
  <c r="BJ250" i="1"/>
  <c r="E228" i="3"/>
  <c r="BJ189" i="1"/>
  <c r="E229" i="3"/>
  <c r="BJ64" i="1"/>
  <c r="E230" i="3"/>
  <c r="E231" i="3"/>
  <c r="E220" i="3"/>
  <c r="E221" i="3"/>
  <c r="E223" i="3"/>
  <c r="D204" i="3"/>
  <c r="AN476" i="2"/>
  <c r="AF476" i="2"/>
  <c r="AF477" i="2"/>
  <c r="AB476" i="2"/>
  <c r="AB475" i="2"/>
  <c r="AQ477" i="2"/>
  <c r="AR477" i="2" s="1"/>
  <c r="W477" i="2"/>
  <c r="X477" i="2" s="1"/>
  <c r="AB477" i="2"/>
  <c r="AJ476" i="2"/>
  <c r="AF475" i="2"/>
  <c r="AJ477" i="2"/>
  <c r="AR476" i="2"/>
  <c r="AS356" i="2"/>
  <c r="AU486" i="2" l="1"/>
  <c r="AV481" i="2"/>
  <c r="BL91" i="1"/>
  <c r="BL151" i="1" s="1"/>
  <c r="BM91" i="1"/>
  <c r="BJ29" i="1"/>
  <c r="BM92" i="1" s="1"/>
  <c r="AU513" i="2"/>
  <c r="AU500" i="2"/>
  <c r="AV504" i="2"/>
  <c r="AV513" i="2" s="1"/>
  <c r="BL249" i="1"/>
  <c r="BL176" i="1"/>
  <c r="BL189" i="1"/>
  <c r="BL250" i="1"/>
  <c r="BL71" i="1"/>
  <c r="BL177" i="1"/>
  <c r="BL75" i="1"/>
  <c r="BL180" i="1"/>
  <c r="BR258" i="1"/>
  <c r="BS75" i="1"/>
  <c r="BJ257" i="1"/>
  <c r="BL74" i="1"/>
  <c r="BR254" i="1"/>
  <c r="BS71" i="1"/>
  <c r="BJ42" i="1"/>
  <c r="BL143" i="1"/>
  <c r="BL210" i="1" s="1"/>
  <c r="BQ181" i="1"/>
  <c r="BJ181" i="1"/>
  <c r="BJ184" i="1"/>
  <c r="Q190" i="1"/>
  <c r="Q263" i="1"/>
  <c r="Q81" i="1"/>
  <c r="P191" i="1"/>
  <c r="P190" i="1"/>
  <c r="BQ185" i="1"/>
  <c r="E142" i="3"/>
  <c r="E115" i="3"/>
  <c r="E134" i="3"/>
  <c r="BR185" i="1"/>
  <c r="BJ52" i="1"/>
  <c r="BQ29" i="1"/>
  <c r="BQ32" i="1" s="1"/>
  <c r="BQ42" i="1"/>
  <c r="BJ254" i="1"/>
  <c r="BK176" i="1"/>
  <c r="BK249" i="1"/>
  <c r="BK262" i="1"/>
  <c r="BK189" i="1"/>
  <c r="BJ258" i="1"/>
  <c r="BJ185" i="1"/>
  <c r="BK184" i="1"/>
  <c r="BK257" i="1"/>
  <c r="BR184" i="1"/>
  <c r="BR181" i="1"/>
  <c r="BR189" i="1"/>
  <c r="BR176" i="1"/>
  <c r="BR177" i="1"/>
  <c r="BW52" i="1"/>
  <c r="D168" i="3"/>
  <c r="E168" i="3" s="1"/>
  <c r="D165" i="3"/>
  <c r="E159" i="3"/>
  <c r="E163" i="3" s="1"/>
  <c r="E178" i="3"/>
  <c r="D163" i="3"/>
  <c r="D161" i="3"/>
  <c r="BJ126" i="1"/>
  <c r="BJ271" i="1" s="1"/>
  <c r="BJ125" i="1"/>
  <c r="BJ270" i="1" s="1"/>
  <c r="BV53" i="1"/>
  <c r="BV55" i="1"/>
  <c r="BJ129" i="1"/>
  <c r="BJ274" i="1" s="1"/>
  <c r="BV32" i="1"/>
  <c r="BV78" i="1"/>
  <c r="BV80" i="1" s="1"/>
  <c r="BW32" i="1"/>
  <c r="BW55" i="1"/>
  <c r="BW53" i="1"/>
  <c r="BW78" i="1"/>
  <c r="BW80" i="1" s="1"/>
  <c r="BQ55" i="1"/>
  <c r="BQ53" i="1"/>
  <c r="BJ273" i="1"/>
  <c r="BJ145" i="1"/>
  <c r="BJ212" i="1" s="1"/>
  <c r="BJ198" i="1"/>
  <c r="BJ156" i="1"/>
  <c r="D232" i="3"/>
  <c r="E232" i="3" s="1"/>
  <c r="BJ174" i="1"/>
  <c r="BJ247" i="1"/>
  <c r="BJ172" i="1"/>
  <c r="BJ53" i="1"/>
  <c r="BJ55" i="1"/>
  <c r="D208" i="3"/>
  <c r="AS217" i="2"/>
  <c r="AS216" i="2"/>
  <c r="AS215" i="2"/>
  <c r="AS213" i="2"/>
  <c r="AS212" i="2"/>
  <c r="AS210" i="2"/>
  <c r="AS209" i="2"/>
  <c r="AS208" i="2"/>
  <c r="AS207" i="2"/>
  <c r="AZ201" i="2"/>
  <c r="AZ202" i="2" s="1"/>
  <c r="AS201" i="2"/>
  <c r="AS202" i="2" s="1"/>
  <c r="AS173" i="2"/>
  <c r="AS174" i="2"/>
  <c r="AS175" i="2"/>
  <c r="AS177" i="2"/>
  <c r="AS178" i="2"/>
  <c r="AS180" i="2"/>
  <c r="AS181" i="2"/>
  <c r="AS182" i="2"/>
  <c r="AS172" i="2"/>
  <c r="AZ150" i="2"/>
  <c r="AS378" i="2"/>
  <c r="AS367" i="2"/>
  <c r="J191" i="3"/>
  <c r="BI98" i="1"/>
  <c r="BI8" i="1"/>
  <c r="BP189" i="1"/>
  <c r="BP185" i="1"/>
  <c r="BP184" i="1"/>
  <c r="BP181" i="1"/>
  <c r="BP180" i="1"/>
  <c r="BP177" i="1"/>
  <c r="BP176" i="1"/>
  <c r="BP170" i="1"/>
  <c r="BP164" i="1"/>
  <c r="BP163" i="1"/>
  <c r="BP162" i="1"/>
  <c r="BP147" i="1"/>
  <c r="BP76" i="1"/>
  <c r="BP259" i="1" s="1"/>
  <c r="BP69" i="1"/>
  <c r="BP65" i="1"/>
  <c r="BP248" i="1" s="1"/>
  <c r="BP64" i="1"/>
  <c r="BP61" i="1"/>
  <c r="BP50" i="1"/>
  <c r="BP46" i="1" s="1"/>
  <c r="BP48" i="1"/>
  <c r="BP63" i="1" s="1"/>
  <c r="BP86" i="1" s="1"/>
  <c r="BP38" i="1"/>
  <c r="BP37" i="1"/>
  <c r="BP36" i="1"/>
  <c r="BP35" i="1"/>
  <c r="BP19" i="1"/>
  <c r="BC87" i="1"/>
  <c r="BI77" i="1"/>
  <c r="BI76" i="1"/>
  <c r="BI69" i="1"/>
  <c r="BI65" i="1"/>
  <c r="BM151" i="1" l="1"/>
  <c r="BM143" i="1"/>
  <c r="BJ32" i="1"/>
  <c r="BL254" i="1"/>
  <c r="BL258" i="1"/>
  <c r="BL181" i="1"/>
  <c r="BL185" i="1"/>
  <c r="BJ69" i="1"/>
  <c r="BL69" i="1" s="1"/>
  <c r="BM93" i="1" s="1"/>
  <c r="BJ76" i="1"/>
  <c r="BL76" i="1" s="1"/>
  <c r="BL184" i="1"/>
  <c r="BL257" i="1"/>
  <c r="BJ77" i="1"/>
  <c r="BL77" i="1" s="1"/>
  <c r="Q191" i="1"/>
  <c r="Q264" i="1"/>
  <c r="E119" i="3"/>
  <c r="E117" i="3"/>
  <c r="AZ151" i="2"/>
  <c r="AZ166" i="2"/>
  <c r="AZ156" i="2"/>
  <c r="AZ165" i="2"/>
  <c r="AZ155" i="2"/>
  <c r="AZ157" i="2"/>
  <c r="AZ164" i="2"/>
  <c r="AZ163" i="2"/>
  <c r="AZ161" i="2"/>
  <c r="AZ160" i="2"/>
  <c r="AZ158" i="2"/>
  <c r="AZ167" i="2"/>
  <c r="BP174" i="1"/>
  <c r="BP247" i="1"/>
  <c r="BQ69" i="1"/>
  <c r="BP252" i="1"/>
  <c r="BK252" i="1"/>
  <c r="BK179" i="1"/>
  <c r="BK45" i="1"/>
  <c r="BK259" i="1"/>
  <c r="BK186" i="1"/>
  <c r="BK254" i="1"/>
  <c r="BK181" i="1"/>
  <c r="BK260" i="1"/>
  <c r="BK187" i="1"/>
  <c r="BK258" i="1"/>
  <c r="BK185" i="1"/>
  <c r="BR179" i="1"/>
  <c r="BR45" i="1"/>
  <c r="D169" i="3"/>
  <c r="E161" i="3"/>
  <c r="E186" i="3"/>
  <c r="D186" i="3"/>
  <c r="BJ65" i="1"/>
  <c r="BQ76" i="1"/>
  <c r="BJ196" i="1"/>
  <c r="BQ65" i="1"/>
  <c r="BJ195" i="1"/>
  <c r="BJ132" i="1"/>
  <c r="BJ199" i="1"/>
  <c r="BJ155" i="1"/>
  <c r="D233" i="3"/>
  <c r="BP175" i="1"/>
  <c r="BW81" i="1"/>
  <c r="BP27" i="1"/>
  <c r="BP42" i="1" s="1"/>
  <c r="BI73" i="1"/>
  <c r="BJ287" i="1"/>
  <c r="AS219" i="2"/>
  <c r="AS184" i="2"/>
  <c r="BP68" i="1"/>
  <c r="BP251" i="1" s="1"/>
  <c r="BP161" i="1"/>
  <c r="BP96" i="1"/>
  <c r="BP134" i="1" s="1"/>
  <c r="BP234" i="1" s="1"/>
  <c r="BP45" i="1"/>
  <c r="BP73" i="1"/>
  <c r="BP186" i="1"/>
  <c r="BP179" i="1"/>
  <c r="BP39" i="1"/>
  <c r="BP49" i="1"/>
  <c r="BP51" i="1" s="1"/>
  <c r="BP77" i="1"/>
  <c r="BP172" i="1"/>
  <c r="BM152" i="1" l="1"/>
  <c r="BM142" i="1"/>
  <c r="BM285" i="1"/>
  <c r="BM210" i="1"/>
  <c r="BQ248" i="1"/>
  <c r="BS65" i="1"/>
  <c r="BL65" i="1"/>
  <c r="BQ259" i="1"/>
  <c r="BS76" i="1"/>
  <c r="BQ179" i="1"/>
  <c r="BS69" i="1"/>
  <c r="BJ186" i="1"/>
  <c r="BJ259" i="1"/>
  <c r="BL260" i="1"/>
  <c r="BL187" i="1"/>
  <c r="BL252" i="1"/>
  <c r="BL179" i="1"/>
  <c r="BL93" i="1"/>
  <c r="BL45" i="1"/>
  <c r="BJ73" i="1"/>
  <c r="BJ183" i="1" s="1"/>
  <c r="BL259" i="1"/>
  <c r="BL186" i="1"/>
  <c r="BQ73" i="1"/>
  <c r="BP256" i="1"/>
  <c r="BQ77" i="1"/>
  <c r="BP260" i="1"/>
  <c r="BQ252" i="1"/>
  <c r="BQ45" i="1"/>
  <c r="BJ175" i="1"/>
  <c r="BK183" i="1"/>
  <c r="BK256" i="1"/>
  <c r="BR186" i="1"/>
  <c r="BR187" i="1"/>
  <c r="BR183" i="1"/>
  <c r="BR68" i="1"/>
  <c r="BR251" i="1" s="1"/>
  <c r="BR175" i="1"/>
  <c r="BQ175" i="1"/>
  <c r="BQ68" i="1"/>
  <c r="BQ251" i="1" s="1"/>
  <c r="BJ68" i="1"/>
  <c r="BJ72" i="1" s="1"/>
  <c r="BQ186" i="1"/>
  <c r="BJ248" i="1"/>
  <c r="BP29" i="1"/>
  <c r="BP32" i="1" s="1"/>
  <c r="BP43" i="1"/>
  <c r="BV81" i="1"/>
  <c r="BP72" i="1"/>
  <c r="BP255" i="1" s="1"/>
  <c r="BJ252" i="1"/>
  <c r="BJ45" i="1"/>
  <c r="BJ179" i="1"/>
  <c r="BP178" i="1"/>
  <c r="AS76" i="2"/>
  <c r="BP187" i="1"/>
  <c r="BP53" i="1"/>
  <c r="BP55" i="1"/>
  <c r="BP183" i="1"/>
  <c r="BI268" i="1"/>
  <c r="BI262" i="1"/>
  <c r="BI259" i="1"/>
  <c r="BI258" i="1"/>
  <c r="BI257" i="1"/>
  <c r="BI254" i="1"/>
  <c r="BI253" i="1"/>
  <c r="BI250" i="1"/>
  <c r="BI249" i="1"/>
  <c r="BI248" i="1"/>
  <c r="BI243" i="1"/>
  <c r="BI237" i="1"/>
  <c r="BI236" i="1"/>
  <c r="BI235" i="1"/>
  <c r="BI220" i="1"/>
  <c r="BI189" i="1"/>
  <c r="BI186" i="1"/>
  <c r="BI185" i="1"/>
  <c r="BI184" i="1"/>
  <c r="BI181" i="1"/>
  <c r="BI180" i="1"/>
  <c r="BI177" i="1"/>
  <c r="BI176" i="1"/>
  <c r="BI175" i="1"/>
  <c r="BI170" i="1"/>
  <c r="BI164" i="1"/>
  <c r="BI163" i="1"/>
  <c r="BI162" i="1"/>
  <c r="BI147" i="1"/>
  <c r="BI123" i="1"/>
  <c r="BI112" i="1"/>
  <c r="BI107" i="1"/>
  <c r="BI102" i="1"/>
  <c r="BI260" i="1"/>
  <c r="BI183" i="1"/>
  <c r="BI252" i="1"/>
  <c r="BI64" i="1"/>
  <c r="BI68" i="1" s="1"/>
  <c r="BI61" i="1"/>
  <c r="BI50" i="1"/>
  <c r="BI46" i="1" s="1"/>
  <c r="BI48" i="1"/>
  <c r="BI63" i="1" s="1"/>
  <c r="BI86" i="1" s="1"/>
  <c r="BI161" i="1" s="1"/>
  <c r="BI45" i="1"/>
  <c r="BI38" i="1"/>
  <c r="BI37" i="1"/>
  <c r="BI36" i="1"/>
  <c r="BI35" i="1"/>
  <c r="BI19" i="1"/>
  <c r="BL88" i="1" s="1"/>
  <c r="AY76" i="2"/>
  <c r="AR367" i="2"/>
  <c r="AQ367" i="2"/>
  <c r="AP367" i="2"/>
  <c r="AO367" i="2"/>
  <c r="AN367" i="2"/>
  <c r="AM367" i="2"/>
  <c r="AL367" i="2"/>
  <c r="AK367" i="2"/>
  <c r="AJ367" i="2"/>
  <c r="AI367" i="2"/>
  <c r="AH367" i="2"/>
  <c r="AG367" i="2"/>
  <c r="AF367" i="2"/>
  <c r="AE367" i="2"/>
  <c r="AD367" i="2"/>
  <c r="AC367" i="2"/>
  <c r="AB367" i="2"/>
  <c r="AA367" i="2"/>
  <c r="Z367" i="2"/>
  <c r="Y367" i="2"/>
  <c r="X367" i="2"/>
  <c r="W367" i="2"/>
  <c r="V367" i="2"/>
  <c r="U367" i="2"/>
  <c r="T367" i="2"/>
  <c r="S367" i="2"/>
  <c r="R367" i="2"/>
  <c r="Q367" i="2"/>
  <c r="D367" i="2"/>
  <c r="E367" i="2"/>
  <c r="F367" i="2"/>
  <c r="G367" i="2"/>
  <c r="H367" i="2"/>
  <c r="I367" i="2"/>
  <c r="J367" i="2"/>
  <c r="K367" i="2"/>
  <c r="L367" i="2"/>
  <c r="M367" i="2"/>
  <c r="N367" i="2"/>
  <c r="C367" i="2"/>
  <c r="AY378" i="2"/>
  <c r="AY367" i="2"/>
  <c r="AY356" i="2"/>
  <c r="N107" i="2"/>
  <c r="N105" i="2"/>
  <c r="N103" i="2"/>
  <c r="N101" i="2"/>
  <c r="N100" i="2"/>
  <c r="N99" i="2"/>
  <c r="N47" i="2"/>
  <c r="M107" i="2"/>
  <c r="M105" i="2"/>
  <c r="M103" i="2"/>
  <c r="M101" i="2"/>
  <c r="M100" i="2"/>
  <c r="M99" i="2"/>
  <c r="M72" i="2"/>
  <c r="M74" i="2" s="1"/>
  <c r="M84" i="2" s="1"/>
  <c r="N55" i="2"/>
  <c r="N53" i="2"/>
  <c r="N51" i="2"/>
  <c r="N49" i="2"/>
  <c r="N48" i="2"/>
  <c r="M55" i="2"/>
  <c r="M53" i="2"/>
  <c r="M51" i="2"/>
  <c r="M49" i="2"/>
  <c r="M48" i="2"/>
  <c r="M47" i="2"/>
  <c r="M20" i="2"/>
  <c r="M513" i="2"/>
  <c r="M500" i="2"/>
  <c r="M486" i="2"/>
  <c r="M404" i="2"/>
  <c r="M378" i="2"/>
  <c r="M356" i="2"/>
  <c r="M3" i="2"/>
  <c r="BM209" i="1" l="1"/>
  <c r="BM284" i="1"/>
  <c r="BI111" i="1"/>
  <c r="BT111" i="1" s="1"/>
  <c r="BS93" i="1"/>
  <c r="BL248" i="1"/>
  <c r="BL175" i="1"/>
  <c r="BQ260" i="1"/>
  <c r="BS77" i="1"/>
  <c r="BL73" i="1"/>
  <c r="BL256" i="1" s="1"/>
  <c r="BQ256" i="1"/>
  <c r="BS73" i="1"/>
  <c r="BL68" i="1"/>
  <c r="BL72" i="1" s="1"/>
  <c r="BQ187" i="1"/>
  <c r="BJ256" i="1"/>
  <c r="BL152" i="1"/>
  <c r="BL142" i="1"/>
  <c r="BL209" i="1" s="1"/>
  <c r="BQ183" i="1"/>
  <c r="BL285" i="1"/>
  <c r="BL284" i="1"/>
  <c r="BL278" i="1"/>
  <c r="BL279" i="1"/>
  <c r="BL282" i="1"/>
  <c r="BL281" i="1"/>
  <c r="BK175" i="1"/>
  <c r="BK248" i="1"/>
  <c r="BK68" i="1"/>
  <c r="BR72" i="1"/>
  <c r="BR178" i="1"/>
  <c r="BJ178" i="1"/>
  <c r="BJ251" i="1"/>
  <c r="BQ178" i="1"/>
  <c r="BQ72" i="1"/>
  <c r="BQ255" i="1" s="1"/>
  <c r="BV82" i="1"/>
  <c r="D205" i="3"/>
  <c r="D215" i="3" s="1"/>
  <c r="BP182" i="1"/>
  <c r="BP78" i="1"/>
  <c r="BP261" i="1" s="1"/>
  <c r="BJ255" i="1"/>
  <c r="BJ182" i="1"/>
  <c r="BI154" i="1"/>
  <c r="BI106" i="1"/>
  <c r="BI193" i="1"/>
  <c r="BI266" i="1" s="1"/>
  <c r="BI27" i="1"/>
  <c r="BI43" i="1" s="1"/>
  <c r="BI245" i="1"/>
  <c r="BI172" i="1"/>
  <c r="BI251" i="1"/>
  <c r="BI72" i="1"/>
  <c r="BI178" i="1"/>
  <c r="BI247" i="1"/>
  <c r="BI96" i="1"/>
  <c r="BI134" i="1" s="1"/>
  <c r="BI234" i="1" s="1"/>
  <c r="BI179" i="1"/>
  <c r="BI187" i="1"/>
  <c r="BI256" i="1"/>
  <c r="BI39" i="1"/>
  <c r="BI49" i="1"/>
  <c r="BI51" i="1" s="1"/>
  <c r="BL89" i="1" s="1"/>
  <c r="BI174" i="1"/>
  <c r="M22" i="2"/>
  <c r="M31" i="2" s="1"/>
  <c r="M93" i="2"/>
  <c r="M83" i="2"/>
  <c r="M78" i="2"/>
  <c r="M91" i="2"/>
  <c r="M76" i="2"/>
  <c r="M89" i="2"/>
  <c r="M87" i="2"/>
  <c r="M86" i="2"/>
  <c r="M85" i="2"/>
  <c r="M92" i="2"/>
  <c r="BL178" i="1" l="1"/>
  <c r="BI116" i="1"/>
  <c r="BI125" i="1" s="1"/>
  <c r="BI270" i="1" s="1"/>
  <c r="BT116" i="1"/>
  <c r="BL183" i="1"/>
  <c r="BL251" i="1"/>
  <c r="BL78" i="1"/>
  <c r="BL182" i="1"/>
  <c r="BL255" i="1"/>
  <c r="BR255" i="1"/>
  <c r="BK72" i="1"/>
  <c r="BL94" i="1" s="1"/>
  <c r="BL153" i="1" s="1"/>
  <c r="BK251" i="1"/>
  <c r="BK178" i="1"/>
  <c r="BR182" i="1"/>
  <c r="BR78" i="1"/>
  <c r="BQ182" i="1"/>
  <c r="BQ78" i="1"/>
  <c r="BQ261" i="1" s="1"/>
  <c r="D206" i="3"/>
  <c r="E205" i="3"/>
  <c r="BP188" i="1"/>
  <c r="BP80" i="1"/>
  <c r="D211" i="3"/>
  <c r="E215" i="3"/>
  <c r="D216" i="3"/>
  <c r="M24" i="2"/>
  <c r="M34" i="2"/>
  <c r="M40" i="2"/>
  <c r="M26" i="2"/>
  <c r="M37" i="2"/>
  <c r="M35" i="2"/>
  <c r="BI129" i="1"/>
  <c r="BI199" i="1" s="1"/>
  <c r="BI126" i="1"/>
  <c r="BI271" i="1" s="1"/>
  <c r="BI29" i="1"/>
  <c r="BL92" i="1" s="1"/>
  <c r="BI42" i="1"/>
  <c r="BI53" i="1"/>
  <c r="BI55" i="1"/>
  <c r="BI182" i="1"/>
  <c r="BI255" i="1"/>
  <c r="BI78" i="1"/>
  <c r="BI80" i="1" s="1"/>
  <c r="M39" i="2"/>
  <c r="M33" i="2"/>
  <c r="M32" i="2"/>
  <c r="M41" i="2"/>
  <c r="M94" i="2"/>
  <c r="BM94" i="1" l="1"/>
  <c r="BM153" i="1" s="1"/>
  <c r="BI128" i="1"/>
  <c r="BI156" i="1" s="1"/>
  <c r="BT125" i="1"/>
  <c r="BT126" i="1"/>
  <c r="BT128" i="1"/>
  <c r="BT129" i="1"/>
  <c r="BL261" i="1"/>
  <c r="BL188" i="1"/>
  <c r="BP81" i="1"/>
  <c r="BP191" i="1" s="1"/>
  <c r="BP263" i="1"/>
  <c r="BR261" i="1"/>
  <c r="BI32" i="1"/>
  <c r="BK255" i="1"/>
  <c r="BK182" i="1"/>
  <c r="BK78" i="1"/>
  <c r="BR188" i="1"/>
  <c r="BQ80" i="1"/>
  <c r="BQ188" i="1"/>
  <c r="BI274" i="1"/>
  <c r="BI145" i="1"/>
  <c r="BI212" i="1" s="1"/>
  <c r="BI273" i="1"/>
  <c r="BI287" i="1" s="1"/>
  <c r="BI195" i="1"/>
  <c r="BI198" i="1"/>
  <c r="BP190" i="1"/>
  <c r="BI196" i="1"/>
  <c r="BI132" i="1"/>
  <c r="BI155" i="1"/>
  <c r="BI261" i="1"/>
  <c r="BI81" i="1"/>
  <c r="BI188" i="1"/>
  <c r="M42" i="2"/>
  <c r="BT137" i="1" l="1"/>
  <c r="BT204" i="1" s="1"/>
  <c r="BT271" i="1"/>
  <c r="BT279" i="1" s="1"/>
  <c r="BT196" i="1"/>
  <c r="BT274" i="1"/>
  <c r="BT282" i="1" s="1"/>
  <c r="BT199" i="1"/>
  <c r="BT155" i="1"/>
  <c r="BT132" i="1"/>
  <c r="BT140" i="1"/>
  <c r="BT136" i="1"/>
  <c r="BT203" i="1" s="1"/>
  <c r="BT270" i="1"/>
  <c r="BT278" i="1" s="1"/>
  <c r="BT195" i="1"/>
  <c r="BT273" i="1"/>
  <c r="BT198" i="1"/>
  <c r="BT156" i="1"/>
  <c r="BT145" i="1"/>
  <c r="BT212" i="1" s="1"/>
  <c r="BT139" i="1"/>
  <c r="BP82" i="1"/>
  <c r="BP84" i="1" s="1"/>
  <c r="BP264" i="1"/>
  <c r="BQ81" i="1"/>
  <c r="BQ264" i="1" s="1"/>
  <c r="BQ263" i="1"/>
  <c r="BR80" i="1"/>
  <c r="BK188" i="1"/>
  <c r="BK261" i="1"/>
  <c r="BQ190" i="1"/>
  <c r="BI191" i="1"/>
  <c r="BI264" i="1"/>
  <c r="BI190" i="1"/>
  <c r="BI263" i="1"/>
  <c r="BO131" i="1"/>
  <c r="BO268" i="1" s="1"/>
  <c r="BO122" i="1"/>
  <c r="BO121" i="1"/>
  <c r="BO120" i="1"/>
  <c r="BO119" i="1"/>
  <c r="BO118" i="1"/>
  <c r="BO115" i="1"/>
  <c r="BO114" i="1"/>
  <c r="BO113" i="1"/>
  <c r="BO110" i="1"/>
  <c r="BO109" i="1"/>
  <c r="BO108" i="1"/>
  <c r="BO101" i="1"/>
  <c r="BO100" i="1"/>
  <c r="BO99" i="1"/>
  <c r="BO31" i="1"/>
  <c r="BO30" i="1"/>
  <c r="BO28" i="1"/>
  <c r="BO26" i="1"/>
  <c r="BO25" i="1"/>
  <c r="BO24" i="1"/>
  <c r="BO23" i="1"/>
  <c r="BO22" i="1"/>
  <c r="BO21" i="1"/>
  <c r="BO20" i="1"/>
  <c r="BO10" i="1"/>
  <c r="BO11" i="1"/>
  <c r="BO12" i="1"/>
  <c r="BO13" i="1"/>
  <c r="BO14" i="1"/>
  <c r="BO15" i="1"/>
  <c r="BO16" i="1"/>
  <c r="BO17" i="1"/>
  <c r="BO18" i="1"/>
  <c r="N60" i="1"/>
  <c r="BO9" i="1"/>
  <c r="N216" i="1"/>
  <c r="N215" i="1"/>
  <c r="N76" i="1"/>
  <c r="N186" i="1" s="1"/>
  <c r="N75" i="1"/>
  <c r="N185" i="1" s="1"/>
  <c r="N71" i="1"/>
  <c r="N181" i="1" s="1"/>
  <c r="N69" i="1"/>
  <c r="N65" i="1"/>
  <c r="N175" i="1" s="1"/>
  <c r="O57" i="1"/>
  <c r="N57" i="1"/>
  <c r="N50" i="1"/>
  <c r="N46" i="1" s="1"/>
  <c r="O8" i="1"/>
  <c r="N8" i="1"/>
  <c r="BO163" i="1"/>
  <c r="BO162" i="1"/>
  <c r="BO147" i="1"/>
  <c r="BO48" i="1"/>
  <c r="BO63" i="1" s="1"/>
  <c r="BO86" i="1" s="1"/>
  <c r="N236" i="1"/>
  <c r="N235" i="1"/>
  <c r="N220" i="1"/>
  <c r="N184" i="1"/>
  <c r="N180" i="1"/>
  <c r="N177" i="1"/>
  <c r="N176" i="1"/>
  <c r="N170" i="1"/>
  <c r="P171" i="1" s="1"/>
  <c r="N164" i="1"/>
  <c r="P165" i="1" s="1"/>
  <c r="N163" i="1"/>
  <c r="N162" i="1"/>
  <c r="N161" i="1"/>
  <c r="N147" i="1"/>
  <c r="N134" i="1"/>
  <c r="N234" i="1" s="1"/>
  <c r="N123" i="1"/>
  <c r="N154" i="1" s="1"/>
  <c r="N112" i="1"/>
  <c r="N111" i="1" s="1"/>
  <c r="N107" i="1"/>
  <c r="N106" i="1" s="1"/>
  <c r="N102" i="1"/>
  <c r="N98" i="1"/>
  <c r="BO98" i="1" s="1"/>
  <c r="N96" i="1"/>
  <c r="N91" i="1"/>
  <c r="N151" i="1" s="1"/>
  <c r="N90" i="1"/>
  <c r="N149" i="1" s="1"/>
  <c r="N87" i="1"/>
  <c r="N148" i="1" s="1"/>
  <c r="N86" i="1"/>
  <c r="N77" i="1"/>
  <c r="N187" i="1" s="1"/>
  <c r="N64" i="1"/>
  <c r="N174" i="1" s="1"/>
  <c r="N63" i="1"/>
  <c r="N61" i="1"/>
  <c r="N58" i="1"/>
  <c r="N48" i="1"/>
  <c r="N38" i="1"/>
  <c r="N37" i="1"/>
  <c r="N36" i="1"/>
  <c r="N35" i="1"/>
  <c r="N19" i="1"/>
  <c r="N49" i="1" s="1"/>
  <c r="BT158" i="1" l="1"/>
  <c r="BT206" i="1"/>
  <c r="BT157" i="1"/>
  <c r="BT207" i="1"/>
  <c r="BT287" i="1"/>
  <c r="BT281" i="1"/>
  <c r="N268" i="1"/>
  <c r="N218" i="1"/>
  <c r="BR263" i="1"/>
  <c r="BS80" i="1"/>
  <c r="BQ82" i="1"/>
  <c r="BQ84" i="1" s="1"/>
  <c r="N253" i="1"/>
  <c r="N217" i="1"/>
  <c r="BP87" i="1"/>
  <c r="BO237" i="1"/>
  <c r="BR87" i="1"/>
  <c r="BQ191" i="1"/>
  <c r="BR190" i="1"/>
  <c r="BR81" i="1"/>
  <c r="BR264" i="1" s="1"/>
  <c r="BQ87" i="1"/>
  <c r="BO102" i="1"/>
  <c r="N73" i="1"/>
  <c r="BO87" i="1"/>
  <c r="BO112" i="1"/>
  <c r="BO111" i="1" s="1"/>
  <c r="N93" i="1"/>
  <c r="N152" i="1" s="1"/>
  <c r="N254" i="1"/>
  <c r="BO107" i="1"/>
  <c r="BO106" i="1" s="1"/>
  <c r="N227" i="1"/>
  <c r="N201" i="1"/>
  <c r="N143" i="1"/>
  <c r="N210" i="1" s="1"/>
  <c r="N51" i="1"/>
  <c r="P52" i="1" s="1"/>
  <c r="N103" i="1"/>
  <c r="BO161" i="1"/>
  <c r="BO96" i="1"/>
  <c r="BO134" i="1" s="1"/>
  <c r="BO234" i="1" s="1"/>
  <c r="N116" i="1"/>
  <c r="N129" i="1" s="1"/>
  <c r="N179" i="1"/>
  <c r="N27" i="1"/>
  <c r="N88" i="1"/>
  <c r="N247" i="1"/>
  <c r="N172" i="1"/>
  <c r="N45" i="1"/>
  <c r="N262" i="1"/>
  <c r="N150" i="1"/>
  <c r="N248" i="1"/>
  <c r="N68" i="1"/>
  <c r="N237" i="1"/>
  <c r="N250" i="1"/>
  <c r="N258" i="1"/>
  <c r="N249" i="1"/>
  <c r="N39" i="1"/>
  <c r="N259" i="1"/>
  <c r="N189" i="1"/>
  <c r="N257" i="1"/>
  <c r="N40" i="1"/>
  <c r="N193" i="1"/>
  <c r="N266" i="1" s="1"/>
  <c r="N243" i="1"/>
  <c r="N252" i="1"/>
  <c r="N260" i="1"/>
  <c r="N221" i="1" l="1"/>
  <c r="N222" i="1"/>
  <c r="N225" i="1"/>
  <c r="N224" i="1"/>
  <c r="BR82" i="1"/>
  <c r="BR84" i="1" s="1"/>
  <c r="BR191" i="1"/>
  <c r="BO116" i="1"/>
  <c r="N142" i="1"/>
  <c r="N209" i="1" s="1"/>
  <c r="N55" i="1"/>
  <c r="N53" i="1"/>
  <c r="N285" i="1"/>
  <c r="N41" i="1"/>
  <c r="N89" i="1"/>
  <c r="N125" i="1"/>
  <c r="N195" i="1" s="1"/>
  <c r="N42" i="1"/>
  <c r="N43" i="1"/>
  <c r="N126" i="1"/>
  <c r="N271" i="1" s="1"/>
  <c r="N279" i="1" s="1"/>
  <c r="N128" i="1"/>
  <c r="N273" i="1" s="1"/>
  <c r="N29" i="1"/>
  <c r="N92" i="1" s="1"/>
  <c r="N183" i="1"/>
  <c r="N256" i="1"/>
  <c r="N274" i="1"/>
  <c r="N282" i="1" s="1"/>
  <c r="N155" i="1"/>
  <c r="N228" i="1" s="1"/>
  <c r="N132" i="1"/>
  <c r="N140" i="1"/>
  <c r="N199" i="1"/>
  <c r="N245" i="1"/>
  <c r="N178" i="1"/>
  <c r="N251" i="1"/>
  <c r="N72" i="1"/>
  <c r="N230" i="1" l="1"/>
  <c r="N223" i="1"/>
  <c r="BO126" i="1"/>
  <c r="BO271" i="1" s="1"/>
  <c r="BO129" i="1"/>
  <c r="N284" i="1"/>
  <c r="N198" i="1"/>
  <c r="N156" i="1"/>
  <c r="N229" i="1" s="1"/>
  <c r="N231" i="1" s="1"/>
  <c r="N139" i="1"/>
  <c r="N158" i="1" s="1"/>
  <c r="N145" i="1"/>
  <c r="N212" i="1" s="1"/>
  <c r="N270" i="1"/>
  <c r="N278" i="1" s="1"/>
  <c r="N196" i="1"/>
  <c r="N136" i="1"/>
  <c r="N203" i="1" s="1"/>
  <c r="N137" i="1"/>
  <c r="N204" i="1" s="1"/>
  <c r="N32" i="1"/>
  <c r="N287" i="1"/>
  <c r="N281" i="1"/>
  <c r="N94" i="1"/>
  <c r="N153" i="1" s="1"/>
  <c r="N226" i="1" s="1"/>
  <c r="N255" i="1"/>
  <c r="N182" i="1"/>
  <c r="N78" i="1"/>
  <c r="N80" i="1" s="1"/>
  <c r="N207" i="1"/>
  <c r="N157" i="1"/>
  <c r="BO132" i="1" l="1"/>
  <c r="BO274" i="1"/>
  <c r="BO155" i="1"/>
  <c r="BO199" i="1"/>
  <c r="BO196" i="1"/>
  <c r="N206" i="1"/>
  <c r="N261" i="1"/>
  <c r="N188" i="1"/>
  <c r="N263" i="1" l="1"/>
  <c r="N190" i="1"/>
  <c r="N81" i="1"/>
  <c r="N191" i="1" l="1"/>
  <c r="N264" i="1"/>
  <c r="BE69" i="1" l="1"/>
  <c r="BE252" i="1" l="1"/>
  <c r="J237" i="3"/>
  <c r="D272" i="3"/>
  <c r="K265" i="3"/>
  <c r="E271" i="3" l="1"/>
  <c r="E268" i="3"/>
  <c r="E266" i="3"/>
  <c r="E267" i="3"/>
  <c r="E269" i="3"/>
  <c r="E270" i="3"/>
  <c r="E225" i="3" l="1"/>
  <c r="E204" i="3"/>
  <c r="N72" i="2"/>
  <c r="O106" i="2" s="1"/>
  <c r="N20" i="2"/>
  <c r="BH131" i="1"/>
  <c r="BH122" i="1"/>
  <c r="BH121" i="1"/>
  <c r="BH120" i="1"/>
  <c r="BH119" i="1"/>
  <c r="BH118" i="1"/>
  <c r="BH115" i="1"/>
  <c r="D249" i="3" s="1"/>
  <c r="E249" i="3" s="1"/>
  <c r="BH114" i="1"/>
  <c r="D248" i="3" s="1"/>
  <c r="E248" i="3" s="1"/>
  <c r="BH113" i="1"/>
  <c r="D247" i="3" s="1"/>
  <c r="E247" i="3" s="1"/>
  <c r="BH110" i="1"/>
  <c r="D245" i="3" s="1"/>
  <c r="E245" i="3" s="1"/>
  <c r="BH109" i="1"/>
  <c r="D244" i="3" s="1"/>
  <c r="E244" i="3" s="1"/>
  <c r="BH108" i="1"/>
  <c r="D243" i="3" s="1"/>
  <c r="BH101" i="1"/>
  <c r="BH100" i="1"/>
  <c r="BH99" i="1"/>
  <c r="BH31" i="1"/>
  <c r="BH30" i="1"/>
  <c r="BH28" i="1"/>
  <c r="BH26" i="1"/>
  <c r="BH25" i="1"/>
  <c r="BH24" i="1"/>
  <c r="BH23" i="1"/>
  <c r="BH22" i="1"/>
  <c r="BH21" i="1"/>
  <c r="BH20" i="1"/>
  <c r="BH18" i="1"/>
  <c r="BH17" i="1"/>
  <c r="BH16" i="1"/>
  <c r="BH15" i="1"/>
  <c r="BH14" i="1"/>
  <c r="BH13" i="1"/>
  <c r="BH12" i="1"/>
  <c r="BH11" i="1"/>
  <c r="BH10" i="1"/>
  <c r="BH7" i="1"/>
  <c r="BL8" i="1" s="1"/>
  <c r="J238" i="3"/>
  <c r="O216" i="1"/>
  <c r="O215" i="1"/>
  <c r="O98" i="1"/>
  <c r="BH98" i="1" s="1"/>
  <c r="P216" i="1" l="1"/>
  <c r="P218" i="1" s="1"/>
  <c r="O218" i="1"/>
  <c r="N56" i="2"/>
  <c r="O56" i="2"/>
  <c r="O217" i="1"/>
  <c r="P217" i="1" s="1"/>
  <c r="P215" i="1"/>
  <c r="P266" i="1"/>
  <c r="P270" i="1"/>
  <c r="BS36" i="1"/>
  <c r="BS237" i="1"/>
  <c r="BS164" i="1"/>
  <c r="BS19" i="1"/>
  <c r="BS148" i="1"/>
  <c r="BS37" i="1"/>
  <c r="BS35" i="1"/>
  <c r="BS46" i="1"/>
  <c r="BS38" i="1"/>
  <c r="BK87" i="1"/>
  <c r="BK40" i="1"/>
  <c r="BK41" i="1"/>
  <c r="N106" i="2"/>
  <c r="BJ87" i="1"/>
  <c r="BJ148" i="1" s="1"/>
  <c r="BJ40" i="1"/>
  <c r="BI40" i="1"/>
  <c r="BJ41" i="1"/>
  <c r="BI41" i="1"/>
  <c r="BI87" i="1"/>
  <c r="BH8" i="1"/>
  <c r="BH87" i="1"/>
  <c r="BH268" i="1"/>
  <c r="D254" i="3"/>
  <c r="E243" i="3"/>
  <c r="I262" i="3"/>
  <c r="I261" i="3"/>
  <c r="I263" i="3"/>
  <c r="D251" i="3"/>
  <c r="I264" i="3"/>
  <c r="P227" i="1" l="1"/>
  <c r="P228" i="1"/>
  <c r="P268" i="1"/>
  <c r="P229" i="1"/>
  <c r="P274" i="1"/>
  <c r="P273" i="1"/>
  <c r="P287" i="1" s="1"/>
  <c r="P271" i="1"/>
  <c r="BS88" i="1"/>
  <c r="BL165" i="1"/>
  <c r="BS238" i="1"/>
  <c r="BL238" i="1"/>
  <c r="P257" i="1"/>
  <c r="P262" i="1"/>
  <c r="P243" i="1"/>
  <c r="P258" i="1"/>
  <c r="P248" i="1"/>
  <c r="P237" i="1"/>
  <c r="P250" i="1"/>
  <c r="P249" i="1"/>
  <c r="P259" i="1"/>
  <c r="P252" i="1"/>
  <c r="P260" i="1"/>
  <c r="P253" i="1"/>
  <c r="P254" i="1"/>
  <c r="P256" i="1"/>
  <c r="P247" i="1"/>
  <c r="P251" i="1"/>
  <c r="P255" i="1"/>
  <c r="P261" i="1"/>
  <c r="P263" i="1"/>
  <c r="P264" i="1"/>
  <c r="P224" i="1"/>
  <c r="P221" i="1"/>
  <c r="P225" i="1"/>
  <c r="P222" i="1"/>
  <c r="P226" i="1"/>
  <c r="BS27" i="1"/>
  <c r="BS39" i="1"/>
  <c r="BS49" i="1"/>
  <c r="BS51" i="1" s="1"/>
  <c r="BK148" i="1"/>
  <c r="BJ103" i="1"/>
  <c r="BP148" i="1"/>
  <c r="D255" i="3"/>
  <c r="I265" i="3"/>
  <c r="O77" i="1"/>
  <c r="O76" i="1"/>
  <c r="O75" i="1"/>
  <c r="O71" i="1"/>
  <c r="O69" i="1"/>
  <c r="O65" i="1"/>
  <c r="O59" i="1"/>
  <c r="AR23" i="2"/>
  <c r="AR18" i="2"/>
  <c r="AR16" i="2"/>
  <c r="AR14" i="2"/>
  <c r="AR507" i="2"/>
  <c r="AR494" i="2"/>
  <c r="AR480" i="2"/>
  <c r="AR378" i="2"/>
  <c r="AR356" i="2"/>
  <c r="P223" i="1" l="1"/>
  <c r="P244" i="1"/>
  <c r="Q244" i="1"/>
  <c r="P238" i="1"/>
  <c r="Q238" i="1"/>
  <c r="BL52" i="1"/>
  <c r="P284" i="1"/>
  <c r="P285" i="1"/>
  <c r="P231" i="1"/>
  <c r="P281" i="1"/>
  <c r="P230" i="1"/>
  <c r="P282" i="1"/>
  <c r="P278" i="1"/>
  <c r="P245" i="1"/>
  <c r="P279" i="1"/>
  <c r="BS89" i="1"/>
  <c r="BS53" i="1"/>
  <c r="BS42" i="1"/>
  <c r="BS29" i="1"/>
  <c r="BS43" i="1"/>
  <c r="O60" i="1"/>
  <c r="O73" i="1"/>
  <c r="N513" i="2"/>
  <c r="N500" i="2"/>
  <c r="N486" i="2"/>
  <c r="N378" i="2"/>
  <c r="N356" i="2"/>
  <c r="N74" i="2"/>
  <c r="N22" i="2"/>
  <c r="O58" i="2" s="1"/>
  <c r="AQ378" i="2"/>
  <c r="AQ356" i="2"/>
  <c r="C268" i="1"/>
  <c r="D268" i="1"/>
  <c r="E268" i="1"/>
  <c r="F268" i="1"/>
  <c r="G268" i="1"/>
  <c r="H268" i="1"/>
  <c r="J268" i="1"/>
  <c r="O268" i="1"/>
  <c r="R268" i="1"/>
  <c r="T268" i="1"/>
  <c r="U268" i="1"/>
  <c r="V268" i="1"/>
  <c r="X268" i="1"/>
  <c r="Y268" i="1"/>
  <c r="Z268" i="1"/>
  <c r="AB268" i="1"/>
  <c r="AD268" i="1"/>
  <c r="AF268" i="1"/>
  <c r="AG268" i="1"/>
  <c r="AN268" i="1"/>
  <c r="AO268" i="1"/>
  <c r="AP268" i="1"/>
  <c r="AR268" i="1"/>
  <c r="AS268" i="1"/>
  <c r="AT268" i="1"/>
  <c r="AV268" i="1"/>
  <c r="AX268" i="1"/>
  <c r="AY268" i="1"/>
  <c r="AZ268" i="1"/>
  <c r="BA268" i="1"/>
  <c r="BB268" i="1"/>
  <c r="BC268" i="1"/>
  <c r="BE268" i="1"/>
  <c r="BF268" i="1"/>
  <c r="BG268" i="1"/>
  <c r="BG98" i="1"/>
  <c r="BR98" i="1" s="1"/>
  <c r="BG8" i="1"/>
  <c r="O236" i="1"/>
  <c r="O235" i="1"/>
  <c r="O220" i="1"/>
  <c r="O253" i="1"/>
  <c r="O184" i="1"/>
  <c r="O180" i="1"/>
  <c r="O177" i="1"/>
  <c r="O176" i="1"/>
  <c r="O170" i="1"/>
  <c r="O164" i="1"/>
  <c r="O163" i="1"/>
  <c r="O162" i="1"/>
  <c r="O161" i="1"/>
  <c r="O147" i="1"/>
  <c r="O134" i="1"/>
  <c r="O234" i="1" s="1"/>
  <c r="O123" i="1"/>
  <c r="O154" i="1" s="1"/>
  <c r="O112" i="1"/>
  <c r="O111" i="1" s="1"/>
  <c r="O107" i="1"/>
  <c r="O106" i="1" s="1"/>
  <c r="O102" i="1"/>
  <c r="O96" i="1"/>
  <c r="O91" i="1"/>
  <c r="O151" i="1" s="1"/>
  <c r="O224" i="1" s="1"/>
  <c r="O90" i="1"/>
  <c r="O201" i="1" s="1"/>
  <c r="O87" i="1"/>
  <c r="O148" i="1" s="1"/>
  <c r="O221" i="1" s="1"/>
  <c r="O86" i="1"/>
  <c r="O189" i="1"/>
  <c r="O186" i="1"/>
  <c r="O185" i="1"/>
  <c r="O93" i="1"/>
  <c r="O175" i="1"/>
  <c r="O64" i="1"/>
  <c r="O174" i="1" s="1"/>
  <c r="O63" i="1"/>
  <c r="O61" i="1"/>
  <c r="O58" i="1"/>
  <c r="O50" i="1"/>
  <c r="O46" i="1" s="1"/>
  <c r="O48" i="1"/>
  <c r="O38" i="1"/>
  <c r="O37" i="1"/>
  <c r="O36" i="1"/>
  <c r="O35" i="1"/>
  <c r="O19" i="1"/>
  <c r="O49" i="1" s="1"/>
  <c r="BH236" i="1"/>
  <c r="BH235" i="1"/>
  <c r="BH220" i="1"/>
  <c r="BH163" i="1"/>
  <c r="BH162" i="1"/>
  <c r="BH147" i="1"/>
  <c r="BH112" i="1"/>
  <c r="BH48" i="1"/>
  <c r="BH63" i="1" s="1"/>
  <c r="BH86" i="1" s="1"/>
  <c r="BG243" i="1"/>
  <c r="BG237" i="1"/>
  <c r="BG236" i="1"/>
  <c r="BG235" i="1"/>
  <c r="BG220" i="1"/>
  <c r="BG170" i="1"/>
  <c r="BG164" i="1"/>
  <c r="BG163" i="1"/>
  <c r="BG162" i="1"/>
  <c r="BG147" i="1"/>
  <c r="BG123" i="1"/>
  <c r="BG112" i="1"/>
  <c r="BG107" i="1"/>
  <c r="BG102" i="1"/>
  <c r="BG64" i="1"/>
  <c r="BG61" i="1"/>
  <c r="BG60" i="1"/>
  <c r="BG50" i="1"/>
  <c r="BG46" i="1" s="1"/>
  <c r="BG48" i="1"/>
  <c r="BG63" i="1" s="1"/>
  <c r="BG86" i="1" s="1"/>
  <c r="BG38" i="1"/>
  <c r="BG37" i="1"/>
  <c r="BG36" i="1"/>
  <c r="BG35" i="1"/>
  <c r="BG19" i="1"/>
  <c r="BA123" i="1"/>
  <c r="BA112" i="1"/>
  <c r="BA111" i="1" s="1"/>
  <c r="BA107" i="1"/>
  <c r="BA106" i="1" s="1"/>
  <c r="BA102" i="1"/>
  <c r="BA98" i="1"/>
  <c r="BA79" i="1"/>
  <c r="BA74" i="1"/>
  <c r="BA71" i="1"/>
  <c r="BA70" i="1"/>
  <c r="BA67" i="1"/>
  <c r="BA66" i="1"/>
  <c r="BA59" i="1"/>
  <c r="BA19" i="1"/>
  <c r="BA27" i="1" s="1"/>
  <c r="BA8" i="1"/>
  <c r="N108" i="2" l="1"/>
  <c r="O108" i="2"/>
  <c r="BQ60" i="1"/>
  <c r="BO59" i="1"/>
  <c r="BS60" i="1" s="1"/>
  <c r="BS32" i="1"/>
  <c r="BS92" i="1"/>
  <c r="BQ103" i="1"/>
  <c r="BS103" i="1"/>
  <c r="O165" i="1"/>
  <c r="O171" i="1"/>
  <c r="BG111" i="1"/>
  <c r="BR111" i="1" s="1"/>
  <c r="BR112" i="1"/>
  <c r="BG106" i="1"/>
  <c r="BR106" i="1" s="1"/>
  <c r="BR107" i="1"/>
  <c r="BR154" i="1"/>
  <c r="BR193" i="1"/>
  <c r="BR266" i="1" s="1"/>
  <c r="BG154" i="1"/>
  <c r="BG49" i="1"/>
  <c r="BG51" i="1" s="1"/>
  <c r="N35" i="2"/>
  <c r="N58" i="2"/>
  <c r="BA60" i="1"/>
  <c r="O51" i="1"/>
  <c r="O103" i="1"/>
  <c r="N91" i="2"/>
  <c r="N76" i="2"/>
  <c r="N87" i="2"/>
  <c r="N89" i="2"/>
  <c r="N92" i="2"/>
  <c r="N86" i="2"/>
  <c r="N84" i="2"/>
  <c r="N93" i="2"/>
  <c r="N78" i="2"/>
  <c r="N85" i="2"/>
  <c r="N83" i="2"/>
  <c r="N37" i="2"/>
  <c r="N24" i="2"/>
  <c r="N39" i="2"/>
  <c r="N40" i="2"/>
  <c r="N31" i="2"/>
  <c r="N41" i="2"/>
  <c r="N26" i="2"/>
  <c r="N32" i="2"/>
  <c r="N33" i="2"/>
  <c r="N34" i="2"/>
  <c r="O260" i="1"/>
  <c r="O116" i="1"/>
  <c r="O128" i="1" s="1"/>
  <c r="BH107" i="1"/>
  <c r="BH106" i="1" s="1"/>
  <c r="O254" i="1"/>
  <c r="O27" i="1"/>
  <c r="O149" i="1"/>
  <c r="O222" i="1" s="1"/>
  <c r="BG27" i="1"/>
  <c r="BG43" i="1" s="1"/>
  <c r="O227" i="1"/>
  <c r="O172" i="1"/>
  <c r="O143" i="1"/>
  <c r="BA29" i="1"/>
  <c r="BA32" i="1" s="1"/>
  <c r="O45" i="1"/>
  <c r="O181" i="1"/>
  <c r="O248" i="1"/>
  <c r="O88" i="1"/>
  <c r="O262" i="1"/>
  <c r="BA116" i="1"/>
  <c r="BA129" i="1" s="1"/>
  <c r="BA132" i="1" s="1"/>
  <c r="BG193" i="1"/>
  <c r="BG266" i="1" s="1"/>
  <c r="BH102" i="1"/>
  <c r="BG245" i="1"/>
  <c r="O152" i="1"/>
  <c r="O225" i="1" s="1"/>
  <c r="O142" i="1"/>
  <c r="O179" i="1"/>
  <c r="O187" i="1"/>
  <c r="O247" i="1"/>
  <c r="O249" i="1"/>
  <c r="O257" i="1"/>
  <c r="O68" i="1"/>
  <c r="O237" i="1"/>
  <c r="O250" i="1"/>
  <c r="O258" i="1"/>
  <c r="O259" i="1"/>
  <c r="O39" i="1"/>
  <c r="BH111" i="1"/>
  <c r="O40" i="1"/>
  <c r="O193" i="1"/>
  <c r="O266" i="1" s="1"/>
  <c r="O243" i="1"/>
  <c r="O252" i="1"/>
  <c r="BH161" i="1"/>
  <c r="BH96" i="1"/>
  <c r="BH134" i="1" s="1"/>
  <c r="BH234" i="1" s="1"/>
  <c r="BG172" i="1"/>
  <c r="BG96" i="1"/>
  <c r="BG134" i="1" s="1"/>
  <c r="BG234" i="1" s="1"/>
  <c r="BG161" i="1"/>
  <c r="BG174" i="1"/>
  <c r="BG247" i="1"/>
  <c r="BG39" i="1"/>
  <c r="BR116" i="1" l="1"/>
  <c r="BR126" i="1" s="1"/>
  <c r="BR271" i="1" s="1"/>
  <c r="O238" i="1"/>
  <c r="O244" i="1"/>
  <c r="BG116" i="1"/>
  <c r="BG129" i="1" s="1"/>
  <c r="BG155" i="1" s="1"/>
  <c r="O52" i="1"/>
  <c r="BR128" i="1"/>
  <c r="BR273" i="1" s="1"/>
  <c r="BO243" i="1"/>
  <c r="BR90" i="1"/>
  <c r="BP90" i="1"/>
  <c r="BQ90" i="1"/>
  <c r="BO90" i="1"/>
  <c r="O89" i="1"/>
  <c r="O53" i="1"/>
  <c r="O55" i="1"/>
  <c r="O284" i="1"/>
  <c r="O285" i="1"/>
  <c r="O41" i="1"/>
  <c r="O125" i="1"/>
  <c r="O270" i="1" s="1"/>
  <c r="O278" i="1" s="1"/>
  <c r="O129" i="1"/>
  <c r="O274" i="1" s="1"/>
  <c r="O282" i="1" s="1"/>
  <c r="O126" i="1"/>
  <c r="O137" i="1" s="1"/>
  <c r="O204" i="1" s="1"/>
  <c r="O210" i="1"/>
  <c r="N94" i="2"/>
  <c r="N42" i="2"/>
  <c r="O150" i="1"/>
  <c r="O223" i="1"/>
  <c r="BA128" i="1"/>
  <c r="BA126" i="1"/>
  <c r="BA125" i="1"/>
  <c r="BG29" i="1"/>
  <c r="O256" i="1"/>
  <c r="O183" i="1"/>
  <c r="O29" i="1"/>
  <c r="O43" i="1"/>
  <c r="O42" i="1"/>
  <c r="O72" i="1"/>
  <c r="O251" i="1"/>
  <c r="O178" i="1"/>
  <c r="BG42" i="1"/>
  <c r="O145" i="1"/>
  <c r="O273" i="1"/>
  <c r="O139" i="1"/>
  <c r="O198" i="1"/>
  <c r="O156" i="1"/>
  <c r="O229" i="1" s="1"/>
  <c r="O231" i="1" s="1"/>
  <c r="O209" i="1"/>
  <c r="BH116" i="1"/>
  <c r="O245" i="1"/>
  <c r="BG55" i="1"/>
  <c r="BG53" i="1"/>
  <c r="BG126" i="1" l="1"/>
  <c r="BG271" i="1" s="1"/>
  <c r="BR129" i="1"/>
  <c r="BR274" i="1" s="1"/>
  <c r="BR125" i="1"/>
  <c r="BR270" i="1" s="1"/>
  <c r="BG128" i="1"/>
  <c r="BG145" i="1" s="1"/>
  <c r="BG212" i="1" s="1"/>
  <c r="BG125" i="1"/>
  <c r="BG270" i="1" s="1"/>
  <c r="BR287" i="1"/>
  <c r="BR198" i="1"/>
  <c r="BR145" i="1"/>
  <c r="BR212" i="1" s="1"/>
  <c r="BR139" i="1"/>
  <c r="BR156" i="1"/>
  <c r="BO245" i="1"/>
  <c r="BR196" i="1"/>
  <c r="BR137" i="1"/>
  <c r="BR204" i="1" s="1"/>
  <c r="BQ201" i="1"/>
  <c r="BG199" i="1"/>
  <c r="D258" i="3"/>
  <c r="BH41" i="1"/>
  <c r="O195" i="1"/>
  <c r="O155" i="1"/>
  <c r="O228" i="1" s="1"/>
  <c r="O230" i="1" s="1"/>
  <c r="O271" i="1"/>
  <c r="O279" i="1" s="1"/>
  <c r="O196" i="1"/>
  <c r="BG274" i="1"/>
  <c r="O136" i="1"/>
  <c r="O203" i="1" s="1"/>
  <c r="O140" i="1"/>
  <c r="O207" i="1" s="1"/>
  <c r="O199" i="1"/>
  <c r="O132" i="1"/>
  <c r="O281" i="1"/>
  <c r="O287" i="1"/>
  <c r="BG132" i="1"/>
  <c r="BG196" i="1"/>
  <c r="BG32" i="1"/>
  <c r="O92" i="1"/>
  <c r="O32" i="1"/>
  <c r="BH129" i="1"/>
  <c r="BH274" i="1" s="1"/>
  <c r="BH126" i="1"/>
  <c r="BH271" i="1" s="1"/>
  <c r="O182" i="1"/>
  <c r="O78" i="1"/>
  <c r="O80" i="1" s="1"/>
  <c r="O94" i="1"/>
  <c r="O153" i="1" s="1"/>
  <c r="O226" i="1" s="1"/>
  <c r="O255" i="1"/>
  <c r="O206" i="1"/>
  <c r="O158" i="1"/>
  <c r="O212" i="1"/>
  <c r="BA257" i="1"/>
  <c r="BA250" i="1"/>
  <c r="BA249" i="1"/>
  <c r="BA237" i="1"/>
  <c r="BA236" i="1"/>
  <c r="BA235" i="1"/>
  <c r="BA220" i="1"/>
  <c r="BA164" i="1"/>
  <c r="BA163" i="1"/>
  <c r="BA162" i="1"/>
  <c r="BA147" i="1"/>
  <c r="BA154" i="1"/>
  <c r="BA227" i="1" s="1"/>
  <c r="BA189" i="1"/>
  <c r="BA184" i="1"/>
  <c r="BA181" i="1"/>
  <c r="BA180" i="1"/>
  <c r="BA177" i="1"/>
  <c r="BA176" i="1"/>
  <c r="BA64" i="1"/>
  <c r="BA61" i="1"/>
  <c r="BA170" i="1"/>
  <c r="BQ171" i="1" s="1"/>
  <c r="BA50" i="1"/>
  <c r="BA46" i="1" s="1"/>
  <c r="BA48" i="1"/>
  <c r="BA63" i="1" s="1"/>
  <c r="BA86" i="1" s="1"/>
  <c r="BA38" i="1"/>
  <c r="BA37" i="1"/>
  <c r="BA36" i="1"/>
  <c r="BA35" i="1"/>
  <c r="BA49" i="1"/>
  <c r="BR195" i="1" l="1"/>
  <c r="BR136" i="1"/>
  <c r="BR203" i="1" s="1"/>
  <c r="BR140" i="1"/>
  <c r="BR207" i="1" s="1"/>
  <c r="BG198" i="1"/>
  <c r="BG195" i="1"/>
  <c r="BR155" i="1"/>
  <c r="BR132" i="1"/>
  <c r="BR199" i="1"/>
  <c r="BQ238" i="1"/>
  <c r="BG273" i="1"/>
  <c r="BG287" i="1" s="1"/>
  <c r="BQ165" i="1"/>
  <c r="BG156" i="1"/>
  <c r="BR206" i="1"/>
  <c r="BR158" i="1"/>
  <c r="O157" i="1"/>
  <c r="BH155" i="1"/>
  <c r="BH199" i="1"/>
  <c r="BH132" i="1"/>
  <c r="O261" i="1"/>
  <c r="O188" i="1"/>
  <c r="BH196" i="1"/>
  <c r="BA51" i="1"/>
  <c r="BA172" i="1"/>
  <c r="BA96" i="1"/>
  <c r="BA134" i="1" s="1"/>
  <c r="BA234" i="1" s="1"/>
  <c r="BA161" i="1"/>
  <c r="BA193" i="1"/>
  <c r="BA266" i="1" s="1"/>
  <c r="BA254" i="1"/>
  <c r="BA262" i="1"/>
  <c r="BA174" i="1"/>
  <c r="BA243" i="1"/>
  <c r="BQ244" i="1" s="1"/>
  <c r="BA253" i="1"/>
  <c r="BA247" i="1"/>
  <c r="BA39" i="1"/>
  <c r="BR157" i="1" l="1"/>
  <c r="BQ52" i="1"/>
  <c r="BA53" i="1"/>
  <c r="BA55" i="1"/>
  <c r="O190" i="1"/>
  <c r="O263" i="1"/>
  <c r="O81" i="1"/>
  <c r="BA199" i="1"/>
  <c r="BA155" i="1"/>
  <c r="BA228" i="1" s="1"/>
  <c r="BA274" i="1"/>
  <c r="BA196" i="1"/>
  <c r="BA271" i="1"/>
  <c r="BA198" i="1"/>
  <c r="BA156" i="1"/>
  <c r="BA229" i="1" s="1"/>
  <c r="BA145" i="1"/>
  <c r="BA273" i="1"/>
  <c r="BA287" i="1" s="1"/>
  <c r="BA42" i="1"/>
  <c r="BA43" i="1"/>
  <c r="BA270" i="1"/>
  <c r="BA195" i="1"/>
  <c r="BA245" i="1"/>
  <c r="O264" i="1" l="1"/>
  <c r="O191" i="1"/>
  <c r="BA212" i="1"/>
  <c r="AP512" i="2" l="1"/>
  <c r="AP511" i="2"/>
  <c r="AP510" i="2"/>
  <c r="AP509" i="2"/>
  <c r="AP508" i="2"/>
  <c r="AP506" i="2"/>
  <c r="AP505" i="2"/>
  <c r="AP504" i="2"/>
  <c r="AP503" i="2"/>
  <c r="AP499" i="2"/>
  <c r="AP498" i="2"/>
  <c r="AP497" i="2"/>
  <c r="AP496" i="2"/>
  <c r="AP495" i="2"/>
  <c r="AP493" i="2"/>
  <c r="AP492" i="2"/>
  <c r="AP491" i="2"/>
  <c r="AP490" i="2"/>
  <c r="AP485" i="2"/>
  <c r="AP484" i="2"/>
  <c r="AP483" i="2"/>
  <c r="AP482" i="2"/>
  <c r="AP481" i="2"/>
  <c r="AP479" i="2"/>
  <c r="AP478" i="2"/>
  <c r="AP356" i="2"/>
  <c r="AP73" i="2"/>
  <c r="AP71" i="2"/>
  <c r="AP69" i="2"/>
  <c r="AP67" i="2"/>
  <c r="AP65" i="2"/>
  <c r="AP64" i="2"/>
  <c r="AP63" i="2"/>
  <c r="AP19" i="2"/>
  <c r="AP17" i="2"/>
  <c r="AP15" i="2"/>
  <c r="AP13" i="2"/>
  <c r="AP12" i="2"/>
  <c r="AP11" i="2"/>
  <c r="AP378" i="2"/>
  <c r="AP21" i="2"/>
  <c r="K301" i="3"/>
  <c r="K302" i="3" s="1"/>
  <c r="D309" i="3"/>
  <c r="D291" i="3"/>
  <c r="D286" i="3"/>
  <c r="D285" i="3"/>
  <c r="D284" i="3"/>
  <c r="D282" i="3"/>
  <c r="D281" i="3"/>
  <c r="D280" i="3"/>
  <c r="J275" i="3"/>
  <c r="J274" i="3"/>
  <c r="AP103" i="2" l="1"/>
  <c r="E208" i="3"/>
  <c r="E206" i="3"/>
  <c r="AQ504" i="2"/>
  <c r="AQ493" i="2"/>
  <c r="AR493" i="2" s="1"/>
  <c r="AQ495" i="2"/>
  <c r="AQ506" i="2"/>
  <c r="AQ492" i="2"/>
  <c r="AR492" i="2" s="1"/>
  <c r="AQ496" i="2"/>
  <c r="AR496" i="2" s="1"/>
  <c r="AQ508" i="2"/>
  <c r="AQ509" i="2"/>
  <c r="AQ498" i="2"/>
  <c r="AQ490" i="2"/>
  <c r="AR490" i="2" s="1"/>
  <c r="AQ499" i="2"/>
  <c r="AR499" i="2" s="1"/>
  <c r="AQ511" i="2"/>
  <c r="AQ497" i="2"/>
  <c r="AQ510" i="2"/>
  <c r="AQ491" i="2"/>
  <c r="AR491" i="2" s="1"/>
  <c r="AQ503" i="2"/>
  <c r="AQ512" i="2"/>
  <c r="E306" i="3"/>
  <c r="E254" i="3"/>
  <c r="J262" i="3"/>
  <c r="J261" i="3"/>
  <c r="J263" i="3"/>
  <c r="J264" i="3"/>
  <c r="E286" i="3"/>
  <c r="AQ485" i="2"/>
  <c r="AR485" i="2" s="1"/>
  <c r="AQ483" i="2"/>
  <c r="AR483" i="2" s="1"/>
  <c r="AQ484" i="2"/>
  <c r="AQ478" i="2"/>
  <c r="AR478" i="2" s="1"/>
  <c r="AQ479" i="2"/>
  <c r="AQ481" i="2"/>
  <c r="AQ505" i="2"/>
  <c r="AQ482" i="2"/>
  <c r="AR482" i="2" s="1"/>
  <c r="AQ64" i="2"/>
  <c r="AR64" i="2" s="1"/>
  <c r="AQ63" i="2"/>
  <c r="AQ99" i="2" s="1"/>
  <c r="AQ65" i="2"/>
  <c r="AR65" i="2" s="1"/>
  <c r="AQ21" i="2"/>
  <c r="AR21" i="2" s="1"/>
  <c r="AQ11" i="2"/>
  <c r="AQ47" i="2" s="1"/>
  <c r="AQ12" i="2"/>
  <c r="AR12" i="2" s="1"/>
  <c r="AQ67" i="2"/>
  <c r="AR67" i="2" s="1"/>
  <c r="AQ19" i="2"/>
  <c r="AR19" i="2" s="1"/>
  <c r="AQ13" i="2"/>
  <c r="AR13" i="2" s="1"/>
  <c r="AQ69" i="2"/>
  <c r="AR69" i="2" s="1"/>
  <c r="AQ15" i="2"/>
  <c r="AR15" i="2" s="1"/>
  <c r="AQ71" i="2"/>
  <c r="AR71" i="2" s="1"/>
  <c r="AQ17" i="2"/>
  <c r="AQ73" i="2"/>
  <c r="AR73" i="2" s="1"/>
  <c r="AP107" i="2"/>
  <c r="AP49" i="2"/>
  <c r="AP51" i="2"/>
  <c r="AP105" i="2"/>
  <c r="AP513" i="2"/>
  <c r="AP100" i="2"/>
  <c r="E280" i="3"/>
  <c r="E283" i="3"/>
  <c r="E307" i="3"/>
  <c r="E282" i="3"/>
  <c r="E308" i="3"/>
  <c r="E281" i="3"/>
  <c r="E284" i="3"/>
  <c r="I300" i="3"/>
  <c r="J300" i="3" s="1"/>
  <c r="E285" i="3"/>
  <c r="E291" i="3"/>
  <c r="E303" i="3"/>
  <c r="E304" i="3"/>
  <c r="E287" i="3"/>
  <c r="AP500" i="2"/>
  <c r="AP486" i="2"/>
  <c r="AP47" i="2"/>
  <c r="AP101" i="2"/>
  <c r="AP48" i="2"/>
  <c r="AP55" i="2"/>
  <c r="AP99" i="2"/>
  <c r="I299" i="3"/>
  <c r="J299" i="3" s="1"/>
  <c r="I301" i="3"/>
  <c r="J301" i="3" s="1"/>
  <c r="I298" i="3"/>
  <c r="E305" i="3"/>
  <c r="D288" i="3"/>
  <c r="D292" i="3" s="1"/>
  <c r="AR63" i="2" l="1"/>
  <c r="E233" i="3"/>
  <c r="AQ103" i="2"/>
  <c r="AQ101" i="2"/>
  <c r="AR505" i="2"/>
  <c r="AR506" i="2"/>
  <c r="AR17" i="2"/>
  <c r="AR503" i="2"/>
  <c r="AR481" i="2"/>
  <c r="AR510" i="2"/>
  <c r="AR498" i="2"/>
  <c r="AR495" i="2"/>
  <c r="AR497" i="2"/>
  <c r="AR509" i="2"/>
  <c r="AR512" i="2"/>
  <c r="AR508" i="2"/>
  <c r="AR484" i="2"/>
  <c r="AR511" i="2"/>
  <c r="AR504" i="2"/>
  <c r="AR479" i="2"/>
  <c r="AQ513" i="2"/>
  <c r="AQ500" i="2"/>
  <c r="E309" i="3"/>
  <c r="J265" i="3"/>
  <c r="E272" i="3"/>
  <c r="E251" i="3"/>
  <c r="AR11" i="2"/>
  <c r="AQ486" i="2"/>
  <c r="AR48" i="2"/>
  <c r="AR101" i="2"/>
  <c r="AR51" i="2"/>
  <c r="AR49" i="2"/>
  <c r="AR107" i="2"/>
  <c r="AR105" i="2"/>
  <c r="AR100" i="2"/>
  <c r="AR103" i="2"/>
  <c r="AR55" i="2"/>
  <c r="AQ55" i="2"/>
  <c r="AQ48" i="2"/>
  <c r="AQ49" i="2"/>
  <c r="AQ100" i="2"/>
  <c r="AQ107" i="2"/>
  <c r="AQ51" i="2"/>
  <c r="AQ105" i="2"/>
  <c r="J298" i="3"/>
  <c r="J302" i="3" s="1"/>
  <c r="I302" i="3"/>
  <c r="AR513" i="2" l="1"/>
  <c r="AR486" i="2"/>
  <c r="AR500" i="2"/>
  <c r="AY513" i="2"/>
  <c r="E255" i="3"/>
  <c r="AR47" i="2"/>
  <c r="AR99" i="2"/>
  <c r="BF98" i="1"/>
  <c r="BQ98" i="1" s="1"/>
  <c r="BF79" i="1"/>
  <c r="BF75" i="1"/>
  <c r="BF74" i="1"/>
  <c r="BF71" i="1"/>
  <c r="BF70" i="1"/>
  <c r="BF67" i="1"/>
  <c r="BF66" i="1"/>
  <c r="BG79" i="1" l="1"/>
  <c r="BG75" i="1"/>
  <c r="BG67" i="1"/>
  <c r="BG66" i="1"/>
  <c r="BH59" i="1"/>
  <c r="BG70" i="1"/>
  <c r="BG71" i="1"/>
  <c r="BG74" i="1"/>
  <c r="BF253" i="1"/>
  <c r="BF243" i="1"/>
  <c r="BF237" i="1"/>
  <c r="BF236" i="1"/>
  <c r="BF235" i="1"/>
  <c r="BF220" i="1"/>
  <c r="BF164" i="1"/>
  <c r="BF163" i="1"/>
  <c r="BF162" i="1"/>
  <c r="BF147" i="1"/>
  <c r="BF123" i="1"/>
  <c r="BF112" i="1"/>
  <c r="BF107" i="1"/>
  <c r="BF102" i="1"/>
  <c r="BF189" i="1"/>
  <c r="BF258" i="1"/>
  <c r="BF257" i="1"/>
  <c r="BF181" i="1"/>
  <c r="BF180" i="1"/>
  <c r="BF250" i="1"/>
  <c r="BF249" i="1"/>
  <c r="BF64" i="1"/>
  <c r="BF174" i="1" s="1"/>
  <c r="BF61" i="1"/>
  <c r="BF170" i="1"/>
  <c r="BF50" i="1"/>
  <c r="BF46" i="1" s="1"/>
  <c r="BF48" i="1"/>
  <c r="BF63" i="1" s="1"/>
  <c r="BF86" i="1" s="1"/>
  <c r="BF38" i="1"/>
  <c r="BF37" i="1"/>
  <c r="BF36" i="1"/>
  <c r="BF35" i="1"/>
  <c r="BF19" i="1"/>
  <c r="BF27" i="1" s="1"/>
  <c r="BF8" i="1"/>
  <c r="BT151" i="1" l="1"/>
  <c r="BT143" i="1"/>
  <c r="BK90" i="1"/>
  <c r="BK137" i="1" s="1"/>
  <c r="BK204" i="1" s="1"/>
  <c r="BF111" i="1"/>
  <c r="BQ111" i="1" s="1"/>
  <c r="BQ112" i="1"/>
  <c r="BF106" i="1"/>
  <c r="BQ106" i="1" s="1"/>
  <c r="BQ107" i="1"/>
  <c r="BJ90" i="1"/>
  <c r="D164" i="3" s="1"/>
  <c r="BH74" i="1"/>
  <c r="BH66" i="1"/>
  <c r="BH79" i="1"/>
  <c r="BH67" i="1"/>
  <c r="BQ154" i="1"/>
  <c r="BQ193" i="1"/>
  <c r="BQ266" i="1" s="1"/>
  <c r="BI90" i="1"/>
  <c r="D209" i="3" s="1"/>
  <c r="BH60" i="1"/>
  <c r="BH71" i="1"/>
  <c r="BH75" i="1"/>
  <c r="BH243" i="1"/>
  <c r="BH90" i="1"/>
  <c r="D256" i="3" s="1"/>
  <c r="BH70" i="1"/>
  <c r="BF154" i="1"/>
  <c r="D289" i="3"/>
  <c r="BF193" i="1"/>
  <c r="BF266" i="1" s="1"/>
  <c r="BF29" i="1"/>
  <c r="BF172" i="1"/>
  <c r="BF161" i="1"/>
  <c r="BF96" i="1"/>
  <c r="BF134" i="1" s="1"/>
  <c r="BF234" i="1" s="1"/>
  <c r="BF176" i="1"/>
  <c r="BF184" i="1"/>
  <c r="BF245" i="1"/>
  <c r="BF254" i="1"/>
  <c r="BF262" i="1"/>
  <c r="BF177" i="1"/>
  <c r="BF185" i="1"/>
  <c r="BF247" i="1"/>
  <c r="BF39" i="1"/>
  <c r="BF49" i="1"/>
  <c r="BF51" i="1" s="1"/>
  <c r="BE76" i="1"/>
  <c r="D329" i="3"/>
  <c r="D324" i="3"/>
  <c r="D323" i="3"/>
  <c r="D322" i="3"/>
  <c r="D320" i="3"/>
  <c r="D319" i="3"/>
  <c r="D318" i="3"/>
  <c r="J313" i="3"/>
  <c r="J312" i="3"/>
  <c r="E325" i="3" s="1"/>
  <c r="D347" i="3"/>
  <c r="K340" i="3"/>
  <c r="AO513" i="2"/>
  <c r="AO72" i="2"/>
  <c r="AO20" i="2"/>
  <c r="AO500" i="2"/>
  <c r="AO486" i="2"/>
  <c r="AO404" i="2"/>
  <c r="AO378" i="2"/>
  <c r="AO356" i="2"/>
  <c r="BE98" i="1"/>
  <c r="BP98" i="1" s="1"/>
  <c r="BE45" i="1"/>
  <c r="BE65" i="1"/>
  <c r="AY262" i="1"/>
  <c r="AY257" i="1"/>
  <c r="AY254" i="1"/>
  <c r="AY253" i="1"/>
  <c r="AY250" i="1"/>
  <c r="AY249" i="1"/>
  <c r="AY243" i="1"/>
  <c r="BP244" i="1" s="1"/>
  <c r="AY237" i="1"/>
  <c r="BP238" i="1" s="1"/>
  <c r="AY236" i="1"/>
  <c r="AY235" i="1"/>
  <c r="AY220" i="1"/>
  <c r="AY189" i="1"/>
  <c r="AY184" i="1"/>
  <c r="AY181" i="1"/>
  <c r="AY180" i="1"/>
  <c r="AY177" i="1"/>
  <c r="AY176" i="1"/>
  <c r="AY170" i="1"/>
  <c r="BP171" i="1" s="1"/>
  <c r="AY164" i="1"/>
  <c r="BP165" i="1" s="1"/>
  <c r="AY163" i="1"/>
  <c r="AY162" i="1"/>
  <c r="AY147" i="1"/>
  <c r="AY123" i="1"/>
  <c r="AY154" i="1" s="1"/>
  <c r="AY227" i="1" s="1"/>
  <c r="AY112" i="1"/>
  <c r="AY111" i="1" s="1"/>
  <c r="AY107" i="1"/>
  <c r="AY106" i="1" s="1"/>
  <c r="AY102" i="1"/>
  <c r="BP103" i="1" s="1"/>
  <c r="AY98" i="1"/>
  <c r="AY76" i="1"/>
  <c r="AY75" i="1"/>
  <c r="AY69" i="1"/>
  <c r="AY65" i="1"/>
  <c r="AY64" i="1"/>
  <c r="AY174" i="1" s="1"/>
  <c r="AY61" i="1"/>
  <c r="AY50" i="1"/>
  <c r="AY46" i="1" s="1"/>
  <c r="AY48" i="1"/>
  <c r="AY63" i="1" s="1"/>
  <c r="AY86" i="1" s="1"/>
  <c r="AY38" i="1"/>
  <c r="AY37" i="1"/>
  <c r="AY36" i="1"/>
  <c r="AY35" i="1"/>
  <c r="AY19" i="1"/>
  <c r="AY8" i="1"/>
  <c r="R236" i="1"/>
  <c r="R235" i="1"/>
  <c r="R163" i="1"/>
  <c r="R162" i="1"/>
  <c r="R112" i="1"/>
  <c r="BS111" i="1" s="1"/>
  <c r="BS116" i="1" s="1"/>
  <c r="R220" i="1"/>
  <c r="BE262" i="1"/>
  <c r="BE257" i="1"/>
  <c r="BE254" i="1"/>
  <c r="BE253" i="1"/>
  <c r="BE250" i="1"/>
  <c r="BE249" i="1"/>
  <c r="BE243" i="1"/>
  <c r="BE237" i="1"/>
  <c r="BE236" i="1"/>
  <c r="BE235" i="1"/>
  <c r="BE220" i="1"/>
  <c r="BE189" i="1"/>
  <c r="BE184" i="1"/>
  <c r="BE181" i="1"/>
  <c r="BE180" i="1"/>
  <c r="BE177" i="1"/>
  <c r="BE176" i="1"/>
  <c r="BE170" i="1"/>
  <c r="BE164" i="1"/>
  <c r="BE163" i="1"/>
  <c r="BE162" i="1"/>
  <c r="BE147" i="1"/>
  <c r="BE123" i="1"/>
  <c r="BE112" i="1"/>
  <c r="BE107" i="1"/>
  <c r="BE102" i="1"/>
  <c r="BE185" i="1"/>
  <c r="BE64" i="1"/>
  <c r="BE247" i="1" s="1"/>
  <c r="BE61" i="1"/>
  <c r="BE50" i="1"/>
  <c r="BE46" i="1" s="1"/>
  <c r="BE48" i="1"/>
  <c r="BE63" i="1" s="1"/>
  <c r="BE86" i="1" s="1"/>
  <c r="BE38" i="1"/>
  <c r="BE37" i="1"/>
  <c r="BE36" i="1"/>
  <c r="BE35" i="1"/>
  <c r="BE19" i="1"/>
  <c r="BT285" i="1" l="1"/>
  <c r="BT210" i="1"/>
  <c r="BS41" i="1"/>
  <c r="BS128" i="1"/>
  <c r="BK139" i="1"/>
  <c r="BK206" i="1" s="1"/>
  <c r="BK140" i="1"/>
  <c r="BK207" i="1" s="1"/>
  <c r="BK201" i="1"/>
  <c r="BF116" i="1"/>
  <c r="BF128" i="1" s="1"/>
  <c r="BS129" i="1"/>
  <c r="BS126" i="1"/>
  <c r="BS125" i="1"/>
  <c r="BK149" i="1"/>
  <c r="BS170" i="1"/>
  <c r="BS61" i="1"/>
  <c r="BS55" i="1"/>
  <c r="BS243" i="1"/>
  <c r="BS64" i="1"/>
  <c r="BK136" i="1"/>
  <c r="BK203" i="1" s="1"/>
  <c r="D120" i="3"/>
  <c r="BQ116" i="1"/>
  <c r="BE106" i="1"/>
  <c r="BP106" i="1" s="1"/>
  <c r="BP107" i="1"/>
  <c r="BE111" i="1"/>
  <c r="BP111" i="1" s="1"/>
  <c r="BP112" i="1"/>
  <c r="BH91" i="1"/>
  <c r="BK91" i="1"/>
  <c r="BK279" i="1"/>
  <c r="BK278" i="1"/>
  <c r="BK281" i="1"/>
  <c r="BK282" i="1"/>
  <c r="BI91" i="1"/>
  <c r="BJ91" i="1"/>
  <c r="BJ151" i="1" s="1"/>
  <c r="BJ137" i="1"/>
  <c r="BJ204" i="1" s="1"/>
  <c r="BJ149" i="1"/>
  <c r="BJ201" i="1"/>
  <c r="E164" i="3"/>
  <c r="J152" i="3"/>
  <c r="F159" i="3"/>
  <c r="F161" i="3"/>
  <c r="F163" i="3"/>
  <c r="BJ140" i="1"/>
  <c r="BJ157" i="1" s="1"/>
  <c r="BG238" i="1"/>
  <c r="BG244" i="1"/>
  <c r="BG165" i="1"/>
  <c r="BJ136" i="1"/>
  <c r="BJ203" i="1" s="1"/>
  <c r="BG171" i="1"/>
  <c r="BJ139" i="1"/>
  <c r="BJ206" i="1" s="1"/>
  <c r="BJ279" i="1"/>
  <c r="BE154" i="1"/>
  <c r="E209" i="3"/>
  <c r="F204" i="3"/>
  <c r="F208" i="3"/>
  <c r="F206" i="3"/>
  <c r="BP201" i="1"/>
  <c r="BP149" i="1"/>
  <c r="BA69" i="1"/>
  <c r="AY27" i="1"/>
  <c r="BA75" i="1"/>
  <c r="BA76" i="1"/>
  <c r="BA65" i="1"/>
  <c r="BA68" i="1" s="1"/>
  <c r="BH276" i="1"/>
  <c r="BH282" i="1" s="1"/>
  <c r="E256" i="3"/>
  <c r="F251" i="3"/>
  <c r="F255" i="3"/>
  <c r="BE165" i="1"/>
  <c r="AP72" i="2"/>
  <c r="AQ72" i="2" s="1"/>
  <c r="AO74" i="2"/>
  <c r="AO78" i="2" s="1"/>
  <c r="AO22" i="2"/>
  <c r="AO31" i="2" s="1"/>
  <c r="AP20" i="2"/>
  <c r="AQ20" i="2" s="1"/>
  <c r="BE27" i="1"/>
  <c r="BE238" i="1"/>
  <c r="BE244" i="1"/>
  <c r="BE171" i="1"/>
  <c r="BF76" i="1"/>
  <c r="AY252" i="1"/>
  <c r="AY259" i="1"/>
  <c r="I336" i="3"/>
  <c r="J336" i="3" s="1"/>
  <c r="D299" i="3"/>
  <c r="E289" i="3"/>
  <c r="D290" i="3"/>
  <c r="E319" i="3"/>
  <c r="AY258" i="1"/>
  <c r="AY116" i="1"/>
  <c r="AY126" i="1" s="1"/>
  <c r="AY49" i="1"/>
  <c r="AY51" i="1" s="1"/>
  <c r="BP52" i="1" s="1"/>
  <c r="BE175" i="1"/>
  <c r="BF65" i="1"/>
  <c r="AY248" i="1"/>
  <c r="BE73" i="1"/>
  <c r="BF69" i="1"/>
  <c r="BF55" i="1"/>
  <c r="E320" i="3"/>
  <c r="E322" i="3"/>
  <c r="E323" i="3"/>
  <c r="E329" i="3"/>
  <c r="E324" i="3"/>
  <c r="E342" i="3"/>
  <c r="E343" i="3"/>
  <c r="E344" i="3"/>
  <c r="E318" i="3"/>
  <c r="E321" i="3"/>
  <c r="E345" i="3"/>
  <c r="E341" i="3"/>
  <c r="E346" i="3"/>
  <c r="BF43" i="1"/>
  <c r="BF42" i="1"/>
  <c r="BF32" i="1"/>
  <c r="BF53" i="1"/>
  <c r="D327" i="3"/>
  <c r="D337" i="3" s="1"/>
  <c r="E337" i="3" s="1"/>
  <c r="BE259" i="1"/>
  <c r="I337" i="3"/>
  <c r="J337" i="3" s="1"/>
  <c r="I338" i="3"/>
  <c r="J338" i="3" s="1"/>
  <c r="I339" i="3"/>
  <c r="J339" i="3" s="1"/>
  <c r="D326" i="3"/>
  <c r="R106" i="1"/>
  <c r="AY193" i="1"/>
  <c r="AY266" i="1" s="1"/>
  <c r="BE77" i="1"/>
  <c r="R48" i="1"/>
  <c r="R63" i="1" s="1"/>
  <c r="R86" i="1" s="1"/>
  <c r="R96" i="1" s="1"/>
  <c r="R134" i="1" s="1"/>
  <c r="R234" i="1" s="1"/>
  <c r="AY175" i="1"/>
  <c r="R111" i="1"/>
  <c r="R102" i="1"/>
  <c r="AY245" i="1"/>
  <c r="AY68" i="1"/>
  <c r="AY251" i="1" s="1"/>
  <c r="AY172" i="1"/>
  <c r="AY161" i="1"/>
  <c r="AY96" i="1"/>
  <c r="AY134" i="1" s="1"/>
  <c r="AY234" i="1" s="1"/>
  <c r="AY45" i="1"/>
  <c r="AY73" i="1"/>
  <c r="AY185" i="1"/>
  <c r="AY247" i="1"/>
  <c r="AY186" i="1"/>
  <c r="AY179" i="1"/>
  <c r="BE186" i="1"/>
  <c r="AY77" i="1"/>
  <c r="AY39" i="1"/>
  <c r="R123" i="1"/>
  <c r="BE245" i="1"/>
  <c r="R147" i="1"/>
  <c r="BE248" i="1"/>
  <c r="BE179" i="1"/>
  <c r="BE96" i="1"/>
  <c r="BE134" i="1" s="1"/>
  <c r="BE234" i="1" s="1"/>
  <c r="BE161" i="1"/>
  <c r="BE39" i="1"/>
  <c r="BE49" i="1"/>
  <c r="BE51" i="1" s="1"/>
  <c r="BE258" i="1"/>
  <c r="BE172" i="1"/>
  <c r="BE68" i="1"/>
  <c r="BE174" i="1"/>
  <c r="BE193" i="1"/>
  <c r="BE266" i="1" s="1"/>
  <c r="Q74" i="2"/>
  <c r="Q22" i="2"/>
  <c r="Q26" i="2" s="1"/>
  <c r="D295" i="3" l="1"/>
  <c r="BS244" i="1"/>
  <c r="BL244" i="1"/>
  <c r="BL171" i="1"/>
  <c r="BK157" i="1"/>
  <c r="BK150" i="1"/>
  <c r="BK158" i="1"/>
  <c r="BF125" i="1"/>
  <c r="BF270" i="1" s="1"/>
  <c r="BF126" i="1"/>
  <c r="BF271" i="1" s="1"/>
  <c r="BF129" i="1"/>
  <c r="BF199" i="1" s="1"/>
  <c r="BS201" i="1"/>
  <c r="BS149" i="1"/>
  <c r="BS172" i="1"/>
  <c r="BS196" i="1"/>
  <c r="BS137" i="1"/>
  <c r="BS204" i="1" s="1"/>
  <c r="BS271" i="1"/>
  <c r="BS245" i="1"/>
  <c r="BS136" i="1"/>
  <c r="BS203" i="1" s="1"/>
  <c r="BS270" i="1"/>
  <c r="BS195" i="1"/>
  <c r="BS274" i="1"/>
  <c r="BS155" i="1"/>
  <c r="BS132" i="1"/>
  <c r="BS140" i="1"/>
  <c r="BS199" i="1"/>
  <c r="BS174" i="1"/>
  <c r="BS247" i="1"/>
  <c r="BS198" i="1"/>
  <c r="BS156" i="1"/>
  <c r="BS139" i="1"/>
  <c r="BS273" i="1"/>
  <c r="BS145" i="1"/>
  <c r="BS212" i="1" s="1"/>
  <c r="BE116" i="1"/>
  <c r="BE126" i="1" s="1"/>
  <c r="J108" i="3"/>
  <c r="E120" i="3"/>
  <c r="F115" i="3"/>
  <c r="F119" i="3"/>
  <c r="F117" i="3"/>
  <c r="BP116" i="1"/>
  <c r="BQ125" i="1"/>
  <c r="BQ270" i="1" s="1"/>
  <c r="BQ278" i="1" s="1"/>
  <c r="BQ128" i="1"/>
  <c r="BQ273" i="1" s="1"/>
  <c r="BQ126" i="1"/>
  <c r="BQ271" i="1" s="1"/>
  <c r="BQ279" i="1" s="1"/>
  <c r="BQ129" i="1"/>
  <c r="BQ274" i="1" s="1"/>
  <c r="BQ282" i="1" s="1"/>
  <c r="BK151" i="1"/>
  <c r="BK143" i="1"/>
  <c r="BK210" i="1" s="1"/>
  <c r="BJ143" i="1"/>
  <c r="BJ285" i="1" s="1"/>
  <c r="BJ158" i="1"/>
  <c r="AR72" i="2"/>
  <c r="AR74" i="2" s="1"/>
  <c r="AR76" i="2" s="1"/>
  <c r="BJ281" i="1"/>
  <c r="BJ278" i="1"/>
  <c r="BJ207" i="1"/>
  <c r="BJ282" i="1"/>
  <c r="BJ150" i="1"/>
  <c r="G159" i="3"/>
  <c r="G163" i="3"/>
  <c r="G161" i="3"/>
  <c r="R154" i="1"/>
  <c r="R227" i="1" s="1"/>
  <c r="R40" i="1"/>
  <c r="BE128" i="1"/>
  <c r="BE273" i="1" s="1"/>
  <c r="BE287" i="1" s="1"/>
  <c r="BP154" i="1"/>
  <c r="BP193" i="1"/>
  <c r="BP266" i="1" s="1"/>
  <c r="G204" i="3"/>
  <c r="G206" i="3"/>
  <c r="G208" i="3"/>
  <c r="AO41" i="2"/>
  <c r="AO40" i="2"/>
  <c r="AO92" i="2"/>
  <c r="AO86" i="2"/>
  <c r="AP74" i="2"/>
  <c r="AP92" i="2" s="1"/>
  <c r="AP106" i="2"/>
  <c r="BA72" i="1"/>
  <c r="BP150" i="1"/>
  <c r="BH279" i="1"/>
  <c r="BG65" i="1"/>
  <c r="BG52" i="1"/>
  <c r="BA77" i="1"/>
  <c r="BA260" i="1" s="1"/>
  <c r="BA73" i="1"/>
  <c r="BA183" i="1" s="1"/>
  <c r="AO24" i="2"/>
  <c r="AO89" i="2"/>
  <c r="AO33" i="2"/>
  <c r="AO87" i="2"/>
  <c r="AO39" i="2"/>
  <c r="G251" i="3"/>
  <c r="G255" i="3"/>
  <c r="BG69" i="1"/>
  <c r="BF73" i="1"/>
  <c r="AO83" i="2"/>
  <c r="AO32" i="2"/>
  <c r="AO93" i="2"/>
  <c r="AO76" i="2"/>
  <c r="AO37" i="2"/>
  <c r="AO84" i="2"/>
  <c r="AO91" i="2"/>
  <c r="AR20" i="2"/>
  <c r="AO34" i="2"/>
  <c r="AO85" i="2"/>
  <c r="AQ106" i="2"/>
  <c r="AQ74" i="2"/>
  <c r="AQ92" i="2" s="1"/>
  <c r="AP56" i="2"/>
  <c r="AP22" i="2"/>
  <c r="AP40" i="2" s="1"/>
  <c r="AO35" i="2"/>
  <c r="AO26" i="2"/>
  <c r="AY53" i="1"/>
  <c r="BF259" i="1"/>
  <c r="BG76" i="1"/>
  <c r="AY55" i="1"/>
  <c r="BF186" i="1"/>
  <c r="D333" i="3"/>
  <c r="BA248" i="1"/>
  <c r="BA175" i="1"/>
  <c r="BA258" i="1"/>
  <c r="BA185" i="1"/>
  <c r="AY129" i="1"/>
  <c r="AY155" i="1" s="1"/>
  <c r="AY228" i="1" s="1"/>
  <c r="BF175" i="1"/>
  <c r="BF68" i="1"/>
  <c r="BF248" i="1"/>
  <c r="BA259" i="1"/>
  <c r="BA186" i="1"/>
  <c r="AY128" i="1"/>
  <c r="AY145" i="1" s="1"/>
  <c r="AY125" i="1"/>
  <c r="AY270" i="1" s="1"/>
  <c r="BA179" i="1"/>
  <c r="BA45" i="1"/>
  <c r="BA252" i="1"/>
  <c r="R161" i="1"/>
  <c r="BF179" i="1"/>
  <c r="BF252" i="1"/>
  <c r="BF45" i="1"/>
  <c r="E299" i="3"/>
  <c r="D300" i="3"/>
  <c r="D338" i="3"/>
  <c r="R116" i="1"/>
  <c r="R126" i="1" s="1"/>
  <c r="R271" i="1" s="1"/>
  <c r="BF198" i="1"/>
  <c r="BF156" i="1"/>
  <c r="BF273" i="1"/>
  <c r="BF287" i="1" s="1"/>
  <c r="BF145" i="1"/>
  <c r="E327" i="3"/>
  <c r="I340" i="3"/>
  <c r="D328" i="3"/>
  <c r="D330" i="3"/>
  <c r="AY72" i="1"/>
  <c r="AY178" i="1"/>
  <c r="BE125" i="1"/>
  <c r="BE195" i="1" s="1"/>
  <c r="BE129" i="1"/>
  <c r="BE132" i="1" s="1"/>
  <c r="AY42" i="1"/>
  <c r="AY29" i="1"/>
  <c r="AY43" i="1"/>
  <c r="AY271" i="1"/>
  <c r="AY196" i="1"/>
  <c r="R193" i="1"/>
  <c r="R266" i="1" s="1"/>
  <c r="AY260" i="1"/>
  <c r="AY187" i="1"/>
  <c r="AY183" i="1"/>
  <c r="AY256" i="1"/>
  <c r="BE183" i="1"/>
  <c r="BE256" i="1"/>
  <c r="BE29" i="1"/>
  <c r="BE43" i="1"/>
  <c r="BE42" i="1"/>
  <c r="BE260" i="1"/>
  <c r="BE187" i="1"/>
  <c r="BE55" i="1"/>
  <c r="BE53" i="1"/>
  <c r="BE178" i="1"/>
  <c r="BE72" i="1"/>
  <c r="BE251" i="1"/>
  <c r="Q82" i="2"/>
  <c r="Q84" i="2"/>
  <c r="Q83" i="2"/>
  <c r="Q85" i="2"/>
  <c r="Q86" i="2"/>
  <c r="Q87" i="2"/>
  <c r="Q32" i="2"/>
  <c r="Q33" i="2"/>
  <c r="Q34" i="2"/>
  <c r="Q35" i="2"/>
  <c r="Q39" i="2"/>
  <c r="Q40" i="2"/>
  <c r="Q30" i="2"/>
  <c r="Q41" i="2"/>
  <c r="Q31" i="2"/>
  <c r="Q76" i="2"/>
  <c r="Q24" i="2"/>
  <c r="V499" i="2"/>
  <c r="W499" i="2" s="1"/>
  <c r="V496" i="2"/>
  <c r="W496" i="2" s="1"/>
  <c r="V494" i="2"/>
  <c r="W494" i="2" s="1"/>
  <c r="V493" i="2"/>
  <c r="W493" i="2" s="1"/>
  <c r="V492" i="2"/>
  <c r="W492" i="2" s="1"/>
  <c r="V491" i="2"/>
  <c r="W491" i="2" s="1"/>
  <c r="V490" i="2"/>
  <c r="W490" i="2" s="1"/>
  <c r="V489" i="2"/>
  <c r="W489" i="2" s="1"/>
  <c r="V482" i="2"/>
  <c r="V480" i="2"/>
  <c r="V479" i="2"/>
  <c r="V478" i="2"/>
  <c r="BT152" i="1" l="1"/>
  <c r="BT142" i="1"/>
  <c r="BF195" i="1"/>
  <c r="BF196" i="1"/>
  <c r="BF132" i="1"/>
  <c r="BF155" i="1"/>
  <c r="BF274" i="1"/>
  <c r="BS282" i="1"/>
  <c r="BS278" i="1"/>
  <c r="BS279" i="1"/>
  <c r="BS287" i="1"/>
  <c r="BS281" i="1"/>
  <c r="BS207" i="1"/>
  <c r="BS157" i="1"/>
  <c r="BS150" i="1"/>
  <c r="BS158" i="1"/>
  <c r="BS206" i="1"/>
  <c r="G115" i="3"/>
  <c r="G117" i="3"/>
  <c r="G119" i="3"/>
  <c r="BQ281" i="1"/>
  <c r="BQ287" i="1"/>
  <c r="BQ132" i="1"/>
  <c r="BQ140" i="1"/>
  <c r="BQ199" i="1"/>
  <c r="BQ155" i="1"/>
  <c r="BQ196" i="1"/>
  <c r="BQ137" i="1"/>
  <c r="BQ204" i="1" s="1"/>
  <c r="BQ139" i="1"/>
  <c r="BQ145" i="1"/>
  <c r="BQ212" i="1" s="1"/>
  <c r="BQ198" i="1"/>
  <c r="BQ156" i="1"/>
  <c r="BQ195" i="1"/>
  <c r="BQ136" i="1"/>
  <c r="BQ203" i="1" s="1"/>
  <c r="BP129" i="1"/>
  <c r="BP274" i="1" s="1"/>
  <c r="BP282" i="1" s="1"/>
  <c r="BP128" i="1"/>
  <c r="BP273" i="1" s="1"/>
  <c r="BP126" i="1"/>
  <c r="BP271" i="1" s="1"/>
  <c r="BP279" i="1" s="1"/>
  <c r="BP125" i="1"/>
  <c r="BP270" i="1" s="1"/>
  <c r="BP278" i="1" s="1"/>
  <c r="BJ210" i="1"/>
  <c r="BH76" i="1"/>
  <c r="BG248" i="1"/>
  <c r="AY195" i="1"/>
  <c r="BE198" i="1"/>
  <c r="BE156" i="1"/>
  <c r="BE145" i="1"/>
  <c r="BE212" i="1" s="1"/>
  <c r="BH69" i="1"/>
  <c r="BA187" i="1"/>
  <c r="AP87" i="2"/>
  <c r="AP85" i="2"/>
  <c r="AP86" i="2"/>
  <c r="AP91" i="2"/>
  <c r="AP89" i="2"/>
  <c r="AP78" i="2"/>
  <c r="AP83" i="2"/>
  <c r="AP93" i="2"/>
  <c r="AP84" i="2"/>
  <c r="AP76" i="2"/>
  <c r="AR56" i="2"/>
  <c r="AP108" i="2"/>
  <c r="BH65" i="1"/>
  <c r="BA78" i="1"/>
  <c r="BA256" i="1"/>
  <c r="BG73" i="1"/>
  <c r="AY182" i="1"/>
  <c r="AO42" i="2"/>
  <c r="AO94" i="2"/>
  <c r="BF256" i="1"/>
  <c r="BF183" i="1"/>
  <c r="AR22" i="2"/>
  <c r="AR106" i="2"/>
  <c r="AQ56" i="2"/>
  <c r="AQ22" i="2"/>
  <c r="AQ76" i="2"/>
  <c r="AQ78" i="2"/>
  <c r="AQ108" i="2"/>
  <c r="AQ86" i="2"/>
  <c r="AQ89" i="2"/>
  <c r="AQ87" i="2"/>
  <c r="AQ83" i="2"/>
  <c r="AQ85" i="2"/>
  <c r="AQ91" i="2"/>
  <c r="AQ84" i="2"/>
  <c r="AQ93" i="2"/>
  <c r="AP39" i="2"/>
  <c r="AP26" i="2"/>
  <c r="AP35" i="2"/>
  <c r="AP33" i="2"/>
  <c r="AP34" i="2"/>
  <c r="AP58" i="2"/>
  <c r="AP24" i="2"/>
  <c r="AP31" i="2"/>
  <c r="AP32" i="2"/>
  <c r="AP41" i="2"/>
  <c r="AP37" i="2"/>
  <c r="AY156" i="1"/>
  <c r="AY229" i="1" s="1"/>
  <c r="AY274" i="1"/>
  <c r="AY273" i="1"/>
  <c r="AY287" i="1" s="1"/>
  <c r="AY198" i="1"/>
  <c r="AY132" i="1"/>
  <c r="AY199" i="1"/>
  <c r="R129" i="1"/>
  <c r="R155" i="1" s="1"/>
  <c r="R228" i="1" s="1"/>
  <c r="R128" i="1"/>
  <c r="R156" i="1" s="1"/>
  <c r="R196" i="1"/>
  <c r="R125" i="1"/>
  <c r="R270" i="1" s="1"/>
  <c r="BF178" i="1"/>
  <c r="BF72" i="1"/>
  <c r="BF251" i="1"/>
  <c r="BA251" i="1"/>
  <c r="BA178" i="1"/>
  <c r="BF212" i="1"/>
  <c r="Q42" i="2"/>
  <c r="AY78" i="1"/>
  <c r="AY80" i="1" s="1"/>
  <c r="AY255" i="1"/>
  <c r="BE274" i="1"/>
  <c r="BE270" i="1"/>
  <c r="BE155" i="1"/>
  <c r="BE199" i="1"/>
  <c r="BE271" i="1"/>
  <c r="AY32" i="1"/>
  <c r="BE196" i="1"/>
  <c r="AY212" i="1"/>
  <c r="BE255" i="1"/>
  <c r="BE182" i="1"/>
  <c r="BE78" i="1"/>
  <c r="BE80" i="1" s="1"/>
  <c r="BE32" i="1"/>
  <c r="X496" i="2"/>
  <c r="X494" i="2"/>
  <c r="X493" i="2"/>
  <c r="X492" i="2"/>
  <c r="X491" i="2"/>
  <c r="X490" i="2"/>
  <c r="R499" i="2"/>
  <c r="AV499" i="2" s="1"/>
  <c r="R496" i="2"/>
  <c r="AV496" i="2" s="1"/>
  <c r="R494" i="2"/>
  <c r="AV494" i="2" s="1"/>
  <c r="R493" i="2"/>
  <c r="AV493" i="2" s="1"/>
  <c r="R492" i="2"/>
  <c r="R491" i="2"/>
  <c r="AV491" i="2" s="1"/>
  <c r="R490" i="2"/>
  <c r="AV490" i="2" s="1"/>
  <c r="R489" i="2"/>
  <c r="S489" i="2" s="1"/>
  <c r="T489" i="2" s="1"/>
  <c r="R485" i="2"/>
  <c r="R482" i="2"/>
  <c r="AV482" i="2" s="1"/>
  <c r="R480" i="2"/>
  <c r="AV480" i="2" s="1"/>
  <c r="R479" i="2"/>
  <c r="AV479" i="2" s="1"/>
  <c r="R478" i="2"/>
  <c r="AV478" i="2" s="1"/>
  <c r="V485" i="2"/>
  <c r="W485" i="2" s="1"/>
  <c r="W482" i="2"/>
  <c r="X482" i="2" s="1"/>
  <c r="W478" i="2"/>
  <c r="X478" i="2" s="1"/>
  <c r="W480" i="2"/>
  <c r="X480" i="2" s="1"/>
  <c r="Q500" i="2"/>
  <c r="Q486" i="2"/>
  <c r="U500" i="2"/>
  <c r="U486" i="2"/>
  <c r="F500" i="2"/>
  <c r="E500" i="2"/>
  <c r="D500" i="2"/>
  <c r="C500" i="2"/>
  <c r="F486" i="2"/>
  <c r="E486" i="2"/>
  <c r="D486" i="2"/>
  <c r="C486" i="2"/>
  <c r="Y500" i="2"/>
  <c r="Z499" i="2"/>
  <c r="AA499" i="2" s="1"/>
  <c r="AB499" i="2" s="1"/>
  <c r="Z497" i="2"/>
  <c r="AA497" i="2" s="1"/>
  <c r="AB497" i="2" s="1"/>
  <c r="Z496" i="2"/>
  <c r="AA496" i="2" s="1"/>
  <c r="Z494" i="2"/>
  <c r="AA494" i="2" s="1"/>
  <c r="Z493" i="2"/>
  <c r="AA493" i="2" s="1"/>
  <c r="AB493" i="2" s="1"/>
  <c r="Z492" i="2"/>
  <c r="AA492" i="2" s="1"/>
  <c r="AB492" i="2" s="1"/>
  <c r="Z491" i="2"/>
  <c r="AA491" i="2" s="1"/>
  <c r="AB491" i="2" s="1"/>
  <c r="Z490" i="2"/>
  <c r="AA490" i="2" s="1"/>
  <c r="AB490" i="2" s="1"/>
  <c r="Z489" i="2"/>
  <c r="AA489" i="2" s="1"/>
  <c r="AB489" i="2" s="1"/>
  <c r="Z485" i="2"/>
  <c r="AA485" i="2" s="1"/>
  <c r="AB485" i="2" s="1"/>
  <c r="Z483" i="2"/>
  <c r="AA483" i="2" s="1"/>
  <c r="AB483" i="2" s="1"/>
  <c r="Z482" i="2"/>
  <c r="AA482" i="2" s="1"/>
  <c r="AB482" i="2" s="1"/>
  <c r="Z480" i="2"/>
  <c r="AA480" i="2" s="1"/>
  <c r="AB480" i="2" s="1"/>
  <c r="Z479" i="2"/>
  <c r="AA479" i="2" s="1"/>
  <c r="AB479" i="2" s="1"/>
  <c r="Z478" i="2"/>
  <c r="AA478" i="2" s="1"/>
  <c r="AB478" i="2" s="1"/>
  <c r="Y486" i="2"/>
  <c r="G500" i="2"/>
  <c r="H485" i="2"/>
  <c r="H486" i="2" s="1"/>
  <c r="I500" i="2"/>
  <c r="I485" i="2"/>
  <c r="I486" i="2" s="1"/>
  <c r="G486" i="2"/>
  <c r="AE499" i="2"/>
  <c r="AF499" i="2" s="1"/>
  <c r="AE498" i="2"/>
  <c r="AF498" i="2" s="1"/>
  <c r="AE497" i="2"/>
  <c r="AF497" i="2" s="1"/>
  <c r="AE496" i="2"/>
  <c r="AF496" i="2" s="1"/>
  <c r="AE494" i="2"/>
  <c r="AF494" i="2" s="1"/>
  <c r="AE493" i="2"/>
  <c r="AF493" i="2" s="1"/>
  <c r="AE492" i="2"/>
  <c r="AF492" i="2" s="1"/>
  <c r="AE491" i="2"/>
  <c r="AF491" i="2" s="1"/>
  <c r="AE490" i="2"/>
  <c r="AF490" i="2" s="1"/>
  <c r="AE489" i="2"/>
  <c r="AF489" i="2" s="1"/>
  <c r="AD485" i="2"/>
  <c r="AE485" i="2" s="1"/>
  <c r="AD484" i="2"/>
  <c r="AE484" i="2" s="1"/>
  <c r="AF484" i="2" s="1"/>
  <c r="AD483" i="2"/>
  <c r="AD482" i="2"/>
  <c r="AD480" i="2"/>
  <c r="AD479" i="2"/>
  <c r="AE479" i="2" s="1"/>
  <c r="AF479" i="2" s="1"/>
  <c r="AD478" i="2"/>
  <c r="AE478" i="2" s="1"/>
  <c r="AD500" i="2"/>
  <c r="AC500" i="2"/>
  <c r="AC486" i="2"/>
  <c r="J500" i="2"/>
  <c r="H500" i="2"/>
  <c r="J486" i="2"/>
  <c r="AL499" i="2"/>
  <c r="AL498" i="2"/>
  <c r="AL497" i="2"/>
  <c r="AL496" i="2"/>
  <c r="AL495" i="2"/>
  <c r="AL494" i="2"/>
  <c r="AL493" i="2"/>
  <c r="AL492" i="2"/>
  <c r="AL491" i="2"/>
  <c r="AL490" i="2"/>
  <c r="AH499" i="2"/>
  <c r="AI499" i="2" s="1"/>
  <c r="AJ499" i="2" s="1"/>
  <c r="AH498" i="2"/>
  <c r="AI498" i="2" s="1"/>
  <c r="AJ498" i="2" s="1"/>
  <c r="AH497" i="2"/>
  <c r="AI497" i="2" s="1"/>
  <c r="AJ497" i="2" s="1"/>
  <c r="AH496" i="2"/>
  <c r="AI496" i="2" s="1"/>
  <c r="AJ496" i="2" s="1"/>
  <c r="AH494" i="2"/>
  <c r="AI494" i="2" s="1"/>
  <c r="AJ494" i="2" s="1"/>
  <c r="AH493" i="2"/>
  <c r="AI493" i="2" s="1"/>
  <c r="AJ493" i="2" s="1"/>
  <c r="AH492" i="2"/>
  <c r="AI492" i="2" s="1"/>
  <c r="AJ492" i="2" s="1"/>
  <c r="AH491" i="2"/>
  <c r="AI491" i="2" s="1"/>
  <c r="AJ491" i="2" s="1"/>
  <c r="AH490" i="2"/>
  <c r="AH485" i="2"/>
  <c r="AI485" i="2" s="1"/>
  <c r="AJ485" i="2" s="1"/>
  <c r="AH484" i="2"/>
  <c r="AI484" i="2" s="1"/>
  <c r="AJ484" i="2" s="1"/>
  <c r="AH483" i="2"/>
  <c r="AI483" i="2" s="1"/>
  <c r="AJ483" i="2" s="1"/>
  <c r="AH482" i="2"/>
  <c r="AI482" i="2" s="1"/>
  <c r="AJ482" i="2" s="1"/>
  <c r="AH480" i="2"/>
  <c r="AI480" i="2" s="1"/>
  <c r="AJ480" i="2" s="1"/>
  <c r="AH479" i="2"/>
  <c r="AI479" i="2" s="1"/>
  <c r="AJ479" i="2" s="1"/>
  <c r="AH478" i="2"/>
  <c r="AI478" i="2" s="1"/>
  <c r="AJ478" i="2" s="1"/>
  <c r="AL485" i="2"/>
  <c r="AL484" i="2"/>
  <c r="AL483" i="2"/>
  <c r="AL482" i="2"/>
  <c r="AL481" i="2"/>
  <c r="AL480" i="2"/>
  <c r="AL479" i="2"/>
  <c r="AL478" i="2"/>
  <c r="AM512" i="2"/>
  <c r="AM511" i="2"/>
  <c r="AM510" i="2"/>
  <c r="AM509" i="2"/>
  <c r="AM508" i="2"/>
  <c r="AM507" i="2"/>
  <c r="AM506" i="2"/>
  <c r="AM505" i="2"/>
  <c r="AM504" i="2"/>
  <c r="AM503" i="2"/>
  <c r="AI512" i="2"/>
  <c r="AJ512" i="2" s="1"/>
  <c r="AI511" i="2"/>
  <c r="AJ511" i="2" s="1"/>
  <c r="AI510" i="2"/>
  <c r="AJ510" i="2" s="1"/>
  <c r="AI509" i="2"/>
  <c r="AJ509" i="2" s="1"/>
  <c r="AI508" i="2"/>
  <c r="AJ508" i="2" s="1"/>
  <c r="AI507" i="2"/>
  <c r="AJ507" i="2" s="1"/>
  <c r="AI506" i="2"/>
  <c r="AJ506" i="2" s="1"/>
  <c r="AI505" i="2"/>
  <c r="AJ505" i="2" s="1"/>
  <c r="AI504" i="2"/>
  <c r="AJ504" i="2" s="1"/>
  <c r="AI503" i="2"/>
  <c r="AJ503" i="2" s="1"/>
  <c r="AI495" i="2"/>
  <c r="AJ495" i="2" s="1"/>
  <c r="AI481" i="2"/>
  <c r="AJ481" i="2" s="1"/>
  <c r="AK500" i="2"/>
  <c r="AG500" i="2"/>
  <c r="AK486" i="2"/>
  <c r="AG486" i="2"/>
  <c r="R229" i="1" l="1"/>
  <c r="BT209" i="1"/>
  <c r="S492" i="2"/>
  <c r="T492" i="2" s="1"/>
  <c r="AV492" i="2"/>
  <c r="S485" i="2"/>
  <c r="T485" i="2" s="1"/>
  <c r="AV485" i="2"/>
  <c r="AV486" i="2" s="1"/>
  <c r="AV500" i="2"/>
  <c r="BP287" i="1"/>
  <c r="BP281" i="1"/>
  <c r="BP136" i="1"/>
  <c r="BP203" i="1" s="1"/>
  <c r="BP195" i="1"/>
  <c r="BP137" i="1"/>
  <c r="BP204" i="1" s="1"/>
  <c r="BP196" i="1"/>
  <c r="BP132" i="1"/>
  <c r="BP199" i="1"/>
  <c r="BP140" i="1"/>
  <c r="BP155" i="1"/>
  <c r="BQ206" i="1"/>
  <c r="BQ158" i="1"/>
  <c r="BP198" i="1"/>
  <c r="BP145" i="1"/>
  <c r="BP212" i="1" s="1"/>
  <c r="BP139" i="1"/>
  <c r="BP156" i="1"/>
  <c r="BQ207" i="1"/>
  <c r="BQ157" i="1"/>
  <c r="BH252" i="1"/>
  <c r="BK93" i="1"/>
  <c r="BH73" i="1"/>
  <c r="BJ93" i="1"/>
  <c r="BJ142" i="1" s="1"/>
  <c r="BJ209" i="1" s="1"/>
  <c r="BI93" i="1"/>
  <c r="R252" i="1"/>
  <c r="BH93" i="1"/>
  <c r="AP94" i="2"/>
  <c r="AR37" i="2"/>
  <c r="BA80" i="1"/>
  <c r="BA81" i="1" s="1"/>
  <c r="S493" i="2"/>
  <c r="T493" i="2" s="1"/>
  <c r="S480" i="2"/>
  <c r="T480" i="2" s="1"/>
  <c r="S482" i="2"/>
  <c r="T482" i="2" s="1"/>
  <c r="S496" i="2"/>
  <c r="T496" i="2" s="1"/>
  <c r="S479" i="2"/>
  <c r="T479" i="2" s="1"/>
  <c r="S494" i="2"/>
  <c r="T494" i="2" s="1"/>
  <c r="S499" i="2"/>
  <c r="T499" i="2" s="1"/>
  <c r="S490" i="2"/>
  <c r="T490" i="2" s="1"/>
  <c r="S491" i="2"/>
  <c r="T491" i="2" s="1"/>
  <c r="S478" i="2"/>
  <c r="T478" i="2" s="1"/>
  <c r="AR31" i="2"/>
  <c r="AR32" i="2"/>
  <c r="AR39" i="2"/>
  <c r="AR33" i="2"/>
  <c r="AR34" i="2"/>
  <c r="AR26" i="2"/>
  <c r="AR40" i="2"/>
  <c r="AR35" i="2"/>
  <c r="AR58" i="2"/>
  <c r="AR41" i="2"/>
  <c r="AR24" i="2"/>
  <c r="AR78" i="2"/>
  <c r="AR108" i="2"/>
  <c r="AR86" i="2"/>
  <c r="AR87" i="2"/>
  <c r="AR93" i="2"/>
  <c r="AR89" i="2"/>
  <c r="AR85" i="2"/>
  <c r="AR84" i="2"/>
  <c r="AR91" i="2"/>
  <c r="AR83" i="2"/>
  <c r="AR92" i="2"/>
  <c r="AP42" i="2"/>
  <c r="AQ34" i="2"/>
  <c r="AQ58" i="2"/>
  <c r="AQ26" i="2"/>
  <c r="AQ24" i="2"/>
  <c r="AQ39" i="2"/>
  <c r="AQ32" i="2"/>
  <c r="AQ37" i="2"/>
  <c r="AQ41" i="2"/>
  <c r="AQ31" i="2"/>
  <c r="AQ35" i="2"/>
  <c r="AQ33" i="2"/>
  <c r="AQ94" i="2"/>
  <c r="AQ40" i="2"/>
  <c r="R274" i="1"/>
  <c r="R273" i="1"/>
  <c r="R287" i="1" s="1"/>
  <c r="R132" i="1"/>
  <c r="R198" i="1"/>
  <c r="R195" i="1"/>
  <c r="R199" i="1"/>
  <c r="R145" i="1"/>
  <c r="R212" i="1" s="1"/>
  <c r="BF255" i="1"/>
  <c r="BF182" i="1"/>
  <c r="BA255" i="1"/>
  <c r="BA182" i="1"/>
  <c r="AN504" i="2"/>
  <c r="AN512" i="2"/>
  <c r="AM493" i="2"/>
  <c r="AY493" i="2" s="1"/>
  <c r="AN505" i="2"/>
  <c r="AM484" i="2"/>
  <c r="AY484" i="2" s="1"/>
  <c r="AN506" i="2"/>
  <c r="AY477" i="2"/>
  <c r="AM485" i="2"/>
  <c r="AY485" i="2" s="1"/>
  <c r="AN507" i="2"/>
  <c r="AM478" i="2"/>
  <c r="AY478" i="2" s="1"/>
  <c r="AM496" i="2"/>
  <c r="AY496" i="2" s="1"/>
  <c r="AN508" i="2"/>
  <c r="AM479" i="2"/>
  <c r="AY479" i="2" s="1"/>
  <c r="AN509" i="2"/>
  <c r="AM480" i="2"/>
  <c r="AY480" i="2" s="1"/>
  <c r="AM490" i="2"/>
  <c r="AY490" i="2" s="1"/>
  <c r="AM498" i="2"/>
  <c r="AY498" i="2" s="1"/>
  <c r="AM497" i="2"/>
  <c r="AY497" i="2" s="1"/>
  <c r="AN510" i="2"/>
  <c r="AM481" i="2"/>
  <c r="AY481" i="2" s="1"/>
  <c r="AM491" i="2"/>
  <c r="AY491" i="2" s="1"/>
  <c r="AM499" i="2"/>
  <c r="AY499" i="2" s="1"/>
  <c r="AN511" i="2"/>
  <c r="AM482" i="2"/>
  <c r="AY482" i="2" s="1"/>
  <c r="AM492" i="2"/>
  <c r="AY492" i="2" s="1"/>
  <c r="AY188" i="1"/>
  <c r="AY261" i="1"/>
  <c r="AY190" i="1"/>
  <c r="AY263" i="1"/>
  <c r="AY81" i="1"/>
  <c r="BE261" i="1"/>
  <c r="BE188" i="1"/>
  <c r="AF478" i="2"/>
  <c r="AF485" i="2"/>
  <c r="AE480" i="2"/>
  <c r="AE482" i="2"/>
  <c r="AF482" i="2" s="1"/>
  <c r="AE483" i="2"/>
  <c r="AF483" i="2" s="1"/>
  <c r="X485" i="2"/>
  <c r="X499" i="2"/>
  <c r="V500" i="2"/>
  <c r="X489" i="2"/>
  <c r="R500" i="2"/>
  <c r="R486" i="2"/>
  <c r="W479" i="2"/>
  <c r="X479" i="2" s="1"/>
  <c r="V486" i="2"/>
  <c r="AB496" i="2"/>
  <c r="AB494" i="2"/>
  <c r="Z500" i="2"/>
  <c r="Z486" i="2"/>
  <c r="AA486" i="2"/>
  <c r="AA500" i="2"/>
  <c r="AF500" i="2"/>
  <c r="AE500" i="2"/>
  <c r="AD486" i="2"/>
  <c r="AM483" i="2"/>
  <c r="AY483" i="2" s="1"/>
  <c r="AM494" i="2"/>
  <c r="AY494" i="2" s="1"/>
  <c r="AY476" i="2"/>
  <c r="AL500" i="2"/>
  <c r="AM495" i="2"/>
  <c r="AY495" i="2" s="1"/>
  <c r="AH500" i="2"/>
  <c r="AI490" i="2"/>
  <c r="AJ490" i="2" s="1"/>
  <c r="AJ500" i="2" s="1"/>
  <c r="AH486" i="2"/>
  <c r="AJ486" i="2"/>
  <c r="AL486" i="2"/>
  <c r="AJ513" i="2"/>
  <c r="AM513" i="2"/>
  <c r="AN503" i="2"/>
  <c r="AI513" i="2"/>
  <c r="K513" i="2"/>
  <c r="L513" i="2"/>
  <c r="L500" i="2"/>
  <c r="K500" i="2"/>
  <c r="K486" i="2"/>
  <c r="L486" i="2"/>
  <c r="I378" i="2"/>
  <c r="I356" i="2"/>
  <c r="BP207" i="1" l="1"/>
  <c r="BP157" i="1"/>
  <c r="BP206" i="1"/>
  <c r="BP158" i="1"/>
  <c r="BK152" i="1"/>
  <c r="BK142" i="1"/>
  <c r="BK209" i="1" s="1"/>
  <c r="BJ152" i="1"/>
  <c r="AY486" i="2"/>
  <c r="T486" i="2"/>
  <c r="T500" i="2"/>
  <c r="S486" i="2"/>
  <c r="S500" i="2"/>
  <c r="AY500" i="2"/>
  <c r="AR42" i="2"/>
  <c r="AR94" i="2"/>
  <c r="AN491" i="2"/>
  <c r="AN479" i="2"/>
  <c r="AN484" i="2"/>
  <c r="AN481" i="2"/>
  <c r="AN496" i="2"/>
  <c r="AN493" i="2"/>
  <c r="AQ42" i="2"/>
  <c r="AN495" i="2"/>
  <c r="AN497" i="2"/>
  <c r="AN478" i="2"/>
  <c r="AN492" i="2"/>
  <c r="AN498" i="2"/>
  <c r="AN494" i="2"/>
  <c r="AN482" i="2"/>
  <c r="AN490" i="2"/>
  <c r="AN485" i="2"/>
  <c r="AN499" i="2"/>
  <c r="AN483" i="2"/>
  <c r="AN480" i="2"/>
  <c r="BA188" i="1"/>
  <c r="BA261" i="1"/>
  <c r="AN513" i="2"/>
  <c r="AY191" i="1"/>
  <c r="AY264" i="1"/>
  <c r="AY82" i="1"/>
  <c r="BA82" i="1" s="1"/>
  <c r="BE263" i="1"/>
  <c r="BE190" i="1"/>
  <c r="BE81" i="1"/>
  <c r="AB500" i="2"/>
  <c r="AE486" i="2"/>
  <c r="AF480" i="2"/>
  <c r="AF486" i="2" s="1"/>
  <c r="W486" i="2"/>
  <c r="X500" i="2"/>
  <c r="W500" i="2"/>
  <c r="X486" i="2"/>
  <c r="AB486" i="2"/>
  <c r="AM500" i="2"/>
  <c r="AM486" i="2"/>
  <c r="AI486" i="2"/>
  <c r="AI500" i="2"/>
  <c r="K107" i="2"/>
  <c r="K105" i="2"/>
  <c r="K103" i="2"/>
  <c r="K101" i="2"/>
  <c r="K100" i="2"/>
  <c r="K99" i="2"/>
  <c r="I74" i="2"/>
  <c r="I93" i="2" s="1"/>
  <c r="K55" i="2"/>
  <c r="K51" i="2"/>
  <c r="K49" i="2"/>
  <c r="K48" i="2"/>
  <c r="K47" i="2"/>
  <c r="I22" i="2"/>
  <c r="I24" i="2" s="1"/>
  <c r="D366" i="3"/>
  <c r="D361" i="3"/>
  <c r="D360" i="3"/>
  <c r="D359" i="3"/>
  <c r="D357" i="3"/>
  <c r="D356" i="3"/>
  <c r="D355" i="3"/>
  <c r="D384" i="3"/>
  <c r="K377" i="3"/>
  <c r="J387" i="3"/>
  <c r="AN404" i="2"/>
  <c r="AH66" i="2"/>
  <c r="AM75" i="2"/>
  <c r="AM23" i="2"/>
  <c r="BE82" i="1" l="1"/>
  <c r="AN500" i="2"/>
  <c r="AY84" i="1"/>
  <c r="BA263" i="1"/>
  <c r="BA190" i="1"/>
  <c r="BA84" i="1"/>
  <c r="I373" i="3"/>
  <c r="J373" i="3" s="1"/>
  <c r="AN486" i="2"/>
  <c r="I375" i="3"/>
  <c r="J375" i="3" s="1"/>
  <c r="BE191" i="1"/>
  <c r="BE264" i="1"/>
  <c r="AN23" i="2"/>
  <c r="I32" i="2"/>
  <c r="I86" i="2"/>
  <c r="I33" i="2"/>
  <c r="I84" i="2"/>
  <c r="I39" i="2"/>
  <c r="I85" i="2"/>
  <c r="I87" i="2"/>
  <c r="I34" i="2"/>
  <c r="I35" i="2"/>
  <c r="I83" i="2"/>
  <c r="I40" i="2"/>
  <c r="I91" i="2"/>
  <c r="I41" i="2"/>
  <c r="I92" i="2"/>
  <c r="I31" i="2"/>
  <c r="I78" i="2"/>
  <c r="I76" i="2"/>
  <c r="I26" i="2"/>
  <c r="I374" i="3"/>
  <c r="J374" i="3" s="1"/>
  <c r="I376" i="3"/>
  <c r="J376" i="3" s="1"/>
  <c r="D363" i="3"/>
  <c r="BE84" i="1" l="1"/>
  <c r="BA264" i="1"/>
  <c r="BA191" i="1"/>
  <c r="I94" i="2"/>
  <c r="I42" i="2"/>
  <c r="I377" i="3"/>
  <c r="D367" i="3"/>
  <c r="K378" i="2"/>
  <c r="K356" i="2"/>
  <c r="L404" i="2"/>
  <c r="AN75" i="2"/>
  <c r="AN378" i="2"/>
  <c r="AN356" i="2"/>
  <c r="L72" i="2"/>
  <c r="L107" i="2"/>
  <c r="L105" i="2"/>
  <c r="L103" i="2"/>
  <c r="L101" i="2"/>
  <c r="L100" i="2"/>
  <c r="L99" i="2"/>
  <c r="K72" i="2"/>
  <c r="L53" i="2"/>
  <c r="L55" i="2"/>
  <c r="L51" i="2"/>
  <c r="L49" i="2"/>
  <c r="L48" i="2"/>
  <c r="L47" i="2"/>
  <c r="L20" i="2"/>
  <c r="K20" i="2"/>
  <c r="M56" i="2" s="1"/>
  <c r="K106" i="2" l="1"/>
  <c r="M106" i="2"/>
  <c r="L74" i="2"/>
  <c r="K22" i="2"/>
  <c r="K56" i="2"/>
  <c r="L56" i="2"/>
  <c r="L106" i="2"/>
  <c r="K74" i="2"/>
  <c r="M108" i="2" s="1"/>
  <c r="K58" i="2" l="1"/>
  <c r="M58" i="2"/>
  <c r="L76" i="2"/>
  <c r="L108" i="2"/>
  <c r="L78" i="2"/>
  <c r="K93" i="2"/>
  <c r="K41" i="2"/>
  <c r="K40" i="2"/>
  <c r="K26" i="2"/>
  <c r="K86" i="2"/>
  <c r="K31" i="2"/>
  <c r="K85" i="2"/>
  <c r="K34" i="2"/>
  <c r="K35" i="2"/>
  <c r="K87" i="2"/>
  <c r="K32" i="2"/>
  <c r="K37" i="2"/>
  <c r="K33" i="2"/>
  <c r="K39" i="2"/>
  <c r="K24" i="2"/>
  <c r="K78" i="2"/>
  <c r="K108" i="2"/>
  <c r="K83" i="2"/>
  <c r="K91" i="2"/>
  <c r="K76" i="2"/>
  <c r="K89" i="2"/>
  <c r="K84" i="2"/>
  <c r="K92" i="2"/>
  <c r="L378" i="2"/>
  <c r="L356" i="2"/>
  <c r="L89" i="2"/>
  <c r="L22" i="2"/>
  <c r="M215" i="1"/>
  <c r="M216" i="1"/>
  <c r="M218" i="1" s="1"/>
  <c r="BD31" i="1"/>
  <c r="BD30" i="1"/>
  <c r="BD28" i="1"/>
  <c r="BD25" i="1"/>
  <c r="BD24" i="1"/>
  <c r="BD23" i="1"/>
  <c r="BD22" i="1"/>
  <c r="BD21" i="1"/>
  <c r="BD20" i="1"/>
  <c r="BD18" i="1"/>
  <c r="BD17" i="1"/>
  <c r="BD16" i="1"/>
  <c r="BD15" i="1"/>
  <c r="BO38" i="1" s="1"/>
  <c r="BD14" i="1"/>
  <c r="BD13" i="1"/>
  <c r="BO36" i="1" s="1"/>
  <c r="BD12" i="1"/>
  <c r="BD11" i="1"/>
  <c r="BD10" i="1"/>
  <c r="BD9" i="1"/>
  <c r="BD7" i="1"/>
  <c r="BD131" i="1"/>
  <c r="BD268" i="1" s="1"/>
  <c r="BD122" i="1"/>
  <c r="BD121" i="1"/>
  <c r="BD120" i="1"/>
  <c r="BD119" i="1"/>
  <c r="BD118" i="1"/>
  <c r="BD115" i="1"/>
  <c r="BD114" i="1"/>
  <c r="BD113" i="1"/>
  <c r="BD110" i="1"/>
  <c r="BD109" i="1"/>
  <c r="BD108" i="1"/>
  <c r="BD101" i="1"/>
  <c r="BD100" i="1"/>
  <c r="BD99" i="1"/>
  <c r="BD236" i="1"/>
  <c r="BD235" i="1"/>
  <c r="BD220" i="1"/>
  <c r="BD163" i="1"/>
  <c r="BD162" i="1"/>
  <c r="BD147" i="1"/>
  <c r="BD48" i="1"/>
  <c r="BD63" i="1" s="1"/>
  <c r="BD86" i="1" s="1"/>
  <c r="K215" i="1"/>
  <c r="K217" i="1" s="1"/>
  <c r="L216" i="1"/>
  <c r="L215" i="1"/>
  <c r="L217" i="1" s="1"/>
  <c r="AW131" i="1"/>
  <c r="AW268" i="1" s="1"/>
  <c r="AW122" i="1"/>
  <c r="AW121" i="1"/>
  <c r="AW120" i="1"/>
  <c r="AW119" i="1"/>
  <c r="AW118" i="1"/>
  <c r="AW115" i="1"/>
  <c r="AW114" i="1"/>
  <c r="AW113" i="1"/>
  <c r="AW110" i="1"/>
  <c r="AW109" i="1"/>
  <c r="AW108" i="1"/>
  <c r="AW101" i="1"/>
  <c r="AW100" i="1"/>
  <c r="AW99" i="1"/>
  <c r="AW31" i="1"/>
  <c r="AW30" i="1"/>
  <c r="AW28" i="1"/>
  <c r="AW25" i="1"/>
  <c r="AW24" i="1"/>
  <c r="AW23" i="1"/>
  <c r="AW22" i="1"/>
  <c r="AW21" i="1"/>
  <c r="AW20" i="1"/>
  <c r="AW18" i="1"/>
  <c r="AW17" i="1"/>
  <c r="AW16" i="1"/>
  <c r="AW15" i="1"/>
  <c r="AW14" i="1"/>
  <c r="AW13" i="1"/>
  <c r="AW12" i="1"/>
  <c r="AW11" i="1"/>
  <c r="AW10" i="1"/>
  <c r="AW9" i="1"/>
  <c r="AW7" i="1"/>
  <c r="AW236" i="1"/>
  <c r="AW235" i="1"/>
  <c r="AW220" i="1"/>
  <c r="AW163" i="1"/>
  <c r="AW162" i="1"/>
  <c r="AW147" i="1"/>
  <c r="AW48" i="1"/>
  <c r="AW63" i="1" s="1"/>
  <c r="AW86" i="1" s="1"/>
  <c r="L79" i="1"/>
  <c r="M79" i="1"/>
  <c r="M77" i="1"/>
  <c r="L77" i="1"/>
  <c r="L76" i="1"/>
  <c r="M76" i="1"/>
  <c r="L75" i="1"/>
  <c r="M71" i="1"/>
  <c r="L71" i="1"/>
  <c r="L70" i="1"/>
  <c r="M65" i="1"/>
  <c r="L65" i="1"/>
  <c r="M69" i="1"/>
  <c r="L69" i="1"/>
  <c r="M75" i="1"/>
  <c r="M98" i="1"/>
  <c r="BD98" i="1" s="1"/>
  <c r="L98" i="1"/>
  <c r="AW98" i="1" s="1"/>
  <c r="L60" i="1"/>
  <c r="L57" i="1"/>
  <c r="L8" i="1"/>
  <c r="L268" i="1" l="1"/>
  <c r="L218" i="1"/>
  <c r="J350" i="3"/>
  <c r="M217" i="1"/>
  <c r="BQ148" i="1"/>
  <c r="BR148" i="1"/>
  <c r="BD87" i="1"/>
  <c r="BE87" i="1"/>
  <c r="BI148" i="1"/>
  <c r="BI103" i="1"/>
  <c r="BE40" i="1"/>
  <c r="BF40" i="1"/>
  <c r="BG40" i="1"/>
  <c r="BA87" i="1"/>
  <c r="BA103" i="1" s="1"/>
  <c r="BO8" i="1"/>
  <c r="BF41" i="1"/>
  <c r="BG41" i="1"/>
  <c r="BE41" i="1"/>
  <c r="BO37" i="1"/>
  <c r="BO50" i="1"/>
  <c r="BO46" i="1" s="1"/>
  <c r="BO35" i="1"/>
  <c r="BO19" i="1"/>
  <c r="BR88" i="1" s="1"/>
  <c r="BO164" i="1"/>
  <c r="BS165" i="1" s="1"/>
  <c r="J349" i="3"/>
  <c r="E362" i="3" s="1"/>
  <c r="M268" i="1"/>
  <c r="L58" i="2"/>
  <c r="BG87" i="1"/>
  <c r="BH36" i="1"/>
  <c r="BH37" i="1"/>
  <c r="BH38" i="1"/>
  <c r="BH237" i="1"/>
  <c r="BH164" i="1"/>
  <c r="R41" i="1"/>
  <c r="BF87" i="1"/>
  <c r="BE8" i="1"/>
  <c r="AY87" i="1"/>
  <c r="K42" i="2"/>
  <c r="K94" i="2"/>
  <c r="L83" i="2"/>
  <c r="L87" i="2"/>
  <c r="L91" i="2"/>
  <c r="L93" i="2"/>
  <c r="L41" i="2"/>
  <c r="L26" i="2"/>
  <c r="L33" i="2"/>
  <c r="L24" i="2"/>
  <c r="L32" i="2"/>
  <c r="L34" i="2"/>
  <c r="L37" i="2"/>
  <c r="L39" i="2"/>
  <c r="L35" i="2"/>
  <c r="L92" i="2"/>
  <c r="L84" i="2"/>
  <c r="L40" i="2"/>
  <c r="L85" i="2"/>
  <c r="L31" i="2"/>
  <c r="L86" i="2"/>
  <c r="BD112" i="1"/>
  <c r="BD111" i="1" s="1"/>
  <c r="AW8" i="1"/>
  <c r="BD8" i="1"/>
  <c r="AW87" i="1"/>
  <c r="AW148" i="1" s="1"/>
  <c r="AW221" i="1" s="1"/>
  <c r="BD107" i="1"/>
  <c r="BD106" i="1" s="1"/>
  <c r="BD102" i="1"/>
  <c r="BD96" i="1"/>
  <c r="BD134" i="1" s="1"/>
  <c r="BD234" i="1" s="1"/>
  <c r="BD161" i="1"/>
  <c r="BD35" i="1"/>
  <c r="BD50" i="1"/>
  <c r="AW102" i="1"/>
  <c r="BO103" i="1" s="1"/>
  <c r="AW123" i="1"/>
  <c r="AW154" i="1" s="1"/>
  <c r="AW227" i="1" s="1"/>
  <c r="L73" i="1"/>
  <c r="AW107" i="1"/>
  <c r="AW106" i="1" s="1"/>
  <c r="AW112" i="1"/>
  <c r="AW111" i="1" s="1"/>
  <c r="AW237" i="1"/>
  <c r="BO238" i="1" s="1"/>
  <c r="AW164" i="1"/>
  <c r="AW161" i="1"/>
  <c r="AW96" i="1"/>
  <c r="AW134" i="1" s="1"/>
  <c r="AW234" i="1" s="1"/>
  <c r="M73" i="1"/>
  <c r="M236" i="1"/>
  <c r="M235" i="1"/>
  <c r="M220" i="1"/>
  <c r="M184" i="1"/>
  <c r="M181" i="1"/>
  <c r="M177" i="1"/>
  <c r="M176" i="1"/>
  <c r="M170" i="1"/>
  <c r="M164" i="1"/>
  <c r="M163" i="1"/>
  <c r="M162" i="1"/>
  <c r="M161" i="1"/>
  <c r="M147" i="1"/>
  <c r="M134" i="1"/>
  <c r="M123" i="1"/>
  <c r="D364" i="3" s="1"/>
  <c r="M112" i="1"/>
  <c r="M107" i="1"/>
  <c r="M102" i="1"/>
  <c r="M96" i="1"/>
  <c r="M91" i="1"/>
  <c r="M90" i="1"/>
  <c r="D368" i="3" s="1"/>
  <c r="M87" i="1"/>
  <c r="M86" i="1"/>
  <c r="M189" i="1"/>
  <c r="M186" i="1"/>
  <c r="M185" i="1"/>
  <c r="M93" i="1"/>
  <c r="M175" i="1"/>
  <c r="M64" i="1"/>
  <c r="M63" i="1"/>
  <c r="M61" i="1"/>
  <c r="M60" i="1"/>
  <c r="M58" i="1"/>
  <c r="M57" i="1"/>
  <c r="M50" i="1"/>
  <c r="M48" i="1"/>
  <c r="M38" i="1"/>
  <c r="M37" i="1"/>
  <c r="M36" i="1"/>
  <c r="M35" i="1"/>
  <c r="M19" i="1"/>
  <c r="M27" i="1" s="1"/>
  <c r="M43" i="1" s="1"/>
  <c r="M8" i="1"/>
  <c r="L236" i="1"/>
  <c r="L235" i="1"/>
  <c r="L220" i="1"/>
  <c r="L184" i="1"/>
  <c r="L177" i="1"/>
  <c r="L176" i="1"/>
  <c r="L170" i="1"/>
  <c r="N171" i="1" s="1"/>
  <c r="L164" i="1"/>
  <c r="N165" i="1" s="1"/>
  <c r="L163" i="1"/>
  <c r="L162" i="1"/>
  <c r="L161" i="1"/>
  <c r="L147" i="1"/>
  <c r="L134" i="1"/>
  <c r="L123" i="1"/>
  <c r="L112" i="1"/>
  <c r="L107" i="1"/>
  <c r="L102" i="1"/>
  <c r="L96" i="1"/>
  <c r="L91" i="1"/>
  <c r="L90" i="1"/>
  <c r="L87" i="1"/>
  <c r="L86" i="1"/>
  <c r="L189" i="1"/>
  <c r="L185" i="1"/>
  <c r="L181" i="1"/>
  <c r="L93" i="1"/>
  <c r="L175" i="1"/>
  <c r="L64" i="1"/>
  <c r="L63" i="1"/>
  <c r="L61" i="1"/>
  <c r="L58" i="1"/>
  <c r="L50" i="1"/>
  <c r="L48" i="1"/>
  <c r="L45" i="1"/>
  <c r="L38" i="1"/>
  <c r="L37" i="1"/>
  <c r="L36" i="1"/>
  <c r="L35" i="1"/>
  <c r="L19" i="1"/>
  <c r="L27" i="1" s="1"/>
  <c r="BC60" i="1"/>
  <c r="BB60" i="1"/>
  <c r="AX60" i="1"/>
  <c r="AR60" i="1"/>
  <c r="AN60" i="1"/>
  <c r="AR87" i="1"/>
  <c r="AS87" i="1"/>
  <c r="AT87" i="1"/>
  <c r="AX87" i="1"/>
  <c r="AZ87" i="1"/>
  <c r="AN8" i="1"/>
  <c r="AO8" i="1"/>
  <c r="AP8" i="1"/>
  <c r="AR8" i="1"/>
  <c r="AS8" i="1"/>
  <c r="AV8" i="1"/>
  <c r="AT8" i="1"/>
  <c r="BB8" i="1"/>
  <c r="H60" i="1"/>
  <c r="I60" i="1"/>
  <c r="J60" i="1"/>
  <c r="K60" i="1"/>
  <c r="J8" i="1"/>
  <c r="K8" i="1"/>
  <c r="AU30" i="1"/>
  <c r="K98" i="1"/>
  <c r="AP90" i="1"/>
  <c r="AP87" i="1"/>
  <c r="AO87" i="1"/>
  <c r="AN87" i="1"/>
  <c r="BO165" i="1" l="1"/>
  <c r="BH165" i="1"/>
  <c r="BH238" i="1"/>
  <c r="BA148" i="1"/>
  <c r="BA221" i="1" s="1"/>
  <c r="E361" i="3"/>
  <c r="E360" i="3"/>
  <c r="E359" i="3"/>
  <c r="E355" i="3"/>
  <c r="E358" i="3"/>
  <c r="E357" i="3"/>
  <c r="E366" i="3"/>
  <c r="E356" i="3"/>
  <c r="BO49" i="1"/>
  <c r="BO51" i="1" s="1"/>
  <c r="BS52" i="1" s="1"/>
  <c r="BO39" i="1"/>
  <c r="BO27" i="1"/>
  <c r="BO148" i="1"/>
  <c r="BG148" i="1"/>
  <c r="BG103" i="1"/>
  <c r="BH148" i="1"/>
  <c r="BH103" i="1"/>
  <c r="BH50" i="1"/>
  <c r="BH46" i="1" s="1"/>
  <c r="BH35" i="1"/>
  <c r="BH19" i="1"/>
  <c r="BK88" i="1" s="1"/>
  <c r="BE148" i="1"/>
  <c r="BE103" i="1"/>
  <c r="BF148" i="1"/>
  <c r="BF103" i="1"/>
  <c r="J340" i="3"/>
  <c r="E326" i="3"/>
  <c r="R36" i="1"/>
  <c r="R38" i="1"/>
  <c r="R37" i="1"/>
  <c r="AY103" i="1"/>
  <c r="AY148" i="1"/>
  <c r="AY221" i="1" s="1"/>
  <c r="R237" i="1"/>
  <c r="R87" i="1"/>
  <c r="R19" i="1"/>
  <c r="R27" i="1" s="1"/>
  <c r="R164" i="1"/>
  <c r="R35" i="1"/>
  <c r="R46" i="1"/>
  <c r="E368" i="3"/>
  <c r="F363" i="3"/>
  <c r="F367" i="3"/>
  <c r="D374" i="3"/>
  <c r="E364" i="3"/>
  <c r="D365" i="3"/>
  <c r="F365" i="3" s="1"/>
  <c r="L94" i="2"/>
  <c r="L42" i="2"/>
  <c r="BD116" i="1"/>
  <c r="BD126" i="1" s="1"/>
  <c r="AW116" i="1"/>
  <c r="AW125" i="1" s="1"/>
  <c r="AW195" i="1" s="1"/>
  <c r="M183" i="1"/>
  <c r="M174" i="1"/>
  <c r="M148" i="1"/>
  <c r="M221" i="1" s="1"/>
  <c r="M234" i="1"/>
  <c r="M201" i="1"/>
  <c r="M46" i="1"/>
  <c r="M49" i="1"/>
  <c r="M106" i="1"/>
  <c r="M111" i="1"/>
  <c r="M154" i="1"/>
  <c r="M227" i="1" s="1"/>
  <c r="L111" i="1"/>
  <c r="BD46" i="1"/>
  <c r="L68" i="1"/>
  <c r="L178" i="1" s="1"/>
  <c r="L201" i="1"/>
  <c r="BD237" i="1"/>
  <c r="BD19" i="1"/>
  <c r="BD164" i="1"/>
  <c r="L149" i="1"/>
  <c r="L222" i="1" s="1"/>
  <c r="L234" i="1"/>
  <c r="BD36" i="1"/>
  <c r="L46" i="1"/>
  <c r="L183" i="1"/>
  <c r="AW193" i="1"/>
  <c r="AW266" i="1" s="1"/>
  <c r="L154" i="1"/>
  <c r="L148" i="1"/>
  <c r="L221" i="1" s="1"/>
  <c r="L49" i="1"/>
  <c r="L106" i="1"/>
  <c r="BD37" i="1"/>
  <c r="BD38" i="1"/>
  <c r="AW103" i="1"/>
  <c r="M149" i="1"/>
  <c r="M222" i="1" s="1"/>
  <c r="M165" i="1"/>
  <c r="M172" i="1"/>
  <c r="L172" i="1"/>
  <c r="L40" i="1"/>
  <c r="L143" i="1"/>
  <c r="M171" i="1"/>
  <c r="M143" i="1"/>
  <c r="M103" i="1"/>
  <c r="L103" i="1"/>
  <c r="M88" i="1"/>
  <c r="M152" i="1"/>
  <c r="M225" i="1" s="1"/>
  <c r="M142" i="1"/>
  <c r="L174" i="1"/>
  <c r="M45" i="1"/>
  <c r="M68" i="1"/>
  <c r="M179" i="1"/>
  <c r="M187" i="1"/>
  <c r="M180" i="1"/>
  <c r="M39" i="1"/>
  <c r="M151" i="1"/>
  <c r="M224" i="1" s="1"/>
  <c r="M40" i="1"/>
  <c r="M193" i="1"/>
  <c r="L152" i="1"/>
  <c r="L225" i="1" s="1"/>
  <c r="L142" i="1"/>
  <c r="L186" i="1"/>
  <c r="L179" i="1"/>
  <c r="L187" i="1"/>
  <c r="L88" i="1"/>
  <c r="L180" i="1"/>
  <c r="L39" i="1"/>
  <c r="L151" i="1"/>
  <c r="L224" i="1" s="1"/>
  <c r="L193" i="1"/>
  <c r="D403" i="3"/>
  <c r="D398" i="3"/>
  <c r="D397" i="3"/>
  <c r="D396" i="3"/>
  <c r="D394" i="3"/>
  <c r="D393" i="3"/>
  <c r="D392" i="3"/>
  <c r="J386" i="3"/>
  <c r="E336" i="3" s="1"/>
  <c r="E338" i="3" s="1"/>
  <c r="Q358" i="2"/>
  <c r="Q359" i="2"/>
  <c r="BC148" i="1"/>
  <c r="BC243" i="1"/>
  <c r="BC237" i="1"/>
  <c r="BC236" i="1"/>
  <c r="BC235" i="1"/>
  <c r="BC220" i="1"/>
  <c r="BC170" i="1"/>
  <c r="BC164" i="1"/>
  <c r="BC163" i="1"/>
  <c r="BC162" i="1"/>
  <c r="BC147" i="1"/>
  <c r="BC123" i="1"/>
  <c r="BC112" i="1"/>
  <c r="BC111" i="1" s="1"/>
  <c r="BC107" i="1"/>
  <c r="BC106" i="1" s="1"/>
  <c r="BC102" i="1"/>
  <c r="BT103" i="1" s="1"/>
  <c r="BC98" i="1"/>
  <c r="BC64" i="1"/>
  <c r="BC174" i="1" s="1"/>
  <c r="BC61" i="1"/>
  <c r="BC50" i="1"/>
  <c r="BC46" i="1" s="1"/>
  <c r="BC48" i="1"/>
  <c r="BC63" i="1" s="1"/>
  <c r="BC86" i="1" s="1"/>
  <c r="BC38" i="1"/>
  <c r="BC37" i="1"/>
  <c r="BC36" i="1"/>
  <c r="BC35" i="1"/>
  <c r="BC19" i="1"/>
  <c r="AV87" i="1"/>
  <c r="BR244" i="1" l="1"/>
  <c r="BR171" i="1"/>
  <c r="BR238" i="1"/>
  <c r="BR165" i="1"/>
  <c r="BR103" i="1"/>
  <c r="BQ88" i="1"/>
  <c r="BR89" i="1"/>
  <c r="BI171" i="1"/>
  <c r="BI244" i="1"/>
  <c r="BI238" i="1"/>
  <c r="BI165" i="1"/>
  <c r="BP88" i="1"/>
  <c r="BD238" i="1"/>
  <c r="BD165" i="1"/>
  <c r="BI88" i="1"/>
  <c r="BJ88" i="1"/>
  <c r="BE88" i="1"/>
  <c r="BC27" i="1"/>
  <c r="BO88" i="1"/>
  <c r="BO42" i="1"/>
  <c r="BO29" i="1"/>
  <c r="BR92" i="1" s="1"/>
  <c r="BO43" i="1"/>
  <c r="BO53" i="1"/>
  <c r="BH27" i="1"/>
  <c r="BH42" i="1" s="1"/>
  <c r="BH88" i="1"/>
  <c r="BD27" i="1"/>
  <c r="BG88" i="1"/>
  <c r="BH49" i="1"/>
  <c r="BH51" i="1" s="1"/>
  <c r="BK89" i="1" s="1"/>
  <c r="BH39" i="1"/>
  <c r="BC39" i="1"/>
  <c r="BF88" i="1"/>
  <c r="E330" i="3"/>
  <c r="E328" i="3"/>
  <c r="M116" i="1"/>
  <c r="D370" i="3" s="1"/>
  <c r="AW270" i="1"/>
  <c r="R88" i="1"/>
  <c r="R39" i="1"/>
  <c r="R49" i="1"/>
  <c r="R51" i="1" s="1"/>
  <c r="R148" i="1"/>
  <c r="R221" i="1" s="1"/>
  <c r="R103" i="1"/>
  <c r="E374" i="3"/>
  <c r="D375" i="3"/>
  <c r="E373" i="3"/>
  <c r="BD41" i="1"/>
  <c r="BD129" i="1"/>
  <c r="BD274" i="1" s="1"/>
  <c r="AW128" i="1"/>
  <c r="AW198" i="1" s="1"/>
  <c r="AW126" i="1"/>
  <c r="AW196" i="1" s="1"/>
  <c r="AW129" i="1"/>
  <c r="AW274" i="1" s="1"/>
  <c r="L150" i="1"/>
  <c r="M150" i="1"/>
  <c r="BC245" i="1"/>
  <c r="M42" i="1"/>
  <c r="M51" i="1"/>
  <c r="M266" i="1"/>
  <c r="L227" i="1"/>
  <c r="BD49" i="1"/>
  <c r="BD51" i="1" s="1"/>
  <c r="BD39" i="1"/>
  <c r="BD148" i="1"/>
  <c r="BD103" i="1"/>
  <c r="L266" i="1"/>
  <c r="L51" i="1"/>
  <c r="N52" i="1" s="1"/>
  <c r="L72" i="1"/>
  <c r="BD271" i="1"/>
  <c r="BD196" i="1"/>
  <c r="L42" i="1"/>
  <c r="L116" i="1"/>
  <c r="L128" i="1" s="1"/>
  <c r="M29" i="1"/>
  <c r="M210" i="1"/>
  <c r="L210" i="1"/>
  <c r="L29" i="1"/>
  <c r="L43" i="1"/>
  <c r="M72" i="1"/>
  <c r="M178" i="1"/>
  <c r="BC116" i="1"/>
  <c r="BC126" i="1" s="1"/>
  <c r="BC247" i="1"/>
  <c r="BC193" i="1"/>
  <c r="BC266" i="1" s="1"/>
  <c r="M284" i="1"/>
  <c r="M209" i="1"/>
  <c r="D401" i="3"/>
  <c r="BC172" i="1"/>
  <c r="L284" i="1"/>
  <c r="L209" i="1"/>
  <c r="BC103" i="1"/>
  <c r="BC96" i="1"/>
  <c r="BC134" i="1" s="1"/>
  <c r="BC234" i="1" s="1"/>
  <c r="BC161" i="1"/>
  <c r="BC154" i="1"/>
  <c r="BC49" i="1"/>
  <c r="BC51" i="1" s="1"/>
  <c r="AQ131" i="1"/>
  <c r="AQ268" i="1" s="1"/>
  <c r="AQ122" i="1"/>
  <c r="AQ121" i="1"/>
  <c r="AQ120" i="1"/>
  <c r="AQ119" i="1"/>
  <c r="AQ118" i="1"/>
  <c r="AQ115" i="1"/>
  <c r="AQ114" i="1"/>
  <c r="AQ113" i="1"/>
  <c r="AQ110" i="1"/>
  <c r="AQ109" i="1"/>
  <c r="AQ108" i="1"/>
  <c r="AQ101" i="1"/>
  <c r="AQ100" i="1"/>
  <c r="AQ99" i="1"/>
  <c r="AQ59" i="1"/>
  <c r="AQ243" i="1" s="1"/>
  <c r="AQ31" i="1"/>
  <c r="AQ30" i="1"/>
  <c r="AQ28" i="1"/>
  <c r="AQ25" i="1"/>
  <c r="AQ24" i="1"/>
  <c r="AQ23" i="1"/>
  <c r="AQ22" i="1"/>
  <c r="AQ21" i="1"/>
  <c r="AQ20" i="1"/>
  <c r="AQ18" i="1"/>
  <c r="AQ17" i="1"/>
  <c r="AQ16" i="1"/>
  <c r="AQ15" i="1"/>
  <c r="AQ14" i="1"/>
  <c r="AQ13" i="1"/>
  <c r="AQ12" i="1"/>
  <c r="AQ11" i="1"/>
  <c r="AQ10" i="1"/>
  <c r="AQ9" i="1"/>
  <c r="AQ50" i="1" s="1"/>
  <c r="AQ7" i="1"/>
  <c r="AQ87" i="1" s="1"/>
  <c r="AQ148" i="1" s="1"/>
  <c r="AQ221" i="1" s="1"/>
  <c r="AQ236" i="1"/>
  <c r="AQ235" i="1"/>
  <c r="AQ220" i="1"/>
  <c r="AQ163" i="1"/>
  <c r="AQ162" i="1"/>
  <c r="AQ147" i="1"/>
  <c r="AQ48" i="1"/>
  <c r="AQ63" i="1" s="1"/>
  <c r="AQ86" i="1" s="1"/>
  <c r="AQ161" i="1" s="1"/>
  <c r="BR52" i="1" l="1"/>
  <c r="BQ89" i="1"/>
  <c r="BO89" i="1"/>
  <c r="BI89" i="1"/>
  <c r="BJ89" i="1"/>
  <c r="BP89" i="1"/>
  <c r="BG89" i="1"/>
  <c r="BE89" i="1"/>
  <c r="AQ170" i="1"/>
  <c r="BH52" i="1"/>
  <c r="BO32" i="1"/>
  <c r="BH89" i="1"/>
  <c r="BD155" i="1"/>
  <c r="BH29" i="1"/>
  <c r="BK92" i="1" s="1"/>
  <c r="BH43" i="1"/>
  <c r="L125" i="1"/>
  <c r="L270" i="1" s="1"/>
  <c r="BH53" i="1"/>
  <c r="M126" i="1"/>
  <c r="M196" i="1" s="1"/>
  <c r="M128" i="1"/>
  <c r="M198" i="1" s="1"/>
  <c r="M41" i="1"/>
  <c r="M129" i="1"/>
  <c r="M132" i="1" s="1"/>
  <c r="M125" i="1"/>
  <c r="M270" i="1" s="1"/>
  <c r="BF89" i="1"/>
  <c r="R89" i="1"/>
  <c r="R53" i="1"/>
  <c r="AW145" i="1"/>
  <c r="R29" i="1"/>
  <c r="R42" i="1"/>
  <c r="R43" i="1"/>
  <c r="E375" i="3"/>
  <c r="E363" i="3"/>
  <c r="AW155" i="1"/>
  <c r="AW228" i="1" s="1"/>
  <c r="AW199" i="1"/>
  <c r="AW132" i="1"/>
  <c r="BD132" i="1"/>
  <c r="BD199" i="1"/>
  <c r="AQ64" i="1"/>
  <c r="AQ174" i="1" s="1"/>
  <c r="L129" i="1"/>
  <c r="L155" i="1" s="1"/>
  <c r="AW273" i="1"/>
  <c r="AW287" i="1" s="1"/>
  <c r="L41" i="1"/>
  <c r="AW271" i="1"/>
  <c r="AW156" i="1"/>
  <c r="AW229" i="1" s="1"/>
  <c r="M32" i="1"/>
  <c r="M89" i="1"/>
  <c r="M53" i="1"/>
  <c r="M55" i="1"/>
  <c r="BC129" i="1"/>
  <c r="BC199" i="1" s="1"/>
  <c r="BD29" i="1"/>
  <c r="BD42" i="1"/>
  <c r="BD43" i="1"/>
  <c r="AQ46" i="1"/>
  <c r="L32" i="1"/>
  <c r="L273" i="1"/>
  <c r="L287" i="1" s="1"/>
  <c r="BD53" i="1"/>
  <c r="L78" i="1"/>
  <c r="L182" i="1"/>
  <c r="L94" i="1"/>
  <c r="L126" i="1"/>
  <c r="L89" i="1"/>
  <c r="L55" i="1"/>
  <c r="M52" i="1"/>
  <c r="L53" i="1"/>
  <c r="AQ102" i="1"/>
  <c r="AQ103" i="1" s="1"/>
  <c r="BC125" i="1"/>
  <c r="BC195" i="1" s="1"/>
  <c r="BC128" i="1"/>
  <c r="BC156" i="1" s="1"/>
  <c r="L156" i="1"/>
  <c r="L198" i="1"/>
  <c r="L145" i="1"/>
  <c r="L139" i="1"/>
  <c r="M92" i="1"/>
  <c r="L92" i="1"/>
  <c r="M182" i="1"/>
  <c r="M94" i="1"/>
  <c r="M78" i="1"/>
  <c r="AQ61" i="1"/>
  <c r="AQ19" i="1"/>
  <c r="AQ123" i="1"/>
  <c r="AQ193" i="1" s="1"/>
  <c r="AQ266" i="1" s="1"/>
  <c r="AQ237" i="1"/>
  <c r="AQ245" i="1" s="1"/>
  <c r="AQ90" i="1"/>
  <c r="AQ201" i="1" s="1"/>
  <c r="AQ36" i="1"/>
  <c r="AQ35" i="1"/>
  <c r="AQ37" i="1"/>
  <c r="AQ164" i="1"/>
  <c r="AQ38" i="1"/>
  <c r="AQ112" i="1"/>
  <c r="AQ111" i="1" s="1"/>
  <c r="BC29" i="1"/>
  <c r="BC42" i="1"/>
  <c r="BC43" i="1"/>
  <c r="BC55" i="1"/>
  <c r="BC53" i="1"/>
  <c r="BC271" i="1"/>
  <c r="BC196" i="1"/>
  <c r="AQ107" i="1"/>
  <c r="AQ106" i="1" s="1"/>
  <c r="AQ96" i="1"/>
  <c r="AQ134" i="1" s="1"/>
  <c r="AQ234" i="1" s="1"/>
  <c r="BQ92" i="1" l="1"/>
  <c r="M274" i="1"/>
  <c r="BO92" i="1"/>
  <c r="BI92" i="1"/>
  <c r="BJ92" i="1"/>
  <c r="BP92" i="1"/>
  <c r="BG92" i="1"/>
  <c r="BE92" i="1"/>
  <c r="M195" i="1"/>
  <c r="BH92" i="1"/>
  <c r="M145" i="1"/>
  <c r="M212" i="1" s="1"/>
  <c r="M156" i="1"/>
  <c r="M229" i="1" s="1"/>
  <c r="M273" i="1"/>
  <c r="M287" i="1" s="1"/>
  <c r="M139" i="1"/>
  <c r="M206" i="1" s="1"/>
  <c r="M136" i="1"/>
  <c r="M203" i="1" s="1"/>
  <c r="M199" i="1"/>
  <c r="M140" i="1"/>
  <c r="M157" i="1" s="1"/>
  <c r="L136" i="1"/>
  <c r="L203" i="1" s="1"/>
  <c r="L195" i="1"/>
  <c r="M155" i="1"/>
  <c r="M228" i="1" s="1"/>
  <c r="M271" i="1"/>
  <c r="AW212" i="1"/>
  <c r="M137" i="1"/>
  <c r="M204" i="1" s="1"/>
  <c r="BH32" i="1"/>
  <c r="BF92" i="1"/>
  <c r="R32" i="1"/>
  <c r="R92" i="1"/>
  <c r="AQ247" i="1"/>
  <c r="BC198" i="1"/>
  <c r="BC145" i="1"/>
  <c r="BC273" i="1"/>
  <c r="BC287" i="1" s="1"/>
  <c r="E365" i="3"/>
  <c r="G365" i="3" s="1"/>
  <c r="E367" i="3"/>
  <c r="G367" i="3" s="1"/>
  <c r="G363" i="3"/>
  <c r="L132" i="1"/>
  <c r="L199" i="1"/>
  <c r="L274" i="1"/>
  <c r="L140" i="1"/>
  <c r="L207" i="1" s="1"/>
  <c r="BC274" i="1"/>
  <c r="BC270" i="1"/>
  <c r="BC132" i="1"/>
  <c r="BC155" i="1"/>
  <c r="M80" i="1"/>
  <c r="M81" i="1" s="1"/>
  <c r="M153" i="1"/>
  <c r="M226" i="1" s="1"/>
  <c r="L206" i="1"/>
  <c r="BD32" i="1"/>
  <c r="L153" i="1"/>
  <c r="L226" i="1" s="1"/>
  <c r="L229" i="1"/>
  <c r="L80" i="1"/>
  <c r="L188" i="1"/>
  <c r="L228" i="1"/>
  <c r="L271" i="1"/>
  <c r="L137" i="1"/>
  <c r="L196" i="1"/>
  <c r="AQ149" i="1"/>
  <c r="L212" i="1"/>
  <c r="L158" i="1"/>
  <c r="M188" i="1"/>
  <c r="AQ154" i="1"/>
  <c r="AQ227" i="1" s="1"/>
  <c r="AQ49" i="1"/>
  <c r="AQ51" i="1" s="1"/>
  <c r="AQ39" i="1"/>
  <c r="AQ27" i="1"/>
  <c r="AQ42" i="1" s="1"/>
  <c r="AQ172" i="1"/>
  <c r="AQ116" i="1"/>
  <c r="AQ126" i="1" s="1"/>
  <c r="BC32" i="1"/>
  <c r="AQ150" i="1" l="1"/>
  <c r="AQ222" i="1"/>
  <c r="AQ223" i="1" s="1"/>
  <c r="M207" i="1"/>
  <c r="M158" i="1"/>
  <c r="BC212" i="1"/>
  <c r="L157" i="1"/>
  <c r="L81" i="1"/>
  <c r="L190" i="1"/>
  <c r="L204" i="1"/>
  <c r="AQ129" i="1"/>
  <c r="AQ274" i="1" s="1"/>
  <c r="AQ282" i="1" s="1"/>
  <c r="AQ125" i="1"/>
  <c r="AQ270" i="1" s="1"/>
  <c r="AQ278" i="1" s="1"/>
  <c r="AQ128" i="1"/>
  <c r="AQ156" i="1" s="1"/>
  <c r="AQ229" i="1" s="1"/>
  <c r="M191" i="1"/>
  <c r="AQ43" i="1"/>
  <c r="M190" i="1"/>
  <c r="AQ55" i="1"/>
  <c r="AQ53" i="1"/>
  <c r="AQ29" i="1"/>
  <c r="AQ32" i="1" s="1"/>
  <c r="AQ271" i="1"/>
  <c r="AQ279" i="1" s="1"/>
  <c r="AQ137" i="1"/>
  <c r="AQ204" i="1" s="1"/>
  <c r="AQ196" i="1"/>
  <c r="AQ136" i="1" l="1"/>
  <c r="AQ203" i="1" s="1"/>
  <c r="AQ195" i="1"/>
  <c r="AQ231" i="1"/>
  <c r="AQ145" i="1"/>
  <c r="AQ198" i="1"/>
  <c r="AQ139" i="1"/>
  <c r="AQ158" i="1" s="1"/>
  <c r="AQ140" i="1"/>
  <c r="AQ157" i="1" s="1"/>
  <c r="AQ273" i="1"/>
  <c r="L191" i="1"/>
  <c r="AQ132" i="1"/>
  <c r="AQ155" i="1"/>
  <c r="AQ228" i="1" s="1"/>
  <c r="AQ230" i="1" s="1"/>
  <c r="AQ199" i="1"/>
  <c r="AQ281" i="1" l="1"/>
  <c r="AQ287" i="1"/>
  <c r="AQ212" i="1"/>
  <c r="AQ207" i="1"/>
  <c r="AQ206" i="1"/>
  <c r="AV243" i="1"/>
  <c r="AV237" i="1"/>
  <c r="AV236" i="1"/>
  <c r="AV235" i="1"/>
  <c r="AV220" i="1"/>
  <c r="AV170" i="1"/>
  <c r="AV164" i="1"/>
  <c r="AV163" i="1"/>
  <c r="AV162" i="1"/>
  <c r="AV147" i="1"/>
  <c r="AV123" i="1"/>
  <c r="AV112" i="1"/>
  <c r="AV111" i="1" s="1"/>
  <c r="AV107" i="1"/>
  <c r="AV106" i="1" s="1"/>
  <c r="AV102" i="1"/>
  <c r="AV103" i="1" s="1"/>
  <c r="AV98" i="1"/>
  <c r="AV148" i="1"/>
  <c r="AV221" i="1" s="1"/>
  <c r="AV64" i="1"/>
  <c r="AV174" i="1" s="1"/>
  <c r="AV61" i="1"/>
  <c r="AV50" i="1"/>
  <c r="AV46" i="1" s="1"/>
  <c r="AV48" i="1"/>
  <c r="AV63" i="1" s="1"/>
  <c r="AV86" i="1" s="1"/>
  <c r="AV38" i="1"/>
  <c r="AV37" i="1"/>
  <c r="AV36" i="1"/>
  <c r="AV35" i="1"/>
  <c r="AV19" i="1"/>
  <c r="K236" i="1"/>
  <c r="K235" i="1"/>
  <c r="K220" i="1"/>
  <c r="K216" i="1"/>
  <c r="K184" i="1"/>
  <c r="K177" i="1"/>
  <c r="K176" i="1"/>
  <c r="K170" i="1"/>
  <c r="K164" i="1"/>
  <c r="K163" i="1"/>
  <c r="K162" i="1"/>
  <c r="K161" i="1"/>
  <c r="K147" i="1"/>
  <c r="K134" i="1"/>
  <c r="K234" i="1" s="1"/>
  <c r="K123" i="1"/>
  <c r="K193" i="1" s="1"/>
  <c r="K112" i="1"/>
  <c r="K111" i="1" s="1"/>
  <c r="K107" i="1"/>
  <c r="K106" i="1" s="1"/>
  <c r="K102" i="1"/>
  <c r="K96" i="1"/>
  <c r="K91" i="1"/>
  <c r="K151" i="1" s="1"/>
  <c r="K224" i="1" s="1"/>
  <c r="K90" i="1"/>
  <c r="K201" i="1" s="1"/>
  <c r="K87" i="1"/>
  <c r="K148" i="1" s="1"/>
  <c r="K221" i="1" s="1"/>
  <c r="K86" i="1"/>
  <c r="K79" i="1"/>
  <c r="K189" i="1" s="1"/>
  <c r="K77" i="1"/>
  <c r="K187" i="1" s="1"/>
  <c r="K76" i="1"/>
  <c r="K186" i="1" s="1"/>
  <c r="K75" i="1"/>
  <c r="K185" i="1" s="1"/>
  <c r="K73" i="1"/>
  <c r="K183" i="1" s="1"/>
  <c r="K71" i="1"/>
  <c r="K181" i="1" s="1"/>
  <c r="K70" i="1"/>
  <c r="K180" i="1" s="1"/>
  <c r="K69" i="1"/>
  <c r="K93" i="1" s="1"/>
  <c r="K152" i="1" s="1"/>
  <c r="K225" i="1" s="1"/>
  <c r="K65" i="1"/>
  <c r="K175" i="1" s="1"/>
  <c r="K64" i="1"/>
  <c r="K174" i="1" s="1"/>
  <c r="K63" i="1"/>
  <c r="K61" i="1"/>
  <c r="K58" i="1"/>
  <c r="K57" i="1"/>
  <c r="K50" i="1"/>
  <c r="AP243" i="1"/>
  <c r="AP237" i="1"/>
  <c r="AP236" i="1"/>
  <c r="AP235" i="1"/>
  <c r="AP220" i="1"/>
  <c r="AP170" i="1"/>
  <c r="AP164" i="1"/>
  <c r="AP163" i="1"/>
  <c r="AP162" i="1"/>
  <c r="AP147" i="1"/>
  <c r="AP123" i="1"/>
  <c r="AP154" i="1" s="1"/>
  <c r="AP112" i="1"/>
  <c r="AP111" i="1" s="1"/>
  <c r="AP107" i="1"/>
  <c r="AP106" i="1" s="1"/>
  <c r="AP102" i="1"/>
  <c r="AP103" i="1" s="1"/>
  <c r="AP98" i="1"/>
  <c r="AP201" i="1"/>
  <c r="AP148" i="1"/>
  <c r="AP221" i="1" s="1"/>
  <c r="AP64" i="1"/>
  <c r="AP61" i="1"/>
  <c r="AP50" i="1"/>
  <c r="AP46" i="1" s="1"/>
  <c r="AP48" i="1"/>
  <c r="AP63" i="1" s="1"/>
  <c r="AP86" i="1" s="1"/>
  <c r="AP38" i="1"/>
  <c r="AP37" i="1"/>
  <c r="AP36" i="1"/>
  <c r="AP35" i="1"/>
  <c r="AP19" i="1"/>
  <c r="AO243" i="1"/>
  <c r="AO237" i="1"/>
  <c r="AO236" i="1"/>
  <c r="AO235" i="1"/>
  <c r="AO220" i="1"/>
  <c r="AO164" i="1"/>
  <c r="AO163" i="1"/>
  <c r="AO162" i="1"/>
  <c r="AO147" i="1"/>
  <c r="AO123" i="1"/>
  <c r="AO154" i="1" s="1"/>
  <c r="AO112" i="1"/>
  <c r="AO111" i="1" s="1"/>
  <c r="AO107" i="1"/>
  <c r="AO106" i="1" s="1"/>
  <c r="AO102" i="1"/>
  <c r="AO103" i="1" s="1"/>
  <c r="AO98" i="1"/>
  <c r="AO148" i="1"/>
  <c r="AO221" i="1" s="1"/>
  <c r="AO79" i="1"/>
  <c r="AO189" i="1" s="1"/>
  <c r="AO74" i="1"/>
  <c r="AP74" i="1" s="1"/>
  <c r="AP257" i="1" s="1"/>
  <c r="AO71" i="1"/>
  <c r="AO181" i="1" s="1"/>
  <c r="AO70" i="1"/>
  <c r="AO253" i="1" s="1"/>
  <c r="AO67" i="1"/>
  <c r="AP67" i="1" s="1"/>
  <c r="AO66" i="1"/>
  <c r="AP66" i="1" s="1"/>
  <c r="AP249" i="1" s="1"/>
  <c r="AO64" i="1"/>
  <c r="AO61" i="1"/>
  <c r="AO170" i="1"/>
  <c r="AO50" i="1"/>
  <c r="AO46" i="1" s="1"/>
  <c r="AO48" i="1"/>
  <c r="AO63" i="1" s="1"/>
  <c r="AO86" i="1" s="1"/>
  <c r="AO38" i="1"/>
  <c r="AO37" i="1"/>
  <c r="AO36" i="1"/>
  <c r="AO35" i="1"/>
  <c r="AO19" i="1"/>
  <c r="AN262" i="1"/>
  <c r="AN257" i="1"/>
  <c r="AN254" i="1"/>
  <c r="AN253" i="1"/>
  <c r="AN250" i="1"/>
  <c r="AN249" i="1"/>
  <c r="AN243" i="1"/>
  <c r="AN237" i="1"/>
  <c r="AN236" i="1"/>
  <c r="AN235" i="1"/>
  <c r="AN220" i="1"/>
  <c r="AN189" i="1"/>
  <c r="AN184" i="1"/>
  <c r="AN181" i="1"/>
  <c r="AN180" i="1"/>
  <c r="AN177" i="1"/>
  <c r="AN176" i="1"/>
  <c r="AN170" i="1"/>
  <c r="AN164" i="1"/>
  <c r="AN163" i="1"/>
  <c r="AN162" i="1"/>
  <c r="AN147" i="1"/>
  <c r="AN123" i="1"/>
  <c r="AN193" i="1" s="1"/>
  <c r="AN266" i="1" s="1"/>
  <c r="AN112" i="1"/>
  <c r="AN111" i="1" s="1"/>
  <c r="AN107" i="1"/>
  <c r="AN106" i="1" s="1"/>
  <c r="AN102" i="1"/>
  <c r="AN103" i="1" s="1"/>
  <c r="AN98" i="1"/>
  <c r="AN148" i="1"/>
  <c r="AN221" i="1" s="1"/>
  <c r="AN76" i="1"/>
  <c r="AO76" i="1" s="1"/>
  <c r="AN75" i="1"/>
  <c r="AO75" i="1" s="1"/>
  <c r="AN69" i="1"/>
  <c r="AN252" i="1" s="1"/>
  <c r="AN65" i="1"/>
  <c r="AN175" i="1" s="1"/>
  <c r="AN64" i="1"/>
  <c r="AN247" i="1" s="1"/>
  <c r="AN61" i="1"/>
  <c r="AN50" i="1"/>
  <c r="AN46" i="1" s="1"/>
  <c r="AN48" i="1"/>
  <c r="AN63" i="1" s="1"/>
  <c r="AN86" i="1" s="1"/>
  <c r="AN161" i="1" s="1"/>
  <c r="AN38" i="1"/>
  <c r="AN37" i="1"/>
  <c r="AN36" i="1"/>
  <c r="AN35" i="1"/>
  <c r="AN19" i="1"/>
  <c r="AM131" i="1"/>
  <c r="AM122" i="1"/>
  <c r="AM121" i="1"/>
  <c r="AM120" i="1"/>
  <c r="AM119" i="1"/>
  <c r="AM118" i="1"/>
  <c r="AM115" i="1"/>
  <c r="AM114" i="1"/>
  <c r="AM113" i="1"/>
  <c r="AM110" i="1"/>
  <c r="AM109" i="1"/>
  <c r="AM108" i="1"/>
  <c r="AM101" i="1"/>
  <c r="AM100" i="1"/>
  <c r="AM99" i="1"/>
  <c r="AM220" i="1"/>
  <c r="AM170" i="1"/>
  <c r="AM164" i="1"/>
  <c r="AW165" i="1" s="1"/>
  <c r="AM163" i="1"/>
  <c r="AM162" i="1"/>
  <c r="AM147" i="1"/>
  <c r="AM186" i="1"/>
  <c r="AM185" i="1"/>
  <c r="AM184" i="1"/>
  <c r="AM183" i="1"/>
  <c r="AM179" i="1"/>
  <c r="AM177" i="1"/>
  <c r="AM176" i="1"/>
  <c r="AM175" i="1"/>
  <c r="AM61" i="1"/>
  <c r="AM50" i="1"/>
  <c r="AM46" i="1" s="1"/>
  <c r="AM48" i="1"/>
  <c r="AM63" i="1" s="1"/>
  <c r="AM86" i="1" s="1"/>
  <c r="AM38" i="1"/>
  <c r="AM37" i="1"/>
  <c r="AM36" i="1"/>
  <c r="AM35" i="1"/>
  <c r="AM19" i="1"/>
  <c r="AM49" i="1" s="1"/>
  <c r="AJ48" i="1"/>
  <c r="AJ63" i="1" s="1"/>
  <c r="BC8" i="1"/>
  <c r="AU8" i="1"/>
  <c r="AL48" i="1"/>
  <c r="AL63" i="1" s="1"/>
  <c r="AK48" i="1"/>
  <c r="AK63" i="1" s="1"/>
  <c r="I57" i="1"/>
  <c r="I8" i="1"/>
  <c r="I236" i="1"/>
  <c r="I235" i="1"/>
  <c r="I220" i="1"/>
  <c r="I216" i="1"/>
  <c r="I184" i="1"/>
  <c r="I177" i="1"/>
  <c r="I176" i="1"/>
  <c r="I170" i="1"/>
  <c r="I164" i="1"/>
  <c r="I163" i="1"/>
  <c r="I162" i="1"/>
  <c r="I161" i="1"/>
  <c r="I147" i="1"/>
  <c r="I134" i="1"/>
  <c r="I234" i="1" s="1"/>
  <c r="I123" i="1"/>
  <c r="I154" i="1" s="1"/>
  <c r="I112" i="1"/>
  <c r="I111" i="1" s="1"/>
  <c r="I107" i="1"/>
  <c r="I106" i="1" s="1"/>
  <c r="I102" i="1"/>
  <c r="I98" i="1"/>
  <c r="AQ98" i="1" s="1"/>
  <c r="I96" i="1"/>
  <c r="I91" i="1"/>
  <c r="I151" i="1" s="1"/>
  <c r="I90" i="1"/>
  <c r="I87" i="1"/>
  <c r="I148" i="1" s="1"/>
  <c r="I86" i="1"/>
  <c r="I79" i="1"/>
  <c r="I77" i="1"/>
  <c r="I76" i="1"/>
  <c r="I75" i="1"/>
  <c r="I73" i="1"/>
  <c r="I71" i="1"/>
  <c r="I70" i="1"/>
  <c r="I69" i="1"/>
  <c r="I65" i="1"/>
  <c r="I64" i="1"/>
  <c r="I174" i="1" s="1"/>
  <c r="I63" i="1"/>
  <c r="I61" i="1"/>
  <c r="I58" i="1"/>
  <c r="I50" i="1"/>
  <c r="I46" i="1" s="1"/>
  <c r="I48" i="1"/>
  <c r="I38" i="1"/>
  <c r="I37" i="1"/>
  <c r="I36" i="1"/>
  <c r="I35" i="1"/>
  <c r="I19" i="1"/>
  <c r="I268" i="1" l="1"/>
  <c r="I218" i="1"/>
  <c r="K268" i="1"/>
  <c r="K218" i="1"/>
  <c r="I49" i="1"/>
  <c r="I51" i="1" s="1"/>
  <c r="I55" i="1" s="1"/>
  <c r="I27" i="1"/>
  <c r="I42" i="1" s="1"/>
  <c r="K103" i="1"/>
  <c r="AJ66" i="2"/>
  <c r="AP116" i="1"/>
  <c r="AP129" i="1" s="1"/>
  <c r="AO250" i="1"/>
  <c r="K266" i="1"/>
  <c r="AP193" i="1"/>
  <c r="AP266" i="1" s="1"/>
  <c r="K154" i="1"/>
  <c r="K227" i="1" s="1"/>
  <c r="AM107" i="1"/>
  <c r="AM106" i="1" s="1"/>
  <c r="AN154" i="1"/>
  <c r="AN227" i="1" s="1"/>
  <c r="AN248" i="1"/>
  <c r="AP71" i="1"/>
  <c r="AP181" i="1" s="1"/>
  <c r="AO185" i="1"/>
  <c r="AO258" i="1"/>
  <c r="AO186" i="1"/>
  <c r="AO259" i="1"/>
  <c r="AP76" i="1"/>
  <c r="AP259" i="1" s="1"/>
  <c r="AP49" i="1"/>
  <c r="AP51" i="1" s="1"/>
  <c r="AP88" i="1"/>
  <c r="AQ88" i="1"/>
  <c r="I189" i="1"/>
  <c r="AN172" i="1"/>
  <c r="AM123" i="1"/>
  <c r="AM40" i="1" s="1"/>
  <c r="AO257" i="1"/>
  <c r="AQ74" i="1"/>
  <c r="AP75" i="1"/>
  <c r="AP258" i="1" s="1"/>
  <c r="AN49" i="1"/>
  <c r="AN51" i="1" s="1"/>
  <c r="AN53" i="1" s="1"/>
  <c r="K179" i="1"/>
  <c r="BC238" i="1"/>
  <c r="I93" i="1"/>
  <c r="I152" i="1" s="1"/>
  <c r="AM51" i="1"/>
  <c r="AM55" i="1" s="1"/>
  <c r="AN116" i="1"/>
  <c r="AN125" i="1" s="1"/>
  <c r="BC244" i="1"/>
  <c r="I181" i="1"/>
  <c r="I143" i="1"/>
  <c r="AO65" i="1"/>
  <c r="AO248" i="1" s="1"/>
  <c r="BC165" i="1"/>
  <c r="I183" i="1"/>
  <c r="AN45" i="1"/>
  <c r="AN179" i="1"/>
  <c r="AO249" i="1"/>
  <c r="AQ66" i="1"/>
  <c r="AP250" i="1"/>
  <c r="K172" i="1"/>
  <c r="BC171" i="1"/>
  <c r="I185" i="1"/>
  <c r="AN73" i="1"/>
  <c r="AO177" i="1"/>
  <c r="AQ67" i="1"/>
  <c r="AP79" i="1"/>
  <c r="AO49" i="1"/>
  <c r="AO51" i="1" s="1"/>
  <c r="AO53" i="1" s="1"/>
  <c r="AN96" i="1"/>
  <c r="AN134" i="1" s="1"/>
  <c r="AN234" i="1" s="1"/>
  <c r="AO69" i="1"/>
  <c r="AP69" i="1" s="1"/>
  <c r="AP70" i="1"/>
  <c r="AV116" i="1"/>
  <c r="AV126" i="1" s="1"/>
  <c r="AV27" i="1"/>
  <c r="AV43" i="1" s="1"/>
  <c r="AV245" i="1"/>
  <c r="AV161" i="1"/>
  <c r="AV96" i="1"/>
  <c r="AV134" i="1" s="1"/>
  <c r="AV234" i="1" s="1"/>
  <c r="AV39" i="1"/>
  <c r="AV172" i="1"/>
  <c r="AV193" i="1"/>
  <c r="AV266" i="1" s="1"/>
  <c r="AV154" i="1"/>
  <c r="AV227" i="1" s="1"/>
  <c r="AV247" i="1"/>
  <c r="AV49" i="1"/>
  <c r="AV51" i="1" s="1"/>
  <c r="K116" i="1"/>
  <c r="K129" i="1" s="1"/>
  <c r="K149" i="1"/>
  <c r="K142" i="1"/>
  <c r="K143" i="1"/>
  <c r="K68" i="1"/>
  <c r="AP27" i="1"/>
  <c r="AP29" i="1" s="1"/>
  <c r="AP245" i="1"/>
  <c r="AP172" i="1"/>
  <c r="AP96" i="1"/>
  <c r="AP134" i="1" s="1"/>
  <c r="AP234" i="1" s="1"/>
  <c r="AP161" i="1"/>
  <c r="AP176" i="1"/>
  <c r="AP184" i="1"/>
  <c r="AP177" i="1"/>
  <c r="AP247" i="1"/>
  <c r="AP174" i="1"/>
  <c r="AP149" i="1"/>
  <c r="AP39" i="1"/>
  <c r="AO116" i="1"/>
  <c r="AO96" i="1"/>
  <c r="AO134" i="1" s="1"/>
  <c r="AO234" i="1" s="1"/>
  <c r="AO161" i="1"/>
  <c r="AO172" i="1"/>
  <c r="AO180" i="1"/>
  <c r="AO176" i="1"/>
  <c r="AO184" i="1"/>
  <c r="AO193" i="1"/>
  <c r="AO266" i="1" s="1"/>
  <c r="AO245" i="1"/>
  <c r="AO254" i="1"/>
  <c r="AO262" i="1"/>
  <c r="AO27" i="1"/>
  <c r="AO174" i="1"/>
  <c r="AO247" i="1"/>
  <c r="AO39" i="1"/>
  <c r="AN39" i="1"/>
  <c r="AN245" i="1"/>
  <c r="AN186" i="1"/>
  <c r="AN259" i="1"/>
  <c r="AN77" i="1"/>
  <c r="AO77" i="1" s="1"/>
  <c r="AN185" i="1"/>
  <c r="AN258" i="1"/>
  <c r="AN27" i="1"/>
  <c r="AN68" i="1"/>
  <c r="AN174" i="1"/>
  <c r="AM112" i="1"/>
  <c r="AM111" i="1" s="1"/>
  <c r="AM102" i="1"/>
  <c r="AM172" i="1"/>
  <c r="AM39" i="1"/>
  <c r="AM161" i="1"/>
  <c r="AM96" i="1"/>
  <c r="AM134" i="1" s="1"/>
  <c r="AM27" i="1"/>
  <c r="AM181" i="1"/>
  <c r="AM174" i="1"/>
  <c r="AM180" i="1"/>
  <c r="AM187" i="1"/>
  <c r="AM45" i="1"/>
  <c r="AM189" i="1"/>
  <c r="I116" i="1"/>
  <c r="I129" i="1" s="1"/>
  <c r="I172" i="1"/>
  <c r="I88" i="1"/>
  <c r="I227" i="1"/>
  <c r="I149" i="1"/>
  <c r="I150" i="1" s="1"/>
  <c r="I201" i="1"/>
  <c r="I103" i="1"/>
  <c r="I180" i="1"/>
  <c r="I186" i="1"/>
  <c r="I45" i="1"/>
  <c r="I68" i="1"/>
  <c r="I179" i="1"/>
  <c r="I187" i="1"/>
  <c r="I39" i="1"/>
  <c r="I175" i="1"/>
  <c r="I40" i="1"/>
  <c r="I193" i="1"/>
  <c r="I266" i="1" s="1"/>
  <c r="E399" i="3"/>
  <c r="D427" i="3"/>
  <c r="K414" i="3"/>
  <c r="J430" i="3"/>
  <c r="J429" i="3"/>
  <c r="E169" i="3" s="1"/>
  <c r="D446" i="3"/>
  <c r="D441" i="3"/>
  <c r="D440" i="3"/>
  <c r="D439" i="3"/>
  <c r="D437" i="3"/>
  <c r="D436" i="3"/>
  <c r="D435" i="3"/>
  <c r="AM404" i="2"/>
  <c r="AI69" i="2"/>
  <c r="AM378" i="2"/>
  <c r="AM356" i="2"/>
  <c r="K150" i="1" l="1"/>
  <c r="K222" i="1"/>
  <c r="AN126" i="1"/>
  <c r="AN196" i="1" s="1"/>
  <c r="E261" i="3"/>
  <c r="E214" i="3"/>
  <c r="E216" i="3" s="1"/>
  <c r="AP128" i="1"/>
  <c r="AP145" i="1" s="1"/>
  <c r="E298" i="3"/>
  <c r="E300" i="3" s="1"/>
  <c r="I413" i="3"/>
  <c r="J413" i="3" s="1"/>
  <c r="I411" i="3"/>
  <c r="J411" i="3" s="1"/>
  <c r="I410" i="3"/>
  <c r="J410" i="3" s="1"/>
  <c r="I412" i="3"/>
  <c r="J412" i="3" s="1"/>
  <c r="AP254" i="1"/>
  <c r="AN55" i="1"/>
  <c r="AP126" i="1"/>
  <c r="AP271" i="1" s="1"/>
  <c r="AP125" i="1"/>
  <c r="AP270" i="1" s="1"/>
  <c r="AN128" i="1"/>
  <c r="AN145" i="1" s="1"/>
  <c r="AO45" i="1"/>
  <c r="AQ71" i="1"/>
  <c r="AQ181" i="1" s="1"/>
  <c r="E424" i="3"/>
  <c r="E379" i="3"/>
  <c r="E383" i="3"/>
  <c r="E378" i="3"/>
  <c r="E382" i="3"/>
  <c r="E381" i="3"/>
  <c r="E380" i="3"/>
  <c r="AJ69" i="2"/>
  <c r="I142" i="1"/>
  <c r="I284" i="1" s="1"/>
  <c r="AV129" i="1"/>
  <c r="AV274" i="1" s="1"/>
  <c r="I210" i="1"/>
  <c r="AM116" i="1"/>
  <c r="AM125" i="1" s="1"/>
  <c r="AM195" i="1" s="1"/>
  <c r="AQ75" i="1"/>
  <c r="AQ258" i="1" s="1"/>
  <c r="AP42" i="1"/>
  <c r="I43" i="1"/>
  <c r="AO55" i="1"/>
  <c r="I29" i="1"/>
  <c r="I32" i="1" s="1"/>
  <c r="AM193" i="1"/>
  <c r="AM53" i="1"/>
  <c r="AQ76" i="1"/>
  <c r="AQ259" i="1" s="1"/>
  <c r="AP186" i="1"/>
  <c r="AP185" i="1"/>
  <c r="AQ69" i="1"/>
  <c r="AQ179" i="1" s="1"/>
  <c r="AP89" i="1"/>
  <c r="AQ89" i="1"/>
  <c r="AN129" i="1"/>
  <c r="AN274" i="1" s="1"/>
  <c r="AP179" i="1"/>
  <c r="AP45" i="1"/>
  <c r="AP252" i="1"/>
  <c r="AP65" i="1"/>
  <c r="AQ65" i="1" s="1"/>
  <c r="AO187" i="1"/>
  <c r="AO260" i="1"/>
  <c r="AP77" i="1"/>
  <c r="AQ77" i="1" s="1"/>
  <c r="AO175" i="1"/>
  <c r="AQ249" i="1"/>
  <c r="AQ176" i="1"/>
  <c r="AQ184" i="1"/>
  <c r="AQ257" i="1"/>
  <c r="AQ250" i="1"/>
  <c r="AQ91" i="1"/>
  <c r="AQ177" i="1"/>
  <c r="AP189" i="1"/>
  <c r="AP262" i="1"/>
  <c r="BC52" i="1"/>
  <c r="AV128" i="1"/>
  <c r="AV198" i="1" s="1"/>
  <c r="AP180" i="1"/>
  <c r="AP253" i="1"/>
  <c r="AO68" i="1"/>
  <c r="AQ79" i="1"/>
  <c r="AP53" i="1"/>
  <c r="AV125" i="1"/>
  <c r="AV195" i="1" s="1"/>
  <c r="AV29" i="1"/>
  <c r="AP55" i="1"/>
  <c r="AO179" i="1"/>
  <c r="AO252" i="1"/>
  <c r="AN183" i="1"/>
  <c r="AN256" i="1"/>
  <c r="AO73" i="1"/>
  <c r="AP73" i="1" s="1"/>
  <c r="AQ70" i="1"/>
  <c r="K126" i="1"/>
  <c r="K196" i="1" s="1"/>
  <c r="K125" i="1"/>
  <c r="K195" i="1" s="1"/>
  <c r="K128" i="1"/>
  <c r="K145" i="1" s="1"/>
  <c r="I125" i="1"/>
  <c r="I136" i="1" s="1"/>
  <c r="I203" i="1" s="1"/>
  <c r="I128" i="1"/>
  <c r="I139" i="1" s="1"/>
  <c r="I41" i="1"/>
  <c r="I126" i="1"/>
  <c r="I271" i="1" s="1"/>
  <c r="AV42" i="1"/>
  <c r="AV55" i="1"/>
  <c r="AV53" i="1"/>
  <c r="AV271" i="1"/>
  <c r="AV196" i="1"/>
  <c r="K274" i="1"/>
  <c r="K132" i="1"/>
  <c r="K140" i="1"/>
  <c r="K155" i="1"/>
  <c r="K228" i="1" s="1"/>
  <c r="K199" i="1"/>
  <c r="K284" i="1"/>
  <c r="K209" i="1"/>
  <c r="K178" i="1"/>
  <c r="K72" i="1"/>
  <c r="K210" i="1"/>
  <c r="AP32" i="1"/>
  <c r="AP43" i="1"/>
  <c r="AP199" i="1"/>
  <c r="AP274" i="1"/>
  <c r="AP155" i="1"/>
  <c r="AP140" i="1"/>
  <c r="AP132" i="1"/>
  <c r="AP150" i="1"/>
  <c r="AO29" i="1"/>
  <c r="AO43" i="1"/>
  <c r="AO42" i="1"/>
  <c r="AO126" i="1"/>
  <c r="AO125" i="1"/>
  <c r="AO128" i="1"/>
  <c r="AO129" i="1"/>
  <c r="AN195" i="1"/>
  <c r="AN270" i="1"/>
  <c r="AN178" i="1"/>
  <c r="AN72" i="1"/>
  <c r="AN251" i="1"/>
  <c r="AN43" i="1"/>
  <c r="AN42" i="1"/>
  <c r="AN29" i="1"/>
  <c r="AN260" i="1"/>
  <c r="AN187" i="1"/>
  <c r="AM43" i="1"/>
  <c r="AM42" i="1"/>
  <c r="AM29" i="1"/>
  <c r="AM178" i="1"/>
  <c r="I89" i="1"/>
  <c r="I53" i="1"/>
  <c r="E416" i="3"/>
  <c r="E403" i="3"/>
  <c r="E394" i="3"/>
  <c r="E396" i="3"/>
  <c r="E392" i="3"/>
  <c r="E393" i="3"/>
  <c r="E397" i="3"/>
  <c r="E410" i="3"/>
  <c r="E395" i="3"/>
  <c r="E398" i="3"/>
  <c r="I72" i="1"/>
  <c r="I178" i="1"/>
  <c r="I274" i="1"/>
  <c r="I132" i="1"/>
  <c r="I155" i="1"/>
  <c r="I228" i="1" s="1"/>
  <c r="I140" i="1"/>
  <c r="I199" i="1"/>
  <c r="E426" i="3"/>
  <c r="E422" i="3"/>
  <c r="E425" i="3"/>
  <c r="E417" i="3"/>
  <c r="E420" i="3"/>
  <c r="E421" i="3"/>
  <c r="E423" i="3"/>
  <c r="E419" i="3"/>
  <c r="D400" i="3"/>
  <c r="D407" i="3" s="1"/>
  <c r="BB98" i="1"/>
  <c r="BB243" i="1"/>
  <c r="BB237" i="1"/>
  <c r="BB236" i="1"/>
  <c r="BB235" i="1"/>
  <c r="BB220" i="1"/>
  <c r="BB164" i="1"/>
  <c r="BB163" i="1"/>
  <c r="BB162" i="1"/>
  <c r="BB147" i="1"/>
  <c r="BB123" i="1"/>
  <c r="BB112" i="1"/>
  <c r="BB111" i="1" s="1"/>
  <c r="BB107" i="1"/>
  <c r="BB106" i="1" s="1"/>
  <c r="BB102" i="1"/>
  <c r="BB50" i="1"/>
  <c r="BB46" i="1" s="1"/>
  <c r="BB48" i="1"/>
  <c r="BB63" i="1" s="1"/>
  <c r="BB86" i="1" s="1"/>
  <c r="BB38" i="1"/>
  <c r="BB37" i="1"/>
  <c r="BB36" i="1"/>
  <c r="BB35" i="1"/>
  <c r="BB19" i="1"/>
  <c r="K457" i="3"/>
  <c r="E466" i="3"/>
  <c r="E469" i="3"/>
  <c r="D470" i="3"/>
  <c r="AH73" i="2"/>
  <c r="AH75" i="2"/>
  <c r="AS59" i="1"/>
  <c r="AZ59" i="1"/>
  <c r="AL73" i="2"/>
  <c r="AL71" i="2"/>
  <c r="AL69" i="2"/>
  <c r="AL67" i="2"/>
  <c r="AL66" i="2"/>
  <c r="AL65" i="2"/>
  <c r="AL64" i="2"/>
  <c r="AL63" i="2"/>
  <c r="AN271" i="1" l="1"/>
  <c r="AP273" i="1"/>
  <c r="AP287" i="1" s="1"/>
  <c r="AP156" i="1"/>
  <c r="AP229" i="1" s="1"/>
  <c r="AP136" i="1"/>
  <c r="AP203" i="1" s="1"/>
  <c r="AP195" i="1"/>
  <c r="AN156" i="1"/>
  <c r="AN229" i="1" s="1"/>
  <c r="AN198" i="1"/>
  <c r="AN273" i="1"/>
  <c r="AN287" i="1" s="1"/>
  <c r="AP198" i="1"/>
  <c r="AP139" i="1"/>
  <c r="AP158" i="1" s="1"/>
  <c r="BB27" i="1"/>
  <c r="BB29" i="1" s="1"/>
  <c r="K273" i="1"/>
  <c r="K287" i="1" s="1"/>
  <c r="AP196" i="1"/>
  <c r="AP137" i="1"/>
  <c r="AP204" i="1" s="1"/>
  <c r="AM41" i="1"/>
  <c r="AM126" i="1"/>
  <c r="AM196" i="1" s="1"/>
  <c r="AM128" i="1"/>
  <c r="AM145" i="1" s="1"/>
  <c r="AM212" i="1" s="1"/>
  <c r="AM129" i="1"/>
  <c r="AM199" i="1" s="1"/>
  <c r="BD59" i="1"/>
  <c r="BF60" i="1"/>
  <c r="E288" i="3"/>
  <c r="E347" i="3"/>
  <c r="AQ254" i="1"/>
  <c r="AV273" i="1"/>
  <c r="AV287" i="1" s="1"/>
  <c r="AW59" i="1"/>
  <c r="BO60" i="1" s="1"/>
  <c r="AY60" i="1"/>
  <c r="I209" i="1"/>
  <c r="I273" i="1"/>
  <c r="I287" i="1" s="1"/>
  <c r="AV199" i="1"/>
  <c r="AN66" i="2"/>
  <c r="E384" i="3"/>
  <c r="I455" i="3"/>
  <c r="J455" i="3" s="1"/>
  <c r="AI75" i="2"/>
  <c r="AJ75" i="2" s="1"/>
  <c r="AM63" i="2"/>
  <c r="AM69" i="2"/>
  <c r="AI73" i="2"/>
  <c r="AJ73" i="2" s="1"/>
  <c r="AM73" i="2"/>
  <c r="AM64" i="2"/>
  <c r="AM71" i="2"/>
  <c r="AM65" i="2"/>
  <c r="AM67" i="2"/>
  <c r="AQ185" i="1"/>
  <c r="AV132" i="1"/>
  <c r="AQ252" i="1"/>
  <c r="AV155" i="1"/>
  <c r="AV228" i="1" s="1"/>
  <c r="AQ93" i="1"/>
  <c r="AQ152" i="1" s="1"/>
  <c r="AQ225" i="1" s="1"/>
  <c r="AQ92" i="1"/>
  <c r="AQ45" i="1"/>
  <c r="I145" i="1"/>
  <c r="I212" i="1" s="1"/>
  <c r="K156" i="1"/>
  <c r="K229" i="1" s="1"/>
  <c r="I92" i="1"/>
  <c r="K198" i="1"/>
  <c r="K139" i="1"/>
  <c r="K206" i="1" s="1"/>
  <c r="I196" i="1"/>
  <c r="AP92" i="1"/>
  <c r="AV270" i="1"/>
  <c r="AQ186" i="1"/>
  <c r="K136" i="1"/>
  <c r="K203" i="1" s="1"/>
  <c r="AV156" i="1"/>
  <c r="AV229" i="1" s="1"/>
  <c r="K270" i="1"/>
  <c r="AV145" i="1"/>
  <c r="AZ60" i="1"/>
  <c r="AT90" i="1"/>
  <c r="AV90" i="1"/>
  <c r="AU59" i="1"/>
  <c r="AN132" i="1"/>
  <c r="AO256" i="1"/>
  <c r="AO183" i="1"/>
  <c r="AQ73" i="1"/>
  <c r="AQ175" i="1"/>
  <c r="AQ248" i="1"/>
  <c r="AQ68" i="1"/>
  <c r="AQ260" i="1"/>
  <c r="AQ187" i="1"/>
  <c r="I270" i="1"/>
  <c r="I137" i="1"/>
  <c r="I204" i="1" s="1"/>
  <c r="I195" i="1"/>
  <c r="AN155" i="1"/>
  <c r="AN228" i="1" s="1"/>
  <c r="AQ262" i="1"/>
  <c r="AQ189" i="1"/>
  <c r="AP187" i="1"/>
  <c r="AP260" i="1"/>
  <c r="AP256" i="1"/>
  <c r="AP183" i="1"/>
  <c r="AO72" i="1"/>
  <c r="AO251" i="1"/>
  <c r="AO178" i="1"/>
  <c r="AV32" i="1"/>
  <c r="AQ151" i="1"/>
  <c r="AQ224" i="1" s="1"/>
  <c r="AQ143" i="1"/>
  <c r="AP248" i="1"/>
  <c r="AP68" i="1"/>
  <c r="AP175" i="1"/>
  <c r="AN199" i="1"/>
  <c r="AQ180" i="1"/>
  <c r="AQ253" i="1"/>
  <c r="K271" i="1"/>
  <c r="K137" i="1"/>
  <c r="K204" i="1" s="1"/>
  <c r="I198" i="1"/>
  <c r="I156" i="1"/>
  <c r="I229" i="1" s="1"/>
  <c r="K182" i="1"/>
  <c r="K94" i="1"/>
  <c r="K153" i="1" s="1"/>
  <c r="K226" i="1" s="1"/>
  <c r="K78" i="1"/>
  <c r="K212" i="1"/>
  <c r="K207" i="1"/>
  <c r="K157" i="1"/>
  <c r="AP157" i="1"/>
  <c r="AP207" i="1"/>
  <c r="AP212" i="1"/>
  <c r="AO155" i="1"/>
  <c r="AO199" i="1"/>
  <c r="AO132" i="1"/>
  <c r="AO274" i="1"/>
  <c r="AO32" i="1"/>
  <c r="AO198" i="1"/>
  <c r="AO156" i="1"/>
  <c r="AO145" i="1"/>
  <c r="AO273" i="1"/>
  <c r="AO287" i="1" s="1"/>
  <c r="AO270" i="1"/>
  <c r="AO195" i="1"/>
  <c r="AO196" i="1"/>
  <c r="AO271" i="1"/>
  <c r="AN255" i="1"/>
  <c r="AN182" i="1"/>
  <c r="AN78" i="1"/>
  <c r="AN212" i="1"/>
  <c r="AN32" i="1"/>
  <c r="AM182" i="1"/>
  <c r="AM32" i="1"/>
  <c r="E400" i="3"/>
  <c r="E404" i="3" s="1"/>
  <c r="E427" i="3"/>
  <c r="I207" i="1"/>
  <c r="I157" i="1"/>
  <c r="I206" i="1"/>
  <c r="I158" i="1"/>
  <c r="I78" i="1"/>
  <c r="I94" i="1"/>
  <c r="I153" i="1" s="1"/>
  <c r="I182" i="1"/>
  <c r="BB193" i="1"/>
  <c r="BB266" i="1" s="1"/>
  <c r="D404" i="3"/>
  <c r="E437" i="3"/>
  <c r="I453" i="3"/>
  <c r="J453" i="3" s="1"/>
  <c r="E436" i="3"/>
  <c r="I454" i="3"/>
  <c r="J454" i="3" s="1"/>
  <c r="E453" i="3"/>
  <c r="E435" i="3"/>
  <c r="E462" i="3"/>
  <c r="E440" i="3"/>
  <c r="I456" i="3"/>
  <c r="J456" i="3" s="1"/>
  <c r="E463" i="3"/>
  <c r="E464" i="3"/>
  <c r="BB154" i="1"/>
  <c r="BB227" i="1" s="1"/>
  <c r="BB116" i="1"/>
  <c r="BB128" i="1" s="1"/>
  <c r="BB161" i="1"/>
  <c r="BB96" i="1"/>
  <c r="BB134" i="1" s="1"/>
  <c r="BB234" i="1" s="1"/>
  <c r="BB245" i="1"/>
  <c r="BB170" i="1"/>
  <c r="BB39" i="1"/>
  <c r="BB61" i="1"/>
  <c r="BB49" i="1"/>
  <c r="BB51" i="1" s="1"/>
  <c r="BB64" i="1"/>
  <c r="E465" i="3"/>
  <c r="E439" i="3"/>
  <c r="E438" i="3"/>
  <c r="E467" i="3"/>
  <c r="E441" i="3"/>
  <c r="E459" i="3"/>
  <c r="E468" i="3"/>
  <c r="D443" i="3"/>
  <c r="E442" i="3"/>
  <c r="E460" i="3"/>
  <c r="E446" i="3"/>
  <c r="AH23" i="2"/>
  <c r="AH19" i="2"/>
  <c r="AH15" i="2"/>
  <c r="AH13" i="2"/>
  <c r="AH12" i="2"/>
  <c r="AH11" i="2"/>
  <c r="AL17" i="2"/>
  <c r="AL15" i="2"/>
  <c r="AL14" i="2"/>
  <c r="AL13" i="2"/>
  <c r="AL12" i="2"/>
  <c r="AL11" i="2"/>
  <c r="AL19" i="2"/>
  <c r="AL404" i="2"/>
  <c r="AL378" i="2"/>
  <c r="AL356" i="2"/>
  <c r="AL103" i="2"/>
  <c r="AL99" i="2"/>
  <c r="AL107" i="2"/>
  <c r="AL102" i="2"/>
  <c r="AL101" i="2"/>
  <c r="AL100" i="2"/>
  <c r="AL21" i="2"/>
  <c r="AZ102" i="1"/>
  <c r="AZ98" i="1"/>
  <c r="AZ79" i="1"/>
  <c r="AZ71" i="1"/>
  <c r="AS71" i="1"/>
  <c r="AZ70" i="1"/>
  <c r="AZ67" i="1"/>
  <c r="AZ66" i="1"/>
  <c r="BR149" i="1" l="1"/>
  <c r="BR201" i="1"/>
  <c r="AP206" i="1"/>
  <c r="BD90" i="1"/>
  <c r="BE90" i="1"/>
  <c r="BI201" i="1"/>
  <c r="BI149" i="1"/>
  <c r="BI137" i="1"/>
  <c r="BI204" i="1" s="1"/>
  <c r="BI139" i="1"/>
  <c r="BI140" i="1"/>
  <c r="BI136" i="1"/>
  <c r="BI203" i="1" s="1"/>
  <c r="AM105" i="2"/>
  <c r="AM100" i="2"/>
  <c r="AN73" i="2"/>
  <c r="AO107" i="2" s="1"/>
  <c r="AM103" i="2"/>
  <c r="AM101" i="2"/>
  <c r="AN63" i="2"/>
  <c r="AO99" i="2" s="1"/>
  <c r="BG90" i="1"/>
  <c r="AM132" i="1"/>
  <c r="AM198" i="1"/>
  <c r="BF90" i="1"/>
  <c r="AW60" i="1"/>
  <c r="BA90" i="1"/>
  <c r="E290" i="3"/>
  <c r="E292" i="3"/>
  <c r="BB42" i="1"/>
  <c r="BB43" i="1"/>
  <c r="AQ142" i="1"/>
  <c r="AQ209" i="1" s="1"/>
  <c r="AW90" i="1"/>
  <c r="BE60" i="1"/>
  <c r="AY90" i="1"/>
  <c r="BD60" i="1"/>
  <c r="AM99" i="2"/>
  <c r="AN71" i="2"/>
  <c r="AN14" i="2"/>
  <c r="AN69" i="2"/>
  <c r="J414" i="3"/>
  <c r="I414" i="3"/>
  <c r="J377" i="3"/>
  <c r="AM17" i="2"/>
  <c r="AM107" i="2"/>
  <c r="AM19" i="2"/>
  <c r="AI12" i="2"/>
  <c r="AN67" i="2"/>
  <c r="AM11" i="2"/>
  <c r="AI13" i="2"/>
  <c r="AM12" i="2"/>
  <c r="AI15" i="2"/>
  <c r="AM13" i="2"/>
  <c r="AI19" i="2"/>
  <c r="AN65" i="2"/>
  <c r="AI11" i="2"/>
  <c r="AM21" i="2"/>
  <c r="AM15" i="2"/>
  <c r="AN64" i="2"/>
  <c r="K158" i="1"/>
  <c r="AV212" i="1"/>
  <c r="AW243" i="1"/>
  <c r="BO244" i="1" s="1"/>
  <c r="AW61" i="1"/>
  <c r="AW170" i="1"/>
  <c r="AW64" i="1"/>
  <c r="BC90" i="1"/>
  <c r="BC149" i="1" s="1"/>
  <c r="AQ72" i="1"/>
  <c r="AQ178" i="1"/>
  <c r="AQ251" i="1"/>
  <c r="AQ285" i="1"/>
  <c r="AQ210" i="1"/>
  <c r="BB79" i="1"/>
  <c r="BB189" i="1" s="1"/>
  <c r="BC79" i="1"/>
  <c r="BB67" i="1"/>
  <c r="BC67" i="1"/>
  <c r="AQ183" i="1"/>
  <c r="AQ256" i="1"/>
  <c r="AX90" i="1"/>
  <c r="AU60" i="1"/>
  <c r="AU61" i="1"/>
  <c r="BB70" i="1"/>
  <c r="BB253" i="1" s="1"/>
  <c r="BC70" i="1"/>
  <c r="AO229" i="1"/>
  <c r="AV149" i="1"/>
  <c r="AV222" i="1" s="1"/>
  <c r="AV201" i="1"/>
  <c r="AV276" i="1" s="1"/>
  <c r="AV136" i="1"/>
  <c r="AV203" i="1" s="1"/>
  <c r="AV137" i="1"/>
  <c r="AV204" i="1" s="1"/>
  <c r="AV140" i="1"/>
  <c r="AV139" i="1"/>
  <c r="AZ90" i="1"/>
  <c r="AT71" i="1"/>
  <c r="AV71" i="1"/>
  <c r="AW71" i="1" s="1"/>
  <c r="AP251" i="1"/>
  <c r="AP178" i="1"/>
  <c r="AP72" i="1"/>
  <c r="BB66" i="1"/>
  <c r="BB176" i="1" s="1"/>
  <c r="BC66" i="1"/>
  <c r="BB71" i="1"/>
  <c r="BB181" i="1" s="1"/>
  <c r="BC71" i="1"/>
  <c r="AO78" i="1"/>
  <c r="AO182" i="1"/>
  <c r="AO255" i="1"/>
  <c r="K80" i="1"/>
  <c r="K188" i="1"/>
  <c r="AO212" i="1"/>
  <c r="AN261" i="1"/>
  <c r="AN80" i="1"/>
  <c r="AN81" i="1" s="1"/>
  <c r="AN188" i="1"/>
  <c r="AM188" i="1"/>
  <c r="I80" i="1"/>
  <c r="I188" i="1"/>
  <c r="D411" i="3"/>
  <c r="E401" i="3"/>
  <c r="E402" i="3" s="1"/>
  <c r="D402" i="3"/>
  <c r="I457" i="3"/>
  <c r="J457" i="3"/>
  <c r="AL51" i="2"/>
  <c r="AL55" i="2"/>
  <c r="AL47" i="2"/>
  <c r="AL48" i="2"/>
  <c r="AL50" i="2"/>
  <c r="AL49" i="2"/>
  <c r="BB129" i="1"/>
  <c r="BB274" i="1" s="1"/>
  <c r="BB126" i="1"/>
  <c r="BB271" i="1" s="1"/>
  <c r="BB125" i="1"/>
  <c r="BB270" i="1" s="1"/>
  <c r="BB172" i="1"/>
  <c r="BB55" i="1"/>
  <c r="BB53" i="1"/>
  <c r="BB174" i="1"/>
  <c r="BB247" i="1"/>
  <c r="BB273" i="1"/>
  <c r="BB287" i="1" s="1"/>
  <c r="BB198" i="1"/>
  <c r="BB156" i="1"/>
  <c r="BB229" i="1" s="1"/>
  <c r="BB145" i="1"/>
  <c r="BB32" i="1"/>
  <c r="D447" i="3"/>
  <c r="AL105" i="2"/>
  <c r="AZ170" i="1"/>
  <c r="BF171" i="1" s="1"/>
  <c r="AZ19" i="1"/>
  <c r="AZ27" i="1" s="1"/>
  <c r="AZ8" i="1"/>
  <c r="AS19" i="1"/>
  <c r="AZ254" i="1"/>
  <c r="AZ237" i="1"/>
  <c r="BF238" i="1" s="1"/>
  <c r="AZ236" i="1"/>
  <c r="AZ235" i="1"/>
  <c r="AZ220" i="1"/>
  <c r="AZ164" i="1"/>
  <c r="BF165" i="1" s="1"/>
  <c r="AZ163" i="1"/>
  <c r="AZ162" i="1"/>
  <c r="AZ147" i="1"/>
  <c r="AZ123" i="1"/>
  <c r="AZ112" i="1"/>
  <c r="AZ111" i="1" s="1"/>
  <c r="AZ107" i="1"/>
  <c r="AZ106" i="1" s="1"/>
  <c r="AZ189" i="1"/>
  <c r="AZ74" i="1"/>
  <c r="AZ181" i="1"/>
  <c r="AZ180" i="1"/>
  <c r="AZ250" i="1"/>
  <c r="AZ249" i="1"/>
  <c r="AZ50" i="1"/>
  <c r="AZ46" i="1" s="1"/>
  <c r="AZ48" i="1"/>
  <c r="AZ63" i="1" s="1"/>
  <c r="AZ86" i="1" s="1"/>
  <c r="AZ38" i="1"/>
  <c r="AZ37" i="1"/>
  <c r="AZ36" i="1"/>
  <c r="AZ35" i="1"/>
  <c r="BO70" i="1" l="1"/>
  <c r="BO253" i="1" s="1"/>
  <c r="BO66" i="1"/>
  <c r="BO249" i="1" s="1"/>
  <c r="BO79" i="1"/>
  <c r="BO262" i="1" s="1"/>
  <c r="BO71" i="1"/>
  <c r="BO254" i="1" s="1"/>
  <c r="BR282" i="1"/>
  <c r="BR279" i="1"/>
  <c r="BR278" i="1"/>
  <c r="BR281" i="1"/>
  <c r="BR150" i="1"/>
  <c r="BQ149" i="1"/>
  <c r="AN107" i="2"/>
  <c r="BO67" i="1"/>
  <c r="BI157" i="1"/>
  <c r="BI207" i="1"/>
  <c r="BI206" i="1"/>
  <c r="BI158" i="1"/>
  <c r="BI150" i="1"/>
  <c r="BI279" i="1"/>
  <c r="BI278" i="1"/>
  <c r="BI282" i="1"/>
  <c r="BI281" i="1"/>
  <c r="AQ284" i="1"/>
  <c r="AN99" i="2"/>
  <c r="AM51" i="2"/>
  <c r="AM47" i="2"/>
  <c r="AN13" i="2"/>
  <c r="AO49" i="2" s="1"/>
  <c r="AN19" i="2"/>
  <c r="AO55" i="2" s="1"/>
  <c r="AN21" i="2"/>
  <c r="AM48" i="2"/>
  <c r="AN17" i="2"/>
  <c r="BG201" i="1"/>
  <c r="BG137" i="1"/>
  <c r="BG204" i="1" s="1"/>
  <c r="BG136" i="1"/>
  <c r="BG203" i="1" s="1"/>
  <c r="BG140" i="1"/>
  <c r="BG149" i="1"/>
  <c r="BG139" i="1"/>
  <c r="BG181" i="1"/>
  <c r="BG254" i="1"/>
  <c r="BG177" i="1"/>
  <c r="BG250" i="1"/>
  <c r="BG253" i="1"/>
  <c r="BG180" i="1"/>
  <c r="BG176" i="1"/>
  <c r="BG249" i="1"/>
  <c r="BG189" i="1"/>
  <c r="BG262" i="1"/>
  <c r="BA149" i="1"/>
  <c r="BA222" i="1" s="1"/>
  <c r="BA201" i="1"/>
  <c r="BA276" i="1" s="1"/>
  <c r="BA136" i="1"/>
  <c r="BA203" i="1" s="1"/>
  <c r="BA140" i="1"/>
  <c r="BA139" i="1"/>
  <c r="BA137" i="1"/>
  <c r="BA204" i="1" s="1"/>
  <c r="BE149" i="1"/>
  <c r="D331" i="3"/>
  <c r="BE201" i="1"/>
  <c r="BE276" i="1" s="1"/>
  <c r="BE140" i="1"/>
  <c r="BE139" i="1"/>
  <c r="BE136" i="1"/>
  <c r="BE203" i="1" s="1"/>
  <c r="BE137" i="1"/>
  <c r="BE204" i="1" s="1"/>
  <c r="BD70" i="1"/>
  <c r="D293" i="3"/>
  <c r="BF149" i="1"/>
  <c r="BF201" i="1"/>
  <c r="BF137" i="1"/>
  <c r="BF204" i="1" s="1"/>
  <c r="BF136" i="1"/>
  <c r="BF203" i="1" s="1"/>
  <c r="BF140" i="1"/>
  <c r="BF139" i="1"/>
  <c r="R170" i="1"/>
  <c r="R172" i="1" s="1"/>
  <c r="R64" i="1"/>
  <c r="R68" i="1" s="1"/>
  <c r="R90" i="1"/>
  <c r="R243" i="1"/>
  <c r="R245" i="1" s="1"/>
  <c r="R61" i="1"/>
  <c r="R55" i="1"/>
  <c r="AO101" i="2"/>
  <c r="AO100" i="2"/>
  <c r="AO105" i="2"/>
  <c r="AO103" i="2"/>
  <c r="BB180" i="1"/>
  <c r="AY201" i="1"/>
  <c r="AY276" i="1" s="1"/>
  <c r="AY149" i="1"/>
  <c r="AY222" i="1" s="1"/>
  <c r="AY136" i="1"/>
  <c r="AY203" i="1" s="1"/>
  <c r="AY139" i="1"/>
  <c r="AY140" i="1"/>
  <c r="AY137" i="1"/>
  <c r="AY204" i="1" s="1"/>
  <c r="BB250" i="1"/>
  <c r="AW171" i="1"/>
  <c r="AW245" i="1"/>
  <c r="AM55" i="2"/>
  <c r="AN105" i="2"/>
  <c r="AM49" i="2"/>
  <c r="AN101" i="2"/>
  <c r="AJ15" i="2"/>
  <c r="AN11" i="2"/>
  <c r="AN15" i="2"/>
  <c r="AJ19" i="2"/>
  <c r="AN12" i="2"/>
  <c r="AN103" i="2"/>
  <c r="AN100" i="2"/>
  <c r="AJ11" i="2"/>
  <c r="AJ13" i="2"/>
  <c r="AJ12" i="2"/>
  <c r="BC74" i="1"/>
  <c r="BD67" i="1"/>
  <c r="BD66" i="1"/>
  <c r="BD79" i="1"/>
  <c r="BD71" i="1"/>
  <c r="BB254" i="1"/>
  <c r="BB177" i="1"/>
  <c r="BC137" i="1"/>
  <c r="BC204" i="1" s="1"/>
  <c r="AW174" i="1"/>
  <c r="AW247" i="1"/>
  <c r="BC140" i="1"/>
  <c r="BC157" i="1" s="1"/>
  <c r="AW201" i="1"/>
  <c r="AW149" i="1"/>
  <c r="AW222" i="1" s="1"/>
  <c r="AW139" i="1"/>
  <c r="AW140" i="1"/>
  <c r="AW137" i="1"/>
  <c r="AW204" i="1" s="1"/>
  <c r="AW136" i="1"/>
  <c r="AW203" i="1" s="1"/>
  <c r="BC136" i="1"/>
  <c r="BC203" i="1" s="1"/>
  <c r="BC139" i="1"/>
  <c r="BC206" i="1" s="1"/>
  <c r="AW172" i="1"/>
  <c r="D405" i="3"/>
  <c r="BC201" i="1"/>
  <c r="BB262" i="1"/>
  <c r="AV158" i="1"/>
  <c r="AV206" i="1"/>
  <c r="AP78" i="1"/>
  <c r="AP255" i="1"/>
  <c r="AP182" i="1"/>
  <c r="AV207" i="1"/>
  <c r="AV157" i="1"/>
  <c r="AS27" i="1"/>
  <c r="AS29" i="1" s="1"/>
  <c r="BB249" i="1"/>
  <c r="AO80" i="1"/>
  <c r="AO188" i="1"/>
  <c r="AO261" i="1"/>
  <c r="BC253" i="1"/>
  <c r="BC180" i="1"/>
  <c r="BC262" i="1"/>
  <c r="BC189" i="1"/>
  <c r="AZ29" i="1"/>
  <c r="AV181" i="1"/>
  <c r="AV254" i="1"/>
  <c r="BC181" i="1"/>
  <c r="BC254" i="1"/>
  <c r="AV278" i="1"/>
  <c r="AV282" i="1"/>
  <c r="AV281" i="1"/>
  <c r="AV279" i="1"/>
  <c r="BC250" i="1"/>
  <c r="BC177" i="1"/>
  <c r="BC150" i="1"/>
  <c r="AQ94" i="1"/>
  <c r="AQ153" i="1" s="1"/>
  <c r="AQ226" i="1" s="1"/>
  <c r="AQ182" i="1"/>
  <c r="AQ78" i="1"/>
  <c r="AQ255" i="1"/>
  <c r="BC249" i="1"/>
  <c r="BC176" i="1"/>
  <c r="AV150" i="1"/>
  <c r="K190" i="1"/>
  <c r="K81" i="1"/>
  <c r="AN264" i="1"/>
  <c r="AN82" i="1"/>
  <c r="AN191" i="1"/>
  <c r="AN263" i="1"/>
  <c r="AN190" i="1"/>
  <c r="AM190" i="1"/>
  <c r="AZ172" i="1"/>
  <c r="I190" i="1"/>
  <c r="I81" i="1"/>
  <c r="AZ193" i="1"/>
  <c r="AZ266" i="1" s="1"/>
  <c r="D444" i="3"/>
  <c r="AZ257" i="1"/>
  <c r="BB74" i="1"/>
  <c r="E411" i="3"/>
  <c r="E412" i="3" s="1"/>
  <c r="D412" i="3"/>
  <c r="BB132" i="1"/>
  <c r="BB155" i="1"/>
  <c r="BB228" i="1" s="1"/>
  <c r="BB199" i="1"/>
  <c r="BB195" i="1"/>
  <c r="BB196" i="1"/>
  <c r="BB212" i="1"/>
  <c r="AZ61" i="1"/>
  <c r="AZ262" i="1"/>
  <c r="AZ64" i="1"/>
  <c r="AZ174" i="1" s="1"/>
  <c r="AZ154" i="1"/>
  <c r="AZ227" i="1" s="1"/>
  <c r="AZ243" i="1"/>
  <c r="BF244" i="1" s="1"/>
  <c r="AZ116" i="1"/>
  <c r="AZ253" i="1"/>
  <c r="AZ96" i="1"/>
  <c r="AZ134" i="1" s="1"/>
  <c r="AZ234" i="1" s="1"/>
  <c r="AZ161" i="1"/>
  <c r="AZ184" i="1"/>
  <c r="AZ177" i="1"/>
  <c r="AZ176" i="1"/>
  <c r="AZ39" i="1"/>
  <c r="AZ49" i="1"/>
  <c r="AZ51" i="1" s="1"/>
  <c r="AH21" i="2"/>
  <c r="AJ21" i="2" s="1"/>
  <c r="AU31" i="1"/>
  <c r="I500" i="3"/>
  <c r="I499" i="3"/>
  <c r="I498" i="3"/>
  <c r="AG72" i="2"/>
  <c r="AG20" i="2"/>
  <c r="D481" i="3"/>
  <c r="J473" i="3"/>
  <c r="J474" i="3"/>
  <c r="D490" i="3"/>
  <c r="D485" i="3"/>
  <c r="D484" i="3"/>
  <c r="D483" i="3"/>
  <c r="D480" i="3"/>
  <c r="D479" i="3"/>
  <c r="AK72" i="2"/>
  <c r="AK20" i="2"/>
  <c r="AX98" i="1"/>
  <c r="AX76" i="1"/>
  <c r="AX75" i="1"/>
  <c r="AX69" i="1"/>
  <c r="AX65" i="1"/>
  <c r="R180" i="1" l="1"/>
  <c r="BS262" i="1"/>
  <c r="BS189" i="1"/>
  <c r="BS253" i="1"/>
  <c r="BS180" i="1"/>
  <c r="BS184" i="1"/>
  <c r="BS257" i="1"/>
  <c r="BS254" i="1"/>
  <c r="BS181" i="1"/>
  <c r="BS250" i="1"/>
  <c r="BS285" i="1" s="1"/>
  <c r="BS177" i="1"/>
  <c r="BS176" i="1"/>
  <c r="BS249" i="1"/>
  <c r="BO250" i="1"/>
  <c r="BR91" i="1"/>
  <c r="BR143" i="1" s="1"/>
  <c r="BP91" i="1"/>
  <c r="BP143" i="1" s="1"/>
  <c r="BQ91" i="1"/>
  <c r="BQ143" i="1" s="1"/>
  <c r="BQ150" i="1"/>
  <c r="BD91" i="1"/>
  <c r="BE91" i="1"/>
  <c r="BE143" i="1" s="1"/>
  <c r="BO91" i="1"/>
  <c r="BI151" i="1"/>
  <c r="BI143" i="1"/>
  <c r="BC257" i="1"/>
  <c r="BO74" i="1"/>
  <c r="BO257" i="1" s="1"/>
  <c r="AN49" i="2"/>
  <c r="AN55" i="2"/>
  <c r="BG158" i="1"/>
  <c r="BG206" i="1"/>
  <c r="BG91" i="1"/>
  <c r="BG151" i="1" s="1"/>
  <c r="BG150" i="1"/>
  <c r="BG157" i="1"/>
  <c r="BG207" i="1"/>
  <c r="BC276" i="1"/>
  <c r="BC281" i="1" s="1"/>
  <c r="BG184" i="1"/>
  <c r="BG257" i="1"/>
  <c r="BA157" i="1"/>
  <c r="BA207" i="1"/>
  <c r="BF150" i="1"/>
  <c r="BE281" i="1"/>
  <c r="BE282" i="1"/>
  <c r="BE279" i="1"/>
  <c r="BE278" i="1"/>
  <c r="BF206" i="1"/>
  <c r="BF158" i="1"/>
  <c r="E293" i="3"/>
  <c r="F292" i="3"/>
  <c r="F288" i="3"/>
  <c r="F290" i="3"/>
  <c r="E331" i="3"/>
  <c r="F326" i="3"/>
  <c r="F330" i="3"/>
  <c r="F328" i="3"/>
  <c r="BE207" i="1"/>
  <c r="BE157" i="1"/>
  <c r="BF157" i="1"/>
  <c r="BF207" i="1"/>
  <c r="BE150" i="1"/>
  <c r="BA279" i="1"/>
  <c r="BA278" i="1"/>
  <c r="BA281" i="1"/>
  <c r="BA282" i="1"/>
  <c r="AZ43" i="1"/>
  <c r="R149" i="1"/>
  <c r="R222" i="1" s="1"/>
  <c r="R201" i="1"/>
  <c r="R139" i="1"/>
  <c r="R140" i="1"/>
  <c r="R136" i="1"/>
  <c r="R203" i="1" s="1"/>
  <c r="R137" i="1"/>
  <c r="R204" i="1" s="1"/>
  <c r="BA150" i="1"/>
  <c r="BF52" i="1"/>
  <c r="BF91" i="1"/>
  <c r="R247" i="1"/>
  <c r="R174" i="1"/>
  <c r="BD74" i="1"/>
  <c r="BE158" i="1"/>
  <c r="BE206" i="1"/>
  <c r="BA158" i="1"/>
  <c r="BA206" i="1"/>
  <c r="AO48" i="2"/>
  <c r="AO51" i="2"/>
  <c r="AO47" i="2"/>
  <c r="R253" i="1"/>
  <c r="AY158" i="1"/>
  <c r="AY206" i="1"/>
  <c r="AY157" i="1"/>
  <c r="AY207" i="1"/>
  <c r="AY150" i="1"/>
  <c r="AY279" i="1"/>
  <c r="AY281" i="1"/>
  <c r="AY282" i="1"/>
  <c r="AY278" i="1"/>
  <c r="AZ42" i="1"/>
  <c r="AL20" i="2"/>
  <c r="AN47" i="2"/>
  <c r="AN48" i="2"/>
  <c r="AL72" i="2"/>
  <c r="AH20" i="2"/>
  <c r="AI20" i="2" s="1"/>
  <c r="AN51" i="2"/>
  <c r="BC184" i="1"/>
  <c r="AW276" i="1"/>
  <c r="AW278" i="1" s="1"/>
  <c r="AZ76" i="1"/>
  <c r="BC158" i="1"/>
  <c r="AW150" i="1"/>
  <c r="BC207" i="1"/>
  <c r="AW157" i="1"/>
  <c r="AW207" i="1"/>
  <c r="AW158" i="1"/>
  <c r="AW206" i="1"/>
  <c r="AQ261" i="1"/>
  <c r="AQ188" i="1"/>
  <c r="AV223" i="1"/>
  <c r="AV230" i="1"/>
  <c r="AV231" i="1"/>
  <c r="AZ245" i="1"/>
  <c r="AZ32" i="1"/>
  <c r="AP261" i="1"/>
  <c r="AP188" i="1"/>
  <c r="AS32" i="1"/>
  <c r="AN84" i="1"/>
  <c r="AO81" i="1"/>
  <c r="AP80" i="1"/>
  <c r="AO263" i="1"/>
  <c r="AO190" i="1"/>
  <c r="K191" i="1"/>
  <c r="AM191" i="1"/>
  <c r="I191" i="1"/>
  <c r="BB257" i="1"/>
  <c r="BB184" i="1"/>
  <c r="AZ69" i="1"/>
  <c r="AZ125" i="1"/>
  <c r="AZ270" i="1" s="1"/>
  <c r="D450" i="3"/>
  <c r="D454" i="3"/>
  <c r="E444" i="3"/>
  <c r="D445" i="3"/>
  <c r="AZ75" i="1"/>
  <c r="AZ65" i="1"/>
  <c r="AZ68" i="1" s="1"/>
  <c r="E513" i="3"/>
  <c r="AZ247" i="1"/>
  <c r="AZ128" i="1"/>
  <c r="AZ273" i="1" s="1"/>
  <c r="AZ287" i="1" s="1"/>
  <c r="AZ129" i="1"/>
  <c r="AZ274" i="1" s="1"/>
  <c r="AZ126" i="1"/>
  <c r="AZ196" i="1" s="1"/>
  <c r="AX77" i="1"/>
  <c r="AX73" i="1"/>
  <c r="AZ53" i="1"/>
  <c r="AZ55" i="1"/>
  <c r="E479" i="3"/>
  <c r="E486" i="3"/>
  <c r="E480" i="3"/>
  <c r="E508" i="3"/>
  <c r="J500" i="3"/>
  <c r="E483" i="3"/>
  <c r="E485" i="3"/>
  <c r="E509" i="3"/>
  <c r="E481" i="3"/>
  <c r="E484" i="3"/>
  <c r="E506" i="3"/>
  <c r="J497" i="3"/>
  <c r="E507" i="3"/>
  <c r="J499" i="3"/>
  <c r="J498" i="3"/>
  <c r="E490" i="3"/>
  <c r="E510" i="3"/>
  <c r="E497" i="3"/>
  <c r="E511" i="3"/>
  <c r="E482" i="3"/>
  <c r="E503" i="3"/>
  <c r="E512" i="3"/>
  <c r="E504" i="3"/>
  <c r="D514" i="3"/>
  <c r="D516" i="3" s="1"/>
  <c r="D487" i="3"/>
  <c r="AK404" i="2"/>
  <c r="AK378" i="2"/>
  <c r="AK356" i="2"/>
  <c r="AK74" i="2"/>
  <c r="AK89" i="2" s="1"/>
  <c r="AK22" i="2"/>
  <c r="AX262" i="1"/>
  <c r="AX257" i="1"/>
  <c r="AX254" i="1"/>
  <c r="AX253" i="1"/>
  <c r="AX250" i="1"/>
  <c r="AX249" i="1"/>
  <c r="AX243" i="1"/>
  <c r="AX237" i="1"/>
  <c r="AX236" i="1"/>
  <c r="AX235" i="1"/>
  <c r="AX220" i="1"/>
  <c r="AX189" i="1"/>
  <c r="AX184" i="1"/>
  <c r="AX181" i="1"/>
  <c r="AX180" i="1"/>
  <c r="AX177" i="1"/>
  <c r="AX176" i="1"/>
  <c r="AX170" i="1"/>
  <c r="AX164" i="1"/>
  <c r="AX163" i="1"/>
  <c r="AX162" i="1"/>
  <c r="AX147" i="1"/>
  <c r="AX123" i="1"/>
  <c r="AX112" i="1"/>
  <c r="AX107" i="1"/>
  <c r="AX102" i="1"/>
  <c r="AX259" i="1"/>
  <c r="AX258" i="1"/>
  <c r="AX252" i="1"/>
  <c r="AX175" i="1"/>
  <c r="AX64" i="1"/>
  <c r="AX61" i="1"/>
  <c r="AX50" i="1"/>
  <c r="AX48" i="1"/>
  <c r="AX45" i="1"/>
  <c r="AX38" i="1"/>
  <c r="AX37" i="1"/>
  <c r="AX36" i="1"/>
  <c r="AX35" i="1"/>
  <c r="AX19" i="1"/>
  <c r="AX8" i="1"/>
  <c r="J236" i="1"/>
  <c r="J235" i="1"/>
  <c r="J220" i="1"/>
  <c r="J189" i="1"/>
  <c r="J184" i="1"/>
  <c r="J177" i="1"/>
  <c r="J176" i="1"/>
  <c r="J170" i="1"/>
  <c r="L171" i="1" s="1"/>
  <c r="J164" i="1"/>
  <c r="J163" i="1"/>
  <c r="J162" i="1"/>
  <c r="J161" i="1"/>
  <c r="J147" i="1"/>
  <c r="J134" i="1"/>
  <c r="J234" i="1" s="1"/>
  <c r="J123" i="1"/>
  <c r="J193" i="1" s="1"/>
  <c r="J266" i="1" s="1"/>
  <c r="J112" i="1"/>
  <c r="J111" i="1" s="1"/>
  <c r="J107" i="1"/>
  <c r="J106" i="1" s="1"/>
  <c r="J102" i="1"/>
  <c r="J98" i="1"/>
  <c r="AM98" i="1" s="1"/>
  <c r="J57" i="1"/>
  <c r="J96" i="1"/>
  <c r="J91" i="1"/>
  <c r="J151" i="1" s="1"/>
  <c r="J90" i="1"/>
  <c r="J149" i="1" s="1"/>
  <c r="J87" i="1"/>
  <c r="J148" i="1" s="1"/>
  <c r="J86" i="1"/>
  <c r="J77" i="1"/>
  <c r="J187" i="1" s="1"/>
  <c r="J76" i="1"/>
  <c r="J186" i="1" s="1"/>
  <c r="J75" i="1"/>
  <c r="J185" i="1" s="1"/>
  <c r="J73" i="1"/>
  <c r="J183" i="1" s="1"/>
  <c r="J71" i="1"/>
  <c r="J181" i="1" s="1"/>
  <c r="J70" i="1"/>
  <c r="J180" i="1" s="1"/>
  <c r="J69" i="1"/>
  <c r="J45" i="1" s="1"/>
  <c r="J65" i="1"/>
  <c r="J175" i="1" s="1"/>
  <c r="J64" i="1"/>
  <c r="J174" i="1" s="1"/>
  <c r="J61" i="1"/>
  <c r="J58" i="1"/>
  <c r="J50" i="1"/>
  <c r="J46" i="1" s="1"/>
  <c r="J48" i="1"/>
  <c r="J63" i="1" s="1"/>
  <c r="J38" i="1"/>
  <c r="J37" i="1"/>
  <c r="J36" i="1"/>
  <c r="J35" i="1"/>
  <c r="J19" i="1"/>
  <c r="AJ404" i="2"/>
  <c r="J378" i="2"/>
  <c r="H378" i="2"/>
  <c r="G378" i="2"/>
  <c r="F378" i="2"/>
  <c r="AI378" i="2"/>
  <c r="AH378" i="2"/>
  <c r="AG378" i="2"/>
  <c r="AF378" i="2"/>
  <c r="AE378" i="2"/>
  <c r="AD378" i="2"/>
  <c r="AC378" i="2"/>
  <c r="AB378" i="2"/>
  <c r="AA378" i="2"/>
  <c r="Z378" i="2"/>
  <c r="Y378" i="2"/>
  <c r="AJ378" i="2"/>
  <c r="AI356" i="2"/>
  <c r="AH356" i="2"/>
  <c r="AG356" i="2"/>
  <c r="AF356" i="2"/>
  <c r="AE356" i="2"/>
  <c r="AD356" i="2"/>
  <c r="AC356" i="2"/>
  <c r="AB356" i="2"/>
  <c r="AA356" i="2"/>
  <c r="Z356" i="2"/>
  <c r="Y356" i="2"/>
  <c r="AJ356" i="2"/>
  <c r="H356" i="2"/>
  <c r="G356" i="2"/>
  <c r="F356" i="2"/>
  <c r="J356" i="2"/>
  <c r="BR151" i="1" l="1"/>
  <c r="BS151" i="1"/>
  <c r="BS143" i="1"/>
  <c r="BS210" i="1" s="1"/>
  <c r="BQ285" i="1"/>
  <c r="BQ210" i="1"/>
  <c r="BP210" i="1"/>
  <c r="BP285" i="1"/>
  <c r="BR210" i="1"/>
  <c r="BR285" i="1"/>
  <c r="BQ151" i="1"/>
  <c r="AX27" i="1"/>
  <c r="BD88" i="1"/>
  <c r="BP151" i="1"/>
  <c r="BC282" i="1"/>
  <c r="BC278" i="1"/>
  <c r="BC279" i="1"/>
  <c r="BI285" i="1"/>
  <c r="BI210" i="1"/>
  <c r="BG143" i="1"/>
  <c r="BG210" i="1" s="1"/>
  <c r="BE151" i="1"/>
  <c r="J49" i="1"/>
  <c r="J51" i="1" s="1"/>
  <c r="J27" i="1"/>
  <c r="J42" i="1" s="1"/>
  <c r="G326" i="3"/>
  <c r="G328" i="3"/>
  <c r="G330" i="3"/>
  <c r="R157" i="1"/>
  <c r="R207" i="1"/>
  <c r="BF151" i="1"/>
  <c r="BF143" i="1"/>
  <c r="R158" i="1"/>
  <c r="R206" i="1"/>
  <c r="R278" i="1"/>
  <c r="R282" i="1"/>
  <c r="R279" i="1"/>
  <c r="R281" i="1"/>
  <c r="G288" i="3"/>
  <c r="G292" i="3"/>
  <c r="G290" i="3"/>
  <c r="R150" i="1"/>
  <c r="BA223" i="1"/>
  <c r="BA230" i="1"/>
  <c r="BA231" i="1"/>
  <c r="AM72" i="2"/>
  <c r="AM20" i="2"/>
  <c r="AM56" i="2" s="1"/>
  <c r="AY223" i="1"/>
  <c r="AY231" i="1"/>
  <c r="AY230" i="1"/>
  <c r="R184" i="1"/>
  <c r="R257" i="1"/>
  <c r="R262" i="1"/>
  <c r="R189" i="1"/>
  <c r="R91" i="1"/>
  <c r="R177" i="1"/>
  <c r="R250" i="1"/>
  <c r="R285" i="1" s="1"/>
  <c r="AZ72" i="1"/>
  <c r="AZ255" i="1" s="1"/>
  <c r="R181" i="1"/>
  <c r="R254" i="1"/>
  <c r="AW282" i="1"/>
  <c r="R176" i="1"/>
  <c r="R249" i="1"/>
  <c r="AW281" i="1"/>
  <c r="AW279" i="1"/>
  <c r="BE285" i="1"/>
  <c r="BE210" i="1"/>
  <c r="AL74" i="2"/>
  <c r="AL78" i="2" s="1"/>
  <c r="AL106" i="2"/>
  <c r="AJ20" i="2"/>
  <c r="AL22" i="2"/>
  <c r="AL40" i="2" s="1"/>
  <c r="AL56" i="2"/>
  <c r="AX63" i="1"/>
  <c r="BC76" i="1"/>
  <c r="BB76" i="1"/>
  <c r="BB259" i="1" s="1"/>
  <c r="AX106" i="1"/>
  <c r="AX174" i="1"/>
  <c r="BC69" i="1"/>
  <c r="AX46" i="1"/>
  <c r="AZ175" i="1"/>
  <c r="AZ77" i="1"/>
  <c r="BC77" i="1" s="1"/>
  <c r="BO77" i="1" s="1"/>
  <c r="BO260" i="1" s="1"/>
  <c r="AZ185" i="1"/>
  <c r="K165" i="1"/>
  <c r="L165" i="1"/>
  <c r="AW223" i="1"/>
  <c r="AW231" i="1"/>
  <c r="AW230" i="1"/>
  <c r="AP81" i="1"/>
  <c r="AP190" i="1"/>
  <c r="AP263" i="1"/>
  <c r="AQ80" i="1"/>
  <c r="AO264" i="1"/>
  <c r="AO191" i="1"/>
  <c r="K171" i="1"/>
  <c r="BC75" i="1"/>
  <c r="BC65" i="1"/>
  <c r="BB69" i="1"/>
  <c r="AO82" i="1"/>
  <c r="AZ248" i="1"/>
  <c r="BB65" i="1"/>
  <c r="BB175" i="1" s="1"/>
  <c r="AZ271" i="1"/>
  <c r="BB75" i="1"/>
  <c r="AZ73" i="1"/>
  <c r="AZ258" i="1"/>
  <c r="AZ195" i="1"/>
  <c r="E454" i="3"/>
  <c r="E455" i="3" s="1"/>
  <c r="D455" i="3"/>
  <c r="E470" i="3"/>
  <c r="E443" i="3"/>
  <c r="AK91" i="2"/>
  <c r="AK76" i="2"/>
  <c r="AK24" i="2"/>
  <c r="AK37" i="2"/>
  <c r="AZ145" i="1"/>
  <c r="AZ212" i="1" s="1"/>
  <c r="AZ198" i="1"/>
  <c r="AZ156" i="1"/>
  <c r="AZ229" i="1" s="1"/>
  <c r="AZ132" i="1"/>
  <c r="AZ155" i="1"/>
  <c r="AZ228" i="1" s="1"/>
  <c r="AZ199" i="1"/>
  <c r="AZ178" i="1"/>
  <c r="AZ251" i="1"/>
  <c r="AZ179" i="1"/>
  <c r="AZ252" i="1"/>
  <c r="AZ45" i="1"/>
  <c r="AZ259" i="1"/>
  <c r="AZ186" i="1"/>
  <c r="J68" i="1"/>
  <c r="J72" i="1" s="1"/>
  <c r="J40" i="1"/>
  <c r="J103" i="1"/>
  <c r="J88" i="1"/>
  <c r="J143" i="1"/>
  <c r="J172" i="1"/>
  <c r="AX172" i="1"/>
  <c r="J179" i="1"/>
  <c r="J93" i="1"/>
  <c r="J142" i="1" s="1"/>
  <c r="J209" i="1" s="1"/>
  <c r="J201" i="1"/>
  <c r="AX111" i="1"/>
  <c r="AX154" i="1"/>
  <c r="AX227" i="1" s="1"/>
  <c r="D488" i="3"/>
  <c r="D489" i="3" s="1"/>
  <c r="D491" i="3"/>
  <c r="AK78" i="2"/>
  <c r="AK85" i="2"/>
  <c r="AK92" i="2"/>
  <c r="AK31" i="2"/>
  <c r="AK33" i="2"/>
  <c r="AK34" i="2"/>
  <c r="AK41" i="2"/>
  <c r="AX245" i="1"/>
  <c r="AX39" i="1"/>
  <c r="AX49" i="1"/>
  <c r="I501" i="3"/>
  <c r="AK35" i="2"/>
  <c r="AK93" i="2"/>
  <c r="AK39" i="2"/>
  <c r="AK83" i="2"/>
  <c r="AK26" i="2"/>
  <c r="AK40" i="2"/>
  <c r="AK84" i="2"/>
  <c r="AK86" i="2"/>
  <c r="AK32" i="2"/>
  <c r="AK87" i="2"/>
  <c r="AX193" i="1"/>
  <c r="AX185" i="1"/>
  <c r="AX247" i="1"/>
  <c r="AX186" i="1"/>
  <c r="AX248" i="1"/>
  <c r="AX179" i="1"/>
  <c r="AX68" i="1"/>
  <c r="J154" i="1"/>
  <c r="J227" i="1" s="1"/>
  <c r="J150" i="1"/>
  <c r="J116" i="1"/>
  <c r="J39" i="1"/>
  <c r="J107" i="2"/>
  <c r="J106" i="2"/>
  <c r="J105" i="2"/>
  <c r="J103" i="2"/>
  <c r="J102" i="2"/>
  <c r="J101" i="2"/>
  <c r="J100" i="2"/>
  <c r="J99" i="2"/>
  <c r="J74" i="2"/>
  <c r="J55" i="2"/>
  <c r="J56" i="2"/>
  <c r="J51" i="2"/>
  <c r="J50" i="2"/>
  <c r="J49" i="2"/>
  <c r="J48" i="2"/>
  <c r="J47" i="2"/>
  <c r="J22" i="2"/>
  <c r="I544" i="3"/>
  <c r="I543" i="3"/>
  <c r="I542" i="3"/>
  <c r="D534" i="3"/>
  <c r="D529" i="3"/>
  <c r="D528" i="3"/>
  <c r="D527" i="3"/>
  <c r="D525" i="3"/>
  <c r="D524" i="3"/>
  <c r="D523" i="3"/>
  <c r="D558" i="3"/>
  <c r="J517" i="3"/>
  <c r="AU236" i="1"/>
  <c r="AU235" i="1"/>
  <c r="AU220" i="1"/>
  <c r="AU163" i="1"/>
  <c r="AU162" i="1"/>
  <c r="AU147" i="1"/>
  <c r="AU131" i="1"/>
  <c r="AU268" i="1" s="1"/>
  <c r="AU122" i="1"/>
  <c r="AU121" i="1"/>
  <c r="AU120" i="1"/>
  <c r="AU119" i="1"/>
  <c r="AU118" i="1"/>
  <c r="AU115" i="1"/>
  <c r="AU114" i="1"/>
  <c r="AU113" i="1"/>
  <c r="AU110" i="1"/>
  <c r="AU109" i="1"/>
  <c r="AU108" i="1"/>
  <c r="AU101" i="1"/>
  <c r="AU100" i="1"/>
  <c r="AU99" i="1"/>
  <c r="AF60" i="1"/>
  <c r="AB60" i="1"/>
  <c r="K40" i="1"/>
  <c r="AU98" i="1"/>
  <c r="AU48" i="1"/>
  <c r="AU63" i="1" s="1"/>
  <c r="AU86" i="1" s="1"/>
  <c r="AU28" i="1"/>
  <c r="AU25" i="1"/>
  <c r="AU24" i="1"/>
  <c r="AU23" i="1"/>
  <c r="AU22" i="1"/>
  <c r="AU21" i="1"/>
  <c r="AU20" i="1"/>
  <c r="BB40" i="1" s="1"/>
  <c r="AU18" i="1"/>
  <c r="AU17" i="1"/>
  <c r="AU16" i="1"/>
  <c r="AU15" i="1"/>
  <c r="AU14" i="1"/>
  <c r="AU13" i="1"/>
  <c r="AU12" i="1"/>
  <c r="AU11" i="1"/>
  <c r="AU10" i="1"/>
  <c r="AU9" i="1"/>
  <c r="D536" i="3"/>
  <c r="K45" i="1"/>
  <c r="G60" i="1"/>
  <c r="H57" i="1"/>
  <c r="G57" i="1"/>
  <c r="F57" i="1"/>
  <c r="K48" i="1"/>
  <c r="K38" i="1"/>
  <c r="K37" i="1"/>
  <c r="K36" i="1"/>
  <c r="K35" i="1"/>
  <c r="AE10" i="1"/>
  <c r="AI10" i="1"/>
  <c r="K19" i="1"/>
  <c r="K27" i="1" s="1"/>
  <c r="D582" i="3"/>
  <c r="D577" i="3"/>
  <c r="D576" i="3"/>
  <c r="D575" i="3"/>
  <c r="D573" i="3"/>
  <c r="D572" i="3"/>
  <c r="D571" i="3"/>
  <c r="J562" i="3"/>
  <c r="J561" i="3"/>
  <c r="D606" i="3"/>
  <c r="B89" i="2"/>
  <c r="B88" i="2"/>
  <c r="AI404" i="2"/>
  <c r="BO76" i="1" l="1"/>
  <c r="BO259" i="1" s="1"/>
  <c r="BO65" i="1"/>
  <c r="BO248" i="1" s="1"/>
  <c r="BO75" i="1"/>
  <c r="BO258" i="1" s="1"/>
  <c r="AL76" i="2"/>
  <c r="AL108" i="2"/>
  <c r="AL87" i="2"/>
  <c r="AL91" i="2"/>
  <c r="AL86" i="2"/>
  <c r="AL85" i="2"/>
  <c r="BB77" i="1"/>
  <c r="BB260" i="1" s="1"/>
  <c r="BO69" i="1"/>
  <c r="AM22" i="2"/>
  <c r="AM58" i="2" s="1"/>
  <c r="AM74" i="2"/>
  <c r="AM92" i="2" s="1"/>
  <c r="AN20" i="2"/>
  <c r="AZ182" i="1"/>
  <c r="BG259" i="1"/>
  <c r="BG186" i="1"/>
  <c r="AZ260" i="1"/>
  <c r="BG175" i="1"/>
  <c r="BG68" i="1"/>
  <c r="BG258" i="1"/>
  <c r="BG185" i="1"/>
  <c r="BG252" i="1"/>
  <c r="BG179" i="1"/>
  <c r="BG45" i="1"/>
  <c r="R223" i="1"/>
  <c r="R230" i="1"/>
  <c r="R231" i="1"/>
  <c r="AY40" i="1"/>
  <c r="BA40" i="1"/>
  <c r="BD65" i="1"/>
  <c r="AY41" i="1"/>
  <c r="BA41" i="1"/>
  <c r="BD75" i="1"/>
  <c r="BF285" i="1"/>
  <c r="BF210" i="1"/>
  <c r="BC179" i="1"/>
  <c r="AM106" i="2"/>
  <c r="AN72" i="2"/>
  <c r="AN74" i="2" s="1"/>
  <c r="AZ187" i="1"/>
  <c r="R151" i="1"/>
  <c r="R224" i="1" s="1"/>
  <c r="R143" i="1"/>
  <c r="BB252" i="1"/>
  <c r="AL83" i="2"/>
  <c r="AL89" i="2"/>
  <c r="AL41" i="2"/>
  <c r="AL93" i="2"/>
  <c r="AL84" i="2"/>
  <c r="AL92" i="2"/>
  <c r="AL39" i="2"/>
  <c r="AL24" i="2"/>
  <c r="AL33" i="2"/>
  <c r="AL35" i="2"/>
  <c r="AL34" i="2"/>
  <c r="AL32" i="2"/>
  <c r="AL58" i="2"/>
  <c r="AL26" i="2"/>
  <c r="AL31" i="2"/>
  <c r="AL37" i="2"/>
  <c r="J26" i="2"/>
  <c r="BD69" i="1"/>
  <c r="BC252" i="1"/>
  <c r="BC45" i="1"/>
  <c r="BD77" i="1"/>
  <c r="BD76" i="1"/>
  <c r="AX116" i="1"/>
  <c r="AX126" i="1" s="1"/>
  <c r="BB186" i="1"/>
  <c r="AX51" i="1"/>
  <c r="BB73" i="1"/>
  <c r="BB256" i="1" s="1"/>
  <c r="AX266" i="1"/>
  <c r="AX86" i="1"/>
  <c r="AX43" i="1"/>
  <c r="BC186" i="1"/>
  <c r="BC259" i="1"/>
  <c r="BB179" i="1"/>
  <c r="BB45" i="1"/>
  <c r="BC40" i="1"/>
  <c r="AW40" i="1"/>
  <c r="BC41" i="1"/>
  <c r="AW41" i="1"/>
  <c r="AW37" i="1"/>
  <c r="J210" i="1"/>
  <c r="AW36" i="1"/>
  <c r="AW38" i="1"/>
  <c r="J53" i="1"/>
  <c r="L52" i="1"/>
  <c r="BC175" i="1"/>
  <c r="BC68" i="1"/>
  <c r="BC248" i="1"/>
  <c r="BC187" i="1"/>
  <c r="BC260" i="1"/>
  <c r="AP191" i="1"/>
  <c r="AP264" i="1"/>
  <c r="BC258" i="1"/>
  <c r="BC185" i="1"/>
  <c r="K49" i="1"/>
  <c r="K51" i="1" s="1"/>
  <c r="K88" i="1"/>
  <c r="AV40" i="1"/>
  <c r="AV41" i="1"/>
  <c r="AO84" i="1"/>
  <c r="AP82" i="1"/>
  <c r="BC73" i="1"/>
  <c r="AQ190" i="1"/>
  <c r="AQ263" i="1"/>
  <c r="AQ81" i="1"/>
  <c r="AZ256" i="1"/>
  <c r="BB68" i="1"/>
  <c r="BB178" i="1" s="1"/>
  <c r="BB248" i="1"/>
  <c r="AZ78" i="1"/>
  <c r="AZ188" i="1" s="1"/>
  <c r="AZ183" i="1"/>
  <c r="J178" i="1"/>
  <c r="J29" i="1"/>
  <c r="J32" i="1" s="1"/>
  <c r="J43" i="1"/>
  <c r="J78" i="1"/>
  <c r="J182" i="1"/>
  <c r="J94" i="1"/>
  <c r="J153" i="1" s="1"/>
  <c r="BB258" i="1"/>
  <c r="BB185" i="1"/>
  <c r="J78" i="2"/>
  <c r="J76" i="2"/>
  <c r="AZ148" i="1"/>
  <c r="AZ221" i="1" s="1"/>
  <c r="BB87" i="1"/>
  <c r="E447" i="3"/>
  <c r="E445" i="3"/>
  <c r="E605" i="3"/>
  <c r="AZ40" i="1"/>
  <c r="J24" i="2"/>
  <c r="J284" i="1"/>
  <c r="J55" i="1"/>
  <c r="K29" i="1"/>
  <c r="AX40" i="1"/>
  <c r="J152" i="1"/>
  <c r="E488" i="3"/>
  <c r="D498" i="3"/>
  <c r="AU50" i="1"/>
  <c r="AU46" i="1" s="1"/>
  <c r="AU37" i="1"/>
  <c r="AU38" i="1"/>
  <c r="AU112" i="1"/>
  <c r="AU111" i="1" s="1"/>
  <c r="J87" i="2"/>
  <c r="J31" i="2"/>
  <c r="J32" i="2"/>
  <c r="J34" i="2"/>
  <c r="J39" i="2"/>
  <c r="J41" i="2"/>
  <c r="J83" i="2"/>
  <c r="J85" i="2"/>
  <c r="J40" i="2"/>
  <c r="J86" i="2"/>
  <c r="J37" i="2"/>
  <c r="J91" i="2"/>
  <c r="J92" i="2"/>
  <c r="J33" i="2"/>
  <c r="J93" i="2"/>
  <c r="J35" i="2"/>
  <c r="J84" i="2"/>
  <c r="J89" i="2"/>
  <c r="AK42" i="2"/>
  <c r="AX29" i="1"/>
  <c r="BD92" i="1" s="1"/>
  <c r="AX42" i="1"/>
  <c r="E526" i="3"/>
  <c r="J501" i="3"/>
  <c r="AK94" i="2"/>
  <c r="AX260" i="1"/>
  <c r="AX187" i="1"/>
  <c r="AX251" i="1"/>
  <c r="AX178" i="1"/>
  <c r="AX72" i="1"/>
  <c r="AX183" i="1"/>
  <c r="AX256" i="1"/>
  <c r="AU36" i="1"/>
  <c r="AU107" i="1"/>
  <c r="AU106" i="1" s="1"/>
  <c r="D532" i="3"/>
  <c r="D542" i="3" s="1"/>
  <c r="E542" i="3" s="1"/>
  <c r="AU87" i="1"/>
  <c r="AU148" i="1" s="1"/>
  <c r="AU221" i="1" s="1"/>
  <c r="J41" i="1"/>
  <c r="J125" i="1"/>
  <c r="J129" i="1"/>
  <c r="J128" i="1"/>
  <c r="J126" i="1"/>
  <c r="AU102" i="1"/>
  <c r="AU35" i="1"/>
  <c r="J89" i="1"/>
  <c r="AU123" i="1"/>
  <c r="AU193" i="1" s="1"/>
  <c r="AU266" i="1" s="1"/>
  <c r="J543" i="3"/>
  <c r="E525" i="3"/>
  <c r="AU161" i="1"/>
  <c r="AU96" i="1"/>
  <c r="AU134" i="1" s="1"/>
  <c r="AU234" i="1" s="1"/>
  <c r="E557" i="3"/>
  <c r="J541" i="3"/>
  <c r="J542" i="3"/>
  <c r="E554" i="3"/>
  <c r="E530" i="3"/>
  <c r="E550" i="3"/>
  <c r="AU164" i="1"/>
  <c r="AU165" i="1" s="1"/>
  <c r="K39" i="1"/>
  <c r="AU19" i="1"/>
  <c r="AU237" i="1"/>
  <c r="J544" i="3"/>
  <c r="I545" i="3"/>
  <c r="J545" i="3" s="1"/>
  <c r="E555" i="3"/>
  <c r="E528" i="3"/>
  <c r="E534" i="3"/>
  <c r="E541" i="3"/>
  <c r="E547" i="3"/>
  <c r="E552" i="3"/>
  <c r="E556" i="3"/>
  <c r="E527" i="3"/>
  <c r="E551" i="3"/>
  <c r="E529" i="3"/>
  <c r="E524" i="3"/>
  <c r="E548" i="3"/>
  <c r="E553" i="3"/>
  <c r="D531" i="3"/>
  <c r="E523" i="3"/>
  <c r="D560" i="3"/>
  <c r="E573" i="3"/>
  <c r="E575" i="3"/>
  <c r="K46" i="1"/>
  <c r="E571" i="3"/>
  <c r="E576" i="3"/>
  <c r="E589" i="3"/>
  <c r="E572" i="3"/>
  <c r="E577" i="3"/>
  <c r="E598" i="3"/>
  <c r="E582" i="3"/>
  <c r="E602" i="3"/>
  <c r="E574" i="3"/>
  <c r="E578" i="3"/>
  <c r="E599" i="3"/>
  <c r="E603" i="3"/>
  <c r="E595" i="3"/>
  <c r="E600" i="3"/>
  <c r="E604" i="3"/>
  <c r="E596" i="3"/>
  <c r="E601" i="3"/>
  <c r="D608" i="3"/>
  <c r="D579" i="3"/>
  <c r="B37" i="2"/>
  <c r="B36" i="2"/>
  <c r="B53" i="2"/>
  <c r="B52" i="2"/>
  <c r="AI17" i="2"/>
  <c r="AT98" i="1"/>
  <c r="R175" i="1" l="1"/>
  <c r="BF77" i="1"/>
  <c r="BG77" i="1" s="1"/>
  <c r="R258" i="1"/>
  <c r="BS179" i="1"/>
  <c r="BS45" i="1"/>
  <c r="BS252" i="1"/>
  <c r="BS284" i="1" s="1"/>
  <c r="BS185" i="1"/>
  <c r="BS258" i="1"/>
  <c r="BS248" i="1"/>
  <c r="BS175" i="1"/>
  <c r="BS68" i="1"/>
  <c r="BO73" i="1"/>
  <c r="BO256" i="1" s="1"/>
  <c r="BS186" i="1"/>
  <c r="BS259" i="1"/>
  <c r="BO252" i="1"/>
  <c r="BR93" i="1"/>
  <c r="BR142" i="1" s="1"/>
  <c r="BP93" i="1"/>
  <c r="BP142" i="1" s="1"/>
  <c r="BQ93" i="1"/>
  <c r="BB187" i="1"/>
  <c r="AM78" i="2"/>
  <c r="AM87" i="2"/>
  <c r="AM85" i="2"/>
  <c r="AM83" i="2"/>
  <c r="AM108" i="2"/>
  <c r="AM86" i="2"/>
  <c r="AM91" i="2"/>
  <c r="AM84" i="2"/>
  <c r="BD93" i="1"/>
  <c r="BE93" i="1"/>
  <c r="BE152" i="1" s="1"/>
  <c r="AX53" i="1"/>
  <c r="BD89" i="1"/>
  <c r="BO93" i="1"/>
  <c r="BG93" i="1"/>
  <c r="BG152" i="1" s="1"/>
  <c r="AN22" i="2"/>
  <c r="AO58" i="2" s="1"/>
  <c r="AM89" i="2"/>
  <c r="AM93" i="2"/>
  <c r="AN56" i="2"/>
  <c r="AO56" i="2"/>
  <c r="AO106" i="2"/>
  <c r="AM76" i="2"/>
  <c r="AM24" i="2"/>
  <c r="AM35" i="2"/>
  <c r="AM34" i="2"/>
  <c r="AM41" i="2"/>
  <c r="AM31" i="2"/>
  <c r="AM26" i="2"/>
  <c r="AM39" i="2"/>
  <c r="AM37" i="2"/>
  <c r="AM32" i="2"/>
  <c r="AM40" i="2"/>
  <c r="AM33" i="2"/>
  <c r="BG256" i="1"/>
  <c r="BG183" i="1"/>
  <c r="BG251" i="1"/>
  <c r="BG178" i="1"/>
  <c r="BG72" i="1"/>
  <c r="R185" i="1"/>
  <c r="BF93" i="1"/>
  <c r="AN106" i="2"/>
  <c r="AN108" i="2"/>
  <c r="AO108" i="2"/>
  <c r="AN91" i="2"/>
  <c r="R251" i="1"/>
  <c r="R248" i="1"/>
  <c r="R210" i="1"/>
  <c r="AX129" i="1"/>
  <c r="AX155" i="1" s="1"/>
  <c r="AX228" i="1" s="1"/>
  <c r="AX128" i="1"/>
  <c r="AX145" i="1" s="1"/>
  <c r="BB183" i="1"/>
  <c r="AL94" i="2"/>
  <c r="AN89" i="2"/>
  <c r="AN87" i="2"/>
  <c r="AN76" i="2"/>
  <c r="AN84" i="2"/>
  <c r="AN78" i="2"/>
  <c r="AN85" i="2"/>
  <c r="AN92" i="2"/>
  <c r="AN86" i="2"/>
  <c r="AN83" i="2"/>
  <c r="AN93" i="2"/>
  <c r="AL42" i="2"/>
  <c r="AJ17" i="2"/>
  <c r="AX125" i="1"/>
  <c r="AX195" i="1" s="1"/>
  <c r="BD73" i="1"/>
  <c r="D494" i="3"/>
  <c r="AX271" i="1"/>
  <c r="AX96" i="1"/>
  <c r="AX161" i="1"/>
  <c r="AX55" i="1"/>
  <c r="AX41" i="1"/>
  <c r="AZ41" i="1"/>
  <c r="AW19" i="1"/>
  <c r="BA88" i="1" s="1"/>
  <c r="AW35" i="1"/>
  <c r="AW50" i="1"/>
  <c r="AW46" i="1" s="1"/>
  <c r="BB41" i="1"/>
  <c r="BC72" i="1"/>
  <c r="BC251" i="1"/>
  <c r="BC178" i="1"/>
  <c r="AX32" i="1"/>
  <c r="AQ264" i="1"/>
  <c r="AQ191" i="1"/>
  <c r="K32" i="1"/>
  <c r="K92" i="1"/>
  <c r="BB72" i="1"/>
  <c r="BC183" i="1"/>
  <c r="BC256" i="1"/>
  <c r="K52" i="1"/>
  <c r="K53" i="1"/>
  <c r="K89" i="1"/>
  <c r="K55" i="1"/>
  <c r="BB88" i="1"/>
  <c r="AX88" i="1"/>
  <c r="AZ88" i="1"/>
  <c r="BC88" i="1"/>
  <c r="AP84" i="1"/>
  <c r="AQ82" i="1"/>
  <c r="AQ84" i="1" s="1"/>
  <c r="J92" i="1"/>
  <c r="AZ261" i="1"/>
  <c r="BB251" i="1"/>
  <c r="AX196" i="1"/>
  <c r="E532" i="3"/>
  <c r="D543" i="3"/>
  <c r="J80" i="1"/>
  <c r="J188" i="1"/>
  <c r="K42" i="1"/>
  <c r="AZ103" i="1"/>
  <c r="K43" i="1"/>
  <c r="BB148" i="1"/>
  <c r="BB221" i="1" s="1"/>
  <c r="BB103" i="1"/>
  <c r="AU116" i="1"/>
  <c r="AU126" i="1" s="1"/>
  <c r="AU196" i="1" s="1"/>
  <c r="E498" i="3"/>
  <c r="E499" i="3" s="1"/>
  <c r="D499" i="3"/>
  <c r="E543" i="3"/>
  <c r="AX148" i="1"/>
  <c r="AX221" i="1" s="1"/>
  <c r="AX103" i="1"/>
  <c r="J94" i="2"/>
  <c r="J42" i="2"/>
  <c r="E531" i="3"/>
  <c r="E487" i="3"/>
  <c r="E514" i="3"/>
  <c r="AX182" i="1"/>
  <c r="AX78" i="1"/>
  <c r="AX255" i="1"/>
  <c r="J274" i="1"/>
  <c r="J199" i="1"/>
  <c r="J155" i="1"/>
  <c r="J228" i="1" s="1"/>
  <c r="J132" i="1"/>
  <c r="J140" i="1"/>
  <c r="AU154" i="1"/>
  <c r="AU227" i="1" s="1"/>
  <c r="AU103" i="1"/>
  <c r="AU40" i="1"/>
  <c r="J137" i="1"/>
  <c r="J204" i="1" s="1"/>
  <c r="J196" i="1"/>
  <c r="J271" i="1"/>
  <c r="J136" i="1"/>
  <c r="J203" i="1" s="1"/>
  <c r="J195" i="1"/>
  <c r="J270" i="1"/>
  <c r="J139" i="1"/>
  <c r="J156" i="1"/>
  <c r="J229" i="1" s="1"/>
  <c r="J145" i="1"/>
  <c r="J273" i="1"/>
  <c r="J287" i="1" s="1"/>
  <c r="J198" i="1"/>
  <c r="E558" i="3"/>
  <c r="K41" i="1"/>
  <c r="AU49" i="1"/>
  <c r="AU51" i="1" s="1"/>
  <c r="AU27" i="1"/>
  <c r="AU39" i="1"/>
  <c r="D533" i="3"/>
  <c r="D538" i="3"/>
  <c r="D535" i="3"/>
  <c r="F535" i="3" s="1"/>
  <c r="F531" i="3"/>
  <c r="D583" i="3"/>
  <c r="AT236" i="1"/>
  <c r="AT235" i="1"/>
  <c r="AT220" i="1"/>
  <c r="AT237" i="1"/>
  <c r="BA238" i="1" s="1"/>
  <c r="AT164" i="1"/>
  <c r="BA165" i="1" s="1"/>
  <c r="AT163" i="1"/>
  <c r="AT162" i="1"/>
  <c r="AT147" i="1"/>
  <c r="AT123" i="1"/>
  <c r="AT112" i="1"/>
  <c r="AT111" i="1" s="1"/>
  <c r="AT107" i="1"/>
  <c r="AT106" i="1" s="1"/>
  <c r="AT102" i="1"/>
  <c r="AT50" i="1"/>
  <c r="AT46" i="1" s="1"/>
  <c r="AT48" i="1"/>
  <c r="AT63" i="1" s="1"/>
  <c r="AT86" i="1" s="1"/>
  <c r="AT161" i="1" s="1"/>
  <c r="AT38" i="1"/>
  <c r="AT37" i="1"/>
  <c r="AT36" i="1"/>
  <c r="AT35" i="1"/>
  <c r="AT19" i="1"/>
  <c r="BF78" i="1" l="1"/>
  <c r="BF80" i="1" s="1"/>
  <c r="BF187" i="1"/>
  <c r="BF260" i="1"/>
  <c r="BS152" i="1"/>
  <c r="BS142" i="1"/>
  <c r="BS209" i="1" s="1"/>
  <c r="BS183" i="1"/>
  <c r="BS256" i="1"/>
  <c r="BR152" i="1"/>
  <c r="BS178" i="1"/>
  <c r="BS72" i="1"/>
  <c r="BT153" i="1" s="1"/>
  <c r="BS251" i="1"/>
  <c r="BQ152" i="1"/>
  <c r="BQ142" i="1"/>
  <c r="BP209" i="1"/>
  <c r="BP284" i="1"/>
  <c r="BR284" i="1"/>
  <c r="BR209" i="1"/>
  <c r="BH77" i="1"/>
  <c r="BJ260" i="1"/>
  <c r="BJ187" i="1"/>
  <c r="BJ78" i="1"/>
  <c r="BJ80" i="1" s="1"/>
  <c r="AN39" i="2"/>
  <c r="AN34" i="2"/>
  <c r="AN40" i="2"/>
  <c r="AN35" i="2"/>
  <c r="AN32" i="2"/>
  <c r="AN37" i="2"/>
  <c r="AN24" i="2"/>
  <c r="AN58" i="2"/>
  <c r="AN33" i="2"/>
  <c r="AN31" i="2"/>
  <c r="AN41" i="2"/>
  <c r="BG142" i="1"/>
  <c r="BG209" i="1" s="1"/>
  <c r="BP152" i="1"/>
  <c r="BI152" i="1"/>
  <c r="BI142" i="1"/>
  <c r="BG260" i="1"/>
  <c r="BG187" i="1"/>
  <c r="AM42" i="2"/>
  <c r="AM94" i="2"/>
  <c r="AN26" i="2"/>
  <c r="BG255" i="1"/>
  <c r="BG182" i="1"/>
  <c r="BG78" i="1"/>
  <c r="AX270" i="1"/>
  <c r="BF152" i="1"/>
  <c r="BF142" i="1"/>
  <c r="AX156" i="1"/>
  <c r="AX229" i="1" s="1"/>
  <c r="BE142" i="1"/>
  <c r="BE284" i="1" s="1"/>
  <c r="AY88" i="1"/>
  <c r="AX274" i="1"/>
  <c r="R178" i="1"/>
  <c r="AX132" i="1"/>
  <c r="R284" i="1"/>
  <c r="R45" i="1"/>
  <c r="R93" i="1"/>
  <c r="R179" i="1"/>
  <c r="AX273" i="1"/>
  <c r="AX287" i="1" s="1"/>
  <c r="AX198" i="1"/>
  <c r="AX199" i="1"/>
  <c r="R186" i="1"/>
  <c r="R259" i="1"/>
  <c r="R72" i="1"/>
  <c r="BB182" i="1"/>
  <c r="AN94" i="2"/>
  <c r="AX80" i="1"/>
  <c r="AZ80" i="1" s="1"/>
  <c r="AX134" i="1"/>
  <c r="AW49" i="1"/>
  <c r="AW51" i="1" s="1"/>
  <c r="BO52" i="1" s="1"/>
  <c r="AW39" i="1"/>
  <c r="AW27" i="1"/>
  <c r="BB255" i="1"/>
  <c r="BB238" i="1"/>
  <c r="AT27" i="1"/>
  <c r="AT42" i="1" s="1"/>
  <c r="BB78" i="1"/>
  <c r="BB261" i="1" s="1"/>
  <c r="BB165" i="1"/>
  <c r="BB89" i="1"/>
  <c r="AU52" i="1"/>
  <c r="BC89" i="1"/>
  <c r="AZ89" i="1"/>
  <c r="BC182" i="1"/>
  <c r="BC78" i="1"/>
  <c r="BC255" i="1"/>
  <c r="E533" i="3"/>
  <c r="J81" i="1"/>
  <c r="J190" i="1"/>
  <c r="F533" i="3"/>
  <c r="P468" i="3"/>
  <c r="AU128" i="1"/>
  <c r="AU156" i="1" s="1"/>
  <c r="AU229" i="1" s="1"/>
  <c r="AU41" i="1"/>
  <c r="AU129" i="1"/>
  <c r="AU132" i="1" s="1"/>
  <c r="AU125" i="1"/>
  <c r="AU195" i="1" s="1"/>
  <c r="AU271" i="1"/>
  <c r="AX212" i="1"/>
  <c r="E535" i="3"/>
  <c r="E491" i="3"/>
  <c r="E489" i="3"/>
  <c r="AX261" i="1"/>
  <c r="AX188" i="1"/>
  <c r="J212" i="1"/>
  <c r="J157" i="1"/>
  <c r="J207" i="1"/>
  <c r="J206" i="1"/>
  <c r="J158" i="1"/>
  <c r="AU42" i="1"/>
  <c r="AU29" i="1"/>
  <c r="AU43" i="1"/>
  <c r="AU53" i="1"/>
  <c r="AT193" i="1"/>
  <c r="AT266" i="1" s="1"/>
  <c r="D580" i="3"/>
  <c r="AT116" i="1"/>
  <c r="D586" i="3" s="1"/>
  <c r="AT154" i="1"/>
  <c r="AT227" i="1" s="1"/>
  <c r="AT96" i="1"/>
  <c r="AT134" i="1" s="1"/>
  <c r="AT234" i="1" s="1"/>
  <c r="AT39" i="1"/>
  <c r="AT49" i="1"/>
  <c r="AT51" i="1" s="1"/>
  <c r="BA52" i="1" s="1"/>
  <c r="BS94" i="1" l="1"/>
  <c r="BS153" i="1" s="1"/>
  <c r="BF261" i="1"/>
  <c r="BF188" i="1"/>
  <c r="R260" i="1"/>
  <c r="BS78" i="1"/>
  <c r="BS182" i="1"/>
  <c r="BS255" i="1"/>
  <c r="BK80" i="1"/>
  <c r="BQ209" i="1"/>
  <c r="BQ284" i="1"/>
  <c r="R187" i="1"/>
  <c r="BJ261" i="1"/>
  <c r="BJ188" i="1"/>
  <c r="AN42" i="2"/>
  <c r="BI284" i="1"/>
  <c r="BI209" i="1"/>
  <c r="BA89" i="1"/>
  <c r="BF81" i="1"/>
  <c r="BG80" i="1"/>
  <c r="BE209" i="1"/>
  <c r="BG261" i="1"/>
  <c r="BG188" i="1"/>
  <c r="BF190" i="1"/>
  <c r="BF263" i="1"/>
  <c r="BF209" i="1"/>
  <c r="BE52" i="1"/>
  <c r="AY89" i="1"/>
  <c r="R183" i="1"/>
  <c r="R256" i="1"/>
  <c r="R78" i="1"/>
  <c r="R182" i="1"/>
  <c r="R94" i="1"/>
  <c r="R153" i="1" s="1"/>
  <c r="R226" i="1" s="1"/>
  <c r="R255" i="1"/>
  <c r="R152" i="1"/>
  <c r="R225" i="1" s="1"/>
  <c r="R142" i="1"/>
  <c r="AW52" i="1"/>
  <c r="BD52" i="1"/>
  <c r="AZ81" i="1"/>
  <c r="AZ191" i="1" s="1"/>
  <c r="AX234" i="1"/>
  <c r="AT43" i="1"/>
  <c r="AW29" i="1"/>
  <c r="BA92" i="1" s="1"/>
  <c r="AW42" i="1"/>
  <c r="AW43" i="1"/>
  <c r="AT29" i="1"/>
  <c r="AT32" i="1" s="1"/>
  <c r="AW53" i="1"/>
  <c r="AW55" i="1"/>
  <c r="BB188" i="1"/>
  <c r="BC261" i="1"/>
  <c r="BC188" i="1"/>
  <c r="BC80" i="1"/>
  <c r="BO80" i="1" s="1"/>
  <c r="BO263" i="1" s="1"/>
  <c r="AZ92" i="1"/>
  <c r="AX92" i="1"/>
  <c r="BC92" i="1"/>
  <c r="BB52" i="1"/>
  <c r="AU145" i="1"/>
  <c r="AU212" i="1" s="1"/>
  <c r="AU155" i="1"/>
  <c r="AU228" i="1" s="1"/>
  <c r="AZ190" i="1"/>
  <c r="AU199" i="1"/>
  <c r="AZ263" i="1"/>
  <c r="BB80" i="1"/>
  <c r="BB81" i="1" s="1"/>
  <c r="BB191" i="1" s="1"/>
  <c r="AU274" i="1"/>
  <c r="AU270" i="1"/>
  <c r="AU198" i="1"/>
  <c r="AU273" i="1"/>
  <c r="AU287" i="1" s="1"/>
  <c r="J191" i="1"/>
  <c r="BB92" i="1"/>
  <c r="AU32" i="1"/>
  <c r="AX190" i="1"/>
  <c r="AX263" i="1"/>
  <c r="AX81" i="1"/>
  <c r="AT126" i="1"/>
  <c r="AT271" i="1" s="1"/>
  <c r="AT128" i="1"/>
  <c r="AT273" i="1" s="1"/>
  <c r="AT287" i="1" s="1"/>
  <c r="AT125" i="1"/>
  <c r="AT195" i="1" s="1"/>
  <c r="AT129" i="1"/>
  <c r="AT132" i="1" s="1"/>
  <c r="D590" i="3"/>
  <c r="E580" i="3"/>
  <c r="D581" i="3"/>
  <c r="AT53" i="1"/>
  <c r="BL80" i="1" l="1"/>
  <c r="BL263" i="1" s="1"/>
  <c r="BS261" i="1"/>
  <c r="BS188" i="1"/>
  <c r="BK81" i="1"/>
  <c r="BK191" i="1" s="1"/>
  <c r="BK190" i="1"/>
  <c r="BS187" i="1"/>
  <c r="BS260" i="1"/>
  <c r="BK263" i="1"/>
  <c r="BJ190" i="1"/>
  <c r="BJ263" i="1"/>
  <c r="BJ81" i="1"/>
  <c r="BF82" i="1"/>
  <c r="BF84" i="1" s="1"/>
  <c r="BF264" i="1"/>
  <c r="BH80" i="1"/>
  <c r="BF191" i="1"/>
  <c r="BG263" i="1"/>
  <c r="BG190" i="1"/>
  <c r="BG81" i="1"/>
  <c r="AY92" i="1"/>
  <c r="R209" i="1"/>
  <c r="R261" i="1"/>
  <c r="R188" i="1"/>
  <c r="AZ264" i="1"/>
  <c r="BC81" i="1"/>
  <c r="BD80" i="1"/>
  <c r="AX82" i="1"/>
  <c r="AW32" i="1"/>
  <c r="BC190" i="1"/>
  <c r="BC263" i="1"/>
  <c r="BB263" i="1"/>
  <c r="BB264" i="1"/>
  <c r="BB190" i="1"/>
  <c r="AT145" i="1"/>
  <c r="AT196" i="1"/>
  <c r="AX191" i="1"/>
  <c r="AX264" i="1"/>
  <c r="AT156" i="1"/>
  <c r="AT229" i="1" s="1"/>
  <c r="AT198" i="1"/>
  <c r="AT155" i="1"/>
  <c r="AT228" i="1" s="1"/>
  <c r="AT274" i="1"/>
  <c r="AT270" i="1"/>
  <c r="AT199" i="1"/>
  <c r="E590" i="3"/>
  <c r="D591" i="3"/>
  <c r="BL190" i="1" l="1"/>
  <c r="BL81" i="1"/>
  <c r="BK264" i="1"/>
  <c r="BL264" i="1"/>
  <c r="BL191" i="1"/>
  <c r="BJ191" i="1"/>
  <c r="BJ264" i="1"/>
  <c r="BG82" i="1"/>
  <c r="BG264" i="1"/>
  <c r="BG191" i="1"/>
  <c r="BC264" i="1"/>
  <c r="AZ82" i="1"/>
  <c r="BC191" i="1"/>
  <c r="AX84" i="1"/>
  <c r="AT212" i="1"/>
  <c r="D651" i="3"/>
  <c r="D627" i="3"/>
  <c r="D621" i="3"/>
  <c r="D622" i="3"/>
  <c r="D620" i="3"/>
  <c r="D617" i="3"/>
  <c r="D618" i="3"/>
  <c r="D616" i="3"/>
  <c r="J606" i="3"/>
  <c r="J607" i="3"/>
  <c r="AH404" i="2"/>
  <c r="R81" i="1" l="1"/>
  <c r="BG84" i="1"/>
  <c r="BC82" i="1"/>
  <c r="AZ84" i="1"/>
  <c r="BB82" i="1"/>
  <c r="BB84" i="1" s="1"/>
  <c r="R190" i="1"/>
  <c r="R263" i="1"/>
  <c r="E617" i="3"/>
  <c r="E646" i="3"/>
  <c r="E645" i="3"/>
  <c r="E640" i="3"/>
  <c r="E623" i="3"/>
  <c r="E619" i="3"/>
  <c r="E650" i="3"/>
  <c r="E648" i="3"/>
  <c r="E644" i="3"/>
  <c r="E649" i="3"/>
  <c r="E647" i="3"/>
  <c r="E643" i="3"/>
  <c r="E641" i="3"/>
  <c r="E620" i="3"/>
  <c r="E627" i="3"/>
  <c r="E616" i="3"/>
  <c r="E622" i="3"/>
  <c r="E618" i="3"/>
  <c r="E621" i="3"/>
  <c r="D624" i="3"/>
  <c r="D653" i="3"/>
  <c r="BS190" i="1" l="1"/>
  <c r="BS263" i="1"/>
  <c r="BS81" i="1"/>
  <c r="BC84" i="1"/>
  <c r="E579" i="3"/>
  <c r="E606" i="3"/>
  <c r="D628" i="3"/>
  <c r="AH72" i="2"/>
  <c r="AH71" i="2"/>
  <c r="AH67" i="2"/>
  <c r="AH65" i="2"/>
  <c r="AH64" i="2"/>
  <c r="AH63" i="2"/>
  <c r="AH14" i="2"/>
  <c r="AJ14" i="2" s="1"/>
  <c r="AS98" i="1"/>
  <c r="AS79" i="1"/>
  <c r="AS70" i="1"/>
  <c r="AS67" i="1"/>
  <c r="AS66" i="1"/>
  <c r="BS264" i="1" l="1"/>
  <c r="BS191" i="1"/>
  <c r="BS84" i="1"/>
  <c r="AI65" i="2"/>
  <c r="AJ65" i="2" s="1"/>
  <c r="AI72" i="2"/>
  <c r="AV70" i="1"/>
  <c r="AW70" i="1" s="1"/>
  <c r="AV66" i="1"/>
  <c r="AV249" i="1" s="1"/>
  <c r="AV79" i="1"/>
  <c r="AW79" i="1" s="1"/>
  <c r="AV67" i="1"/>
  <c r="AI64" i="2"/>
  <c r="AJ64" i="2" s="1"/>
  <c r="AI71" i="2"/>
  <c r="AI63" i="2"/>
  <c r="AJ63" i="2" s="1"/>
  <c r="AT79" i="1"/>
  <c r="AT66" i="1"/>
  <c r="AT67" i="1"/>
  <c r="AT254" i="1"/>
  <c r="AT70" i="1"/>
  <c r="E581" i="3"/>
  <c r="E583" i="3"/>
  <c r="AI67" i="2"/>
  <c r="AJ67" i="2" s="1"/>
  <c r="AH50" i="2"/>
  <c r="AH105" i="2"/>
  <c r="AH106" i="2"/>
  <c r="AH107" i="2"/>
  <c r="AH47" i="2"/>
  <c r="AH99" i="2"/>
  <c r="AH56" i="2"/>
  <c r="AH48" i="2"/>
  <c r="AH100" i="2"/>
  <c r="AH55" i="2"/>
  <c r="AH49" i="2"/>
  <c r="AH101" i="2"/>
  <c r="AH51" i="2"/>
  <c r="AH102" i="2"/>
  <c r="AH74" i="2"/>
  <c r="AH103" i="2"/>
  <c r="AH22" i="2"/>
  <c r="AS237" i="1"/>
  <c r="AY238" i="1" s="1"/>
  <c r="AS236" i="1"/>
  <c r="AS235" i="1"/>
  <c r="AS220" i="1"/>
  <c r="AS164" i="1"/>
  <c r="AY165" i="1" s="1"/>
  <c r="AS163" i="1"/>
  <c r="AS162" i="1"/>
  <c r="AS147" i="1"/>
  <c r="AS123" i="1"/>
  <c r="AS112" i="1"/>
  <c r="AS111" i="1" s="1"/>
  <c r="AS107" i="1"/>
  <c r="AS106" i="1" s="1"/>
  <c r="AS102" i="1"/>
  <c r="AS189" i="1"/>
  <c r="AS74" i="1"/>
  <c r="AS181" i="1"/>
  <c r="AS253" i="1"/>
  <c r="AS250" i="1"/>
  <c r="AS249" i="1"/>
  <c r="AS61" i="1"/>
  <c r="AS243" i="1"/>
  <c r="AY244" i="1" s="1"/>
  <c r="AS50" i="1"/>
  <c r="AS46" i="1" s="1"/>
  <c r="AS48" i="1"/>
  <c r="AS63" i="1" s="1"/>
  <c r="AS86" i="1" s="1"/>
  <c r="AS38" i="1"/>
  <c r="AS37" i="1"/>
  <c r="AS36" i="1"/>
  <c r="AS35" i="1"/>
  <c r="D672" i="3"/>
  <c r="J652" i="3"/>
  <c r="J651" i="3"/>
  <c r="E679" i="3" s="1"/>
  <c r="D695" i="3"/>
  <c r="D697" i="3" s="1"/>
  <c r="D669" i="3"/>
  <c r="AG404" i="2"/>
  <c r="AW66" i="1" l="1"/>
  <c r="AV177" i="1"/>
  <c r="AV176" i="1"/>
  <c r="AJ72" i="2"/>
  <c r="AJ71" i="2"/>
  <c r="AW67" i="1"/>
  <c r="AW91" i="1" s="1"/>
  <c r="AV180" i="1"/>
  <c r="AV253" i="1"/>
  <c r="AV250" i="1"/>
  <c r="AV74" i="1"/>
  <c r="AW74" i="1" s="1"/>
  <c r="AV262" i="1"/>
  <c r="AV189" i="1"/>
  <c r="AU67" i="1"/>
  <c r="AZ91" i="1" s="1"/>
  <c r="AZ151" i="1" s="1"/>
  <c r="AZ224" i="1" s="1"/>
  <c r="AT249" i="1"/>
  <c r="AT189" i="1"/>
  <c r="AT253" i="1"/>
  <c r="AZ238" i="1"/>
  <c r="AZ165" i="1"/>
  <c r="AZ244" i="1"/>
  <c r="AU79" i="1"/>
  <c r="AI56" i="2"/>
  <c r="AI106" i="2"/>
  <c r="AI103" i="2"/>
  <c r="AI105" i="2"/>
  <c r="AH76" i="2"/>
  <c r="AH78" i="2"/>
  <c r="AT61" i="1"/>
  <c r="AT181" i="1"/>
  <c r="AT64" i="1"/>
  <c r="AT174" i="1" s="1"/>
  <c r="AT243" i="1"/>
  <c r="BA244" i="1" s="1"/>
  <c r="AU71" i="1"/>
  <c r="AH39" i="2"/>
  <c r="AH24" i="2"/>
  <c r="AT176" i="1"/>
  <c r="AT180" i="1"/>
  <c r="AT262" i="1"/>
  <c r="AU70" i="1"/>
  <c r="AU66" i="1"/>
  <c r="AT250" i="1"/>
  <c r="AT177" i="1"/>
  <c r="AI50" i="2"/>
  <c r="AI100" i="2"/>
  <c r="AI55" i="2"/>
  <c r="AI99" i="2"/>
  <c r="AK101" i="2"/>
  <c r="AK51" i="2"/>
  <c r="AJ51" i="2"/>
  <c r="AJ48" i="2"/>
  <c r="AK48" i="2"/>
  <c r="AJ100" i="2"/>
  <c r="AJ49" i="2"/>
  <c r="AK49" i="2"/>
  <c r="AI101" i="2"/>
  <c r="AI107" i="2"/>
  <c r="AT55" i="1"/>
  <c r="AT170" i="1"/>
  <c r="BA171" i="1" s="1"/>
  <c r="E668" i="3"/>
  <c r="D625" i="3"/>
  <c r="AS42" i="1"/>
  <c r="AS257" i="1"/>
  <c r="AT74" i="1"/>
  <c r="E691" i="3"/>
  <c r="E693" i="3"/>
  <c r="E591" i="3"/>
  <c r="E672" i="3"/>
  <c r="AI74" i="2"/>
  <c r="AI47" i="2"/>
  <c r="AI49" i="2"/>
  <c r="AI48" i="2"/>
  <c r="AI22" i="2"/>
  <c r="AI51" i="2"/>
  <c r="D673" i="3"/>
  <c r="E661" i="3"/>
  <c r="E692" i="3"/>
  <c r="E662" i="3"/>
  <c r="E634" i="3"/>
  <c r="E663" i="3"/>
  <c r="E685" i="3"/>
  <c r="E694" i="3"/>
  <c r="E664" i="3"/>
  <c r="E686" i="3"/>
  <c r="E665" i="3"/>
  <c r="E688" i="3"/>
  <c r="E666" i="3"/>
  <c r="E689" i="3"/>
  <c r="E667" i="3"/>
  <c r="E690" i="3"/>
  <c r="AH93" i="2"/>
  <c r="AH87" i="2"/>
  <c r="AH86" i="2"/>
  <c r="AH84" i="2"/>
  <c r="AH92" i="2"/>
  <c r="AH83" i="2"/>
  <c r="AH85" i="2"/>
  <c r="AH91" i="2"/>
  <c r="AH40" i="2"/>
  <c r="AH34" i="2"/>
  <c r="AH26" i="2"/>
  <c r="AH35" i="2"/>
  <c r="AH33" i="2"/>
  <c r="AH32" i="2"/>
  <c r="AH41" i="2"/>
  <c r="AH31" i="2"/>
  <c r="AS49" i="1"/>
  <c r="AS51" i="1" s="1"/>
  <c r="AY52" i="1" s="1"/>
  <c r="AS39" i="1"/>
  <c r="AS154" i="1"/>
  <c r="AS227" i="1" s="1"/>
  <c r="AS116" i="1"/>
  <c r="AS161" i="1"/>
  <c r="AS96" i="1"/>
  <c r="AS134" i="1" s="1"/>
  <c r="AS234" i="1" s="1"/>
  <c r="AS245" i="1"/>
  <c r="AS176" i="1"/>
  <c r="AS184" i="1"/>
  <c r="AS193" i="1"/>
  <c r="AS266" i="1" s="1"/>
  <c r="AS254" i="1"/>
  <c r="AS262" i="1"/>
  <c r="AS177" i="1"/>
  <c r="AS170" i="1"/>
  <c r="AY171" i="1" s="1"/>
  <c r="AS180" i="1"/>
  <c r="AS64" i="1"/>
  <c r="BA91" i="1" l="1"/>
  <c r="AV184" i="1"/>
  <c r="AY91" i="1"/>
  <c r="AI76" i="2"/>
  <c r="AI78" i="2"/>
  <c r="AI26" i="2"/>
  <c r="AK47" i="2"/>
  <c r="AK99" i="2"/>
  <c r="AK106" i="2"/>
  <c r="AJ55" i="2"/>
  <c r="AJ50" i="2"/>
  <c r="AV257" i="1"/>
  <c r="AU91" i="1"/>
  <c r="AU151" i="1" s="1"/>
  <c r="AU224" i="1" s="1"/>
  <c r="AU177" i="1"/>
  <c r="AX91" i="1"/>
  <c r="AU250" i="1"/>
  <c r="BB91" i="1"/>
  <c r="BB151" i="1" s="1"/>
  <c r="BB224" i="1" s="1"/>
  <c r="BC91" i="1"/>
  <c r="BC143" i="1" s="1"/>
  <c r="AW189" i="1"/>
  <c r="AW262" i="1"/>
  <c r="AU74" i="1"/>
  <c r="AW250" i="1"/>
  <c r="AW177" i="1"/>
  <c r="AU180" i="1"/>
  <c r="AZ171" i="1"/>
  <c r="BB171" i="1"/>
  <c r="BB244" i="1"/>
  <c r="AZ52" i="1"/>
  <c r="AX89" i="1"/>
  <c r="AU262" i="1"/>
  <c r="AU189" i="1"/>
  <c r="AU253" i="1"/>
  <c r="AU254" i="1"/>
  <c r="AU249" i="1"/>
  <c r="AJ101" i="2"/>
  <c r="AK107" i="2"/>
  <c r="AJ107" i="2"/>
  <c r="AK55" i="2"/>
  <c r="AJ47" i="2"/>
  <c r="AK100" i="2"/>
  <c r="AJ99" i="2"/>
  <c r="AK50" i="2"/>
  <c r="AT172" i="1"/>
  <c r="BB90" i="1"/>
  <c r="AT247" i="1"/>
  <c r="AT245" i="1"/>
  <c r="AJ22" i="2"/>
  <c r="AJ26" i="2" s="1"/>
  <c r="AU181" i="1"/>
  <c r="AX140" i="1"/>
  <c r="D448" i="3"/>
  <c r="AU170" i="1"/>
  <c r="AU171" i="1" s="1"/>
  <c r="AU55" i="1"/>
  <c r="AU243" i="1"/>
  <c r="AI37" i="2"/>
  <c r="AI24" i="2"/>
  <c r="AK105" i="2"/>
  <c r="AJ105" i="2"/>
  <c r="AJ106" i="2"/>
  <c r="AU176" i="1"/>
  <c r="AU64" i="1"/>
  <c r="AU174" i="1" s="1"/>
  <c r="AU90" i="1"/>
  <c r="AJ56" i="2"/>
  <c r="AK56" i="2"/>
  <c r="AJ74" i="2"/>
  <c r="AJ78" i="2" s="1"/>
  <c r="AK102" i="2"/>
  <c r="AJ103" i="2"/>
  <c r="AK103" i="2"/>
  <c r="AI89" i="2"/>
  <c r="AS43" i="1"/>
  <c r="AS125" i="1"/>
  <c r="AS195" i="1" s="1"/>
  <c r="D631" i="3"/>
  <c r="AT184" i="1"/>
  <c r="AT257" i="1"/>
  <c r="E625" i="3"/>
  <c r="D635" i="3"/>
  <c r="D626" i="3"/>
  <c r="AI108" i="2"/>
  <c r="AI87" i="2"/>
  <c r="AI91" i="2"/>
  <c r="AI92" i="2"/>
  <c r="AI93" i="2"/>
  <c r="AI86" i="2"/>
  <c r="AI83" i="2"/>
  <c r="AI84" i="2"/>
  <c r="AI85" i="2"/>
  <c r="AI40" i="2"/>
  <c r="AI41" i="2"/>
  <c r="AI39" i="2"/>
  <c r="AI58" i="2"/>
  <c r="AI34" i="2"/>
  <c r="AI32" i="2"/>
  <c r="AI33" i="2"/>
  <c r="AI35" i="2"/>
  <c r="AI31" i="2"/>
  <c r="E624" i="3"/>
  <c r="E651" i="3"/>
  <c r="AH94" i="2"/>
  <c r="AH42" i="2"/>
  <c r="AS128" i="1"/>
  <c r="AS273" i="1" s="1"/>
  <c r="AS287" i="1" s="1"/>
  <c r="AS129" i="1"/>
  <c r="AS274" i="1" s="1"/>
  <c r="AS126" i="1"/>
  <c r="AS53" i="1"/>
  <c r="AS55" i="1"/>
  <c r="AS174" i="1"/>
  <c r="AS247" i="1"/>
  <c r="AS172" i="1"/>
  <c r="AG74" i="2"/>
  <c r="AG76" i="2" s="1"/>
  <c r="AG22" i="2"/>
  <c r="AR98" i="1"/>
  <c r="AR76" i="1"/>
  <c r="AR75" i="1"/>
  <c r="AR69" i="1"/>
  <c r="AR65" i="1"/>
  <c r="AR262" i="1"/>
  <c r="AR257" i="1"/>
  <c r="AR254" i="1"/>
  <c r="AR253" i="1"/>
  <c r="AR250" i="1"/>
  <c r="AR249" i="1"/>
  <c r="AR243" i="1"/>
  <c r="AR237" i="1"/>
  <c r="AR236" i="1"/>
  <c r="AR235" i="1"/>
  <c r="AR220" i="1"/>
  <c r="AR189" i="1"/>
  <c r="AR184" i="1"/>
  <c r="AR181" i="1"/>
  <c r="AR180" i="1"/>
  <c r="AR177" i="1"/>
  <c r="AR176" i="1"/>
  <c r="AR170" i="1"/>
  <c r="AR164" i="1"/>
  <c r="AR163" i="1"/>
  <c r="AR162" i="1"/>
  <c r="AR147" i="1"/>
  <c r="AR123" i="1"/>
  <c r="AR112" i="1"/>
  <c r="AR107" i="1"/>
  <c r="AR102" i="1"/>
  <c r="AR64" i="1"/>
  <c r="AR61" i="1"/>
  <c r="AR50" i="1"/>
  <c r="AR48" i="1"/>
  <c r="AR38" i="1"/>
  <c r="AR37" i="1"/>
  <c r="AR36" i="1"/>
  <c r="AR35" i="1"/>
  <c r="AR19" i="1"/>
  <c r="AE216" i="1"/>
  <c r="AE218" i="1" s="1"/>
  <c r="AE131" i="1"/>
  <c r="AE122" i="1"/>
  <c r="AE121" i="1"/>
  <c r="AE120" i="1"/>
  <c r="AE119" i="1"/>
  <c r="AE118" i="1"/>
  <c r="AE115" i="1"/>
  <c r="AE114" i="1"/>
  <c r="AE113" i="1"/>
  <c r="AE110" i="1"/>
  <c r="AE109" i="1"/>
  <c r="AE108" i="1"/>
  <c r="AE101" i="1"/>
  <c r="AE100" i="1"/>
  <c r="AE99" i="1"/>
  <c r="AE268" i="1" l="1"/>
  <c r="BA151" i="1"/>
  <c r="BA224" i="1" s="1"/>
  <c r="BA143" i="1"/>
  <c r="BC151" i="1"/>
  <c r="AY151" i="1"/>
  <c r="AY224" i="1" s="1"/>
  <c r="AY143" i="1"/>
  <c r="AU143" i="1"/>
  <c r="AU285" i="1" s="1"/>
  <c r="AJ24" i="2"/>
  <c r="AW88" i="1"/>
  <c r="AX151" i="1"/>
  <c r="AX224" i="1" s="1"/>
  <c r="AR46" i="1"/>
  <c r="AR174" i="1"/>
  <c r="AR106" i="1"/>
  <c r="AR111" i="1"/>
  <c r="D670" i="3"/>
  <c r="E670" i="3" s="1"/>
  <c r="AR63" i="1"/>
  <c r="AW181" i="1"/>
  <c r="AW254" i="1"/>
  <c r="AU184" i="1"/>
  <c r="AU257" i="1"/>
  <c r="AW151" i="1"/>
  <c r="AW224" i="1" s="1"/>
  <c r="AW143" i="1"/>
  <c r="AW249" i="1"/>
  <c r="AW176" i="1"/>
  <c r="AW253" i="1"/>
  <c r="AW180" i="1"/>
  <c r="AX171" i="1"/>
  <c r="BC210" i="1"/>
  <c r="BC285" i="1"/>
  <c r="AV88" i="1"/>
  <c r="AT88" i="1"/>
  <c r="AX244" i="1"/>
  <c r="AX165" i="1"/>
  <c r="AX238" i="1"/>
  <c r="AU245" i="1"/>
  <c r="AU172" i="1"/>
  <c r="AS270" i="1"/>
  <c r="AX139" i="1"/>
  <c r="AX136" i="1"/>
  <c r="AX143" i="1"/>
  <c r="E405" i="3"/>
  <c r="F400" i="3"/>
  <c r="F404" i="3"/>
  <c r="F402" i="3"/>
  <c r="AX149" i="1"/>
  <c r="AX222" i="1" s="1"/>
  <c r="D492" i="3"/>
  <c r="F491" i="3" s="1"/>
  <c r="AX201" i="1"/>
  <c r="AX276" i="1" s="1"/>
  <c r="AX137" i="1"/>
  <c r="AJ32" i="2"/>
  <c r="AJ33" i="2"/>
  <c r="AJ35" i="2"/>
  <c r="BB139" i="1"/>
  <c r="BB136" i="1"/>
  <c r="BB203" i="1" s="1"/>
  <c r="BB149" i="1"/>
  <c r="BB222" i="1" s="1"/>
  <c r="BB137" i="1"/>
  <c r="BB204" i="1" s="1"/>
  <c r="BB201" i="1"/>
  <c r="BB276" i="1" s="1"/>
  <c r="BB143" i="1"/>
  <c r="BB140" i="1"/>
  <c r="E448" i="3"/>
  <c r="F443" i="3"/>
  <c r="F445" i="3"/>
  <c r="F447" i="3"/>
  <c r="AJ76" i="2"/>
  <c r="AK58" i="2"/>
  <c r="AJ34" i="2"/>
  <c r="AJ41" i="2"/>
  <c r="AJ39" i="2"/>
  <c r="AJ37" i="2"/>
  <c r="AJ31" i="2"/>
  <c r="AJ58" i="2"/>
  <c r="AJ40" i="2"/>
  <c r="AZ201" i="1"/>
  <c r="AZ276" i="1" s="1"/>
  <c r="AZ149" i="1"/>
  <c r="AZ222" i="1" s="1"/>
  <c r="AZ143" i="1"/>
  <c r="AZ139" i="1"/>
  <c r="AZ137" i="1"/>
  <c r="AZ204" i="1" s="1"/>
  <c r="AZ140" i="1"/>
  <c r="AZ136" i="1"/>
  <c r="AZ203" i="1" s="1"/>
  <c r="AU247" i="1"/>
  <c r="AG26" i="2"/>
  <c r="AG24" i="2"/>
  <c r="AU136" i="1"/>
  <c r="AU203" i="1" s="1"/>
  <c r="AU201" i="1"/>
  <c r="AX157" i="1"/>
  <c r="AX207" i="1"/>
  <c r="AU140" i="1"/>
  <c r="AU157" i="1" s="1"/>
  <c r="AU88" i="1"/>
  <c r="AR27" i="1"/>
  <c r="AU139" i="1"/>
  <c r="AU206" i="1" s="1"/>
  <c r="AU137" i="1"/>
  <c r="AU204" i="1" s="1"/>
  <c r="AU149" i="1"/>
  <c r="AU222" i="1" s="1"/>
  <c r="AJ87" i="2"/>
  <c r="AJ91" i="2"/>
  <c r="AJ85" i="2"/>
  <c r="AJ108" i="2"/>
  <c r="AJ84" i="2"/>
  <c r="AJ93" i="2"/>
  <c r="AJ83" i="2"/>
  <c r="AJ89" i="2"/>
  <c r="AK108" i="2"/>
  <c r="AJ86" i="2"/>
  <c r="AJ92" i="2"/>
  <c r="AS132" i="1"/>
  <c r="AR259" i="1"/>
  <c r="AS76" i="1"/>
  <c r="AV76" i="1" s="1"/>
  <c r="AR248" i="1"/>
  <c r="AS65" i="1"/>
  <c r="AV65" i="1" s="1"/>
  <c r="AR77" i="1"/>
  <c r="AS199" i="1"/>
  <c r="AR45" i="1"/>
  <c r="AS69" i="1"/>
  <c r="AV69" i="1" s="1"/>
  <c r="E635" i="3"/>
  <c r="E636" i="3" s="1"/>
  <c r="D636" i="3"/>
  <c r="AR186" i="1"/>
  <c r="AR185" i="1"/>
  <c r="AS75" i="1"/>
  <c r="AV75" i="1" s="1"/>
  <c r="AS155" i="1"/>
  <c r="AS228" i="1" s="1"/>
  <c r="AI94" i="2"/>
  <c r="AI42" i="2"/>
  <c r="E626" i="3"/>
  <c r="E628" i="3"/>
  <c r="AG91" i="2"/>
  <c r="AH108" i="2"/>
  <c r="AG31" i="2"/>
  <c r="AH58" i="2"/>
  <c r="AS145" i="1"/>
  <c r="AS212" i="1" s="1"/>
  <c r="AS156" i="1"/>
  <c r="AS229" i="1" s="1"/>
  <c r="AS198" i="1"/>
  <c r="AS196" i="1"/>
  <c r="AS271" i="1"/>
  <c r="AG35" i="2"/>
  <c r="AG33" i="2"/>
  <c r="AG32" i="2"/>
  <c r="AG34" i="2"/>
  <c r="AG78" i="2"/>
  <c r="AG92" i="2"/>
  <c r="AG39" i="2"/>
  <c r="AG83" i="2"/>
  <c r="AG93" i="2"/>
  <c r="AG40" i="2"/>
  <c r="AG84" i="2"/>
  <c r="AG41" i="2"/>
  <c r="AG85" i="2"/>
  <c r="AG86" i="2"/>
  <c r="AG87" i="2"/>
  <c r="AR73" i="1"/>
  <c r="AR258" i="1"/>
  <c r="AR252" i="1"/>
  <c r="AR175" i="1"/>
  <c r="AR39" i="1"/>
  <c r="AR49" i="1"/>
  <c r="AR68" i="1"/>
  <c r="AR172" i="1"/>
  <c r="AR154" i="1"/>
  <c r="AR247" i="1"/>
  <c r="AR193" i="1"/>
  <c r="AR245" i="1"/>
  <c r="AR179" i="1"/>
  <c r="AE28" i="1"/>
  <c r="AE25" i="1"/>
  <c r="AE24" i="1"/>
  <c r="AE23" i="1"/>
  <c r="AE22" i="1"/>
  <c r="AE21" i="1"/>
  <c r="AE20" i="1"/>
  <c r="AE18" i="1"/>
  <c r="AE17" i="1"/>
  <c r="AE16" i="1"/>
  <c r="AE15" i="1"/>
  <c r="AE14" i="1"/>
  <c r="AE13" i="1"/>
  <c r="AE12" i="1"/>
  <c r="AE11" i="1"/>
  <c r="AE9" i="1"/>
  <c r="AE7" i="1"/>
  <c r="BA285" i="1" l="1"/>
  <c r="BA210" i="1"/>
  <c r="AU210" i="1"/>
  <c r="AR116" i="1"/>
  <c r="D676" i="3" s="1"/>
  <c r="AY285" i="1"/>
  <c r="AY210" i="1"/>
  <c r="D671" i="3"/>
  <c r="D680" i="3"/>
  <c r="D681" i="3" s="1"/>
  <c r="AX203" i="1"/>
  <c r="AX158" i="1"/>
  <c r="AX204" i="1"/>
  <c r="AX285" i="1"/>
  <c r="AR266" i="1"/>
  <c r="AW75" i="1"/>
  <c r="AW65" i="1"/>
  <c r="AR227" i="1"/>
  <c r="AR86" i="1"/>
  <c r="AR42" i="1"/>
  <c r="AW76" i="1"/>
  <c r="AR251" i="1"/>
  <c r="AR51" i="1"/>
  <c r="AU89" i="1" s="1"/>
  <c r="AR260" i="1"/>
  <c r="AW69" i="1"/>
  <c r="AW93" i="1" s="1"/>
  <c r="AW285" i="1"/>
  <c r="AW210" i="1"/>
  <c r="AW257" i="1"/>
  <c r="AW184" i="1"/>
  <c r="AV175" i="1"/>
  <c r="AV68" i="1"/>
  <c r="AV248" i="1"/>
  <c r="AV252" i="1"/>
  <c r="AV179" i="1"/>
  <c r="AV45" i="1"/>
  <c r="AV258" i="1"/>
  <c r="AV185" i="1"/>
  <c r="BB223" i="1"/>
  <c r="BB231" i="1"/>
  <c r="BB230" i="1"/>
  <c r="AV259" i="1"/>
  <c r="AV186" i="1"/>
  <c r="AM8" i="1"/>
  <c r="AG87" i="1"/>
  <c r="AU276" i="1"/>
  <c r="AU281" i="1" s="1"/>
  <c r="AX230" i="1"/>
  <c r="AX223" i="1"/>
  <c r="AX231" i="1"/>
  <c r="AX282" i="1"/>
  <c r="AZ231" i="1"/>
  <c r="AZ230" i="1"/>
  <c r="AZ223" i="1"/>
  <c r="AX210" i="1"/>
  <c r="E492" i="3"/>
  <c r="G489" i="3" s="1"/>
  <c r="AX206" i="1"/>
  <c r="AX150" i="1"/>
  <c r="F487" i="3"/>
  <c r="AS73" i="1"/>
  <c r="AT73" i="1" s="1"/>
  <c r="F489" i="3"/>
  <c r="G400" i="3"/>
  <c r="G402" i="3"/>
  <c r="G404" i="3"/>
  <c r="AJ42" i="2"/>
  <c r="BB157" i="1"/>
  <c r="BB207" i="1"/>
  <c r="BB285" i="1"/>
  <c r="BB210" i="1"/>
  <c r="BB282" i="1"/>
  <c r="BB281" i="1"/>
  <c r="BB278" i="1"/>
  <c r="BB279" i="1"/>
  <c r="BB150" i="1"/>
  <c r="G443" i="3"/>
  <c r="G445" i="3"/>
  <c r="G447" i="3"/>
  <c r="BB158" i="1"/>
  <c r="BB206" i="1"/>
  <c r="AZ278" i="1"/>
  <c r="AZ282" i="1"/>
  <c r="AZ279" i="1"/>
  <c r="AZ281" i="1"/>
  <c r="AZ150" i="1"/>
  <c r="AZ207" i="1"/>
  <c r="AZ157" i="1"/>
  <c r="AZ285" i="1"/>
  <c r="AZ210" i="1"/>
  <c r="AZ158" i="1"/>
  <c r="AZ206" i="1"/>
  <c r="AU150" i="1"/>
  <c r="AU158" i="1"/>
  <c r="AT75" i="1"/>
  <c r="AT69" i="1"/>
  <c r="AU207" i="1"/>
  <c r="AT65" i="1"/>
  <c r="AJ94" i="2"/>
  <c r="AU231" i="1"/>
  <c r="AU223" i="1"/>
  <c r="AU230" i="1"/>
  <c r="AR43" i="1"/>
  <c r="AR29" i="1"/>
  <c r="AS252" i="1"/>
  <c r="AS45" i="1"/>
  <c r="AS179" i="1"/>
  <c r="AR187" i="1"/>
  <c r="AS77" i="1"/>
  <c r="AV77" i="1" s="1"/>
  <c r="AT76" i="1"/>
  <c r="AS259" i="1"/>
  <c r="AS186" i="1"/>
  <c r="AS258" i="1"/>
  <c r="AS185" i="1"/>
  <c r="AS175" i="1"/>
  <c r="AS248" i="1"/>
  <c r="AS68" i="1"/>
  <c r="AG42" i="2"/>
  <c r="AG94" i="2"/>
  <c r="AR183" i="1"/>
  <c r="AR256" i="1"/>
  <c r="AR178" i="1"/>
  <c r="AR72" i="1"/>
  <c r="H65" i="1"/>
  <c r="AH50" i="1"/>
  <c r="AG50" i="1"/>
  <c r="AF50" i="1"/>
  <c r="AE50" i="1"/>
  <c r="AD50" i="1"/>
  <c r="AC50" i="1"/>
  <c r="AB50" i="1"/>
  <c r="Z50" i="1"/>
  <c r="Y50" i="1"/>
  <c r="X50" i="1"/>
  <c r="V50" i="1"/>
  <c r="U50" i="1"/>
  <c r="T50" i="1"/>
  <c r="G50" i="1"/>
  <c r="F50" i="1"/>
  <c r="E50" i="1"/>
  <c r="D50" i="1"/>
  <c r="C50" i="1"/>
  <c r="H50" i="1"/>
  <c r="D739" i="3"/>
  <c r="D741" i="3" s="1"/>
  <c r="D713" i="3"/>
  <c r="AF18" i="2"/>
  <c r="AR126" i="1" l="1"/>
  <c r="AR196" i="1" s="1"/>
  <c r="AR129" i="1"/>
  <c r="BA93" i="1"/>
  <c r="AR128" i="1"/>
  <c r="AR198" i="1" s="1"/>
  <c r="AR125" i="1"/>
  <c r="AR270" i="1" s="1"/>
  <c r="AY93" i="1"/>
  <c r="E680" i="3"/>
  <c r="AT89" i="1"/>
  <c r="AR55" i="1"/>
  <c r="AR53" i="1"/>
  <c r="AV89" i="1"/>
  <c r="AW92" i="1"/>
  <c r="AW89" i="1"/>
  <c r="AR274" i="1"/>
  <c r="AR161" i="1"/>
  <c r="AR96" i="1"/>
  <c r="AW77" i="1"/>
  <c r="AX52" i="1"/>
  <c r="AR182" i="1"/>
  <c r="AT175" i="1"/>
  <c r="AT179" i="1"/>
  <c r="AT258" i="1"/>
  <c r="AU76" i="1"/>
  <c r="AU259" i="1" s="1"/>
  <c r="AV73" i="1"/>
  <c r="AW73" i="1" s="1"/>
  <c r="AU282" i="1"/>
  <c r="AU278" i="1"/>
  <c r="AU279" i="1"/>
  <c r="AV260" i="1"/>
  <c r="AV187" i="1"/>
  <c r="AR32" i="1"/>
  <c r="AV92" i="1"/>
  <c r="AT92" i="1"/>
  <c r="AV72" i="1"/>
  <c r="AV251" i="1"/>
  <c r="AV178" i="1"/>
  <c r="AX278" i="1"/>
  <c r="AX281" i="1"/>
  <c r="AX279" i="1"/>
  <c r="G487" i="3"/>
  <c r="G491" i="3"/>
  <c r="AT45" i="1"/>
  <c r="AU69" i="1"/>
  <c r="AR132" i="1"/>
  <c r="AT252" i="1"/>
  <c r="AU92" i="1"/>
  <c r="AU75" i="1"/>
  <c r="AT185" i="1"/>
  <c r="AU65" i="1"/>
  <c r="AT68" i="1"/>
  <c r="AT178" i="1" s="1"/>
  <c r="AT248" i="1"/>
  <c r="AR155" i="1"/>
  <c r="AR199" i="1"/>
  <c r="AT259" i="1"/>
  <c r="AT186" i="1"/>
  <c r="AS183" i="1"/>
  <c r="AS256" i="1"/>
  <c r="AS72" i="1"/>
  <c r="AS178" i="1"/>
  <c r="AS251" i="1"/>
  <c r="AT77" i="1"/>
  <c r="AS260" i="1"/>
  <c r="AS187" i="1"/>
  <c r="AU73" i="1"/>
  <c r="AR255" i="1"/>
  <c r="AR78" i="1"/>
  <c r="AR273" i="1" l="1"/>
  <c r="AR287" i="1" s="1"/>
  <c r="AR271" i="1"/>
  <c r="AR195" i="1"/>
  <c r="BA152" i="1"/>
  <c r="BA225" i="1" s="1"/>
  <c r="BA142" i="1"/>
  <c r="AR156" i="1"/>
  <c r="AR229" i="1" s="1"/>
  <c r="AR145" i="1"/>
  <c r="AY152" i="1"/>
  <c r="AY225" i="1" s="1"/>
  <c r="AY142" i="1"/>
  <c r="AY284" i="1" s="1"/>
  <c r="AV256" i="1"/>
  <c r="AV183" i="1"/>
  <c r="AR228" i="1"/>
  <c r="AR134" i="1"/>
  <c r="AW252" i="1"/>
  <c r="AW179" i="1"/>
  <c r="AW45" i="1"/>
  <c r="AU77" i="1"/>
  <c r="AU260" i="1" s="1"/>
  <c r="AW258" i="1"/>
  <c r="AW185" i="1"/>
  <c r="AU186" i="1"/>
  <c r="AX93" i="1"/>
  <c r="BC93" i="1"/>
  <c r="AZ93" i="1"/>
  <c r="AZ152" i="1" s="1"/>
  <c r="AZ225" i="1" s="1"/>
  <c r="AV182" i="1"/>
  <c r="AV255" i="1"/>
  <c r="AV78" i="1"/>
  <c r="AU252" i="1"/>
  <c r="AU179" i="1"/>
  <c r="BB93" i="1"/>
  <c r="BB142" i="1" s="1"/>
  <c r="AU45" i="1"/>
  <c r="AU93" i="1"/>
  <c r="AU152" i="1" s="1"/>
  <c r="AU225" i="1" s="1"/>
  <c r="AT251" i="1"/>
  <c r="AU258" i="1"/>
  <c r="AU185" i="1"/>
  <c r="AU248" i="1"/>
  <c r="AU175" i="1"/>
  <c r="AU68" i="1"/>
  <c r="AT72" i="1"/>
  <c r="AT255" i="1" s="1"/>
  <c r="AU183" i="1"/>
  <c r="AU256" i="1"/>
  <c r="AT183" i="1"/>
  <c r="AT256" i="1"/>
  <c r="AR188" i="1"/>
  <c r="AR80" i="1"/>
  <c r="AS255" i="1"/>
  <c r="AS182" i="1"/>
  <c r="AS78" i="1"/>
  <c r="AT260" i="1"/>
  <c r="AT187" i="1"/>
  <c r="AR261" i="1"/>
  <c r="H107" i="2"/>
  <c r="H106" i="2"/>
  <c r="H105" i="2"/>
  <c r="H103" i="2"/>
  <c r="H102" i="2"/>
  <c r="H101" i="2"/>
  <c r="H100" i="2"/>
  <c r="H99" i="2"/>
  <c r="H98" i="2"/>
  <c r="H74" i="2"/>
  <c r="H76" i="2" s="1"/>
  <c r="H56" i="2"/>
  <c r="H55" i="2"/>
  <c r="H51" i="2"/>
  <c r="H50" i="2"/>
  <c r="H49" i="2"/>
  <c r="H48" i="2"/>
  <c r="H47" i="2"/>
  <c r="H46" i="2"/>
  <c r="H22" i="2"/>
  <c r="AI216" i="1"/>
  <c r="AI131" i="1"/>
  <c r="AI122" i="1"/>
  <c r="AI121" i="1"/>
  <c r="AI119" i="1"/>
  <c r="AI118" i="1"/>
  <c r="AI115" i="1"/>
  <c r="AI114" i="1"/>
  <c r="AI113" i="1"/>
  <c r="AI110" i="1"/>
  <c r="AI109" i="1"/>
  <c r="AI108" i="1"/>
  <c r="AI101" i="1"/>
  <c r="AI100" i="1"/>
  <c r="AI99" i="1"/>
  <c r="AI28" i="1"/>
  <c r="AI25" i="1"/>
  <c r="AI24" i="1"/>
  <c r="AI23" i="1"/>
  <c r="AI22" i="1"/>
  <c r="AI21" i="1"/>
  <c r="AI20" i="1"/>
  <c r="AI18" i="1"/>
  <c r="AI17" i="1"/>
  <c r="AI16" i="1"/>
  <c r="AI15" i="1"/>
  <c r="AI14" i="1"/>
  <c r="AI13" i="1"/>
  <c r="AI12" i="1"/>
  <c r="AI11" i="1"/>
  <c r="AI9" i="1"/>
  <c r="AI7" i="1"/>
  <c r="AQ8" i="1" s="1"/>
  <c r="AI236" i="1"/>
  <c r="AI235" i="1"/>
  <c r="AI220" i="1"/>
  <c r="AI163" i="1"/>
  <c r="AI162" i="1"/>
  <c r="AI147" i="1"/>
  <c r="AI48" i="1"/>
  <c r="AI63" i="1" s="1"/>
  <c r="AI86" i="1" s="1"/>
  <c r="H120" i="1"/>
  <c r="AI120" i="1" s="1"/>
  <c r="H98" i="1"/>
  <c r="AI98" i="1" s="1"/>
  <c r="G77" i="1"/>
  <c r="G76" i="1"/>
  <c r="G75" i="1"/>
  <c r="G74" i="1"/>
  <c r="G73" i="1"/>
  <c r="G71" i="1"/>
  <c r="G69" i="1"/>
  <c r="H69" i="1"/>
  <c r="G65" i="1"/>
  <c r="AM216" i="1" l="1"/>
  <c r="AM218" i="1" s="1"/>
  <c r="AI218" i="1"/>
  <c r="D716" i="3"/>
  <c r="D717" i="3" s="1"/>
  <c r="AI268" i="1"/>
  <c r="BA209" i="1"/>
  <c r="BA284" i="1"/>
  <c r="AR212" i="1"/>
  <c r="AY209" i="1"/>
  <c r="AU187" i="1"/>
  <c r="H24" i="2"/>
  <c r="J58" i="2"/>
  <c r="AR234" i="1"/>
  <c r="AW256" i="1"/>
  <c r="AW183" i="1"/>
  <c r="AW260" i="1"/>
  <c r="AW187" i="1"/>
  <c r="AW259" i="1"/>
  <c r="AW186" i="1"/>
  <c r="AZ142" i="1"/>
  <c r="AZ284" i="1" s="1"/>
  <c r="AW152" i="1"/>
  <c r="AW225" i="1" s="1"/>
  <c r="AW142" i="1"/>
  <c r="AW248" i="1"/>
  <c r="AW175" i="1"/>
  <c r="AW68" i="1"/>
  <c r="BB152" i="1"/>
  <c r="BB225" i="1" s="1"/>
  <c r="M257" i="1"/>
  <c r="M243" i="1"/>
  <c r="M249" i="1"/>
  <c r="M262" i="1"/>
  <c r="M250" i="1"/>
  <c r="M237" i="1"/>
  <c r="M254" i="1"/>
  <c r="M253" i="1"/>
  <c r="M247" i="1"/>
  <c r="M259" i="1"/>
  <c r="M258" i="1"/>
  <c r="M260" i="1"/>
  <c r="M248" i="1"/>
  <c r="M256" i="1"/>
  <c r="M252" i="1"/>
  <c r="M251" i="1"/>
  <c r="M255" i="1"/>
  <c r="M261" i="1"/>
  <c r="M264" i="1"/>
  <c r="M263" i="1"/>
  <c r="AQ40" i="1"/>
  <c r="AO40" i="1"/>
  <c r="AP40" i="1"/>
  <c r="AN40" i="1"/>
  <c r="BC152" i="1"/>
  <c r="BC142" i="1"/>
  <c r="AQ41" i="1"/>
  <c r="AO41" i="1"/>
  <c r="AP41" i="1"/>
  <c r="AN41" i="1"/>
  <c r="AV261" i="1"/>
  <c r="AV188" i="1"/>
  <c r="AX142" i="1"/>
  <c r="AX152" i="1"/>
  <c r="AX225" i="1" s="1"/>
  <c r="AU142" i="1"/>
  <c r="AU209" i="1" s="1"/>
  <c r="BB209" i="1"/>
  <c r="BB284" i="1"/>
  <c r="AT78" i="1"/>
  <c r="AT261" i="1" s="1"/>
  <c r="AT182" i="1"/>
  <c r="AU178" i="1"/>
  <c r="AU251" i="1"/>
  <c r="AU72" i="1"/>
  <c r="H40" i="2"/>
  <c r="H91" i="2"/>
  <c r="J108" i="2"/>
  <c r="AR190" i="1"/>
  <c r="AR81" i="1"/>
  <c r="AT40" i="1"/>
  <c r="AS40" i="1"/>
  <c r="AT41" i="1"/>
  <c r="AS41" i="1"/>
  <c r="AR263" i="1"/>
  <c r="AS80" i="1"/>
  <c r="AS81" i="1" s="1"/>
  <c r="AS191" i="1" s="1"/>
  <c r="AS261" i="1"/>
  <c r="AS188" i="1"/>
  <c r="AR103" i="1"/>
  <c r="AR40" i="1"/>
  <c r="AR41" i="1"/>
  <c r="H26" i="2"/>
  <c r="AI112" i="1"/>
  <c r="AI111" i="1" s="1"/>
  <c r="AI123" i="1"/>
  <c r="D714" i="3" s="1"/>
  <c r="D715" i="3" s="1"/>
  <c r="AI36" i="1"/>
  <c r="AI102" i="1"/>
  <c r="AI50" i="1"/>
  <c r="AI46" i="1" s="1"/>
  <c r="AI107" i="1"/>
  <c r="AI106" i="1" s="1"/>
  <c r="H78" i="2"/>
  <c r="AI164" i="1"/>
  <c r="AQ165" i="1" s="1"/>
  <c r="AI37" i="1"/>
  <c r="J695" i="3"/>
  <c r="H92" i="2"/>
  <c r="H82" i="2"/>
  <c r="H93" i="2"/>
  <c r="H85" i="2"/>
  <c r="H86" i="2"/>
  <c r="H31" i="2"/>
  <c r="H41" i="2"/>
  <c r="H33" i="2"/>
  <c r="H34" i="2"/>
  <c r="H30" i="2"/>
  <c r="H35" i="2"/>
  <c r="H32" i="2"/>
  <c r="H39" i="2"/>
  <c r="H83" i="2"/>
  <c r="H87" i="2"/>
  <c r="H84" i="2"/>
  <c r="AI35" i="1"/>
  <c r="AI38" i="1"/>
  <c r="AI161" i="1"/>
  <c r="AI96" i="1"/>
  <c r="AI134" i="1" s="1"/>
  <c r="AI234" i="1" s="1"/>
  <c r="AI87" i="1"/>
  <c r="AI148" i="1" s="1"/>
  <c r="AI19" i="1"/>
  <c r="M285" i="1" l="1"/>
  <c r="AR191" i="1"/>
  <c r="AZ209" i="1"/>
  <c r="AV80" i="1"/>
  <c r="AV81" i="1" s="1"/>
  <c r="AV191" i="1" s="1"/>
  <c r="AW251" i="1"/>
  <c r="AW178" i="1"/>
  <c r="AW72" i="1"/>
  <c r="AW284" i="1"/>
  <c r="AW209" i="1"/>
  <c r="M282" i="1"/>
  <c r="M281" i="1"/>
  <c r="M278" i="1"/>
  <c r="M279" i="1"/>
  <c r="M223" i="1"/>
  <c r="M231" i="1"/>
  <c r="M230" i="1"/>
  <c r="M245" i="1"/>
  <c r="BC209" i="1"/>
  <c r="BC284" i="1"/>
  <c r="AZ94" i="1"/>
  <c r="AZ153" i="1" s="1"/>
  <c r="AZ226" i="1" s="1"/>
  <c r="AX94" i="1"/>
  <c r="AX153" i="1" s="1"/>
  <c r="AX226" i="1" s="1"/>
  <c r="BC94" i="1"/>
  <c r="BC153" i="1" s="1"/>
  <c r="K250" i="1"/>
  <c r="K253" i="1"/>
  <c r="K258" i="1"/>
  <c r="K254" i="1"/>
  <c r="K247" i="1"/>
  <c r="K256" i="1"/>
  <c r="K259" i="1"/>
  <c r="K249" i="1"/>
  <c r="K237" i="1"/>
  <c r="K260" i="1"/>
  <c r="K257" i="1"/>
  <c r="K248" i="1"/>
  <c r="K262" i="1"/>
  <c r="K243" i="1"/>
  <c r="K252" i="1"/>
  <c r="K251" i="1"/>
  <c r="K255" i="1"/>
  <c r="K261" i="1"/>
  <c r="K263" i="1"/>
  <c r="K264" i="1"/>
  <c r="J518" i="3"/>
  <c r="E536" i="3" s="1"/>
  <c r="L243" i="1"/>
  <c r="N244" i="1" s="1"/>
  <c r="L250" i="1"/>
  <c r="L237" i="1"/>
  <c r="N238" i="1" s="1"/>
  <c r="L257" i="1"/>
  <c r="L249" i="1"/>
  <c r="L260" i="1"/>
  <c r="L247" i="1"/>
  <c r="L251" i="1"/>
  <c r="L258" i="1"/>
  <c r="L255" i="1"/>
  <c r="L259" i="1"/>
  <c r="L253" i="1"/>
  <c r="L254" i="1"/>
  <c r="L248" i="1"/>
  <c r="L252" i="1"/>
  <c r="L262" i="1"/>
  <c r="L256" i="1"/>
  <c r="L261" i="1"/>
  <c r="L263" i="1"/>
  <c r="L264" i="1"/>
  <c r="AU284" i="1"/>
  <c r="AX284" i="1"/>
  <c r="AX209" i="1"/>
  <c r="AT188" i="1"/>
  <c r="BB94" i="1"/>
  <c r="BB153" i="1" s="1"/>
  <c r="BB226" i="1" s="1"/>
  <c r="AI193" i="1"/>
  <c r="AI266" i="1" s="1"/>
  <c r="AU78" i="1"/>
  <c r="AU255" i="1"/>
  <c r="AU94" i="1"/>
  <c r="AU153" i="1" s="1"/>
  <c r="AU226" i="1" s="1"/>
  <c r="AU182" i="1"/>
  <c r="AR264" i="1"/>
  <c r="AR82" i="1"/>
  <c r="AR148" i="1"/>
  <c r="AR221" i="1" s="1"/>
  <c r="AI40" i="1"/>
  <c r="AS264" i="1"/>
  <c r="AT148" i="1"/>
  <c r="AT221" i="1" s="1"/>
  <c r="AT103" i="1"/>
  <c r="AT80" i="1"/>
  <c r="AS190" i="1"/>
  <c r="AS263" i="1"/>
  <c r="AS148" i="1"/>
  <c r="AS221" i="1" s="1"/>
  <c r="AS103" i="1"/>
  <c r="AI154" i="1"/>
  <c r="AI227" i="1" s="1"/>
  <c r="D724" i="3"/>
  <c r="D725" i="3" s="1"/>
  <c r="E723" i="3"/>
  <c r="AI116" i="1"/>
  <c r="D720" i="3" s="1"/>
  <c r="E708" i="3"/>
  <c r="E730" i="3"/>
  <c r="E734" i="3"/>
  <c r="E738" i="3"/>
  <c r="E731" i="3"/>
  <c r="E735" i="3"/>
  <c r="E729" i="3"/>
  <c r="E732" i="3"/>
  <c r="E736" i="3"/>
  <c r="E733" i="3"/>
  <c r="E737" i="3"/>
  <c r="E707" i="3"/>
  <c r="E711" i="3"/>
  <c r="E710" i="3"/>
  <c r="E705" i="3"/>
  <c r="E706" i="3"/>
  <c r="E709" i="3"/>
  <c r="E712" i="3"/>
  <c r="E714" i="3"/>
  <c r="E716" i="3"/>
  <c r="H94" i="2"/>
  <c r="H42" i="2"/>
  <c r="AI49" i="1"/>
  <c r="AI51" i="1" s="1"/>
  <c r="AQ52" i="1" s="1"/>
  <c r="AI39" i="1"/>
  <c r="AI27" i="1"/>
  <c r="AI103" i="1"/>
  <c r="L285" i="1" l="1"/>
  <c r="K285" i="1"/>
  <c r="AY94" i="1"/>
  <c r="AY153" i="1" s="1"/>
  <c r="AY226" i="1" s="1"/>
  <c r="BA94" i="1"/>
  <c r="BA153" i="1" s="1"/>
  <c r="BA226" i="1" s="1"/>
  <c r="AV263" i="1"/>
  <c r="AV264" i="1"/>
  <c r="AV190" i="1"/>
  <c r="AW94" i="1"/>
  <c r="AW153" i="1" s="1"/>
  <c r="AW226" i="1" s="1"/>
  <c r="AW80" i="1"/>
  <c r="M238" i="1"/>
  <c r="AW78" i="1"/>
  <c r="AW182" i="1"/>
  <c r="AW255" i="1"/>
  <c r="M244" i="1"/>
  <c r="L223" i="1"/>
  <c r="L231" i="1"/>
  <c r="L230" i="1"/>
  <c r="L281" i="1"/>
  <c r="L279" i="1"/>
  <c r="L282" i="1"/>
  <c r="L278" i="1"/>
  <c r="G531" i="3"/>
  <c r="G535" i="3"/>
  <c r="G533" i="3"/>
  <c r="K278" i="1"/>
  <c r="K282" i="1"/>
  <c r="K281" i="1"/>
  <c r="K279" i="1"/>
  <c r="K245" i="1"/>
  <c r="L245" i="1"/>
  <c r="K223" i="1"/>
  <c r="K231" i="1"/>
  <c r="K230" i="1"/>
  <c r="AU80" i="1"/>
  <c r="AU188" i="1"/>
  <c r="AU261" i="1"/>
  <c r="AI125" i="1"/>
  <c r="AI270" i="1" s="1"/>
  <c r="AR84" i="1"/>
  <c r="AI126" i="1"/>
  <c r="AI271" i="1" s="1"/>
  <c r="AS82" i="1"/>
  <c r="AI129" i="1"/>
  <c r="AI274" i="1" s="1"/>
  <c r="AI41" i="1"/>
  <c r="AI128" i="1"/>
  <c r="AI273" i="1" s="1"/>
  <c r="AI287" i="1" s="1"/>
  <c r="E724" i="3"/>
  <c r="AT263" i="1"/>
  <c r="AT190" i="1"/>
  <c r="AT81" i="1"/>
  <c r="E695" i="3"/>
  <c r="E681" i="3"/>
  <c r="E669" i="3"/>
  <c r="AI53" i="1"/>
  <c r="AI42" i="1"/>
  <c r="AI29" i="1"/>
  <c r="AI32" i="1" s="1"/>
  <c r="AI43" i="1"/>
  <c r="AW261" i="1" l="1"/>
  <c r="AW188" i="1"/>
  <c r="AW81" i="1"/>
  <c r="AI195" i="1"/>
  <c r="AS84" i="1"/>
  <c r="AV82" i="1"/>
  <c r="AU81" i="1"/>
  <c r="AU191" i="1" s="1"/>
  <c r="AU190" i="1"/>
  <c r="AU263" i="1"/>
  <c r="AI156" i="1"/>
  <c r="AI229" i="1" s="1"/>
  <c r="AI155" i="1"/>
  <c r="AI228" i="1" s="1"/>
  <c r="AI198" i="1"/>
  <c r="AI132" i="1"/>
  <c r="AI199" i="1"/>
  <c r="AI196" i="1"/>
  <c r="AI145" i="1"/>
  <c r="AT191" i="1"/>
  <c r="AT264" i="1"/>
  <c r="AT82" i="1"/>
  <c r="E671" i="3"/>
  <c r="E673" i="3"/>
  <c r="H77" i="1"/>
  <c r="H76" i="1"/>
  <c r="H75" i="1"/>
  <c r="H73" i="1"/>
  <c r="H71" i="1"/>
  <c r="H70" i="1"/>
  <c r="G262" i="1"/>
  <c r="G259" i="1"/>
  <c r="G258" i="1"/>
  <c r="G254" i="1"/>
  <c r="G253" i="1"/>
  <c r="G250" i="1"/>
  <c r="G249" i="1"/>
  <c r="G248" i="1"/>
  <c r="G243" i="1"/>
  <c r="G237" i="1"/>
  <c r="G236" i="1"/>
  <c r="G235" i="1"/>
  <c r="G220" i="1"/>
  <c r="G189" i="1"/>
  <c r="G186" i="1"/>
  <c r="G185" i="1"/>
  <c r="G184" i="1"/>
  <c r="G181" i="1"/>
  <c r="G180" i="1"/>
  <c r="G177" i="1"/>
  <c r="G176" i="1"/>
  <c r="G170" i="1"/>
  <c r="J171" i="1" s="1"/>
  <c r="G164" i="1"/>
  <c r="G163" i="1"/>
  <c r="G162" i="1"/>
  <c r="G161" i="1"/>
  <c r="G147" i="1"/>
  <c r="G134" i="1"/>
  <c r="G234" i="1" s="1"/>
  <c r="G123" i="1"/>
  <c r="G154" i="1" s="1"/>
  <c r="G227" i="1" s="1"/>
  <c r="G112" i="1"/>
  <c r="G111" i="1" s="1"/>
  <c r="G107" i="1"/>
  <c r="G106" i="1" s="1"/>
  <c r="G102" i="1"/>
  <c r="G98" i="1"/>
  <c r="AE98" i="1" s="1"/>
  <c r="G96" i="1"/>
  <c r="G91" i="1"/>
  <c r="G90" i="1"/>
  <c r="G201" i="1" s="1"/>
  <c r="G87" i="1"/>
  <c r="G148" i="1" s="1"/>
  <c r="G221" i="1" s="1"/>
  <c r="G86" i="1"/>
  <c r="G257" i="1"/>
  <c r="G179" i="1"/>
  <c r="G175" i="1"/>
  <c r="G64" i="1"/>
  <c r="G68" i="1" s="1"/>
  <c r="G63" i="1"/>
  <c r="G61" i="1"/>
  <c r="G58" i="1"/>
  <c r="G46" i="1"/>
  <c r="G48" i="1"/>
  <c r="G45" i="1"/>
  <c r="G38" i="1"/>
  <c r="G37" i="1"/>
  <c r="G36" i="1"/>
  <c r="G35" i="1"/>
  <c r="G19" i="1"/>
  <c r="G27" i="1" s="1"/>
  <c r="G8" i="1"/>
  <c r="G285" i="1" l="1"/>
  <c r="AV84" i="1"/>
  <c r="AW82" i="1"/>
  <c r="AW264" i="1"/>
  <c r="AW191" i="1"/>
  <c r="AW190" i="1"/>
  <c r="AW263" i="1"/>
  <c r="AU264" i="1"/>
  <c r="AU82" i="1"/>
  <c r="AU84" i="1" s="1"/>
  <c r="J165" i="1"/>
  <c r="AI212" i="1"/>
  <c r="AT84" i="1"/>
  <c r="G143" i="1"/>
  <c r="G193" i="1"/>
  <c r="G266" i="1" s="1"/>
  <c r="G174" i="1"/>
  <c r="G116" i="1"/>
  <c r="G126" i="1" s="1"/>
  <c r="G151" i="1"/>
  <c r="G224" i="1" s="1"/>
  <c r="G103" i="1"/>
  <c r="G149" i="1"/>
  <c r="G247" i="1"/>
  <c r="G40" i="1"/>
  <c r="G43" i="1"/>
  <c r="G42" i="1"/>
  <c r="G29" i="1"/>
  <c r="G32" i="1" s="1"/>
  <c r="G187" i="1"/>
  <c r="G260" i="1"/>
  <c r="G72" i="1"/>
  <c r="G178" i="1"/>
  <c r="G251" i="1"/>
  <c r="G49" i="1"/>
  <c r="G51" i="1" s="1"/>
  <c r="J52" i="1" s="1"/>
  <c r="G39" i="1"/>
  <c r="G183" i="1"/>
  <c r="G256" i="1"/>
  <c r="G88" i="1"/>
  <c r="G245" i="1"/>
  <c r="G93" i="1"/>
  <c r="G152" i="1" s="1"/>
  <c r="G225" i="1" s="1"/>
  <c r="G172" i="1"/>
  <c r="G252" i="1"/>
  <c r="D760" i="3"/>
  <c r="D782" i="3"/>
  <c r="D784" i="3" s="1"/>
  <c r="D757" i="3"/>
  <c r="AH216" i="1"/>
  <c r="AH218" i="1" s="1"/>
  <c r="AH215" i="1"/>
  <c r="AH98" i="1"/>
  <c r="AL215" i="1" l="1"/>
  <c r="AH217" i="1"/>
  <c r="G222" i="1"/>
  <c r="G223" i="1" s="1"/>
  <c r="AH268" i="1"/>
  <c r="AL216" i="1"/>
  <c r="AL218" i="1" s="1"/>
  <c r="AW84" i="1"/>
  <c r="G92" i="1"/>
  <c r="G210" i="1"/>
  <c r="G129" i="1"/>
  <c r="G155" i="1" s="1"/>
  <c r="G228" i="1" s="1"/>
  <c r="G125" i="1"/>
  <c r="G195" i="1" s="1"/>
  <c r="G128" i="1"/>
  <c r="G198" i="1" s="1"/>
  <c r="J740" i="3"/>
  <c r="J739" i="3"/>
  <c r="E776" i="3" s="1"/>
  <c r="AI215" i="1"/>
  <c r="AM215" i="1" s="1"/>
  <c r="G150" i="1"/>
  <c r="G41" i="1"/>
  <c r="G142" i="1"/>
  <c r="G182" i="1"/>
  <c r="G94" i="1"/>
  <c r="G153" i="1" s="1"/>
  <c r="G226" i="1" s="1"/>
  <c r="G255" i="1"/>
  <c r="G78" i="1"/>
  <c r="G53" i="1"/>
  <c r="G89" i="1"/>
  <c r="G55" i="1"/>
  <c r="G196" i="1"/>
  <c r="G271" i="1"/>
  <c r="G279" i="1" s="1"/>
  <c r="G137" i="1"/>
  <c r="G204" i="1" s="1"/>
  <c r="D761" i="3"/>
  <c r="AP217" i="1" l="1"/>
  <c r="AP222" i="1" s="1"/>
  <c r="AP227" i="1"/>
  <c r="AP228" i="1"/>
  <c r="AP276" i="1"/>
  <c r="G230" i="1"/>
  <c r="AI217" i="1"/>
  <c r="AI221" i="1" s="1"/>
  <c r="AO217" i="1"/>
  <c r="AN217" i="1"/>
  <c r="AM217" i="1"/>
  <c r="AO228" i="1"/>
  <c r="AO227" i="1"/>
  <c r="G136" i="1"/>
  <c r="G203" i="1" s="1"/>
  <c r="G274" i="1"/>
  <c r="G282" i="1" s="1"/>
  <c r="I215" i="1"/>
  <c r="I217" i="1" s="1"/>
  <c r="G199" i="1"/>
  <c r="J215" i="1"/>
  <c r="J217" i="1" s="1"/>
  <c r="H215" i="1"/>
  <c r="H217" i="1" s="1"/>
  <c r="G270" i="1"/>
  <c r="G278" i="1" s="1"/>
  <c r="G132" i="1"/>
  <c r="G140" i="1"/>
  <c r="G207" i="1" s="1"/>
  <c r="G145" i="1"/>
  <c r="G273" i="1"/>
  <c r="G156" i="1"/>
  <c r="G229" i="1" s="1"/>
  <c r="G231" i="1" s="1"/>
  <c r="G139" i="1"/>
  <c r="G158" i="1" s="1"/>
  <c r="E754" i="3"/>
  <c r="E749" i="3"/>
  <c r="E780" i="3"/>
  <c r="E753" i="3"/>
  <c r="E751" i="3"/>
  <c r="E778" i="3"/>
  <c r="E775" i="3"/>
  <c r="E767" i="3"/>
  <c r="E750" i="3"/>
  <c r="E777" i="3"/>
  <c r="J696" i="3"/>
  <c r="AI237" i="1"/>
  <c r="AQ238" i="1" s="1"/>
  <c r="E760" i="3"/>
  <c r="E755" i="3"/>
  <c r="E781" i="3"/>
  <c r="E756" i="3"/>
  <c r="E779" i="3"/>
  <c r="E773" i="3"/>
  <c r="G80" i="1"/>
  <c r="E725" i="3"/>
  <c r="E713" i="3"/>
  <c r="E717" i="3" s="1"/>
  <c r="E739" i="3"/>
  <c r="G209" i="1"/>
  <c r="G284" i="1"/>
  <c r="G261" i="1"/>
  <c r="G188" i="1"/>
  <c r="AH237" i="1"/>
  <c r="AH236" i="1"/>
  <c r="AH235" i="1"/>
  <c r="AH220" i="1"/>
  <c r="AH164" i="1"/>
  <c r="AH163" i="1"/>
  <c r="AH162" i="1"/>
  <c r="AH147" i="1"/>
  <c r="AH123" i="1"/>
  <c r="AH112" i="1"/>
  <c r="AH111" i="1" s="1"/>
  <c r="AH107" i="1"/>
  <c r="AH106" i="1" s="1"/>
  <c r="AH102" i="1"/>
  <c r="AH46" i="1"/>
  <c r="AH48" i="1"/>
  <c r="AH63" i="1" s="1"/>
  <c r="AH86" i="1" s="1"/>
  <c r="AH38" i="1"/>
  <c r="AH37" i="1"/>
  <c r="AH36" i="1"/>
  <c r="AH35" i="1"/>
  <c r="AH19" i="1"/>
  <c r="AH8" i="1"/>
  <c r="AP230" i="1" l="1"/>
  <c r="J224" i="1"/>
  <c r="J222" i="1"/>
  <c r="J221" i="1"/>
  <c r="J225" i="1"/>
  <c r="J226" i="1"/>
  <c r="AP281" i="1"/>
  <c r="AP282" i="1"/>
  <c r="AP278" i="1"/>
  <c r="AP279" i="1"/>
  <c r="AP223" i="1"/>
  <c r="AP231" i="1"/>
  <c r="I222" i="1"/>
  <c r="I226" i="1"/>
  <c r="I221" i="1"/>
  <c r="I224" i="1"/>
  <c r="I225" i="1"/>
  <c r="G281" i="1"/>
  <c r="G287" i="1"/>
  <c r="AP238" i="1"/>
  <c r="AV238" i="1"/>
  <c r="AT238" i="1"/>
  <c r="AP165" i="1"/>
  <c r="AV165" i="1"/>
  <c r="AT165" i="1"/>
  <c r="AO88" i="1"/>
  <c r="AS88" i="1"/>
  <c r="G212" i="1"/>
  <c r="I243" i="1"/>
  <c r="I237" i="1"/>
  <c r="I252" i="1"/>
  <c r="I260" i="1"/>
  <c r="I256" i="1"/>
  <c r="I248" i="1"/>
  <c r="I250" i="1"/>
  <c r="I247" i="1"/>
  <c r="I258" i="1"/>
  <c r="I262" i="1"/>
  <c r="I253" i="1"/>
  <c r="I257" i="1"/>
  <c r="I254" i="1"/>
  <c r="I249" i="1"/>
  <c r="I259" i="1"/>
  <c r="I251" i="1"/>
  <c r="I255" i="1"/>
  <c r="I261" i="1"/>
  <c r="I263" i="1"/>
  <c r="I264" i="1"/>
  <c r="G157" i="1"/>
  <c r="J257" i="1"/>
  <c r="J249" i="1"/>
  <c r="J256" i="1"/>
  <c r="J248" i="1"/>
  <c r="J262" i="1"/>
  <c r="J253" i="1"/>
  <c r="J243" i="1"/>
  <c r="L244" i="1" s="1"/>
  <c r="J260" i="1"/>
  <c r="J252" i="1"/>
  <c r="J237" i="1"/>
  <c r="L238" i="1" s="1"/>
  <c r="J259" i="1"/>
  <c r="J258" i="1"/>
  <c r="J250" i="1"/>
  <c r="J254" i="1"/>
  <c r="J251" i="1"/>
  <c r="J247" i="1"/>
  <c r="J261" i="1"/>
  <c r="J255" i="1"/>
  <c r="J263" i="1"/>
  <c r="J264" i="1"/>
  <c r="G206" i="1"/>
  <c r="AH39" i="1"/>
  <c r="E715" i="3"/>
  <c r="AH154" i="1"/>
  <c r="AH227" i="1" s="1"/>
  <c r="D758" i="3"/>
  <c r="G190" i="1"/>
  <c r="G263" i="1"/>
  <c r="G81" i="1"/>
  <c r="AH116" i="1"/>
  <c r="AH27" i="1"/>
  <c r="AH43" i="1" s="1"/>
  <c r="AH49" i="1"/>
  <c r="AH51" i="1" s="1"/>
  <c r="AH96" i="1"/>
  <c r="AH134" i="1" s="1"/>
  <c r="AH234" i="1" s="1"/>
  <c r="AH161" i="1"/>
  <c r="AH193" i="1"/>
  <c r="AH266" i="1" s="1"/>
  <c r="AG98" i="1"/>
  <c r="I285" i="1" l="1"/>
  <c r="J285" i="1"/>
  <c r="AO89" i="1"/>
  <c r="AP52" i="1"/>
  <c r="AV52" i="1"/>
  <c r="AT52" i="1"/>
  <c r="AS89" i="1"/>
  <c r="J244" i="1"/>
  <c r="K244" i="1"/>
  <c r="J238" i="1"/>
  <c r="K238" i="1"/>
  <c r="I281" i="1"/>
  <c r="I278" i="1"/>
  <c r="I282" i="1"/>
  <c r="I279" i="1"/>
  <c r="I245" i="1"/>
  <c r="I223" i="1"/>
  <c r="I231" i="1"/>
  <c r="I230" i="1"/>
  <c r="J282" i="1"/>
  <c r="J279" i="1"/>
  <c r="J278" i="1"/>
  <c r="J281" i="1"/>
  <c r="J223" i="1"/>
  <c r="J230" i="1"/>
  <c r="J231" i="1"/>
  <c r="J245" i="1"/>
  <c r="AH53" i="1"/>
  <c r="AH129" i="1"/>
  <c r="AH132" i="1" s="1"/>
  <c r="D764" i="3"/>
  <c r="G191" i="1"/>
  <c r="G264" i="1"/>
  <c r="E758" i="3"/>
  <c r="D759" i="3"/>
  <c r="D768" i="3"/>
  <c r="AH128" i="1"/>
  <c r="AH145" i="1" s="1"/>
  <c r="AH125" i="1"/>
  <c r="AH270" i="1" s="1"/>
  <c r="AH126" i="1"/>
  <c r="AH271" i="1" s="1"/>
  <c r="AH29" i="1"/>
  <c r="AH42" i="1"/>
  <c r="AH32" i="1" l="1"/>
  <c r="AO92" i="1"/>
  <c r="AS92" i="1"/>
  <c r="AH199" i="1"/>
  <c r="AH155" i="1"/>
  <c r="AH228" i="1" s="1"/>
  <c r="AH274" i="1"/>
  <c r="AH195" i="1"/>
  <c r="E768" i="3"/>
  <c r="D769" i="3"/>
  <c r="AH198" i="1"/>
  <c r="AH156" i="1"/>
  <c r="AH229" i="1" s="1"/>
  <c r="AH273" i="1"/>
  <c r="AH287" i="1" s="1"/>
  <c r="AH196" i="1"/>
  <c r="AH212" i="1"/>
  <c r="D802" i="3"/>
  <c r="D799" i="3"/>
  <c r="J782" i="3"/>
  <c r="J781" i="3"/>
  <c r="D824" i="3"/>
  <c r="D826" i="3" s="1"/>
  <c r="AD73" i="2"/>
  <c r="AD107" i="2" s="1"/>
  <c r="AD72" i="2"/>
  <c r="AD71" i="2"/>
  <c r="AD67" i="2"/>
  <c r="AD66" i="2"/>
  <c r="AD65" i="2"/>
  <c r="AD64" i="2"/>
  <c r="AD63" i="2"/>
  <c r="AD62" i="2"/>
  <c r="AD20" i="2"/>
  <c r="AD19" i="2"/>
  <c r="AD15" i="2"/>
  <c r="AD14" i="2"/>
  <c r="AD13" i="2"/>
  <c r="AD12" i="2"/>
  <c r="AD11" i="2"/>
  <c r="AD10" i="2"/>
  <c r="AD21" i="2"/>
  <c r="AG79" i="1"/>
  <c r="AG75" i="1"/>
  <c r="AG71" i="1"/>
  <c r="AG70" i="1"/>
  <c r="AG67" i="1"/>
  <c r="AG66" i="1"/>
  <c r="AG59" i="1"/>
  <c r="AG237" i="1"/>
  <c r="AG236" i="1"/>
  <c r="AG235" i="1"/>
  <c r="AG220" i="1"/>
  <c r="AG164" i="1"/>
  <c r="AG163" i="1"/>
  <c r="AG162" i="1"/>
  <c r="AG147" i="1"/>
  <c r="AG123" i="1"/>
  <c r="AG193" i="1" s="1"/>
  <c r="AG266" i="1" s="1"/>
  <c r="AG112" i="1"/>
  <c r="AG111" i="1" s="1"/>
  <c r="AG107" i="1"/>
  <c r="AG106" i="1" s="1"/>
  <c r="AG102" i="1"/>
  <c r="AG74" i="1"/>
  <c r="AG46" i="1"/>
  <c r="AG48" i="1"/>
  <c r="AG63" i="1" s="1"/>
  <c r="AG86" i="1" s="1"/>
  <c r="AG96" i="1" s="1"/>
  <c r="AG134" i="1" s="1"/>
  <c r="AG234" i="1" s="1"/>
  <c r="AG38" i="1"/>
  <c r="AG37" i="1"/>
  <c r="AG36" i="1"/>
  <c r="AG35" i="1"/>
  <c r="AG19" i="1"/>
  <c r="AG8" i="1"/>
  <c r="AO238" i="1" l="1"/>
  <c r="AS238" i="1"/>
  <c r="AR88" i="1"/>
  <c r="AN88" i="1"/>
  <c r="AO60" i="1"/>
  <c r="AS60" i="1"/>
  <c r="AO165" i="1"/>
  <c r="AS165" i="1"/>
  <c r="AE21" i="2"/>
  <c r="AE20" i="2"/>
  <c r="AF20" i="2" s="1"/>
  <c r="AE72" i="2"/>
  <c r="AE63" i="2"/>
  <c r="AE73" i="2"/>
  <c r="AE13" i="2"/>
  <c r="AE65" i="2"/>
  <c r="AE62" i="2"/>
  <c r="AE14" i="2"/>
  <c r="AE66" i="2"/>
  <c r="AH75" i="1"/>
  <c r="AI75" i="1" s="1"/>
  <c r="AH79" i="1"/>
  <c r="AI79" i="1" s="1"/>
  <c r="AH59" i="1"/>
  <c r="AH66" i="1"/>
  <c r="AI66" i="1" s="1"/>
  <c r="AH67" i="1"/>
  <c r="AH74" i="1"/>
  <c r="AI74" i="1" s="1"/>
  <c r="AH70" i="1"/>
  <c r="AI70" i="1" s="1"/>
  <c r="AH71" i="1"/>
  <c r="AI71" i="1" s="1"/>
  <c r="AD99" i="2"/>
  <c r="AD106" i="2"/>
  <c r="E821" i="3"/>
  <c r="AD101" i="2"/>
  <c r="AD51" i="2"/>
  <c r="AE15" i="2"/>
  <c r="AD105" i="2"/>
  <c r="AE71" i="2"/>
  <c r="AD56" i="2"/>
  <c r="AD47" i="2"/>
  <c r="AE11" i="2"/>
  <c r="AD102" i="2"/>
  <c r="AD103" i="2"/>
  <c r="AE67" i="2"/>
  <c r="AD55" i="2"/>
  <c r="AE19" i="2"/>
  <c r="AD46" i="2"/>
  <c r="AE10" i="2"/>
  <c r="AD98" i="2"/>
  <c r="AD48" i="2"/>
  <c r="AE12" i="2"/>
  <c r="AD100" i="2"/>
  <c r="AE64" i="2"/>
  <c r="AG249" i="1"/>
  <c r="AG257" i="1"/>
  <c r="AG250" i="1"/>
  <c r="AG39" i="1"/>
  <c r="AG253" i="1"/>
  <c r="AG181" i="1"/>
  <c r="AG262" i="1"/>
  <c r="AG258" i="1"/>
  <c r="D800" i="3"/>
  <c r="D810" i="3" s="1"/>
  <c r="D811" i="3" s="1"/>
  <c r="E792" i="3"/>
  <c r="E797" i="3"/>
  <c r="E802" i="3"/>
  <c r="E818" i="3"/>
  <c r="E822" i="3"/>
  <c r="E793" i="3"/>
  <c r="E798" i="3"/>
  <c r="E819" i="3"/>
  <c r="E823" i="3"/>
  <c r="E795" i="3"/>
  <c r="E815" i="3"/>
  <c r="E820" i="3"/>
  <c r="E791" i="3"/>
  <c r="E796" i="3"/>
  <c r="E817" i="3"/>
  <c r="D803" i="3"/>
  <c r="AD22" i="2"/>
  <c r="AD24" i="2" s="1"/>
  <c r="AD49" i="2"/>
  <c r="AD50" i="2"/>
  <c r="AD74" i="2"/>
  <c r="AD76" i="2" s="1"/>
  <c r="AG116" i="1"/>
  <c r="D806" i="3" s="1"/>
  <c r="AG185" i="1"/>
  <c r="AG254" i="1"/>
  <c r="AG154" i="1"/>
  <c r="AG227" i="1" s="1"/>
  <c r="AG177" i="1"/>
  <c r="AG180" i="1"/>
  <c r="AG189" i="1"/>
  <c r="AG176" i="1"/>
  <c r="AG184" i="1"/>
  <c r="AG170" i="1"/>
  <c r="AG64" i="1"/>
  <c r="AG27" i="1"/>
  <c r="AG49" i="1"/>
  <c r="AG51" i="1" s="1"/>
  <c r="AG161" i="1"/>
  <c r="AG61" i="1"/>
  <c r="AG243" i="1"/>
  <c r="J823" i="3"/>
  <c r="D844" i="3"/>
  <c r="D866" i="3"/>
  <c r="D868" i="3" s="1"/>
  <c r="D841" i="3"/>
  <c r="AO244" i="1" l="1"/>
  <c r="AS244" i="1"/>
  <c r="AO90" i="1"/>
  <c r="AP60" i="1"/>
  <c r="AV60" i="1"/>
  <c r="AN90" i="1"/>
  <c r="AR90" i="1"/>
  <c r="AT60" i="1"/>
  <c r="AS90" i="1"/>
  <c r="AO52" i="1"/>
  <c r="AS52" i="1"/>
  <c r="AN89" i="1"/>
  <c r="AR89" i="1"/>
  <c r="AO171" i="1"/>
  <c r="AS171" i="1"/>
  <c r="AH243" i="1"/>
  <c r="AH61" i="1"/>
  <c r="AG56" i="2"/>
  <c r="AE101" i="2"/>
  <c r="AF10" i="2"/>
  <c r="AF73" i="2"/>
  <c r="AE99" i="2"/>
  <c r="AF11" i="2"/>
  <c r="AF19" i="2"/>
  <c r="AE105" i="2"/>
  <c r="AF72" i="2"/>
  <c r="AF64" i="2"/>
  <c r="AE102" i="2"/>
  <c r="AF67" i="2"/>
  <c r="AF15" i="2"/>
  <c r="AE56" i="2"/>
  <c r="AF13" i="2"/>
  <c r="AF12" i="2"/>
  <c r="AF62" i="2"/>
  <c r="AF21" i="2"/>
  <c r="AE49" i="2"/>
  <c r="AF71" i="2"/>
  <c r="AE50" i="2"/>
  <c r="AF14" i="2"/>
  <c r="AF66" i="2"/>
  <c r="AF63" i="2"/>
  <c r="AF65" i="2"/>
  <c r="AE98" i="2"/>
  <c r="AE107" i="2"/>
  <c r="AI59" i="1"/>
  <c r="AQ60" i="1" s="1"/>
  <c r="AF56" i="2"/>
  <c r="AE106" i="2"/>
  <c r="AH64" i="1"/>
  <c r="AH174" i="1" s="1"/>
  <c r="AH170" i="1"/>
  <c r="AI67" i="1"/>
  <c r="AI249" i="1"/>
  <c r="AI176" i="1"/>
  <c r="AI180" i="1"/>
  <c r="AI253" i="1"/>
  <c r="AI181" i="1"/>
  <c r="AI254" i="1"/>
  <c r="AI257" i="1"/>
  <c r="AI184" i="1"/>
  <c r="AI262" i="1"/>
  <c r="AI189" i="1"/>
  <c r="AI258" i="1"/>
  <c r="AI185" i="1"/>
  <c r="AH55" i="1"/>
  <c r="AE74" i="2"/>
  <c r="E844" i="3"/>
  <c r="E782" i="3"/>
  <c r="E757" i="3"/>
  <c r="AE46" i="2"/>
  <c r="AE22" i="2"/>
  <c r="AE47" i="2"/>
  <c r="AE103" i="2"/>
  <c r="AE100" i="2"/>
  <c r="AE48" i="2"/>
  <c r="AE55" i="2"/>
  <c r="AE51" i="2"/>
  <c r="AH181" i="1"/>
  <c r="AH254" i="1"/>
  <c r="AH257" i="1"/>
  <c r="AH184" i="1"/>
  <c r="AH258" i="1"/>
  <c r="AH185" i="1"/>
  <c r="AH189" i="1"/>
  <c r="AH262" i="1"/>
  <c r="AG125" i="1"/>
  <c r="AG270" i="1" s="1"/>
  <c r="AH250" i="1"/>
  <c r="AH177" i="1"/>
  <c r="AG126" i="1"/>
  <c r="AG196" i="1" s="1"/>
  <c r="E800" i="3"/>
  <c r="E810" i="3"/>
  <c r="D801" i="3"/>
  <c r="AH253" i="1"/>
  <c r="AH180" i="1"/>
  <c r="AH249" i="1"/>
  <c r="AH176" i="1"/>
  <c r="AG128" i="1"/>
  <c r="AG156" i="1" s="1"/>
  <c r="AG229" i="1" s="1"/>
  <c r="AG245" i="1"/>
  <c r="AG129" i="1"/>
  <c r="AG132" i="1" s="1"/>
  <c r="AG172" i="1"/>
  <c r="E799" i="3"/>
  <c r="E840" i="3"/>
  <c r="AD92" i="2"/>
  <c r="AD91" i="2"/>
  <c r="AD86" i="2"/>
  <c r="AD85" i="2"/>
  <c r="AD84" i="2"/>
  <c r="AD83" i="2"/>
  <c r="AD87" i="2"/>
  <c r="AD82" i="2"/>
  <c r="AD78" i="2"/>
  <c r="AD39" i="2"/>
  <c r="AD31" i="2"/>
  <c r="AD30" i="2"/>
  <c r="AD26" i="2"/>
  <c r="AD41" i="2"/>
  <c r="AD40" i="2"/>
  <c r="AD35" i="2"/>
  <c r="AD33" i="2"/>
  <c r="AD32" i="2"/>
  <c r="AD93" i="2"/>
  <c r="AD34" i="2"/>
  <c r="AG43" i="1"/>
  <c r="AG42" i="1"/>
  <c r="AG29" i="1"/>
  <c r="AG174" i="1"/>
  <c r="AG247" i="1"/>
  <c r="AG53" i="1"/>
  <c r="AG55" i="1"/>
  <c r="E857" i="3"/>
  <c r="E835" i="3"/>
  <c r="E837" i="3"/>
  <c r="E863" i="3"/>
  <c r="E860" i="3"/>
  <c r="E838" i="3"/>
  <c r="E864" i="3"/>
  <c r="E833" i="3"/>
  <c r="E862" i="3"/>
  <c r="E839" i="3"/>
  <c r="E865" i="3"/>
  <c r="E859" i="3"/>
  <c r="E861" i="3"/>
  <c r="E834" i="3"/>
  <c r="D845" i="3"/>
  <c r="AV244" i="1" l="1"/>
  <c r="AP244" i="1"/>
  <c r="AT244" i="1"/>
  <c r="AN201" i="1"/>
  <c r="AN276" i="1" s="1"/>
  <c r="AN149" i="1"/>
  <c r="AN222" i="1" s="1"/>
  <c r="AN137" i="1"/>
  <c r="AN204" i="1" s="1"/>
  <c r="AN136" i="1"/>
  <c r="AN203" i="1" s="1"/>
  <c r="AN139" i="1"/>
  <c r="AN140" i="1"/>
  <c r="AO201" i="1"/>
  <c r="AO276" i="1" s="1"/>
  <c r="AO149" i="1"/>
  <c r="AO222" i="1" s="1"/>
  <c r="AO140" i="1"/>
  <c r="AO137" i="1"/>
  <c r="AO204" i="1" s="1"/>
  <c r="AO139" i="1"/>
  <c r="AO136" i="1"/>
  <c r="AO203" i="1" s="1"/>
  <c r="AN91" i="1"/>
  <c r="AN151" i="1" s="1"/>
  <c r="AN224" i="1" s="1"/>
  <c r="AP91" i="1"/>
  <c r="AO91" i="1"/>
  <c r="AO151" i="1" s="1"/>
  <c r="AO224" i="1" s="1"/>
  <c r="AV91" i="1"/>
  <c r="AG32" i="1"/>
  <c r="AN92" i="1"/>
  <c r="AR92" i="1"/>
  <c r="AP171" i="1"/>
  <c r="AV171" i="1"/>
  <c r="AT171" i="1"/>
  <c r="AE108" i="2"/>
  <c r="AE76" i="2"/>
  <c r="AE35" i="2"/>
  <c r="AE24" i="2"/>
  <c r="AI243" i="1"/>
  <c r="AQ244" i="1" s="1"/>
  <c r="AH245" i="1"/>
  <c r="AI170" i="1"/>
  <c r="AQ171" i="1" s="1"/>
  <c r="AH172" i="1"/>
  <c r="AI55" i="1"/>
  <c r="AI90" i="1"/>
  <c r="AI201" i="1" s="1"/>
  <c r="AI91" i="1"/>
  <c r="AI151" i="1" s="1"/>
  <c r="AI224" i="1" s="1"/>
  <c r="AT91" i="1"/>
  <c r="AT151" i="1" s="1"/>
  <c r="AT224" i="1" s="1"/>
  <c r="AS91" i="1"/>
  <c r="AS151" i="1" s="1"/>
  <c r="AS224" i="1" s="1"/>
  <c r="AG51" i="2"/>
  <c r="AG105" i="2"/>
  <c r="AG103" i="2"/>
  <c r="AG107" i="2"/>
  <c r="AF102" i="2"/>
  <c r="AG46" i="2"/>
  <c r="AG49" i="2"/>
  <c r="AG50" i="2"/>
  <c r="AG100" i="2"/>
  <c r="AG47" i="2"/>
  <c r="AG98" i="2"/>
  <c r="AG106" i="2"/>
  <c r="AG55" i="2"/>
  <c r="AG48" i="2"/>
  <c r="AF100" i="2"/>
  <c r="AF48" i="2"/>
  <c r="AF107" i="2"/>
  <c r="AF55" i="2"/>
  <c r="AF46" i="2"/>
  <c r="AF51" i="2"/>
  <c r="AF49" i="2"/>
  <c r="AF47" i="2"/>
  <c r="AF105" i="2"/>
  <c r="AF103" i="2"/>
  <c r="AF106" i="2"/>
  <c r="AF98" i="2"/>
  <c r="AF22" i="2"/>
  <c r="AG102" i="2"/>
  <c r="AE92" i="2"/>
  <c r="AE85" i="2"/>
  <c r="AE83" i="2"/>
  <c r="AE87" i="2"/>
  <c r="AE86" i="2"/>
  <c r="AE84" i="2"/>
  <c r="AE91" i="2"/>
  <c r="AF101" i="2"/>
  <c r="AG101" i="2"/>
  <c r="AF50" i="2"/>
  <c r="AF74" i="2"/>
  <c r="AG99" i="2"/>
  <c r="AI61" i="1"/>
  <c r="AI64" i="1"/>
  <c r="AI247" i="1" s="1"/>
  <c r="AF99" i="2"/>
  <c r="AH247" i="1"/>
  <c r="AR91" i="1"/>
  <c r="AE82" i="2"/>
  <c r="AI177" i="1"/>
  <c r="AE93" i="2"/>
  <c r="D674" i="3"/>
  <c r="AE78" i="2"/>
  <c r="AI250" i="1"/>
  <c r="AE30" i="2"/>
  <c r="E759" i="3"/>
  <c r="E761" i="3"/>
  <c r="AE33" i="2"/>
  <c r="AE58" i="2"/>
  <c r="AE26" i="2"/>
  <c r="AE34" i="2"/>
  <c r="AE41" i="2"/>
  <c r="AE40" i="2"/>
  <c r="AE39" i="2"/>
  <c r="AE31" i="2"/>
  <c r="AE32" i="2"/>
  <c r="AG198" i="1"/>
  <c r="AG271" i="1"/>
  <c r="AG195" i="1"/>
  <c r="AG273" i="1"/>
  <c r="AG287" i="1" s="1"/>
  <c r="AG145" i="1"/>
  <c r="AG155" i="1"/>
  <c r="AG228" i="1" s="1"/>
  <c r="AG199" i="1"/>
  <c r="AG274" i="1"/>
  <c r="E824" i="3"/>
  <c r="AD42" i="2"/>
  <c r="AD94" i="2"/>
  <c r="AC74" i="2"/>
  <c r="AC22" i="2"/>
  <c r="AF8" i="1"/>
  <c r="AF102" i="1"/>
  <c r="AF98" i="1"/>
  <c r="AF77" i="1"/>
  <c r="AF76" i="1"/>
  <c r="AF73" i="1"/>
  <c r="AF69" i="1"/>
  <c r="AF65" i="1"/>
  <c r="AF262" i="1"/>
  <c r="AF258" i="1"/>
  <c r="AF257" i="1"/>
  <c r="AF254" i="1"/>
  <c r="AF253" i="1"/>
  <c r="AF250" i="1"/>
  <c r="AF249" i="1"/>
  <c r="AF243" i="1"/>
  <c r="AF237" i="1"/>
  <c r="AF236" i="1"/>
  <c r="AF235" i="1"/>
  <c r="AF220" i="1"/>
  <c r="AF189" i="1"/>
  <c r="AF185" i="1"/>
  <c r="AF184" i="1"/>
  <c r="AF181" i="1"/>
  <c r="AF180" i="1"/>
  <c r="AF177" i="1"/>
  <c r="AF176" i="1"/>
  <c r="AF170" i="1"/>
  <c r="AF164" i="1"/>
  <c r="AF163" i="1"/>
  <c r="AF162" i="1"/>
  <c r="AF147" i="1"/>
  <c r="AF123" i="1"/>
  <c r="AF112" i="1"/>
  <c r="AF111" i="1" s="1"/>
  <c r="AF107" i="1"/>
  <c r="AF106" i="1" s="1"/>
  <c r="AF64" i="1"/>
  <c r="AF174" i="1" s="1"/>
  <c r="AF61" i="1"/>
  <c r="AF46" i="1"/>
  <c r="AF48" i="1"/>
  <c r="AF63" i="1" s="1"/>
  <c r="AF86" i="1" s="1"/>
  <c r="AF38" i="1"/>
  <c r="AF37" i="1"/>
  <c r="AF36" i="1"/>
  <c r="AF35" i="1"/>
  <c r="AF19" i="1"/>
  <c r="AI88" i="1" s="1"/>
  <c r="AN143" i="1" l="1"/>
  <c r="AN285" i="1" s="1"/>
  <c r="AR151" i="1"/>
  <c r="AR224" i="1" s="1"/>
  <c r="AO143" i="1"/>
  <c r="AO210" i="1" s="1"/>
  <c r="AN238" i="1"/>
  <c r="AR238" i="1"/>
  <c r="AO157" i="1"/>
  <c r="AO207" i="1"/>
  <c r="AN244" i="1"/>
  <c r="AR244" i="1"/>
  <c r="AV151" i="1"/>
  <c r="AV224" i="1" s="1"/>
  <c r="AV143" i="1"/>
  <c r="AO150" i="1"/>
  <c r="AO278" i="1"/>
  <c r="AO282" i="1"/>
  <c r="AO281" i="1"/>
  <c r="AO279" i="1"/>
  <c r="AN150" i="1"/>
  <c r="AN282" i="1"/>
  <c r="AN281" i="1"/>
  <c r="AN278" i="1"/>
  <c r="AN279" i="1"/>
  <c r="AN207" i="1"/>
  <c r="AN157" i="1"/>
  <c r="AP151" i="1"/>
  <c r="AP224" i="1" s="1"/>
  <c r="AP143" i="1"/>
  <c r="AN165" i="1"/>
  <c r="AR165" i="1"/>
  <c r="AN171" i="1"/>
  <c r="AR171" i="1"/>
  <c r="AO206" i="1"/>
  <c r="AO158" i="1"/>
  <c r="AN158" i="1"/>
  <c r="AN206" i="1"/>
  <c r="AI245" i="1"/>
  <c r="AI139" i="1"/>
  <c r="AI206" i="1" s="1"/>
  <c r="AI149" i="1"/>
  <c r="AI222" i="1" s="1"/>
  <c r="AG108" i="2"/>
  <c r="AF76" i="2"/>
  <c r="AD108" i="2"/>
  <c r="AC76" i="2"/>
  <c r="AG58" i="2"/>
  <c r="AF24" i="2"/>
  <c r="AD58" i="2"/>
  <c r="AC24" i="2"/>
  <c r="AI172" i="1"/>
  <c r="AI137" i="1"/>
  <c r="AI204" i="1" s="1"/>
  <c r="D718" i="3"/>
  <c r="E718" i="3" s="1"/>
  <c r="AI136" i="1"/>
  <c r="AI203" i="1" s="1"/>
  <c r="AI174" i="1"/>
  <c r="AI140" i="1"/>
  <c r="AI157" i="1" s="1"/>
  <c r="AI143" i="1"/>
  <c r="AI210" i="1" s="1"/>
  <c r="D584" i="3"/>
  <c r="AT201" i="1"/>
  <c r="AT276" i="1" s="1"/>
  <c r="AT143" i="1"/>
  <c r="AT137" i="1"/>
  <c r="AT204" i="1" s="1"/>
  <c r="AT136" i="1"/>
  <c r="AT203" i="1" s="1"/>
  <c r="AT149" i="1"/>
  <c r="AT222" i="1" s="1"/>
  <c r="AT139" i="1"/>
  <c r="AT140" i="1"/>
  <c r="E674" i="3"/>
  <c r="F669" i="3"/>
  <c r="F673" i="3"/>
  <c r="F671" i="3"/>
  <c r="D629" i="3"/>
  <c r="AS201" i="1"/>
  <c r="AS276" i="1" s="1"/>
  <c r="AS149" i="1"/>
  <c r="AS222" i="1" s="1"/>
  <c r="AS143" i="1"/>
  <c r="AS136" i="1"/>
  <c r="AS203" i="1" s="1"/>
  <c r="AS139" i="1"/>
  <c r="AS140" i="1"/>
  <c r="AS137" i="1"/>
  <c r="AS204" i="1" s="1"/>
  <c r="AF33" i="2"/>
  <c r="AF34" i="2"/>
  <c r="AF26" i="2"/>
  <c r="AF40" i="2"/>
  <c r="AF58" i="2"/>
  <c r="AF32" i="2"/>
  <c r="AF35" i="2"/>
  <c r="AF31" i="2"/>
  <c r="AF39" i="2"/>
  <c r="AF41" i="2"/>
  <c r="AF30" i="2"/>
  <c r="AF78" i="2"/>
  <c r="AF87" i="2"/>
  <c r="AF108" i="2"/>
  <c r="AF82" i="2"/>
  <c r="AF91" i="2"/>
  <c r="AF85" i="2"/>
  <c r="AF83" i="2"/>
  <c r="AF93" i="2"/>
  <c r="AF84" i="2"/>
  <c r="AF92" i="2"/>
  <c r="AF86" i="2"/>
  <c r="AE94" i="2"/>
  <c r="AR201" i="1"/>
  <c r="AR143" i="1"/>
  <c r="AR149" i="1"/>
  <c r="AR222" i="1" s="1"/>
  <c r="AR140" i="1"/>
  <c r="AR139" i="1"/>
  <c r="AR136" i="1"/>
  <c r="AR137" i="1"/>
  <c r="AI281" i="1"/>
  <c r="AI282" i="1"/>
  <c r="AI279" i="1"/>
  <c r="AI278" i="1"/>
  <c r="AE42" i="2"/>
  <c r="AG73" i="1"/>
  <c r="AG183" i="1" s="1"/>
  <c r="AF175" i="1"/>
  <c r="AG69" i="1"/>
  <c r="AG252" i="1" s="1"/>
  <c r="AG212" i="1"/>
  <c r="AF256" i="1"/>
  <c r="AF260" i="1"/>
  <c r="AG77" i="1"/>
  <c r="AF248" i="1"/>
  <c r="AG65" i="1"/>
  <c r="AF45" i="1"/>
  <c r="AF259" i="1"/>
  <c r="AG76" i="1"/>
  <c r="E803" i="3"/>
  <c r="E801" i="3"/>
  <c r="AF27" i="1"/>
  <c r="AF42" i="1" s="1"/>
  <c r="AF116" i="1"/>
  <c r="D848" i="3" s="1"/>
  <c r="AF186" i="1"/>
  <c r="D842" i="3"/>
  <c r="AC40" i="2"/>
  <c r="AC26" i="2"/>
  <c r="AF68" i="1"/>
  <c r="AF251" i="1" s="1"/>
  <c r="AC91" i="2"/>
  <c r="AC78" i="2"/>
  <c r="AF247" i="1"/>
  <c r="AC93" i="2"/>
  <c r="AC92" i="2"/>
  <c r="AC82" i="2"/>
  <c r="AC30" i="2"/>
  <c r="AC32" i="2"/>
  <c r="AC31" i="2"/>
  <c r="AC84" i="2"/>
  <c r="AC35" i="2"/>
  <c r="AC39" i="2"/>
  <c r="AC41" i="2"/>
  <c r="AC85" i="2"/>
  <c r="AC34" i="2"/>
  <c r="AC83" i="2"/>
  <c r="AC87" i="2"/>
  <c r="AC33" i="2"/>
  <c r="AC86" i="2"/>
  <c r="AF193" i="1"/>
  <c r="AF266" i="1" s="1"/>
  <c r="AF154" i="1"/>
  <c r="AF227" i="1" s="1"/>
  <c r="AF187" i="1"/>
  <c r="AF39" i="1"/>
  <c r="AF49" i="1"/>
  <c r="AF51" i="1" s="1"/>
  <c r="AF245" i="1"/>
  <c r="AF161" i="1"/>
  <c r="AF96" i="1"/>
  <c r="AF134" i="1" s="1"/>
  <c r="AF234" i="1" s="1"/>
  <c r="AF179" i="1"/>
  <c r="AF252" i="1"/>
  <c r="AF183" i="1"/>
  <c r="AF172" i="1"/>
  <c r="D3" i="2"/>
  <c r="E3" i="2" s="1"/>
  <c r="Z10" i="2"/>
  <c r="Z46" i="2" s="1"/>
  <c r="R10" i="2"/>
  <c r="S10" i="2" s="1"/>
  <c r="V10" i="2"/>
  <c r="W10" i="2" s="1"/>
  <c r="Z11" i="2"/>
  <c r="R11" i="2"/>
  <c r="AV11" i="2" s="1"/>
  <c r="V11" i="2"/>
  <c r="V47" i="2" s="1"/>
  <c r="Z12" i="2"/>
  <c r="Z48" i="2" s="1"/>
  <c r="R12" i="2"/>
  <c r="AV12" i="2" s="1"/>
  <c r="V12" i="2"/>
  <c r="W12" i="2" s="1"/>
  <c r="W48" i="2" s="1"/>
  <c r="Z13" i="2"/>
  <c r="Z49" i="2" s="1"/>
  <c r="R13" i="2"/>
  <c r="AV13" i="2" s="1"/>
  <c r="V13" i="2"/>
  <c r="V49" i="2" s="1"/>
  <c r="Z14" i="2"/>
  <c r="R14" i="2"/>
  <c r="AV14" i="2" s="1"/>
  <c r="V14" i="2"/>
  <c r="W14" i="2" s="1"/>
  <c r="Z15" i="2"/>
  <c r="R15" i="2"/>
  <c r="AV15" i="2" s="1"/>
  <c r="V15" i="2"/>
  <c r="V51" i="2" s="1"/>
  <c r="AB18" i="2"/>
  <c r="T18" i="2"/>
  <c r="X18" i="2"/>
  <c r="Z19" i="2"/>
  <c r="R19" i="2"/>
  <c r="AV19" i="2" s="1"/>
  <c r="V19" i="2"/>
  <c r="W19" i="2" s="1"/>
  <c r="W55" i="2" s="1"/>
  <c r="Z20" i="2"/>
  <c r="R20" i="2"/>
  <c r="AV20" i="2" s="1"/>
  <c r="V20" i="2"/>
  <c r="V56" i="2" s="1"/>
  <c r="Z21" i="2"/>
  <c r="R21" i="2"/>
  <c r="AV21" i="2" s="1"/>
  <c r="V21" i="2"/>
  <c r="W21" i="2" s="1"/>
  <c r="C22" i="2"/>
  <c r="D22" i="2"/>
  <c r="E22" i="2"/>
  <c r="F22" i="2"/>
  <c r="F34" i="2" s="1"/>
  <c r="G22" i="2"/>
  <c r="U22" i="2"/>
  <c r="Y22" i="2"/>
  <c r="B29" i="2"/>
  <c r="B30" i="2"/>
  <c r="B31" i="2"/>
  <c r="B32" i="2"/>
  <c r="B33" i="2"/>
  <c r="B34" i="2"/>
  <c r="B35" i="2"/>
  <c r="B38" i="2"/>
  <c r="B39" i="2"/>
  <c r="B40" i="2"/>
  <c r="B41" i="2"/>
  <c r="B45" i="2"/>
  <c r="B46" i="2"/>
  <c r="D46" i="2"/>
  <c r="E46" i="2"/>
  <c r="F46" i="2"/>
  <c r="G46" i="2"/>
  <c r="B47" i="2"/>
  <c r="D47" i="2"/>
  <c r="E47" i="2"/>
  <c r="F47" i="2"/>
  <c r="G47" i="2"/>
  <c r="B48" i="2"/>
  <c r="D48" i="2"/>
  <c r="E48" i="2"/>
  <c r="F48" i="2"/>
  <c r="G48" i="2"/>
  <c r="B49" i="2"/>
  <c r="D49" i="2"/>
  <c r="E49" i="2"/>
  <c r="F49" i="2"/>
  <c r="G49" i="2"/>
  <c r="B50" i="2"/>
  <c r="D50" i="2"/>
  <c r="E50" i="2"/>
  <c r="F50" i="2"/>
  <c r="G50" i="2"/>
  <c r="B51" i="2"/>
  <c r="D51" i="2"/>
  <c r="E51" i="2"/>
  <c r="F51" i="2"/>
  <c r="G51" i="2"/>
  <c r="B54" i="2"/>
  <c r="B55" i="2"/>
  <c r="D55" i="2"/>
  <c r="E55" i="2"/>
  <c r="F55" i="2"/>
  <c r="G55" i="2"/>
  <c r="B56" i="2"/>
  <c r="D56" i="2"/>
  <c r="E56" i="2"/>
  <c r="F56" i="2"/>
  <c r="G56" i="2"/>
  <c r="B57" i="2"/>
  <c r="Z62" i="2"/>
  <c r="Z98" i="2" s="1"/>
  <c r="R62" i="2"/>
  <c r="S62" i="2" s="1"/>
  <c r="V62" i="2"/>
  <c r="V98" i="2" s="1"/>
  <c r="Z63" i="2"/>
  <c r="AA63" i="2" s="1"/>
  <c r="R63" i="2"/>
  <c r="AV63" i="2" s="1"/>
  <c r="V63" i="2"/>
  <c r="Z64" i="2"/>
  <c r="AA64" i="2" s="1"/>
  <c r="AA100" i="2" s="1"/>
  <c r="R64" i="2"/>
  <c r="AV64" i="2" s="1"/>
  <c r="V64" i="2"/>
  <c r="V100" i="2" s="1"/>
  <c r="Z65" i="2"/>
  <c r="R65" i="2"/>
  <c r="AV65" i="2" s="1"/>
  <c r="V65" i="2"/>
  <c r="Z66" i="2"/>
  <c r="Z102" i="2" s="1"/>
  <c r="R66" i="2"/>
  <c r="AV66" i="2" s="1"/>
  <c r="V66" i="2"/>
  <c r="V102" i="2" s="1"/>
  <c r="Z67" i="2"/>
  <c r="R67" i="2"/>
  <c r="AV67" i="2" s="1"/>
  <c r="V67" i="2"/>
  <c r="V103" i="2" s="1"/>
  <c r="Z71" i="2"/>
  <c r="AA71" i="2" s="1"/>
  <c r="R71" i="2"/>
  <c r="AV71" i="2" s="1"/>
  <c r="V71" i="2"/>
  <c r="V105" i="2" s="1"/>
  <c r="Z72" i="2"/>
  <c r="Z106" i="2" s="1"/>
  <c r="R72" i="2"/>
  <c r="AV72" i="2" s="1"/>
  <c r="V72" i="2"/>
  <c r="W72" i="2" s="1"/>
  <c r="W106" i="2" s="1"/>
  <c r="Z73" i="2"/>
  <c r="AA73" i="2" s="1"/>
  <c r="AA107" i="2" s="1"/>
  <c r="R73" i="2"/>
  <c r="AV73" i="2" s="1"/>
  <c r="V73" i="2"/>
  <c r="V107" i="2" s="1"/>
  <c r="C74" i="2"/>
  <c r="D74" i="2"/>
  <c r="E74" i="2"/>
  <c r="F74" i="2"/>
  <c r="F93" i="2" s="1"/>
  <c r="G74" i="2"/>
  <c r="U74" i="2"/>
  <c r="U76" i="2" s="1"/>
  <c r="Y74" i="2"/>
  <c r="B81" i="2"/>
  <c r="B82" i="2"/>
  <c r="B83" i="2"/>
  <c r="B84" i="2"/>
  <c r="B85" i="2"/>
  <c r="B86" i="2"/>
  <c r="B87" i="2"/>
  <c r="B90" i="2"/>
  <c r="B91" i="2"/>
  <c r="B92" i="2"/>
  <c r="B93" i="2"/>
  <c r="B97" i="2"/>
  <c r="B98" i="2"/>
  <c r="D98" i="2"/>
  <c r="E98" i="2"/>
  <c r="F98" i="2"/>
  <c r="G98" i="2"/>
  <c r="B99" i="2"/>
  <c r="D99" i="2"/>
  <c r="E99" i="2"/>
  <c r="F99" i="2"/>
  <c r="G99" i="2"/>
  <c r="B100" i="2"/>
  <c r="D100" i="2"/>
  <c r="E100" i="2"/>
  <c r="F100" i="2"/>
  <c r="G100" i="2"/>
  <c r="B101" i="2"/>
  <c r="D101" i="2"/>
  <c r="E101" i="2"/>
  <c r="F101" i="2"/>
  <c r="G101" i="2"/>
  <c r="B102" i="2"/>
  <c r="D102" i="2"/>
  <c r="E102" i="2"/>
  <c r="F102" i="2"/>
  <c r="G102" i="2"/>
  <c r="B103" i="2"/>
  <c r="D103" i="2"/>
  <c r="E103" i="2"/>
  <c r="F103" i="2"/>
  <c r="G103" i="2"/>
  <c r="B104" i="2"/>
  <c r="B105" i="2"/>
  <c r="D105" i="2"/>
  <c r="E105" i="2"/>
  <c r="F105" i="2"/>
  <c r="G105" i="2"/>
  <c r="B106" i="2"/>
  <c r="D106" i="2"/>
  <c r="E106" i="2"/>
  <c r="F106" i="2"/>
  <c r="G106" i="2"/>
  <c r="B107" i="2"/>
  <c r="D107" i="2"/>
  <c r="E107" i="2"/>
  <c r="F107" i="2"/>
  <c r="G107" i="2"/>
  <c r="C356" i="2"/>
  <c r="D356" i="2"/>
  <c r="E356" i="2"/>
  <c r="Q356" i="2"/>
  <c r="R356" i="2"/>
  <c r="S356" i="2"/>
  <c r="T356" i="2"/>
  <c r="U356" i="2"/>
  <c r="V356" i="2"/>
  <c r="W356" i="2"/>
  <c r="X356" i="2"/>
  <c r="C378" i="2"/>
  <c r="D378" i="2"/>
  <c r="E378" i="2"/>
  <c r="Q378" i="2"/>
  <c r="R378" i="2"/>
  <c r="S378" i="2"/>
  <c r="T378" i="2"/>
  <c r="U378" i="2"/>
  <c r="V378" i="2"/>
  <c r="W378" i="2"/>
  <c r="X378" i="2"/>
  <c r="W7" i="1"/>
  <c r="W87" i="1" s="1"/>
  <c r="W148" i="1" s="1"/>
  <c r="W221" i="1" s="1"/>
  <c r="AA7" i="1"/>
  <c r="AC87" i="1" s="1"/>
  <c r="AC148" i="1" s="1"/>
  <c r="AI8" i="1"/>
  <c r="D8" i="1"/>
  <c r="E8" i="1"/>
  <c r="F8" i="1"/>
  <c r="H8" i="1"/>
  <c r="X8" i="1"/>
  <c r="Y8" i="1"/>
  <c r="Z8" i="1"/>
  <c r="AB8" i="1"/>
  <c r="AC8" i="1"/>
  <c r="AD8" i="1"/>
  <c r="W9" i="1"/>
  <c r="W50" i="1" s="1"/>
  <c r="AA9" i="1"/>
  <c r="AA50" i="1" s="1"/>
  <c r="W11" i="1"/>
  <c r="AA11" i="1"/>
  <c r="W12" i="1"/>
  <c r="AA12" i="1"/>
  <c r="W13" i="1"/>
  <c r="AA13" i="1"/>
  <c r="W14" i="1"/>
  <c r="AA14" i="1"/>
  <c r="W15" i="1"/>
  <c r="AA15" i="1"/>
  <c r="W16" i="1"/>
  <c r="AA16" i="1"/>
  <c r="W17" i="1"/>
  <c r="AA17" i="1"/>
  <c r="W18" i="1"/>
  <c r="AA18" i="1"/>
  <c r="C19" i="1"/>
  <c r="D19" i="1"/>
  <c r="D27" i="1" s="1"/>
  <c r="E19" i="1"/>
  <c r="F19" i="1"/>
  <c r="H19" i="1"/>
  <c r="T19" i="1"/>
  <c r="T49" i="1" s="1"/>
  <c r="U19" i="1"/>
  <c r="V19" i="1"/>
  <c r="V49" i="1" s="1"/>
  <c r="V51" i="1" s="1"/>
  <c r="V53" i="1" s="1"/>
  <c r="X19" i="1"/>
  <c r="Y19" i="1"/>
  <c r="Y39" i="1" s="1"/>
  <c r="Z19" i="1"/>
  <c r="Z27" i="1" s="1"/>
  <c r="Z43" i="1" s="1"/>
  <c r="AB19" i="1"/>
  <c r="AC19" i="1"/>
  <c r="AC27" i="1" s="1"/>
  <c r="AD19" i="1"/>
  <c r="AD49" i="1" s="1"/>
  <c r="W20" i="1"/>
  <c r="AA20" i="1"/>
  <c r="W21" i="1"/>
  <c r="AA21" i="1"/>
  <c r="W22" i="1"/>
  <c r="AA22" i="1"/>
  <c r="W23" i="1"/>
  <c r="AA23" i="1"/>
  <c r="W24" i="1"/>
  <c r="AA24" i="1"/>
  <c r="W25" i="1"/>
  <c r="AA25" i="1"/>
  <c r="W28" i="1"/>
  <c r="AA28" i="1"/>
  <c r="B35" i="1"/>
  <c r="C35" i="1"/>
  <c r="D35" i="1"/>
  <c r="E35" i="1"/>
  <c r="F35" i="1"/>
  <c r="H35" i="1"/>
  <c r="T35" i="1"/>
  <c r="U35" i="1"/>
  <c r="V35" i="1"/>
  <c r="X35" i="1"/>
  <c r="Y35" i="1"/>
  <c r="Z35" i="1"/>
  <c r="AB35" i="1"/>
  <c r="AC35" i="1"/>
  <c r="AD35" i="1"/>
  <c r="B36" i="1"/>
  <c r="C36" i="1"/>
  <c r="D36" i="1"/>
  <c r="E36" i="1"/>
  <c r="F36" i="1"/>
  <c r="H36" i="1"/>
  <c r="T36" i="1"/>
  <c r="U36" i="1"/>
  <c r="V36" i="1"/>
  <c r="X36" i="1"/>
  <c r="Y36" i="1"/>
  <c r="Z36" i="1"/>
  <c r="AB36" i="1"/>
  <c r="AC36" i="1"/>
  <c r="AD36" i="1"/>
  <c r="B37" i="1"/>
  <c r="C37" i="1"/>
  <c r="D37" i="1"/>
  <c r="E37" i="1"/>
  <c r="F37" i="1"/>
  <c r="H37" i="1"/>
  <c r="T37" i="1"/>
  <c r="U37" i="1"/>
  <c r="V37" i="1"/>
  <c r="X37" i="1"/>
  <c r="Y37" i="1"/>
  <c r="Z37" i="1"/>
  <c r="AB37" i="1"/>
  <c r="AC37" i="1"/>
  <c r="AD37" i="1"/>
  <c r="B38" i="1"/>
  <c r="C38" i="1"/>
  <c r="D38" i="1"/>
  <c r="E38" i="1"/>
  <c r="F38" i="1"/>
  <c r="H38" i="1"/>
  <c r="T38" i="1"/>
  <c r="U38" i="1"/>
  <c r="V38" i="1"/>
  <c r="X38" i="1"/>
  <c r="Y38" i="1"/>
  <c r="Z38" i="1"/>
  <c r="AB38" i="1"/>
  <c r="AC38" i="1"/>
  <c r="AD38" i="1"/>
  <c r="B39" i="1"/>
  <c r="C40" i="1"/>
  <c r="D40" i="1"/>
  <c r="E123" i="1"/>
  <c r="E154" i="1" s="1"/>
  <c r="E227" i="1" s="1"/>
  <c r="F123" i="1"/>
  <c r="F40" i="1" s="1"/>
  <c r="H123" i="1"/>
  <c r="H40" i="1" s="1"/>
  <c r="T120" i="1"/>
  <c r="U120" i="1"/>
  <c r="V123" i="1"/>
  <c r="V40" i="1" s="1"/>
  <c r="W118" i="1"/>
  <c r="W119" i="1"/>
  <c r="W120" i="1"/>
  <c r="W121" i="1"/>
  <c r="W122" i="1"/>
  <c r="X123" i="1"/>
  <c r="X40" i="1" s="1"/>
  <c r="Y123" i="1"/>
  <c r="Y40" i="1" s="1"/>
  <c r="Z123" i="1"/>
  <c r="Z154" i="1" s="1"/>
  <c r="Z227" i="1" s="1"/>
  <c r="AA118" i="1"/>
  <c r="AA119" i="1"/>
  <c r="AA120" i="1"/>
  <c r="AA121" i="1"/>
  <c r="AA122" i="1"/>
  <c r="AB123" i="1"/>
  <c r="AB193" i="1" s="1"/>
  <c r="AB266" i="1" s="1"/>
  <c r="AC123" i="1"/>
  <c r="AC154" i="1" s="1"/>
  <c r="AD123" i="1"/>
  <c r="D926" i="3" s="1"/>
  <c r="D936" i="3" s="1"/>
  <c r="C107" i="1"/>
  <c r="C106" i="1" s="1"/>
  <c r="C112" i="1"/>
  <c r="C111" i="1" s="1"/>
  <c r="D107" i="1"/>
  <c r="D106" i="1" s="1"/>
  <c r="D112" i="1"/>
  <c r="D111" i="1" s="1"/>
  <c r="E107" i="1"/>
  <c r="E106" i="1" s="1"/>
  <c r="E112" i="1"/>
  <c r="E111" i="1" s="1"/>
  <c r="F107" i="1"/>
  <c r="F106" i="1" s="1"/>
  <c r="F112" i="1"/>
  <c r="F111" i="1" s="1"/>
  <c r="H107" i="1"/>
  <c r="H106" i="1" s="1"/>
  <c r="H112" i="1"/>
  <c r="H111" i="1" s="1"/>
  <c r="T107" i="1"/>
  <c r="T106" i="1" s="1"/>
  <c r="T112" i="1"/>
  <c r="U107" i="1"/>
  <c r="U106" i="1" s="1"/>
  <c r="U112" i="1"/>
  <c r="U111" i="1" s="1"/>
  <c r="V107" i="1"/>
  <c r="V106" i="1" s="1"/>
  <c r="V112" i="1"/>
  <c r="V111" i="1" s="1"/>
  <c r="W108" i="1"/>
  <c r="W109" i="1"/>
  <c r="W110" i="1"/>
  <c r="W113" i="1"/>
  <c r="W114" i="1"/>
  <c r="W115" i="1"/>
  <c r="X107" i="1"/>
  <c r="X106" i="1" s="1"/>
  <c r="X112" i="1"/>
  <c r="X111" i="1" s="1"/>
  <c r="Y107" i="1"/>
  <c r="Y106" i="1" s="1"/>
  <c r="Y112" i="1"/>
  <c r="Y111" i="1" s="1"/>
  <c r="Z107" i="1"/>
  <c r="Z106" i="1" s="1"/>
  <c r="Z112" i="1"/>
  <c r="Z111" i="1" s="1"/>
  <c r="AA108" i="1"/>
  <c r="AA109" i="1"/>
  <c r="AA110" i="1"/>
  <c r="AA113" i="1"/>
  <c r="AA114" i="1"/>
  <c r="AA115" i="1"/>
  <c r="AB107" i="1"/>
  <c r="AB106" i="1" s="1"/>
  <c r="AB112" i="1"/>
  <c r="AB111" i="1" s="1"/>
  <c r="AC107" i="1"/>
  <c r="AC106" i="1" s="1"/>
  <c r="AC112" i="1"/>
  <c r="AC111" i="1" s="1"/>
  <c r="AD107" i="1"/>
  <c r="AD106" i="1" s="1"/>
  <c r="AD112" i="1"/>
  <c r="AD111" i="1" s="1"/>
  <c r="B42" i="1"/>
  <c r="C69" i="1"/>
  <c r="C252" i="1" s="1"/>
  <c r="D69" i="1"/>
  <c r="E69" i="1"/>
  <c r="E45" i="1" s="1"/>
  <c r="F69" i="1"/>
  <c r="F45" i="1" s="1"/>
  <c r="H93" i="1"/>
  <c r="H152" i="1" s="1"/>
  <c r="H225" i="1" s="1"/>
  <c r="T69" i="1"/>
  <c r="X69" i="1"/>
  <c r="X45" i="1" s="1"/>
  <c r="AB69" i="1"/>
  <c r="AB45" i="1" s="1"/>
  <c r="C46" i="1"/>
  <c r="E46" i="1"/>
  <c r="F46" i="1"/>
  <c r="H46" i="1"/>
  <c r="T46" i="1"/>
  <c r="U46" i="1"/>
  <c r="V46" i="1"/>
  <c r="X46" i="1"/>
  <c r="Y46" i="1"/>
  <c r="Z46" i="1"/>
  <c r="AB46" i="1"/>
  <c r="AC46" i="1"/>
  <c r="AD46" i="1"/>
  <c r="C48" i="1"/>
  <c r="C63" i="1" s="1"/>
  <c r="C86" i="1" s="1"/>
  <c r="C96" i="1" s="1"/>
  <c r="C134" i="1" s="1"/>
  <c r="C234" i="1" s="1"/>
  <c r="D48" i="1"/>
  <c r="D63" i="1" s="1"/>
  <c r="D86" i="1" s="1"/>
  <c r="E48" i="1"/>
  <c r="F48" i="1"/>
  <c r="H48" i="1"/>
  <c r="T48" i="1"/>
  <c r="T63" i="1" s="1"/>
  <c r="T86" i="1" s="1"/>
  <c r="U48" i="1"/>
  <c r="U63" i="1" s="1"/>
  <c r="U86" i="1" s="1"/>
  <c r="V48" i="1"/>
  <c r="V63" i="1" s="1"/>
  <c r="V86" i="1" s="1"/>
  <c r="V96" i="1" s="1"/>
  <c r="V134" i="1" s="1"/>
  <c r="V234" i="1" s="1"/>
  <c r="W48" i="1"/>
  <c r="W63" i="1" s="1"/>
  <c r="W86" i="1" s="1"/>
  <c r="X48" i="1"/>
  <c r="X63" i="1" s="1"/>
  <c r="X86" i="1" s="1"/>
  <c r="X96" i="1" s="1"/>
  <c r="X134" i="1" s="1"/>
  <c r="X234" i="1" s="1"/>
  <c r="Y48" i="1"/>
  <c r="Y63" i="1" s="1"/>
  <c r="Y86" i="1" s="1"/>
  <c r="Z48" i="1"/>
  <c r="Z63" i="1" s="1"/>
  <c r="Z86" i="1" s="1"/>
  <c r="AA48" i="1"/>
  <c r="AA63" i="1" s="1"/>
  <c r="AA86" i="1" s="1"/>
  <c r="AB48" i="1"/>
  <c r="AB63" i="1" s="1"/>
  <c r="AB86" i="1" s="1"/>
  <c r="AB161" i="1" s="1"/>
  <c r="AC48" i="1"/>
  <c r="AC63" i="1" s="1"/>
  <c r="AC86" i="1" s="1"/>
  <c r="AD48" i="1"/>
  <c r="AD63" i="1" s="1"/>
  <c r="AD86" i="1" s="1"/>
  <c r="AD96" i="1" s="1"/>
  <c r="AD134" i="1" s="1"/>
  <c r="AD234" i="1" s="1"/>
  <c r="AE48" i="1"/>
  <c r="AE63" i="1" s="1"/>
  <c r="AE86" i="1" s="1"/>
  <c r="AE96" i="1" s="1"/>
  <c r="AE134" i="1" s="1"/>
  <c r="AE234" i="1" s="1"/>
  <c r="C59" i="1"/>
  <c r="C90" i="1" s="1"/>
  <c r="D59" i="1"/>
  <c r="D64" i="1" s="1"/>
  <c r="E59" i="1"/>
  <c r="T59" i="1"/>
  <c r="U59" i="1"/>
  <c r="Y59" i="1"/>
  <c r="Z59" i="1" s="1"/>
  <c r="Z243" i="1" s="1"/>
  <c r="AC59" i="1"/>
  <c r="AG60" i="1" s="1"/>
  <c r="D57" i="1"/>
  <c r="E57" i="1"/>
  <c r="C58" i="1"/>
  <c r="D58" i="1"/>
  <c r="E58" i="1"/>
  <c r="F58" i="1"/>
  <c r="H58" i="1"/>
  <c r="T58" i="1"/>
  <c r="X58" i="1"/>
  <c r="F61" i="1"/>
  <c r="H61" i="1"/>
  <c r="X61" i="1"/>
  <c r="AB61" i="1"/>
  <c r="E63" i="1"/>
  <c r="F63" i="1"/>
  <c r="H63" i="1"/>
  <c r="F64" i="1"/>
  <c r="H64" i="1"/>
  <c r="X64" i="1"/>
  <c r="X247" i="1" s="1"/>
  <c r="AB64" i="1"/>
  <c r="AB174" i="1" s="1"/>
  <c r="C65" i="1"/>
  <c r="C248" i="1" s="1"/>
  <c r="D65" i="1"/>
  <c r="D175" i="1" s="1"/>
  <c r="E65" i="1"/>
  <c r="E175" i="1" s="1"/>
  <c r="F65" i="1"/>
  <c r="F248" i="1" s="1"/>
  <c r="H248" i="1"/>
  <c r="T65" i="1"/>
  <c r="X65" i="1"/>
  <c r="X175" i="1" s="1"/>
  <c r="AB65" i="1"/>
  <c r="AB248" i="1" s="1"/>
  <c r="U66" i="1"/>
  <c r="Y66" i="1"/>
  <c r="Z66" i="1" s="1"/>
  <c r="Z176" i="1" s="1"/>
  <c r="AC66" i="1"/>
  <c r="U67" i="1"/>
  <c r="Y67" i="1"/>
  <c r="AC67" i="1"/>
  <c r="C70" i="1"/>
  <c r="C253" i="1" s="1"/>
  <c r="U70" i="1"/>
  <c r="Y70" i="1"/>
  <c r="Z70" i="1" s="1"/>
  <c r="AC70" i="1"/>
  <c r="C71" i="1"/>
  <c r="D71" i="1"/>
  <c r="D254" i="1" s="1"/>
  <c r="E71" i="1"/>
  <c r="E254" i="1" s="1"/>
  <c r="F71" i="1"/>
  <c r="H181" i="1"/>
  <c r="U71" i="1"/>
  <c r="X71" i="1"/>
  <c r="Y71" i="1" s="1"/>
  <c r="Y181" i="1" s="1"/>
  <c r="AC71" i="1"/>
  <c r="C73" i="1"/>
  <c r="C183" i="1" s="1"/>
  <c r="D73" i="1"/>
  <c r="D183" i="1" s="1"/>
  <c r="E73" i="1"/>
  <c r="F73" i="1"/>
  <c r="F183" i="1" s="1"/>
  <c r="H183" i="1"/>
  <c r="T73" i="1"/>
  <c r="X73" i="1"/>
  <c r="Y73" i="1" s="1"/>
  <c r="AB73" i="1"/>
  <c r="AB256" i="1" s="1"/>
  <c r="C74" i="1"/>
  <c r="C184" i="1" s="1"/>
  <c r="D74" i="1"/>
  <c r="U74" i="1"/>
  <c r="Y74" i="1"/>
  <c r="AC74" i="1"/>
  <c r="C75" i="1"/>
  <c r="C185" i="1" s="1"/>
  <c r="D75" i="1"/>
  <c r="D185" i="1" s="1"/>
  <c r="E75" i="1"/>
  <c r="E185" i="1" s="1"/>
  <c r="F75" i="1"/>
  <c r="F258" i="1" s="1"/>
  <c r="H185" i="1"/>
  <c r="U75" i="1"/>
  <c r="Y75" i="1"/>
  <c r="Y185" i="1" s="1"/>
  <c r="AC75" i="1"/>
  <c r="C76" i="1"/>
  <c r="C186" i="1" s="1"/>
  <c r="D76" i="1"/>
  <c r="E76" i="1"/>
  <c r="E186" i="1" s="1"/>
  <c r="F76" i="1"/>
  <c r="F186" i="1" s="1"/>
  <c r="H186" i="1"/>
  <c r="T76" i="1"/>
  <c r="X76" i="1"/>
  <c r="Y76" i="1" s="1"/>
  <c r="Y186" i="1" s="1"/>
  <c r="AB76" i="1"/>
  <c r="AB259" i="1" s="1"/>
  <c r="C77" i="1"/>
  <c r="C260" i="1" s="1"/>
  <c r="D77" i="1"/>
  <c r="D187" i="1" s="1"/>
  <c r="E77" i="1"/>
  <c r="E260" i="1" s="1"/>
  <c r="F77" i="1"/>
  <c r="H187" i="1"/>
  <c r="U77" i="1"/>
  <c r="X77" i="1"/>
  <c r="X187" i="1" s="1"/>
  <c r="AB77" i="1"/>
  <c r="AB260" i="1" s="1"/>
  <c r="U79" i="1"/>
  <c r="Y79" i="1"/>
  <c r="Z79" i="1" s="1"/>
  <c r="AC79" i="1"/>
  <c r="C84" i="1"/>
  <c r="E86" i="1"/>
  <c r="F86" i="1"/>
  <c r="H86" i="1"/>
  <c r="B87" i="1"/>
  <c r="B148" i="1" s="1"/>
  <c r="C87" i="1"/>
  <c r="C148" i="1" s="1"/>
  <c r="C221" i="1" s="1"/>
  <c r="D87" i="1"/>
  <c r="D148" i="1" s="1"/>
  <c r="D221" i="1" s="1"/>
  <c r="E87" i="1"/>
  <c r="F87" i="1"/>
  <c r="F148" i="1" s="1"/>
  <c r="F221" i="1" s="1"/>
  <c r="H87" i="1"/>
  <c r="H148" i="1" s="1"/>
  <c r="H221" i="1" s="1"/>
  <c r="F90" i="1"/>
  <c r="F149" i="1" s="1"/>
  <c r="F222" i="1" s="1"/>
  <c r="H90" i="1"/>
  <c r="H149" i="1" s="1"/>
  <c r="H222" i="1" s="1"/>
  <c r="C91" i="1"/>
  <c r="C151" i="1" s="1"/>
  <c r="C224" i="1" s="1"/>
  <c r="D91" i="1"/>
  <c r="D151" i="1" s="1"/>
  <c r="D224" i="1" s="1"/>
  <c r="E91" i="1"/>
  <c r="F91" i="1"/>
  <c r="F151" i="1" s="1"/>
  <c r="F224" i="1" s="1"/>
  <c r="H91" i="1"/>
  <c r="H151" i="1" s="1"/>
  <c r="H224" i="1" s="1"/>
  <c r="E96" i="1"/>
  <c r="F96" i="1"/>
  <c r="H96" i="1"/>
  <c r="C98" i="1"/>
  <c r="W98" i="1"/>
  <c r="AA98" i="1"/>
  <c r="AB98" i="1"/>
  <c r="AD98" i="1"/>
  <c r="W99" i="1"/>
  <c r="AA99" i="1"/>
  <c r="W100" i="1"/>
  <c r="AA100" i="1"/>
  <c r="W101" i="1"/>
  <c r="AA101" i="1"/>
  <c r="C102" i="1"/>
  <c r="D102" i="1"/>
  <c r="E102" i="1"/>
  <c r="F102" i="1"/>
  <c r="H102" i="1"/>
  <c r="T102" i="1"/>
  <c r="U102" i="1"/>
  <c r="V102" i="1"/>
  <c r="X102" i="1"/>
  <c r="Y102" i="1"/>
  <c r="Z102" i="1"/>
  <c r="AB102" i="1"/>
  <c r="AC102" i="1"/>
  <c r="AD102" i="1"/>
  <c r="W131" i="1"/>
  <c r="AA131" i="1"/>
  <c r="D886" i="3"/>
  <c r="E134" i="1"/>
  <c r="E234" i="1" s="1"/>
  <c r="F134" i="1"/>
  <c r="F234" i="1" s="1"/>
  <c r="H134" i="1"/>
  <c r="H234" i="1" s="1"/>
  <c r="C147" i="1"/>
  <c r="D147" i="1"/>
  <c r="E147" i="1"/>
  <c r="F147" i="1"/>
  <c r="H147" i="1"/>
  <c r="T147" i="1"/>
  <c r="U147" i="1"/>
  <c r="V147" i="1"/>
  <c r="W147" i="1"/>
  <c r="X147" i="1"/>
  <c r="Y147" i="1"/>
  <c r="Z147" i="1"/>
  <c r="AA147" i="1"/>
  <c r="AB147" i="1"/>
  <c r="AC147" i="1"/>
  <c r="AD147" i="1"/>
  <c r="AE147" i="1"/>
  <c r="B149" i="1"/>
  <c r="B151" i="1"/>
  <c r="B152" i="1"/>
  <c r="B153" i="1"/>
  <c r="C154" i="1"/>
  <c r="C227" i="1" s="1"/>
  <c r="D154" i="1"/>
  <c r="D227" i="1" s="1"/>
  <c r="E161" i="1"/>
  <c r="F161" i="1"/>
  <c r="H161" i="1"/>
  <c r="C162" i="1"/>
  <c r="D162" i="1"/>
  <c r="E162" i="1"/>
  <c r="F162" i="1"/>
  <c r="H162" i="1"/>
  <c r="T162" i="1"/>
  <c r="U162" i="1"/>
  <c r="V162" i="1"/>
  <c r="W162" i="1"/>
  <c r="X162" i="1"/>
  <c r="Y162" i="1"/>
  <c r="Z162" i="1"/>
  <c r="AA162" i="1"/>
  <c r="AB162" i="1"/>
  <c r="AC162" i="1"/>
  <c r="AD162" i="1"/>
  <c r="AE162" i="1"/>
  <c r="C163" i="1"/>
  <c r="D163" i="1"/>
  <c r="E163" i="1"/>
  <c r="F163" i="1"/>
  <c r="H163" i="1"/>
  <c r="T163" i="1"/>
  <c r="U163" i="1"/>
  <c r="V163" i="1"/>
  <c r="W163" i="1"/>
  <c r="X163" i="1"/>
  <c r="Y163" i="1"/>
  <c r="Z163" i="1"/>
  <c r="AA163" i="1"/>
  <c r="AB163" i="1"/>
  <c r="AC163" i="1"/>
  <c r="AD163" i="1"/>
  <c r="AE163" i="1"/>
  <c r="B164" i="1"/>
  <c r="C164" i="1"/>
  <c r="D164" i="1"/>
  <c r="E164" i="1"/>
  <c r="F164" i="1"/>
  <c r="H164" i="1"/>
  <c r="T164" i="1"/>
  <c r="U164" i="1"/>
  <c r="V164" i="1"/>
  <c r="X164" i="1"/>
  <c r="Y164" i="1"/>
  <c r="Z164" i="1"/>
  <c r="AB164" i="1"/>
  <c r="AF165" i="1" s="1"/>
  <c r="AC164" i="1"/>
  <c r="AD164" i="1"/>
  <c r="AE164" i="1"/>
  <c r="AM165" i="1" s="1"/>
  <c r="B170" i="1"/>
  <c r="F170" i="1"/>
  <c r="H170" i="1"/>
  <c r="X170" i="1"/>
  <c r="AB170" i="1"/>
  <c r="AF171" i="1" s="1"/>
  <c r="B174" i="1"/>
  <c r="B175" i="1"/>
  <c r="B176" i="1"/>
  <c r="C176" i="1"/>
  <c r="D176" i="1"/>
  <c r="E176" i="1"/>
  <c r="F176" i="1"/>
  <c r="H176" i="1"/>
  <c r="T176" i="1"/>
  <c r="X176" i="1"/>
  <c r="AB176" i="1"/>
  <c r="B177" i="1"/>
  <c r="C177" i="1"/>
  <c r="D177" i="1"/>
  <c r="E177" i="1"/>
  <c r="F177" i="1"/>
  <c r="H177" i="1"/>
  <c r="T177" i="1"/>
  <c r="X177" i="1"/>
  <c r="AB177" i="1"/>
  <c r="B178" i="1"/>
  <c r="B179" i="1"/>
  <c r="B180" i="1"/>
  <c r="D180" i="1"/>
  <c r="E180" i="1"/>
  <c r="F180" i="1"/>
  <c r="H180" i="1"/>
  <c r="T180" i="1"/>
  <c r="X180" i="1"/>
  <c r="AB180" i="1"/>
  <c r="B181" i="1"/>
  <c r="T181" i="1"/>
  <c r="AB181" i="1"/>
  <c r="B182" i="1"/>
  <c r="B183" i="1"/>
  <c r="B184" i="1"/>
  <c r="E184" i="1"/>
  <c r="F184" i="1"/>
  <c r="T184" i="1"/>
  <c r="X184" i="1"/>
  <c r="AB184" i="1"/>
  <c r="B185" i="1"/>
  <c r="T185" i="1"/>
  <c r="X185" i="1"/>
  <c r="AB185" i="1"/>
  <c r="B186" i="1"/>
  <c r="B187" i="1"/>
  <c r="T187" i="1"/>
  <c r="B188" i="1"/>
  <c r="B189" i="1"/>
  <c r="C189" i="1"/>
  <c r="D189" i="1"/>
  <c r="E189" i="1"/>
  <c r="F189" i="1"/>
  <c r="H189" i="1"/>
  <c r="T189" i="1"/>
  <c r="X189" i="1"/>
  <c r="AB189" i="1"/>
  <c r="B190" i="1"/>
  <c r="B191" i="1"/>
  <c r="C193" i="1"/>
  <c r="C266" i="1" s="1"/>
  <c r="D193" i="1"/>
  <c r="D266" i="1" s="1"/>
  <c r="B195" i="1"/>
  <c r="B196" i="1"/>
  <c r="B198" i="1"/>
  <c r="B199" i="1"/>
  <c r="B203" i="1"/>
  <c r="B204" i="1"/>
  <c r="B206" i="1"/>
  <c r="B207" i="1"/>
  <c r="AC215" i="1"/>
  <c r="J865" i="3"/>
  <c r="W216" i="1"/>
  <c r="W218" i="1" s="1"/>
  <c r="AA216" i="1"/>
  <c r="AA218" i="1" s="1"/>
  <c r="AC216" i="1"/>
  <c r="C220" i="1"/>
  <c r="D220" i="1"/>
  <c r="E220" i="1"/>
  <c r="F220" i="1"/>
  <c r="H220" i="1"/>
  <c r="T220" i="1"/>
  <c r="U220" i="1"/>
  <c r="V220" i="1"/>
  <c r="W220" i="1"/>
  <c r="X220" i="1"/>
  <c r="Y220" i="1"/>
  <c r="Z220" i="1"/>
  <c r="AA220" i="1"/>
  <c r="AB220" i="1"/>
  <c r="AC220" i="1"/>
  <c r="AD220" i="1"/>
  <c r="AE220" i="1"/>
  <c r="C235" i="1"/>
  <c r="D235" i="1"/>
  <c r="E235" i="1"/>
  <c r="F235" i="1"/>
  <c r="H235" i="1"/>
  <c r="T235" i="1"/>
  <c r="U235" i="1"/>
  <c r="V235" i="1"/>
  <c r="W235" i="1"/>
  <c r="X235" i="1"/>
  <c r="Y235" i="1"/>
  <c r="Z235" i="1"/>
  <c r="AA235" i="1"/>
  <c r="AB235" i="1"/>
  <c r="AC235" i="1"/>
  <c r="AD235" i="1"/>
  <c r="AE235" i="1"/>
  <c r="C236" i="1"/>
  <c r="D236" i="1"/>
  <c r="E236" i="1"/>
  <c r="F236" i="1"/>
  <c r="H236" i="1"/>
  <c r="T236" i="1"/>
  <c r="U236" i="1"/>
  <c r="V236" i="1"/>
  <c r="W236" i="1"/>
  <c r="X236" i="1"/>
  <c r="Y236" i="1"/>
  <c r="Z236" i="1"/>
  <c r="AA236" i="1"/>
  <c r="AB236" i="1"/>
  <c r="AC236" i="1"/>
  <c r="AD236" i="1"/>
  <c r="AE236" i="1"/>
  <c r="B237" i="1"/>
  <c r="C237" i="1"/>
  <c r="D237" i="1"/>
  <c r="E237" i="1"/>
  <c r="F237" i="1"/>
  <c r="H237" i="1"/>
  <c r="T237" i="1"/>
  <c r="U237" i="1"/>
  <c r="V237" i="1"/>
  <c r="X237" i="1"/>
  <c r="Y237" i="1"/>
  <c r="Z237" i="1"/>
  <c r="AB237" i="1"/>
  <c r="AD237" i="1"/>
  <c r="AH238" i="1" s="1"/>
  <c r="AE237" i="1"/>
  <c r="AI238" i="1" s="1"/>
  <c r="B238" i="1"/>
  <c r="B243" i="1"/>
  <c r="F243" i="1"/>
  <c r="H243" i="1"/>
  <c r="X243" i="1"/>
  <c r="AB243" i="1"/>
  <c r="AF244" i="1" s="1"/>
  <c r="B244" i="1"/>
  <c r="B245" i="1"/>
  <c r="B247" i="1"/>
  <c r="B248" i="1"/>
  <c r="B249" i="1"/>
  <c r="C249" i="1"/>
  <c r="D249" i="1"/>
  <c r="E249" i="1"/>
  <c r="F249" i="1"/>
  <c r="H249" i="1"/>
  <c r="T249" i="1"/>
  <c r="X249" i="1"/>
  <c r="AB249" i="1"/>
  <c r="B250" i="1"/>
  <c r="C250" i="1"/>
  <c r="D250" i="1"/>
  <c r="E250" i="1"/>
  <c r="F250" i="1"/>
  <c r="H250" i="1"/>
  <c r="T250" i="1"/>
  <c r="X250" i="1"/>
  <c r="AB250" i="1"/>
  <c r="B251" i="1"/>
  <c r="B252" i="1"/>
  <c r="B253" i="1"/>
  <c r="D253" i="1"/>
  <c r="E253" i="1"/>
  <c r="F253" i="1"/>
  <c r="H253" i="1"/>
  <c r="T253" i="1"/>
  <c r="X253" i="1"/>
  <c r="AB253" i="1"/>
  <c r="B254" i="1"/>
  <c r="H254" i="1"/>
  <c r="T254" i="1"/>
  <c r="AB254" i="1"/>
  <c r="B255" i="1"/>
  <c r="B256" i="1"/>
  <c r="H256" i="1"/>
  <c r="B257" i="1"/>
  <c r="E257" i="1"/>
  <c r="F257" i="1"/>
  <c r="T257" i="1"/>
  <c r="X257" i="1"/>
  <c r="AB257" i="1"/>
  <c r="B258" i="1"/>
  <c r="T258" i="1"/>
  <c r="X258" i="1"/>
  <c r="AB258" i="1"/>
  <c r="B259" i="1"/>
  <c r="H259" i="1"/>
  <c r="B260" i="1"/>
  <c r="T260" i="1"/>
  <c r="B261" i="1"/>
  <c r="B262" i="1"/>
  <c r="C262" i="1"/>
  <c r="D262" i="1"/>
  <c r="E262" i="1"/>
  <c r="F262" i="1"/>
  <c r="H262" i="1"/>
  <c r="T262" i="1"/>
  <c r="X262" i="1"/>
  <c r="AB262" i="1"/>
  <c r="B263" i="1"/>
  <c r="B264" i="1"/>
  <c r="B270" i="1"/>
  <c r="B271" i="1"/>
  <c r="B273" i="1"/>
  <c r="B274" i="1"/>
  <c r="B278" i="1"/>
  <c r="B279" i="1"/>
  <c r="B281" i="1"/>
  <c r="B282" i="1"/>
  <c r="B284" i="1"/>
  <c r="B285" i="1"/>
  <c r="B287" i="1"/>
  <c r="D883" i="3"/>
  <c r="D893" i="3"/>
  <c r="D908" i="3"/>
  <c r="D910" i="3" s="1"/>
  <c r="J907" i="3"/>
  <c r="I913" i="3"/>
  <c r="J949" i="3"/>
  <c r="E963" i="3" s="1"/>
  <c r="I914" i="3"/>
  <c r="I915" i="3"/>
  <c r="I917" i="3"/>
  <c r="I918" i="3"/>
  <c r="I919" i="3"/>
  <c r="H920" i="3"/>
  <c r="I920" i="3"/>
  <c r="D925" i="3"/>
  <c r="D928" i="3"/>
  <c r="F935" i="3"/>
  <c r="D950" i="3"/>
  <c r="D952" i="3" s="1"/>
  <c r="J950" i="3"/>
  <c r="I955" i="3"/>
  <c r="I956" i="3"/>
  <c r="I957" i="3"/>
  <c r="I959" i="3"/>
  <c r="I960" i="3"/>
  <c r="I961" i="3"/>
  <c r="H962" i="3"/>
  <c r="I962" i="3"/>
  <c r="D967" i="3"/>
  <c r="D970" i="3"/>
  <c r="F977" i="3"/>
  <c r="D991" i="3"/>
  <c r="D993" i="3" s="1"/>
  <c r="AC268" i="1" l="1"/>
  <c r="AC218" i="1"/>
  <c r="AV51" i="2"/>
  <c r="AV74" i="2"/>
  <c r="AV84" i="2" s="1"/>
  <c r="AV99" i="2"/>
  <c r="AV48" i="2"/>
  <c r="AV105" i="2"/>
  <c r="AV55" i="2"/>
  <c r="AV101" i="2"/>
  <c r="AV107" i="2"/>
  <c r="AV22" i="2"/>
  <c r="AV31" i="2" s="1"/>
  <c r="AV47" i="2"/>
  <c r="AV103" i="2"/>
  <c r="AV100" i="2"/>
  <c r="AV49" i="2"/>
  <c r="AV106" i="2"/>
  <c r="AV56" i="2"/>
  <c r="T111" i="1"/>
  <c r="T116" i="1" s="1"/>
  <c r="U73" i="1"/>
  <c r="U256" i="1" s="1"/>
  <c r="U76" i="1"/>
  <c r="U186" i="1" s="1"/>
  <c r="U69" i="1"/>
  <c r="T123" i="1"/>
  <c r="T40" i="1" s="1"/>
  <c r="AF217" i="1"/>
  <c r="AE217" i="1"/>
  <c r="AD217" i="1"/>
  <c r="AC217" i="1"/>
  <c r="AC221" i="1" s="1"/>
  <c r="AD154" i="1"/>
  <c r="AD227" i="1" s="1"/>
  <c r="F256" i="1"/>
  <c r="S64" i="2"/>
  <c r="T64" i="2" s="1"/>
  <c r="U100" i="2" s="1"/>
  <c r="S67" i="2"/>
  <c r="T67" i="2" s="1"/>
  <c r="S72" i="2"/>
  <c r="T72" i="2" s="1"/>
  <c r="S66" i="2"/>
  <c r="T66" i="2" s="1"/>
  <c r="U102" i="2" s="1"/>
  <c r="S63" i="2"/>
  <c r="T63" i="2" s="1"/>
  <c r="S12" i="2"/>
  <c r="T12" i="2" s="1"/>
  <c r="U48" i="2" s="1"/>
  <c r="S73" i="2"/>
  <c r="T73" i="2" s="1"/>
  <c r="U107" i="2" s="1"/>
  <c r="S21" i="2"/>
  <c r="T21" i="2" s="1"/>
  <c r="S71" i="2"/>
  <c r="T71" i="2" s="1"/>
  <c r="U105" i="2" s="1"/>
  <c r="S19" i="2"/>
  <c r="T19" i="2" s="1"/>
  <c r="U55" i="2" s="1"/>
  <c r="S14" i="2"/>
  <c r="T14" i="2" s="1"/>
  <c r="U50" i="2" s="1"/>
  <c r="AY22" i="2"/>
  <c r="BO176" i="1"/>
  <c r="BO64" i="1"/>
  <c r="BO247" i="1" s="1"/>
  <c r="BO61" i="1"/>
  <c r="BO170" i="1"/>
  <c r="BO55" i="1"/>
  <c r="BO189" i="1"/>
  <c r="BO183" i="1"/>
  <c r="BO181" i="1"/>
  <c r="BO180" i="1"/>
  <c r="BO187" i="1"/>
  <c r="BO186" i="1"/>
  <c r="BO185" i="1"/>
  <c r="BO184" i="1"/>
  <c r="BO151" i="1"/>
  <c r="BO177" i="1"/>
  <c r="BO179" i="1"/>
  <c r="BO152" i="1"/>
  <c r="BO45" i="1"/>
  <c r="BH123" i="1"/>
  <c r="BH154" i="1" s="1"/>
  <c r="BO123" i="1"/>
  <c r="W268" i="1"/>
  <c r="AA268" i="1"/>
  <c r="F27" i="1"/>
  <c r="F43" i="1" s="1"/>
  <c r="H27" i="1"/>
  <c r="H42" i="1" s="1"/>
  <c r="E88" i="1"/>
  <c r="E27" i="1"/>
  <c r="C39" i="1"/>
  <c r="C27" i="1"/>
  <c r="C43" i="1" s="1"/>
  <c r="BH249" i="1"/>
  <c r="BH176" i="1"/>
  <c r="BH262" i="1"/>
  <c r="BH189" i="1"/>
  <c r="BH183" i="1"/>
  <c r="BH256" i="1"/>
  <c r="BH254" i="1"/>
  <c r="BH181" i="1"/>
  <c r="BH253" i="1"/>
  <c r="BH180" i="1"/>
  <c r="BH64" i="1"/>
  <c r="BH55" i="1"/>
  <c r="BH61" i="1"/>
  <c r="BH170" i="1"/>
  <c r="BH260" i="1"/>
  <c r="BH187" i="1"/>
  <c r="BH259" i="1"/>
  <c r="BH186" i="1"/>
  <c r="BH258" i="1"/>
  <c r="BH185" i="1"/>
  <c r="BH184" i="1"/>
  <c r="BH257" i="1"/>
  <c r="BH151" i="1"/>
  <c r="BH250" i="1"/>
  <c r="BH177" i="1"/>
  <c r="BH152" i="1"/>
  <c r="BH45" i="1"/>
  <c r="BH179" i="1"/>
  <c r="AN210" i="1"/>
  <c r="AO285" i="1"/>
  <c r="T61" i="1"/>
  <c r="Q78" i="2"/>
  <c r="BD250" i="1"/>
  <c r="BD177" i="1"/>
  <c r="BD151" i="1"/>
  <c r="U252" i="1"/>
  <c r="U123" i="1"/>
  <c r="U193" i="1" s="1"/>
  <c r="U266" i="1" s="1"/>
  <c r="BD123" i="1"/>
  <c r="AR231" i="1"/>
  <c r="V66" i="1"/>
  <c r="V249" i="1" s="1"/>
  <c r="U64" i="1"/>
  <c r="U174" i="1" s="1"/>
  <c r="AR276" i="1"/>
  <c r="AR279" i="1" s="1"/>
  <c r="U262" i="1"/>
  <c r="V71" i="1"/>
  <c r="V181" i="1" s="1"/>
  <c r="U180" i="1"/>
  <c r="AR204" i="1"/>
  <c r="AR203" i="1"/>
  <c r="V77" i="1"/>
  <c r="V260" i="1" s="1"/>
  <c r="BD258" i="1"/>
  <c r="BD185" i="1"/>
  <c r="V74" i="1"/>
  <c r="W74" i="1" s="1"/>
  <c r="W184" i="1" s="1"/>
  <c r="AI158" i="1"/>
  <c r="H238" i="1"/>
  <c r="I238" i="1"/>
  <c r="AN231" i="1"/>
  <c r="AN223" i="1"/>
  <c r="AN230" i="1"/>
  <c r="AN52" i="1"/>
  <c r="AR52" i="1"/>
  <c r="AP285" i="1"/>
  <c r="AP210" i="1"/>
  <c r="H244" i="1"/>
  <c r="I244" i="1"/>
  <c r="H165" i="1"/>
  <c r="I165" i="1"/>
  <c r="AI207" i="1"/>
  <c r="H171" i="1"/>
  <c r="I171" i="1"/>
  <c r="AI150" i="1"/>
  <c r="AO223" i="1"/>
  <c r="AO231" i="1"/>
  <c r="AO230" i="1"/>
  <c r="AV285" i="1"/>
  <c r="AV210" i="1"/>
  <c r="AS230" i="1"/>
  <c r="AS231" i="1"/>
  <c r="AS223" i="1"/>
  <c r="AT231" i="1"/>
  <c r="AT230" i="1"/>
  <c r="AT223" i="1"/>
  <c r="G238" i="1"/>
  <c r="G165" i="1"/>
  <c r="AG179" i="1"/>
  <c r="Z100" i="2"/>
  <c r="Y93" i="2"/>
  <c r="Y76" i="2"/>
  <c r="G78" i="2"/>
  <c r="G76" i="2"/>
  <c r="U34" i="2"/>
  <c r="U24" i="2"/>
  <c r="G26" i="2"/>
  <c r="G24" i="2"/>
  <c r="D181" i="1"/>
  <c r="Y35" i="2"/>
  <c r="Y24" i="2"/>
  <c r="F179" i="1"/>
  <c r="Y243" i="1"/>
  <c r="Y245" i="1" s="1"/>
  <c r="E93" i="1"/>
  <c r="E152" i="1" s="1"/>
  <c r="E225" i="1" s="1"/>
  <c r="E252" i="1"/>
  <c r="AC73" i="1"/>
  <c r="AC256" i="1" s="1"/>
  <c r="E181" i="1"/>
  <c r="AI285" i="1"/>
  <c r="Y253" i="1"/>
  <c r="X181" i="1"/>
  <c r="F93" i="1"/>
  <c r="F152" i="1" s="1"/>
  <c r="F225" i="1" s="1"/>
  <c r="U78" i="2"/>
  <c r="E89" i="2"/>
  <c r="E88" i="2"/>
  <c r="Q91" i="2"/>
  <c r="D83" i="2"/>
  <c r="D89" i="2"/>
  <c r="D88" i="2"/>
  <c r="C83" i="2"/>
  <c r="C89" i="2"/>
  <c r="C88" i="2"/>
  <c r="F715" i="3"/>
  <c r="F717" i="3"/>
  <c r="F713" i="3"/>
  <c r="T179" i="1"/>
  <c r="AG256" i="1"/>
  <c r="E584" i="3"/>
  <c r="F579" i="3"/>
  <c r="F583" i="3"/>
  <c r="F581" i="3"/>
  <c r="AI165" i="1"/>
  <c r="Z87" i="1"/>
  <c r="Z148" i="1" s="1"/>
  <c r="Z221" i="1" s="1"/>
  <c r="E629" i="3"/>
  <c r="F624" i="3"/>
  <c r="F628" i="3"/>
  <c r="F626" i="3"/>
  <c r="G669" i="3"/>
  <c r="G671" i="3"/>
  <c r="G673" i="3"/>
  <c r="AT206" i="1"/>
  <c r="AT158" i="1"/>
  <c r="AD165" i="1"/>
  <c r="AH165" i="1"/>
  <c r="AS157" i="1"/>
  <c r="AS207" i="1"/>
  <c r="AS285" i="1"/>
  <c r="AS210" i="1"/>
  <c r="AT150" i="1"/>
  <c r="AT285" i="1"/>
  <c r="AT210" i="1"/>
  <c r="AS281" i="1"/>
  <c r="AS278" i="1"/>
  <c r="AS282" i="1"/>
  <c r="AS279" i="1"/>
  <c r="AT157" i="1"/>
  <c r="AT207" i="1"/>
  <c r="AC165" i="1"/>
  <c r="AG165" i="1"/>
  <c r="AS158" i="1"/>
  <c r="AS206" i="1"/>
  <c r="AS150" i="1"/>
  <c r="AT279" i="1"/>
  <c r="AT278" i="1"/>
  <c r="AT282" i="1"/>
  <c r="AT281" i="1"/>
  <c r="E36" i="2"/>
  <c r="E37" i="2"/>
  <c r="D31" i="2"/>
  <c r="D36" i="2"/>
  <c r="D37" i="2"/>
  <c r="C39" i="2"/>
  <c r="C36" i="2"/>
  <c r="C37" i="2"/>
  <c r="AF42" i="2"/>
  <c r="AF94" i="2"/>
  <c r="X260" i="1"/>
  <c r="T252" i="1"/>
  <c r="U179" i="1"/>
  <c r="X259" i="1"/>
  <c r="X186" i="1"/>
  <c r="U93" i="2"/>
  <c r="Q93" i="2"/>
  <c r="AR158" i="1"/>
  <c r="AR206" i="1"/>
  <c r="T183" i="1"/>
  <c r="AR157" i="1"/>
  <c r="AR207" i="1"/>
  <c r="X254" i="1"/>
  <c r="AI89" i="1"/>
  <c r="AR150" i="1"/>
  <c r="AB183" i="1"/>
  <c r="C258" i="1"/>
  <c r="U91" i="2"/>
  <c r="AR210" i="1"/>
  <c r="AR285" i="1"/>
  <c r="T256" i="1"/>
  <c r="Y180" i="1"/>
  <c r="AC181" i="1"/>
  <c r="G717" i="3"/>
  <c r="G713" i="3"/>
  <c r="G715" i="3"/>
  <c r="D170" i="1"/>
  <c r="D172" i="1" s="1"/>
  <c r="AC185" i="1"/>
  <c r="AD74" i="1"/>
  <c r="AE74" i="1" s="1"/>
  <c r="Y176" i="1"/>
  <c r="AG45" i="1"/>
  <c r="AC180" i="1"/>
  <c r="AD67" i="1"/>
  <c r="AE67" i="1" s="1"/>
  <c r="AH65" i="1"/>
  <c r="AH248" i="1" s="1"/>
  <c r="AH73" i="1"/>
  <c r="W37" i="1"/>
  <c r="AH76" i="1"/>
  <c r="AI76" i="1" s="1"/>
  <c r="AH69" i="1"/>
  <c r="AI69" i="1" s="1"/>
  <c r="AC189" i="1"/>
  <c r="AD66" i="1"/>
  <c r="AE66" i="1" s="1"/>
  <c r="AF29" i="1"/>
  <c r="AF32" i="1" s="1"/>
  <c r="AH77" i="1"/>
  <c r="AH260" i="1" s="1"/>
  <c r="AI223" i="1"/>
  <c r="AI230" i="1"/>
  <c r="AI231" i="1"/>
  <c r="G93" i="2"/>
  <c r="H108" i="2"/>
  <c r="G39" i="2"/>
  <c r="H58" i="2"/>
  <c r="E34" i="2"/>
  <c r="E93" i="2"/>
  <c r="F40" i="2"/>
  <c r="F26" i="2"/>
  <c r="W13" i="2"/>
  <c r="X13" i="2" s="1"/>
  <c r="F3" i="2"/>
  <c r="G3" i="2" s="1"/>
  <c r="H3" i="2" s="1"/>
  <c r="J3" i="2" s="1"/>
  <c r="L3" i="2" s="1"/>
  <c r="H193" i="1"/>
  <c r="H266" i="1" s="1"/>
  <c r="E64" i="1"/>
  <c r="E247" i="1" s="1"/>
  <c r="D260" i="1"/>
  <c r="C256" i="1"/>
  <c r="E248" i="1"/>
  <c r="AC227" i="1"/>
  <c r="E809" i="3"/>
  <c r="E811" i="3" s="1"/>
  <c r="E769" i="3"/>
  <c r="G32" i="2"/>
  <c r="Z107" i="2"/>
  <c r="E84" i="2"/>
  <c r="W11" i="2"/>
  <c r="W47" i="2" s="1"/>
  <c r="V48" i="2"/>
  <c r="W67" i="2"/>
  <c r="W103" i="2" s="1"/>
  <c r="G31" i="2"/>
  <c r="F32" i="2"/>
  <c r="C35" i="2"/>
  <c r="G40" i="2"/>
  <c r="AH87" i="1"/>
  <c r="AH148" i="1" s="1"/>
  <c r="AH221" i="1" s="1"/>
  <c r="AB252" i="1"/>
  <c r="H258" i="1"/>
  <c r="F193" i="1"/>
  <c r="F266" i="1" s="1"/>
  <c r="H260" i="1"/>
  <c r="T259" i="1"/>
  <c r="T186" i="1"/>
  <c r="AF43" i="1"/>
  <c r="AF128" i="1"/>
  <c r="AF145" i="1" s="1"/>
  <c r="H201" i="1"/>
  <c r="H285" i="1" s="1"/>
  <c r="D248" i="1"/>
  <c r="AH40" i="1"/>
  <c r="AF72" i="1"/>
  <c r="AF182" i="1" s="1"/>
  <c r="AF178" i="1"/>
  <c r="H179" i="1"/>
  <c r="D49" i="1"/>
  <c r="D51" i="1" s="1"/>
  <c r="E243" i="1"/>
  <c r="AB187" i="1"/>
  <c r="AA164" i="1"/>
  <c r="AE165" i="1" s="1"/>
  <c r="AH41" i="1"/>
  <c r="Y249" i="1"/>
  <c r="W102" i="1"/>
  <c r="W103" i="1" s="1"/>
  <c r="AA70" i="1"/>
  <c r="Z253" i="1"/>
  <c r="AB171" i="1"/>
  <c r="Z71" i="1"/>
  <c r="Z254" i="1" s="1"/>
  <c r="AB247" i="1"/>
  <c r="H154" i="1"/>
  <c r="H227" i="1" s="1"/>
  <c r="U253" i="1"/>
  <c r="X252" i="1"/>
  <c r="F185" i="1"/>
  <c r="Y58" i="1"/>
  <c r="AC69" i="1"/>
  <c r="AC45" i="1" s="1"/>
  <c r="Z40" i="1"/>
  <c r="D243" i="1"/>
  <c r="X193" i="1"/>
  <c r="X266" i="1" s="1"/>
  <c r="F39" i="1"/>
  <c r="AD238" i="1"/>
  <c r="X154" i="1"/>
  <c r="X227" i="1" s="1"/>
  <c r="F49" i="1"/>
  <c r="F51" i="1" s="1"/>
  <c r="H45" i="1"/>
  <c r="C187" i="1"/>
  <c r="W164" i="1"/>
  <c r="E936" i="3"/>
  <c r="W35" i="1"/>
  <c r="C87" i="2"/>
  <c r="AB64" i="2"/>
  <c r="U41" i="2"/>
  <c r="I963" i="3"/>
  <c r="G935" i="3"/>
  <c r="E259" i="1"/>
  <c r="D258" i="1"/>
  <c r="H252" i="1"/>
  <c r="X248" i="1"/>
  <c r="AC177" i="1"/>
  <c r="Y49" i="1"/>
  <c r="Y51" i="1" s="1"/>
  <c r="AE107" i="1"/>
  <c r="AE106" i="1" s="1"/>
  <c r="W36" i="1"/>
  <c r="W38" i="1"/>
  <c r="AB73" i="2"/>
  <c r="AB107" i="2" s="1"/>
  <c r="D256" i="1"/>
  <c r="C257" i="1"/>
  <c r="T45" i="1"/>
  <c r="AD39" i="1"/>
  <c r="G86" i="2"/>
  <c r="G82" i="2"/>
  <c r="E26" i="2"/>
  <c r="Y27" i="1"/>
  <c r="Y43" i="1" s="1"/>
  <c r="E258" i="1"/>
  <c r="AG103" i="1"/>
  <c r="AG259" i="1"/>
  <c r="AG186" i="1"/>
  <c r="AG248" i="1"/>
  <c r="AG175" i="1"/>
  <c r="AG68" i="1"/>
  <c r="E179" i="1"/>
  <c r="Y87" i="1"/>
  <c r="Y148" i="1" s="1"/>
  <c r="Y221" i="1" s="1"/>
  <c r="Z105" i="2"/>
  <c r="C40" i="2"/>
  <c r="AF126" i="1"/>
  <c r="AF271" i="1" s="1"/>
  <c r="AG260" i="1"/>
  <c r="AG187" i="1"/>
  <c r="C64" i="1"/>
  <c r="C174" i="1" s="1"/>
  <c r="D87" i="2"/>
  <c r="AA62" i="2"/>
  <c r="AB62" i="2" s="1"/>
  <c r="AF129" i="1"/>
  <c r="AF155" i="1" s="1"/>
  <c r="AF228" i="1" s="1"/>
  <c r="C243" i="1"/>
  <c r="C245" i="1" s="1"/>
  <c r="U184" i="1"/>
  <c r="U257" i="1"/>
  <c r="D968" i="3"/>
  <c r="D978" i="3" s="1"/>
  <c r="D979" i="3" s="1"/>
  <c r="AD193" i="1"/>
  <c r="AD266" i="1" s="1"/>
  <c r="X174" i="1"/>
  <c r="AB172" i="1"/>
  <c r="F88" i="1"/>
  <c r="U260" i="1"/>
  <c r="AD27" i="1"/>
  <c r="AD29" i="1" s="1"/>
  <c r="AD32" i="1" s="1"/>
  <c r="Y170" i="1"/>
  <c r="Y172" i="1" s="1"/>
  <c r="AD161" i="1"/>
  <c r="H223" i="1"/>
  <c r="H150" i="1"/>
  <c r="D174" i="1"/>
  <c r="D247" i="1"/>
  <c r="E943" i="3"/>
  <c r="U176" i="1"/>
  <c r="Y154" i="1"/>
  <c r="Y227" i="1" s="1"/>
  <c r="H103" i="1"/>
  <c r="AA102" i="1"/>
  <c r="H49" i="1"/>
  <c r="H51" i="1" s="1"/>
  <c r="H39" i="1"/>
  <c r="Y258" i="1"/>
  <c r="D165" i="1"/>
  <c r="AC64" i="1"/>
  <c r="AC174" i="1" s="1"/>
  <c r="E49" i="1"/>
  <c r="E51" i="1" s="1"/>
  <c r="AA112" i="1"/>
  <c r="AA111" i="1" s="1"/>
  <c r="W112" i="1"/>
  <c r="W111" i="1" s="1"/>
  <c r="AC170" i="1"/>
  <c r="E238" i="1"/>
  <c r="Y64" i="1"/>
  <c r="C49" i="1"/>
  <c r="C51" i="1" s="1"/>
  <c r="C55" i="1" s="1"/>
  <c r="X161" i="1"/>
  <c r="H143" i="1"/>
  <c r="Y61" i="1"/>
  <c r="C143" i="1"/>
  <c r="C210" i="1" s="1"/>
  <c r="AC116" i="1"/>
  <c r="AC41" i="1" s="1"/>
  <c r="V116" i="1"/>
  <c r="V125" i="1" s="1"/>
  <c r="U249" i="1"/>
  <c r="U243" i="1"/>
  <c r="U245" i="1" s="1"/>
  <c r="Z75" i="1"/>
  <c r="Y116" i="1"/>
  <c r="Y41" i="1" s="1"/>
  <c r="E877" i="3"/>
  <c r="E882" i="3"/>
  <c r="T96" i="1"/>
  <c r="T134" i="1" s="1"/>
  <c r="T234" i="1" s="1"/>
  <c r="T161" i="1"/>
  <c r="D43" i="1"/>
  <c r="D42" i="1"/>
  <c r="H116" i="1"/>
  <c r="H125" i="1" s="1"/>
  <c r="T170" i="1"/>
  <c r="T172" i="1" s="1"/>
  <c r="V154" i="1"/>
  <c r="V227" i="1" s="1"/>
  <c r="W107" i="1"/>
  <c r="W106" i="1" s="1"/>
  <c r="E928" i="3"/>
  <c r="Y259" i="1"/>
  <c r="Z193" i="1"/>
  <c r="Z266" i="1" s="1"/>
  <c r="D88" i="1"/>
  <c r="D68" i="1"/>
  <c r="D72" i="1" s="1"/>
  <c r="AE112" i="1"/>
  <c r="AE111" i="1" s="1"/>
  <c r="D39" i="1"/>
  <c r="Z116" i="1"/>
  <c r="Z126" i="1" s="1"/>
  <c r="Y189" i="1"/>
  <c r="E61" i="1"/>
  <c r="J957" i="3"/>
  <c r="V193" i="1"/>
  <c r="V266" i="1" s="1"/>
  <c r="E170" i="1"/>
  <c r="H142" i="1"/>
  <c r="AD87" i="1"/>
  <c r="AD148" i="1" s="1"/>
  <c r="Z49" i="1"/>
  <c r="Z51" i="1" s="1"/>
  <c r="Z53" i="1" s="1"/>
  <c r="AE35" i="1"/>
  <c r="AG41" i="1"/>
  <c r="W19" i="1"/>
  <c r="W49" i="1" s="1"/>
  <c r="W51" i="1" s="1"/>
  <c r="AB87" i="1"/>
  <c r="AB148" i="1" s="1"/>
  <c r="AB221" i="1" s="1"/>
  <c r="Y254" i="1"/>
  <c r="J920" i="3"/>
  <c r="C170" i="1"/>
  <c r="C172" i="1" s="1"/>
  <c r="AA87" i="1"/>
  <c r="AA148" i="1" s="1"/>
  <c r="AA221" i="1" s="1"/>
  <c r="E60" i="1"/>
  <c r="C201" i="1"/>
  <c r="C285" i="1" s="1"/>
  <c r="AG40" i="1"/>
  <c r="C88" i="1"/>
  <c r="E923" i="3"/>
  <c r="C161" i="1"/>
  <c r="AB96" i="1"/>
  <c r="AB134" i="1" s="1"/>
  <c r="AB234" i="1" s="1"/>
  <c r="T64" i="1"/>
  <c r="T247" i="1" s="1"/>
  <c r="D116" i="1"/>
  <c r="D128" i="1" s="1"/>
  <c r="AE37" i="1"/>
  <c r="E949" i="3"/>
  <c r="AA237" i="1"/>
  <c r="AE238" i="1" s="1"/>
  <c r="AA107" i="1"/>
  <c r="AA106" i="1" s="1"/>
  <c r="AF125" i="1"/>
  <c r="AF270" i="1" s="1"/>
  <c r="E944" i="3"/>
  <c r="T243" i="1"/>
  <c r="T245" i="1" s="1"/>
  <c r="E90" i="1"/>
  <c r="E143" i="1" s="1"/>
  <c r="Z39" i="1"/>
  <c r="AF41" i="1"/>
  <c r="W96" i="1"/>
  <c r="W134" i="1" s="1"/>
  <c r="W234" i="1" s="1"/>
  <c r="W161" i="1"/>
  <c r="J962" i="3"/>
  <c r="J824" i="3"/>
  <c r="AC76" i="1"/>
  <c r="AB186" i="1"/>
  <c r="H184" i="1"/>
  <c r="H257" i="1"/>
  <c r="C45" i="1"/>
  <c r="C93" i="1"/>
  <c r="C152" i="1" s="1"/>
  <c r="C225" i="1" s="1"/>
  <c r="C179" i="1"/>
  <c r="AA65" i="2"/>
  <c r="AB65" i="2" s="1"/>
  <c r="E970" i="3"/>
  <c r="I966" i="3"/>
  <c r="J966" i="3" s="1"/>
  <c r="E941" i="3"/>
  <c r="U254" i="1"/>
  <c r="U181" i="1"/>
  <c r="X172" i="1"/>
  <c r="AB165" i="1"/>
  <c r="AD79" i="1"/>
  <c r="AE79" i="1" s="1"/>
  <c r="D184" i="1"/>
  <c r="D257" i="1"/>
  <c r="AA96" i="1"/>
  <c r="AA134" i="1" s="1"/>
  <c r="AA234" i="1" s="1"/>
  <c r="AA161" i="1"/>
  <c r="D96" i="1"/>
  <c r="D134" i="1" s="1"/>
  <c r="D234" i="1" s="1"/>
  <c r="D161" i="1"/>
  <c r="AE19" i="1"/>
  <c r="AE27" i="1" s="1"/>
  <c r="J919" i="3"/>
  <c r="E990" i="3"/>
  <c r="E935" i="3"/>
  <c r="E959" i="3"/>
  <c r="E965" i="3"/>
  <c r="E977" i="3"/>
  <c r="J960" i="3"/>
  <c r="Z262" i="1"/>
  <c r="AA79" i="1"/>
  <c r="H68" i="1"/>
  <c r="H174" i="1"/>
  <c r="Z161" i="1"/>
  <c r="Z96" i="1"/>
  <c r="Z134" i="1" s="1"/>
  <c r="Z234" i="1" s="1"/>
  <c r="E961" i="3"/>
  <c r="Y262" i="1"/>
  <c r="E256" i="1"/>
  <c r="AC237" i="1"/>
  <c r="D238" i="1"/>
  <c r="E183" i="1"/>
  <c r="E886" i="3"/>
  <c r="AE102" i="1"/>
  <c r="V79" i="1"/>
  <c r="W79" i="1" s="1"/>
  <c r="U189" i="1"/>
  <c r="F68" i="1"/>
  <c r="T51" i="1"/>
  <c r="T53" i="1" s="1"/>
  <c r="Y69" i="1"/>
  <c r="Z69" i="1" s="1"/>
  <c r="X179" i="1"/>
  <c r="AD51" i="1"/>
  <c r="E960" i="3"/>
  <c r="E983" i="3"/>
  <c r="U27" i="1"/>
  <c r="U39" i="1"/>
  <c r="U49" i="1"/>
  <c r="U51" i="1" s="1"/>
  <c r="U53" i="1" s="1"/>
  <c r="J956" i="3"/>
  <c r="H247" i="1"/>
  <c r="AF238" i="1"/>
  <c r="AB238" i="1"/>
  <c r="Z189" i="1"/>
  <c r="AE161" i="1"/>
  <c r="AB116" i="1"/>
  <c r="D974" i="3" s="1"/>
  <c r="AC39" i="1"/>
  <c r="AC49" i="1"/>
  <c r="AC51" i="1" s="1"/>
  <c r="AE38" i="1"/>
  <c r="E989" i="3"/>
  <c r="H245" i="1"/>
  <c r="E988" i="3"/>
  <c r="E966" i="3"/>
  <c r="D929" i="3"/>
  <c r="E919" i="3"/>
  <c r="E948" i="3"/>
  <c r="E921" i="3"/>
  <c r="E922" i="3"/>
  <c r="F175" i="1"/>
  <c r="V161" i="1"/>
  <c r="Y161" i="1"/>
  <c r="Y96" i="1"/>
  <c r="Y134" i="1" s="1"/>
  <c r="Y234" i="1" s="1"/>
  <c r="F254" i="1"/>
  <c r="F181" i="1"/>
  <c r="Z67" i="1"/>
  <c r="Z250" i="1" s="1"/>
  <c r="Y177" i="1"/>
  <c r="Y250" i="1"/>
  <c r="E987" i="3"/>
  <c r="H172" i="1"/>
  <c r="F260" i="1"/>
  <c r="F187" i="1"/>
  <c r="D259" i="1"/>
  <c r="D186" i="1"/>
  <c r="V67" i="1"/>
  <c r="U250" i="1"/>
  <c r="U177" i="1"/>
  <c r="C175" i="1"/>
  <c r="D61" i="1"/>
  <c r="D90" i="1"/>
  <c r="Z73" i="1"/>
  <c r="AA73" i="1" s="1"/>
  <c r="Y183" i="1"/>
  <c r="Y256" i="1"/>
  <c r="AC42" i="1"/>
  <c r="AC43" i="1"/>
  <c r="AC29" i="1"/>
  <c r="AC32" i="1" s="1"/>
  <c r="AC96" i="1"/>
  <c r="AC134" i="1" s="1"/>
  <c r="AC234" i="1" s="1"/>
  <c r="AC161" i="1"/>
  <c r="E986" i="3"/>
  <c r="C149" i="1"/>
  <c r="C222" i="1" s="1"/>
  <c r="E193" i="1"/>
  <c r="E266" i="1" s="1"/>
  <c r="E40" i="1"/>
  <c r="AA105" i="2"/>
  <c r="AB71" i="2"/>
  <c r="E985" i="3"/>
  <c r="E964" i="3"/>
  <c r="E946" i="3"/>
  <c r="C254" i="1"/>
  <c r="C181" i="1"/>
  <c r="U161" i="1"/>
  <c r="U96" i="1"/>
  <c r="U134" i="1" s="1"/>
  <c r="U234" i="1" s="1"/>
  <c r="V101" i="2"/>
  <c r="W65" i="2"/>
  <c r="AC184" i="1"/>
  <c r="D45" i="1"/>
  <c r="D252" i="1"/>
  <c r="U187" i="1"/>
  <c r="F154" i="1"/>
  <c r="F227" i="1" s="1"/>
  <c r="C116" i="1"/>
  <c r="C41" i="1" s="1"/>
  <c r="U35" i="2"/>
  <c r="G977" i="3"/>
  <c r="J961" i="3"/>
  <c r="J955" i="3"/>
  <c r="J918" i="3"/>
  <c r="E893" i="3"/>
  <c r="X183" i="1"/>
  <c r="D179" i="1"/>
  <c r="C103" i="1"/>
  <c r="D93" i="1"/>
  <c r="D152" i="1" s="1"/>
  <c r="D225" i="1" s="1"/>
  <c r="AE123" i="1"/>
  <c r="X72" i="2"/>
  <c r="Y106" i="2" s="1"/>
  <c r="AB175" i="1"/>
  <c r="AC176" i="1"/>
  <c r="AA46" i="1"/>
  <c r="AD116" i="1"/>
  <c r="D932" i="3" s="1"/>
  <c r="U116" i="1"/>
  <c r="U129" i="1" s="1"/>
  <c r="F116" i="1"/>
  <c r="G85" i="2"/>
  <c r="G84" i="2"/>
  <c r="G108" i="2"/>
  <c r="W15" i="2"/>
  <c r="X15" i="2" s="1"/>
  <c r="X51" i="2" s="1"/>
  <c r="J917" i="3"/>
  <c r="C259" i="1"/>
  <c r="F252" i="1"/>
  <c r="AC193" i="1"/>
  <c r="AC266" i="1" s="1"/>
  <c r="E187" i="1"/>
  <c r="C180" i="1"/>
  <c r="AA66" i="1"/>
  <c r="Z249" i="1"/>
  <c r="U58" i="1"/>
  <c r="F78" i="2"/>
  <c r="F84" i="2"/>
  <c r="F91" i="2"/>
  <c r="F82" i="2"/>
  <c r="F86" i="2"/>
  <c r="W63" i="2"/>
  <c r="W99" i="2" s="1"/>
  <c r="V99" i="2"/>
  <c r="AA21" i="2"/>
  <c r="X256" i="1"/>
  <c r="Z245" i="1"/>
  <c r="H175" i="1"/>
  <c r="F174" i="1"/>
  <c r="AC103" i="1"/>
  <c r="F103" i="1"/>
  <c r="AD71" i="1"/>
  <c r="AD254" i="1" s="1"/>
  <c r="Z64" i="1"/>
  <c r="Z170" i="1"/>
  <c r="Z172" i="1" s="1"/>
  <c r="AD40" i="1"/>
  <c r="X27" i="1"/>
  <c r="X39" i="1"/>
  <c r="AF87" i="1"/>
  <c r="AE87" i="1"/>
  <c r="AE148" i="1" s="1"/>
  <c r="E83" i="2"/>
  <c r="E91" i="2"/>
  <c r="Y34" i="2"/>
  <c r="Y26" i="2"/>
  <c r="W20" i="2"/>
  <c r="W56" i="2" s="1"/>
  <c r="AA12" i="2"/>
  <c r="AC40" i="1"/>
  <c r="D108" i="2"/>
  <c r="D91" i="2"/>
  <c r="U31" i="2"/>
  <c r="U26" i="2"/>
  <c r="U32" i="2"/>
  <c r="U30" i="2"/>
  <c r="U39" i="2"/>
  <c r="E926" i="3"/>
  <c r="J914" i="3"/>
  <c r="F247" i="1"/>
  <c r="X245" i="1"/>
  <c r="F201" i="1"/>
  <c r="F285" i="1" s="1"/>
  <c r="Z180" i="1"/>
  <c r="AB179" i="1"/>
  <c r="U170" i="1"/>
  <c r="U172" i="1" s="1"/>
  <c r="F143" i="1"/>
  <c r="D103" i="1"/>
  <c r="X49" i="1"/>
  <c r="X51" i="1" s="1"/>
  <c r="X53" i="1" s="1"/>
  <c r="AB40" i="1"/>
  <c r="AB154" i="1"/>
  <c r="AB227" i="1" s="1"/>
  <c r="AE36" i="1"/>
  <c r="D29" i="1"/>
  <c r="D32" i="1" s="1"/>
  <c r="V39" i="1"/>
  <c r="V27" i="1"/>
  <c r="X87" i="1"/>
  <c r="X148" i="1" s="1"/>
  <c r="X221" i="1" s="1"/>
  <c r="W237" i="1"/>
  <c r="G91" i="2"/>
  <c r="C92" i="2"/>
  <c r="C91" i="2"/>
  <c r="C85" i="2"/>
  <c r="Z99" i="2"/>
  <c r="F172" i="1"/>
  <c r="H88" i="1"/>
  <c r="AD70" i="1"/>
  <c r="AE70" i="1" s="1"/>
  <c r="Z103" i="2"/>
  <c r="F31" i="2"/>
  <c r="AA14" i="2"/>
  <c r="F33" i="2"/>
  <c r="D852" i="3"/>
  <c r="E842" i="3"/>
  <c r="D843" i="3"/>
  <c r="Y92" i="2"/>
  <c r="Y78" i="2"/>
  <c r="E33" i="2"/>
  <c r="AA19" i="2"/>
  <c r="AA55" i="2" s="1"/>
  <c r="T10" i="2"/>
  <c r="U46" i="2" s="1"/>
  <c r="AF40" i="1"/>
  <c r="F30" i="2"/>
  <c r="Y193" i="1"/>
  <c r="Y266" i="1" s="1"/>
  <c r="AD75" i="1"/>
  <c r="AE75" i="1" s="1"/>
  <c r="AA66" i="2"/>
  <c r="AA10" i="2"/>
  <c r="AA46" i="2" s="1"/>
  <c r="J915" i="3"/>
  <c r="D887" i="3"/>
  <c r="E851" i="3"/>
  <c r="J913" i="3"/>
  <c r="D971" i="3"/>
  <c r="E947" i="3"/>
  <c r="J959" i="3"/>
  <c r="E945" i="3"/>
  <c r="E924" i="3"/>
  <c r="E906" i="3"/>
  <c r="E902" i="3"/>
  <c r="Y86" i="2"/>
  <c r="U84" i="2"/>
  <c r="Y82" i="2"/>
  <c r="T62" i="2"/>
  <c r="U98" i="2" s="1"/>
  <c r="Z55" i="2"/>
  <c r="E40" i="2"/>
  <c r="G35" i="2"/>
  <c r="D33" i="2"/>
  <c r="E31" i="2"/>
  <c r="U86" i="2"/>
  <c r="U82" i="2"/>
  <c r="V55" i="2"/>
  <c r="D40" i="2"/>
  <c r="F35" i="2"/>
  <c r="C31" i="2"/>
  <c r="Y84" i="2"/>
  <c r="Z50" i="2"/>
  <c r="E35" i="2"/>
  <c r="Y32" i="2"/>
  <c r="C93" i="2"/>
  <c r="AA67" i="2"/>
  <c r="Y30" i="2"/>
  <c r="Y39" i="2"/>
  <c r="V106" i="2"/>
  <c r="U92" i="2"/>
  <c r="C86" i="2"/>
  <c r="C82" i="2"/>
  <c r="Y41" i="2"/>
  <c r="E82" i="2"/>
  <c r="Q92" i="2"/>
  <c r="Y87" i="2"/>
  <c r="Y83" i="2"/>
  <c r="G58" i="2"/>
  <c r="F41" i="2"/>
  <c r="E32" i="2"/>
  <c r="E30" i="2"/>
  <c r="Y91" i="2"/>
  <c r="F108" i="2"/>
  <c r="G92" i="2"/>
  <c r="U87" i="2"/>
  <c r="Y85" i="2"/>
  <c r="U83" i="2"/>
  <c r="F58" i="2"/>
  <c r="E41" i="2"/>
  <c r="F39" i="2"/>
  <c r="D32" i="2"/>
  <c r="C84" i="2"/>
  <c r="F92" i="2"/>
  <c r="U85" i="2"/>
  <c r="D41" i="2"/>
  <c r="E39" i="2"/>
  <c r="C32" i="2"/>
  <c r="Z101" i="2"/>
  <c r="E92" i="2"/>
  <c r="G87" i="2"/>
  <c r="G83" i="2"/>
  <c r="F87" i="2"/>
  <c r="F85" i="2"/>
  <c r="F83" i="2"/>
  <c r="Y40" i="2"/>
  <c r="Y33" i="2"/>
  <c r="Y31" i="2"/>
  <c r="E86" i="2"/>
  <c r="E87" i="2"/>
  <c r="E85" i="2"/>
  <c r="U40" i="2"/>
  <c r="U33" i="2"/>
  <c r="AC42" i="2"/>
  <c r="AC94" i="2"/>
  <c r="AF53" i="1"/>
  <c r="AF55" i="1"/>
  <c r="F238" i="1"/>
  <c r="F245" i="1"/>
  <c r="AA20" i="2"/>
  <c r="AB20" i="2" s="1"/>
  <c r="Z56" i="2"/>
  <c r="D937" i="3"/>
  <c r="D927" i="3"/>
  <c r="F936" i="3"/>
  <c r="I924" i="3"/>
  <c r="J924" i="3" s="1"/>
  <c r="I922" i="3"/>
  <c r="J922" i="3" s="1"/>
  <c r="I921" i="3"/>
  <c r="E151" i="1"/>
  <c r="E224" i="1" s="1"/>
  <c r="U259" i="1"/>
  <c r="F259" i="1"/>
  <c r="V75" i="1"/>
  <c r="W75" i="1" s="1"/>
  <c r="U185" i="1"/>
  <c r="U258" i="1"/>
  <c r="Z74" i="1"/>
  <c r="Y184" i="1"/>
  <c r="Y257" i="1"/>
  <c r="AB244" i="1"/>
  <c r="AB245" i="1"/>
  <c r="U65" i="1"/>
  <c r="T175" i="1"/>
  <c r="T248" i="1"/>
  <c r="E879" i="3"/>
  <c r="E903" i="3"/>
  <c r="E907" i="3"/>
  <c r="E875" i="3"/>
  <c r="E880" i="3"/>
  <c r="E899" i="3"/>
  <c r="E904" i="3"/>
  <c r="E876" i="3"/>
  <c r="E881" i="3"/>
  <c r="E901" i="3"/>
  <c r="E905" i="3"/>
  <c r="AC243" i="1"/>
  <c r="J866" i="3"/>
  <c r="AC250" i="1"/>
  <c r="AC254" i="1"/>
  <c r="AC258" i="1"/>
  <c r="AC262" i="1"/>
  <c r="J908" i="3"/>
  <c r="AC249" i="1"/>
  <c r="AC253" i="1"/>
  <c r="AC257" i="1"/>
  <c r="E918" i="3"/>
  <c r="E917" i="3"/>
  <c r="E103" i="1"/>
  <c r="E148" i="1"/>
  <c r="E221" i="1" s="1"/>
  <c r="E165" i="1"/>
  <c r="F165" i="1"/>
  <c r="F150" i="1"/>
  <c r="AA58" i="1"/>
  <c r="Z58" i="1"/>
  <c r="V76" i="1"/>
  <c r="AC77" i="1"/>
  <c r="AC65" i="1"/>
  <c r="AB68" i="1"/>
  <c r="Y77" i="1"/>
  <c r="Z76" i="1"/>
  <c r="V70" i="1"/>
  <c r="W70" i="1" s="1"/>
  <c r="Y65" i="1"/>
  <c r="Z65" i="1" s="1"/>
  <c r="X68" i="1"/>
  <c r="AA59" i="1"/>
  <c r="Z61" i="1"/>
  <c r="AC61" i="1"/>
  <c r="AD59" i="1"/>
  <c r="AE46" i="1"/>
  <c r="W46" i="1"/>
  <c r="D46" i="1"/>
  <c r="U45" i="1"/>
  <c r="V69" i="1"/>
  <c r="E116" i="1"/>
  <c r="W123" i="1"/>
  <c r="S65" i="2"/>
  <c r="T65" i="2" s="1"/>
  <c r="R74" i="2"/>
  <c r="R76" i="2" s="1"/>
  <c r="U61" i="1"/>
  <c r="C61" i="1"/>
  <c r="X116" i="1"/>
  <c r="Z29" i="1"/>
  <c r="Z32" i="1" s="1"/>
  <c r="Z42" i="1"/>
  <c r="AB27" i="1"/>
  <c r="AB39" i="1"/>
  <c r="AB49" i="1"/>
  <c r="AB51" i="1" s="1"/>
  <c r="AF52" i="1" s="1"/>
  <c r="AC60" i="1"/>
  <c r="D60" i="1"/>
  <c r="E78" i="2"/>
  <c r="F60" i="1"/>
  <c r="AA123" i="1"/>
  <c r="AA8" i="1"/>
  <c r="AE8" i="1"/>
  <c r="AA19" i="1"/>
  <c r="AA72" i="2"/>
  <c r="AB72" i="2" s="1"/>
  <c r="Z74" i="2"/>
  <c r="W66" i="2"/>
  <c r="X66" i="2" s="1"/>
  <c r="V74" i="2"/>
  <c r="V76" i="2" s="1"/>
  <c r="AA99" i="2"/>
  <c r="D78" i="2"/>
  <c r="D82" i="2"/>
  <c r="D86" i="2"/>
  <c r="E108" i="2"/>
  <c r="D85" i="2"/>
  <c r="D93" i="2"/>
  <c r="D84" i="2"/>
  <c r="D92" i="2"/>
  <c r="S13" i="2"/>
  <c r="T13" i="2" s="1"/>
  <c r="AA37" i="1"/>
  <c r="T27" i="1"/>
  <c r="T39" i="1"/>
  <c r="E39" i="1"/>
  <c r="AA38" i="1"/>
  <c r="AA36" i="1"/>
  <c r="AA35" i="1"/>
  <c r="AA15" i="2"/>
  <c r="Z51" i="2"/>
  <c r="C78" i="2"/>
  <c r="W71" i="2"/>
  <c r="X71" i="2" s="1"/>
  <c r="AB63" i="2"/>
  <c r="W50" i="2"/>
  <c r="AA13" i="2"/>
  <c r="AB13" i="2" s="1"/>
  <c r="S11" i="2"/>
  <c r="T11" i="2" s="1"/>
  <c r="R22" i="2"/>
  <c r="R24" i="2" s="1"/>
  <c r="W73" i="2"/>
  <c r="X73" i="2" s="1"/>
  <c r="W62" i="2"/>
  <c r="X62" i="2" s="1"/>
  <c r="AA11" i="2"/>
  <c r="Z22" i="2"/>
  <c r="Z47" i="2"/>
  <c r="W64" i="2"/>
  <c r="X64" i="2" s="1"/>
  <c r="G30" i="2"/>
  <c r="G34" i="2"/>
  <c r="G33" i="2"/>
  <c r="G41" i="2"/>
  <c r="C26" i="2"/>
  <c r="C30" i="2"/>
  <c r="C34" i="2"/>
  <c r="C33" i="2"/>
  <c r="C41" i="2"/>
  <c r="S20" i="2"/>
  <c r="T20" i="2" s="1"/>
  <c r="S15" i="2"/>
  <c r="T15" i="2" s="1"/>
  <c r="W46" i="2"/>
  <c r="E58" i="2"/>
  <c r="D34" i="2"/>
  <c r="D30" i="2"/>
  <c r="D26" i="2"/>
  <c r="V22" i="2"/>
  <c r="X21" i="2"/>
  <c r="X19" i="2"/>
  <c r="X14" i="2"/>
  <c r="X12" i="2"/>
  <c r="X10" i="2"/>
  <c r="D58" i="2"/>
  <c r="V50" i="2"/>
  <c r="V46" i="2"/>
  <c r="D39" i="2"/>
  <c r="D35" i="2"/>
  <c r="AV83" i="2" l="1"/>
  <c r="AV85" i="2"/>
  <c r="AV92" i="2"/>
  <c r="AV87" i="2"/>
  <c r="AV91" i="2"/>
  <c r="U183" i="1"/>
  <c r="V73" i="1"/>
  <c r="W73" i="1" s="1"/>
  <c r="BO171" i="1"/>
  <c r="BS171" i="1"/>
  <c r="AV33" i="2"/>
  <c r="AV93" i="2"/>
  <c r="AV34" i="2"/>
  <c r="AV32" i="2"/>
  <c r="AV40" i="2"/>
  <c r="AV41" i="2"/>
  <c r="AV108" i="2"/>
  <c r="AV78" i="2"/>
  <c r="AV76" i="2"/>
  <c r="AV89" i="2"/>
  <c r="AV58" i="2"/>
  <c r="AV26" i="2"/>
  <c r="AV24" i="2"/>
  <c r="AV37" i="2"/>
  <c r="AV39" i="2"/>
  <c r="AV35" i="2"/>
  <c r="AV86" i="2"/>
  <c r="AE221" i="1"/>
  <c r="T193" i="1"/>
  <c r="T266" i="1" s="1"/>
  <c r="T154" i="1"/>
  <c r="T227" i="1" s="1"/>
  <c r="AD221" i="1"/>
  <c r="BJ284" i="1"/>
  <c r="BK285" i="1"/>
  <c r="BK284" i="1"/>
  <c r="BH128" i="1"/>
  <c r="BH273" i="1" s="1"/>
  <c r="BH281" i="1" s="1"/>
  <c r="BH171" i="1"/>
  <c r="BH125" i="1"/>
  <c r="BH270" i="1" s="1"/>
  <c r="BH278" i="1" s="1"/>
  <c r="BH193" i="1"/>
  <c r="BH266" i="1" s="1"/>
  <c r="V187" i="1"/>
  <c r="BH244" i="1"/>
  <c r="AY24" i="2"/>
  <c r="D252" i="3"/>
  <c r="D253" i="3" s="1"/>
  <c r="F253" i="3" s="1"/>
  <c r="BH40" i="1"/>
  <c r="H43" i="1"/>
  <c r="H29" i="1"/>
  <c r="H32" i="1" s="1"/>
  <c r="BO172" i="1"/>
  <c r="BO143" i="1"/>
  <c r="BO210" i="1" s="1"/>
  <c r="BO142" i="1"/>
  <c r="BO209" i="1" s="1"/>
  <c r="BO201" i="1"/>
  <c r="BO149" i="1"/>
  <c r="BO137" i="1"/>
  <c r="BO204" i="1" s="1"/>
  <c r="BO140" i="1"/>
  <c r="BO207" i="1" s="1"/>
  <c r="BO174" i="1"/>
  <c r="BO68" i="1"/>
  <c r="BO175" i="1"/>
  <c r="BO193" i="1"/>
  <c r="BO266" i="1" s="1"/>
  <c r="BO154" i="1"/>
  <c r="BO125" i="1"/>
  <c r="BO270" i="1" s="1"/>
  <c r="BO128" i="1"/>
  <c r="BO273" i="1" s="1"/>
  <c r="F29" i="1"/>
  <c r="F32" i="1" s="1"/>
  <c r="BH285" i="1"/>
  <c r="BH284" i="1"/>
  <c r="F42" i="1"/>
  <c r="U247" i="1"/>
  <c r="W77" i="1"/>
  <c r="W187" i="1" s="1"/>
  <c r="BH245" i="1"/>
  <c r="BH174" i="1"/>
  <c r="BH68" i="1"/>
  <c r="BH247" i="1"/>
  <c r="BH175" i="1"/>
  <c r="BH248" i="1"/>
  <c r="BH142" i="1"/>
  <c r="BH143" i="1"/>
  <c r="BH201" i="1"/>
  <c r="BH149" i="1"/>
  <c r="BH140" i="1"/>
  <c r="BH137" i="1"/>
  <c r="BH204" i="1" s="1"/>
  <c r="BH172" i="1"/>
  <c r="W257" i="1"/>
  <c r="AR278" i="1"/>
  <c r="AR281" i="1"/>
  <c r="AR282" i="1"/>
  <c r="V257" i="1"/>
  <c r="U154" i="1"/>
  <c r="U227" i="1" s="1"/>
  <c r="U40" i="1"/>
  <c r="V184" i="1"/>
  <c r="W71" i="1"/>
  <c r="W181" i="1" s="1"/>
  <c r="V254" i="1"/>
  <c r="V176" i="1"/>
  <c r="AB103" i="1"/>
  <c r="AR223" i="1"/>
  <c r="AR230" i="1"/>
  <c r="W66" i="1"/>
  <c r="W249" i="1" s="1"/>
  <c r="BD259" i="1"/>
  <c r="BD186" i="1"/>
  <c r="BD253" i="1"/>
  <c r="BD180" i="1"/>
  <c r="BD40" i="1"/>
  <c r="BD154" i="1"/>
  <c r="BD193" i="1"/>
  <c r="BD128" i="1"/>
  <c r="BD125" i="1"/>
  <c r="BD260" i="1"/>
  <c r="BD187" i="1"/>
  <c r="BD181" i="1"/>
  <c r="BD254" i="1"/>
  <c r="BD243" i="1"/>
  <c r="BD61" i="1"/>
  <c r="BD170" i="1"/>
  <c r="BD55" i="1"/>
  <c r="BD64" i="1"/>
  <c r="BD252" i="1"/>
  <c r="BD179" i="1"/>
  <c r="BD152" i="1"/>
  <c r="BD45" i="1"/>
  <c r="U68" i="1"/>
  <c r="U72" i="1" s="1"/>
  <c r="BD257" i="1"/>
  <c r="BD184" i="1"/>
  <c r="BD256" i="1"/>
  <c r="BD183" i="1"/>
  <c r="BD249" i="1"/>
  <c r="BD176" i="1"/>
  <c r="BD189" i="1"/>
  <c r="BD262" i="1"/>
  <c r="AN93" i="1"/>
  <c r="AO93" i="1"/>
  <c r="AP93" i="1"/>
  <c r="AV93" i="1"/>
  <c r="G244" i="1"/>
  <c r="H52" i="1"/>
  <c r="I52" i="1"/>
  <c r="E174" i="1"/>
  <c r="AD73" i="1"/>
  <c r="AE73" i="1" s="1"/>
  <c r="AH259" i="1"/>
  <c r="AH68" i="1"/>
  <c r="AH178" i="1" s="1"/>
  <c r="AC183" i="1"/>
  <c r="Z78" i="2"/>
  <c r="Z76" i="2"/>
  <c r="Z103" i="1"/>
  <c r="Z33" i="2"/>
  <c r="Z24" i="2"/>
  <c r="AA71" i="1"/>
  <c r="AA254" i="1" s="1"/>
  <c r="D92" i="1"/>
  <c r="Z181" i="1"/>
  <c r="AI92" i="1"/>
  <c r="V26" i="2"/>
  <c r="V24" i="2"/>
  <c r="H129" i="1"/>
  <c r="H155" i="1" s="1"/>
  <c r="H228" i="1" s="1"/>
  <c r="H230" i="1" s="1"/>
  <c r="F244" i="1"/>
  <c r="AI65" i="1"/>
  <c r="AI175" i="1" s="1"/>
  <c r="E245" i="1"/>
  <c r="F52" i="1"/>
  <c r="G52" i="1"/>
  <c r="AH252" i="1"/>
  <c r="AD249" i="1"/>
  <c r="AF198" i="1"/>
  <c r="E244" i="1"/>
  <c r="AH175" i="1"/>
  <c r="F142" i="1"/>
  <c r="F209" i="1" s="1"/>
  <c r="H53" i="1"/>
  <c r="V78" i="2"/>
  <c r="R78" i="2"/>
  <c r="AI77" i="1"/>
  <c r="AI260" i="1" s="1"/>
  <c r="G624" i="3"/>
  <c r="G628" i="3"/>
  <c r="G626" i="3"/>
  <c r="AC171" i="1"/>
  <c r="AG171" i="1"/>
  <c r="AD250" i="1"/>
  <c r="AR93" i="1"/>
  <c r="AT93" i="1"/>
  <c r="AS93" i="1"/>
  <c r="AF78" i="1"/>
  <c r="AF80" i="1" s="1"/>
  <c r="AF81" i="1" s="1"/>
  <c r="AF82" i="1" s="1"/>
  <c r="AF84" i="1" s="1"/>
  <c r="AD184" i="1"/>
  <c r="AD177" i="1"/>
  <c r="AH187" i="1"/>
  <c r="G579" i="3"/>
  <c r="G583" i="3"/>
  <c r="G581" i="3"/>
  <c r="W51" i="2"/>
  <c r="AH45" i="1"/>
  <c r="W49" i="2"/>
  <c r="AF255" i="1"/>
  <c r="Y45" i="1"/>
  <c r="AD60" i="1"/>
  <c r="AH60" i="1"/>
  <c r="X20" i="2"/>
  <c r="Y56" i="2" s="1"/>
  <c r="AD257" i="1"/>
  <c r="AD52" i="1"/>
  <c r="AH52" i="1"/>
  <c r="AF274" i="1"/>
  <c r="AG148" i="1"/>
  <c r="AG221" i="1" s="1"/>
  <c r="AC55" i="1"/>
  <c r="AC52" i="1"/>
  <c r="AG52" i="1"/>
  <c r="E68" i="1"/>
  <c r="E251" i="1" s="1"/>
  <c r="Y42" i="1"/>
  <c r="AD43" i="1"/>
  <c r="AH179" i="1"/>
  <c r="AD176" i="1"/>
  <c r="AH183" i="1"/>
  <c r="AH256" i="1"/>
  <c r="AI73" i="1"/>
  <c r="AI259" i="1"/>
  <c r="AI186" i="1"/>
  <c r="AC179" i="1"/>
  <c r="AI93" i="1"/>
  <c r="AI45" i="1"/>
  <c r="AI179" i="1"/>
  <c r="AI252" i="1"/>
  <c r="AD77" i="1"/>
  <c r="AE77" i="1" s="1"/>
  <c r="AC259" i="1"/>
  <c r="AE71" i="1"/>
  <c r="AE59" i="1"/>
  <c r="AM60" i="1" s="1"/>
  <c r="AH186" i="1"/>
  <c r="X63" i="2"/>
  <c r="X99" i="2" s="1"/>
  <c r="X11" i="2"/>
  <c r="X47" i="2" s="1"/>
  <c r="Y51" i="2"/>
  <c r="W22" i="2"/>
  <c r="W35" i="2" s="1"/>
  <c r="H210" i="1"/>
  <c r="D244" i="1"/>
  <c r="D245" i="1"/>
  <c r="AF156" i="1"/>
  <c r="AF229" i="1" s="1"/>
  <c r="E171" i="1"/>
  <c r="G171" i="1"/>
  <c r="E53" i="1"/>
  <c r="AC101" i="2"/>
  <c r="X67" i="2"/>
  <c r="X103" i="2" s="1"/>
  <c r="AC56" i="2"/>
  <c r="AC98" i="2"/>
  <c r="V32" i="2"/>
  <c r="AC99" i="2"/>
  <c r="AC107" i="2"/>
  <c r="AC49" i="2"/>
  <c r="AB98" i="2"/>
  <c r="AC105" i="2"/>
  <c r="AC106" i="2"/>
  <c r="V41" i="2"/>
  <c r="G94" i="2"/>
  <c r="E94" i="2"/>
  <c r="AH103" i="1"/>
  <c r="Y29" i="1"/>
  <c r="Y32" i="1" s="1"/>
  <c r="AF273" i="1"/>
  <c r="AF287" i="1" s="1"/>
  <c r="AF196" i="1"/>
  <c r="AF132" i="1"/>
  <c r="AF199" i="1"/>
  <c r="D125" i="1"/>
  <c r="D136" i="1" s="1"/>
  <c r="D203" i="1" s="1"/>
  <c r="AE88" i="1"/>
  <c r="AH88" i="1"/>
  <c r="AD42" i="1"/>
  <c r="AG91" i="1"/>
  <c r="AG151" i="1" s="1"/>
  <c r="AG224" i="1" s="1"/>
  <c r="AH91" i="1"/>
  <c r="AH151" i="1" s="1"/>
  <c r="AH224" i="1" s="1"/>
  <c r="AD53" i="1"/>
  <c r="AD181" i="1"/>
  <c r="Z125" i="1"/>
  <c r="Z195" i="1" s="1"/>
  <c r="Z129" i="1"/>
  <c r="Z132" i="1" s="1"/>
  <c r="AD69" i="1"/>
  <c r="AE69" i="1" s="1"/>
  <c r="AC252" i="1"/>
  <c r="Z128" i="1"/>
  <c r="Z198" i="1" s="1"/>
  <c r="AA253" i="1"/>
  <c r="AA180" i="1"/>
  <c r="E978" i="3"/>
  <c r="E979" i="3" s="1"/>
  <c r="E937" i="3"/>
  <c r="AC244" i="1"/>
  <c r="AG244" i="1"/>
  <c r="AC172" i="1"/>
  <c r="AA103" i="2"/>
  <c r="AB10" i="2"/>
  <c r="C68" i="1"/>
  <c r="C251" i="1" s="1"/>
  <c r="X106" i="2"/>
  <c r="AB19" i="2"/>
  <c r="AA101" i="2"/>
  <c r="Y103" i="1"/>
  <c r="C247" i="1"/>
  <c r="AA102" i="2"/>
  <c r="AG178" i="1"/>
  <c r="AG72" i="1"/>
  <c r="AG251" i="1"/>
  <c r="AC100" i="2"/>
  <c r="AB100" i="2"/>
  <c r="AB11" i="2"/>
  <c r="AB47" i="2" s="1"/>
  <c r="V86" i="2"/>
  <c r="AB105" i="2"/>
  <c r="Q94" i="2"/>
  <c r="U42" i="2"/>
  <c r="AA98" i="2"/>
  <c r="AB15" i="2"/>
  <c r="U94" i="2"/>
  <c r="Y94" i="2"/>
  <c r="AC238" i="1"/>
  <c r="AG238" i="1"/>
  <c r="F42" i="2"/>
  <c r="AD253" i="1"/>
  <c r="AB21" i="2"/>
  <c r="D969" i="3"/>
  <c r="F978" i="3"/>
  <c r="F979" i="3" s="1"/>
  <c r="E968" i="3"/>
  <c r="I964" i="3"/>
  <c r="V41" i="1"/>
  <c r="AA67" i="1"/>
  <c r="AC91" i="1" s="1"/>
  <c r="AC151" i="1" s="1"/>
  <c r="AC224" i="1" s="1"/>
  <c r="AE103" i="1"/>
  <c r="AC126" i="1"/>
  <c r="AC196" i="1" s="1"/>
  <c r="V126" i="1"/>
  <c r="V271" i="1" s="1"/>
  <c r="AA116" i="1"/>
  <c r="AA126" i="1" s="1"/>
  <c r="V129" i="1"/>
  <c r="V155" i="1" s="1"/>
  <c r="V228" i="1" s="1"/>
  <c r="AC129" i="1"/>
  <c r="AC132" i="1" s="1"/>
  <c r="V128" i="1"/>
  <c r="V156" i="1" s="1"/>
  <c r="V229" i="1" s="1"/>
  <c r="I967" i="3"/>
  <c r="AD76" i="1"/>
  <c r="AD259" i="1" s="1"/>
  <c r="AC247" i="1"/>
  <c r="C126" i="1"/>
  <c r="C271" i="1" s="1"/>
  <c r="C279" i="1" s="1"/>
  <c r="W116" i="1"/>
  <c r="W125" i="1" s="1"/>
  <c r="F171" i="1"/>
  <c r="AC125" i="1"/>
  <c r="AC195" i="1" s="1"/>
  <c r="Z177" i="1"/>
  <c r="Z41" i="1"/>
  <c r="H89" i="1"/>
  <c r="H55" i="1"/>
  <c r="AA75" i="1"/>
  <c r="Z258" i="1"/>
  <c r="Z185" i="1"/>
  <c r="Y128" i="1"/>
  <c r="Y145" i="1" s="1"/>
  <c r="W27" i="1"/>
  <c r="W43" i="1" s="1"/>
  <c r="E89" i="1"/>
  <c r="Y125" i="1"/>
  <c r="Y270" i="1" s="1"/>
  <c r="Y126" i="1"/>
  <c r="Y196" i="1" s="1"/>
  <c r="Y247" i="1"/>
  <c r="Y174" i="1"/>
  <c r="D126" i="1"/>
  <c r="D137" i="1" s="1"/>
  <c r="D204" i="1" s="1"/>
  <c r="AF195" i="1"/>
  <c r="Y129" i="1"/>
  <c r="Y132" i="1" s="1"/>
  <c r="AC128" i="1"/>
  <c r="AC156" i="1" s="1"/>
  <c r="AC229" i="1" s="1"/>
  <c r="E967" i="3"/>
  <c r="D129" i="1"/>
  <c r="D199" i="1" s="1"/>
  <c r="D41" i="1"/>
  <c r="E172" i="1"/>
  <c r="U128" i="1"/>
  <c r="U156" i="1" s="1"/>
  <c r="U229" i="1" s="1"/>
  <c r="H41" i="1"/>
  <c r="D251" i="1"/>
  <c r="AF88" i="1"/>
  <c r="AG88" i="1"/>
  <c r="D178" i="1"/>
  <c r="T68" i="1"/>
  <c r="T178" i="1" s="1"/>
  <c r="H209" i="1"/>
  <c r="H284" i="1"/>
  <c r="AE116" i="1"/>
  <c r="AE125" i="1" s="1"/>
  <c r="U125" i="1"/>
  <c r="U270" i="1" s="1"/>
  <c r="E142" i="1"/>
  <c r="E209" i="1" s="1"/>
  <c r="AD103" i="1"/>
  <c r="T174" i="1"/>
  <c r="E991" i="3"/>
  <c r="U41" i="1"/>
  <c r="Z55" i="1"/>
  <c r="AA103" i="1"/>
  <c r="H126" i="1"/>
  <c r="H271" i="1" s="1"/>
  <c r="H279" i="1" s="1"/>
  <c r="X55" i="1"/>
  <c r="D171" i="1"/>
  <c r="Y88" i="1"/>
  <c r="W39" i="1"/>
  <c r="Z88" i="1"/>
  <c r="X88" i="1"/>
  <c r="H128" i="1"/>
  <c r="H139" i="1" s="1"/>
  <c r="E201" i="1"/>
  <c r="E285" i="1" s="1"/>
  <c r="E149" i="1"/>
  <c r="E222" i="1" s="1"/>
  <c r="E55" i="1"/>
  <c r="AD180" i="1"/>
  <c r="AC245" i="1"/>
  <c r="W88" i="1"/>
  <c r="T128" i="1"/>
  <c r="T125" i="1"/>
  <c r="T41" i="1"/>
  <c r="T129" i="1"/>
  <c r="T126" i="1"/>
  <c r="AA249" i="1"/>
  <c r="AA176" i="1"/>
  <c r="E852" i="3"/>
  <c r="E853" i="3" s="1"/>
  <c r="D853" i="3"/>
  <c r="AF148" i="1"/>
  <c r="AF221" i="1" s="1"/>
  <c r="AF103" i="1"/>
  <c r="R33" i="2"/>
  <c r="R26" i="2"/>
  <c r="AE40" i="1"/>
  <c r="AE193" i="1"/>
  <c r="AE266" i="1" s="1"/>
  <c r="AE154" i="1"/>
  <c r="AE227" i="1" s="1"/>
  <c r="D884" i="3"/>
  <c r="D94" i="1"/>
  <c r="D153" i="1" s="1"/>
  <c r="D226" i="1" s="1"/>
  <c r="D255" i="1"/>
  <c r="D182" i="1"/>
  <c r="E925" i="3"/>
  <c r="E927" i="3" s="1"/>
  <c r="AB14" i="2"/>
  <c r="AA48" i="2"/>
  <c r="AB12" i="2"/>
  <c r="AA50" i="2"/>
  <c r="C29" i="1"/>
  <c r="C32" i="1" s="1"/>
  <c r="AE39" i="1"/>
  <c r="J963" i="3"/>
  <c r="J967" i="3" s="1"/>
  <c r="AD185" i="1"/>
  <c r="AD258" i="1"/>
  <c r="Z247" i="1"/>
  <c r="Z174" i="1"/>
  <c r="AD262" i="1"/>
  <c r="AD189" i="1"/>
  <c r="V195" i="1"/>
  <c r="V270" i="1"/>
  <c r="AE49" i="1"/>
  <c r="AE51" i="1" s="1"/>
  <c r="AM52" i="1" s="1"/>
  <c r="AF91" i="1"/>
  <c r="AF151" i="1" s="1"/>
  <c r="AF224" i="1" s="1"/>
  <c r="AE250" i="1"/>
  <c r="AE177" i="1"/>
  <c r="AE91" i="1"/>
  <c r="AE151" i="1" s="1"/>
  <c r="AE224" i="1" s="1"/>
  <c r="H72" i="1"/>
  <c r="H178" i="1"/>
  <c r="H251" i="1"/>
  <c r="T55" i="1"/>
  <c r="U126" i="1"/>
  <c r="U196" i="1" s="1"/>
  <c r="J921" i="3"/>
  <c r="J925" i="3" s="1"/>
  <c r="F210" i="1"/>
  <c r="AA189" i="1"/>
  <c r="AA262" i="1"/>
  <c r="V177" i="1"/>
  <c r="V250" i="1"/>
  <c r="F94" i="2"/>
  <c r="AB66" i="2"/>
  <c r="F128" i="1"/>
  <c r="F129" i="1"/>
  <c r="F41" i="1"/>
  <c r="F125" i="1"/>
  <c r="F126" i="1"/>
  <c r="V256" i="1"/>
  <c r="V183" i="1"/>
  <c r="Y252" i="1"/>
  <c r="Y179" i="1"/>
  <c r="AA256" i="1"/>
  <c r="AA183" i="1"/>
  <c r="V29" i="1"/>
  <c r="V32" i="1" s="1"/>
  <c r="V43" i="1"/>
  <c r="V42" i="1"/>
  <c r="W256" i="1"/>
  <c r="W183" i="1"/>
  <c r="AD129" i="1"/>
  <c r="AD125" i="1"/>
  <c r="AD128" i="1"/>
  <c r="AD41" i="1"/>
  <c r="AD126" i="1"/>
  <c r="U29" i="1"/>
  <c r="U32" i="1" s="1"/>
  <c r="U43" i="1"/>
  <c r="U42" i="1"/>
  <c r="F72" i="1"/>
  <c r="F178" i="1"/>
  <c r="F251" i="1"/>
  <c r="AB41" i="1"/>
  <c r="AB125" i="1"/>
  <c r="AB129" i="1"/>
  <c r="AB128" i="1"/>
  <c r="AB126" i="1"/>
  <c r="AE257" i="1"/>
  <c r="AE184" i="1"/>
  <c r="Z40" i="2"/>
  <c r="Z26" i="2"/>
  <c r="W101" i="2"/>
  <c r="X65" i="2"/>
  <c r="W67" i="1"/>
  <c r="Z91" i="1" s="1"/>
  <c r="Z151" i="1" s="1"/>
  <c r="Z224" i="1" s="1"/>
  <c r="C53" i="1"/>
  <c r="C89" i="1"/>
  <c r="C128" i="1"/>
  <c r="C129" i="1"/>
  <c r="C125" i="1"/>
  <c r="C150" i="1"/>
  <c r="C223" i="1"/>
  <c r="Z256" i="1"/>
  <c r="Z183" i="1"/>
  <c r="V189" i="1"/>
  <c r="V262" i="1"/>
  <c r="X29" i="1"/>
  <c r="X32" i="1" s="1"/>
  <c r="X43" i="1"/>
  <c r="X42" i="1"/>
  <c r="U155" i="1"/>
  <c r="U228" i="1" s="1"/>
  <c r="U199" i="1"/>
  <c r="U274" i="1"/>
  <c r="U132" i="1"/>
  <c r="Z196" i="1"/>
  <c r="Z271" i="1"/>
  <c r="C42" i="1"/>
  <c r="R85" i="2"/>
  <c r="D78" i="1"/>
  <c r="D80" i="1" s="1"/>
  <c r="D81" i="1" s="1"/>
  <c r="E950" i="3"/>
  <c r="C142" i="1"/>
  <c r="D143" i="1"/>
  <c r="D142" i="1"/>
  <c r="D201" i="1"/>
  <c r="D285" i="1" s="1"/>
  <c r="D149" i="1"/>
  <c r="D222" i="1" s="1"/>
  <c r="AC186" i="1"/>
  <c r="X103" i="1"/>
  <c r="E841" i="3"/>
  <c r="E866" i="3"/>
  <c r="C94" i="2"/>
  <c r="E42" i="2"/>
  <c r="Y42" i="2"/>
  <c r="AA74" i="2"/>
  <c r="T22" i="2"/>
  <c r="AB67" i="2"/>
  <c r="D94" i="2"/>
  <c r="AE43" i="1"/>
  <c r="AE29" i="1"/>
  <c r="AE32" i="1" s="1"/>
  <c r="AE42" i="1"/>
  <c r="AF212" i="1"/>
  <c r="W253" i="1"/>
  <c r="W180" i="1"/>
  <c r="X105" i="2"/>
  <c r="Y105" i="2"/>
  <c r="W185" i="1"/>
  <c r="W258" i="1"/>
  <c r="X102" i="2"/>
  <c r="Y102" i="2"/>
  <c r="U56" i="2"/>
  <c r="AB101" i="2"/>
  <c r="AC68" i="1"/>
  <c r="AC175" i="1"/>
  <c r="AC248" i="1"/>
  <c r="E210" i="1"/>
  <c r="AB56" i="2"/>
  <c r="AA22" i="2"/>
  <c r="AA24" i="2" s="1"/>
  <c r="AA47" i="2"/>
  <c r="U106" i="2"/>
  <c r="V84" i="2"/>
  <c r="V92" i="2"/>
  <c r="V108" i="2"/>
  <c r="V83" i="2"/>
  <c r="V87" i="2"/>
  <c r="V91" i="2"/>
  <c r="V82" i="2"/>
  <c r="V93" i="2"/>
  <c r="V85" i="2"/>
  <c r="Z84" i="2"/>
  <c r="Z108" i="2"/>
  <c r="Z83" i="2"/>
  <c r="Z87" i="2"/>
  <c r="Z91" i="2"/>
  <c r="Z82" i="2"/>
  <c r="Z86" i="2"/>
  <c r="Z85" i="2"/>
  <c r="Z93" i="2"/>
  <c r="AB106" i="2"/>
  <c r="R84" i="2"/>
  <c r="R92" i="2"/>
  <c r="R83" i="2"/>
  <c r="R87" i="2"/>
  <c r="R91" i="2"/>
  <c r="R82" i="2"/>
  <c r="R86" i="2"/>
  <c r="R93" i="2"/>
  <c r="E41" i="1"/>
  <c r="E125" i="1"/>
  <c r="E128" i="1"/>
  <c r="E126" i="1"/>
  <c r="E129" i="1"/>
  <c r="Z45" i="1"/>
  <c r="Z179" i="1"/>
  <c r="Z252" i="1"/>
  <c r="AA69" i="1"/>
  <c r="D53" i="1"/>
  <c r="D89" i="1"/>
  <c r="D52" i="1"/>
  <c r="D55" i="1"/>
  <c r="V58" i="1"/>
  <c r="W58" i="1"/>
  <c r="V59" i="1"/>
  <c r="Y68" i="1"/>
  <c r="Y175" i="1"/>
  <c r="Y248" i="1"/>
  <c r="W189" i="1"/>
  <c r="W262" i="1"/>
  <c r="AC187" i="1"/>
  <c r="AC260" i="1"/>
  <c r="AE249" i="1"/>
  <c r="AE176" i="1"/>
  <c r="X89" i="1"/>
  <c r="E883" i="3"/>
  <c r="AA74" i="1"/>
  <c r="Z184" i="1"/>
  <c r="Z257" i="1"/>
  <c r="I923" i="3"/>
  <c r="I925" i="3"/>
  <c r="AA56" i="2"/>
  <c r="X50" i="2"/>
  <c r="Y50" i="2"/>
  <c r="AB99" i="2"/>
  <c r="Y53" i="1"/>
  <c r="Y55" i="1"/>
  <c r="Z89" i="1"/>
  <c r="Y89" i="1"/>
  <c r="W40" i="1"/>
  <c r="W193" i="1"/>
  <c r="W266" i="1" s="1"/>
  <c r="W154" i="1"/>
  <c r="W227" i="1" s="1"/>
  <c r="Y187" i="1"/>
  <c r="Y260" i="1"/>
  <c r="V186" i="1"/>
  <c r="V259" i="1"/>
  <c r="U175" i="1"/>
  <c r="U248" i="1"/>
  <c r="V185" i="1"/>
  <c r="V258" i="1"/>
  <c r="F937" i="3"/>
  <c r="G936" i="3"/>
  <c r="G937" i="3" s="1"/>
  <c r="D42" i="2"/>
  <c r="U51" i="2"/>
  <c r="X98" i="2"/>
  <c r="Y98" i="2"/>
  <c r="U103" i="2"/>
  <c r="Y46" i="2"/>
  <c r="X46" i="2"/>
  <c r="G42" i="2"/>
  <c r="W100" i="2"/>
  <c r="Z41" i="2"/>
  <c r="Z32" i="2"/>
  <c r="Z58" i="2"/>
  <c r="Z30" i="2"/>
  <c r="Z31" i="2"/>
  <c r="Z34" i="2"/>
  <c r="Z39" i="2"/>
  <c r="Z35" i="2"/>
  <c r="W98" i="2"/>
  <c r="W74" i="2"/>
  <c r="X107" i="2"/>
  <c r="Y107" i="2"/>
  <c r="U47" i="2"/>
  <c r="AB49" i="2"/>
  <c r="U49" i="2"/>
  <c r="Z92" i="2"/>
  <c r="AA40" i="1"/>
  <c r="AA193" i="1"/>
  <c r="AA266" i="1" s="1"/>
  <c r="AA154" i="1"/>
  <c r="AA227" i="1" s="1"/>
  <c r="F53" i="1"/>
  <c r="F55" i="1"/>
  <c r="F89" i="1"/>
  <c r="AB43" i="1"/>
  <c r="AB29" i="1"/>
  <c r="AB32" i="1" s="1"/>
  <c r="AB42" i="1"/>
  <c r="U55" i="1"/>
  <c r="S74" i="2"/>
  <c r="AD61" i="1"/>
  <c r="AD90" i="1"/>
  <c r="AD64" i="1"/>
  <c r="AD55" i="1"/>
  <c r="AD170" i="1"/>
  <c r="AD243" i="1"/>
  <c r="AH244" i="1" s="1"/>
  <c r="AA65" i="1"/>
  <c r="Z186" i="1"/>
  <c r="Z259" i="1"/>
  <c r="AB72" i="1"/>
  <c r="AB178" i="1"/>
  <c r="AB251" i="1"/>
  <c r="F223" i="1"/>
  <c r="AA76" i="1"/>
  <c r="U99" i="2"/>
  <c r="T74" i="2"/>
  <c r="AA27" i="1"/>
  <c r="AA49" i="1"/>
  <c r="AA51" i="1" s="1"/>
  <c r="AC89" i="1" s="1"/>
  <c r="AC88" i="1"/>
  <c r="AA39" i="1"/>
  <c r="AD88" i="1"/>
  <c r="AA88" i="1"/>
  <c r="AB88" i="1"/>
  <c r="AB55" i="1"/>
  <c r="AB52" i="1"/>
  <c r="AB53" i="1"/>
  <c r="Z248" i="1"/>
  <c r="Z175" i="1"/>
  <c r="W76" i="1"/>
  <c r="X55" i="2"/>
  <c r="Y55" i="2"/>
  <c r="C42" i="2"/>
  <c r="Y100" i="2"/>
  <c r="X100" i="2"/>
  <c r="X49" i="2"/>
  <c r="Y49" i="2"/>
  <c r="R41" i="2"/>
  <c r="R32" i="2"/>
  <c r="R30" i="2"/>
  <c r="R39" i="2"/>
  <c r="R35" i="2"/>
  <c r="R34" i="2"/>
  <c r="R31" i="2"/>
  <c r="E29" i="1"/>
  <c r="E32" i="1" s="1"/>
  <c r="E43" i="1"/>
  <c r="E42" i="1"/>
  <c r="X48" i="2"/>
  <c r="Y48" i="2"/>
  <c r="V33" i="2"/>
  <c r="V40" i="2"/>
  <c r="V58" i="2"/>
  <c r="V34" i="2"/>
  <c r="V35" i="2"/>
  <c r="V30" i="2"/>
  <c r="V31" i="2"/>
  <c r="V39" i="2"/>
  <c r="R40" i="2"/>
  <c r="W107" i="2"/>
  <c r="S22" i="2"/>
  <c r="S24" i="2" s="1"/>
  <c r="AA49" i="2"/>
  <c r="W105" i="2"/>
  <c r="AA51" i="2"/>
  <c r="T43" i="1"/>
  <c r="T29" i="1"/>
  <c r="T32" i="1" s="1"/>
  <c r="T42" i="1"/>
  <c r="W102" i="2"/>
  <c r="AA106" i="2"/>
  <c r="X41" i="1"/>
  <c r="X125" i="1"/>
  <c r="X129" i="1"/>
  <c r="X126" i="1"/>
  <c r="X128" i="1"/>
  <c r="E52" i="1"/>
  <c r="U101" i="2"/>
  <c r="V45" i="1"/>
  <c r="V252" i="1"/>
  <c r="W69" i="1"/>
  <c r="V179" i="1"/>
  <c r="W53" i="1"/>
  <c r="W89" i="1"/>
  <c r="AC53" i="1"/>
  <c r="D139" i="1"/>
  <c r="D273" i="1"/>
  <c r="D287" i="1" s="1"/>
  <c r="D198" i="1"/>
  <c r="D145" i="1"/>
  <c r="D156" i="1"/>
  <c r="D229" i="1" s="1"/>
  <c r="AA64" i="1"/>
  <c r="AA90" i="1"/>
  <c r="AB90" i="1"/>
  <c r="AA61" i="1"/>
  <c r="AC90" i="1"/>
  <c r="AA170" i="1"/>
  <c r="AA172" i="1" s="1"/>
  <c r="AA243" i="1"/>
  <c r="AA245" i="1" s="1"/>
  <c r="X72" i="1"/>
  <c r="X178" i="1"/>
  <c r="X251" i="1"/>
  <c r="V180" i="1"/>
  <c r="V253" i="1"/>
  <c r="Z77" i="1"/>
  <c r="AD65" i="1"/>
  <c r="AE65" i="1" s="1"/>
  <c r="H136" i="1"/>
  <c r="H203" i="1" s="1"/>
  <c r="H195" i="1"/>
  <c r="H270" i="1"/>
  <c r="H278" i="1" s="1"/>
  <c r="E908" i="3"/>
  <c r="V65" i="1"/>
  <c r="Z68" i="1"/>
  <c r="AV94" i="2" l="1"/>
  <c r="AV42" i="2"/>
  <c r="BO278" i="1"/>
  <c r="BO72" i="1"/>
  <c r="BO94" i="1" s="1"/>
  <c r="BO251" i="1"/>
  <c r="BH136" i="1"/>
  <c r="BH203" i="1" s="1"/>
  <c r="BO287" i="1"/>
  <c r="BO281" i="1"/>
  <c r="BO223" i="1"/>
  <c r="BO230" i="1"/>
  <c r="BO284" i="1"/>
  <c r="BO285" i="1"/>
  <c r="BO279" i="1"/>
  <c r="BO282" i="1"/>
  <c r="BH145" i="1"/>
  <c r="BH212" i="1" s="1"/>
  <c r="U251" i="1"/>
  <c r="BH156" i="1"/>
  <c r="BH287" i="1"/>
  <c r="F92" i="1"/>
  <c r="BH198" i="1"/>
  <c r="BH139" i="1"/>
  <c r="BH158" i="1" s="1"/>
  <c r="BH195" i="1"/>
  <c r="W260" i="1"/>
  <c r="H92" i="1"/>
  <c r="D262" i="3"/>
  <c r="E252" i="3"/>
  <c r="E253" i="3" s="1"/>
  <c r="G253" i="3" s="1"/>
  <c r="BO150" i="1"/>
  <c r="BO139" i="1"/>
  <c r="BO206" i="1" s="1"/>
  <c r="BO198" i="1"/>
  <c r="BO156" i="1"/>
  <c r="BO231" i="1" s="1"/>
  <c r="BO145" i="1"/>
  <c r="BO212" i="1" s="1"/>
  <c r="BO178" i="1"/>
  <c r="BO136" i="1"/>
  <c r="BO203" i="1" s="1"/>
  <c r="BO195" i="1"/>
  <c r="BO157" i="1"/>
  <c r="BD244" i="1"/>
  <c r="BG276" i="1"/>
  <c r="BG284" i="1" s="1"/>
  <c r="BF276" i="1"/>
  <c r="BF284" i="1" s="1"/>
  <c r="BH157" i="1"/>
  <c r="BH207" i="1"/>
  <c r="BH72" i="1"/>
  <c r="BK94" i="1" s="1"/>
  <c r="BK153" i="1" s="1"/>
  <c r="BH178" i="1"/>
  <c r="BH251" i="1"/>
  <c r="BH150" i="1"/>
  <c r="BH209" i="1"/>
  <c r="BH210" i="1"/>
  <c r="U178" i="1"/>
  <c r="W176" i="1"/>
  <c r="W254" i="1"/>
  <c r="AI248" i="1"/>
  <c r="BD171" i="1"/>
  <c r="BD266" i="1"/>
  <c r="BD245" i="1"/>
  <c r="AR142" i="1"/>
  <c r="AR284" i="1" s="1"/>
  <c r="BD139" i="1"/>
  <c r="BD273" i="1"/>
  <c r="BD287" i="1" s="1"/>
  <c r="BD198" i="1"/>
  <c r="BD156" i="1"/>
  <c r="BD145" i="1"/>
  <c r="BD68" i="1"/>
  <c r="BD247" i="1"/>
  <c r="BD174" i="1"/>
  <c r="BD201" i="1"/>
  <c r="BD276" i="1" s="1"/>
  <c r="BD149" i="1"/>
  <c r="BD143" i="1"/>
  <c r="BD142" i="1"/>
  <c r="BD140" i="1"/>
  <c r="BD137" i="1"/>
  <c r="BD248" i="1"/>
  <c r="BD175" i="1"/>
  <c r="BD172" i="1"/>
  <c r="BD136" i="1"/>
  <c r="BD270" i="1"/>
  <c r="BD195" i="1"/>
  <c r="AV152" i="1"/>
  <c r="AV225" i="1" s="1"/>
  <c r="AV142" i="1"/>
  <c r="AO152" i="1"/>
  <c r="AO225" i="1" s="1"/>
  <c r="AO142" i="1"/>
  <c r="AP152" i="1"/>
  <c r="AP225" i="1" s="1"/>
  <c r="AP142" i="1"/>
  <c r="AN152" i="1"/>
  <c r="AN225" i="1" s="1"/>
  <c r="AN142" i="1"/>
  <c r="AD45" i="1"/>
  <c r="AH72" i="1"/>
  <c r="AH182" i="1" s="1"/>
  <c r="H132" i="1"/>
  <c r="AH251" i="1"/>
  <c r="AA181" i="1"/>
  <c r="AD183" i="1"/>
  <c r="AD256" i="1"/>
  <c r="AR152" i="1"/>
  <c r="AR225" i="1" s="1"/>
  <c r="H274" i="1"/>
  <c r="H282" i="1" s="1"/>
  <c r="H199" i="1"/>
  <c r="E178" i="1"/>
  <c r="D132" i="1"/>
  <c r="AD187" i="1"/>
  <c r="AD260" i="1"/>
  <c r="V196" i="1"/>
  <c r="H140" i="1"/>
  <c r="H157" i="1" s="1"/>
  <c r="F284" i="1"/>
  <c r="AI68" i="1"/>
  <c r="AI72" i="1" s="1"/>
  <c r="T76" i="2"/>
  <c r="S76" i="2"/>
  <c r="W76" i="2"/>
  <c r="AA85" i="2"/>
  <c r="AA76" i="2"/>
  <c r="AF188" i="1"/>
  <c r="W41" i="2"/>
  <c r="W24" i="2"/>
  <c r="AF261" i="1"/>
  <c r="T41" i="2"/>
  <c r="T24" i="2"/>
  <c r="AI187" i="1"/>
  <c r="AH92" i="1"/>
  <c r="C92" i="1"/>
  <c r="E92" i="1"/>
  <c r="E72" i="1"/>
  <c r="E255" i="1" s="1"/>
  <c r="D274" i="1"/>
  <c r="D282" i="1" s="1"/>
  <c r="Z155" i="1"/>
  <c r="Z228" i="1" s="1"/>
  <c r="D140" i="1"/>
  <c r="D207" i="1" s="1"/>
  <c r="Z199" i="1"/>
  <c r="W34" i="2"/>
  <c r="X56" i="2"/>
  <c r="AD172" i="1"/>
  <c r="AD171" i="1"/>
  <c r="AH171" i="1"/>
  <c r="AT152" i="1"/>
  <c r="AT225" i="1" s="1"/>
  <c r="AT142" i="1"/>
  <c r="AD179" i="1"/>
  <c r="T251" i="1"/>
  <c r="AD252" i="1"/>
  <c r="C137" i="1"/>
  <c r="C204" i="1" s="1"/>
  <c r="AS152" i="1"/>
  <c r="AS225" i="1" s="1"/>
  <c r="AS142" i="1"/>
  <c r="W26" i="2"/>
  <c r="X74" i="2"/>
  <c r="W58" i="2"/>
  <c r="Y99" i="2"/>
  <c r="Y47" i="2"/>
  <c r="AA125" i="1"/>
  <c r="AA195" i="1" s="1"/>
  <c r="W41" i="1"/>
  <c r="AE60" i="1"/>
  <c r="AI60" i="1"/>
  <c r="W129" i="1"/>
  <c r="W132" i="1" s="1"/>
  <c r="D270" i="1"/>
  <c r="D278" i="1" s="1"/>
  <c r="AH89" i="1"/>
  <c r="AE52" i="1"/>
  <c r="AI52" i="1"/>
  <c r="D195" i="1"/>
  <c r="X22" i="2"/>
  <c r="W126" i="1"/>
  <c r="W196" i="1" s="1"/>
  <c r="Z145" i="1"/>
  <c r="Z212" i="1" s="1"/>
  <c r="AI183" i="1"/>
  <c r="AI256" i="1"/>
  <c r="AI152" i="1"/>
  <c r="AI225" i="1" s="1"/>
  <c r="AI142" i="1"/>
  <c r="Z270" i="1"/>
  <c r="AE76" i="1"/>
  <c r="G978" i="3"/>
  <c r="G979" i="3" s="1"/>
  <c r="W40" i="2"/>
  <c r="W39" i="2"/>
  <c r="W33" i="2"/>
  <c r="W31" i="2"/>
  <c r="AA82" i="2"/>
  <c r="AB55" i="2"/>
  <c r="W32" i="2"/>
  <c r="W30" i="2"/>
  <c r="Y103" i="2"/>
  <c r="Y195" i="1"/>
  <c r="AC47" i="2"/>
  <c r="AB22" i="2"/>
  <c r="AC51" i="2"/>
  <c r="AC103" i="2"/>
  <c r="AC55" i="2"/>
  <c r="AC50" i="2"/>
  <c r="AB51" i="2"/>
  <c r="AC271" i="1"/>
  <c r="AC273" i="1"/>
  <c r="AC287" i="1" s="1"/>
  <c r="AE181" i="1"/>
  <c r="D155" i="1"/>
  <c r="D228" i="1" s="1"/>
  <c r="Z156" i="1"/>
  <c r="Z229" i="1" s="1"/>
  <c r="AA129" i="1"/>
  <c r="AA155" i="1" s="1"/>
  <c r="AA228" i="1" s="1"/>
  <c r="AA41" i="1"/>
  <c r="C196" i="1"/>
  <c r="Z273" i="1"/>
  <c r="Z287" i="1" s="1"/>
  <c r="AH90" i="1"/>
  <c r="D762" i="3" s="1"/>
  <c r="AH93" i="1"/>
  <c r="AH152" i="1" s="1"/>
  <c r="AH225" i="1" s="1"/>
  <c r="Z274" i="1"/>
  <c r="W128" i="1"/>
  <c r="W273" i="1" s="1"/>
  <c r="W287" i="1" s="1"/>
  <c r="C178" i="1"/>
  <c r="AA128" i="1"/>
  <c r="AA273" i="1" s="1"/>
  <c r="AA287" i="1" s="1"/>
  <c r="W250" i="1"/>
  <c r="AA177" i="1"/>
  <c r="W91" i="1"/>
  <c r="W151" i="1" s="1"/>
  <c r="W224" i="1" s="1"/>
  <c r="C72" i="1"/>
  <c r="C78" i="1" s="1"/>
  <c r="W177" i="1"/>
  <c r="AC274" i="1"/>
  <c r="AA250" i="1"/>
  <c r="AC46" i="2"/>
  <c r="AB46" i="2"/>
  <c r="AE254" i="1"/>
  <c r="Y273" i="1"/>
  <c r="Y287" i="1" s="1"/>
  <c r="Y198" i="1"/>
  <c r="AE248" i="1"/>
  <c r="AD245" i="1"/>
  <c r="AD244" i="1"/>
  <c r="AC270" i="1"/>
  <c r="AG78" i="1"/>
  <c r="AG255" i="1"/>
  <c r="AG182" i="1"/>
  <c r="AA91" i="1"/>
  <c r="AA151" i="1" s="1"/>
  <c r="AA224" i="1" s="1"/>
  <c r="AD91" i="1"/>
  <c r="AD151" i="1" s="1"/>
  <c r="AD224" i="1" s="1"/>
  <c r="AB91" i="1"/>
  <c r="AB151" i="1" s="1"/>
  <c r="AB224" i="1" s="1"/>
  <c r="E969" i="3"/>
  <c r="AD186" i="1"/>
  <c r="J964" i="3"/>
  <c r="J965" i="3" s="1"/>
  <c r="I965" i="3"/>
  <c r="T72" i="1"/>
  <c r="T182" i="1" s="1"/>
  <c r="AC198" i="1"/>
  <c r="AC145" i="1"/>
  <c r="AC212" i="1" s="1"/>
  <c r="V198" i="1"/>
  <c r="H273" i="1"/>
  <c r="V273" i="1"/>
  <c r="H198" i="1"/>
  <c r="E929" i="3"/>
  <c r="D271" i="1"/>
  <c r="D279" i="1" s="1"/>
  <c r="H156" i="1"/>
  <c r="H229" i="1" s="1"/>
  <c r="H231" i="1" s="1"/>
  <c r="D196" i="1"/>
  <c r="H145" i="1"/>
  <c r="H212" i="1" s="1"/>
  <c r="Y91" i="1"/>
  <c r="Y151" i="1" s="1"/>
  <c r="Y224" i="1" s="1"/>
  <c r="Y155" i="1"/>
  <c r="Y228" i="1" s="1"/>
  <c r="AC199" i="1"/>
  <c r="V274" i="1"/>
  <c r="V132" i="1"/>
  <c r="V199" i="1"/>
  <c r="X91" i="1"/>
  <c r="X151" i="1" s="1"/>
  <c r="X224" i="1" s="1"/>
  <c r="Y199" i="1"/>
  <c r="Y274" i="1"/>
  <c r="AC155" i="1"/>
  <c r="AC228" i="1" s="1"/>
  <c r="AE253" i="1"/>
  <c r="W42" i="1"/>
  <c r="U273" i="1"/>
  <c r="W29" i="1"/>
  <c r="W32" i="1" s="1"/>
  <c r="U198" i="1"/>
  <c r="AA185" i="1"/>
  <c r="AA258" i="1"/>
  <c r="E971" i="3"/>
  <c r="Y271" i="1"/>
  <c r="Y156" i="1"/>
  <c r="Y229" i="1" s="1"/>
  <c r="AA55" i="1"/>
  <c r="AE180" i="1"/>
  <c r="D890" i="3"/>
  <c r="AE128" i="1"/>
  <c r="AE273" i="1" s="1"/>
  <c r="AE287" i="1" s="1"/>
  <c r="D188" i="1"/>
  <c r="AE126" i="1"/>
  <c r="AE196" i="1" s="1"/>
  <c r="E223" i="1"/>
  <c r="D261" i="1"/>
  <c r="AE41" i="1"/>
  <c r="E150" i="1"/>
  <c r="AF93" i="1"/>
  <c r="AF152" i="1" s="1"/>
  <c r="AF225" i="1" s="1"/>
  <c r="AG93" i="1"/>
  <c r="AG152" i="1" s="1"/>
  <c r="AG225" i="1" s="1"/>
  <c r="AE129" i="1"/>
  <c r="AE132" i="1" s="1"/>
  <c r="U271" i="1"/>
  <c r="AF90" i="1"/>
  <c r="D846" i="3" s="1"/>
  <c r="AG90" i="1"/>
  <c r="D804" i="3" s="1"/>
  <c r="H196" i="1"/>
  <c r="J923" i="3"/>
  <c r="H137" i="1"/>
  <c r="H204" i="1" s="1"/>
  <c r="AF92" i="1"/>
  <c r="AG92" i="1"/>
  <c r="U195" i="1"/>
  <c r="E284" i="1"/>
  <c r="AF89" i="1"/>
  <c r="AG89" i="1"/>
  <c r="AC48" i="2"/>
  <c r="AB48" i="2"/>
  <c r="T195" i="1"/>
  <c r="T270" i="1"/>
  <c r="AA83" i="2"/>
  <c r="AA78" i="2"/>
  <c r="AB199" i="1"/>
  <c r="AB274" i="1"/>
  <c r="AB132" i="1"/>
  <c r="AB155" i="1"/>
  <c r="AB228" i="1" s="1"/>
  <c r="AD196" i="1"/>
  <c r="AD271" i="1"/>
  <c r="AC102" i="2"/>
  <c r="AB102" i="2"/>
  <c r="D209" i="1"/>
  <c r="D284" i="1"/>
  <c r="D210" i="1"/>
  <c r="S40" i="2"/>
  <c r="S26" i="2"/>
  <c r="C209" i="1"/>
  <c r="C284" i="1"/>
  <c r="F132" i="1"/>
  <c r="F155" i="1"/>
  <c r="F228" i="1" s="1"/>
  <c r="F230" i="1" s="1"/>
  <c r="F274" i="1"/>
  <c r="F282" i="1" s="1"/>
  <c r="F140" i="1"/>
  <c r="F199" i="1"/>
  <c r="T273" i="1"/>
  <c r="T156" i="1"/>
  <c r="T229" i="1" s="1"/>
  <c r="T198" i="1"/>
  <c r="AB89" i="1"/>
  <c r="F145" i="1"/>
  <c r="F273" i="1"/>
  <c r="F156" i="1"/>
  <c r="F229" i="1" s="1"/>
  <c r="F231" i="1" s="1"/>
  <c r="F198" i="1"/>
  <c r="F139" i="1"/>
  <c r="Y212" i="1"/>
  <c r="AE89" i="1"/>
  <c r="AE183" i="1"/>
  <c r="AE256" i="1"/>
  <c r="D281" i="1"/>
  <c r="AA87" i="2"/>
  <c r="W84" i="2"/>
  <c r="W78" i="2"/>
  <c r="AE53" i="1"/>
  <c r="AB50" i="2"/>
  <c r="Y101" i="2"/>
  <c r="X101" i="2"/>
  <c r="AB270" i="1"/>
  <c r="AB195" i="1"/>
  <c r="F182" i="1"/>
  <c r="F255" i="1"/>
  <c r="F94" i="1"/>
  <c r="F153" i="1" s="1"/>
  <c r="F226" i="1" s="1"/>
  <c r="F78" i="1"/>
  <c r="AE185" i="1"/>
  <c r="AE258" i="1"/>
  <c r="C199" i="1"/>
  <c r="C155" i="1"/>
  <c r="C228" i="1" s="1"/>
  <c r="C230" i="1" s="1"/>
  <c r="C274" i="1"/>
  <c r="C282" i="1" s="1"/>
  <c r="C132" i="1"/>
  <c r="C140" i="1"/>
  <c r="AE189" i="1"/>
  <c r="AE262" i="1"/>
  <c r="F196" i="1"/>
  <c r="F271" i="1"/>
  <c r="F279" i="1" s="1"/>
  <c r="F137" i="1"/>
  <c r="F204" i="1" s="1"/>
  <c r="T32" i="2"/>
  <c r="T26" i="2"/>
  <c r="AB156" i="1"/>
  <c r="AB229" i="1" s="1"/>
  <c r="AB145" i="1"/>
  <c r="AB273" i="1"/>
  <c r="AB287" i="1" s="1"/>
  <c r="AB198" i="1"/>
  <c r="S85" i="2"/>
  <c r="S78" i="2"/>
  <c r="AD270" i="1"/>
  <c r="AD195" i="1"/>
  <c r="C273" i="1"/>
  <c r="C198" i="1"/>
  <c r="C156" i="1"/>
  <c r="C229" i="1" s="1"/>
  <c r="C231" i="1" s="1"/>
  <c r="C139" i="1"/>
  <c r="C145" i="1"/>
  <c r="T196" i="1"/>
  <c r="T271" i="1"/>
  <c r="T274" i="1"/>
  <c r="T199" i="1"/>
  <c r="T155" i="1"/>
  <c r="T228" i="1" s="1"/>
  <c r="T132" i="1"/>
  <c r="F270" i="1"/>
  <c r="F278" i="1" s="1"/>
  <c r="F136" i="1"/>
  <c r="F203" i="1" s="1"/>
  <c r="F195" i="1"/>
  <c r="AA40" i="2"/>
  <c r="AA26" i="2"/>
  <c r="AB196" i="1"/>
  <c r="AB271" i="1"/>
  <c r="T92" i="2"/>
  <c r="AA86" i="2"/>
  <c r="AA91" i="2"/>
  <c r="AA108" i="2"/>
  <c r="T40" i="2"/>
  <c r="U58" i="2"/>
  <c r="AD273" i="1"/>
  <c r="AD287" i="1" s="1"/>
  <c r="AD145" i="1"/>
  <c r="AD156" i="1"/>
  <c r="AD229" i="1" s="1"/>
  <c r="AD198" i="1"/>
  <c r="H94" i="1"/>
  <c r="H153" i="1" s="1"/>
  <c r="H226" i="1" s="1"/>
  <c r="H78" i="1"/>
  <c r="H80" i="1" s="1"/>
  <c r="H255" i="1"/>
  <c r="H182" i="1"/>
  <c r="AA84" i="2"/>
  <c r="AA92" i="2"/>
  <c r="AA93" i="2"/>
  <c r="D150" i="1"/>
  <c r="D223" i="1"/>
  <c r="C136" i="1"/>
  <c r="C203" i="1" s="1"/>
  <c r="C270" i="1"/>
  <c r="C278" i="1" s="1"/>
  <c r="C195" i="1"/>
  <c r="AD132" i="1"/>
  <c r="AD155" i="1"/>
  <c r="AD228" i="1" s="1"/>
  <c r="AD199" i="1"/>
  <c r="AD274" i="1"/>
  <c r="E884" i="3"/>
  <c r="E885" i="3" s="1"/>
  <c r="D885" i="3"/>
  <c r="D894" i="3"/>
  <c r="E845" i="3"/>
  <c r="E843" i="3"/>
  <c r="AB74" i="2"/>
  <c r="T35" i="2"/>
  <c r="T33" i="2"/>
  <c r="T30" i="2"/>
  <c r="T34" i="2"/>
  <c r="AB103" i="2"/>
  <c r="T31" i="2"/>
  <c r="T39" i="2"/>
  <c r="S33" i="2"/>
  <c r="AA35" i="2"/>
  <c r="T85" i="2"/>
  <c r="AA33" i="2"/>
  <c r="Z42" i="2"/>
  <c r="T83" i="2"/>
  <c r="R94" i="2"/>
  <c r="AF191" i="1"/>
  <c r="AF264" i="1"/>
  <c r="AF190" i="1"/>
  <c r="AF263" i="1"/>
  <c r="AA201" i="1"/>
  <c r="AA149" i="1"/>
  <c r="AA222" i="1" s="1"/>
  <c r="AA196" i="1"/>
  <c r="AA137" i="1"/>
  <c r="AA204" i="1" s="1"/>
  <c r="AA271" i="1"/>
  <c r="AA186" i="1"/>
  <c r="AA259" i="1"/>
  <c r="AC136" i="1"/>
  <c r="AC203" i="1" s="1"/>
  <c r="AC149" i="1"/>
  <c r="AC222" i="1" s="1"/>
  <c r="AC140" i="1"/>
  <c r="AC139" i="1"/>
  <c r="AC143" i="1"/>
  <c r="AC201" i="1"/>
  <c r="AC137" i="1"/>
  <c r="AC204" i="1" s="1"/>
  <c r="X196" i="1"/>
  <c r="X271" i="1"/>
  <c r="W93" i="2"/>
  <c r="D190" i="1"/>
  <c r="D263" i="1"/>
  <c r="AA257" i="1"/>
  <c r="AA184" i="1"/>
  <c r="E132" i="1"/>
  <c r="E155" i="1"/>
  <c r="E228" i="1" s="1"/>
  <c r="E230" i="1" s="1"/>
  <c r="E274" i="1"/>
  <c r="E282" i="1" s="1"/>
  <c r="E140" i="1"/>
  <c r="E199" i="1"/>
  <c r="AC72" i="1"/>
  <c r="AC178" i="1"/>
  <c r="AC251" i="1"/>
  <c r="U78" i="1"/>
  <c r="U182" i="1"/>
  <c r="U255" i="1"/>
  <c r="R42" i="2"/>
  <c r="H158" i="1"/>
  <c r="H206" i="1"/>
  <c r="D191" i="1"/>
  <c r="D82" i="1"/>
  <c r="D84" i="1" s="1"/>
  <c r="D264" i="1"/>
  <c r="AE55" i="1"/>
  <c r="AE61" i="1"/>
  <c r="AE64" i="1"/>
  <c r="AE90" i="1"/>
  <c r="AE136" i="1" s="1"/>
  <c r="AE203" i="1" s="1"/>
  <c r="AE170" i="1"/>
  <c r="AM171" i="1" s="1"/>
  <c r="AE243" i="1"/>
  <c r="AI244" i="1" s="1"/>
  <c r="AE92" i="1"/>
  <c r="W85" i="2"/>
  <c r="W92" i="2"/>
  <c r="W108" i="2"/>
  <c r="W87" i="2"/>
  <c r="W83" i="2"/>
  <c r="AA45" i="1"/>
  <c r="AA93" i="1"/>
  <c r="AA152" i="1" s="1"/>
  <c r="AA225" i="1" s="1"/>
  <c r="AB93" i="1"/>
  <c r="AB152" i="1" s="1"/>
  <c r="AB225" i="1" s="1"/>
  <c r="AA179" i="1"/>
  <c r="AC93" i="1"/>
  <c r="AC152" i="1" s="1"/>
  <c r="AC225" i="1" s="1"/>
  <c r="AA252" i="1"/>
  <c r="E136" i="1"/>
  <c r="E203" i="1" s="1"/>
  <c r="E195" i="1"/>
  <c r="E270" i="1"/>
  <c r="E278" i="1" s="1"/>
  <c r="AA58" i="2"/>
  <c r="AA32" i="2"/>
  <c r="AA39" i="2"/>
  <c r="AA41" i="2"/>
  <c r="AA30" i="2"/>
  <c r="AA34" i="2"/>
  <c r="Z260" i="1"/>
  <c r="Z187" i="1"/>
  <c r="AA77" i="1"/>
  <c r="AA68" i="1"/>
  <c r="AA174" i="1"/>
  <c r="AA247" i="1"/>
  <c r="W86" i="2"/>
  <c r="X78" i="1"/>
  <c r="X182" i="1"/>
  <c r="X255" i="1"/>
  <c r="W45" i="1"/>
  <c r="W93" i="1"/>
  <c r="W152" i="1" s="1"/>
  <c r="W225" i="1" s="1"/>
  <c r="X93" i="1"/>
  <c r="X152" i="1" s="1"/>
  <c r="X225" i="1" s="1"/>
  <c r="W179" i="1"/>
  <c r="Y93" i="1"/>
  <c r="Y152" i="1" s="1"/>
  <c r="Y225" i="1" s="1"/>
  <c r="W252" i="1"/>
  <c r="X132" i="1"/>
  <c r="X155" i="1"/>
  <c r="X228" i="1" s="1"/>
  <c r="X274" i="1"/>
  <c r="X199" i="1"/>
  <c r="AE195" i="1"/>
  <c r="AE270" i="1"/>
  <c r="W91" i="2"/>
  <c r="S39" i="2"/>
  <c r="S32" i="2"/>
  <c r="S41" i="2"/>
  <c r="S30" i="2"/>
  <c r="S34" i="2"/>
  <c r="V42" i="2"/>
  <c r="AA89" i="1"/>
  <c r="AA53" i="1"/>
  <c r="T82" i="2"/>
  <c r="T86" i="2"/>
  <c r="T93" i="2"/>
  <c r="U108" i="2"/>
  <c r="T91" i="2"/>
  <c r="T84" i="2"/>
  <c r="AD174" i="1"/>
  <c r="AD68" i="1"/>
  <c r="AD247" i="1"/>
  <c r="W195" i="1"/>
  <c r="W270" i="1"/>
  <c r="T87" i="2"/>
  <c r="E137" i="1"/>
  <c r="E204" i="1" s="1"/>
  <c r="E196" i="1"/>
  <c r="E271" i="1"/>
  <c r="E279" i="1" s="1"/>
  <c r="Z94" i="2"/>
  <c r="AD89" i="1"/>
  <c r="Z72" i="1"/>
  <c r="Z178" i="1"/>
  <c r="Z251" i="1"/>
  <c r="AD248" i="1"/>
  <c r="AD175" i="1"/>
  <c r="D212" i="1"/>
  <c r="X156" i="1"/>
  <c r="X229" i="1" s="1"/>
  <c r="X198" i="1"/>
  <c r="X145" i="1"/>
  <c r="X273" i="1"/>
  <c r="X287" i="1" s="1"/>
  <c r="AB78" i="1"/>
  <c r="AB182" i="1"/>
  <c r="AB255" i="1"/>
  <c r="AE45" i="1"/>
  <c r="AE93" i="1"/>
  <c r="AE152" i="1" s="1"/>
  <c r="AE225" i="1" s="1"/>
  <c r="AE179" i="1"/>
  <c r="AE252" i="1"/>
  <c r="V248" i="1"/>
  <c r="V175" i="1"/>
  <c r="W65" i="1"/>
  <c r="AE187" i="1"/>
  <c r="AE260" i="1"/>
  <c r="AB140" i="1"/>
  <c r="AB139" i="1"/>
  <c r="AB137" i="1"/>
  <c r="AB204" i="1" s="1"/>
  <c r="AB201" i="1"/>
  <c r="AB149" i="1"/>
  <c r="AB222" i="1" s="1"/>
  <c r="AB136" i="1"/>
  <c r="AB203" i="1" s="1"/>
  <c r="D972" i="3"/>
  <c r="D158" i="1"/>
  <c r="D206" i="1"/>
  <c r="AD93" i="1"/>
  <c r="AD152" i="1" s="1"/>
  <c r="AD225" i="1" s="1"/>
  <c r="X195" i="1"/>
  <c r="X270" i="1"/>
  <c r="S31" i="2"/>
  <c r="W186" i="1"/>
  <c r="W259" i="1"/>
  <c r="AA29" i="1"/>
  <c r="AA32" i="1" s="1"/>
  <c r="AA43" i="1"/>
  <c r="AA42" i="1"/>
  <c r="AA175" i="1"/>
  <c r="AA248" i="1"/>
  <c r="AD137" i="1"/>
  <c r="AD204" i="1" s="1"/>
  <c r="AD201" i="1"/>
  <c r="AD136" i="1"/>
  <c r="AD203" i="1" s="1"/>
  <c r="AD149" i="1"/>
  <c r="AD222" i="1" s="1"/>
  <c r="AD140" i="1"/>
  <c r="D930" i="3"/>
  <c r="AD139" i="1"/>
  <c r="S93" i="2"/>
  <c r="S84" i="2"/>
  <c r="S92" i="2"/>
  <c r="S83" i="2"/>
  <c r="S91" i="2"/>
  <c r="S86" i="2"/>
  <c r="S82" i="2"/>
  <c r="S87" i="2"/>
  <c r="W82" i="2"/>
  <c r="S35" i="2"/>
  <c r="E887" i="3"/>
  <c r="Y72" i="1"/>
  <c r="Y251" i="1"/>
  <c r="Y178" i="1"/>
  <c r="V55" i="1"/>
  <c r="V61" i="1"/>
  <c r="V170" i="1"/>
  <c r="V172" i="1" s="1"/>
  <c r="V64" i="1"/>
  <c r="V243" i="1"/>
  <c r="V245" i="1" s="1"/>
  <c r="W59" i="1"/>
  <c r="T78" i="2" s="1"/>
  <c r="Z93" i="1"/>
  <c r="Z152" i="1" s="1"/>
  <c r="Z225" i="1" s="1"/>
  <c r="E139" i="1"/>
  <c r="E145" i="1"/>
  <c r="E156" i="1"/>
  <c r="E229" i="1" s="1"/>
  <c r="E231" i="1" s="1"/>
  <c r="E198" i="1"/>
  <c r="E273" i="1"/>
  <c r="V94" i="2"/>
  <c r="AA31" i="2"/>
  <c r="BQ94" i="1" l="1"/>
  <c r="BP94" i="1"/>
  <c r="BP153" i="1" s="1"/>
  <c r="BO255" i="1"/>
  <c r="BR94" i="1"/>
  <c r="BH206" i="1"/>
  <c r="BI94" i="1"/>
  <c r="BJ94" i="1"/>
  <c r="BJ153" i="1" s="1"/>
  <c r="BH94" i="1"/>
  <c r="D263" i="3"/>
  <c r="E262" i="3"/>
  <c r="E263" i="3" s="1"/>
  <c r="BO182" i="1"/>
  <c r="BO78" i="1"/>
  <c r="BO261" i="1" s="1"/>
  <c r="BO158" i="1"/>
  <c r="C281" i="1"/>
  <c r="C287" i="1"/>
  <c r="H281" i="1"/>
  <c r="H287" i="1"/>
  <c r="AA132" i="1"/>
  <c r="E281" i="1"/>
  <c r="E287" i="1"/>
  <c r="F281" i="1"/>
  <c r="F287" i="1"/>
  <c r="BF282" i="1"/>
  <c r="BF281" i="1"/>
  <c r="BF278" i="1"/>
  <c r="BF279" i="1"/>
  <c r="BG285" i="1"/>
  <c r="BG279" i="1"/>
  <c r="BG278" i="1"/>
  <c r="BG282" i="1"/>
  <c r="BG281" i="1"/>
  <c r="BH182" i="1"/>
  <c r="BH78" i="1"/>
  <c r="BH255" i="1"/>
  <c r="AA270" i="1"/>
  <c r="AA278" i="1" s="1"/>
  <c r="AH255" i="1"/>
  <c r="AH78" i="1"/>
  <c r="AH188" i="1" s="1"/>
  <c r="AR209" i="1"/>
  <c r="BD204" i="1"/>
  <c r="BD203" i="1"/>
  <c r="BD251" i="1"/>
  <c r="BD178" i="1"/>
  <c r="BD72" i="1"/>
  <c r="BD157" i="1"/>
  <c r="BD207" i="1"/>
  <c r="BD212" i="1"/>
  <c r="BD284" i="1"/>
  <c r="BD209" i="1"/>
  <c r="BD285" i="1"/>
  <c r="BD210" i="1"/>
  <c r="BD150" i="1"/>
  <c r="BD158" i="1"/>
  <c r="BD206" i="1"/>
  <c r="AN209" i="1"/>
  <c r="AN284" i="1"/>
  <c r="AP284" i="1"/>
  <c r="AP209" i="1"/>
  <c r="AO284" i="1"/>
  <c r="AO209" i="1"/>
  <c r="AN94" i="1"/>
  <c r="AN153" i="1" s="1"/>
  <c r="AN226" i="1" s="1"/>
  <c r="AO94" i="1"/>
  <c r="AO153" i="1" s="1"/>
  <c r="AO226" i="1" s="1"/>
  <c r="AP94" i="1"/>
  <c r="AP153" i="1" s="1"/>
  <c r="AP226" i="1" s="1"/>
  <c r="AV94" i="1"/>
  <c r="AV153" i="1" s="1"/>
  <c r="AV226" i="1" s="1"/>
  <c r="AV284" i="1"/>
  <c r="AV209" i="1"/>
  <c r="E182" i="1"/>
  <c r="E78" i="1"/>
  <c r="E188" i="1" s="1"/>
  <c r="D157" i="1"/>
  <c r="AA274" i="1"/>
  <c r="AA282" i="1" s="1"/>
  <c r="AI178" i="1"/>
  <c r="AI251" i="1"/>
  <c r="H207" i="1"/>
  <c r="X76" i="2"/>
  <c r="AB84" i="2"/>
  <c r="AB76" i="2"/>
  <c r="AD143" i="1"/>
  <c r="AD285" i="1" s="1"/>
  <c r="AA92" i="1"/>
  <c r="X41" i="2"/>
  <c r="X24" i="2"/>
  <c r="W274" i="1"/>
  <c r="X92" i="1"/>
  <c r="W199" i="1"/>
  <c r="W155" i="1"/>
  <c r="W228" i="1" s="1"/>
  <c r="AB26" i="2"/>
  <c r="AB24" i="2"/>
  <c r="X86" i="2"/>
  <c r="X87" i="2"/>
  <c r="X91" i="2"/>
  <c r="X93" i="2"/>
  <c r="Y92" i="1"/>
  <c r="E94" i="1"/>
  <c r="E153" i="1" s="1"/>
  <c r="E226" i="1" s="1"/>
  <c r="AA140" i="1"/>
  <c r="AA207" i="1" s="1"/>
  <c r="AA199" i="1"/>
  <c r="AA136" i="1"/>
  <c r="AA203" i="1" s="1"/>
  <c r="Y108" i="2"/>
  <c r="X82" i="2"/>
  <c r="X85" i="2"/>
  <c r="X92" i="2"/>
  <c r="X78" i="2"/>
  <c r="X108" i="2"/>
  <c r="X84" i="2"/>
  <c r="X83" i="2"/>
  <c r="AE172" i="1"/>
  <c r="AE171" i="1"/>
  <c r="AI171" i="1"/>
  <c r="W198" i="1"/>
  <c r="AS284" i="1"/>
  <c r="AS209" i="1"/>
  <c r="AR94" i="1"/>
  <c r="AT94" i="1"/>
  <c r="AT153" i="1" s="1"/>
  <c r="AT226" i="1" s="1"/>
  <c r="AS94" i="1"/>
  <c r="AS153" i="1" s="1"/>
  <c r="AS226" i="1" s="1"/>
  <c r="AT284" i="1"/>
  <c r="AT209" i="1"/>
  <c r="X39" i="2"/>
  <c r="X26" i="2"/>
  <c r="AB58" i="2"/>
  <c r="X30" i="2"/>
  <c r="X40" i="2"/>
  <c r="X34" i="2"/>
  <c r="X33" i="2"/>
  <c r="AB35" i="2"/>
  <c r="X35" i="2"/>
  <c r="X31" i="2"/>
  <c r="X58" i="2"/>
  <c r="Y58" i="2"/>
  <c r="AB41" i="2"/>
  <c r="AB31" i="2"/>
  <c r="X32" i="2"/>
  <c r="AB39" i="2"/>
  <c r="W271" i="1"/>
  <c r="AC58" i="2"/>
  <c r="AB34" i="2"/>
  <c r="AB40" i="2"/>
  <c r="AB30" i="2"/>
  <c r="AB32" i="2"/>
  <c r="AI209" i="1"/>
  <c r="AI284" i="1"/>
  <c r="T255" i="1"/>
  <c r="AI182" i="1"/>
  <c r="AI94" i="1"/>
  <c r="AI153" i="1" s="1"/>
  <c r="AI226" i="1" s="1"/>
  <c r="AI255" i="1"/>
  <c r="AI78" i="1"/>
  <c r="W42" i="2"/>
  <c r="AE145" i="1"/>
  <c r="AE186" i="1"/>
  <c r="W145" i="1"/>
  <c r="W212" i="1" s="1"/>
  <c r="AE259" i="1"/>
  <c r="AE198" i="1"/>
  <c r="F757" i="3"/>
  <c r="E762" i="3"/>
  <c r="F761" i="3"/>
  <c r="F759" i="3"/>
  <c r="AE156" i="1"/>
  <c r="AE229" i="1" s="1"/>
  <c r="AB33" i="2"/>
  <c r="AE175" i="1"/>
  <c r="C182" i="1"/>
  <c r="C261" i="1"/>
  <c r="C80" i="1"/>
  <c r="C263" i="1" s="1"/>
  <c r="AH149" i="1"/>
  <c r="AH222" i="1" s="1"/>
  <c r="AH201" i="1"/>
  <c r="AH143" i="1"/>
  <c r="AH142" i="1"/>
  <c r="AH137" i="1"/>
  <c r="AH204" i="1" s="1"/>
  <c r="AH139" i="1"/>
  <c r="AH140" i="1"/>
  <c r="AH136" i="1"/>
  <c r="AH203" i="1" s="1"/>
  <c r="T78" i="1"/>
  <c r="T80" i="1" s="1"/>
  <c r="AA198" i="1"/>
  <c r="C94" i="1"/>
  <c r="C153" i="1" s="1"/>
  <c r="C226" i="1" s="1"/>
  <c r="C255" i="1"/>
  <c r="AA156" i="1"/>
  <c r="AA229" i="1" s="1"/>
  <c r="W92" i="1"/>
  <c r="AA145" i="1"/>
  <c r="W156" i="1"/>
  <c r="W229" i="1" s="1"/>
  <c r="AA143" i="1"/>
  <c r="AA210" i="1" s="1"/>
  <c r="AA139" i="1"/>
  <c r="AA206" i="1" s="1"/>
  <c r="C188" i="1"/>
  <c r="AE274" i="1"/>
  <c r="Z92" i="1"/>
  <c r="AB82" i="2"/>
  <c r="AA94" i="2"/>
  <c r="AE245" i="1"/>
  <c r="AE244" i="1"/>
  <c r="AE155" i="1"/>
  <c r="AE228" i="1" s="1"/>
  <c r="T42" i="2"/>
  <c r="AB143" i="1"/>
  <c r="AB210" i="1" s="1"/>
  <c r="AB93" i="2"/>
  <c r="E804" i="3"/>
  <c r="F799" i="3"/>
  <c r="F801" i="3"/>
  <c r="F803" i="3"/>
  <c r="AG80" i="1"/>
  <c r="AG188" i="1"/>
  <c r="AG261" i="1"/>
  <c r="AB86" i="2"/>
  <c r="AE139" i="1"/>
  <c r="AE158" i="1" s="1"/>
  <c r="AE271" i="1"/>
  <c r="AA279" i="1"/>
  <c r="AE140" i="1"/>
  <c r="AE207" i="1" s="1"/>
  <c r="AF201" i="1"/>
  <c r="AF279" i="1" s="1"/>
  <c r="AB142" i="1"/>
  <c r="AB284" i="1" s="1"/>
  <c r="AE199" i="1"/>
  <c r="AF142" i="1"/>
  <c r="AF209" i="1" s="1"/>
  <c r="AF136" i="1"/>
  <c r="AF203" i="1" s="1"/>
  <c r="AG140" i="1"/>
  <c r="AG139" i="1"/>
  <c r="AG142" i="1"/>
  <c r="AG149" i="1"/>
  <c r="AG136" i="1"/>
  <c r="AG203" i="1" s="1"/>
  <c r="AG143" i="1"/>
  <c r="AG201" i="1"/>
  <c r="AG137" i="1"/>
  <c r="AG204" i="1" s="1"/>
  <c r="AF140" i="1"/>
  <c r="AF207" i="1" s="1"/>
  <c r="AF137" i="1"/>
  <c r="AF204" i="1" s="1"/>
  <c r="AF143" i="1"/>
  <c r="AF285" i="1" s="1"/>
  <c r="AF149" i="1"/>
  <c r="AF222" i="1" s="1"/>
  <c r="AD142" i="1"/>
  <c r="AD209" i="1" s="1"/>
  <c r="AF139" i="1"/>
  <c r="AF206" i="1" s="1"/>
  <c r="AA281" i="1"/>
  <c r="AD212" i="1"/>
  <c r="AB83" i="2"/>
  <c r="AC108" i="2"/>
  <c r="C212" i="1"/>
  <c r="AB212" i="1"/>
  <c r="C157" i="1"/>
  <c r="C207" i="1"/>
  <c r="AB87" i="2"/>
  <c r="AB92" i="2"/>
  <c r="D231" i="1"/>
  <c r="F207" i="1"/>
  <c r="F157" i="1"/>
  <c r="E846" i="3"/>
  <c r="G841" i="3" s="1"/>
  <c r="F841" i="3"/>
  <c r="F845" i="3"/>
  <c r="F843" i="3"/>
  <c r="F261" i="1"/>
  <c r="F188" i="1"/>
  <c r="F80" i="1"/>
  <c r="F158" i="1"/>
  <c r="F206" i="1"/>
  <c r="F212" i="1"/>
  <c r="AB85" i="2"/>
  <c r="AB78" i="2"/>
  <c r="D895" i="3"/>
  <c r="E894" i="3"/>
  <c r="E895" i="3" s="1"/>
  <c r="H81" i="1"/>
  <c r="H261" i="1"/>
  <c r="H188" i="1"/>
  <c r="D230" i="1"/>
  <c r="C158" i="1"/>
  <c r="C206" i="1"/>
  <c r="AB91" i="2"/>
  <c r="AB108" i="2"/>
  <c r="W94" i="2"/>
  <c r="E930" i="3"/>
  <c r="I926" i="3"/>
  <c r="F929" i="3"/>
  <c r="F925" i="3"/>
  <c r="F927" i="3"/>
  <c r="AA72" i="1"/>
  <c r="AC94" i="1" s="1"/>
  <c r="AC153" i="1" s="1"/>
  <c r="AC226" i="1" s="1"/>
  <c r="AA178" i="1"/>
  <c r="AA251" i="1"/>
  <c r="U188" i="1"/>
  <c r="U261" i="1"/>
  <c r="AC78" i="1"/>
  <c r="AC255" i="1"/>
  <c r="AC182" i="1"/>
  <c r="AC278" i="1"/>
  <c r="AC281" i="1"/>
  <c r="AC282" i="1"/>
  <c r="AC279" i="1"/>
  <c r="AC150" i="1"/>
  <c r="AA150" i="1"/>
  <c r="AA223" i="1"/>
  <c r="W55" i="1"/>
  <c r="W64" i="1"/>
  <c r="W90" i="1"/>
  <c r="X90" i="1"/>
  <c r="Y90" i="1"/>
  <c r="W61" i="1"/>
  <c r="Z90" i="1"/>
  <c r="W170" i="1"/>
  <c r="W172" i="1" s="1"/>
  <c r="W243" i="1"/>
  <c r="W245" i="1" s="1"/>
  <c r="Y78" i="1"/>
  <c r="Y255" i="1"/>
  <c r="Y182" i="1"/>
  <c r="AD207" i="1"/>
  <c r="AD157" i="1"/>
  <c r="AD278" i="1"/>
  <c r="AD279" i="1"/>
  <c r="AD282" i="1"/>
  <c r="AD281" i="1"/>
  <c r="AB150" i="1"/>
  <c r="AB158" i="1"/>
  <c r="AB206" i="1"/>
  <c r="W175" i="1"/>
  <c r="W248" i="1"/>
  <c r="Z182" i="1"/>
  <c r="Z78" i="1"/>
  <c r="Z255" i="1"/>
  <c r="AA187" i="1"/>
  <c r="AA260" i="1"/>
  <c r="AA42" i="2"/>
  <c r="AD92" i="1"/>
  <c r="AE143" i="1"/>
  <c r="AE201" i="1"/>
  <c r="AE278" i="1" s="1"/>
  <c r="AE142" i="1"/>
  <c r="AE149" i="1"/>
  <c r="AE222" i="1" s="1"/>
  <c r="D888" i="3"/>
  <c r="AE137" i="1"/>
  <c r="AE204" i="1" s="1"/>
  <c r="AC210" i="1"/>
  <c r="AC285" i="1"/>
  <c r="AC142" i="1"/>
  <c r="AA142" i="1"/>
  <c r="S42" i="2"/>
  <c r="X80" i="1"/>
  <c r="X188" i="1"/>
  <c r="X261" i="1"/>
  <c r="E212" i="1"/>
  <c r="AD150" i="1"/>
  <c r="F969" i="3"/>
  <c r="E972" i="3"/>
  <c r="I968" i="3"/>
  <c r="F971" i="3"/>
  <c r="F967" i="3"/>
  <c r="AB278" i="1"/>
  <c r="AB279" i="1"/>
  <c r="AB281" i="1"/>
  <c r="AB282" i="1"/>
  <c r="AB207" i="1"/>
  <c r="AB157" i="1"/>
  <c r="AB80" i="1"/>
  <c r="AB188" i="1"/>
  <c r="AB261" i="1"/>
  <c r="AD72" i="1"/>
  <c r="AD178" i="1"/>
  <c r="AD251" i="1"/>
  <c r="T94" i="2"/>
  <c r="AC92" i="1"/>
  <c r="AE68" i="1"/>
  <c r="AE174" i="1"/>
  <c r="AE247" i="1"/>
  <c r="AC206" i="1"/>
  <c r="AC158" i="1"/>
  <c r="S94" i="2"/>
  <c r="E158" i="1"/>
  <c r="E206" i="1"/>
  <c r="V174" i="1"/>
  <c r="V247" i="1"/>
  <c r="V68" i="1"/>
  <c r="AD158" i="1"/>
  <c r="AD206" i="1"/>
  <c r="X212" i="1"/>
  <c r="AB92" i="1"/>
  <c r="E207" i="1"/>
  <c r="E157" i="1"/>
  <c r="AC157" i="1"/>
  <c r="AC207" i="1"/>
  <c r="U80" i="1" l="1"/>
  <c r="AG222" i="1"/>
  <c r="AG223" i="1" s="1"/>
  <c r="BQ153" i="1"/>
  <c r="BR153" i="1"/>
  <c r="BO153" i="1"/>
  <c r="BD94" i="1"/>
  <c r="BE94" i="1"/>
  <c r="BE153" i="1" s="1"/>
  <c r="BI153" i="1"/>
  <c r="BO190" i="1"/>
  <c r="BO81" i="1"/>
  <c r="BO188" i="1"/>
  <c r="BH153" i="1"/>
  <c r="BG94" i="1"/>
  <c r="BG153" i="1" s="1"/>
  <c r="BH190" i="1"/>
  <c r="BH263" i="1"/>
  <c r="BH261" i="1"/>
  <c r="BH81" i="1"/>
  <c r="BH188" i="1"/>
  <c r="AH261" i="1"/>
  <c r="BF94" i="1"/>
  <c r="BF153" i="1" s="1"/>
  <c r="E80" i="1"/>
  <c r="E190" i="1" s="1"/>
  <c r="BD279" i="1"/>
  <c r="BD282" i="1"/>
  <c r="BD281" i="1"/>
  <c r="BD278" i="1"/>
  <c r="BD263" i="1"/>
  <c r="BD190" i="1"/>
  <c r="AR153" i="1"/>
  <c r="AR226" i="1" s="1"/>
  <c r="BD78" i="1"/>
  <c r="BD255" i="1"/>
  <c r="BD182" i="1"/>
  <c r="E261" i="1"/>
  <c r="C190" i="1"/>
  <c r="AA157" i="1"/>
  <c r="AA212" i="1"/>
  <c r="AA285" i="1"/>
  <c r="AD210" i="1"/>
  <c r="X94" i="2"/>
  <c r="X42" i="2"/>
  <c r="AB42" i="2"/>
  <c r="AI261" i="1"/>
  <c r="AI188" i="1"/>
  <c r="AB81" i="1"/>
  <c r="AB82" i="1" s="1"/>
  <c r="AE212" i="1"/>
  <c r="AE206" i="1"/>
  <c r="AB209" i="1"/>
  <c r="G757" i="3"/>
  <c r="G761" i="3"/>
  <c r="G759" i="3"/>
  <c r="T261" i="1"/>
  <c r="AF282" i="1"/>
  <c r="AF281" i="1"/>
  <c r="T188" i="1"/>
  <c r="AH80" i="1"/>
  <c r="AH81" i="1" s="1"/>
  <c r="C81" i="1"/>
  <c r="C264" i="1" s="1"/>
  <c r="AA158" i="1"/>
  <c r="AH285" i="1"/>
  <c r="AH210" i="1"/>
  <c r="AH282" i="1"/>
  <c r="AH278" i="1"/>
  <c r="AH279" i="1"/>
  <c r="AH281" i="1"/>
  <c r="AH150" i="1"/>
  <c r="AH157" i="1"/>
  <c r="AH207" i="1"/>
  <c r="AH158" i="1"/>
  <c r="AH206" i="1"/>
  <c r="AH284" i="1"/>
  <c r="AH209" i="1"/>
  <c r="AF278" i="1"/>
  <c r="AE157" i="1"/>
  <c r="AG190" i="1"/>
  <c r="AG263" i="1"/>
  <c r="AB285" i="1"/>
  <c r="AB94" i="2"/>
  <c r="G799" i="3"/>
  <c r="G801" i="3"/>
  <c r="G803" i="3"/>
  <c r="AG81" i="1"/>
  <c r="AF284" i="1"/>
  <c r="AF157" i="1"/>
  <c r="AF210" i="1"/>
  <c r="AF158" i="1"/>
  <c r="AD284" i="1"/>
  <c r="AG285" i="1"/>
  <c r="AG210" i="1"/>
  <c r="AG150" i="1"/>
  <c r="AG281" i="1"/>
  <c r="AG279" i="1"/>
  <c r="AG282" i="1"/>
  <c r="AG278" i="1"/>
  <c r="AF150" i="1"/>
  <c r="AG209" i="1"/>
  <c r="AG284" i="1"/>
  <c r="AG158" i="1"/>
  <c r="AG206" i="1"/>
  <c r="AG207" i="1"/>
  <c r="AG157" i="1"/>
  <c r="T81" i="1"/>
  <c r="T82" i="1" s="1"/>
  <c r="G843" i="3"/>
  <c r="H264" i="1"/>
  <c r="H191" i="1"/>
  <c r="AF223" i="1"/>
  <c r="AF231" i="1"/>
  <c r="AF230" i="1"/>
  <c r="F190" i="1"/>
  <c r="F81" i="1"/>
  <c r="F263" i="1"/>
  <c r="H263" i="1"/>
  <c r="H190" i="1"/>
  <c r="G845" i="3"/>
  <c r="V72" i="1"/>
  <c r="V178" i="1"/>
  <c r="V251" i="1"/>
  <c r="G967" i="3"/>
  <c r="G971" i="3"/>
  <c r="G969" i="3"/>
  <c r="Z188" i="1"/>
  <c r="Z261" i="1"/>
  <c r="U263" i="1"/>
  <c r="U190" i="1"/>
  <c r="AD223" i="1"/>
  <c r="AD230" i="1"/>
  <c r="AD231" i="1"/>
  <c r="X190" i="1"/>
  <c r="X263" i="1"/>
  <c r="AA231" i="1"/>
  <c r="E888" i="3"/>
  <c r="F883" i="3"/>
  <c r="F887" i="3"/>
  <c r="F885" i="3"/>
  <c r="AE210" i="1"/>
  <c r="AE285" i="1"/>
  <c r="Z143" i="1"/>
  <c r="Z201" i="1"/>
  <c r="Z136" i="1"/>
  <c r="Z203" i="1" s="1"/>
  <c r="Z142" i="1"/>
  <c r="Z149" i="1"/>
  <c r="Z222" i="1" s="1"/>
  <c r="Z140" i="1"/>
  <c r="Z139" i="1"/>
  <c r="Z137" i="1"/>
  <c r="Z204" i="1" s="1"/>
  <c r="W143" i="1"/>
  <c r="W201" i="1"/>
  <c r="W276" i="1" s="1"/>
  <c r="W142" i="1"/>
  <c r="W149" i="1"/>
  <c r="W222" i="1" s="1"/>
  <c r="W136" i="1"/>
  <c r="W203" i="1" s="1"/>
  <c r="W137" i="1"/>
  <c r="W204" i="1" s="1"/>
  <c r="W139" i="1"/>
  <c r="W140" i="1"/>
  <c r="AC80" i="1"/>
  <c r="AC188" i="1"/>
  <c r="AC261" i="1"/>
  <c r="U81" i="1"/>
  <c r="AA78" i="1"/>
  <c r="AA94" i="1"/>
  <c r="AA153" i="1" s="1"/>
  <c r="AA226" i="1" s="1"/>
  <c r="AA182" i="1"/>
  <c r="AA255" i="1"/>
  <c r="AB94" i="1"/>
  <c r="AB153" i="1" s="1"/>
  <c r="AB226" i="1" s="1"/>
  <c r="X143" i="1"/>
  <c r="X201" i="1"/>
  <c r="X276" i="1" s="1"/>
  <c r="X149" i="1"/>
  <c r="X222" i="1" s="1"/>
  <c r="X142" i="1"/>
  <c r="X140" i="1"/>
  <c r="X137" i="1"/>
  <c r="X204" i="1" s="1"/>
  <c r="X136" i="1"/>
  <c r="X203" i="1" s="1"/>
  <c r="X139" i="1"/>
  <c r="AE281" i="1"/>
  <c r="AB190" i="1"/>
  <c r="AB263" i="1"/>
  <c r="T190" i="1"/>
  <c r="T263" i="1"/>
  <c r="AE150" i="1"/>
  <c r="AE282" i="1"/>
  <c r="AB223" i="1"/>
  <c r="AB231" i="1"/>
  <c r="AB230" i="1"/>
  <c r="Y80" i="1"/>
  <c r="Y188" i="1"/>
  <c r="Y261" i="1"/>
  <c r="W68" i="1"/>
  <c r="W174" i="1"/>
  <c r="W247" i="1"/>
  <c r="AC223" i="1"/>
  <c r="AC231" i="1"/>
  <c r="AC230" i="1"/>
  <c r="AE279" i="1"/>
  <c r="J926" i="3"/>
  <c r="K925" i="3"/>
  <c r="K929" i="3"/>
  <c r="K927" i="3"/>
  <c r="AD182" i="1"/>
  <c r="AD78" i="1"/>
  <c r="AD94" i="1"/>
  <c r="AD153" i="1" s="1"/>
  <c r="AD226" i="1" s="1"/>
  <c r="AD255" i="1"/>
  <c r="AC209" i="1"/>
  <c r="AC284" i="1"/>
  <c r="AE72" i="1"/>
  <c r="AH94" i="1" s="1"/>
  <c r="AH153" i="1" s="1"/>
  <c r="AH226" i="1" s="1"/>
  <c r="AE178" i="1"/>
  <c r="AE251" i="1"/>
  <c r="J968" i="3"/>
  <c r="K969" i="3"/>
  <c r="K967" i="3"/>
  <c r="K971" i="3"/>
  <c r="X81" i="1"/>
  <c r="AA209" i="1"/>
  <c r="AA284" i="1"/>
  <c r="AE209" i="1"/>
  <c r="AE284" i="1"/>
  <c r="AA230" i="1"/>
  <c r="Y136" i="1"/>
  <c r="Y203" i="1" s="1"/>
  <c r="Y142" i="1"/>
  <c r="Y149" i="1"/>
  <c r="Y222" i="1" s="1"/>
  <c r="Y140" i="1"/>
  <c r="Y139" i="1"/>
  <c r="Y143" i="1"/>
  <c r="Y201" i="1"/>
  <c r="Y276" i="1" s="1"/>
  <c r="Y137" i="1"/>
  <c r="Y204" i="1" s="1"/>
  <c r="G925" i="3"/>
  <c r="G929" i="3"/>
  <c r="G927" i="3"/>
  <c r="BO82" i="1" l="1"/>
  <c r="BO84" i="1" s="1"/>
  <c r="BO264" i="1"/>
  <c r="BO191" i="1"/>
  <c r="BH191" i="1"/>
  <c r="BH264" i="1"/>
  <c r="BH82" i="1"/>
  <c r="E81" i="1"/>
  <c r="E191" i="1" s="1"/>
  <c r="E263" i="1"/>
  <c r="BD153" i="1"/>
  <c r="BD261" i="1"/>
  <c r="BD188" i="1"/>
  <c r="BD81" i="1"/>
  <c r="AB264" i="1"/>
  <c r="AB191" i="1"/>
  <c r="AI80" i="1"/>
  <c r="C191" i="1"/>
  <c r="AH191" i="1"/>
  <c r="AH264" i="1"/>
  <c r="AH190" i="1"/>
  <c r="AH263" i="1"/>
  <c r="AH223" i="1"/>
  <c r="AH231" i="1"/>
  <c r="AH230" i="1"/>
  <c r="AG191" i="1"/>
  <c r="AG264" i="1"/>
  <c r="AG82" i="1"/>
  <c r="AG231" i="1"/>
  <c r="AG230" i="1"/>
  <c r="AF94" i="1"/>
  <c r="AF153" i="1" s="1"/>
  <c r="AF226" i="1" s="1"/>
  <c r="AG94" i="1"/>
  <c r="AG153" i="1" s="1"/>
  <c r="AG226" i="1" s="1"/>
  <c r="T264" i="1"/>
  <c r="T191" i="1"/>
  <c r="F264" i="1"/>
  <c r="F191" i="1"/>
  <c r="Y158" i="1"/>
  <c r="Y206" i="1"/>
  <c r="AE223" i="1"/>
  <c r="AE230" i="1"/>
  <c r="AE231" i="1"/>
  <c r="X158" i="1"/>
  <c r="X206" i="1"/>
  <c r="W207" i="1"/>
  <c r="W157" i="1"/>
  <c r="Y190" i="1"/>
  <c r="Y263" i="1"/>
  <c r="X150" i="1"/>
  <c r="W158" i="1"/>
  <c r="W206" i="1"/>
  <c r="W209" i="1"/>
  <c r="W284" i="1"/>
  <c r="Z158" i="1"/>
  <c r="Z206" i="1"/>
  <c r="U82" i="1"/>
  <c r="T84" i="1"/>
  <c r="Z80" i="1"/>
  <c r="Z209" i="1"/>
  <c r="Z284" i="1"/>
  <c r="G883" i="3"/>
  <c r="G887" i="3"/>
  <c r="G885" i="3"/>
  <c r="AB84" i="1"/>
  <c r="Y278" i="1"/>
  <c r="Y281" i="1"/>
  <c r="Y282" i="1"/>
  <c r="Y279" i="1"/>
  <c r="X191" i="1"/>
  <c r="X264" i="1"/>
  <c r="AD188" i="1"/>
  <c r="AD261" i="1"/>
  <c r="Y81" i="1"/>
  <c r="AD80" i="1"/>
  <c r="AE80" i="1" s="1"/>
  <c r="AC263" i="1"/>
  <c r="AC190" i="1"/>
  <c r="W282" i="1"/>
  <c r="W279" i="1"/>
  <c r="W278" i="1"/>
  <c r="W281" i="1"/>
  <c r="Z207" i="1"/>
  <c r="Z157" i="1"/>
  <c r="Z278" i="1"/>
  <c r="Z279" i="1"/>
  <c r="Z282" i="1"/>
  <c r="Z281" i="1"/>
  <c r="X209" i="1"/>
  <c r="X284" i="1"/>
  <c r="W150" i="1"/>
  <c r="Y157" i="1"/>
  <c r="Y207" i="1"/>
  <c r="AE78" i="1"/>
  <c r="AE94" i="1"/>
  <c r="AE153" i="1" s="1"/>
  <c r="AE226" i="1" s="1"/>
  <c r="AE182" i="1"/>
  <c r="AE255" i="1"/>
  <c r="Y150" i="1"/>
  <c r="L844" i="3"/>
  <c r="L848" i="3"/>
  <c r="L846" i="3"/>
  <c r="W72" i="1"/>
  <c r="W178" i="1"/>
  <c r="W251" i="1"/>
  <c r="X279" i="1"/>
  <c r="X282" i="1"/>
  <c r="X281" i="1"/>
  <c r="X278" i="1"/>
  <c r="AA261" i="1"/>
  <c r="AA188" i="1"/>
  <c r="Y210" i="1"/>
  <c r="Y285" i="1"/>
  <c r="Y209" i="1"/>
  <c r="Y284" i="1"/>
  <c r="L802" i="3"/>
  <c r="L806" i="3"/>
  <c r="L804" i="3"/>
  <c r="X207" i="1"/>
  <c r="X157" i="1"/>
  <c r="X210" i="1"/>
  <c r="X285" i="1"/>
  <c r="U191" i="1"/>
  <c r="U264" i="1"/>
  <c r="AC81" i="1"/>
  <c r="AC82" i="1" s="1"/>
  <c r="W285" i="1"/>
  <c r="W210" i="1"/>
  <c r="Z150" i="1"/>
  <c r="Z210" i="1"/>
  <c r="Z285" i="1"/>
  <c r="V78" i="1"/>
  <c r="V182" i="1"/>
  <c r="V255" i="1"/>
  <c r="BW82" i="1" l="1"/>
  <c r="BZ82" i="1"/>
  <c r="BH84" i="1"/>
  <c r="BI82" i="1"/>
  <c r="R191" i="1"/>
  <c r="R264" i="1"/>
  <c r="E82" i="1"/>
  <c r="F82" i="1" s="1"/>
  <c r="G82" i="1" s="1"/>
  <c r="E264" i="1"/>
  <c r="BD264" i="1"/>
  <c r="BD191" i="1"/>
  <c r="BD82" i="1"/>
  <c r="AI263" i="1"/>
  <c r="AI190" i="1"/>
  <c r="AI81" i="1"/>
  <c r="AG84" i="1"/>
  <c r="AH82" i="1"/>
  <c r="Y223" i="1"/>
  <c r="Y231" i="1"/>
  <c r="Y230" i="1"/>
  <c r="AD190" i="1"/>
  <c r="AD263" i="1"/>
  <c r="AC84" i="1"/>
  <c r="AE261" i="1"/>
  <c r="AE188" i="1"/>
  <c r="Y191" i="1"/>
  <c r="Y264" i="1"/>
  <c r="AD81" i="1"/>
  <c r="AD82" i="1" s="1"/>
  <c r="U84" i="1"/>
  <c r="Z223" i="1"/>
  <c r="Z230" i="1"/>
  <c r="Z231" i="1"/>
  <c r="Z190" i="1"/>
  <c r="Z263" i="1"/>
  <c r="AA80" i="1"/>
  <c r="Z81" i="1"/>
  <c r="W78" i="1"/>
  <c r="W94" i="1"/>
  <c r="W153" i="1" s="1"/>
  <c r="W226" i="1" s="1"/>
  <c r="W182" i="1"/>
  <c r="W255" i="1"/>
  <c r="X94" i="1"/>
  <c r="X153" i="1" s="1"/>
  <c r="X226" i="1" s="1"/>
  <c r="Z94" i="1"/>
  <c r="Z153" i="1" s="1"/>
  <c r="Z226" i="1" s="1"/>
  <c r="Y94" i="1"/>
  <c r="Y153" i="1" s="1"/>
  <c r="Y226" i="1" s="1"/>
  <c r="W223" i="1"/>
  <c r="W231" i="1"/>
  <c r="W230" i="1"/>
  <c r="AC191" i="1"/>
  <c r="AC264" i="1"/>
  <c r="V80" i="1"/>
  <c r="V188" i="1"/>
  <c r="V261" i="1"/>
  <c r="X223" i="1"/>
  <c r="X230" i="1"/>
  <c r="X231" i="1"/>
  <c r="BI84" i="1" l="1"/>
  <c r="BJ82" i="1"/>
  <c r="BD84" i="1"/>
  <c r="E84" i="1"/>
  <c r="H82" i="1"/>
  <c r="I82" i="1" s="1"/>
  <c r="I84" i="1" s="1"/>
  <c r="J82" i="1"/>
  <c r="L82" i="1" s="1"/>
  <c r="N82" i="1" s="1"/>
  <c r="O82" i="1" s="1"/>
  <c r="AI264" i="1"/>
  <c r="AI191" i="1"/>
  <c r="AH84" i="1"/>
  <c r="AI82" i="1"/>
  <c r="AI84" i="1" s="1"/>
  <c r="G84" i="1"/>
  <c r="AE81" i="1"/>
  <c r="V190" i="1"/>
  <c r="V263" i="1"/>
  <c r="W80" i="1"/>
  <c r="W81" i="1" s="1"/>
  <c r="Z264" i="1"/>
  <c r="Z191" i="1"/>
  <c r="AD84" i="1"/>
  <c r="V81" i="1"/>
  <c r="F84" i="1"/>
  <c r="AA190" i="1"/>
  <c r="AA263" i="1"/>
  <c r="AA81" i="1"/>
  <c r="AD264" i="1"/>
  <c r="AD191" i="1"/>
  <c r="AE190" i="1"/>
  <c r="AE263" i="1"/>
  <c r="W261" i="1"/>
  <c r="W188" i="1"/>
  <c r="P84" i="1" l="1"/>
  <c r="Q82" i="1"/>
  <c r="Q84" i="1" s="1"/>
  <c r="BJ84" i="1"/>
  <c r="BK82" i="1"/>
  <c r="H84" i="1"/>
  <c r="L84" i="1"/>
  <c r="J84" i="1"/>
  <c r="K82" i="1"/>
  <c r="AE82" i="1"/>
  <c r="AE84" i="1" s="1"/>
  <c r="AE264" i="1"/>
  <c r="AE191" i="1"/>
  <c r="W190" i="1"/>
  <c r="W263" i="1"/>
  <c r="W191" i="1"/>
  <c r="W264" i="1"/>
  <c r="V264" i="1"/>
  <c r="V191" i="1"/>
  <c r="V82" i="1"/>
  <c r="AA191" i="1"/>
  <c r="AA264" i="1"/>
  <c r="BK84" i="1" l="1"/>
  <c r="BL82" i="1"/>
  <c r="K84" i="1"/>
  <c r="V84" i="1"/>
  <c r="W82" i="1"/>
  <c r="X82" i="1" s="1"/>
  <c r="BL84" i="1" l="1"/>
  <c r="M82" i="1"/>
  <c r="N84" i="1" s="1"/>
  <c r="W84" i="1"/>
  <c r="O84" i="1" l="1"/>
  <c r="M84" i="1"/>
  <c r="Y82" i="1"/>
  <c r="X84" i="1"/>
  <c r="Z82" i="1" l="1"/>
  <c r="AA82" i="1" s="1"/>
  <c r="Y84" i="1"/>
  <c r="Z84" i="1" l="1"/>
  <c r="AA8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CRISIL</author>
    <author>CRISL GR&amp;RS</author>
    <author>CRISIL GR&amp;A</author>
    <author>Roshni Arunkumar</author>
  </authors>
  <commentList>
    <comment ref="J5" authorId="0" shapeId="0" xr:uid="{49839ABC-06D0-40AA-B3FC-E4C1650D00EF}">
      <text>
        <r>
          <rPr>
            <b/>
            <sz val="9"/>
            <color indexed="81"/>
            <rFont val="Tahoma"/>
            <family val="2"/>
          </rPr>
          <t>CRISIL:</t>
        </r>
        <r>
          <rPr>
            <sz val="9"/>
            <color indexed="81"/>
            <rFont val="Tahoma"/>
            <family val="2"/>
          </rPr>
          <t xml:space="preserve">
from ppt</t>
        </r>
      </text>
    </comment>
    <comment ref="J6" authorId="0" shapeId="0" xr:uid="{5523DD01-4CEE-400D-B340-5A25C5F90F4C}">
      <text>
        <r>
          <rPr>
            <b/>
            <sz val="9"/>
            <color indexed="81"/>
            <rFont val="Tahoma"/>
            <family val="2"/>
          </rPr>
          <t>CRISIL:</t>
        </r>
        <r>
          <rPr>
            <sz val="9"/>
            <color indexed="81"/>
            <rFont val="Tahoma"/>
            <family val="2"/>
          </rPr>
          <t xml:space="preserve">
exlcudes leases</t>
        </r>
      </text>
    </comment>
    <comment ref="C20" authorId="0" shapeId="0" xr:uid="{B05BDE95-2C7E-4C5E-8865-C4F8C5F40045}">
      <text>
        <r>
          <rPr>
            <b/>
            <sz val="9"/>
            <color indexed="81"/>
            <rFont val="Tahoma"/>
            <family val="2"/>
          </rPr>
          <t>CRISIL:</t>
        </r>
        <r>
          <rPr>
            <sz val="9"/>
            <color indexed="81"/>
            <rFont val="Tahoma"/>
            <family val="2"/>
          </rPr>
          <t xml:space="preserve">
summation of last 4 quarters</t>
        </r>
      </text>
    </comment>
    <comment ref="D43" authorId="0" shapeId="0" xr:uid="{20B13321-46F0-4B85-9259-42D22ED3796C}">
      <text>
        <r>
          <rPr>
            <b/>
            <sz val="9"/>
            <color indexed="81"/>
            <rFont val="Tahoma"/>
            <family val="2"/>
          </rPr>
          <t>CRISIL:</t>
        </r>
        <r>
          <rPr>
            <sz val="9"/>
            <color indexed="81"/>
            <rFont val="Tahoma"/>
            <family val="2"/>
          </rPr>
          <t xml:space="preserve">
from BBG, as data not available in report</t>
        </r>
      </text>
    </comment>
    <comment ref="J57" authorId="0" shapeId="0" xr:uid="{B5594DAE-6414-4B72-B411-0BC6EBC6CF75}">
      <text>
        <r>
          <rPr>
            <b/>
            <sz val="9"/>
            <color indexed="81"/>
            <rFont val="Tahoma"/>
            <family val="2"/>
          </rPr>
          <t>CRISIL:</t>
        </r>
        <r>
          <rPr>
            <sz val="9"/>
            <color indexed="81"/>
            <rFont val="Tahoma"/>
            <family val="2"/>
          </rPr>
          <t xml:space="preserve">
from ppt</t>
        </r>
      </text>
    </comment>
    <comment ref="J58" authorId="0" shapeId="0" xr:uid="{BF19ED36-5A86-450C-B661-32EB1F7FB6F8}">
      <text>
        <r>
          <rPr>
            <b/>
            <sz val="9"/>
            <color indexed="81"/>
            <rFont val="Tahoma"/>
            <family val="2"/>
          </rPr>
          <t>CRISIL:</t>
        </r>
        <r>
          <rPr>
            <sz val="9"/>
            <color indexed="81"/>
            <rFont val="Tahoma"/>
            <family val="2"/>
          </rPr>
          <t xml:space="preserve">
exlcudes leases</t>
        </r>
      </text>
    </comment>
    <comment ref="C73" authorId="0" shapeId="0" xr:uid="{0AEB85A4-3F4F-4563-97E8-F863015D65B9}">
      <text>
        <r>
          <rPr>
            <b/>
            <sz val="9"/>
            <color indexed="81"/>
            <rFont val="Tahoma"/>
            <family val="2"/>
          </rPr>
          <t>CRISIL:</t>
        </r>
        <r>
          <rPr>
            <sz val="9"/>
            <color indexed="81"/>
            <rFont val="Tahoma"/>
            <family val="2"/>
          </rPr>
          <t xml:space="preserve">
summation of last 4 quarters</t>
        </r>
      </text>
    </comment>
    <comment ref="D91" authorId="0" shapeId="0" xr:uid="{91E303DE-2F5B-4F3B-880F-75F8F07E4DD4}">
      <text>
        <r>
          <rPr>
            <b/>
            <sz val="9"/>
            <color indexed="81"/>
            <rFont val="Tahoma"/>
            <family val="2"/>
          </rPr>
          <t>CRISIL:</t>
        </r>
        <r>
          <rPr>
            <sz val="9"/>
            <color indexed="81"/>
            <rFont val="Tahoma"/>
            <family val="2"/>
          </rPr>
          <t xml:space="preserve">
from BBG, as data not available in report</t>
        </r>
      </text>
    </comment>
    <comment ref="J104" authorId="0" shapeId="0" xr:uid="{C033C4D0-E4F9-4FCD-9616-250728F08EEE}">
      <text>
        <r>
          <rPr>
            <b/>
            <sz val="9"/>
            <color indexed="81"/>
            <rFont val="Tahoma"/>
            <family val="2"/>
          </rPr>
          <t>CRISIL:</t>
        </r>
        <r>
          <rPr>
            <sz val="9"/>
            <color indexed="81"/>
            <rFont val="Tahoma"/>
            <family val="2"/>
          </rPr>
          <t xml:space="preserve">
from ppt</t>
        </r>
      </text>
    </comment>
    <comment ref="J105" authorId="0" shapeId="0" xr:uid="{9573B7DD-E177-4C6B-8F8A-A4583741969C}">
      <text>
        <r>
          <rPr>
            <b/>
            <sz val="9"/>
            <color indexed="81"/>
            <rFont val="Tahoma"/>
            <family val="2"/>
          </rPr>
          <t>CRISIL:</t>
        </r>
        <r>
          <rPr>
            <sz val="9"/>
            <color indexed="81"/>
            <rFont val="Tahoma"/>
            <family val="2"/>
          </rPr>
          <t xml:space="preserve">
exlcudes leases</t>
        </r>
      </text>
    </comment>
    <comment ref="C120" authorId="0" shapeId="0" xr:uid="{BFFD1B61-8DAD-4639-9240-C468AAC4D436}">
      <text>
        <r>
          <rPr>
            <b/>
            <sz val="9"/>
            <color indexed="81"/>
            <rFont val="Tahoma"/>
            <family val="2"/>
          </rPr>
          <t>CRISIL:</t>
        </r>
        <r>
          <rPr>
            <sz val="9"/>
            <color indexed="81"/>
            <rFont val="Tahoma"/>
            <family val="2"/>
          </rPr>
          <t xml:space="preserve">
summation of last 4 quarters</t>
        </r>
      </text>
    </comment>
    <comment ref="D136" authorId="0" shapeId="0" xr:uid="{8DA90061-2700-460F-8E67-8D5332A4BB46}">
      <text>
        <r>
          <rPr>
            <b/>
            <sz val="9"/>
            <color indexed="81"/>
            <rFont val="Tahoma"/>
            <family val="2"/>
          </rPr>
          <t>CRISIL:</t>
        </r>
        <r>
          <rPr>
            <sz val="9"/>
            <color indexed="81"/>
            <rFont val="Tahoma"/>
            <family val="2"/>
          </rPr>
          <t xml:space="preserve">
from BBG, as data not available in report</t>
        </r>
      </text>
    </comment>
    <comment ref="J148" authorId="0" shapeId="0" xr:uid="{C37DA08C-AF3C-4B86-A1D8-FF3FED33C453}">
      <text>
        <r>
          <rPr>
            <b/>
            <sz val="9"/>
            <color indexed="81"/>
            <rFont val="Tahoma"/>
            <family val="2"/>
          </rPr>
          <t>CRISIL:</t>
        </r>
        <r>
          <rPr>
            <sz val="9"/>
            <color indexed="81"/>
            <rFont val="Tahoma"/>
            <family val="2"/>
          </rPr>
          <t xml:space="preserve">
from ppt</t>
        </r>
      </text>
    </comment>
    <comment ref="D180" authorId="0" shapeId="0" xr:uid="{B5B4ECC2-8057-4D86-8028-521D06A294FA}">
      <text>
        <r>
          <rPr>
            <b/>
            <sz val="9"/>
            <color indexed="81"/>
            <rFont val="Tahoma"/>
            <family val="2"/>
          </rPr>
          <t>CRISIL:</t>
        </r>
        <r>
          <rPr>
            <sz val="9"/>
            <color indexed="81"/>
            <rFont val="Tahoma"/>
            <family val="2"/>
          </rPr>
          <t xml:space="preserve">
from BBG, as data not available in report</t>
        </r>
      </text>
    </comment>
    <comment ref="D227" authorId="0" shapeId="0" xr:uid="{B93C45FC-3BEE-4154-B4D7-BA5E934E683F}">
      <text>
        <r>
          <rPr>
            <b/>
            <sz val="9"/>
            <color indexed="81"/>
            <rFont val="Tahoma"/>
            <family val="2"/>
          </rPr>
          <t>CRISIL:</t>
        </r>
        <r>
          <rPr>
            <sz val="9"/>
            <color indexed="81"/>
            <rFont val="Tahoma"/>
            <family val="2"/>
          </rPr>
          <t xml:space="preserve">
from BBG</t>
        </r>
      </text>
    </comment>
    <comment ref="J390" authorId="0" shapeId="0" xr:uid="{F162A95F-093B-4549-9F46-2E66BBBDD907}">
      <text>
        <r>
          <rPr>
            <b/>
            <sz val="9"/>
            <color indexed="81"/>
            <rFont val="Tahoma"/>
            <family val="2"/>
          </rPr>
          <t>CRISIL:</t>
        </r>
        <r>
          <rPr>
            <sz val="9"/>
            <color indexed="81"/>
            <rFont val="Tahoma"/>
            <family val="2"/>
          </rPr>
          <t xml:space="preserve">
Differs from calculated leverage due to reclassification of Ncell as asset held for sale, which results in lower total debt for the company</t>
        </r>
      </text>
    </comment>
    <comment ref="H496" authorId="1" shapeId="0" xr:uid="{00000000-0006-0000-0000-000001000000}">
      <text>
        <r>
          <rPr>
            <b/>
            <sz val="9"/>
            <color indexed="81"/>
            <rFont val="Tahoma"/>
            <family val="2"/>
          </rPr>
          <t>CRISL GR&amp;RS:</t>
        </r>
        <r>
          <rPr>
            <sz val="9"/>
            <color indexed="81"/>
            <rFont val="Tahoma"/>
            <family val="2"/>
          </rPr>
          <t xml:space="preserve">
Taken from BBG</t>
        </r>
      </text>
    </comment>
    <comment ref="H540" authorId="1" shapeId="0" xr:uid="{00000000-0006-0000-0000-000003000000}">
      <text>
        <r>
          <rPr>
            <b/>
            <sz val="9"/>
            <color indexed="81"/>
            <rFont val="Tahoma"/>
            <family val="2"/>
          </rPr>
          <t>CRISL GR&amp;RS:</t>
        </r>
        <r>
          <rPr>
            <sz val="9"/>
            <color indexed="81"/>
            <rFont val="Tahoma"/>
            <family val="2"/>
          </rPr>
          <t xml:space="preserve">
Taken from BBG</t>
        </r>
      </text>
    </comment>
    <comment ref="D560" authorId="2" shapeId="0" xr:uid="{00000000-0006-0000-0000-000004000000}">
      <text>
        <r>
          <rPr>
            <b/>
            <sz val="9"/>
            <color indexed="81"/>
            <rFont val="Tahoma"/>
            <family val="2"/>
          </rPr>
          <t>CRISIL GR&amp;A:</t>
        </r>
        <r>
          <rPr>
            <sz val="9"/>
            <color indexed="81"/>
            <rFont val="Tahoma"/>
            <family val="2"/>
          </rPr>
          <t xml:space="preserve">
Rounding off error</t>
        </r>
      </text>
    </comment>
    <comment ref="D608" authorId="2" shapeId="0" xr:uid="{00000000-0006-0000-0000-000005000000}">
      <text>
        <r>
          <rPr>
            <b/>
            <sz val="9"/>
            <color indexed="81"/>
            <rFont val="Tahoma"/>
            <family val="2"/>
          </rPr>
          <t>CRISIL GR&amp;A:</t>
        </r>
        <r>
          <rPr>
            <sz val="9"/>
            <color indexed="81"/>
            <rFont val="Tahoma"/>
            <family val="2"/>
          </rPr>
          <t xml:space="preserve">
Rounding off error</t>
        </r>
      </text>
    </comment>
    <comment ref="D653" authorId="2" shapeId="0" xr:uid="{00000000-0006-0000-0000-000006000000}">
      <text>
        <r>
          <rPr>
            <b/>
            <sz val="9"/>
            <color indexed="81"/>
            <rFont val="Tahoma"/>
            <family val="2"/>
          </rPr>
          <t>CRISIL GR&amp;A:</t>
        </r>
        <r>
          <rPr>
            <sz val="9"/>
            <color indexed="81"/>
            <rFont val="Tahoma"/>
            <family val="2"/>
          </rPr>
          <t xml:space="preserve">
Rounding off error</t>
        </r>
      </text>
    </comment>
    <comment ref="D697" authorId="2" shapeId="0" xr:uid="{00000000-0006-0000-0000-000007000000}">
      <text>
        <r>
          <rPr>
            <b/>
            <sz val="9"/>
            <color indexed="81"/>
            <rFont val="Tahoma"/>
            <family val="2"/>
          </rPr>
          <t>CRISIL GR&amp;A:</t>
        </r>
        <r>
          <rPr>
            <sz val="9"/>
            <color indexed="81"/>
            <rFont val="Tahoma"/>
            <family val="2"/>
          </rPr>
          <t xml:space="preserve">
Rounding off error</t>
        </r>
      </text>
    </comment>
    <comment ref="D741" authorId="2" shapeId="0" xr:uid="{00000000-0006-0000-0000-000008000000}">
      <text>
        <r>
          <rPr>
            <b/>
            <sz val="9"/>
            <color indexed="81"/>
            <rFont val="Tahoma"/>
            <family val="2"/>
          </rPr>
          <t>CRISIL GR&amp;A:</t>
        </r>
        <r>
          <rPr>
            <sz val="9"/>
            <color indexed="81"/>
            <rFont val="Tahoma"/>
            <family val="2"/>
          </rPr>
          <t xml:space="preserve">
Rounding off error</t>
        </r>
      </text>
    </comment>
    <comment ref="D893" authorId="3" shapeId="0" xr:uid="{00000000-0006-0000-0000-000009000000}">
      <text>
        <r>
          <rPr>
            <sz val="9"/>
            <color indexed="81"/>
            <rFont val="Tahoma"/>
            <family val="2"/>
          </rPr>
          <t>On 8 May 2020, the Company completed a Syndicated Multi-Currency Shariah-compliant sustainability-linked financing facilities of USD800.0 million (RM3.5 billion) (“Syndicated Financing”). On the same day, the Company drawdown RM600.0 million from this Syndicated Financing.
On 23 March 2020, drawdown its revolving credit facilities (“RC”) with MUFG Bank (Malaysia) Bhd (“MUFG”) Berhad and Oversea-Chinese Banking Corporation Ltd (“OCBC”) amounting to USD100.0 million (RM433.5 million) and USD200.0 million (RM867.0 million). On 23 June 2020, settled its USD100.0 million (RM427.8 million) RC facility with MUFG upon maturity; and on 8 May 2020 to 23 June 2020, drawdown its syndicated multi-currency Shariah-compliant sustainability-linked financing facilities (“Syndicated Financing”) of RM667.0 million and USD100.0 million (RM427.8 million). On 15 July 2020, the Company has further drawdown USD250.0 million (RM1.1 billion) from its Syndicated Financing and settled its RC facilities with OCBC of USD250.0 million (RM1.1 billion) upon maturity.
On 30 October 2020, settled part of its Syndicated Financing amounting to USD200.0 million (RM831.2 million).</t>
        </r>
      </text>
    </comment>
    <comment ref="I920" authorId="3" shapeId="0" xr:uid="{00000000-0006-0000-0000-00000A000000}">
      <text>
        <r>
          <rPr>
            <sz val="9"/>
            <color indexed="81"/>
            <rFont val="Tahoma"/>
            <family val="2"/>
          </rPr>
          <t>SPV 1, a wholly-owned subsidiary of the Company fully repaid its USD300.0 million (RM1,307.4
million) Notes which matured on 28 April 2020. The Notes carried a coupon rate of 5.375% per
annum (payable semi-annually in arrears) and had a tenure of 10 years from the date of issuance.
On 8 May 2020, the Company completed a Syndicated Multi-Currency Shariah-compliant
sustainability-linked financing facilities of USD800.0 million (RM3.5 billion) (“Syndicated
Financing”)  On the same day, the Company
drawdown RM600.0 million from this Syndicated Financing.
SPV 1, a wholly-owned subsidiary of the Company fully repaid its USD300.0 million (RM1,307.4
million) Notes which matured on 28 April 2020. The Notes carried a coupon rate of 5.375% per
annum (payable semi-annually in arrears) and had a tenure of 10 years from the date of issuance.</t>
        </r>
      </text>
    </comment>
    <comment ref="G935" authorId="3" shapeId="0" xr:uid="{00000000-0006-0000-0000-00000B000000}">
      <text>
        <r>
          <rPr>
            <sz val="9"/>
            <color indexed="81"/>
            <rFont val="Tahoma"/>
            <family val="2"/>
          </rPr>
          <t>Axiata strengthened its liquidity position with the completion
of the recent issuances of USD500.0 million Multi-Currency Sukuk and USD1.0 billion Euro Medium-Term Note on 19 August 2020, SPV2, a wholly-owned subsidiary of the Company fully repaid its USD500.0 million (RM2,068.0 million) Sukuk which matured on 19 November 2020.
On 12 August 2020, SPV5 successfully priced its USD1.0 billion (RM4.2 billion) Notes and issued on 19 August 2020, pursuant to the EMTN Programme (“Series One Notes”) at par, with a coupon rate of 3.064% p.a. (payable semi-annually) and has tenure of thirty (30) years from the date of issuance.</t>
        </r>
      </text>
    </comment>
    <comment ref="I962" authorId="3" shapeId="0" xr:uid="{00000000-0006-0000-0000-00000C000000}">
      <text>
        <r>
          <rPr>
            <sz val="9"/>
            <color indexed="81"/>
            <rFont val="Tahoma"/>
            <family val="2"/>
          </rPr>
          <t>SPV 1, a wholly-owned subsidiary of the Company fully repaid its USD300.0 million (RM1,307.4
million) Notes which matured on 28 April 2020. The Notes carried a coupon rate of 5.375% per
annum (payable semi-annually in arrears) and had a tenure of 10 years from the date of issuance.
On 8 May 2020, the Company completed a Syndicated Multi-Currency Shariah-compliant
sustainability-linked financing facilities of USD800.0 million (RM3.5 billion) (“Syndicated
Financing”)  On the same day, the Company
drawdown RM600.0 million from this Syndicated Financing.
SPV 1, a wholly-owned subsidiary of the Company fully repaid its USD300.0 million (RM1,307.4
million) Notes which matured on 28 April 2020. The Notes carried a coupon rate of 5.375% per
annum (payable semi-annually in arrears) and had a tenure of 10 years from the date of issuance.</t>
        </r>
      </text>
    </comment>
    <comment ref="G977" authorId="3" shapeId="0" xr:uid="{00000000-0006-0000-0000-00000D000000}">
      <text>
        <r>
          <rPr>
            <sz val="9"/>
            <color indexed="81"/>
            <rFont val="Tahoma"/>
            <family val="2"/>
          </rPr>
          <t>On 8 May 2020, the Company completed a Syndicated Multi-Currency Shariah-compliant
sustainability-linked financing facilities of USD800.0 million (RM3.5 billion) (“Syndicated
Financing”) with OCBC Al-Amin Bank Bhd which acted as the lead coordinator and sustainability
structuring and shariah adviser, together with the other mandated lead arrangers and financiers,
OCBC, Labuan Branch; Maybank Islamic Bank Bhd and MUFG. On the same day, the Company
drawdown RM600.0 million from this Syndicated Financing.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Vivek Panchal</author>
    <author>Avi Sandip Jhaveri</author>
    <author>Onabule, Yejide</author>
    <author>CRISIL</author>
    <author>CRISIL GR&amp;RS</author>
    <author>Crisil GR&amp;A</author>
    <author>Akhil G</author>
    <author>CRISL GR&amp;RS</author>
    <author>GR&amp;RS</author>
    <author>CRISIL GR&amp;A</author>
    <author>Roshni Arunkumar</author>
  </authors>
  <commentList>
    <comment ref="K4" authorId="0" shapeId="0" xr:uid="{00000000-0006-0000-0100-000001000000}">
      <text>
        <r>
          <rPr>
            <b/>
            <sz val="9"/>
            <color indexed="81"/>
            <rFont val="Tahoma"/>
            <family val="2"/>
          </rPr>
          <t>To update once restated values are available</t>
        </r>
      </text>
    </comment>
    <comment ref="AJ4" authorId="1" shapeId="0" xr:uid="{035479D6-7D16-47F1-A569-DF3D2C33FADC}">
      <text>
        <r>
          <rPr>
            <b/>
            <sz val="9"/>
            <color indexed="81"/>
            <rFont val="Tahoma"/>
            <family val="2"/>
          </rPr>
          <t>Avi Sandip Jhaveri:</t>
        </r>
        <r>
          <rPr>
            <sz val="9"/>
            <color indexed="81"/>
            <rFont val="Tahoma"/>
            <family val="2"/>
          </rPr>
          <t xml:space="preserve">
Not Available</t>
        </r>
      </text>
    </comment>
    <comment ref="AK4" authorId="1" shapeId="0" xr:uid="{9D0D6B25-7879-42BB-B58E-24A28BFD041D}">
      <text>
        <r>
          <rPr>
            <b/>
            <sz val="9"/>
            <color indexed="81"/>
            <rFont val="Tahoma"/>
            <family val="2"/>
          </rPr>
          <t>Avi Sandip Jhaveri:</t>
        </r>
        <r>
          <rPr>
            <sz val="9"/>
            <color indexed="81"/>
            <rFont val="Tahoma"/>
            <family val="2"/>
          </rPr>
          <t xml:space="preserve">
Not Available</t>
        </r>
      </text>
    </comment>
    <comment ref="AL4" authorId="1" shapeId="0" xr:uid="{E149F5E5-18C7-4661-8473-F5D3FFB853C2}">
      <text>
        <r>
          <rPr>
            <b/>
            <sz val="9"/>
            <color indexed="81"/>
            <rFont val="Tahoma"/>
            <family val="2"/>
          </rPr>
          <t>Avi Sandip Jhaveri:</t>
        </r>
        <r>
          <rPr>
            <sz val="9"/>
            <color indexed="81"/>
            <rFont val="Tahoma"/>
            <family val="2"/>
          </rPr>
          <t xml:space="preserve">
Not Available</t>
        </r>
      </text>
    </comment>
    <comment ref="AS4" authorId="0" shapeId="0" xr:uid="{00000000-0006-0000-0100-000002000000}">
      <text>
        <r>
          <rPr>
            <b/>
            <sz val="9"/>
            <color indexed="81"/>
            <rFont val="Tahoma"/>
            <family val="2"/>
          </rPr>
          <t>To update once restated values are available</t>
        </r>
      </text>
    </comment>
    <comment ref="AT4" authorId="0" shapeId="0" xr:uid="{00000000-0006-0000-0100-000003000000}">
      <text>
        <r>
          <rPr>
            <b/>
            <sz val="9"/>
            <color indexed="81"/>
            <rFont val="Tahoma"/>
            <family val="2"/>
          </rPr>
          <t>To update once restated values are available</t>
        </r>
      </text>
    </comment>
    <comment ref="AV4" authorId="0" shapeId="0" xr:uid="{27939651-A947-4049-A973-07B18C982B5F}">
      <text>
        <r>
          <rPr>
            <b/>
            <sz val="9"/>
            <color indexed="81"/>
            <rFont val="Tahoma"/>
            <family val="2"/>
          </rPr>
          <t>To update once restated values are available</t>
        </r>
      </text>
    </comment>
    <comment ref="K6" authorId="2" shapeId="0" xr:uid="{D3FCAA2D-06C6-4131-B968-9D7F9DE090D3}">
      <text>
        <r>
          <rPr>
            <b/>
            <sz val="9"/>
            <color indexed="81"/>
            <rFont val="Tahoma"/>
            <family val="2"/>
          </rPr>
          <t>Onabule, Yejide:</t>
        </r>
        <r>
          <rPr>
            <sz val="9"/>
            <color indexed="81"/>
            <rFont val="Tahoma"/>
            <family val="2"/>
          </rPr>
          <t xml:space="preserve">
continuing operations only </t>
        </r>
      </text>
    </comment>
    <comment ref="L6" authorId="0" shapeId="0" xr:uid="{26233268-1C2C-442E-9D20-8ADE18AB67B4}">
      <text>
        <r>
          <rPr>
            <b/>
            <sz val="9"/>
            <color indexed="81"/>
            <rFont val="Tahoma"/>
            <family val="2"/>
          </rPr>
          <t>To update once restated values are available</t>
        </r>
      </text>
    </comment>
    <comment ref="BO6" authorId="3" shapeId="0" xr:uid="{B60C28F7-E8AF-4C1F-85ED-ACCF0AC7D9B9}">
      <text>
        <r>
          <rPr>
            <b/>
            <sz val="9"/>
            <color indexed="81"/>
            <rFont val="Tahoma"/>
            <family val="2"/>
          </rPr>
          <t>CRISIL:</t>
        </r>
        <r>
          <rPr>
            <sz val="9"/>
            <color indexed="81"/>
            <rFont val="Tahoma"/>
            <family val="2"/>
          </rPr>
          <t xml:space="preserve">
Using QTR</t>
        </r>
      </text>
    </comment>
    <comment ref="BS6" authorId="3" shapeId="0" xr:uid="{C7143E86-6D4C-4ED0-97CB-55624092DD75}">
      <text>
        <r>
          <rPr>
            <b/>
            <sz val="9"/>
            <color indexed="81"/>
            <rFont val="Tahoma"/>
            <family val="2"/>
          </rPr>
          <t>CRISIL:</t>
        </r>
        <r>
          <rPr>
            <sz val="9"/>
            <color indexed="81"/>
            <rFont val="Tahoma"/>
            <family val="2"/>
          </rPr>
          <t xml:space="preserve">
Using QTR</t>
        </r>
      </text>
    </comment>
    <comment ref="CB6" authorId="3" shapeId="0" xr:uid="{BA6B0151-F94C-4E12-B080-CC47F6F76588}">
      <text>
        <r>
          <rPr>
            <b/>
            <sz val="9"/>
            <color indexed="81"/>
            <rFont val="Tahoma"/>
            <family val="2"/>
          </rPr>
          <t>CRISIL:</t>
        </r>
        <r>
          <rPr>
            <sz val="9"/>
            <color indexed="81"/>
            <rFont val="Tahoma"/>
            <family val="2"/>
          </rPr>
          <t xml:space="preserve">
Using 9M
</t>
        </r>
      </text>
    </comment>
    <comment ref="CC6" authorId="3" shapeId="0" xr:uid="{D7105226-03B3-4F58-B41A-07D5022A3098}">
      <text>
        <r>
          <rPr>
            <b/>
            <sz val="9"/>
            <color indexed="81"/>
            <rFont val="Tahoma"/>
            <family val="2"/>
          </rPr>
          <t>CRISIL:</t>
        </r>
        <r>
          <rPr>
            <sz val="9"/>
            <color indexed="81"/>
            <rFont val="Tahoma"/>
            <family val="2"/>
          </rPr>
          <t xml:space="preserve">
Using 9M
</t>
        </r>
      </text>
    </comment>
    <comment ref="I7" authorId="2" shapeId="0" xr:uid="{332CA577-B5F4-4C2F-83B5-D9998F29D442}">
      <text>
        <r>
          <rPr>
            <b/>
            <sz val="9"/>
            <color indexed="81"/>
            <rFont val="Tahoma"/>
            <family val="2"/>
          </rPr>
          <t>Onabule, Yejide:</t>
        </r>
        <r>
          <rPr>
            <sz val="9"/>
            <color indexed="81"/>
            <rFont val="Tahoma"/>
            <family val="2"/>
          </rPr>
          <t xml:space="preserve">
21725.735 continued operations</t>
        </r>
      </text>
    </comment>
    <comment ref="K7" authorId="2" shapeId="0" xr:uid="{530C961F-15F5-439E-A58A-22B41F8C2C37}">
      <text>
        <r>
          <rPr>
            <b/>
            <sz val="9"/>
            <color indexed="81"/>
            <rFont val="Tahoma"/>
            <family val="2"/>
          </rPr>
          <t>Onabule, Yejide:</t>
        </r>
        <r>
          <rPr>
            <sz val="9"/>
            <color indexed="81"/>
            <rFont val="Tahoma"/>
            <family val="2"/>
          </rPr>
          <t xml:space="preserve">
21725.735 continued operations</t>
        </r>
      </text>
    </comment>
    <comment ref="AU7" authorId="2" shapeId="0" xr:uid="{5CE3A0C4-E159-43F3-82A6-49A4A61E271F}">
      <text>
        <r>
          <rPr>
            <b/>
            <sz val="9"/>
            <color indexed="81"/>
            <rFont val="Tahoma"/>
            <family val="2"/>
          </rPr>
          <t>Onabule, Yejide:</t>
        </r>
        <r>
          <rPr>
            <sz val="9"/>
            <color indexed="81"/>
            <rFont val="Tahoma"/>
            <family val="2"/>
          </rPr>
          <t xml:space="preserve">
5809</t>
        </r>
      </text>
    </comment>
    <comment ref="BB7" authorId="2" shapeId="0" xr:uid="{029679AA-016D-4EC5-8219-FCC60CF8F44D}">
      <text>
        <r>
          <rPr>
            <b/>
            <sz val="9"/>
            <color indexed="81"/>
            <rFont val="Tahoma"/>
            <family val="2"/>
          </rPr>
          <t>Onabule, Yejide:</t>
        </r>
        <r>
          <rPr>
            <sz val="9"/>
            <color indexed="81"/>
            <rFont val="Tahoma"/>
            <family val="2"/>
          </rPr>
          <t xml:space="preserve">
combine excluding nepal 6010</t>
        </r>
      </text>
    </comment>
    <comment ref="BC7" authorId="2" shapeId="0" xr:uid="{D5A36472-EC79-44E4-9CE9-CADF438DF6F0}">
      <text>
        <r>
          <rPr>
            <b/>
            <sz val="9"/>
            <color indexed="81"/>
            <rFont val="Tahoma"/>
            <family val="2"/>
          </rPr>
          <t>Onabule, Yejide:</t>
        </r>
        <r>
          <rPr>
            <sz val="9"/>
            <color indexed="81"/>
            <rFont val="Tahoma"/>
            <family val="2"/>
          </rPr>
          <t xml:space="preserve">
combine excluding nepal 6010</t>
        </r>
      </text>
    </comment>
    <comment ref="K56" authorId="2" shapeId="0" xr:uid="{1FB214F2-C771-4AD8-9751-7EA5ABB71F89}">
      <text>
        <r>
          <rPr>
            <b/>
            <sz val="9"/>
            <color indexed="81"/>
            <rFont val="Tahoma"/>
            <family val="2"/>
          </rPr>
          <t>Onabule, Yejide:</t>
        </r>
        <r>
          <rPr>
            <sz val="9"/>
            <color indexed="81"/>
            <rFont val="Tahoma"/>
            <family val="2"/>
          </rPr>
          <t xml:space="preserve">
9596.645 continuing operations
</t>
        </r>
      </text>
    </comment>
    <comment ref="L56" authorId="4" shapeId="0" xr:uid="{7366A338-9EDF-418D-B430-8DEA74EA91A0}">
      <text>
        <r>
          <rPr>
            <b/>
            <sz val="9"/>
            <color indexed="81"/>
            <rFont val="Tahoma"/>
            <family val="2"/>
          </rPr>
          <t>CRISIL GR&amp;RS:</t>
        </r>
        <r>
          <rPr>
            <sz val="9"/>
            <color indexed="81"/>
            <rFont val="Tahoma"/>
            <family val="2"/>
          </rPr>
          <t xml:space="preserve">
continuing operations</t>
        </r>
      </text>
    </comment>
    <comment ref="M56" authorId="4" shapeId="0" xr:uid="{96B7A6B4-2788-4B85-BCB7-6F302FBCB09A}">
      <text>
        <r>
          <rPr>
            <b/>
            <sz val="9"/>
            <color indexed="81"/>
            <rFont val="Tahoma"/>
            <family val="2"/>
          </rPr>
          <t>CRISIL GR&amp;RS:</t>
        </r>
        <r>
          <rPr>
            <sz val="9"/>
            <color indexed="81"/>
            <rFont val="Tahoma"/>
            <family val="2"/>
          </rPr>
          <t xml:space="preserve">
continuing operations</t>
        </r>
      </text>
    </comment>
    <comment ref="N56" authorId="4" shapeId="0" xr:uid="{66DF33D6-1429-4854-8FA0-FC0BB3272D1E}">
      <text>
        <r>
          <rPr>
            <b/>
            <sz val="9"/>
            <color indexed="81"/>
            <rFont val="Tahoma"/>
            <family val="2"/>
          </rPr>
          <t>CRISIL GR&amp;RS:</t>
        </r>
        <r>
          <rPr>
            <sz val="9"/>
            <color indexed="81"/>
            <rFont val="Tahoma"/>
            <family val="2"/>
          </rPr>
          <t xml:space="preserve">
continuing operations</t>
        </r>
      </text>
    </comment>
    <comment ref="P56" authorId="4" shapeId="0" xr:uid="{FA01A764-1FCD-42E0-A420-A888C2148FC2}">
      <text>
        <r>
          <rPr>
            <b/>
            <sz val="9"/>
            <color indexed="81"/>
            <rFont val="Tahoma"/>
            <family val="2"/>
          </rPr>
          <t>CRISIL GR&amp;RS:</t>
        </r>
        <r>
          <rPr>
            <sz val="9"/>
            <color indexed="81"/>
            <rFont val="Tahoma"/>
            <family val="2"/>
          </rPr>
          <t xml:space="preserve">
continuing operations</t>
        </r>
      </text>
    </comment>
    <comment ref="Q56" authorId="4" shapeId="0" xr:uid="{6621B29C-5A78-4961-8422-0D1ACBBE455E}">
      <text>
        <r>
          <rPr>
            <b/>
            <sz val="9"/>
            <color indexed="81"/>
            <rFont val="Tahoma"/>
            <family val="2"/>
          </rPr>
          <t>CRISIL GR&amp;RS:</t>
        </r>
        <r>
          <rPr>
            <sz val="9"/>
            <color indexed="81"/>
            <rFont val="Tahoma"/>
            <family val="2"/>
          </rPr>
          <t xml:space="preserve">
continuing operations (from FS)</t>
        </r>
      </text>
    </comment>
    <comment ref="I59" authorId="2" shapeId="0" xr:uid="{5DD51CC1-0C20-489C-BB54-C72CEA3AC6DE}">
      <text>
        <r>
          <rPr>
            <b/>
            <sz val="9"/>
            <color indexed="81"/>
            <rFont val="Tahoma"/>
            <family val="2"/>
          </rPr>
          <t>Onabule, Yejide:</t>
        </r>
        <r>
          <rPr>
            <sz val="9"/>
            <color indexed="81"/>
            <rFont val="Tahoma"/>
            <family val="2"/>
          </rPr>
          <t xml:space="preserve">
9596.645 continuing operations
</t>
        </r>
      </text>
    </comment>
    <comment ref="K59" authorId="2" shapeId="0" xr:uid="{4FB9BAAC-9371-484D-99FF-193B74E704C4}">
      <text>
        <r>
          <rPr>
            <b/>
            <sz val="9"/>
            <color indexed="81"/>
            <rFont val="Tahoma"/>
            <family val="2"/>
          </rPr>
          <t>Onabule, Yejide:</t>
        </r>
        <r>
          <rPr>
            <sz val="9"/>
            <color indexed="81"/>
            <rFont val="Tahoma"/>
            <family val="2"/>
          </rPr>
          <t xml:space="preserve">
9596.645 continuing operations
</t>
        </r>
      </text>
    </comment>
    <comment ref="L59" authorId="4" shapeId="0" xr:uid="{4522E1A2-3A45-4644-9223-13627382E817}">
      <text>
        <r>
          <rPr>
            <b/>
            <sz val="9"/>
            <color indexed="81"/>
            <rFont val="Tahoma"/>
            <family val="2"/>
          </rPr>
          <t>CRISIL GR&amp;RS:</t>
        </r>
        <r>
          <rPr>
            <sz val="9"/>
            <color indexed="81"/>
            <rFont val="Tahoma"/>
            <family val="2"/>
          </rPr>
          <t xml:space="preserve">
continuing operations</t>
        </r>
      </text>
    </comment>
    <comment ref="M59" authorId="4" shapeId="0" xr:uid="{0E5DE25B-5C4D-4D04-912F-389A16746F4D}">
      <text>
        <r>
          <rPr>
            <b/>
            <sz val="9"/>
            <color indexed="81"/>
            <rFont val="Tahoma"/>
            <family val="2"/>
          </rPr>
          <t>CRISIL GR&amp;RS:</t>
        </r>
        <r>
          <rPr>
            <sz val="9"/>
            <color indexed="81"/>
            <rFont val="Tahoma"/>
            <family val="2"/>
          </rPr>
          <t xml:space="preserve">
continuing operations</t>
        </r>
      </text>
    </comment>
    <comment ref="N59" authorId="4" shapeId="0" xr:uid="{FD162515-CDCE-45B1-BB7B-69B34AC77D55}">
      <text>
        <r>
          <rPr>
            <b/>
            <sz val="9"/>
            <color indexed="81"/>
            <rFont val="Tahoma"/>
            <family val="2"/>
          </rPr>
          <t>CRISIL GR&amp;RS:</t>
        </r>
        <r>
          <rPr>
            <sz val="9"/>
            <color indexed="81"/>
            <rFont val="Tahoma"/>
            <family val="2"/>
          </rPr>
          <t xml:space="preserve">
continuing operations</t>
        </r>
      </text>
    </comment>
    <comment ref="AU59" authorId="2" shapeId="0" xr:uid="{B3C543AC-10FC-4E8A-A57E-E723621E328E}">
      <text>
        <r>
          <rPr>
            <b/>
            <sz val="9"/>
            <color indexed="81"/>
            <rFont val="Tahoma"/>
            <family val="2"/>
          </rPr>
          <t>Onabule, Yejide:</t>
        </r>
        <r>
          <rPr>
            <sz val="9"/>
            <color indexed="81"/>
            <rFont val="Tahoma"/>
            <family val="2"/>
          </rPr>
          <t xml:space="preserve">
2549</t>
        </r>
      </text>
    </comment>
    <comment ref="AW59" authorId="2" shapeId="0" xr:uid="{ADE9AD5A-D335-4AD0-9A42-E1AB7B479BC4}">
      <text>
        <r>
          <rPr>
            <b/>
            <sz val="9"/>
            <color indexed="81"/>
            <rFont val="Tahoma"/>
            <family val="2"/>
          </rPr>
          <t>Onabule, Yejide:</t>
        </r>
        <r>
          <rPr>
            <sz val="9"/>
            <color indexed="81"/>
            <rFont val="Tahoma"/>
            <family val="2"/>
          </rPr>
          <t xml:space="preserve">
2549</t>
        </r>
      </text>
    </comment>
    <comment ref="BB59" authorId="2" shapeId="0" xr:uid="{86DF20AF-F78F-4B83-9DDE-2EB758E7A1CA}">
      <text>
        <r>
          <rPr>
            <b/>
            <sz val="9"/>
            <color indexed="81"/>
            <rFont val="Tahoma"/>
            <family val="2"/>
          </rPr>
          <t>Onabule, Yejide:</t>
        </r>
        <r>
          <rPr>
            <sz val="9"/>
            <color indexed="81"/>
            <rFont val="Tahoma"/>
            <family val="2"/>
          </rPr>
          <t xml:space="preserve">
combine including nepal 2714</t>
        </r>
      </text>
    </comment>
    <comment ref="BC59" authorId="2" shapeId="0" xr:uid="{E21834C0-8A36-4311-9B10-F27FBE53B6EA}">
      <text>
        <r>
          <rPr>
            <b/>
            <sz val="9"/>
            <color indexed="81"/>
            <rFont val="Tahoma"/>
            <family val="2"/>
          </rPr>
          <t>Onabule, Yejide:</t>
        </r>
        <r>
          <rPr>
            <sz val="9"/>
            <color indexed="81"/>
            <rFont val="Tahoma"/>
            <family val="2"/>
          </rPr>
          <t xml:space="preserve">
combine including nepal 2714</t>
        </r>
      </text>
    </comment>
    <comment ref="AM64" authorId="1" shapeId="0" xr:uid="{E06A2D5D-F776-4A7C-88B9-319B1BC935B0}">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B65" authorId="3" shapeId="0" xr:uid="{F8004F3C-306A-4A53-BB0E-6D84A8EEC49D}">
      <text>
        <r>
          <rPr>
            <b/>
            <sz val="9"/>
            <color indexed="81"/>
            <rFont val="Tahoma"/>
            <family val="2"/>
          </rPr>
          <t>CRISIL:</t>
        </r>
        <r>
          <rPr>
            <sz val="9"/>
            <color indexed="81"/>
            <rFont val="Tahoma"/>
            <family val="2"/>
          </rPr>
          <t xml:space="preserve">
Includes (As suggetsed by analyst - Yejide for direct CFS approach : 
1. Receipts from customers and others
2. Payments to suppliers, employees and others</t>
        </r>
      </text>
    </comment>
    <comment ref="AM65" authorId="1" shapeId="0" xr:uid="{D79E0A95-7507-4E83-8A6A-A2D4666586AD}">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AM66" authorId="1" shapeId="0" xr:uid="{09750B8A-3D09-4D37-AEF5-4EA1DBF98865}">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AM67" authorId="1" shapeId="0" xr:uid="{B40F6770-C151-45E9-AF55-B9CC76F52259}">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AM68" authorId="1" shapeId="0" xr:uid="{3CC0E4FD-7B70-42E9-8891-A1B235B66FB7}">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B69" authorId="5" shapeId="0" xr:uid="{00000000-0006-0000-0100-000004000000}">
      <text>
        <r>
          <rPr>
            <b/>
            <sz val="9"/>
            <color indexed="81"/>
            <rFont val="Tahoma"/>
            <family val="2"/>
          </rPr>
          <t>Crisil GR&amp;A:</t>
        </r>
        <r>
          <rPr>
            <sz val="9"/>
            <color indexed="81"/>
            <rFont val="Tahoma"/>
            <family val="2"/>
          </rPr>
          <t xml:space="preserve">
Includes:
Amounts from the sale of property, plant and equipment
Purchases of Property, Plant and Equipment</t>
        </r>
      </text>
    </comment>
    <comment ref="AM69" authorId="1" shapeId="0" xr:uid="{6851D77B-7C4F-4899-B414-8AEB6C908A50}">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AM70" authorId="1" shapeId="0" xr:uid="{98110D5E-8EE0-436D-94F3-70BF9689DAEB}">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B71" authorId="5" shapeId="0" xr:uid="{00000000-0006-0000-0100-000005000000}">
      <text>
        <r>
          <rPr>
            <b/>
            <sz val="9"/>
            <color indexed="81"/>
            <rFont val="Tahoma"/>
            <family val="2"/>
          </rPr>
          <t>Crisil GR&amp;A:</t>
        </r>
        <r>
          <rPr>
            <sz val="9"/>
            <color indexed="81"/>
            <rFont val="Tahoma"/>
            <family val="2"/>
          </rPr>
          <t xml:space="preserve">
Includes:
Cash flows used to obtain control of subsidiaries</t>
        </r>
      </text>
    </comment>
    <comment ref="E71" authorId="6" shapeId="0" xr:uid="{00000000-0006-0000-0100-000006000000}">
      <text>
        <r>
          <rPr>
            <b/>
            <sz val="9"/>
            <color indexed="81"/>
            <rFont val="Tahoma"/>
            <family val="2"/>
          </rPr>
          <t>Akhil G:</t>
        </r>
        <r>
          <rPr>
            <sz val="9"/>
            <color indexed="81"/>
            <rFont val="Tahoma"/>
            <family val="2"/>
          </rPr>
          <t xml:space="preserve">
Includes settlement of purchase consideration of subsidiaries - 83.435 M
</t>
        </r>
      </text>
    </comment>
    <comment ref="V71" authorId="6" shapeId="0" xr:uid="{00000000-0006-0000-0100-000007000000}">
      <text>
        <r>
          <rPr>
            <b/>
            <sz val="9"/>
            <color indexed="81"/>
            <rFont val="Tahoma"/>
            <family val="2"/>
          </rPr>
          <t>Akhil G:</t>
        </r>
        <r>
          <rPr>
            <sz val="9"/>
            <color indexed="81"/>
            <rFont val="Tahoma"/>
            <family val="2"/>
          </rPr>
          <t xml:space="preserve">
Includes investement in subsidiaries - 20.710 M</t>
        </r>
      </text>
    </comment>
    <comment ref="Z71" authorId="6" shapeId="0" xr:uid="{00000000-0006-0000-0100-000008000000}">
      <text>
        <r>
          <rPr>
            <b/>
            <sz val="9"/>
            <color indexed="81"/>
            <rFont val="Tahoma"/>
            <family val="2"/>
          </rPr>
          <t>Akhil G:</t>
        </r>
        <r>
          <rPr>
            <sz val="9"/>
            <color indexed="81"/>
            <rFont val="Tahoma"/>
            <family val="2"/>
          </rPr>
          <t xml:space="preserve">
Includes investements in subsidiaries -6.69 M</t>
        </r>
      </text>
    </comment>
    <comment ref="AM71" authorId="1" shapeId="0" xr:uid="{AB92E47D-647A-4A92-A878-F4D032C89F8D}">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AM72" authorId="1" shapeId="0" xr:uid="{1841BEC3-6692-4F23-9F28-C47D9AB3487A}">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B73" authorId="5" shapeId="0" xr:uid="{00000000-0006-0000-0100-000009000000}">
      <text>
        <r>
          <rPr>
            <b/>
            <sz val="9"/>
            <color indexed="81"/>
            <rFont val="Tahoma"/>
            <family val="2"/>
          </rPr>
          <t>Crisil GR&amp;A:</t>
        </r>
        <r>
          <rPr>
            <sz val="9"/>
            <color indexed="81"/>
            <rFont val="Tahoma"/>
            <family val="2"/>
          </rPr>
          <t xml:space="preserve">
Includes:
Government Grants
Other Cash Inputs (Outputs)</t>
        </r>
      </text>
    </comment>
    <comment ref="P73" authorId="3" shapeId="0" xr:uid="{3C4609F6-FC3E-4821-A810-738E21DA09F5}">
      <text>
        <r>
          <rPr>
            <b/>
            <sz val="9"/>
            <color indexed="81"/>
            <rFont val="Tahoma"/>
            <family val="2"/>
          </rPr>
          <t>CRISIL:</t>
        </r>
        <r>
          <rPr>
            <sz val="9"/>
            <color indexed="81"/>
            <rFont val="Tahoma"/>
            <family val="2"/>
          </rPr>
          <t xml:space="preserve">
FY includes:
* Placement of deposits maturing more than three (3) months: (1,090.492)
* Withdrawal of deposits maturing more than three (3) months: 845.987
* Investments in associates: (0.554)
* Proceeds from disposal/(Purchase of) other investments: (209.409)
* Other deposit: 23.768
* Payments for right-of-use (“ROU”) assets: (65.454)
* Repayments from employees: 0.476
* Dividends received from an associate and other investments: 547.612
* Interests received: 263.341</t>
        </r>
      </text>
    </comment>
    <comment ref="Q73" authorId="3" shapeId="0" xr:uid="{C602CD44-3A29-4240-92C3-FF1FEDA70DFE}">
      <text>
        <r>
          <rPr>
            <b/>
            <sz val="9"/>
            <color indexed="81"/>
            <rFont val="Tahoma"/>
            <family val="2"/>
          </rPr>
          <t>CRISIL:</t>
        </r>
        <r>
          <rPr>
            <sz val="9"/>
            <color indexed="81"/>
            <rFont val="Tahoma"/>
            <family val="2"/>
          </rPr>
          <t xml:space="preserve">
FY includes:
* Placement of deposits maturing more than three (3) months: (820.665) 
* Withdrawal of deposits maturing more than three (3) months: 778.085
* Investments in associates: (0.7)
* Proceeds from disposal/(Purchase of) other investments: 12.350
* Payments for right-of-use (“ROU”) assets: (27.127) 
* Repayments from employees: 1.191
* Dividends received from an associate and other investments: 843.557
* Interests received: 212.422</t>
        </r>
      </text>
    </comment>
    <comment ref="U73" authorId="6" shapeId="0" xr:uid="{00000000-0006-0000-0100-00000A000000}">
      <text>
        <r>
          <rPr>
            <b/>
            <sz val="9"/>
            <color indexed="81"/>
            <rFont val="Tahoma"/>
            <family val="2"/>
          </rPr>
          <t>Akhil G:</t>
        </r>
        <r>
          <rPr>
            <sz val="9"/>
            <color indexed="81"/>
            <rFont val="Tahoma"/>
            <family val="2"/>
          </rPr>
          <t xml:space="preserve">
Includes dividends from Associates
49.017 M</t>
        </r>
      </text>
    </comment>
    <comment ref="V73" authorId="6" shapeId="0" xr:uid="{00000000-0006-0000-0100-00000B000000}">
      <text>
        <r>
          <rPr>
            <b/>
            <sz val="9"/>
            <color indexed="81"/>
            <rFont val="Tahoma"/>
            <family val="2"/>
          </rPr>
          <t>Akhil G:</t>
        </r>
        <r>
          <rPr>
            <sz val="9"/>
            <color indexed="81"/>
            <rFont val="Tahoma"/>
            <family val="2"/>
          </rPr>
          <t xml:space="preserve">
Includes dividends from associates</t>
        </r>
      </text>
    </comment>
    <comment ref="Y73" authorId="6" shapeId="0" xr:uid="{00000000-0006-0000-0100-00000C000000}">
      <text>
        <r>
          <rPr>
            <b/>
            <sz val="9"/>
            <color indexed="81"/>
            <rFont val="Tahoma"/>
            <family val="2"/>
          </rPr>
          <t>Akhil G:</t>
        </r>
        <r>
          <rPr>
            <sz val="9"/>
            <color indexed="81"/>
            <rFont val="Tahoma"/>
            <family val="2"/>
          </rPr>
          <t xml:space="preserve">
Includes disposal of rights on right issue of a financial asset @ FVTOCI</t>
        </r>
      </text>
    </comment>
    <comment ref="AC73" authorId="6" shapeId="0" xr:uid="{00000000-0006-0000-0100-00000D000000}">
      <text>
        <r>
          <rPr>
            <sz val="9"/>
            <color indexed="81"/>
            <rFont val="Tahoma"/>
            <family val="2"/>
          </rPr>
          <t>Includes disposal of rights on right issue of a financial asset @ FVTOCI</t>
        </r>
      </text>
    </comment>
    <comment ref="AG73" authorId="6" shapeId="0" xr:uid="{00000000-0006-0000-0100-00000E000000}">
      <text>
        <r>
          <rPr>
            <sz val="9"/>
            <color indexed="81"/>
            <rFont val="Tahoma"/>
            <family val="2"/>
          </rPr>
          <t>Includes disposal of rights on right issue of a financial asset @ FVTOCI</t>
        </r>
      </text>
    </comment>
    <comment ref="AM73" authorId="1" shapeId="0" xr:uid="{E2B321E3-11B0-497F-9E4E-6180EA49BCBF}">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AO73" authorId="6" shapeId="0" xr:uid="{C5FAC1E1-019B-40F6-B389-EF79CD6D8EFE}">
      <text>
        <r>
          <rPr>
            <sz val="9"/>
            <color indexed="81"/>
            <rFont val="Tahoma"/>
            <family val="2"/>
          </rPr>
          <t>Includes disposal of rights on right issue of a financial asset @ FVTOCI</t>
        </r>
      </text>
    </comment>
    <comment ref="AS73" authorId="6" shapeId="0" xr:uid="{00000000-0006-0000-0100-00000F000000}">
      <text>
        <r>
          <rPr>
            <sz val="9"/>
            <color indexed="81"/>
            <rFont val="Tahoma"/>
            <family val="2"/>
          </rPr>
          <t>Includes disposal of rights on right issue of a financial asset @ FVTOCI</t>
        </r>
      </text>
    </comment>
    <comment ref="AZ73" authorId="6" shapeId="0" xr:uid="{4E524127-A1D5-44D6-9B43-313ECCE9BE98}">
      <text>
        <r>
          <rPr>
            <sz val="9"/>
            <color indexed="81"/>
            <rFont val="Tahoma"/>
            <family val="2"/>
          </rPr>
          <t>Includes disposal of rights on right issue of a financial asset @ FVTOCI</t>
        </r>
      </text>
    </comment>
    <comment ref="BA73" authorId="6" shapeId="0" xr:uid="{F0E384B8-6A40-4C77-BAE1-95197AF3C82C}">
      <text>
        <r>
          <rPr>
            <sz val="9"/>
            <color indexed="81"/>
            <rFont val="Tahoma"/>
            <family val="2"/>
          </rPr>
          <t>Includes disposal of rights on right issue of a financial asset @ FVTOCI</t>
        </r>
      </text>
    </comment>
    <comment ref="BF73" authorId="6" shapeId="0" xr:uid="{608EE1F6-9738-4318-AB4F-92881E313B27}">
      <text>
        <r>
          <rPr>
            <sz val="9"/>
            <color indexed="81"/>
            <rFont val="Tahoma"/>
            <family val="2"/>
          </rPr>
          <t>Includes disposal of rights on right issue of a financial asset @ FVTOCI</t>
        </r>
      </text>
    </comment>
    <comment ref="BI73" authorId="3" shapeId="0" xr:uid="{8E10F69B-2112-43BC-9572-5A03E9854E80}">
      <text>
        <r>
          <rPr>
            <b/>
            <sz val="9"/>
            <color indexed="81"/>
            <rFont val="Tahoma"/>
            <family val="2"/>
          </rPr>
          <t>CRISIL:</t>
        </r>
        <r>
          <rPr>
            <sz val="9"/>
            <color indexed="81"/>
            <rFont val="Tahoma"/>
            <family val="2"/>
          </rPr>
          <t xml:space="preserve">
Includes:
1. Investments in associates
2. Receipt from/(Purchase of) other investments
3. Payments for right-of-use ("ROU") assets
4. Dividends received from an associate and other investments
</t>
        </r>
      </text>
    </comment>
    <comment ref="BM73" authorId="3" shapeId="0" xr:uid="{3EF5F86C-B808-4C69-BF54-9A4F5C146BF6}">
      <text>
        <r>
          <rPr>
            <b/>
            <sz val="9"/>
            <color indexed="81"/>
            <rFont val="Tahoma"/>
            <family val="2"/>
          </rPr>
          <t>CRISIL:</t>
        </r>
        <r>
          <rPr>
            <sz val="9"/>
            <color indexed="81"/>
            <rFont val="Tahoma"/>
            <family val="2"/>
          </rPr>
          <t xml:space="preserve">
3M Includes:
* Placement of deposits maturing more than three (3) months: (222.367)
* Withdrawal of deposits maturing more than three (3) months: 63.342
* (Purchase of)/ Proceeds from disposal other investments: (7.683)
* Payments for right-of-use (“ROU”) assets: (0.800)
* Repayments from employees: 0.070
* Dividends received from an associate: 139.793
* Interests received: 32.000</t>
        </r>
      </text>
    </comment>
    <comment ref="BT73" authorId="3" shapeId="0" xr:uid="{62F9C2A5-EB71-4D15-9482-165F5EEB9887}">
      <text>
        <r>
          <rPr>
            <b/>
            <sz val="9"/>
            <color indexed="81"/>
            <rFont val="Tahoma"/>
            <family val="2"/>
          </rPr>
          <t>CRISIL:</t>
        </r>
        <r>
          <rPr>
            <sz val="9"/>
            <color indexed="81"/>
            <rFont val="Tahoma"/>
            <family val="2"/>
          </rPr>
          <t xml:space="preserve">
3M Includes:
* Placement of deposits maturing more than three (3) months: (311.164)
* Withdrawal of deposits maturing more than three (3) months: 230.742
* Investments in associates: (1.254)
* (Purchase of)/ Proceeds from disposal other investments: 32.138
* Payments for right-of-use (“ROU”) assets: (22.046) 
* Repayments from employees: 0.394
* Dividends received from an associate: 165.459
* Interests received: 70.038</t>
        </r>
      </text>
    </comment>
    <comment ref="BZ73" authorId="3" shapeId="0" xr:uid="{0A1BECC3-E044-484D-8EE3-5AFAF7210A2B}">
      <text>
        <r>
          <rPr>
            <b/>
            <sz val="9"/>
            <color indexed="81"/>
            <rFont val="Tahoma"/>
            <family val="2"/>
          </rPr>
          <t>CRISIL:</t>
        </r>
        <r>
          <rPr>
            <sz val="9"/>
            <color indexed="81"/>
            <rFont val="Tahoma"/>
            <family val="2"/>
          </rPr>
          <t xml:space="preserve">
9M includes:
* Investments in deposits maturing more than three (3) months: (182.106)
* Investments in associates: (1.202) 
* Proceeds from disposal/(Purchase of) other investments: 41.158
* Payments for right-of-use (“ROU”) assets: (32.759) 
* Repayments from employees: 1.622
* Dividends received from an associate and other investments: 455.617 
* Interests received: 164.864</t>
        </r>
      </text>
    </comment>
    <comment ref="AM74" authorId="1" shapeId="0" xr:uid="{18169922-3E69-4D07-A690-B7B4AE2466A0}">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AM75" authorId="1" shapeId="0" xr:uid="{D732EC07-217E-413E-8A49-3A08A027C162}">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AM76" authorId="1" shapeId="0" xr:uid="{49324CC5-BE13-4E4D-BB71-352F13B095A5}">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E77" authorId="6" shapeId="0" xr:uid="{00000000-0006-0000-0100-000010000000}">
      <text>
        <r>
          <rPr>
            <b/>
            <sz val="9"/>
            <color indexed="81"/>
            <rFont val="Tahoma"/>
            <family val="2"/>
          </rPr>
          <t>Akhil G:</t>
        </r>
        <r>
          <rPr>
            <sz val="9"/>
            <color indexed="81"/>
            <rFont val="Tahoma"/>
            <family val="2"/>
          </rPr>
          <t xml:space="preserve">
Includes additional investements in subsidiaries by NCI</t>
        </r>
      </text>
    </comment>
    <comment ref="P77" authorId="3" shapeId="0" xr:uid="{75745D43-36E8-46C3-8BEB-F36E75EA54DC}">
      <text>
        <r>
          <rPr>
            <b/>
            <sz val="9"/>
            <color indexed="81"/>
            <rFont val="Tahoma"/>
            <family val="2"/>
          </rPr>
          <t>CRISIL:</t>
        </r>
        <r>
          <rPr>
            <sz val="9"/>
            <color indexed="81"/>
            <rFont val="Tahoma"/>
            <family val="2"/>
          </rPr>
          <t xml:space="preserve">
FY includes:
* Repayments of Sukuk: (110.246)
* Partial disposal of subsidiaries: 267.570
* Additional investments in subsidiaries by NCI: 44.246</t>
        </r>
      </text>
    </comment>
    <comment ref="Q77" authorId="3" shapeId="0" xr:uid="{8A80EA49-45D5-41EC-BA8A-764BBD589EFA}">
      <text>
        <r>
          <rPr>
            <b/>
            <sz val="9"/>
            <color indexed="81"/>
            <rFont val="Tahoma"/>
            <family val="2"/>
          </rPr>
          <t>CRISIL:</t>
        </r>
        <r>
          <rPr>
            <sz val="9"/>
            <color indexed="81"/>
            <rFont val="Tahoma"/>
            <family val="2"/>
          </rPr>
          <t xml:space="preserve">
FY includes:
* Repayments of Sukuk: (100.000)
* Additional investments in subsidiaries by NCI: 35.142</t>
        </r>
      </text>
    </comment>
    <comment ref="U77" authorId="6" shapeId="0" xr:uid="{00000000-0006-0000-0100-000011000000}">
      <text>
        <r>
          <rPr>
            <b/>
            <sz val="9"/>
            <color indexed="81"/>
            <rFont val="Tahoma"/>
            <family val="2"/>
          </rPr>
          <t>Akhil G:</t>
        </r>
        <r>
          <rPr>
            <sz val="9"/>
            <color indexed="81"/>
            <rFont val="Tahoma"/>
            <family val="2"/>
          </rPr>
          <t xml:space="preserve">
Includes proceeds from partial disposal of subsidiaries</t>
        </r>
      </text>
    </comment>
    <comment ref="AM77" authorId="1" shapeId="0" xr:uid="{49F5DDB8-4FB0-45BC-BA37-9D91098BCA04}">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BM77" authorId="3" shapeId="0" xr:uid="{B7B43227-79B0-4CBD-B6F5-38301C3FF4E0}">
      <text>
        <r>
          <rPr>
            <b/>
            <sz val="9"/>
            <color indexed="81"/>
            <rFont val="Tahoma"/>
            <family val="2"/>
          </rPr>
          <t>CRISIL:</t>
        </r>
        <r>
          <rPr>
            <sz val="9"/>
            <color indexed="81"/>
            <rFont val="Tahoma"/>
            <family val="2"/>
          </rPr>
          <t xml:space="preserve">
3M Includes:
* Repayments of Sukuk: (2,066.271)
* Additional investments in subsidiaries by NCI: 20.000</t>
        </r>
      </text>
    </comment>
    <comment ref="BT77" authorId="3" shapeId="0" xr:uid="{5A827A64-2022-4C2C-B9C6-80B62433EB32}">
      <text>
        <r>
          <rPr>
            <b/>
            <sz val="9"/>
            <color indexed="81"/>
            <rFont val="Tahoma"/>
            <family val="2"/>
          </rPr>
          <t>CRISIL:</t>
        </r>
        <r>
          <rPr>
            <sz val="9"/>
            <color indexed="81"/>
            <rFont val="Tahoma"/>
            <family val="2"/>
          </rPr>
          <t xml:space="preserve">
3M Includes:
* Additional investments in subsidiaries by NCI: 30.000</t>
        </r>
      </text>
    </comment>
    <comment ref="BZ77" authorId="3" shapeId="0" xr:uid="{71B60591-90D8-4893-BF7F-A8A3DB555715}">
      <text>
        <r>
          <rPr>
            <b/>
            <sz val="9"/>
            <color indexed="81"/>
            <rFont val="Tahoma"/>
            <family val="2"/>
          </rPr>
          <t>CRISIL:</t>
        </r>
        <r>
          <rPr>
            <sz val="9"/>
            <color indexed="81"/>
            <rFont val="Tahoma"/>
            <family val="2"/>
          </rPr>
          <t xml:space="preserve">
9M includes:
* Repayments of Sukuk: (100.000) 
* Additional investments in subsidiaries by NCI: 30
* Redemption preference shares by NCI: (0.122)</t>
        </r>
      </text>
    </comment>
    <comment ref="AM78" authorId="1" shapeId="0" xr:uid="{928063AE-C97D-4290-9A36-936E647F8420}">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AM79" authorId="1" shapeId="0" xr:uid="{1883F650-3183-4A68-85FE-19662EB6C9D2}">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I80" authorId="7" shapeId="0" xr:uid="{0471A4A9-626F-4F69-B3D9-8305F73D1ADD}">
      <text>
        <r>
          <rPr>
            <b/>
            <sz val="9"/>
            <color indexed="81"/>
            <rFont val="Tahoma"/>
            <family val="2"/>
          </rPr>
          <t>CRISL GR&amp;RS:</t>
        </r>
        <r>
          <rPr>
            <sz val="9"/>
            <color indexed="81"/>
            <rFont val="Tahoma"/>
            <family val="2"/>
          </rPr>
          <t xml:space="preserve">
Mainly due to inclusion of adjusted EBITDA</t>
        </r>
      </text>
    </comment>
    <comment ref="K80" authorId="7" shapeId="0" xr:uid="{0A9D6883-1887-47A5-AFED-063DEA6484D3}">
      <text>
        <r>
          <rPr>
            <b/>
            <sz val="9"/>
            <color indexed="81"/>
            <rFont val="Tahoma"/>
            <family val="2"/>
          </rPr>
          <t>CRISL GR&amp;RS:</t>
        </r>
        <r>
          <rPr>
            <sz val="9"/>
            <color indexed="81"/>
            <rFont val="Tahoma"/>
            <family val="2"/>
          </rPr>
          <t xml:space="preserve">
Mainly due to inclusion of adjusted EBITDA</t>
        </r>
      </text>
    </comment>
    <comment ref="O80" authorId="8" shapeId="0" xr:uid="{954D9B54-6DAF-4E99-B752-43BAF18E7C1D}">
      <text>
        <r>
          <rPr>
            <b/>
            <sz val="9"/>
            <color indexed="81"/>
            <rFont val="Tahoma"/>
            <family val="2"/>
          </rPr>
          <t>GR&amp;RS:</t>
        </r>
        <r>
          <rPr>
            <sz val="9"/>
            <color indexed="81"/>
            <rFont val="Tahoma"/>
            <family val="2"/>
          </rPr>
          <t xml:space="preserve">
Because of use of direct method in filings. Also, adjusted cash &amp; cash equivalent held for sale</t>
        </r>
      </text>
    </comment>
    <comment ref="P80" authorId="8" shapeId="0" xr:uid="{A2FA3258-CAA8-430B-BDFE-EAF85E495B5C}">
      <text>
        <r>
          <rPr>
            <b/>
            <sz val="9"/>
            <color indexed="81"/>
            <rFont val="Tahoma"/>
            <family val="2"/>
          </rPr>
          <t>GR&amp;RS:</t>
        </r>
        <r>
          <rPr>
            <sz val="9"/>
            <color indexed="81"/>
            <rFont val="Tahoma"/>
            <family val="2"/>
          </rPr>
          <t xml:space="preserve">
Because of use of direct method in filings. Also, adjusted cash &amp; cash equivalent held for sale</t>
        </r>
      </text>
    </comment>
    <comment ref="Q80" authorId="8" shapeId="0" xr:uid="{B5248298-858B-4DC8-BCE7-D608E931E7EF}">
      <text>
        <r>
          <rPr>
            <b/>
            <sz val="9"/>
            <color indexed="81"/>
            <rFont val="Tahoma"/>
            <family val="2"/>
          </rPr>
          <t>GR&amp;RS:</t>
        </r>
        <r>
          <rPr>
            <sz val="9"/>
            <color indexed="81"/>
            <rFont val="Tahoma"/>
            <family val="2"/>
          </rPr>
          <t xml:space="preserve">
Because of use of direct method in filings. Also, adjusted cash &amp; cash equivalent held for sale</t>
        </r>
      </text>
    </comment>
    <comment ref="AM80" authorId="1" shapeId="0" xr:uid="{FAEAFB87-659E-4DF7-B32D-E4540B9972C8}">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AX80" authorId="8" shapeId="0" xr:uid="{00000000-0006-0000-0100-000013000000}">
      <text>
        <r>
          <rPr>
            <b/>
            <sz val="9"/>
            <color indexed="81"/>
            <rFont val="Tahoma"/>
            <family val="2"/>
          </rPr>
          <t>GR&amp;RS:</t>
        </r>
        <r>
          <rPr>
            <sz val="9"/>
            <color indexed="81"/>
            <rFont val="Tahoma"/>
            <family val="2"/>
          </rPr>
          <t xml:space="preserve">
mainly due to inclusion of adjusted ebitda</t>
        </r>
      </text>
    </comment>
    <comment ref="AY80" authorId="8" shapeId="0" xr:uid="{A9FF8D4A-BFC5-4F1D-93B4-4413B227F66A}">
      <text>
        <r>
          <rPr>
            <b/>
            <sz val="9"/>
            <color indexed="81"/>
            <rFont val="Tahoma"/>
            <family val="2"/>
          </rPr>
          <t>GR&amp;RS:</t>
        </r>
        <r>
          <rPr>
            <sz val="9"/>
            <color indexed="81"/>
            <rFont val="Tahoma"/>
            <family val="2"/>
          </rPr>
          <t xml:space="preserve">
mainly due to inclusion of adjusted ebitda</t>
        </r>
      </text>
    </comment>
    <comment ref="AZ80" authorId="8" shapeId="0" xr:uid="{D2F2FA0C-D293-4A9A-8007-F9BAE4058409}">
      <text>
        <r>
          <rPr>
            <b/>
            <sz val="9"/>
            <color indexed="81"/>
            <rFont val="Tahoma"/>
            <family val="2"/>
          </rPr>
          <t>GR&amp;RS:</t>
        </r>
        <r>
          <rPr>
            <sz val="9"/>
            <color indexed="81"/>
            <rFont val="Tahoma"/>
            <family val="2"/>
          </rPr>
          <t xml:space="preserve">
Because of use of direct method in filings</t>
        </r>
      </text>
    </comment>
    <comment ref="BA80" authorId="8" shapeId="0" xr:uid="{680E88CE-3089-47BB-9960-8F72FB422ACB}">
      <text>
        <r>
          <rPr>
            <b/>
            <sz val="9"/>
            <color indexed="81"/>
            <rFont val="Tahoma"/>
            <family val="2"/>
          </rPr>
          <t>GR&amp;RS:</t>
        </r>
        <r>
          <rPr>
            <sz val="9"/>
            <color indexed="81"/>
            <rFont val="Tahoma"/>
            <family val="2"/>
          </rPr>
          <t xml:space="preserve">
Because of use of direct method in filings</t>
        </r>
      </text>
    </comment>
    <comment ref="BB80" authorId="8" shapeId="0" xr:uid="{94739098-CB34-4F61-9E51-528C2F019AE5}">
      <text>
        <r>
          <rPr>
            <b/>
            <sz val="9"/>
            <color indexed="81"/>
            <rFont val="Tahoma"/>
            <family val="2"/>
          </rPr>
          <t>GR&amp;RS:</t>
        </r>
        <r>
          <rPr>
            <sz val="9"/>
            <color indexed="81"/>
            <rFont val="Tahoma"/>
            <family val="2"/>
          </rPr>
          <t xml:space="preserve">
Because of use of direct method in filings. Also, adjusted cash &amp; cash equivalent held for sale</t>
        </r>
      </text>
    </comment>
    <comment ref="BC80" authorId="8" shapeId="0" xr:uid="{73984D6A-327F-4F57-9FAF-7D8FB5C86509}">
      <text>
        <r>
          <rPr>
            <b/>
            <sz val="9"/>
            <color indexed="81"/>
            <rFont val="Tahoma"/>
            <family val="2"/>
          </rPr>
          <t>GR&amp;RS:</t>
        </r>
        <r>
          <rPr>
            <sz val="9"/>
            <color indexed="81"/>
            <rFont val="Tahoma"/>
            <family val="2"/>
          </rPr>
          <t xml:space="preserve">
Because of use of direct method in filings. Also, adjusted cash &amp; cash equivalent held for sale</t>
        </r>
      </text>
    </comment>
    <comment ref="BE80" authorId="8" shapeId="0" xr:uid="{9780C87A-236D-4DD9-9CC5-8CCBE7419D4B}">
      <text>
        <r>
          <rPr>
            <b/>
            <sz val="9"/>
            <color indexed="81"/>
            <rFont val="Tahoma"/>
            <family val="2"/>
          </rPr>
          <t>GR&amp;RS:</t>
        </r>
        <r>
          <rPr>
            <sz val="9"/>
            <color indexed="81"/>
            <rFont val="Tahoma"/>
            <family val="2"/>
          </rPr>
          <t xml:space="preserve">
mainly due to inclusion of adjusted ebitda</t>
        </r>
      </text>
    </comment>
    <comment ref="BF80" authorId="8" shapeId="0" xr:uid="{0C1DB25B-7CE6-41D8-8969-37653967822D}">
      <text>
        <r>
          <rPr>
            <b/>
            <sz val="9"/>
            <color indexed="81"/>
            <rFont val="Tahoma"/>
            <family val="2"/>
          </rPr>
          <t>GR&amp;RS:</t>
        </r>
        <r>
          <rPr>
            <sz val="9"/>
            <color indexed="81"/>
            <rFont val="Tahoma"/>
            <family val="2"/>
          </rPr>
          <t xml:space="preserve">
Because of use of direct method in filings</t>
        </r>
      </text>
    </comment>
    <comment ref="BG80" authorId="8" shapeId="0" xr:uid="{78ED71E9-A8F3-473C-8BE2-85A5BC0794C0}">
      <text>
        <r>
          <rPr>
            <b/>
            <sz val="9"/>
            <color indexed="81"/>
            <rFont val="Tahoma"/>
            <family val="2"/>
          </rPr>
          <t>GR&amp;RS:</t>
        </r>
        <r>
          <rPr>
            <sz val="9"/>
            <color indexed="81"/>
            <rFont val="Tahoma"/>
            <family val="2"/>
          </rPr>
          <t xml:space="preserve">
Because of use of direct method in filings. Also, adjusted cash &amp; cash equivalent held for sale</t>
        </r>
      </text>
    </comment>
    <comment ref="BI80" authorId="8" shapeId="0" xr:uid="{DAFB1C2D-C775-4C25-9A78-14CE461CC885}">
      <text>
        <r>
          <rPr>
            <b/>
            <sz val="9"/>
            <color indexed="81"/>
            <rFont val="Tahoma"/>
            <family val="2"/>
          </rPr>
          <t>GR&amp;RS:</t>
        </r>
        <r>
          <rPr>
            <sz val="9"/>
            <color indexed="81"/>
            <rFont val="Tahoma"/>
            <family val="2"/>
          </rPr>
          <t xml:space="preserve">
mainly due to inclusion of adjusted ebitda</t>
        </r>
      </text>
    </comment>
    <comment ref="BJ80" authorId="8" shapeId="0" xr:uid="{08CFE410-90D6-4C72-B4A0-B868D87E4FF2}">
      <text>
        <r>
          <rPr>
            <b/>
            <sz val="9"/>
            <color indexed="81"/>
            <rFont val="Tahoma"/>
            <family val="2"/>
          </rPr>
          <t>GR&amp;RS:</t>
        </r>
        <r>
          <rPr>
            <sz val="9"/>
            <color indexed="81"/>
            <rFont val="Tahoma"/>
            <family val="2"/>
          </rPr>
          <t xml:space="preserve">
Because of use of direct method approach in cash flow statement by the company</t>
        </r>
      </text>
    </comment>
    <comment ref="BK80" authorId="8" shapeId="0" xr:uid="{C2BF50B3-BBC5-4386-9037-6A7C09777A59}">
      <text>
        <r>
          <rPr>
            <b/>
            <sz val="9"/>
            <color indexed="81"/>
            <rFont val="Tahoma"/>
            <family val="2"/>
          </rPr>
          <t>GR&amp;RS:</t>
        </r>
        <r>
          <rPr>
            <sz val="9"/>
            <color indexed="81"/>
            <rFont val="Tahoma"/>
            <family val="2"/>
          </rPr>
          <t xml:space="preserve">
Because of use of direct method in filings. </t>
        </r>
      </text>
    </comment>
    <comment ref="BM80" authorId="8" shapeId="0" xr:uid="{A9F7CF3D-7A05-405A-9D81-BE5513089F39}">
      <text>
        <r>
          <rPr>
            <b/>
            <sz val="9"/>
            <color indexed="81"/>
            <rFont val="Tahoma"/>
            <family val="2"/>
          </rPr>
          <t>GR&amp;RS:</t>
        </r>
        <r>
          <rPr>
            <sz val="9"/>
            <color indexed="81"/>
            <rFont val="Tahoma"/>
            <family val="2"/>
          </rPr>
          <t xml:space="preserve">
mainly due to inclusion of adjusted ebitda</t>
        </r>
      </text>
    </comment>
    <comment ref="BP80" authorId="8" shapeId="0" xr:uid="{3FF28B52-B567-4C74-BF21-1856AD1B7D6A}">
      <text>
        <r>
          <rPr>
            <b/>
            <sz val="9"/>
            <color indexed="81"/>
            <rFont val="Tahoma"/>
            <family val="2"/>
          </rPr>
          <t>GR&amp;RS:</t>
        </r>
        <r>
          <rPr>
            <sz val="9"/>
            <color indexed="81"/>
            <rFont val="Tahoma"/>
            <family val="2"/>
          </rPr>
          <t xml:space="preserve">
mainly due to inclusion of adjusted ebitda</t>
        </r>
      </text>
    </comment>
    <comment ref="BQ80" authorId="8" shapeId="0" xr:uid="{F5366996-D391-4B75-9998-68445F675135}">
      <text>
        <r>
          <rPr>
            <b/>
            <sz val="9"/>
            <color indexed="81"/>
            <rFont val="Tahoma"/>
            <family val="2"/>
          </rPr>
          <t>GR&amp;RS:</t>
        </r>
        <r>
          <rPr>
            <sz val="9"/>
            <color indexed="81"/>
            <rFont val="Tahoma"/>
            <family val="2"/>
          </rPr>
          <t xml:space="preserve">
Because of use of direct method approach in cash flow statement by the company</t>
        </r>
      </text>
    </comment>
    <comment ref="BR80" authorId="8" shapeId="0" xr:uid="{7EA53849-062F-4D9F-ABBA-A61B41AE03D1}">
      <text>
        <r>
          <rPr>
            <b/>
            <sz val="9"/>
            <color indexed="81"/>
            <rFont val="Tahoma"/>
            <family val="2"/>
          </rPr>
          <t>GR&amp;RS:</t>
        </r>
        <r>
          <rPr>
            <sz val="9"/>
            <color indexed="81"/>
            <rFont val="Tahoma"/>
            <family val="2"/>
          </rPr>
          <t xml:space="preserve">
Because of use of direct method approach in cash flow statement by the company</t>
        </r>
      </text>
    </comment>
    <comment ref="BT80" authorId="8" shapeId="0" xr:uid="{0B7C4EEA-90FB-4AC8-8D51-973791F484F5}">
      <text>
        <r>
          <rPr>
            <b/>
            <sz val="9"/>
            <color indexed="81"/>
            <rFont val="Tahoma"/>
            <family val="2"/>
          </rPr>
          <t>GR&amp;RS:</t>
        </r>
        <r>
          <rPr>
            <sz val="9"/>
            <color indexed="81"/>
            <rFont val="Tahoma"/>
            <family val="2"/>
          </rPr>
          <t xml:space="preserve">
mainly due to inclusion of adjusted ebitda</t>
        </r>
      </text>
    </comment>
    <comment ref="BV80" authorId="8" shapeId="0" xr:uid="{69E34E6A-F3D9-4728-B9A5-B68A580C853D}">
      <text>
        <r>
          <rPr>
            <b/>
            <sz val="9"/>
            <color indexed="81"/>
            <rFont val="Tahoma"/>
            <family val="2"/>
          </rPr>
          <t>GR&amp;RS:</t>
        </r>
        <r>
          <rPr>
            <sz val="9"/>
            <color indexed="81"/>
            <rFont val="Tahoma"/>
            <family val="2"/>
          </rPr>
          <t xml:space="preserve">
Because of use of direct method approach in cash flow statement by the company</t>
        </r>
      </text>
    </comment>
    <comment ref="BW80" authorId="8" shapeId="0" xr:uid="{B8D16AD5-E609-43CF-9E4D-F1DC4FC7254A}">
      <text>
        <r>
          <rPr>
            <b/>
            <sz val="9"/>
            <color indexed="81"/>
            <rFont val="Tahoma"/>
            <family val="2"/>
          </rPr>
          <t>GR&amp;RS:</t>
        </r>
        <r>
          <rPr>
            <sz val="9"/>
            <color indexed="81"/>
            <rFont val="Tahoma"/>
            <family val="2"/>
          </rPr>
          <t xml:space="preserve">
Because of use of direct method approach in cash flow statement by the company</t>
        </r>
      </text>
    </comment>
    <comment ref="BY80" authorId="8" shapeId="0" xr:uid="{CCC1BF30-9391-463C-A1E2-A3DA3D699B23}">
      <text>
        <r>
          <rPr>
            <b/>
            <sz val="9"/>
            <color indexed="81"/>
            <rFont val="Tahoma"/>
            <family val="2"/>
          </rPr>
          <t>GR&amp;RS:</t>
        </r>
        <r>
          <rPr>
            <sz val="9"/>
            <color indexed="81"/>
            <rFont val="Tahoma"/>
            <family val="2"/>
          </rPr>
          <t xml:space="preserve">
Because of use of direct method approach in cash flow statement by the company</t>
        </r>
      </text>
    </comment>
    <comment ref="BZ80" authorId="8" shapeId="0" xr:uid="{55574873-8F34-4763-8DDE-028AFCC221AB}">
      <text>
        <r>
          <rPr>
            <b/>
            <sz val="9"/>
            <color indexed="81"/>
            <rFont val="Tahoma"/>
            <family val="2"/>
          </rPr>
          <t>GR&amp;RS:</t>
        </r>
        <r>
          <rPr>
            <sz val="9"/>
            <color indexed="81"/>
            <rFont val="Tahoma"/>
            <family val="2"/>
          </rPr>
          <t xml:space="preserve">
Because of use of direct method approach in cash flow statement by the company</t>
        </r>
      </text>
    </comment>
    <comment ref="AM81" authorId="1" shapeId="0" xr:uid="{D738D1FC-1090-4002-8ABE-135166D7AB29}">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O82" authorId="3" shapeId="0" xr:uid="{10E18E1D-84B5-4122-A9C8-37C6C638D277}">
      <text>
        <r>
          <rPr>
            <b/>
            <sz val="9"/>
            <color indexed="81"/>
            <rFont val="Tahoma"/>
            <family val="2"/>
          </rPr>
          <t>CRISIL:</t>
        </r>
        <r>
          <rPr>
            <sz val="9"/>
            <color indexed="81"/>
            <rFont val="Tahoma"/>
            <family val="2"/>
          </rPr>
          <t xml:space="preserve">
Adjusted for closing cash and cash equivalents of previous year and opening balance at starting year</t>
        </r>
      </text>
    </comment>
    <comment ref="P82" authorId="3" shapeId="0" xr:uid="{3FED4ABD-C14E-4C3A-BE1D-49749B0C3B9E}">
      <text>
        <r>
          <rPr>
            <b/>
            <sz val="9"/>
            <color indexed="81"/>
            <rFont val="Tahoma"/>
            <family val="2"/>
          </rPr>
          <t>CRISIL:</t>
        </r>
        <r>
          <rPr>
            <sz val="9"/>
            <color indexed="81"/>
            <rFont val="Tahoma"/>
            <family val="2"/>
          </rPr>
          <t xml:space="preserve">
Adjusted for closing cash and cash equivalents of previous year and opening balance at starting year</t>
        </r>
      </text>
    </comment>
    <comment ref="Q82" authorId="3" shapeId="0" xr:uid="{D1EA2E6C-3D4B-4169-91AD-7F5E1191012C}">
      <text>
        <r>
          <rPr>
            <b/>
            <sz val="9"/>
            <color indexed="81"/>
            <rFont val="Tahoma"/>
            <family val="2"/>
          </rPr>
          <t>CRISIL:</t>
        </r>
        <r>
          <rPr>
            <sz val="9"/>
            <color indexed="81"/>
            <rFont val="Tahoma"/>
            <family val="2"/>
          </rPr>
          <t xml:space="preserve">
Adjusted for closing cash and cash equivalents of previous year and opening balance at starting year</t>
        </r>
      </text>
    </comment>
    <comment ref="AM82" authorId="1" shapeId="0" xr:uid="{4EB30289-C12F-4D09-BFBF-F36948342E01}">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AM83" authorId="1" shapeId="0" xr:uid="{3867859E-EB0B-42C9-986B-206E487CFDC8}">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L84" authorId="4" shapeId="0" xr:uid="{4A3AE6CA-2053-4DAF-9D99-BA3CC3300234}">
      <text>
        <r>
          <rPr>
            <b/>
            <sz val="9"/>
            <color indexed="81"/>
            <rFont val="Tahoma"/>
            <family val="2"/>
          </rPr>
          <t>CRISIL GR&amp;RS:</t>
        </r>
        <r>
          <rPr>
            <sz val="9"/>
            <color indexed="81"/>
            <rFont val="Tahoma"/>
            <family val="2"/>
          </rPr>
          <t xml:space="preserve">
Rounding off difference</t>
        </r>
      </text>
    </comment>
    <comment ref="AM84" authorId="1" shapeId="0" xr:uid="{EC8A023D-F4E7-41C6-BC71-9AE18A440B31}">
      <text>
        <r>
          <rPr>
            <b/>
            <sz val="9"/>
            <color indexed="81"/>
            <rFont val="Tahoma"/>
            <family val="2"/>
          </rPr>
          <t>Avi Sandip Jhaveri:</t>
        </r>
        <r>
          <rPr>
            <sz val="9"/>
            <color indexed="81"/>
            <rFont val="Tahoma"/>
            <family val="2"/>
          </rPr>
          <t xml:space="preserve">
Since 9 months restated values are unavailable, CFS for Dec 2021 restated is not updated.</t>
        </r>
      </text>
    </comment>
    <comment ref="AW84" authorId="4" shapeId="0" xr:uid="{F1826646-9CA5-40AD-93DA-87F3E839F913}">
      <text>
        <r>
          <rPr>
            <b/>
            <sz val="9"/>
            <color indexed="81"/>
            <rFont val="Tahoma"/>
            <family val="2"/>
          </rPr>
          <t>CRISIL GR&amp;RS:</t>
        </r>
        <r>
          <rPr>
            <sz val="9"/>
            <color indexed="81"/>
            <rFont val="Tahoma"/>
            <family val="2"/>
          </rPr>
          <t xml:space="preserve">
Rounding off difference</t>
        </r>
      </text>
    </comment>
    <comment ref="B98" authorId="5" shapeId="0" xr:uid="{CDE066F3-A55C-493F-8869-A07F07F170C5}">
      <text>
        <r>
          <rPr>
            <b/>
            <sz val="9"/>
            <color indexed="81"/>
            <rFont val="Tahoma"/>
            <family val="2"/>
          </rPr>
          <t>Crisil GR&amp;A:</t>
        </r>
        <r>
          <rPr>
            <sz val="9"/>
            <color indexed="81"/>
            <rFont val="Tahoma"/>
            <family val="2"/>
          </rPr>
          <t xml:space="preserve">
Includes right of use assets</t>
        </r>
      </text>
    </comment>
    <comment ref="T98" authorId="5" shapeId="0" xr:uid="{00000000-0006-0000-0100-000015000000}">
      <text>
        <r>
          <rPr>
            <b/>
            <sz val="9"/>
            <color indexed="81"/>
            <rFont val="Tahoma"/>
            <family val="2"/>
          </rPr>
          <t>Crisil GR&amp;A:</t>
        </r>
        <r>
          <rPr>
            <sz val="9"/>
            <color indexed="81"/>
            <rFont val="Tahoma"/>
            <family val="2"/>
          </rPr>
          <t xml:space="preserve">
Includes right of use assets</t>
        </r>
      </text>
    </comment>
    <comment ref="U98" authorId="5" shapeId="0" xr:uid="{00000000-0006-0000-0100-000016000000}">
      <text>
        <r>
          <rPr>
            <b/>
            <sz val="9"/>
            <color indexed="81"/>
            <rFont val="Tahoma"/>
            <family val="2"/>
          </rPr>
          <t>Crisil GR&amp;A:</t>
        </r>
        <r>
          <rPr>
            <sz val="9"/>
            <color indexed="81"/>
            <rFont val="Tahoma"/>
            <family val="2"/>
          </rPr>
          <t xml:space="preserve">
Includes right of use assets</t>
        </r>
      </text>
    </comment>
    <comment ref="V98" authorId="5" shapeId="0" xr:uid="{00000000-0006-0000-0100-000017000000}">
      <text>
        <r>
          <rPr>
            <b/>
            <sz val="9"/>
            <color indexed="81"/>
            <rFont val="Tahoma"/>
            <family val="2"/>
          </rPr>
          <t>Crisil GR&amp;A:</t>
        </r>
        <r>
          <rPr>
            <sz val="9"/>
            <color indexed="81"/>
            <rFont val="Tahoma"/>
            <family val="2"/>
          </rPr>
          <t xml:space="preserve">
Includes right of use assets</t>
        </r>
      </text>
    </comment>
    <comment ref="W98" authorId="5" shapeId="0" xr:uid="{00000000-0006-0000-0100-000018000000}">
      <text>
        <r>
          <rPr>
            <b/>
            <sz val="9"/>
            <color indexed="81"/>
            <rFont val="Tahoma"/>
            <family val="2"/>
          </rPr>
          <t>Crisil GR&amp;A:</t>
        </r>
        <r>
          <rPr>
            <sz val="9"/>
            <color indexed="81"/>
            <rFont val="Tahoma"/>
            <family val="2"/>
          </rPr>
          <t xml:space="preserve">
Includes right of use assets</t>
        </r>
      </text>
    </comment>
    <comment ref="X98" authorId="5" shapeId="0" xr:uid="{00000000-0006-0000-0100-000019000000}">
      <text>
        <r>
          <rPr>
            <b/>
            <sz val="9"/>
            <color indexed="81"/>
            <rFont val="Tahoma"/>
            <family val="2"/>
          </rPr>
          <t>Crisil GR&amp;A:</t>
        </r>
        <r>
          <rPr>
            <sz val="9"/>
            <color indexed="81"/>
            <rFont val="Tahoma"/>
            <family val="2"/>
          </rPr>
          <t xml:space="preserve">
Includes right of use assets</t>
        </r>
      </text>
    </comment>
    <comment ref="Y98" authorId="5" shapeId="0" xr:uid="{00000000-0006-0000-0100-00001A000000}">
      <text>
        <r>
          <rPr>
            <b/>
            <sz val="9"/>
            <color indexed="81"/>
            <rFont val="Tahoma"/>
            <family val="2"/>
          </rPr>
          <t>Crisil GR&amp;A:</t>
        </r>
        <r>
          <rPr>
            <sz val="9"/>
            <color indexed="81"/>
            <rFont val="Tahoma"/>
            <family val="2"/>
          </rPr>
          <t xml:space="preserve">
Includes right of use assets</t>
        </r>
      </text>
    </comment>
    <comment ref="Z98" authorId="5" shapeId="0" xr:uid="{00000000-0006-0000-0100-00001B000000}">
      <text>
        <r>
          <rPr>
            <b/>
            <sz val="9"/>
            <color indexed="81"/>
            <rFont val="Tahoma"/>
            <family val="2"/>
          </rPr>
          <t>Crisil GR&amp;A:</t>
        </r>
        <r>
          <rPr>
            <sz val="9"/>
            <color indexed="81"/>
            <rFont val="Tahoma"/>
            <family val="2"/>
          </rPr>
          <t xml:space="preserve">
Includes right of use assets</t>
        </r>
      </text>
    </comment>
    <comment ref="AA98" authorId="5" shapeId="0" xr:uid="{00000000-0006-0000-0100-00001C000000}">
      <text>
        <r>
          <rPr>
            <b/>
            <sz val="9"/>
            <color indexed="81"/>
            <rFont val="Tahoma"/>
            <family val="2"/>
          </rPr>
          <t>Crisil GR&amp;A:</t>
        </r>
        <r>
          <rPr>
            <sz val="9"/>
            <color indexed="81"/>
            <rFont val="Tahoma"/>
            <family val="2"/>
          </rPr>
          <t xml:space="preserve">
Includes right of use assets</t>
        </r>
      </text>
    </comment>
    <comment ref="AB98" authorId="5" shapeId="0" xr:uid="{00000000-0006-0000-0100-00001D000000}">
      <text>
        <r>
          <rPr>
            <b/>
            <sz val="9"/>
            <color indexed="81"/>
            <rFont val="Tahoma"/>
            <family val="2"/>
          </rPr>
          <t>Crisil GR&amp;A:</t>
        </r>
        <r>
          <rPr>
            <sz val="9"/>
            <color indexed="81"/>
            <rFont val="Tahoma"/>
            <family val="2"/>
          </rPr>
          <t xml:space="preserve">
Includes right of use assets</t>
        </r>
      </text>
    </comment>
    <comment ref="AD98" authorId="5" shapeId="0" xr:uid="{00000000-0006-0000-0100-00001E000000}">
      <text>
        <r>
          <rPr>
            <b/>
            <sz val="9"/>
            <color indexed="81"/>
            <rFont val="Tahoma"/>
            <family val="2"/>
          </rPr>
          <t>Crisil GR&amp;A:</t>
        </r>
        <r>
          <rPr>
            <sz val="9"/>
            <color indexed="81"/>
            <rFont val="Tahoma"/>
            <family val="2"/>
          </rPr>
          <t xml:space="preserve">
Includes right of use assets</t>
        </r>
      </text>
    </comment>
    <comment ref="AE98" authorId="5" shapeId="0" xr:uid="{00000000-0006-0000-0100-00001F000000}">
      <text>
        <r>
          <rPr>
            <b/>
            <sz val="9"/>
            <color indexed="81"/>
            <rFont val="Tahoma"/>
            <family val="2"/>
          </rPr>
          <t>Crisil GR&amp;A:</t>
        </r>
        <r>
          <rPr>
            <sz val="9"/>
            <color indexed="81"/>
            <rFont val="Tahoma"/>
            <family val="2"/>
          </rPr>
          <t xml:space="preserve">
Includes right of use assets</t>
        </r>
      </text>
    </comment>
    <comment ref="AF98" authorId="5" shapeId="0" xr:uid="{00000000-0006-0000-0100-000020000000}">
      <text>
        <r>
          <rPr>
            <b/>
            <sz val="9"/>
            <color indexed="81"/>
            <rFont val="Tahoma"/>
            <family val="2"/>
          </rPr>
          <t>Crisil GR&amp;A:</t>
        </r>
        <r>
          <rPr>
            <sz val="9"/>
            <color indexed="81"/>
            <rFont val="Tahoma"/>
            <family val="2"/>
          </rPr>
          <t xml:space="preserve">
Includes right of use assets</t>
        </r>
      </text>
    </comment>
    <comment ref="AG98" authorId="5" shapeId="0" xr:uid="{00000000-0006-0000-0100-000021000000}">
      <text>
        <r>
          <rPr>
            <b/>
            <sz val="9"/>
            <color indexed="81"/>
            <rFont val="Tahoma"/>
            <family val="2"/>
          </rPr>
          <t>Crisil GR&amp;A:</t>
        </r>
        <r>
          <rPr>
            <sz val="9"/>
            <color indexed="81"/>
            <rFont val="Tahoma"/>
            <family val="2"/>
          </rPr>
          <t xml:space="preserve">
Includes right of use assets</t>
        </r>
      </text>
    </comment>
    <comment ref="AH98" authorId="5" shapeId="0" xr:uid="{00000000-0006-0000-0100-000022000000}">
      <text>
        <r>
          <rPr>
            <b/>
            <sz val="9"/>
            <color indexed="81"/>
            <rFont val="Tahoma"/>
            <family val="2"/>
          </rPr>
          <t>Crisil GR&amp;A:</t>
        </r>
        <r>
          <rPr>
            <sz val="9"/>
            <color indexed="81"/>
            <rFont val="Tahoma"/>
            <family val="2"/>
          </rPr>
          <t xml:space="preserve">
Includes right of use assets</t>
        </r>
      </text>
    </comment>
    <comment ref="AI98" authorId="5" shapeId="0" xr:uid="{00000000-0006-0000-0100-000023000000}">
      <text>
        <r>
          <rPr>
            <b/>
            <sz val="9"/>
            <color indexed="81"/>
            <rFont val="Tahoma"/>
            <family val="2"/>
          </rPr>
          <t>Crisil GR&amp;A:</t>
        </r>
        <r>
          <rPr>
            <sz val="9"/>
            <color indexed="81"/>
            <rFont val="Tahoma"/>
            <family val="2"/>
          </rPr>
          <t xml:space="preserve">
Includes right of use assets</t>
        </r>
      </text>
    </comment>
    <comment ref="AM98" authorId="5" shapeId="0" xr:uid="{BB2A2C86-AB6D-4627-82AC-71E84C5200AF}">
      <text>
        <r>
          <rPr>
            <b/>
            <sz val="9"/>
            <color indexed="81"/>
            <rFont val="Tahoma"/>
            <family val="2"/>
          </rPr>
          <t>Crisil GR&amp;A:</t>
        </r>
        <r>
          <rPr>
            <sz val="9"/>
            <color indexed="81"/>
            <rFont val="Tahoma"/>
            <family val="2"/>
          </rPr>
          <t xml:space="preserve">
Includes right of use assets</t>
        </r>
      </text>
    </comment>
    <comment ref="AN98" authorId="5" shapeId="0" xr:uid="{A1D03004-B4CB-484D-B7EB-D1AA0FB2CC97}">
      <text>
        <r>
          <rPr>
            <b/>
            <sz val="9"/>
            <color indexed="81"/>
            <rFont val="Tahoma"/>
            <family val="2"/>
          </rPr>
          <t>Crisil GR&amp;A:</t>
        </r>
        <r>
          <rPr>
            <sz val="9"/>
            <color indexed="81"/>
            <rFont val="Tahoma"/>
            <family val="2"/>
          </rPr>
          <t xml:space="preserve">
Includes right of use assets</t>
        </r>
      </text>
    </comment>
    <comment ref="AO98" authorId="5" shapeId="0" xr:uid="{38A005A6-25D2-4841-9430-7275AE832213}">
      <text>
        <r>
          <rPr>
            <b/>
            <sz val="9"/>
            <color indexed="81"/>
            <rFont val="Tahoma"/>
            <family val="2"/>
          </rPr>
          <t>Crisil GR&amp;A:</t>
        </r>
        <r>
          <rPr>
            <sz val="9"/>
            <color indexed="81"/>
            <rFont val="Tahoma"/>
            <family val="2"/>
          </rPr>
          <t xml:space="preserve">
Includes right of use assets</t>
        </r>
      </text>
    </comment>
    <comment ref="AP98" authorId="5" shapeId="0" xr:uid="{7D237838-8CE1-4A84-907C-C669786DF6CA}">
      <text>
        <r>
          <rPr>
            <b/>
            <sz val="9"/>
            <color indexed="81"/>
            <rFont val="Tahoma"/>
            <family val="2"/>
          </rPr>
          <t>Crisil GR&amp;A:</t>
        </r>
        <r>
          <rPr>
            <sz val="9"/>
            <color indexed="81"/>
            <rFont val="Tahoma"/>
            <family val="2"/>
          </rPr>
          <t xml:space="preserve">
Includes right of use assets</t>
        </r>
      </text>
    </comment>
    <comment ref="AQ98" authorId="5" shapeId="0" xr:uid="{040852FE-B030-429A-864B-45D18D2BF954}">
      <text>
        <r>
          <rPr>
            <b/>
            <sz val="9"/>
            <color indexed="81"/>
            <rFont val="Tahoma"/>
            <family val="2"/>
          </rPr>
          <t>Crisil GR&amp;A:</t>
        </r>
        <r>
          <rPr>
            <sz val="9"/>
            <color indexed="81"/>
            <rFont val="Tahoma"/>
            <family val="2"/>
          </rPr>
          <t xml:space="preserve">
Includes right of use assets</t>
        </r>
      </text>
    </comment>
    <comment ref="AR98" authorId="5" shapeId="0" xr:uid="{00000000-0006-0000-0100-000024000000}">
      <text>
        <r>
          <rPr>
            <b/>
            <sz val="9"/>
            <color indexed="81"/>
            <rFont val="Tahoma"/>
            <family val="2"/>
          </rPr>
          <t>Crisil GR&amp;A:</t>
        </r>
        <r>
          <rPr>
            <sz val="9"/>
            <color indexed="81"/>
            <rFont val="Tahoma"/>
            <family val="2"/>
          </rPr>
          <t xml:space="preserve">
Includes right of use assets</t>
        </r>
      </text>
    </comment>
    <comment ref="AS98" authorId="5" shapeId="0" xr:uid="{00000000-0006-0000-0100-000025000000}">
      <text>
        <r>
          <rPr>
            <b/>
            <sz val="9"/>
            <color indexed="81"/>
            <rFont val="Tahoma"/>
            <family val="2"/>
          </rPr>
          <t>Crisil GR&amp;A:</t>
        </r>
        <r>
          <rPr>
            <sz val="9"/>
            <color indexed="81"/>
            <rFont val="Tahoma"/>
            <family val="2"/>
          </rPr>
          <t xml:space="preserve">
Includes right of use assets</t>
        </r>
      </text>
    </comment>
    <comment ref="AT98" authorId="5" shapeId="0" xr:uid="{00000000-0006-0000-0100-000026000000}">
      <text>
        <r>
          <rPr>
            <b/>
            <sz val="9"/>
            <color indexed="81"/>
            <rFont val="Tahoma"/>
            <family val="2"/>
          </rPr>
          <t>Crisil GR&amp;A:</t>
        </r>
        <r>
          <rPr>
            <sz val="9"/>
            <color indexed="81"/>
            <rFont val="Tahoma"/>
            <family val="2"/>
          </rPr>
          <t xml:space="preserve">
Includes right of use assets</t>
        </r>
      </text>
    </comment>
    <comment ref="AV98" authorId="5" shapeId="0" xr:uid="{A778F0CC-7D59-4BC9-9945-13BDEEA39D77}">
      <text>
        <r>
          <rPr>
            <b/>
            <sz val="9"/>
            <color indexed="81"/>
            <rFont val="Tahoma"/>
            <family val="2"/>
          </rPr>
          <t>Crisil GR&amp;A:</t>
        </r>
        <r>
          <rPr>
            <sz val="9"/>
            <color indexed="81"/>
            <rFont val="Tahoma"/>
            <family val="2"/>
          </rPr>
          <t xml:space="preserve">
Includes right of use assets</t>
        </r>
      </text>
    </comment>
    <comment ref="AX98" authorId="5" shapeId="0" xr:uid="{00000000-0006-0000-0100-000027000000}">
      <text>
        <r>
          <rPr>
            <b/>
            <sz val="9"/>
            <color indexed="81"/>
            <rFont val="Tahoma"/>
            <family val="2"/>
          </rPr>
          <t>Crisil GR&amp;A:</t>
        </r>
        <r>
          <rPr>
            <sz val="9"/>
            <color indexed="81"/>
            <rFont val="Tahoma"/>
            <family val="2"/>
          </rPr>
          <t xml:space="preserve">
Includes right of use assets</t>
        </r>
      </text>
    </comment>
    <comment ref="AY98" authorId="5" shapeId="0" xr:uid="{BAF39D5C-660E-4881-8204-2826DAAF9E54}">
      <text>
        <r>
          <rPr>
            <b/>
            <sz val="9"/>
            <color indexed="81"/>
            <rFont val="Tahoma"/>
            <family val="2"/>
          </rPr>
          <t>Crisil GR&amp;A:</t>
        </r>
        <r>
          <rPr>
            <sz val="9"/>
            <color indexed="81"/>
            <rFont val="Tahoma"/>
            <family val="2"/>
          </rPr>
          <t xml:space="preserve">
Includes right of use assets</t>
        </r>
      </text>
    </comment>
    <comment ref="AZ98" authorId="5" shapeId="0" xr:uid="{73C19475-6D22-4C94-800A-DADE8BAA926F}">
      <text>
        <r>
          <rPr>
            <b/>
            <sz val="9"/>
            <color indexed="81"/>
            <rFont val="Tahoma"/>
            <family val="2"/>
          </rPr>
          <t>Crisil GR&amp;A:</t>
        </r>
        <r>
          <rPr>
            <sz val="9"/>
            <color indexed="81"/>
            <rFont val="Tahoma"/>
            <family val="2"/>
          </rPr>
          <t xml:space="preserve">
Includes right of use assets</t>
        </r>
      </text>
    </comment>
    <comment ref="BA98" authorId="5" shapeId="0" xr:uid="{95DE9731-A081-4732-A806-00363E218574}">
      <text>
        <r>
          <rPr>
            <b/>
            <sz val="9"/>
            <color indexed="81"/>
            <rFont val="Tahoma"/>
            <family val="2"/>
          </rPr>
          <t>Crisil GR&amp;A:</t>
        </r>
        <r>
          <rPr>
            <sz val="9"/>
            <color indexed="81"/>
            <rFont val="Tahoma"/>
            <family val="2"/>
          </rPr>
          <t xml:space="preserve">
Includes right of use assets</t>
        </r>
      </text>
    </comment>
    <comment ref="BB98" authorId="5" shapeId="0" xr:uid="{9E92F960-F8C5-447F-A2EB-4750FF3DC14B}">
      <text>
        <r>
          <rPr>
            <b/>
            <sz val="9"/>
            <color indexed="81"/>
            <rFont val="Tahoma"/>
            <family val="2"/>
          </rPr>
          <t>Crisil GR&amp;A:</t>
        </r>
        <r>
          <rPr>
            <sz val="9"/>
            <color indexed="81"/>
            <rFont val="Tahoma"/>
            <family val="2"/>
          </rPr>
          <t xml:space="preserve">
Includes right of use assets</t>
        </r>
      </text>
    </comment>
    <comment ref="BC98" authorId="5" shapeId="0" xr:uid="{2AA639A8-3644-4505-B857-6444C34FBB73}">
      <text>
        <r>
          <rPr>
            <b/>
            <sz val="9"/>
            <color indexed="81"/>
            <rFont val="Tahoma"/>
            <family val="2"/>
          </rPr>
          <t>Crisil GR&amp;A:</t>
        </r>
        <r>
          <rPr>
            <sz val="9"/>
            <color indexed="81"/>
            <rFont val="Tahoma"/>
            <family val="2"/>
          </rPr>
          <t xml:space="preserve">
Includes right of use assets</t>
        </r>
      </text>
    </comment>
    <comment ref="BE98" authorId="5" shapeId="0" xr:uid="{C35E4057-A6CC-4CB2-89C7-446DB0A2F094}">
      <text>
        <r>
          <rPr>
            <b/>
            <sz val="9"/>
            <color indexed="81"/>
            <rFont val="Tahoma"/>
            <family val="2"/>
          </rPr>
          <t>Crisil GR&amp;A:</t>
        </r>
        <r>
          <rPr>
            <sz val="9"/>
            <color indexed="81"/>
            <rFont val="Tahoma"/>
            <family val="2"/>
          </rPr>
          <t xml:space="preserve">
Includes right of use assets</t>
        </r>
      </text>
    </comment>
    <comment ref="BF98" authorId="5" shapeId="0" xr:uid="{73E116D5-26B7-4C29-9907-91C42758A410}">
      <text>
        <r>
          <rPr>
            <b/>
            <sz val="9"/>
            <color indexed="81"/>
            <rFont val="Tahoma"/>
            <family val="2"/>
          </rPr>
          <t>Crisil GR&amp;A:</t>
        </r>
        <r>
          <rPr>
            <sz val="9"/>
            <color indexed="81"/>
            <rFont val="Tahoma"/>
            <family val="2"/>
          </rPr>
          <t xml:space="preserve">
Includes right of use assets</t>
        </r>
      </text>
    </comment>
    <comment ref="BO98" authorId="3" shapeId="0" xr:uid="{C0F9FF5B-C6BB-436F-A106-5FDED3095950}">
      <text>
        <r>
          <rPr>
            <b/>
            <sz val="9"/>
            <color indexed="81"/>
            <rFont val="Tahoma"/>
            <family val="2"/>
          </rPr>
          <t>CRISIL:</t>
        </r>
        <r>
          <rPr>
            <sz val="9"/>
            <color indexed="81"/>
            <rFont val="Tahoma"/>
            <family val="2"/>
          </rPr>
          <t xml:space="preserve">
Previous data has been used causing the large deviations in leverage ratios</t>
        </r>
      </text>
    </comment>
    <comment ref="BP98" authorId="3" shapeId="0" xr:uid="{4C8FA88E-A189-46E8-AA1A-551BCDE31D30}">
      <text>
        <r>
          <rPr>
            <b/>
            <sz val="9"/>
            <color indexed="81"/>
            <rFont val="Tahoma"/>
            <family val="2"/>
          </rPr>
          <t>CRISIL:</t>
        </r>
        <r>
          <rPr>
            <sz val="9"/>
            <color indexed="81"/>
            <rFont val="Tahoma"/>
            <family val="2"/>
          </rPr>
          <t xml:space="preserve">
Previous data has been used causing the large deviations in leverage ratios</t>
        </r>
      </text>
    </comment>
    <comment ref="BQ98" authorId="3" shapeId="0" xr:uid="{B20D0080-F6A6-401D-99C3-0596A2E5ED8B}">
      <text>
        <r>
          <rPr>
            <b/>
            <sz val="9"/>
            <color indexed="81"/>
            <rFont val="Tahoma"/>
            <family val="2"/>
          </rPr>
          <t>CRISIL:</t>
        </r>
        <r>
          <rPr>
            <sz val="9"/>
            <color indexed="81"/>
            <rFont val="Tahoma"/>
            <family val="2"/>
          </rPr>
          <t xml:space="preserve">
Previous data has been used causing the large deviations in leverage ratios</t>
        </r>
      </text>
    </comment>
    <comment ref="BR98" authorId="3" shapeId="0" xr:uid="{37C65651-E1EE-4707-9453-5AF481AEEE93}">
      <text>
        <r>
          <rPr>
            <b/>
            <sz val="9"/>
            <color indexed="81"/>
            <rFont val="Tahoma"/>
            <family val="2"/>
          </rPr>
          <t>CRISIL:</t>
        </r>
        <r>
          <rPr>
            <sz val="9"/>
            <color indexed="81"/>
            <rFont val="Tahoma"/>
            <family val="2"/>
          </rPr>
          <t xml:space="preserve">
Previous data has been used causing the large deviations in leverage ratios</t>
        </r>
      </text>
    </comment>
    <comment ref="BS98" authorId="3" shapeId="0" xr:uid="{09B45C5F-8BBC-4269-B8AD-054587B3E39B}">
      <text>
        <r>
          <rPr>
            <b/>
            <sz val="9"/>
            <color indexed="81"/>
            <rFont val="Tahoma"/>
            <family val="2"/>
          </rPr>
          <t>CRISIL:</t>
        </r>
        <r>
          <rPr>
            <sz val="9"/>
            <color indexed="81"/>
            <rFont val="Tahoma"/>
            <family val="2"/>
          </rPr>
          <t xml:space="preserve">
Previous data has been used causing the large deviations in leverage ratios</t>
        </r>
      </text>
    </comment>
    <comment ref="BT98" authorId="3" shapeId="0" xr:uid="{D5385580-55F8-458E-B02F-CF4AE3BDA82B}">
      <text>
        <r>
          <rPr>
            <b/>
            <sz val="9"/>
            <color indexed="81"/>
            <rFont val="Tahoma"/>
            <family val="2"/>
          </rPr>
          <t>CRISIL:</t>
        </r>
        <r>
          <rPr>
            <sz val="9"/>
            <color indexed="81"/>
            <rFont val="Tahoma"/>
            <family val="2"/>
          </rPr>
          <t xml:space="preserve">
Previous data has been used causing the large deviations in leverage ratios</t>
        </r>
      </text>
    </comment>
    <comment ref="W99" authorId="5" shapeId="0" xr:uid="{00000000-0006-0000-0100-000028000000}">
      <text>
        <r>
          <rPr>
            <b/>
            <sz val="9"/>
            <color indexed="81"/>
            <rFont val="Tahoma"/>
            <family val="2"/>
          </rPr>
          <t>Crisil GR&amp;A:</t>
        </r>
        <r>
          <rPr>
            <sz val="9"/>
            <color indexed="81"/>
            <rFont val="Tahoma"/>
            <family val="2"/>
          </rPr>
          <t xml:space="preserve">
Includes right of use assets</t>
        </r>
      </text>
    </comment>
    <comment ref="B100" authorId="9" shapeId="0" xr:uid="{00000000-0006-0000-0100-000029000000}">
      <text>
        <r>
          <rPr>
            <b/>
            <sz val="9"/>
            <color indexed="81"/>
            <rFont val="Tahoma"/>
            <family val="2"/>
          </rPr>
          <t>CRISIL GR&amp;A:</t>
        </r>
        <r>
          <rPr>
            <sz val="9"/>
            <color indexed="81"/>
            <rFont val="Tahoma"/>
            <family val="2"/>
          </rPr>
          <t xml:space="preserve">
Includes only the current portion</t>
        </r>
      </text>
    </comment>
    <comment ref="W100" authorId="5" shapeId="0" xr:uid="{00000000-0006-0000-0100-00002A000000}">
      <text>
        <r>
          <rPr>
            <b/>
            <sz val="9"/>
            <color indexed="81"/>
            <rFont val="Tahoma"/>
            <family val="2"/>
          </rPr>
          <t>Crisil GR&amp;A:</t>
        </r>
        <r>
          <rPr>
            <sz val="9"/>
            <color indexed="81"/>
            <rFont val="Tahoma"/>
            <family val="2"/>
          </rPr>
          <t xml:space="preserve">
Includes right of use assets</t>
        </r>
      </text>
    </comment>
    <comment ref="W101" authorId="5" shapeId="0" xr:uid="{00000000-0006-0000-0100-00002B000000}">
      <text>
        <r>
          <rPr>
            <b/>
            <sz val="9"/>
            <color indexed="81"/>
            <rFont val="Tahoma"/>
            <family val="2"/>
          </rPr>
          <t>Crisil GR&amp;A:</t>
        </r>
        <r>
          <rPr>
            <sz val="9"/>
            <color indexed="81"/>
            <rFont val="Tahoma"/>
            <family val="2"/>
          </rPr>
          <t xml:space="preserve">
Includes right of use assets</t>
        </r>
      </text>
    </comment>
    <comment ref="AB108" authorId="10" shapeId="0" xr:uid="{00000000-0006-0000-0100-00002C000000}">
      <text>
        <r>
          <rPr>
            <sz val="9"/>
            <color indexed="81"/>
            <rFont val="Tahoma"/>
            <family val="2"/>
          </rPr>
          <t>From financial statements PDF report</t>
        </r>
      </text>
    </comment>
    <comment ref="AF108" authorId="10" shapeId="0" xr:uid="{00000000-0006-0000-0100-00002D000000}">
      <text>
        <r>
          <rPr>
            <sz val="9"/>
            <color indexed="81"/>
            <rFont val="Tahoma"/>
            <family val="2"/>
          </rPr>
          <t>From financial statements PDF report</t>
        </r>
      </text>
    </comment>
    <comment ref="AN108" authorId="10" shapeId="0" xr:uid="{B6F78552-3C45-4997-8E6D-22A3724CCD50}">
      <text>
        <r>
          <rPr>
            <sz val="9"/>
            <color indexed="81"/>
            <rFont val="Tahoma"/>
            <family val="2"/>
          </rPr>
          <t>From financial statements PDF report</t>
        </r>
      </text>
    </comment>
    <comment ref="AR108" authorId="10" shapeId="0" xr:uid="{00000000-0006-0000-0100-00002E000000}">
      <text>
        <r>
          <rPr>
            <sz val="9"/>
            <color indexed="81"/>
            <rFont val="Tahoma"/>
            <family val="2"/>
          </rPr>
          <t>From financial statements PDF report</t>
        </r>
      </text>
    </comment>
    <comment ref="AX108" authorId="10" shapeId="0" xr:uid="{00000000-0006-0000-0100-00002F000000}">
      <text>
        <r>
          <rPr>
            <sz val="9"/>
            <color indexed="81"/>
            <rFont val="Tahoma"/>
            <family val="2"/>
          </rPr>
          <t>From financial statements PDF report</t>
        </r>
      </text>
    </comment>
    <comment ref="AY108" authorId="10" shapeId="0" xr:uid="{9B9E3908-5DC4-435E-BA99-C4EB9AD33345}">
      <text>
        <r>
          <rPr>
            <sz val="9"/>
            <color indexed="81"/>
            <rFont val="Tahoma"/>
            <family val="2"/>
          </rPr>
          <t>From financial statements PDF report</t>
        </r>
      </text>
    </comment>
    <comment ref="BE108" authorId="10" shapeId="0" xr:uid="{7F1A5D6E-03FF-4456-AA63-3609AA5123C2}">
      <text>
        <r>
          <rPr>
            <sz val="9"/>
            <color indexed="81"/>
            <rFont val="Tahoma"/>
            <family val="2"/>
          </rPr>
          <t>From financial statements PDF report</t>
        </r>
      </text>
    </comment>
    <comment ref="BI108" authorId="10" shapeId="0" xr:uid="{C017F4D4-2C08-4703-B2D6-BEEF1E6A6CFF}">
      <text>
        <r>
          <rPr>
            <sz val="9"/>
            <color indexed="81"/>
            <rFont val="Tahoma"/>
            <family val="2"/>
          </rPr>
          <t>From financial statements PDF report</t>
        </r>
      </text>
    </comment>
    <comment ref="BJ108" authorId="10" shapeId="0" xr:uid="{CEFA2110-6DDA-42F4-91D8-19CD1321AE2A}">
      <text>
        <r>
          <rPr>
            <sz val="9"/>
            <color indexed="81"/>
            <rFont val="Tahoma"/>
            <family val="2"/>
          </rPr>
          <t>From financial statements PDF report</t>
        </r>
      </text>
    </comment>
    <comment ref="BM108" authorId="10" shapeId="0" xr:uid="{E1F6C774-DE49-4382-852A-BE785F4B9A86}">
      <text>
        <r>
          <rPr>
            <sz val="9"/>
            <color indexed="81"/>
            <rFont val="Tahoma"/>
            <family val="2"/>
          </rPr>
          <t>From financial statements PDF report</t>
        </r>
      </text>
    </comment>
    <comment ref="AB109" authorId="10" shapeId="0" xr:uid="{00000000-0006-0000-0100-000030000000}">
      <text>
        <r>
          <rPr>
            <sz val="9"/>
            <color indexed="81"/>
            <rFont val="Tahoma"/>
            <family val="2"/>
          </rPr>
          <t>From financial statements PDF report</t>
        </r>
      </text>
    </comment>
    <comment ref="AF109" authorId="10" shapeId="0" xr:uid="{00000000-0006-0000-0100-000031000000}">
      <text>
        <r>
          <rPr>
            <sz val="9"/>
            <color indexed="81"/>
            <rFont val="Tahoma"/>
            <family val="2"/>
          </rPr>
          <t>From financial statements PDF report</t>
        </r>
      </text>
    </comment>
    <comment ref="AN109" authorId="10" shapeId="0" xr:uid="{A43DBD4F-E19F-4C3D-9E1A-B771AFA4BCEC}">
      <text>
        <r>
          <rPr>
            <sz val="9"/>
            <color indexed="81"/>
            <rFont val="Tahoma"/>
            <family val="2"/>
          </rPr>
          <t>From financial statements PDF report</t>
        </r>
      </text>
    </comment>
    <comment ref="AR109" authorId="10" shapeId="0" xr:uid="{00000000-0006-0000-0100-000032000000}">
      <text>
        <r>
          <rPr>
            <sz val="9"/>
            <color indexed="81"/>
            <rFont val="Tahoma"/>
            <family val="2"/>
          </rPr>
          <t>From financial statements PDF report</t>
        </r>
      </text>
    </comment>
    <comment ref="AX109" authorId="10" shapeId="0" xr:uid="{00000000-0006-0000-0100-000033000000}">
      <text>
        <r>
          <rPr>
            <sz val="9"/>
            <color indexed="81"/>
            <rFont val="Tahoma"/>
            <family val="2"/>
          </rPr>
          <t>From financial statements PDF report</t>
        </r>
      </text>
    </comment>
    <comment ref="AY109" authorId="10" shapeId="0" xr:uid="{E0AB5E71-8B5D-49B5-A8E1-AB1F555A8DB4}">
      <text>
        <r>
          <rPr>
            <sz val="9"/>
            <color indexed="81"/>
            <rFont val="Tahoma"/>
            <family val="2"/>
          </rPr>
          <t>From financial statements PDF report</t>
        </r>
      </text>
    </comment>
    <comment ref="BE109" authorId="10" shapeId="0" xr:uid="{D5576686-AB5B-42A6-8B23-DF48B7F790F9}">
      <text>
        <r>
          <rPr>
            <sz val="9"/>
            <color indexed="81"/>
            <rFont val="Tahoma"/>
            <family val="2"/>
          </rPr>
          <t>From financial statements PDF report</t>
        </r>
      </text>
    </comment>
    <comment ref="BI109" authorId="10" shapeId="0" xr:uid="{3536B694-9C90-49F4-A035-58C35C084EE6}">
      <text>
        <r>
          <rPr>
            <sz val="9"/>
            <color indexed="81"/>
            <rFont val="Tahoma"/>
            <family val="2"/>
          </rPr>
          <t>From financial statements PDF report</t>
        </r>
      </text>
    </comment>
    <comment ref="BJ109" authorId="10" shapeId="0" xr:uid="{BB522342-B241-4BA9-85AA-9A3B19AC239E}">
      <text>
        <r>
          <rPr>
            <sz val="9"/>
            <color indexed="81"/>
            <rFont val="Tahoma"/>
            <family val="2"/>
          </rPr>
          <t>From financial statements PDF report</t>
        </r>
      </text>
    </comment>
    <comment ref="BM109" authorId="10" shapeId="0" xr:uid="{C501C97C-6B98-4095-B133-96BFE46CD4D0}">
      <text>
        <r>
          <rPr>
            <sz val="9"/>
            <color indexed="81"/>
            <rFont val="Tahoma"/>
            <family val="2"/>
          </rPr>
          <t>From financial statements PDF report</t>
        </r>
      </text>
    </comment>
    <comment ref="W110" authorId="5" shapeId="0" xr:uid="{00000000-0006-0000-0100-000034000000}">
      <text>
        <r>
          <rPr>
            <b/>
            <sz val="9"/>
            <color indexed="81"/>
            <rFont val="Tahoma"/>
            <family val="2"/>
          </rPr>
          <t>Crisil GR&amp;A:</t>
        </r>
        <r>
          <rPr>
            <sz val="9"/>
            <color indexed="81"/>
            <rFont val="Tahoma"/>
            <family val="2"/>
          </rPr>
          <t xml:space="preserve">
Balance sheet lease liability as per IFRS16</t>
        </r>
      </text>
    </comment>
    <comment ref="X110" authorId="5" shapeId="0" xr:uid="{00000000-0006-0000-0100-000035000000}">
      <text>
        <r>
          <rPr>
            <b/>
            <sz val="9"/>
            <color indexed="81"/>
            <rFont val="Tahoma"/>
            <family val="2"/>
          </rPr>
          <t>Crisil GR&amp;A:</t>
        </r>
        <r>
          <rPr>
            <sz val="9"/>
            <color indexed="81"/>
            <rFont val="Tahoma"/>
            <family val="2"/>
          </rPr>
          <t xml:space="preserve">
Balance sheet lease liability as per IFRS16</t>
        </r>
      </text>
    </comment>
    <comment ref="Y110" authorId="5" shapeId="0" xr:uid="{00000000-0006-0000-0100-000036000000}">
      <text>
        <r>
          <rPr>
            <b/>
            <sz val="9"/>
            <color indexed="81"/>
            <rFont val="Tahoma"/>
            <family val="2"/>
          </rPr>
          <t>Crisil GR&amp;A:</t>
        </r>
        <r>
          <rPr>
            <sz val="9"/>
            <color indexed="81"/>
            <rFont val="Tahoma"/>
            <family val="2"/>
          </rPr>
          <t xml:space="preserve">
Balance sheet lease liability as per IFRS16</t>
        </r>
      </text>
    </comment>
    <comment ref="Z110" authorId="5" shapeId="0" xr:uid="{00000000-0006-0000-0100-000037000000}">
      <text>
        <r>
          <rPr>
            <b/>
            <sz val="9"/>
            <color indexed="81"/>
            <rFont val="Tahoma"/>
            <family val="2"/>
          </rPr>
          <t>Crisil GR&amp;A:</t>
        </r>
        <r>
          <rPr>
            <sz val="9"/>
            <color indexed="81"/>
            <rFont val="Tahoma"/>
            <family val="2"/>
          </rPr>
          <t xml:space="preserve">
Balance sheet lease liability as per IFRS16</t>
        </r>
      </text>
    </comment>
    <comment ref="AA110" authorId="5" shapeId="0" xr:uid="{00000000-0006-0000-0100-000038000000}">
      <text>
        <r>
          <rPr>
            <b/>
            <sz val="9"/>
            <color indexed="81"/>
            <rFont val="Tahoma"/>
            <family val="2"/>
          </rPr>
          <t>Crisil GR&amp;A:</t>
        </r>
        <r>
          <rPr>
            <sz val="9"/>
            <color indexed="81"/>
            <rFont val="Tahoma"/>
            <family val="2"/>
          </rPr>
          <t xml:space="preserve">
Balance sheet lease liability as per IFRS16</t>
        </r>
      </text>
    </comment>
    <comment ref="AD110" authorId="5" shapeId="0" xr:uid="{00000000-0006-0000-0100-000039000000}">
      <text>
        <r>
          <rPr>
            <b/>
            <sz val="9"/>
            <color indexed="81"/>
            <rFont val="Tahoma"/>
            <family val="2"/>
          </rPr>
          <t>Crisil GR&amp;A:</t>
        </r>
        <r>
          <rPr>
            <sz val="9"/>
            <color indexed="81"/>
            <rFont val="Tahoma"/>
            <family val="2"/>
          </rPr>
          <t xml:space="preserve">
Balance sheet lease liability as per IFRS16</t>
        </r>
      </text>
    </comment>
    <comment ref="AE110" authorId="5" shapeId="0" xr:uid="{00000000-0006-0000-0100-00003A000000}">
      <text>
        <r>
          <rPr>
            <b/>
            <sz val="9"/>
            <color indexed="81"/>
            <rFont val="Tahoma"/>
            <family val="2"/>
          </rPr>
          <t>Crisil GR&amp;A:</t>
        </r>
        <r>
          <rPr>
            <sz val="9"/>
            <color indexed="81"/>
            <rFont val="Tahoma"/>
            <family val="2"/>
          </rPr>
          <t xml:space="preserve">
Balance sheet lease liability as per IFRS16</t>
        </r>
      </text>
    </comment>
    <comment ref="AI110" authorId="5" shapeId="0" xr:uid="{00000000-0006-0000-0100-00003B000000}">
      <text>
        <r>
          <rPr>
            <b/>
            <sz val="9"/>
            <color indexed="81"/>
            <rFont val="Tahoma"/>
            <family val="2"/>
          </rPr>
          <t>Crisil GR&amp;A:</t>
        </r>
        <r>
          <rPr>
            <sz val="9"/>
            <color indexed="81"/>
            <rFont val="Tahoma"/>
            <family val="2"/>
          </rPr>
          <t xml:space="preserve">
Balance sheet lease liability as per IFRS16</t>
        </r>
      </text>
    </comment>
    <comment ref="AB113" authorId="10" shapeId="0" xr:uid="{00000000-0006-0000-0100-00003C000000}">
      <text>
        <r>
          <rPr>
            <sz val="9"/>
            <color indexed="81"/>
            <rFont val="Tahoma"/>
            <family val="2"/>
          </rPr>
          <t>From financial statements PDF report</t>
        </r>
      </text>
    </comment>
    <comment ref="AE113" authorId="5" shapeId="0" xr:uid="{00000000-0006-0000-0100-00003D000000}">
      <text>
        <r>
          <rPr>
            <b/>
            <sz val="9"/>
            <color indexed="81"/>
            <rFont val="Tahoma"/>
            <family val="2"/>
          </rPr>
          <t>Crisil GR&amp;A:</t>
        </r>
        <r>
          <rPr>
            <sz val="9"/>
            <color indexed="81"/>
            <rFont val="Tahoma"/>
            <family val="2"/>
          </rPr>
          <t xml:space="preserve">
Balance sheet lease liability as per IFRS16</t>
        </r>
      </text>
    </comment>
    <comment ref="AF113" authorId="10" shapeId="0" xr:uid="{00000000-0006-0000-0100-00003E000000}">
      <text>
        <r>
          <rPr>
            <sz val="9"/>
            <color indexed="81"/>
            <rFont val="Tahoma"/>
            <family val="2"/>
          </rPr>
          <t>From financial statements PDF report</t>
        </r>
      </text>
    </comment>
    <comment ref="AI113" authorId="5" shapeId="0" xr:uid="{00000000-0006-0000-0100-00003F000000}">
      <text>
        <r>
          <rPr>
            <b/>
            <sz val="9"/>
            <color indexed="81"/>
            <rFont val="Tahoma"/>
            <family val="2"/>
          </rPr>
          <t>Crisil GR&amp;A:</t>
        </r>
        <r>
          <rPr>
            <sz val="9"/>
            <color indexed="81"/>
            <rFont val="Tahoma"/>
            <family val="2"/>
          </rPr>
          <t xml:space="preserve">
Balance sheet lease liability as per IFRS16</t>
        </r>
      </text>
    </comment>
    <comment ref="AN113" authorId="10" shapeId="0" xr:uid="{B12FB35B-3CBA-46AA-BD78-CFBAEF5AE688}">
      <text>
        <r>
          <rPr>
            <sz val="9"/>
            <color indexed="81"/>
            <rFont val="Tahoma"/>
            <family val="2"/>
          </rPr>
          <t>From financial statements PDF report</t>
        </r>
      </text>
    </comment>
    <comment ref="AR113" authorId="10" shapeId="0" xr:uid="{00000000-0006-0000-0100-000040000000}">
      <text>
        <r>
          <rPr>
            <sz val="9"/>
            <color indexed="81"/>
            <rFont val="Tahoma"/>
            <family val="2"/>
          </rPr>
          <t>From financial statements PDF report</t>
        </r>
      </text>
    </comment>
    <comment ref="AX113" authorId="10" shapeId="0" xr:uid="{00000000-0006-0000-0100-000041000000}">
      <text>
        <r>
          <rPr>
            <sz val="9"/>
            <color indexed="81"/>
            <rFont val="Tahoma"/>
            <family val="2"/>
          </rPr>
          <t>From financial statements PDF report</t>
        </r>
      </text>
    </comment>
    <comment ref="AY113" authorId="10" shapeId="0" xr:uid="{EA25EBBD-6C47-4F7E-A5E2-EC9019CE0D31}">
      <text>
        <r>
          <rPr>
            <sz val="9"/>
            <color indexed="81"/>
            <rFont val="Tahoma"/>
            <family val="2"/>
          </rPr>
          <t>From financial statements PDF report</t>
        </r>
      </text>
    </comment>
    <comment ref="BE113" authorId="10" shapeId="0" xr:uid="{739025BD-6EA2-46E6-811B-50750D751916}">
      <text>
        <r>
          <rPr>
            <sz val="9"/>
            <color indexed="81"/>
            <rFont val="Tahoma"/>
            <family val="2"/>
          </rPr>
          <t>From financial statements PDF report</t>
        </r>
      </text>
    </comment>
    <comment ref="BI113" authorId="10" shapeId="0" xr:uid="{3F2E24A3-5BF2-469D-9633-B7FC532C2831}">
      <text>
        <r>
          <rPr>
            <sz val="9"/>
            <color indexed="81"/>
            <rFont val="Tahoma"/>
            <family val="2"/>
          </rPr>
          <t>From financial statements PDF report</t>
        </r>
      </text>
    </comment>
    <comment ref="BJ113" authorId="10" shapeId="0" xr:uid="{9187077A-C82E-4C1C-BC7A-08CB1861C44A}">
      <text>
        <r>
          <rPr>
            <sz val="9"/>
            <color indexed="81"/>
            <rFont val="Tahoma"/>
            <family val="2"/>
          </rPr>
          <t>From financial statements PDF report</t>
        </r>
      </text>
    </comment>
    <comment ref="BM113" authorId="10" shapeId="0" xr:uid="{22665B8D-72B4-4716-83D2-49D2FCF1347D}">
      <text>
        <r>
          <rPr>
            <sz val="9"/>
            <color indexed="81"/>
            <rFont val="Tahoma"/>
            <family val="2"/>
          </rPr>
          <t>From financial statements PDF report</t>
        </r>
      </text>
    </comment>
    <comment ref="AB114" authorId="10" shapeId="0" xr:uid="{00000000-0006-0000-0100-000042000000}">
      <text>
        <r>
          <rPr>
            <sz val="9"/>
            <color indexed="81"/>
            <rFont val="Tahoma"/>
            <family val="2"/>
          </rPr>
          <t>From financial statements PDF report</t>
        </r>
      </text>
    </comment>
    <comment ref="AE114" authorId="5" shapeId="0" xr:uid="{00000000-0006-0000-0100-000043000000}">
      <text>
        <r>
          <rPr>
            <b/>
            <sz val="9"/>
            <color indexed="81"/>
            <rFont val="Tahoma"/>
            <family val="2"/>
          </rPr>
          <t>Crisil GR&amp;A:</t>
        </r>
        <r>
          <rPr>
            <sz val="9"/>
            <color indexed="81"/>
            <rFont val="Tahoma"/>
            <family val="2"/>
          </rPr>
          <t xml:space="preserve">
Balance sheet lease liability as per IFRS16</t>
        </r>
      </text>
    </comment>
    <comment ref="AF114" authorId="10" shapeId="0" xr:uid="{00000000-0006-0000-0100-000044000000}">
      <text>
        <r>
          <rPr>
            <sz val="9"/>
            <color indexed="81"/>
            <rFont val="Tahoma"/>
            <family val="2"/>
          </rPr>
          <t>From financial statements PDF report</t>
        </r>
      </text>
    </comment>
    <comment ref="AI114" authorId="5" shapeId="0" xr:uid="{00000000-0006-0000-0100-000045000000}">
      <text>
        <r>
          <rPr>
            <b/>
            <sz val="9"/>
            <color indexed="81"/>
            <rFont val="Tahoma"/>
            <family val="2"/>
          </rPr>
          <t>Crisil GR&amp;A:</t>
        </r>
        <r>
          <rPr>
            <sz val="9"/>
            <color indexed="81"/>
            <rFont val="Tahoma"/>
            <family val="2"/>
          </rPr>
          <t xml:space="preserve">
Balance sheet lease liability as per IFRS16</t>
        </r>
      </text>
    </comment>
    <comment ref="AN114" authorId="10" shapeId="0" xr:uid="{923D899A-8875-4215-A7D9-DBCFBA924875}">
      <text>
        <r>
          <rPr>
            <sz val="9"/>
            <color indexed="81"/>
            <rFont val="Tahoma"/>
            <family val="2"/>
          </rPr>
          <t>From financial statements PDF report</t>
        </r>
      </text>
    </comment>
    <comment ref="AR114" authorId="10" shapeId="0" xr:uid="{00000000-0006-0000-0100-000046000000}">
      <text>
        <r>
          <rPr>
            <sz val="9"/>
            <color indexed="81"/>
            <rFont val="Tahoma"/>
            <family val="2"/>
          </rPr>
          <t>From financial statements PDF report</t>
        </r>
      </text>
    </comment>
    <comment ref="AX114" authorId="10" shapeId="0" xr:uid="{00000000-0006-0000-0100-000047000000}">
      <text>
        <r>
          <rPr>
            <sz val="9"/>
            <color indexed="81"/>
            <rFont val="Tahoma"/>
            <family val="2"/>
          </rPr>
          <t>From financial statements PDF report</t>
        </r>
      </text>
    </comment>
    <comment ref="AY114" authorId="10" shapeId="0" xr:uid="{B9CF2C55-B1A7-4BBB-9348-76F6EE7FC8C1}">
      <text>
        <r>
          <rPr>
            <sz val="9"/>
            <color indexed="81"/>
            <rFont val="Tahoma"/>
            <family val="2"/>
          </rPr>
          <t>From financial statements PDF report</t>
        </r>
      </text>
    </comment>
    <comment ref="BE114" authorId="10" shapeId="0" xr:uid="{27A88521-4DF2-403F-89BD-7A06594594CE}">
      <text>
        <r>
          <rPr>
            <sz val="9"/>
            <color indexed="81"/>
            <rFont val="Tahoma"/>
            <family val="2"/>
          </rPr>
          <t>From financial statements PDF report</t>
        </r>
      </text>
    </comment>
    <comment ref="BI114" authorId="10" shapeId="0" xr:uid="{88DC8C23-C646-4820-9E89-587869DB8C8D}">
      <text>
        <r>
          <rPr>
            <sz val="9"/>
            <color indexed="81"/>
            <rFont val="Tahoma"/>
            <family val="2"/>
          </rPr>
          <t>From financial statements PDF report</t>
        </r>
      </text>
    </comment>
    <comment ref="BJ114" authorId="10" shapeId="0" xr:uid="{A63CFF88-DFEC-42EC-A188-0C5C83863B65}">
      <text>
        <r>
          <rPr>
            <sz val="9"/>
            <color indexed="81"/>
            <rFont val="Tahoma"/>
            <family val="2"/>
          </rPr>
          <t>From financial statements PDF report</t>
        </r>
      </text>
    </comment>
    <comment ref="BM114" authorId="10" shapeId="0" xr:uid="{5DA85D42-38E6-45CE-98F1-C0682EB62D4F}">
      <text>
        <r>
          <rPr>
            <sz val="9"/>
            <color indexed="81"/>
            <rFont val="Tahoma"/>
            <family val="2"/>
          </rPr>
          <t>From financial statements PDF report</t>
        </r>
      </text>
    </comment>
    <comment ref="W115" authorId="5" shapeId="0" xr:uid="{00000000-0006-0000-0100-000048000000}">
      <text>
        <r>
          <rPr>
            <b/>
            <sz val="9"/>
            <color indexed="81"/>
            <rFont val="Tahoma"/>
            <family val="2"/>
          </rPr>
          <t>Crisil GR&amp;A:</t>
        </r>
        <r>
          <rPr>
            <sz val="9"/>
            <color indexed="81"/>
            <rFont val="Tahoma"/>
            <family val="2"/>
          </rPr>
          <t xml:space="preserve">
Balance sheet lease liability as per IFRS16</t>
        </r>
      </text>
    </comment>
    <comment ref="X115" authorId="5" shapeId="0" xr:uid="{00000000-0006-0000-0100-000049000000}">
      <text>
        <r>
          <rPr>
            <b/>
            <sz val="9"/>
            <color indexed="81"/>
            <rFont val="Tahoma"/>
            <family val="2"/>
          </rPr>
          <t>Crisil GR&amp;A:</t>
        </r>
        <r>
          <rPr>
            <sz val="9"/>
            <color indexed="81"/>
            <rFont val="Tahoma"/>
            <family val="2"/>
          </rPr>
          <t xml:space="preserve">
Balance sheet lease liability as per IFRS16</t>
        </r>
      </text>
    </comment>
    <comment ref="Y115" authorId="5" shapeId="0" xr:uid="{00000000-0006-0000-0100-00004A000000}">
      <text>
        <r>
          <rPr>
            <b/>
            <sz val="9"/>
            <color indexed="81"/>
            <rFont val="Tahoma"/>
            <family val="2"/>
          </rPr>
          <t>Crisil GR&amp;A:</t>
        </r>
        <r>
          <rPr>
            <sz val="9"/>
            <color indexed="81"/>
            <rFont val="Tahoma"/>
            <family val="2"/>
          </rPr>
          <t xml:space="preserve">
Balance sheet lease liability as per IFRS16</t>
        </r>
      </text>
    </comment>
    <comment ref="Z115" authorId="5" shapeId="0" xr:uid="{00000000-0006-0000-0100-00004B000000}">
      <text>
        <r>
          <rPr>
            <b/>
            <sz val="9"/>
            <color indexed="81"/>
            <rFont val="Tahoma"/>
            <family val="2"/>
          </rPr>
          <t>Crisil GR&amp;A:</t>
        </r>
        <r>
          <rPr>
            <sz val="9"/>
            <color indexed="81"/>
            <rFont val="Tahoma"/>
            <family val="2"/>
          </rPr>
          <t xml:space="preserve">
Balance sheet lease liability as per IFRS16</t>
        </r>
      </text>
    </comment>
    <comment ref="AA115" authorId="5" shapeId="0" xr:uid="{00000000-0006-0000-0100-00004C000000}">
      <text>
        <r>
          <rPr>
            <b/>
            <sz val="9"/>
            <color indexed="81"/>
            <rFont val="Tahoma"/>
            <family val="2"/>
          </rPr>
          <t>Crisil GR&amp;A:</t>
        </r>
        <r>
          <rPr>
            <sz val="9"/>
            <color indexed="81"/>
            <rFont val="Tahoma"/>
            <family val="2"/>
          </rPr>
          <t xml:space="preserve">
Balance sheet lease liability as per IFRS16</t>
        </r>
      </text>
    </comment>
    <comment ref="AD115" authorId="5" shapeId="0" xr:uid="{00000000-0006-0000-0100-00004D000000}">
      <text>
        <r>
          <rPr>
            <b/>
            <sz val="9"/>
            <color indexed="81"/>
            <rFont val="Tahoma"/>
            <family val="2"/>
          </rPr>
          <t>Crisil GR&amp;A:</t>
        </r>
        <r>
          <rPr>
            <sz val="9"/>
            <color indexed="81"/>
            <rFont val="Tahoma"/>
            <family val="2"/>
          </rPr>
          <t xml:space="preserve">
Balance sheet lease liability as per IFRS16</t>
        </r>
      </text>
    </comment>
    <comment ref="AE115" authorId="5" shapeId="0" xr:uid="{00000000-0006-0000-0100-00004E000000}">
      <text>
        <r>
          <rPr>
            <b/>
            <sz val="9"/>
            <color indexed="81"/>
            <rFont val="Tahoma"/>
            <family val="2"/>
          </rPr>
          <t>Crisil GR&amp;A:</t>
        </r>
        <r>
          <rPr>
            <sz val="9"/>
            <color indexed="81"/>
            <rFont val="Tahoma"/>
            <family val="2"/>
          </rPr>
          <t xml:space="preserve">
Balance sheet lease liability as per IFRS16</t>
        </r>
      </text>
    </comment>
    <comment ref="AI115" authorId="5" shapeId="0" xr:uid="{00000000-0006-0000-0100-00004F000000}">
      <text>
        <r>
          <rPr>
            <b/>
            <sz val="9"/>
            <color indexed="81"/>
            <rFont val="Tahoma"/>
            <family val="2"/>
          </rPr>
          <t>Crisil GR&amp;A:</t>
        </r>
        <r>
          <rPr>
            <sz val="9"/>
            <color indexed="81"/>
            <rFont val="Tahoma"/>
            <family val="2"/>
          </rPr>
          <t xml:space="preserve">
Balance sheet lease liability as per IFRS16</t>
        </r>
      </text>
    </comment>
    <comment ref="T120" authorId="6" shapeId="0" xr:uid="{00000000-0006-0000-0100-000050000000}">
      <text>
        <r>
          <rPr>
            <b/>
            <sz val="9"/>
            <color indexed="81"/>
            <rFont val="Tahoma"/>
            <family val="2"/>
          </rPr>
          <t>Akhil G:</t>
        </r>
        <r>
          <rPr>
            <sz val="9"/>
            <color indexed="81"/>
            <rFont val="Tahoma"/>
            <family val="2"/>
          </rPr>
          <t xml:space="preserve">
Includes Deposits on investements in subsidiaries</t>
        </r>
      </text>
    </comment>
    <comment ref="U120" authorId="6" shapeId="0" xr:uid="{00000000-0006-0000-0100-000051000000}">
      <text>
        <r>
          <rPr>
            <b/>
            <sz val="9"/>
            <color indexed="81"/>
            <rFont val="Tahoma"/>
            <family val="2"/>
          </rPr>
          <t>Akhil G:</t>
        </r>
        <r>
          <rPr>
            <sz val="9"/>
            <color indexed="81"/>
            <rFont val="Tahoma"/>
            <family val="2"/>
          </rPr>
          <t xml:space="preserve">
Includes Deposits on investements in subsidiaries</t>
        </r>
      </text>
    </comment>
    <comment ref="AB123" authorId="10" shapeId="0" xr:uid="{00000000-0006-0000-0100-000052000000}">
      <text>
        <r>
          <rPr>
            <sz val="9"/>
            <color indexed="81"/>
            <rFont val="Tahoma"/>
            <family val="2"/>
          </rPr>
          <t>Balance sheet cash and cash equivalents has been considered for leverage ratio calculations</t>
        </r>
      </text>
    </comment>
    <comment ref="AF123" authorId="10" shapeId="0" xr:uid="{00000000-0006-0000-0100-000053000000}">
      <text>
        <r>
          <rPr>
            <sz val="9"/>
            <color indexed="81"/>
            <rFont val="Tahoma"/>
            <family val="2"/>
          </rPr>
          <t>Balance sheet cash and cash equivalents has been considered for leverage ratio calculations</t>
        </r>
      </text>
    </comment>
    <comment ref="AG123" authorId="10" shapeId="0" xr:uid="{00000000-0006-0000-0100-000054000000}">
      <text>
        <r>
          <rPr>
            <sz val="9"/>
            <color indexed="81"/>
            <rFont val="Tahoma"/>
            <family val="2"/>
          </rPr>
          <t>Balance sheet cash and cash equivalents has been considered for leverage ratio calculations</t>
        </r>
      </text>
    </comment>
    <comment ref="AN123" authorId="10" shapeId="0" xr:uid="{41E44D38-03C9-4B03-94F4-AE44D536343E}">
      <text>
        <r>
          <rPr>
            <sz val="9"/>
            <color indexed="81"/>
            <rFont val="Tahoma"/>
            <family val="2"/>
          </rPr>
          <t>Balance sheet cash and cash equivalents has been considered for leverage ratio calculations</t>
        </r>
      </text>
    </comment>
    <comment ref="AO123" authorId="10" shapeId="0" xr:uid="{DF2D07C1-297B-4F78-A89D-60F083E7014F}">
      <text>
        <r>
          <rPr>
            <sz val="9"/>
            <color indexed="81"/>
            <rFont val="Tahoma"/>
            <family val="2"/>
          </rPr>
          <t>Balance sheet cash and cash equivalents has been considered for leverage ratio calculations</t>
        </r>
      </text>
    </comment>
    <comment ref="AR123" authorId="10" shapeId="0" xr:uid="{00000000-0006-0000-0100-000055000000}">
      <text>
        <r>
          <rPr>
            <sz val="9"/>
            <color indexed="81"/>
            <rFont val="Tahoma"/>
            <family val="2"/>
          </rPr>
          <t>Balance sheet cash and cash equivalents has been considered for leverage ratio calculations</t>
        </r>
      </text>
    </comment>
    <comment ref="AS123" authorId="10" shapeId="0" xr:uid="{00000000-0006-0000-0100-000056000000}">
      <text>
        <r>
          <rPr>
            <sz val="9"/>
            <color indexed="81"/>
            <rFont val="Tahoma"/>
            <family val="2"/>
          </rPr>
          <t>Balance sheet cash and cash equivalents has been considered for leverage ratio calculations</t>
        </r>
      </text>
    </comment>
    <comment ref="AX123" authorId="10" shapeId="0" xr:uid="{00000000-0006-0000-0100-000057000000}">
      <text>
        <r>
          <rPr>
            <sz val="9"/>
            <color indexed="81"/>
            <rFont val="Tahoma"/>
            <family val="2"/>
          </rPr>
          <t>Balance sheet cash and cash equivalents has been considered for leverage ratio calculations</t>
        </r>
      </text>
    </comment>
    <comment ref="AY123" authorId="10" shapeId="0" xr:uid="{E98BB82D-125D-4118-AA40-F4FB5376162A}">
      <text>
        <r>
          <rPr>
            <sz val="9"/>
            <color indexed="81"/>
            <rFont val="Tahoma"/>
            <family val="2"/>
          </rPr>
          <t>Balance sheet cash and cash equivalents has been considered for leverage ratio calculations</t>
        </r>
      </text>
    </comment>
    <comment ref="AZ123" authorId="10" shapeId="0" xr:uid="{9658A9C1-2C3A-4CD7-99FE-D2438AC27E59}">
      <text>
        <r>
          <rPr>
            <sz val="9"/>
            <color indexed="81"/>
            <rFont val="Tahoma"/>
            <family val="2"/>
          </rPr>
          <t>Balance sheet cash and cash equivalents has been considered for leverage ratio calculations</t>
        </r>
      </text>
    </comment>
    <comment ref="BA123" authorId="10" shapeId="0" xr:uid="{5EF465C6-1183-4B9E-88B1-CC818F4A7B70}">
      <text>
        <r>
          <rPr>
            <sz val="9"/>
            <color indexed="81"/>
            <rFont val="Tahoma"/>
            <family val="2"/>
          </rPr>
          <t>Balance sheet cash and cash equivalents has been considered for leverage ratio calculations</t>
        </r>
      </text>
    </comment>
    <comment ref="BE123" authorId="10" shapeId="0" xr:uid="{85753193-26D2-4B67-8F5A-92DAFBEE5675}">
      <text>
        <r>
          <rPr>
            <sz val="9"/>
            <color indexed="81"/>
            <rFont val="Tahoma"/>
            <family val="2"/>
          </rPr>
          <t>Balance sheet cash and cash equivalents has been considered for leverage ratio calculations</t>
        </r>
      </text>
    </comment>
    <comment ref="BF123" authorId="10" shapeId="0" xr:uid="{88D3F91C-06A6-4BEC-B18F-4CEABDECDA8A}">
      <text>
        <r>
          <rPr>
            <sz val="9"/>
            <color indexed="81"/>
            <rFont val="Tahoma"/>
            <family val="2"/>
          </rPr>
          <t>Balance sheet cash and cash equivalents has been considered for leverage ratio calculations</t>
        </r>
      </text>
    </comment>
    <comment ref="BI123" authorId="10" shapeId="0" xr:uid="{0718A66C-0239-46B0-AC11-54D8ED2B5AF3}">
      <text>
        <r>
          <rPr>
            <sz val="9"/>
            <color indexed="81"/>
            <rFont val="Tahoma"/>
            <family val="2"/>
          </rPr>
          <t>Balance sheet cash and cash equivalents has been considered for leverage ratio calculations</t>
        </r>
      </text>
    </comment>
    <comment ref="BJ123" authorId="10" shapeId="0" xr:uid="{A944454E-283E-4D9A-801E-02C528DE8DB7}">
      <text>
        <r>
          <rPr>
            <sz val="9"/>
            <color indexed="81"/>
            <rFont val="Tahoma"/>
            <family val="2"/>
          </rPr>
          <t>Balance sheet cash and cash equivalents has been considered for leverage ratio calculations</t>
        </r>
      </text>
    </comment>
    <comment ref="BK123" authorId="10" shapeId="0" xr:uid="{9363B506-7E3F-42A8-AA77-88A6C5F6F8E2}">
      <text>
        <r>
          <rPr>
            <sz val="9"/>
            <color indexed="81"/>
            <rFont val="Tahoma"/>
            <family val="2"/>
          </rPr>
          <t>Balance sheet cash and cash equivalents has been considered for leverage ratio calculations</t>
        </r>
      </text>
    </comment>
    <comment ref="BM123" authorId="10" shapeId="0" xr:uid="{C80303F4-6C81-4788-9447-AA30AE537D9F}">
      <text>
        <r>
          <rPr>
            <sz val="9"/>
            <color indexed="81"/>
            <rFont val="Tahoma"/>
            <family val="2"/>
          </rPr>
          <t>Balance sheet cash and cash equivalents has been considered for leverage ratio calculations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CRISIL</author>
    <author>CRISIL GR&amp;RS</author>
    <author>GR&amp;RS</author>
  </authors>
  <commentList>
    <comment ref="I10" authorId="0" shapeId="0" xr:uid="{5ADF0671-F87F-40D7-9C39-34655D8D4F8E}">
      <text>
        <r>
          <rPr>
            <b/>
            <sz val="9"/>
            <color indexed="81"/>
            <rFont val="Tahoma"/>
            <family val="2"/>
          </rPr>
          <t>CRISIL:</t>
        </r>
        <r>
          <rPr>
            <sz val="9"/>
            <color indexed="81"/>
            <rFont val="Tahoma"/>
            <family val="2"/>
          </rPr>
          <t xml:space="preserve">
Discontinued operation</t>
        </r>
      </text>
    </comment>
    <comment ref="J10" authorId="0" shapeId="0" xr:uid="{46561E62-9350-4906-9677-9E210C433DA6}">
      <text>
        <r>
          <rPr>
            <b/>
            <sz val="9"/>
            <color indexed="81"/>
            <rFont val="Tahoma"/>
            <family val="2"/>
          </rPr>
          <t>CRISIL:</t>
        </r>
        <r>
          <rPr>
            <sz val="9"/>
            <color indexed="81"/>
            <rFont val="Tahoma"/>
            <family val="2"/>
          </rPr>
          <t xml:space="preserve">
Discontinued operation</t>
        </r>
      </text>
    </comment>
    <comment ref="K10" authorId="0" shapeId="0" xr:uid="{C7CFA001-1FAD-433A-8B2F-7D9D2D435C0C}">
      <text>
        <r>
          <rPr>
            <b/>
            <sz val="9"/>
            <color indexed="81"/>
            <rFont val="Tahoma"/>
            <family val="2"/>
          </rPr>
          <t>CRISIL:</t>
        </r>
        <r>
          <rPr>
            <sz val="9"/>
            <color indexed="81"/>
            <rFont val="Tahoma"/>
            <family val="2"/>
          </rPr>
          <t xml:space="preserve">
Discontinued operation</t>
        </r>
      </text>
    </comment>
    <comment ref="L10" authorId="0" shapeId="0" xr:uid="{65C699AD-6362-4A7B-8213-7AFB6FB7D3C3}">
      <text>
        <r>
          <rPr>
            <b/>
            <sz val="9"/>
            <color indexed="81"/>
            <rFont val="Tahoma"/>
            <family val="2"/>
          </rPr>
          <t>CRISIL:</t>
        </r>
        <r>
          <rPr>
            <sz val="9"/>
            <color indexed="81"/>
            <rFont val="Tahoma"/>
            <family val="2"/>
          </rPr>
          <t xml:space="preserve">
Discontinued operation</t>
        </r>
      </text>
    </comment>
    <comment ref="M10" authorId="0" shapeId="0" xr:uid="{E7A67B8C-9AE8-48D3-A2A9-53979DAE8346}">
      <text>
        <r>
          <rPr>
            <b/>
            <sz val="9"/>
            <color indexed="81"/>
            <rFont val="Tahoma"/>
            <family val="2"/>
          </rPr>
          <t>CRISIL:</t>
        </r>
        <r>
          <rPr>
            <sz val="9"/>
            <color indexed="81"/>
            <rFont val="Tahoma"/>
            <family val="2"/>
          </rPr>
          <t xml:space="preserve">
Discontinued operation</t>
        </r>
      </text>
    </comment>
    <comment ref="N10" authorId="0" shapeId="0" xr:uid="{A5AF7CFE-87C6-4720-8677-40570FEC42DF}">
      <text>
        <r>
          <rPr>
            <b/>
            <sz val="9"/>
            <color indexed="81"/>
            <rFont val="Tahoma"/>
            <family val="2"/>
          </rPr>
          <t>CRISIL:</t>
        </r>
        <r>
          <rPr>
            <sz val="9"/>
            <color indexed="81"/>
            <rFont val="Tahoma"/>
            <family val="2"/>
          </rPr>
          <t xml:space="preserve">
Discontinued operation</t>
        </r>
      </text>
    </comment>
    <comment ref="O10" authorId="0" shapeId="0" xr:uid="{08020B56-187B-4CEE-95E6-9081EB58F1B4}">
      <text>
        <r>
          <rPr>
            <b/>
            <sz val="9"/>
            <color indexed="81"/>
            <rFont val="Tahoma"/>
            <family val="2"/>
          </rPr>
          <t>CRISIL:</t>
        </r>
        <r>
          <rPr>
            <sz val="9"/>
            <color indexed="81"/>
            <rFont val="Tahoma"/>
            <family val="2"/>
          </rPr>
          <t xml:space="preserve">
Discontinued operation</t>
        </r>
      </text>
    </comment>
    <comment ref="AG10" authorId="0" shapeId="0" xr:uid="{BFF98F6F-BC7E-4AFE-A307-E097CEF3C531}">
      <text>
        <r>
          <rPr>
            <b/>
            <sz val="9"/>
            <color indexed="81"/>
            <rFont val="Tahoma"/>
            <family val="2"/>
          </rPr>
          <t>CRISIL:</t>
        </r>
        <r>
          <rPr>
            <sz val="9"/>
            <color indexed="81"/>
            <rFont val="Tahoma"/>
            <family val="2"/>
          </rPr>
          <t xml:space="preserve">
Discontinued operation</t>
        </r>
      </text>
    </comment>
    <comment ref="AH10" authorId="0" shapeId="0" xr:uid="{E545521A-E215-4476-9B6A-C5B065A65CE9}">
      <text>
        <r>
          <rPr>
            <b/>
            <sz val="9"/>
            <color indexed="81"/>
            <rFont val="Tahoma"/>
            <family val="2"/>
          </rPr>
          <t>CRISIL:</t>
        </r>
        <r>
          <rPr>
            <sz val="9"/>
            <color indexed="81"/>
            <rFont val="Tahoma"/>
            <family val="2"/>
          </rPr>
          <t xml:space="preserve">
Discontinued operation</t>
        </r>
      </text>
    </comment>
    <comment ref="AI10" authorId="0" shapeId="0" xr:uid="{6D5DC05E-CE12-4B66-97FB-07FA20D8A2A2}">
      <text>
        <r>
          <rPr>
            <b/>
            <sz val="9"/>
            <color indexed="81"/>
            <rFont val="Tahoma"/>
            <family val="2"/>
          </rPr>
          <t>CRISIL:</t>
        </r>
        <r>
          <rPr>
            <sz val="9"/>
            <color indexed="81"/>
            <rFont val="Tahoma"/>
            <family val="2"/>
          </rPr>
          <t xml:space="preserve">
Discontinued operation</t>
        </r>
      </text>
    </comment>
    <comment ref="AJ10" authorId="0" shapeId="0" xr:uid="{3E84B5EB-2AAD-4A04-A792-00DF0DD9D14B}">
      <text>
        <r>
          <rPr>
            <b/>
            <sz val="9"/>
            <color indexed="81"/>
            <rFont val="Tahoma"/>
            <family val="2"/>
          </rPr>
          <t>CRISIL:</t>
        </r>
        <r>
          <rPr>
            <sz val="9"/>
            <color indexed="81"/>
            <rFont val="Tahoma"/>
            <family val="2"/>
          </rPr>
          <t xml:space="preserve">
Discontinued operation</t>
        </r>
      </text>
    </comment>
    <comment ref="AK10" authorId="0" shapeId="0" xr:uid="{00000000-0006-0000-0200-000001000000}">
      <text>
        <r>
          <rPr>
            <b/>
            <sz val="9"/>
            <color indexed="81"/>
            <rFont val="Tahoma"/>
            <family val="2"/>
          </rPr>
          <t>CRISIL:</t>
        </r>
        <r>
          <rPr>
            <sz val="9"/>
            <color indexed="81"/>
            <rFont val="Tahoma"/>
            <family val="2"/>
          </rPr>
          <t xml:space="preserve">
Discontinued operation</t>
        </r>
      </text>
    </comment>
    <comment ref="AL10" authorId="0" shapeId="0" xr:uid="{3BDADCC4-8F52-4EA6-BA25-B0F79C9A5A59}">
      <text>
        <r>
          <rPr>
            <b/>
            <sz val="9"/>
            <color indexed="81"/>
            <rFont val="Tahoma"/>
            <family val="2"/>
          </rPr>
          <t>CRISIL:</t>
        </r>
        <r>
          <rPr>
            <sz val="9"/>
            <color indexed="81"/>
            <rFont val="Tahoma"/>
            <family val="2"/>
          </rPr>
          <t xml:space="preserve">
Discontinued operation</t>
        </r>
      </text>
    </comment>
    <comment ref="AM10" authorId="0" shapeId="0" xr:uid="{D16AABD7-404C-46C4-9128-E87B0BC3A391}">
      <text>
        <r>
          <rPr>
            <b/>
            <sz val="9"/>
            <color indexed="81"/>
            <rFont val="Tahoma"/>
            <family val="2"/>
          </rPr>
          <t>CRISIL:</t>
        </r>
        <r>
          <rPr>
            <sz val="9"/>
            <color indexed="81"/>
            <rFont val="Tahoma"/>
            <family val="2"/>
          </rPr>
          <t xml:space="preserve">
Discontinued operation</t>
        </r>
      </text>
    </comment>
    <comment ref="AN10" authorId="0" shapeId="0" xr:uid="{31627BAD-3E64-4DC5-9CA3-02ADFD08B5FE}">
      <text>
        <r>
          <rPr>
            <b/>
            <sz val="9"/>
            <color indexed="81"/>
            <rFont val="Tahoma"/>
            <family val="2"/>
          </rPr>
          <t>CRISIL:</t>
        </r>
        <r>
          <rPr>
            <sz val="9"/>
            <color indexed="81"/>
            <rFont val="Tahoma"/>
            <family val="2"/>
          </rPr>
          <t xml:space="preserve">
Discontinued operation</t>
        </r>
      </text>
    </comment>
    <comment ref="AO10" authorId="0" shapeId="0" xr:uid="{79EB6D3D-74BA-4180-8F84-7F37BE8EAF7A}">
      <text>
        <r>
          <rPr>
            <b/>
            <sz val="9"/>
            <color indexed="81"/>
            <rFont val="Tahoma"/>
            <family val="2"/>
          </rPr>
          <t>CRISIL:</t>
        </r>
        <r>
          <rPr>
            <sz val="9"/>
            <color indexed="81"/>
            <rFont val="Tahoma"/>
            <family val="2"/>
          </rPr>
          <t xml:space="preserve">
Discontinued operation</t>
        </r>
      </text>
    </comment>
    <comment ref="AP10" authorId="0" shapeId="0" xr:uid="{8EDB82F5-9F12-404D-B418-156BE91289C6}">
      <text>
        <r>
          <rPr>
            <b/>
            <sz val="9"/>
            <color indexed="81"/>
            <rFont val="Tahoma"/>
            <family val="2"/>
          </rPr>
          <t>CRISIL:</t>
        </r>
        <r>
          <rPr>
            <sz val="9"/>
            <color indexed="81"/>
            <rFont val="Tahoma"/>
            <family val="2"/>
          </rPr>
          <t xml:space="preserve">
Discontinued operation</t>
        </r>
      </text>
    </comment>
    <comment ref="AQ10" authorId="0" shapeId="0" xr:uid="{444B8556-A8E5-45BC-9397-E9D46E51B926}">
      <text>
        <r>
          <rPr>
            <b/>
            <sz val="9"/>
            <color indexed="81"/>
            <rFont val="Tahoma"/>
            <family val="2"/>
          </rPr>
          <t>CRISIL:</t>
        </r>
        <r>
          <rPr>
            <sz val="9"/>
            <color indexed="81"/>
            <rFont val="Tahoma"/>
            <family val="2"/>
          </rPr>
          <t xml:space="preserve">
Discontinued operation</t>
        </r>
      </text>
    </comment>
    <comment ref="AR10" authorId="0" shapeId="0" xr:uid="{3EF9CC4D-D2D7-4731-8946-025182079D03}">
      <text>
        <r>
          <rPr>
            <b/>
            <sz val="9"/>
            <color indexed="81"/>
            <rFont val="Tahoma"/>
            <family val="2"/>
          </rPr>
          <t>CRISIL:</t>
        </r>
        <r>
          <rPr>
            <sz val="9"/>
            <color indexed="81"/>
            <rFont val="Tahoma"/>
            <family val="2"/>
          </rPr>
          <t xml:space="preserve">
Discontinued operation</t>
        </r>
      </text>
    </comment>
    <comment ref="AS10" authorId="0" shapeId="0" xr:uid="{EE86DABF-D91B-4904-A2C0-846BBCD2C1AC}">
      <text>
        <r>
          <rPr>
            <b/>
            <sz val="9"/>
            <color indexed="81"/>
            <rFont val="Tahoma"/>
            <family val="2"/>
          </rPr>
          <t>CRISIL:</t>
        </r>
        <r>
          <rPr>
            <sz val="9"/>
            <color indexed="81"/>
            <rFont val="Tahoma"/>
            <family val="2"/>
          </rPr>
          <t xml:space="preserve">
Change in reporting structure</t>
        </r>
      </text>
    </comment>
    <comment ref="AT10" authorId="0" shapeId="0" xr:uid="{04272642-0B42-4453-8592-E2854A67AA8C}">
      <text>
        <r>
          <rPr>
            <b/>
            <sz val="9"/>
            <color indexed="81"/>
            <rFont val="Tahoma"/>
            <family val="2"/>
          </rPr>
          <t>CRISIL:</t>
        </r>
        <r>
          <rPr>
            <sz val="9"/>
            <color indexed="81"/>
            <rFont val="Tahoma"/>
            <family val="2"/>
          </rPr>
          <t xml:space="preserve">
Discontinued operation</t>
        </r>
      </text>
    </comment>
    <comment ref="AU10" authorId="0" shapeId="0" xr:uid="{DCE8125D-4638-4C54-BBC3-345892CF1EE3}">
      <text>
        <r>
          <rPr>
            <b/>
            <sz val="9"/>
            <color indexed="81"/>
            <rFont val="Tahoma"/>
            <family val="2"/>
          </rPr>
          <t>CRISIL:</t>
        </r>
        <r>
          <rPr>
            <sz val="9"/>
            <color indexed="81"/>
            <rFont val="Tahoma"/>
            <family val="2"/>
          </rPr>
          <t xml:space="preserve">
Discontinued operation</t>
        </r>
      </text>
    </comment>
    <comment ref="AV10" authorId="0" shapeId="0" xr:uid="{A957C509-DF69-4683-9125-447B65A1CEFE}">
      <text>
        <r>
          <rPr>
            <b/>
            <sz val="9"/>
            <color indexed="81"/>
            <rFont val="Tahoma"/>
            <family val="2"/>
          </rPr>
          <t>CRISIL:</t>
        </r>
        <r>
          <rPr>
            <sz val="9"/>
            <color indexed="81"/>
            <rFont val="Tahoma"/>
            <family val="2"/>
          </rPr>
          <t xml:space="preserve">
Discontinued operation</t>
        </r>
      </text>
    </comment>
    <comment ref="AW10" authorId="0" shapeId="0" xr:uid="{57CA62B9-264A-42CA-A333-667B4275D7C0}">
      <text>
        <r>
          <rPr>
            <b/>
            <sz val="9"/>
            <color indexed="81"/>
            <rFont val="Tahoma"/>
            <family val="2"/>
          </rPr>
          <t>CRISIL:</t>
        </r>
        <r>
          <rPr>
            <sz val="9"/>
            <color indexed="81"/>
            <rFont val="Tahoma"/>
            <family val="2"/>
          </rPr>
          <t xml:space="preserve">
Change in reporting structure</t>
        </r>
      </text>
    </comment>
    <comment ref="AY10" authorId="0" shapeId="0" xr:uid="{B9ECC7D8-0E28-4D6C-9890-C8B70D8C2DD0}">
      <text>
        <r>
          <rPr>
            <b/>
            <sz val="9"/>
            <color indexed="81"/>
            <rFont val="Tahoma"/>
            <family val="2"/>
          </rPr>
          <t>CRISIL:</t>
        </r>
        <r>
          <rPr>
            <sz val="9"/>
            <color indexed="81"/>
            <rFont val="Tahoma"/>
            <family val="2"/>
          </rPr>
          <t xml:space="preserve">
Fy23 is restated and reclassified</t>
        </r>
      </text>
    </comment>
    <comment ref="BC10" authorId="0" shapeId="0" xr:uid="{838C79EF-501A-4755-9A7E-DB2A445908E9}">
      <text>
        <r>
          <rPr>
            <b/>
            <sz val="9"/>
            <color indexed="81"/>
            <rFont val="Tahoma"/>
            <family val="2"/>
          </rPr>
          <t>CRISIL:</t>
        </r>
        <r>
          <rPr>
            <sz val="9"/>
            <color indexed="81"/>
            <rFont val="Tahoma"/>
            <family val="2"/>
          </rPr>
          <t xml:space="preserve">
Change in reporting structure</t>
        </r>
      </text>
    </comment>
    <comment ref="BD10" authorId="0" shapeId="0" xr:uid="{DB8D9844-3053-4A65-9080-CB21FD55A3B7}">
      <text>
        <r>
          <rPr>
            <b/>
            <sz val="9"/>
            <color indexed="81"/>
            <rFont val="Tahoma"/>
            <family val="2"/>
          </rPr>
          <t>CRISIL:</t>
        </r>
        <r>
          <rPr>
            <sz val="9"/>
            <color indexed="81"/>
            <rFont val="Tahoma"/>
            <family val="2"/>
          </rPr>
          <t xml:space="preserve">
Change in reporting structure</t>
        </r>
      </text>
    </comment>
    <comment ref="BF10" authorId="0" shapeId="0" xr:uid="{44706C63-0EEA-454C-8EDC-420FEB73DBF3}">
      <text>
        <r>
          <rPr>
            <b/>
            <sz val="9"/>
            <color indexed="81"/>
            <rFont val="Tahoma"/>
            <family val="2"/>
          </rPr>
          <t>CRISIL:</t>
        </r>
        <r>
          <rPr>
            <sz val="9"/>
            <color indexed="81"/>
            <rFont val="Tahoma"/>
            <family val="2"/>
          </rPr>
          <t xml:space="preserve">
Change in reporting structure</t>
        </r>
      </text>
    </comment>
    <comment ref="BG10" authorId="0" shapeId="0" xr:uid="{05ADA908-C398-418C-A2DD-932DC3401F31}">
      <text>
        <r>
          <rPr>
            <b/>
            <sz val="9"/>
            <color indexed="81"/>
            <rFont val="Tahoma"/>
            <family val="2"/>
          </rPr>
          <t>CRISIL:</t>
        </r>
        <r>
          <rPr>
            <sz val="9"/>
            <color indexed="81"/>
            <rFont val="Tahoma"/>
            <family val="2"/>
          </rPr>
          <t xml:space="preserve">
Change in reporting structure</t>
        </r>
      </text>
    </comment>
    <comment ref="L14" authorId="1" shapeId="0" xr:uid="{60F3B316-F5CD-4D8D-B88F-E379C6974489}">
      <text>
        <r>
          <rPr>
            <b/>
            <sz val="9"/>
            <color indexed="81"/>
            <rFont val="Tahoma"/>
            <family val="2"/>
          </rPr>
          <t>CRISIL GR&amp;RS:</t>
        </r>
        <r>
          <rPr>
            <sz val="9"/>
            <color indexed="81"/>
            <rFont val="Tahoma"/>
            <family val="2"/>
          </rPr>
          <t xml:space="preserve">
Disposal of Nepal operations was
completed on 1 December 2023 </t>
        </r>
      </text>
    </comment>
    <comment ref="M14" authorId="1" shapeId="0" xr:uid="{B3956DA7-F56D-4953-8C2A-E83F8C25B10D}">
      <text>
        <r>
          <rPr>
            <b/>
            <sz val="9"/>
            <color indexed="81"/>
            <rFont val="Tahoma"/>
            <family val="2"/>
          </rPr>
          <t>CRISIL GR&amp;RS:</t>
        </r>
        <r>
          <rPr>
            <sz val="9"/>
            <color indexed="81"/>
            <rFont val="Tahoma"/>
            <family val="2"/>
          </rPr>
          <t xml:space="preserve">
Disposal of Nepal operations was
completed on 1 December 2023 </t>
        </r>
      </text>
    </comment>
    <comment ref="N14" authorId="1" shapeId="0" xr:uid="{8C3C2FE1-E268-4AF6-9809-8EFA39A456F4}">
      <text>
        <r>
          <rPr>
            <b/>
            <sz val="9"/>
            <color indexed="81"/>
            <rFont val="Tahoma"/>
            <family val="2"/>
          </rPr>
          <t>CRISIL GR&amp;RS:</t>
        </r>
        <r>
          <rPr>
            <sz val="9"/>
            <color indexed="81"/>
            <rFont val="Tahoma"/>
            <family val="2"/>
          </rPr>
          <t xml:space="preserve">
Disposal of Nepal operations was
completed on 1 December 2023 </t>
        </r>
      </text>
    </comment>
    <comment ref="O14" authorId="1" shapeId="0" xr:uid="{DC218987-286D-4678-B2FC-F1069DC6DB5D}">
      <text>
        <r>
          <rPr>
            <b/>
            <sz val="9"/>
            <color indexed="81"/>
            <rFont val="Tahoma"/>
            <family val="2"/>
          </rPr>
          <t>CRISIL GR&amp;RS:</t>
        </r>
        <r>
          <rPr>
            <sz val="9"/>
            <color indexed="81"/>
            <rFont val="Tahoma"/>
            <family val="2"/>
          </rPr>
          <t xml:space="preserve">
Disposal of Nepal operations was
completed on 1 December 2023 </t>
        </r>
      </text>
    </comment>
    <comment ref="AI14" authorId="0" shapeId="0" xr:uid="{16842EF4-2250-47C2-ADE6-FBD359BA82B0}">
      <text>
        <r>
          <rPr>
            <b/>
            <sz val="9"/>
            <color indexed="81"/>
            <rFont val="Tahoma"/>
            <family val="2"/>
          </rPr>
          <t>CRISIL:</t>
        </r>
        <r>
          <rPr>
            <sz val="9"/>
            <color indexed="81"/>
            <rFont val="Tahoma"/>
            <family val="2"/>
          </rPr>
          <t xml:space="preserve">
Discontinued operation</t>
        </r>
      </text>
    </comment>
    <comment ref="AM14" authorId="0" shapeId="0" xr:uid="{8FB96BED-BCE6-4956-8E78-86414917215A}">
      <text>
        <r>
          <rPr>
            <b/>
            <sz val="9"/>
            <color indexed="81"/>
            <rFont val="Tahoma"/>
            <family val="2"/>
          </rPr>
          <t>CRISIL:</t>
        </r>
        <r>
          <rPr>
            <sz val="9"/>
            <color indexed="81"/>
            <rFont val="Tahoma"/>
            <family val="2"/>
          </rPr>
          <t xml:space="preserve">
Discontinued operation</t>
        </r>
      </text>
    </comment>
    <comment ref="AO14" authorId="0" shapeId="0" xr:uid="{7F587893-67FF-429F-88AD-87FA83659B21}">
      <text>
        <r>
          <rPr>
            <b/>
            <sz val="9"/>
            <color indexed="81"/>
            <rFont val="Tahoma"/>
            <family val="2"/>
          </rPr>
          <t>CRISIL:</t>
        </r>
        <r>
          <rPr>
            <sz val="9"/>
            <color indexed="81"/>
            <rFont val="Tahoma"/>
            <family val="2"/>
          </rPr>
          <t xml:space="preserve">
Discontinued operation</t>
        </r>
      </text>
    </comment>
    <comment ref="AP14" authorId="0" shapeId="0" xr:uid="{3435E39A-B877-4C00-A982-C0955A6ED5E4}">
      <text>
        <r>
          <rPr>
            <b/>
            <sz val="9"/>
            <color indexed="81"/>
            <rFont val="Tahoma"/>
            <family val="2"/>
          </rPr>
          <t>CRISIL:</t>
        </r>
        <r>
          <rPr>
            <sz val="9"/>
            <color indexed="81"/>
            <rFont val="Tahoma"/>
            <family val="2"/>
          </rPr>
          <t xml:space="preserve">
Discontinued operation</t>
        </r>
      </text>
    </comment>
    <comment ref="AQ14" authorId="0" shapeId="0" xr:uid="{225FCACE-CF0F-4C1D-AE8B-A4B56FFC9858}">
      <text>
        <r>
          <rPr>
            <b/>
            <sz val="9"/>
            <color indexed="81"/>
            <rFont val="Tahoma"/>
            <family val="2"/>
          </rPr>
          <t>CRISIL:</t>
        </r>
        <r>
          <rPr>
            <sz val="9"/>
            <color indexed="81"/>
            <rFont val="Tahoma"/>
            <family val="2"/>
          </rPr>
          <t xml:space="preserve">
Discontinued operation</t>
        </r>
      </text>
    </comment>
    <comment ref="AT14" authorId="0" shapeId="0" xr:uid="{20C1B679-1174-4002-AF15-D5BAB6924AD2}">
      <text>
        <r>
          <rPr>
            <b/>
            <sz val="9"/>
            <color indexed="81"/>
            <rFont val="Tahoma"/>
            <family val="2"/>
          </rPr>
          <t>CRISIL:</t>
        </r>
        <r>
          <rPr>
            <sz val="9"/>
            <color indexed="81"/>
            <rFont val="Tahoma"/>
            <family val="2"/>
          </rPr>
          <t xml:space="preserve">
Discontinued operation</t>
        </r>
      </text>
    </comment>
    <comment ref="AU14" authorId="0" shapeId="0" xr:uid="{4FEB261E-2229-4CC1-BE69-B7261E4430FE}">
      <text>
        <r>
          <rPr>
            <b/>
            <sz val="9"/>
            <color indexed="81"/>
            <rFont val="Tahoma"/>
            <family val="2"/>
          </rPr>
          <t>CRISIL:</t>
        </r>
        <r>
          <rPr>
            <sz val="9"/>
            <color indexed="81"/>
            <rFont val="Tahoma"/>
            <family val="2"/>
          </rPr>
          <t xml:space="preserve">
Discontinued operation</t>
        </r>
      </text>
    </comment>
    <comment ref="AG23" authorId="2" shapeId="0" xr:uid="{00000000-0006-0000-0200-000002000000}">
      <text>
        <r>
          <rPr>
            <b/>
            <sz val="9"/>
            <color indexed="81"/>
            <rFont val="Tahoma"/>
            <family val="2"/>
          </rPr>
          <t>GR&amp;RS:</t>
        </r>
        <r>
          <rPr>
            <sz val="9"/>
            <color indexed="81"/>
            <rFont val="Tahoma"/>
            <family val="2"/>
          </rPr>
          <t xml:space="preserve">
Malaysia</t>
        </r>
      </text>
    </comment>
    <comment ref="AH23" authorId="2" shapeId="0" xr:uid="{F9E4205F-476D-47A5-9C4F-B5B77A292C8A}">
      <text>
        <r>
          <rPr>
            <b/>
            <sz val="9"/>
            <color indexed="81"/>
            <rFont val="Tahoma"/>
            <family val="2"/>
          </rPr>
          <t>GR&amp;RS:</t>
        </r>
        <r>
          <rPr>
            <sz val="9"/>
            <color indexed="81"/>
            <rFont val="Tahoma"/>
            <family val="2"/>
          </rPr>
          <t xml:space="preserve">
Malaysia</t>
        </r>
      </text>
    </comment>
    <comment ref="AM23" authorId="1" shapeId="0" xr:uid="{44F6051A-0F82-4043-9A14-521C6060C8A2}">
      <text>
        <r>
          <rPr>
            <b/>
            <sz val="9"/>
            <color indexed="81"/>
            <rFont val="Tahoma"/>
            <family val="2"/>
          </rPr>
          <t>CRISIL GR&amp;RS:</t>
        </r>
        <r>
          <rPr>
            <sz val="9"/>
            <color indexed="81"/>
            <rFont val="Tahoma"/>
            <family val="2"/>
          </rPr>
          <t xml:space="preserve">
Nepal</t>
        </r>
      </text>
    </comment>
    <comment ref="AO23" authorId="1" shapeId="0" xr:uid="{FEFC33AE-E8BA-4AA0-9C55-BE38D0E65354}">
      <text>
        <r>
          <rPr>
            <b/>
            <sz val="9"/>
            <color indexed="81"/>
            <rFont val="Tahoma"/>
            <family val="2"/>
          </rPr>
          <t>CRISIL GR&amp;RS:</t>
        </r>
        <r>
          <rPr>
            <sz val="9"/>
            <color indexed="81"/>
            <rFont val="Tahoma"/>
            <family val="2"/>
          </rPr>
          <t xml:space="preserve">
Discontinued Infrastructure - Myanmar</t>
        </r>
      </text>
    </comment>
    <comment ref="AM26" authorId="1" shapeId="0" xr:uid="{6F381BF3-BAAE-4914-BC4D-B9D2E20948CF}">
      <text>
        <r>
          <rPr>
            <b/>
            <sz val="9"/>
            <color indexed="81"/>
            <rFont val="Tahoma"/>
            <family val="2"/>
          </rPr>
          <t>CRISIL GR&amp;RS:</t>
        </r>
        <r>
          <rPr>
            <sz val="9"/>
            <color indexed="81"/>
            <rFont val="Tahoma"/>
            <family val="2"/>
          </rPr>
          <t xml:space="preserve">
Rounding off difference</t>
        </r>
      </text>
    </comment>
    <comment ref="AN26" authorId="1" shapeId="0" xr:uid="{1608E4C0-92ED-4621-A0B7-B25AB15E4FE3}">
      <text>
        <r>
          <rPr>
            <b/>
            <sz val="9"/>
            <color indexed="81"/>
            <rFont val="Tahoma"/>
            <family val="2"/>
          </rPr>
          <t>CRISIL GR&amp;RS:</t>
        </r>
        <r>
          <rPr>
            <sz val="9"/>
            <color indexed="81"/>
            <rFont val="Tahoma"/>
            <family val="2"/>
          </rPr>
          <t xml:space="preserve">
Rounding off difference</t>
        </r>
      </text>
    </comment>
    <comment ref="I62" authorId="0" shapeId="0" xr:uid="{BCFB1680-3C9A-402B-9777-853CDC497002}">
      <text>
        <r>
          <rPr>
            <b/>
            <sz val="9"/>
            <color indexed="81"/>
            <rFont val="Tahoma"/>
            <family val="2"/>
          </rPr>
          <t>CRISIL:</t>
        </r>
        <r>
          <rPr>
            <sz val="9"/>
            <color indexed="81"/>
            <rFont val="Tahoma"/>
            <family val="2"/>
          </rPr>
          <t xml:space="preserve">
Discontinued operation</t>
        </r>
      </text>
    </comment>
    <comment ref="J62" authorId="0" shapeId="0" xr:uid="{12FF6152-5735-4A74-8670-341052DCE431}">
      <text>
        <r>
          <rPr>
            <b/>
            <sz val="9"/>
            <color indexed="81"/>
            <rFont val="Tahoma"/>
            <family val="2"/>
          </rPr>
          <t>CRISIL:</t>
        </r>
        <r>
          <rPr>
            <sz val="9"/>
            <color indexed="81"/>
            <rFont val="Tahoma"/>
            <family val="2"/>
          </rPr>
          <t xml:space="preserve">
Discontinued operation</t>
        </r>
      </text>
    </comment>
    <comment ref="K62" authorId="0" shapeId="0" xr:uid="{DEE7C71D-57A2-4BC4-A8A5-CA454C0442BB}">
      <text>
        <r>
          <rPr>
            <b/>
            <sz val="9"/>
            <color indexed="81"/>
            <rFont val="Tahoma"/>
            <family val="2"/>
          </rPr>
          <t>CRISIL:</t>
        </r>
        <r>
          <rPr>
            <sz val="9"/>
            <color indexed="81"/>
            <rFont val="Tahoma"/>
            <family val="2"/>
          </rPr>
          <t xml:space="preserve">
Discontinued operation</t>
        </r>
      </text>
    </comment>
    <comment ref="L62" authorId="0" shapeId="0" xr:uid="{0819F5C2-389D-4CEE-BD4A-2D0DC10A80B5}">
      <text>
        <r>
          <rPr>
            <b/>
            <sz val="9"/>
            <color indexed="81"/>
            <rFont val="Tahoma"/>
            <family val="2"/>
          </rPr>
          <t>CRISIL:</t>
        </r>
        <r>
          <rPr>
            <sz val="9"/>
            <color indexed="81"/>
            <rFont val="Tahoma"/>
            <family val="2"/>
          </rPr>
          <t xml:space="preserve">
Discontinued operation</t>
        </r>
      </text>
    </comment>
    <comment ref="M62" authorId="0" shapeId="0" xr:uid="{BF2D0F73-F69A-436D-8B9B-4070AF468737}">
      <text>
        <r>
          <rPr>
            <b/>
            <sz val="9"/>
            <color indexed="81"/>
            <rFont val="Tahoma"/>
            <family val="2"/>
          </rPr>
          <t>CRISIL:</t>
        </r>
        <r>
          <rPr>
            <sz val="9"/>
            <color indexed="81"/>
            <rFont val="Tahoma"/>
            <family val="2"/>
          </rPr>
          <t xml:space="preserve">
Discontinued operation</t>
        </r>
      </text>
    </comment>
    <comment ref="N62" authorId="0" shapeId="0" xr:uid="{D090A28B-AAFF-44F5-BCCD-EAA7CA73A166}">
      <text>
        <r>
          <rPr>
            <b/>
            <sz val="9"/>
            <color indexed="81"/>
            <rFont val="Tahoma"/>
            <family val="2"/>
          </rPr>
          <t>CRISIL:</t>
        </r>
        <r>
          <rPr>
            <sz val="9"/>
            <color indexed="81"/>
            <rFont val="Tahoma"/>
            <family val="2"/>
          </rPr>
          <t xml:space="preserve">
Discontinued operation</t>
        </r>
      </text>
    </comment>
    <comment ref="O62" authorId="0" shapeId="0" xr:uid="{31F7907B-D321-4FD8-B750-24B15BF87BC1}">
      <text>
        <r>
          <rPr>
            <b/>
            <sz val="9"/>
            <color indexed="81"/>
            <rFont val="Tahoma"/>
            <family val="2"/>
          </rPr>
          <t>CRISIL:</t>
        </r>
        <r>
          <rPr>
            <sz val="9"/>
            <color indexed="81"/>
            <rFont val="Tahoma"/>
            <family val="2"/>
          </rPr>
          <t xml:space="preserve">
Discontinued operation</t>
        </r>
      </text>
    </comment>
    <comment ref="AG62" authorId="0" shapeId="0" xr:uid="{E50C2A18-0BFE-4931-91E3-D274937F8A10}">
      <text>
        <r>
          <rPr>
            <b/>
            <sz val="9"/>
            <color indexed="81"/>
            <rFont val="Tahoma"/>
            <family val="2"/>
          </rPr>
          <t>CRISIL:</t>
        </r>
        <r>
          <rPr>
            <sz val="9"/>
            <color indexed="81"/>
            <rFont val="Tahoma"/>
            <family val="2"/>
          </rPr>
          <t xml:space="preserve">
Discontinued operation</t>
        </r>
      </text>
    </comment>
    <comment ref="AH62" authorId="0" shapeId="0" xr:uid="{EF8A5EAA-B056-4C20-988C-9D6E8DBD787C}">
      <text>
        <r>
          <rPr>
            <b/>
            <sz val="9"/>
            <color indexed="81"/>
            <rFont val="Tahoma"/>
            <family val="2"/>
          </rPr>
          <t>CRISIL:</t>
        </r>
        <r>
          <rPr>
            <sz val="9"/>
            <color indexed="81"/>
            <rFont val="Tahoma"/>
            <family val="2"/>
          </rPr>
          <t xml:space="preserve">
Discontinued operation</t>
        </r>
      </text>
    </comment>
    <comment ref="AI62" authorId="0" shapeId="0" xr:uid="{DDA3385F-451C-4E8C-8CB0-1171A81D70E7}">
      <text>
        <r>
          <rPr>
            <b/>
            <sz val="9"/>
            <color indexed="81"/>
            <rFont val="Tahoma"/>
            <family val="2"/>
          </rPr>
          <t>CRISIL:</t>
        </r>
        <r>
          <rPr>
            <sz val="9"/>
            <color indexed="81"/>
            <rFont val="Tahoma"/>
            <family val="2"/>
          </rPr>
          <t xml:space="preserve">
Discontinued operation</t>
        </r>
      </text>
    </comment>
    <comment ref="AJ62" authorId="0" shapeId="0" xr:uid="{98B72E68-A5D2-40BB-990D-B58E066B1EDD}">
      <text>
        <r>
          <rPr>
            <b/>
            <sz val="9"/>
            <color indexed="81"/>
            <rFont val="Tahoma"/>
            <family val="2"/>
          </rPr>
          <t>CRISIL:</t>
        </r>
        <r>
          <rPr>
            <sz val="9"/>
            <color indexed="81"/>
            <rFont val="Tahoma"/>
            <family val="2"/>
          </rPr>
          <t xml:space="preserve">
Discontinued operation</t>
        </r>
      </text>
    </comment>
    <comment ref="AK62" authorId="0" shapeId="0" xr:uid="{08C0EDC3-41D4-44F2-93BA-55B0F6DB0DED}">
      <text>
        <r>
          <rPr>
            <b/>
            <sz val="9"/>
            <color indexed="81"/>
            <rFont val="Tahoma"/>
            <family val="2"/>
          </rPr>
          <t>CRISIL:</t>
        </r>
        <r>
          <rPr>
            <sz val="9"/>
            <color indexed="81"/>
            <rFont val="Tahoma"/>
            <family val="2"/>
          </rPr>
          <t xml:space="preserve">
Discontinued operation</t>
        </r>
      </text>
    </comment>
    <comment ref="AL62" authorId="0" shapeId="0" xr:uid="{3FB01A62-0026-43FC-A6C4-C4EAC313BE7D}">
      <text>
        <r>
          <rPr>
            <b/>
            <sz val="9"/>
            <color indexed="81"/>
            <rFont val="Tahoma"/>
            <family val="2"/>
          </rPr>
          <t>CRISIL:</t>
        </r>
        <r>
          <rPr>
            <sz val="9"/>
            <color indexed="81"/>
            <rFont val="Tahoma"/>
            <family val="2"/>
          </rPr>
          <t xml:space="preserve">
Discontinued operation</t>
        </r>
      </text>
    </comment>
    <comment ref="AM62" authorId="0" shapeId="0" xr:uid="{2A3FDC20-1CB7-44ED-9F40-2CBFA4214011}">
      <text>
        <r>
          <rPr>
            <b/>
            <sz val="9"/>
            <color indexed="81"/>
            <rFont val="Tahoma"/>
            <family val="2"/>
          </rPr>
          <t>CRISIL:</t>
        </r>
        <r>
          <rPr>
            <sz val="9"/>
            <color indexed="81"/>
            <rFont val="Tahoma"/>
            <family val="2"/>
          </rPr>
          <t xml:space="preserve">
Discontinued operation</t>
        </r>
      </text>
    </comment>
    <comment ref="AN62" authorId="0" shapeId="0" xr:uid="{9956629B-EB33-4E18-834D-8AE77520B479}">
      <text>
        <r>
          <rPr>
            <b/>
            <sz val="9"/>
            <color indexed="81"/>
            <rFont val="Tahoma"/>
            <family val="2"/>
          </rPr>
          <t>CRISIL:</t>
        </r>
        <r>
          <rPr>
            <sz val="9"/>
            <color indexed="81"/>
            <rFont val="Tahoma"/>
            <family val="2"/>
          </rPr>
          <t xml:space="preserve">
Discontinued operation</t>
        </r>
      </text>
    </comment>
    <comment ref="AO62" authorId="0" shapeId="0" xr:uid="{3426AE47-6194-4707-9728-A0C733C6A5E1}">
      <text>
        <r>
          <rPr>
            <b/>
            <sz val="9"/>
            <color indexed="81"/>
            <rFont val="Tahoma"/>
            <family val="2"/>
          </rPr>
          <t>CRISIL:</t>
        </r>
        <r>
          <rPr>
            <sz val="9"/>
            <color indexed="81"/>
            <rFont val="Tahoma"/>
            <family val="2"/>
          </rPr>
          <t xml:space="preserve">
Discontinued operation</t>
        </r>
      </text>
    </comment>
    <comment ref="AP62" authorId="0" shapeId="0" xr:uid="{F4BC6822-D298-44A5-8C21-C77DB716CB8F}">
      <text>
        <r>
          <rPr>
            <b/>
            <sz val="9"/>
            <color indexed="81"/>
            <rFont val="Tahoma"/>
            <family val="2"/>
          </rPr>
          <t>CRISIL:</t>
        </r>
        <r>
          <rPr>
            <sz val="9"/>
            <color indexed="81"/>
            <rFont val="Tahoma"/>
            <family val="2"/>
          </rPr>
          <t xml:space="preserve">
Discontinued operation</t>
        </r>
      </text>
    </comment>
    <comment ref="AQ62" authorId="0" shapeId="0" xr:uid="{A1F744A2-34D3-41DE-9E29-F6B090C2348D}">
      <text>
        <r>
          <rPr>
            <b/>
            <sz val="9"/>
            <color indexed="81"/>
            <rFont val="Tahoma"/>
            <family val="2"/>
          </rPr>
          <t>CRISIL:</t>
        </r>
        <r>
          <rPr>
            <sz val="9"/>
            <color indexed="81"/>
            <rFont val="Tahoma"/>
            <family val="2"/>
          </rPr>
          <t xml:space="preserve">
Discontinued operation</t>
        </r>
      </text>
    </comment>
    <comment ref="AR62" authorId="0" shapeId="0" xr:uid="{D66460CD-6D14-4B1B-80E3-BFE1598B1866}">
      <text>
        <r>
          <rPr>
            <b/>
            <sz val="9"/>
            <color indexed="81"/>
            <rFont val="Tahoma"/>
            <family val="2"/>
          </rPr>
          <t>CRISIL:</t>
        </r>
        <r>
          <rPr>
            <sz val="9"/>
            <color indexed="81"/>
            <rFont val="Tahoma"/>
            <family val="2"/>
          </rPr>
          <t xml:space="preserve">
Discontinued operation</t>
        </r>
      </text>
    </comment>
    <comment ref="AS62" authorId="0" shapeId="0" xr:uid="{316285B7-4E2D-4A8E-A7DE-F0A2517729D2}">
      <text>
        <r>
          <rPr>
            <b/>
            <sz val="9"/>
            <color indexed="81"/>
            <rFont val="Tahoma"/>
            <family val="2"/>
          </rPr>
          <t>CRISIL:</t>
        </r>
        <r>
          <rPr>
            <sz val="9"/>
            <color indexed="81"/>
            <rFont val="Tahoma"/>
            <family val="2"/>
          </rPr>
          <t xml:space="preserve">
Discontinued operation</t>
        </r>
      </text>
    </comment>
    <comment ref="AT62" authorId="0" shapeId="0" xr:uid="{FCF5745F-18EF-41BD-A332-9D0BC2B10206}">
      <text>
        <r>
          <rPr>
            <b/>
            <sz val="9"/>
            <color indexed="81"/>
            <rFont val="Tahoma"/>
            <family val="2"/>
          </rPr>
          <t>CRISIL:</t>
        </r>
        <r>
          <rPr>
            <sz val="9"/>
            <color indexed="81"/>
            <rFont val="Tahoma"/>
            <family val="2"/>
          </rPr>
          <t xml:space="preserve">
Discontinued operation</t>
        </r>
      </text>
    </comment>
    <comment ref="AU62" authorId="0" shapeId="0" xr:uid="{E54F298B-0CD5-4E94-A45E-908C24D5142C}">
      <text>
        <r>
          <rPr>
            <b/>
            <sz val="9"/>
            <color indexed="81"/>
            <rFont val="Tahoma"/>
            <family val="2"/>
          </rPr>
          <t>CRISIL:</t>
        </r>
        <r>
          <rPr>
            <sz val="9"/>
            <color indexed="81"/>
            <rFont val="Tahoma"/>
            <family val="2"/>
          </rPr>
          <t xml:space="preserve">
Discontinued operation</t>
        </r>
      </text>
    </comment>
    <comment ref="AV62" authorId="0" shapeId="0" xr:uid="{4F17005B-772A-4EFF-A929-6E73FE9BC7DD}">
      <text>
        <r>
          <rPr>
            <b/>
            <sz val="9"/>
            <color indexed="81"/>
            <rFont val="Tahoma"/>
            <family val="2"/>
          </rPr>
          <t>CRISIL:</t>
        </r>
        <r>
          <rPr>
            <sz val="9"/>
            <color indexed="81"/>
            <rFont val="Tahoma"/>
            <family val="2"/>
          </rPr>
          <t xml:space="preserve">
Discontinued operation</t>
        </r>
      </text>
    </comment>
    <comment ref="AW62" authorId="0" shapeId="0" xr:uid="{B08DF62C-E89A-4521-91FB-7F2BA390C68D}">
      <text>
        <r>
          <rPr>
            <b/>
            <sz val="9"/>
            <color indexed="81"/>
            <rFont val="Tahoma"/>
            <family val="2"/>
          </rPr>
          <t>CRISIL:</t>
        </r>
        <r>
          <rPr>
            <sz val="9"/>
            <color indexed="81"/>
            <rFont val="Tahoma"/>
            <family val="2"/>
          </rPr>
          <t xml:space="preserve">
Discontinued operation</t>
        </r>
      </text>
    </comment>
    <comment ref="BC62" authorId="0" shapeId="0" xr:uid="{751065DC-6CF0-4F53-8168-B0261EA03003}">
      <text>
        <r>
          <rPr>
            <b/>
            <sz val="9"/>
            <color indexed="81"/>
            <rFont val="Tahoma"/>
            <family val="2"/>
          </rPr>
          <t>CRISIL:</t>
        </r>
        <r>
          <rPr>
            <sz val="9"/>
            <color indexed="81"/>
            <rFont val="Tahoma"/>
            <family val="2"/>
          </rPr>
          <t xml:space="preserve">
Discontinued operation</t>
        </r>
      </text>
    </comment>
    <comment ref="BD62" authorId="0" shapeId="0" xr:uid="{19797EC6-931C-48AB-B87F-482EC0B97E17}">
      <text>
        <r>
          <rPr>
            <b/>
            <sz val="9"/>
            <color indexed="81"/>
            <rFont val="Tahoma"/>
            <family val="2"/>
          </rPr>
          <t>CRISIL:</t>
        </r>
        <r>
          <rPr>
            <sz val="9"/>
            <color indexed="81"/>
            <rFont val="Tahoma"/>
            <family val="2"/>
          </rPr>
          <t xml:space="preserve">
Discontinued operation</t>
        </r>
      </text>
    </comment>
    <comment ref="BF62" authorId="0" shapeId="0" xr:uid="{DB926ADA-C4B1-4834-831D-0F24AD912946}">
      <text>
        <r>
          <rPr>
            <b/>
            <sz val="9"/>
            <color indexed="81"/>
            <rFont val="Tahoma"/>
            <family val="2"/>
          </rPr>
          <t>CRISIL:</t>
        </r>
        <r>
          <rPr>
            <sz val="9"/>
            <color indexed="81"/>
            <rFont val="Tahoma"/>
            <family val="2"/>
          </rPr>
          <t xml:space="preserve">
Discontinued operation</t>
        </r>
      </text>
    </comment>
    <comment ref="BG62" authorId="0" shapeId="0" xr:uid="{C8027A13-CBA5-4C10-8B10-C4C7BB1982E0}">
      <text>
        <r>
          <rPr>
            <b/>
            <sz val="9"/>
            <color indexed="81"/>
            <rFont val="Tahoma"/>
            <family val="2"/>
          </rPr>
          <t>CRISIL:</t>
        </r>
        <r>
          <rPr>
            <sz val="9"/>
            <color indexed="81"/>
            <rFont val="Tahoma"/>
            <family val="2"/>
          </rPr>
          <t xml:space="preserve">
Discontinued operation</t>
        </r>
      </text>
    </comment>
    <comment ref="K66" authorId="0" shapeId="0" xr:uid="{A8B774B9-0E33-48B5-B22E-6ECC933FFD13}">
      <text>
        <r>
          <rPr>
            <b/>
            <sz val="9"/>
            <color indexed="81"/>
            <rFont val="Tahoma"/>
            <family val="2"/>
          </rPr>
          <t>CRISIL:</t>
        </r>
        <r>
          <rPr>
            <sz val="9"/>
            <color indexed="81"/>
            <rFont val="Tahoma"/>
            <family val="2"/>
          </rPr>
          <t xml:space="preserve">
Discontinued operation</t>
        </r>
      </text>
    </comment>
    <comment ref="L66" authorId="0" shapeId="0" xr:uid="{B878A05A-272E-4128-8738-781924E9A939}">
      <text>
        <r>
          <rPr>
            <b/>
            <sz val="9"/>
            <color indexed="81"/>
            <rFont val="Tahoma"/>
            <family val="2"/>
          </rPr>
          <t>CRISIL:</t>
        </r>
        <r>
          <rPr>
            <sz val="9"/>
            <color indexed="81"/>
            <rFont val="Tahoma"/>
            <family val="2"/>
          </rPr>
          <t xml:space="preserve">
Discontinued operation</t>
        </r>
      </text>
    </comment>
    <comment ref="M66" authorId="0" shapeId="0" xr:uid="{393318E5-C1B5-4F84-B7CA-EBAFE1498574}">
      <text>
        <r>
          <rPr>
            <b/>
            <sz val="9"/>
            <color indexed="81"/>
            <rFont val="Tahoma"/>
            <family val="2"/>
          </rPr>
          <t>CRISIL:</t>
        </r>
        <r>
          <rPr>
            <sz val="9"/>
            <color indexed="81"/>
            <rFont val="Tahoma"/>
            <family val="2"/>
          </rPr>
          <t xml:space="preserve">
Discontinued operation</t>
        </r>
      </text>
    </comment>
    <comment ref="N66" authorId="0" shapeId="0" xr:uid="{E201C41C-12E4-42E1-A186-A7259B29322C}">
      <text>
        <r>
          <rPr>
            <b/>
            <sz val="9"/>
            <color indexed="81"/>
            <rFont val="Tahoma"/>
            <family val="2"/>
          </rPr>
          <t>CRISIL:</t>
        </r>
        <r>
          <rPr>
            <sz val="9"/>
            <color indexed="81"/>
            <rFont val="Tahoma"/>
            <family val="2"/>
          </rPr>
          <t xml:space="preserve">
Discontinued operation</t>
        </r>
      </text>
    </comment>
    <comment ref="O66" authorId="0" shapeId="0" xr:uid="{DAC052F3-CDF1-4204-A32E-9ACA27018F6F}">
      <text>
        <r>
          <rPr>
            <b/>
            <sz val="9"/>
            <color indexed="81"/>
            <rFont val="Tahoma"/>
            <family val="2"/>
          </rPr>
          <t>CRISIL:</t>
        </r>
        <r>
          <rPr>
            <sz val="9"/>
            <color indexed="81"/>
            <rFont val="Tahoma"/>
            <family val="2"/>
          </rPr>
          <t xml:space="preserve">
Discontinued operation</t>
        </r>
      </text>
    </comment>
    <comment ref="AI66" authorId="0" shapeId="0" xr:uid="{5CCB66DC-C387-4587-AC1F-D0487BDE5FFE}">
      <text>
        <r>
          <rPr>
            <b/>
            <sz val="9"/>
            <color indexed="81"/>
            <rFont val="Tahoma"/>
            <family val="2"/>
          </rPr>
          <t>CRISIL:</t>
        </r>
        <r>
          <rPr>
            <sz val="9"/>
            <color indexed="81"/>
            <rFont val="Tahoma"/>
            <family val="2"/>
          </rPr>
          <t xml:space="preserve">
Discontinued operation</t>
        </r>
      </text>
    </comment>
    <comment ref="AM66" authorId="0" shapeId="0" xr:uid="{2C63D1C8-5618-4073-BF78-F3261D43F6EC}">
      <text>
        <r>
          <rPr>
            <b/>
            <sz val="9"/>
            <color indexed="81"/>
            <rFont val="Tahoma"/>
            <family val="2"/>
          </rPr>
          <t>CRISIL:</t>
        </r>
        <r>
          <rPr>
            <sz val="9"/>
            <color indexed="81"/>
            <rFont val="Tahoma"/>
            <family val="2"/>
          </rPr>
          <t xml:space="preserve">
Discontinued operation</t>
        </r>
      </text>
    </comment>
    <comment ref="AQ66" authorId="0" shapeId="0" xr:uid="{B64265C3-00FA-4121-87C0-287C88B8285B}">
      <text>
        <r>
          <rPr>
            <b/>
            <sz val="9"/>
            <color indexed="81"/>
            <rFont val="Tahoma"/>
            <family val="2"/>
          </rPr>
          <t>CRISIL:</t>
        </r>
        <r>
          <rPr>
            <sz val="9"/>
            <color indexed="81"/>
            <rFont val="Tahoma"/>
            <family val="2"/>
          </rPr>
          <t xml:space="preserve">
Discontinued operation</t>
        </r>
      </text>
    </comment>
    <comment ref="AG75" authorId="2" shapeId="0" xr:uid="{54399563-2493-4DFA-BBEF-5FF8AFA127AE}">
      <text>
        <r>
          <rPr>
            <b/>
            <sz val="9"/>
            <color indexed="81"/>
            <rFont val="Tahoma"/>
            <family val="2"/>
          </rPr>
          <t>GR&amp;RS:</t>
        </r>
        <r>
          <rPr>
            <sz val="9"/>
            <color indexed="81"/>
            <rFont val="Tahoma"/>
            <family val="2"/>
          </rPr>
          <t xml:space="preserve">
Malaysia</t>
        </r>
      </text>
    </comment>
    <comment ref="AH75" authorId="2" shapeId="0" xr:uid="{C93FCB25-2BFD-46A0-A3C9-4862E2E7D3B4}">
      <text>
        <r>
          <rPr>
            <b/>
            <sz val="9"/>
            <color indexed="81"/>
            <rFont val="Tahoma"/>
            <family val="2"/>
          </rPr>
          <t>GR&amp;RS:</t>
        </r>
        <r>
          <rPr>
            <sz val="9"/>
            <color indexed="81"/>
            <rFont val="Tahoma"/>
            <family val="2"/>
          </rPr>
          <t xml:space="preserve">
Malaysia</t>
        </r>
      </text>
    </comment>
    <comment ref="AI75" authorId="2" shapeId="0" xr:uid="{F68211F2-85E9-40AC-8E05-41806D1FF05A}">
      <text>
        <r>
          <rPr>
            <b/>
            <sz val="9"/>
            <color indexed="81"/>
            <rFont val="Tahoma"/>
            <family val="2"/>
          </rPr>
          <t>GR&amp;RS:</t>
        </r>
        <r>
          <rPr>
            <sz val="9"/>
            <color indexed="81"/>
            <rFont val="Tahoma"/>
            <family val="2"/>
          </rPr>
          <t xml:space="preserve">
Malaysia and Nepal</t>
        </r>
      </text>
    </comment>
    <comment ref="AM75" authorId="1" shapeId="0" xr:uid="{E92FCFC0-D54F-4699-B410-021ADAB974DA}">
      <text>
        <r>
          <rPr>
            <b/>
            <sz val="9"/>
            <color indexed="81"/>
            <rFont val="Tahoma"/>
            <family val="2"/>
          </rPr>
          <t>CRISIL GR&amp;RS:</t>
        </r>
        <r>
          <rPr>
            <sz val="9"/>
            <color indexed="81"/>
            <rFont val="Tahoma"/>
            <family val="2"/>
          </rPr>
          <t xml:space="preserve">
Nepal</t>
        </r>
      </text>
    </comment>
    <comment ref="AO75" authorId="1" shapeId="0" xr:uid="{2DFBFA10-2EC0-43D5-82AA-B23DEBDC00C8}">
      <text>
        <r>
          <rPr>
            <b/>
            <sz val="9"/>
            <color indexed="81"/>
            <rFont val="Tahoma"/>
            <family val="2"/>
          </rPr>
          <t>CRISIL GR&amp;RS:</t>
        </r>
        <r>
          <rPr>
            <sz val="9"/>
            <color indexed="81"/>
            <rFont val="Tahoma"/>
            <family val="2"/>
          </rPr>
          <t xml:space="preserve">
Discontinued Infrastructure - Myanmar</t>
        </r>
      </text>
    </comment>
    <comment ref="AM78" authorId="0" shapeId="0" xr:uid="{40B1D316-9680-4C0B-88B5-33F732556638}">
      <text>
        <r>
          <rPr>
            <b/>
            <sz val="9"/>
            <color indexed="81"/>
            <rFont val="Tahoma"/>
            <family val="2"/>
          </rPr>
          <t>CRISIL:</t>
        </r>
        <r>
          <rPr>
            <sz val="9"/>
            <color indexed="81"/>
            <rFont val="Tahoma"/>
            <family val="2"/>
          </rPr>
          <t xml:space="preserve">
Due to restatement</t>
        </r>
      </text>
    </comment>
    <comment ref="AN78" authorId="0" shapeId="0" xr:uid="{F9F33455-5ED6-4349-9402-19C8F02617FE}">
      <text>
        <r>
          <rPr>
            <b/>
            <sz val="9"/>
            <color indexed="81"/>
            <rFont val="Tahoma"/>
            <family val="2"/>
          </rPr>
          <t>CRISIL:</t>
        </r>
        <r>
          <rPr>
            <sz val="9"/>
            <color indexed="81"/>
            <rFont val="Tahoma"/>
            <family val="2"/>
          </rPr>
          <t xml:space="preserve">
Due to restatement</t>
        </r>
      </text>
    </comment>
    <comment ref="AS138" authorId="0" shapeId="0" xr:uid="{C7ACD700-9316-498B-986B-584734DEDC61}">
      <text>
        <r>
          <rPr>
            <b/>
            <sz val="9"/>
            <color indexed="81"/>
            <rFont val="Tahoma"/>
            <family val="2"/>
          </rPr>
          <t>CRISIL:</t>
        </r>
        <r>
          <rPr>
            <sz val="9"/>
            <color indexed="81"/>
            <rFont val="Tahoma"/>
            <family val="2"/>
          </rPr>
          <t xml:space="preserve">
from FS</t>
        </r>
      </text>
    </comment>
    <comment ref="AT138" authorId="0" shapeId="0" xr:uid="{DBDABB47-91D8-4F89-B453-8EE2AAA96C4F}">
      <text>
        <r>
          <rPr>
            <b/>
            <sz val="9"/>
            <color indexed="81"/>
            <rFont val="Tahoma"/>
            <family val="2"/>
          </rPr>
          <t>CRISIL:</t>
        </r>
        <r>
          <rPr>
            <sz val="9"/>
            <color indexed="81"/>
            <rFont val="Tahoma"/>
            <family val="2"/>
          </rPr>
          <t xml:space="preserve">
Cannot be calcualted as 9M is restated comparatively</t>
        </r>
      </text>
    </comment>
    <comment ref="AU138" authorId="0" shapeId="0" xr:uid="{EAA4E4A7-0DFC-4C33-A088-1CDEC4275CDD}">
      <text>
        <r>
          <rPr>
            <b/>
            <sz val="9"/>
            <color indexed="81"/>
            <rFont val="Tahoma"/>
            <family val="2"/>
          </rPr>
          <t>CRISIL:</t>
        </r>
        <r>
          <rPr>
            <sz val="9"/>
            <color indexed="81"/>
            <rFont val="Tahoma"/>
            <family val="2"/>
          </rPr>
          <t xml:space="preserve">
Cannot be calcualted as 9M is restated comparatively</t>
        </r>
      </text>
    </comment>
    <comment ref="AV138" authorId="0" shapeId="0" xr:uid="{38833B0E-4555-438E-8F77-DADBB3F5CE3A}">
      <text>
        <r>
          <rPr>
            <b/>
            <sz val="9"/>
            <color indexed="81"/>
            <rFont val="Tahoma"/>
            <family val="2"/>
          </rPr>
          <t>CRISIL:</t>
        </r>
        <r>
          <rPr>
            <sz val="9"/>
            <color indexed="81"/>
            <rFont val="Tahoma"/>
            <family val="2"/>
          </rPr>
          <t xml:space="preserve">
Cannot be calcualted as 9M is restated comparatively</t>
        </r>
      </text>
    </comment>
    <comment ref="AW138" authorId="0" shapeId="0" xr:uid="{93C8D437-8FDA-4D71-AFB7-37C204CC4054}">
      <text>
        <r>
          <rPr>
            <b/>
            <sz val="9"/>
            <color indexed="81"/>
            <rFont val="Tahoma"/>
            <family val="2"/>
          </rPr>
          <t>CRISIL:</t>
        </r>
        <r>
          <rPr>
            <sz val="9"/>
            <color indexed="81"/>
            <rFont val="Tahoma"/>
            <family val="2"/>
          </rPr>
          <t xml:space="preserve">
from FS</t>
        </r>
      </text>
    </comment>
    <comment ref="BC138" authorId="0" shapeId="0" xr:uid="{82432845-6C74-4882-A7AE-CD17372AC97B}">
      <text>
        <r>
          <rPr>
            <b/>
            <sz val="9"/>
            <color indexed="81"/>
            <rFont val="Tahoma"/>
            <family val="2"/>
          </rPr>
          <t>CRISIL:</t>
        </r>
        <r>
          <rPr>
            <sz val="9"/>
            <color indexed="81"/>
            <rFont val="Tahoma"/>
            <family val="2"/>
          </rPr>
          <t xml:space="preserve">
from FS</t>
        </r>
      </text>
    </comment>
    <comment ref="BD138" authorId="0" shapeId="0" xr:uid="{A3624F42-93B3-43CB-89EA-24BF9FB70075}">
      <text>
        <r>
          <rPr>
            <b/>
            <sz val="9"/>
            <color indexed="81"/>
            <rFont val="Tahoma"/>
            <family val="2"/>
          </rPr>
          <t>CRISIL:</t>
        </r>
        <r>
          <rPr>
            <sz val="9"/>
            <color indexed="81"/>
            <rFont val="Tahoma"/>
            <family val="2"/>
          </rPr>
          <t xml:space="preserve">
from FS</t>
        </r>
      </text>
    </comment>
    <comment ref="BF138" authorId="0" shapeId="0" xr:uid="{0F248445-6554-4689-ADC5-10AA50C1C353}">
      <text>
        <r>
          <rPr>
            <b/>
            <sz val="9"/>
            <color indexed="81"/>
            <rFont val="Tahoma"/>
            <family val="2"/>
          </rPr>
          <t>CRISIL:</t>
        </r>
        <r>
          <rPr>
            <sz val="9"/>
            <color indexed="81"/>
            <rFont val="Tahoma"/>
            <family val="2"/>
          </rPr>
          <t xml:space="preserve">
from FS</t>
        </r>
      </text>
    </comment>
    <comment ref="BG138" authorId="0" shapeId="0" xr:uid="{506977AE-D907-4485-89E3-3B9C59850CDF}">
      <text>
        <r>
          <rPr>
            <b/>
            <sz val="9"/>
            <color indexed="81"/>
            <rFont val="Tahoma"/>
            <family val="2"/>
          </rPr>
          <t>CRISIL:</t>
        </r>
        <r>
          <rPr>
            <sz val="9"/>
            <color indexed="81"/>
            <rFont val="Tahoma"/>
            <family val="2"/>
          </rPr>
          <t xml:space="preserve">
from FS</t>
        </r>
      </text>
    </comment>
    <comment ref="AT155" authorId="0" shapeId="0" xr:uid="{F0F5EDDA-08B4-4884-92C8-ECE90A839A72}">
      <text>
        <r>
          <rPr>
            <b/>
            <sz val="9"/>
            <color indexed="81"/>
            <rFont val="Tahoma"/>
            <family val="2"/>
          </rPr>
          <t>CRISIL:</t>
        </r>
        <r>
          <rPr>
            <sz val="9"/>
            <color indexed="81"/>
            <rFont val="Tahoma"/>
            <family val="2"/>
          </rPr>
          <t xml:space="preserve">
Cannot be calcualted as 9M is restated comparatively</t>
        </r>
      </text>
    </comment>
    <comment ref="AU155" authorId="0" shapeId="0" xr:uid="{F9E790B0-293F-4D83-A413-1009ED0FDEEF}">
      <text>
        <r>
          <rPr>
            <b/>
            <sz val="9"/>
            <color indexed="81"/>
            <rFont val="Tahoma"/>
            <family val="2"/>
          </rPr>
          <t>CRISIL:</t>
        </r>
        <r>
          <rPr>
            <sz val="9"/>
            <color indexed="81"/>
            <rFont val="Tahoma"/>
            <family val="2"/>
          </rPr>
          <t xml:space="preserve">
Cannot be calcualted as 9M is restated comparatively</t>
        </r>
      </text>
    </comment>
    <comment ref="AT172" authorId="0" shapeId="0" xr:uid="{68709F94-F4EE-4DB5-95C4-1608055CE66C}">
      <text>
        <r>
          <rPr>
            <b/>
            <sz val="9"/>
            <color indexed="81"/>
            <rFont val="Tahoma"/>
            <family val="2"/>
          </rPr>
          <t>CRISIL:</t>
        </r>
        <r>
          <rPr>
            <sz val="9"/>
            <color indexed="81"/>
            <rFont val="Tahoma"/>
            <family val="2"/>
          </rPr>
          <t xml:space="preserve">
Cannot be calcualted as 9M is restated comparatively</t>
        </r>
      </text>
    </comment>
    <comment ref="AU172" authorId="0" shapeId="0" xr:uid="{1382C8D1-87FC-4050-9C3D-A821261F7917}">
      <text>
        <r>
          <rPr>
            <b/>
            <sz val="9"/>
            <color indexed="81"/>
            <rFont val="Tahoma"/>
            <family val="2"/>
          </rPr>
          <t>CRISIL:</t>
        </r>
        <r>
          <rPr>
            <sz val="9"/>
            <color indexed="81"/>
            <rFont val="Tahoma"/>
            <family val="2"/>
          </rPr>
          <t xml:space="preserve">
Cannot be calcualted as 9M is restated comparatively</t>
        </r>
      </text>
    </comment>
    <comment ref="AT189" authorId="0" shapeId="0" xr:uid="{6C6DBD44-91A4-44E4-8C33-D2A1F9A477B5}">
      <text>
        <r>
          <rPr>
            <b/>
            <sz val="9"/>
            <color indexed="81"/>
            <rFont val="Tahoma"/>
            <family val="2"/>
          </rPr>
          <t>CRISIL:</t>
        </r>
        <r>
          <rPr>
            <sz val="9"/>
            <color indexed="81"/>
            <rFont val="Tahoma"/>
            <family val="2"/>
          </rPr>
          <t xml:space="preserve">
Cannot be calcualted as 9M is restated comparatively</t>
        </r>
      </text>
    </comment>
    <comment ref="AU189" authorId="0" shapeId="0" xr:uid="{5585C5F2-AE08-47B0-AC27-5297E057932B}">
      <text>
        <r>
          <rPr>
            <b/>
            <sz val="9"/>
            <color indexed="81"/>
            <rFont val="Tahoma"/>
            <family val="2"/>
          </rPr>
          <t>CRISIL:</t>
        </r>
        <r>
          <rPr>
            <sz val="9"/>
            <color indexed="81"/>
            <rFont val="Tahoma"/>
            <family val="2"/>
          </rPr>
          <t xml:space="preserve">
Cannot be calcualted as 9M is restated comparatively</t>
        </r>
      </text>
    </comment>
    <comment ref="AT207" authorId="0" shapeId="0" xr:uid="{C345C9EB-0735-44CD-B534-DCDFBF373B89}">
      <text>
        <r>
          <rPr>
            <b/>
            <sz val="9"/>
            <color indexed="81"/>
            <rFont val="Tahoma"/>
            <family val="2"/>
          </rPr>
          <t>CRISIL:</t>
        </r>
        <r>
          <rPr>
            <sz val="9"/>
            <color indexed="81"/>
            <rFont val="Tahoma"/>
            <family val="2"/>
          </rPr>
          <t xml:space="preserve">
Cannot be calcualted as 9M is restated comparatively</t>
        </r>
      </text>
    </comment>
    <comment ref="AU207" authorId="0" shapeId="0" xr:uid="{1D823922-57EA-4ADD-88D4-EB01FD9645BA}">
      <text>
        <r>
          <rPr>
            <b/>
            <sz val="9"/>
            <color indexed="81"/>
            <rFont val="Tahoma"/>
            <family val="2"/>
          </rPr>
          <t>CRISIL:</t>
        </r>
        <r>
          <rPr>
            <sz val="9"/>
            <color indexed="81"/>
            <rFont val="Tahoma"/>
            <family val="2"/>
          </rPr>
          <t xml:space="preserve">
Cannot be calcualted as 9M is restated comparatively</t>
        </r>
      </text>
    </comment>
    <comment ref="O275" authorId="0" shapeId="0" xr:uid="{2951AC94-3C43-46CD-B487-9CA772061AE8}">
      <text>
        <r>
          <rPr>
            <b/>
            <sz val="9"/>
            <color indexed="81"/>
            <rFont val="Tahoma"/>
            <family val="2"/>
          </rPr>
          <t>CRISIL:</t>
        </r>
        <r>
          <rPr>
            <sz val="9"/>
            <color indexed="81"/>
            <rFont val="Tahoma"/>
            <family val="2"/>
          </rPr>
          <t xml:space="preserve">
from excel report</t>
        </r>
      </text>
    </comment>
    <comment ref="AQ275" authorId="0" shapeId="0" xr:uid="{42870DE6-65E4-4E3F-AE80-115F40A69D0C}">
      <text>
        <r>
          <rPr>
            <b/>
            <sz val="9"/>
            <color indexed="81"/>
            <rFont val="Tahoma"/>
            <family val="2"/>
          </rPr>
          <t>CRISIL:</t>
        </r>
        <r>
          <rPr>
            <sz val="9"/>
            <color indexed="81"/>
            <rFont val="Tahoma"/>
            <family val="2"/>
          </rPr>
          <t xml:space="preserve">
from excel report</t>
        </r>
      </text>
    </comment>
    <comment ref="AR275" authorId="0" shapeId="0" xr:uid="{248C95CA-293A-4A01-936D-5829B03191D1}">
      <text>
        <r>
          <rPr>
            <b/>
            <sz val="9"/>
            <color indexed="81"/>
            <rFont val="Tahoma"/>
            <family val="2"/>
          </rPr>
          <t>CRISIL:</t>
        </r>
        <r>
          <rPr>
            <sz val="9"/>
            <color indexed="81"/>
            <rFont val="Tahoma"/>
            <family val="2"/>
          </rPr>
          <t xml:space="preserve">
from excel report</t>
        </r>
      </text>
    </comment>
    <comment ref="AS275" authorId="0" shapeId="0" xr:uid="{2FF77210-AEB2-46E8-8B78-7C10A7B29806}">
      <text>
        <r>
          <rPr>
            <b/>
            <sz val="9"/>
            <color indexed="81"/>
            <rFont val="Tahoma"/>
            <family val="2"/>
          </rPr>
          <t>CRISIL:</t>
        </r>
        <r>
          <rPr>
            <sz val="9"/>
            <color indexed="81"/>
            <rFont val="Tahoma"/>
            <family val="2"/>
          </rPr>
          <t xml:space="preserve">
from excel report</t>
        </r>
      </text>
    </comment>
    <comment ref="AT275" authorId="0" shapeId="0" xr:uid="{6225129B-9D7A-4D37-9334-70B704AEB7FC}">
      <text>
        <r>
          <rPr>
            <b/>
            <sz val="9"/>
            <color indexed="81"/>
            <rFont val="Tahoma"/>
            <family val="2"/>
          </rPr>
          <t>CRISIL:</t>
        </r>
        <r>
          <rPr>
            <sz val="9"/>
            <color indexed="81"/>
            <rFont val="Tahoma"/>
            <family val="2"/>
          </rPr>
          <t xml:space="preserve">
from excel report</t>
        </r>
      </text>
    </comment>
    <comment ref="AU275" authorId="0" shapeId="0" xr:uid="{E001E49D-7531-4B48-B9FC-A67E7A9E3A33}">
      <text>
        <r>
          <rPr>
            <b/>
            <sz val="9"/>
            <color indexed="81"/>
            <rFont val="Tahoma"/>
            <family val="2"/>
          </rPr>
          <t>CRISIL:</t>
        </r>
        <r>
          <rPr>
            <sz val="9"/>
            <color indexed="81"/>
            <rFont val="Tahoma"/>
            <family val="2"/>
          </rPr>
          <t xml:space="preserve">
from excel report</t>
        </r>
      </text>
    </comment>
    <comment ref="AV275" authorId="0" shapeId="0" xr:uid="{0C23450C-28B2-4099-8F57-0E2C8AAC4D52}">
      <text>
        <r>
          <rPr>
            <b/>
            <sz val="9"/>
            <color indexed="81"/>
            <rFont val="Tahoma"/>
            <family val="2"/>
          </rPr>
          <t>CRISIL:</t>
        </r>
        <r>
          <rPr>
            <sz val="9"/>
            <color indexed="81"/>
            <rFont val="Tahoma"/>
            <family val="2"/>
          </rPr>
          <t xml:space="preserve">
from excel report</t>
        </r>
      </text>
    </comment>
    <comment ref="O279" authorId="0" shapeId="0" xr:uid="{452617BE-E13C-4EE7-9011-D434E5F8AE39}">
      <text>
        <r>
          <rPr>
            <b/>
            <sz val="9"/>
            <color indexed="81"/>
            <rFont val="Tahoma"/>
            <family val="2"/>
          </rPr>
          <t>CRISIL:</t>
        </r>
        <r>
          <rPr>
            <sz val="9"/>
            <color indexed="81"/>
            <rFont val="Tahoma"/>
            <family val="2"/>
          </rPr>
          <t xml:space="preserve">
Data na</t>
        </r>
      </text>
    </comment>
    <comment ref="AS279" authorId="0" shapeId="0" xr:uid="{91C5D573-A495-4A92-963D-022294457A9C}">
      <text>
        <r>
          <rPr>
            <b/>
            <sz val="9"/>
            <color indexed="81"/>
            <rFont val="Tahoma"/>
            <family val="2"/>
          </rPr>
          <t>CRISIL:</t>
        </r>
        <r>
          <rPr>
            <sz val="9"/>
            <color indexed="81"/>
            <rFont val="Tahoma"/>
            <family val="2"/>
          </rPr>
          <t xml:space="preserve">
Data na</t>
        </r>
      </text>
    </comment>
    <comment ref="AT279" authorId="0" shapeId="0" xr:uid="{431A5752-341B-40F0-B144-E30B08E10FC5}">
      <text>
        <r>
          <rPr>
            <b/>
            <sz val="9"/>
            <color indexed="81"/>
            <rFont val="Tahoma"/>
            <family val="2"/>
          </rPr>
          <t>CRISIL:</t>
        </r>
        <r>
          <rPr>
            <sz val="9"/>
            <color indexed="81"/>
            <rFont val="Tahoma"/>
            <family val="2"/>
          </rPr>
          <t xml:space="preserve">
Data na</t>
        </r>
      </text>
    </comment>
    <comment ref="AU279" authorId="0" shapeId="0" xr:uid="{39E1769A-6D69-4C0F-8A4B-F096AEA76E6C}">
      <text>
        <r>
          <rPr>
            <b/>
            <sz val="9"/>
            <color indexed="81"/>
            <rFont val="Tahoma"/>
            <family val="2"/>
          </rPr>
          <t>CRISIL:</t>
        </r>
        <r>
          <rPr>
            <sz val="9"/>
            <color indexed="81"/>
            <rFont val="Tahoma"/>
            <family val="2"/>
          </rPr>
          <t xml:space="preserve">
Data na</t>
        </r>
      </text>
    </comment>
    <comment ref="AV279" authorId="0" shapeId="0" xr:uid="{8072DDF8-560B-4C47-97F3-95A30C77E2E8}">
      <text>
        <r>
          <rPr>
            <b/>
            <sz val="9"/>
            <color indexed="81"/>
            <rFont val="Tahoma"/>
            <family val="2"/>
          </rPr>
          <t>CRISIL:</t>
        </r>
        <r>
          <rPr>
            <sz val="9"/>
            <color indexed="81"/>
            <rFont val="Tahoma"/>
            <family val="2"/>
          </rPr>
          <t xml:space="preserve">
Data na</t>
        </r>
      </text>
    </comment>
    <comment ref="AW279" authorId="0" shapeId="0" xr:uid="{80845B9B-42F1-4E22-90EC-0F2DF6018FDA}">
      <text>
        <r>
          <rPr>
            <b/>
            <sz val="9"/>
            <color indexed="81"/>
            <rFont val="Tahoma"/>
            <family val="2"/>
          </rPr>
          <t>CRISIL:</t>
        </r>
        <r>
          <rPr>
            <sz val="9"/>
            <color indexed="81"/>
            <rFont val="Tahoma"/>
            <family val="2"/>
          </rPr>
          <t xml:space="preserve">
Data na</t>
        </r>
      </text>
    </comment>
    <comment ref="O282" authorId="0" shapeId="0" xr:uid="{62595E21-4856-408E-B188-7B6FCC9D99F3}">
      <text>
        <r>
          <rPr>
            <b/>
            <sz val="9"/>
            <color indexed="81"/>
            <rFont val="Tahoma"/>
            <family val="2"/>
          </rPr>
          <t>CRISIL:</t>
        </r>
        <r>
          <rPr>
            <sz val="9"/>
            <color indexed="81"/>
            <rFont val="Tahoma"/>
            <family val="2"/>
          </rPr>
          <t xml:space="preserve">
from excel report</t>
        </r>
      </text>
    </comment>
    <comment ref="AV282" authorId="0" shapeId="0" xr:uid="{93C019C4-C9AD-435F-A462-EA6D7818492B}">
      <text>
        <r>
          <rPr>
            <b/>
            <sz val="9"/>
            <color indexed="81"/>
            <rFont val="Tahoma"/>
            <family val="2"/>
          </rPr>
          <t>CRISIL:</t>
        </r>
        <r>
          <rPr>
            <sz val="9"/>
            <color indexed="81"/>
            <rFont val="Tahoma"/>
            <family val="2"/>
          </rPr>
          <t xml:space="preserve">
from excel report</t>
        </r>
      </text>
    </comment>
    <comment ref="O286" authorId="0" shapeId="0" xr:uid="{7E5590CE-3308-412F-9414-E43C08D4925C}">
      <text>
        <r>
          <rPr>
            <b/>
            <sz val="9"/>
            <color indexed="81"/>
            <rFont val="Tahoma"/>
            <family val="2"/>
          </rPr>
          <t>CRISIL:</t>
        </r>
        <r>
          <rPr>
            <sz val="9"/>
            <color indexed="81"/>
            <rFont val="Tahoma"/>
            <family val="2"/>
          </rPr>
          <t xml:space="preserve">
Data na</t>
        </r>
      </text>
    </comment>
    <comment ref="AS286" authorId="0" shapeId="0" xr:uid="{1DEF4A8D-8792-4BFA-8111-7123EBEFBA2C}">
      <text>
        <r>
          <rPr>
            <b/>
            <sz val="9"/>
            <color indexed="81"/>
            <rFont val="Tahoma"/>
            <family val="2"/>
          </rPr>
          <t>CRISIL:</t>
        </r>
        <r>
          <rPr>
            <sz val="9"/>
            <color indexed="81"/>
            <rFont val="Tahoma"/>
            <family val="2"/>
          </rPr>
          <t xml:space="preserve">
Data na</t>
        </r>
      </text>
    </comment>
    <comment ref="AT286" authorId="0" shapeId="0" xr:uid="{7FE65971-D8EA-4B88-9DBC-B6C8C941D790}">
      <text>
        <r>
          <rPr>
            <b/>
            <sz val="9"/>
            <color indexed="81"/>
            <rFont val="Tahoma"/>
            <family val="2"/>
          </rPr>
          <t>CRISIL:</t>
        </r>
        <r>
          <rPr>
            <sz val="9"/>
            <color indexed="81"/>
            <rFont val="Tahoma"/>
            <family val="2"/>
          </rPr>
          <t xml:space="preserve">
Data na</t>
        </r>
      </text>
    </comment>
    <comment ref="AU286" authorId="0" shapeId="0" xr:uid="{F3477002-3A51-4C8F-96A8-19F5E24D238E}">
      <text>
        <r>
          <rPr>
            <b/>
            <sz val="9"/>
            <color indexed="81"/>
            <rFont val="Tahoma"/>
            <family val="2"/>
          </rPr>
          <t>CRISIL:</t>
        </r>
        <r>
          <rPr>
            <sz val="9"/>
            <color indexed="81"/>
            <rFont val="Tahoma"/>
            <family val="2"/>
          </rPr>
          <t xml:space="preserve">
Data na</t>
        </r>
      </text>
    </comment>
    <comment ref="AV286" authorId="0" shapeId="0" xr:uid="{C40BF5E6-3C69-44D9-94E4-4AD384F8309B}">
      <text>
        <r>
          <rPr>
            <b/>
            <sz val="9"/>
            <color indexed="81"/>
            <rFont val="Tahoma"/>
            <family val="2"/>
          </rPr>
          <t>CRISIL:</t>
        </r>
        <r>
          <rPr>
            <sz val="9"/>
            <color indexed="81"/>
            <rFont val="Tahoma"/>
            <family val="2"/>
          </rPr>
          <t xml:space="preserve">
Data na</t>
        </r>
      </text>
    </comment>
    <comment ref="AW286" authorId="0" shapeId="0" xr:uid="{DC3447D2-C5CD-4283-83CF-B34816E708F2}">
      <text>
        <r>
          <rPr>
            <b/>
            <sz val="9"/>
            <color indexed="81"/>
            <rFont val="Tahoma"/>
            <family val="2"/>
          </rPr>
          <t>CRISIL:</t>
        </r>
        <r>
          <rPr>
            <sz val="9"/>
            <color indexed="81"/>
            <rFont val="Tahoma"/>
            <family val="2"/>
          </rPr>
          <t xml:space="preserve">
Data na</t>
        </r>
      </text>
    </comment>
    <comment ref="O288" authorId="0" shapeId="0" xr:uid="{29FBB2B9-711F-4D05-9137-49A7D519C88C}">
      <text>
        <r>
          <rPr>
            <b/>
            <sz val="9"/>
            <color indexed="81"/>
            <rFont val="Tahoma"/>
            <family val="2"/>
          </rPr>
          <t>CRISIL:</t>
        </r>
        <r>
          <rPr>
            <sz val="9"/>
            <color indexed="81"/>
            <rFont val="Tahoma"/>
            <family val="2"/>
          </rPr>
          <t xml:space="preserve">
Data na</t>
        </r>
      </text>
    </comment>
    <comment ref="AS288" authorId="0" shapeId="0" xr:uid="{579A7A18-8055-4F2E-920F-7D0E6E3F3A4B}">
      <text>
        <r>
          <rPr>
            <b/>
            <sz val="9"/>
            <color indexed="81"/>
            <rFont val="Tahoma"/>
            <family val="2"/>
          </rPr>
          <t>CRISIL:</t>
        </r>
        <r>
          <rPr>
            <sz val="9"/>
            <color indexed="81"/>
            <rFont val="Tahoma"/>
            <family val="2"/>
          </rPr>
          <t xml:space="preserve">
Data na</t>
        </r>
      </text>
    </comment>
    <comment ref="AT288" authorId="0" shapeId="0" xr:uid="{FCBF52ED-14FD-494C-B6D6-7B263434D897}">
      <text>
        <r>
          <rPr>
            <b/>
            <sz val="9"/>
            <color indexed="81"/>
            <rFont val="Tahoma"/>
            <family val="2"/>
          </rPr>
          <t>CRISIL:</t>
        </r>
        <r>
          <rPr>
            <sz val="9"/>
            <color indexed="81"/>
            <rFont val="Tahoma"/>
            <family val="2"/>
          </rPr>
          <t xml:space="preserve">
Data na</t>
        </r>
      </text>
    </comment>
    <comment ref="AU288" authorId="0" shapeId="0" xr:uid="{8305E962-0106-465B-B0B5-CEB4A0935B91}">
      <text>
        <r>
          <rPr>
            <b/>
            <sz val="9"/>
            <color indexed="81"/>
            <rFont val="Tahoma"/>
            <family val="2"/>
          </rPr>
          <t>CRISIL:</t>
        </r>
        <r>
          <rPr>
            <sz val="9"/>
            <color indexed="81"/>
            <rFont val="Tahoma"/>
            <family val="2"/>
          </rPr>
          <t xml:space="preserve">
Data na</t>
        </r>
      </text>
    </comment>
    <comment ref="AV288" authorId="0" shapeId="0" xr:uid="{BCD8CAB1-F4BA-4C27-80B8-ED1B230DE208}">
      <text>
        <r>
          <rPr>
            <b/>
            <sz val="9"/>
            <color indexed="81"/>
            <rFont val="Tahoma"/>
            <family val="2"/>
          </rPr>
          <t>CRISIL:</t>
        </r>
        <r>
          <rPr>
            <sz val="9"/>
            <color indexed="81"/>
            <rFont val="Tahoma"/>
            <family val="2"/>
          </rPr>
          <t xml:space="preserve">
Data na</t>
        </r>
      </text>
    </comment>
    <comment ref="AW288" authorId="0" shapeId="0" xr:uid="{8D461E86-59F7-45DD-A477-0E8DEE955DFB}">
      <text>
        <r>
          <rPr>
            <b/>
            <sz val="9"/>
            <color indexed="81"/>
            <rFont val="Tahoma"/>
            <family val="2"/>
          </rPr>
          <t>CRISIL:</t>
        </r>
        <r>
          <rPr>
            <sz val="9"/>
            <color indexed="81"/>
            <rFont val="Tahoma"/>
            <family val="2"/>
          </rPr>
          <t xml:space="preserve">
Data na</t>
        </r>
      </text>
    </comment>
    <comment ref="O289" authorId="0" shapeId="0" xr:uid="{109670A7-614C-4620-8EC1-4ACD1FB8579D}">
      <text>
        <r>
          <rPr>
            <b/>
            <sz val="9"/>
            <color indexed="81"/>
            <rFont val="Tahoma"/>
            <family val="2"/>
          </rPr>
          <t>CRISIL:</t>
        </r>
        <r>
          <rPr>
            <sz val="9"/>
            <color indexed="81"/>
            <rFont val="Tahoma"/>
            <family val="2"/>
          </rPr>
          <t xml:space="preserve">
Data na</t>
        </r>
      </text>
    </comment>
    <comment ref="AS289" authorId="0" shapeId="0" xr:uid="{3CD27A0D-67F7-4BEF-8BF9-BD4E8210ADC8}">
      <text>
        <r>
          <rPr>
            <b/>
            <sz val="9"/>
            <color indexed="81"/>
            <rFont val="Tahoma"/>
            <family val="2"/>
          </rPr>
          <t>CRISIL:</t>
        </r>
        <r>
          <rPr>
            <sz val="9"/>
            <color indexed="81"/>
            <rFont val="Tahoma"/>
            <family val="2"/>
          </rPr>
          <t xml:space="preserve">
Data na</t>
        </r>
      </text>
    </comment>
    <comment ref="AT289" authorId="0" shapeId="0" xr:uid="{79362B8D-E8E9-4C18-A732-47B3EEE82959}">
      <text>
        <r>
          <rPr>
            <b/>
            <sz val="9"/>
            <color indexed="81"/>
            <rFont val="Tahoma"/>
            <family val="2"/>
          </rPr>
          <t>CRISIL:</t>
        </r>
        <r>
          <rPr>
            <sz val="9"/>
            <color indexed="81"/>
            <rFont val="Tahoma"/>
            <family val="2"/>
          </rPr>
          <t xml:space="preserve">
Data na</t>
        </r>
      </text>
    </comment>
    <comment ref="AU289" authorId="0" shapeId="0" xr:uid="{4C7F9FA5-FFA9-430F-8151-DD90B374B1A4}">
      <text>
        <r>
          <rPr>
            <b/>
            <sz val="9"/>
            <color indexed="81"/>
            <rFont val="Tahoma"/>
            <family val="2"/>
          </rPr>
          <t>CRISIL:</t>
        </r>
        <r>
          <rPr>
            <sz val="9"/>
            <color indexed="81"/>
            <rFont val="Tahoma"/>
            <family val="2"/>
          </rPr>
          <t xml:space="preserve">
Data na</t>
        </r>
      </text>
    </comment>
    <comment ref="AV289" authorId="0" shapeId="0" xr:uid="{8D8EE433-5304-426E-84B8-CE441E4EF39C}">
      <text>
        <r>
          <rPr>
            <b/>
            <sz val="9"/>
            <color indexed="81"/>
            <rFont val="Tahoma"/>
            <family val="2"/>
          </rPr>
          <t>CRISIL:</t>
        </r>
        <r>
          <rPr>
            <sz val="9"/>
            <color indexed="81"/>
            <rFont val="Tahoma"/>
            <family val="2"/>
          </rPr>
          <t xml:space="preserve">
Data na</t>
        </r>
      </text>
    </comment>
    <comment ref="AW289" authorId="0" shapeId="0" xr:uid="{86336A28-16BF-4C40-A12B-47BD7A4AC9C5}">
      <text>
        <r>
          <rPr>
            <b/>
            <sz val="9"/>
            <color indexed="81"/>
            <rFont val="Tahoma"/>
            <family val="2"/>
          </rPr>
          <t>CRISIL:</t>
        </r>
        <r>
          <rPr>
            <sz val="9"/>
            <color indexed="81"/>
            <rFont val="Tahoma"/>
            <family val="2"/>
          </rPr>
          <t xml:space="preserve">
Data na</t>
        </r>
      </text>
    </comment>
    <comment ref="O294" authorId="0" shapeId="0" xr:uid="{A4C38440-B359-4B04-BA7B-494BA7B35D45}">
      <text>
        <r>
          <rPr>
            <b/>
            <sz val="9"/>
            <color indexed="81"/>
            <rFont val="Tahoma"/>
            <family val="2"/>
          </rPr>
          <t>CRISIL:</t>
        </r>
        <r>
          <rPr>
            <sz val="9"/>
            <color indexed="81"/>
            <rFont val="Tahoma"/>
            <family val="2"/>
          </rPr>
          <t xml:space="preserve">
from excel report</t>
        </r>
      </text>
    </comment>
    <comment ref="AR294" authorId="0" shapeId="0" xr:uid="{E5ADCE48-62AE-46EC-97C0-2CBC378CFC75}">
      <text>
        <r>
          <rPr>
            <b/>
            <sz val="9"/>
            <color indexed="81"/>
            <rFont val="Tahoma"/>
            <family val="2"/>
          </rPr>
          <t>CRISIL:</t>
        </r>
        <r>
          <rPr>
            <sz val="9"/>
            <color indexed="81"/>
            <rFont val="Tahoma"/>
            <family val="2"/>
          </rPr>
          <t xml:space="preserve">
from excel report</t>
        </r>
      </text>
    </comment>
    <comment ref="AS294" authorId="0" shapeId="0" xr:uid="{4AF1651A-2442-4D9A-AD14-CB7A3D6C771F}">
      <text>
        <r>
          <rPr>
            <b/>
            <sz val="9"/>
            <color indexed="81"/>
            <rFont val="Tahoma"/>
            <family val="2"/>
          </rPr>
          <t>CRISIL:</t>
        </r>
        <r>
          <rPr>
            <sz val="9"/>
            <color indexed="81"/>
            <rFont val="Tahoma"/>
            <family val="2"/>
          </rPr>
          <t xml:space="preserve">
from excel report</t>
        </r>
      </text>
    </comment>
    <comment ref="AT294" authorId="0" shapeId="0" xr:uid="{FC1F7FFD-79ED-4887-B2A5-AF4D3F45D122}">
      <text>
        <r>
          <rPr>
            <b/>
            <sz val="9"/>
            <color indexed="81"/>
            <rFont val="Tahoma"/>
            <family val="2"/>
          </rPr>
          <t>CRISIL:</t>
        </r>
        <r>
          <rPr>
            <sz val="9"/>
            <color indexed="81"/>
            <rFont val="Tahoma"/>
            <family val="2"/>
          </rPr>
          <t xml:space="preserve">
from excel report</t>
        </r>
      </text>
    </comment>
    <comment ref="AV294" authorId="0" shapeId="0" xr:uid="{44DED5FB-043C-4F87-A1BB-8CC4F3749E9F}">
      <text>
        <r>
          <rPr>
            <b/>
            <sz val="9"/>
            <color indexed="81"/>
            <rFont val="Tahoma"/>
            <family val="2"/>
          </rPr>
          <t>CRISIL:</t>
        </r>
        <r>
          <rPr>
            <sz val="9"/>
            <color indexed="81"/>
            <rFont val="Tahoma"/>
            <family val="2"/>
          </rPr>
          <t xml:space="preserve">
from excel report</t>
        </r>
      </text>
    </comment>
    <comment ref="O298" authorId="0" shapeId="0" xr:uid="{378847DD-B340-4CB0-A310-288957D32132}">
      <text>
        <r>
          <rPr>
            <b/>
            <sz val="9"/>
            <color indexed="81"/>
            <rFont val="Tahoma"/>
            <family val="2"/>
          </rPr>
          <t>CRISIL:</t>
        </r>
        <r>
          <rPr>
            <sz val="9"/>
            <color indexed="81"/>
            <rFont val="Tahoma"/>
            <family val="2"/>
          </rPr>
          <t xml:space="preserve">
Data na</t>
        </r>
      </text>
    </comment>
    <comment ref="AS298" authorId="0" shapeId="0" xr:uid="{8198C663-FB70-45E4-9344-DCFF54A472FA}">
      <text>
        <r>
          <rPr>
            <b/>
            <sz val="9"/>
            <color indexed="81"/>
            <rFont val="Tahoma"/>
            <family val="2"/>
          </rPr>
          <t>CRISIL:</t>
        </r>
        <r>
          <rPr>
            <sz val="9"/>
            <color indexed="81"/>
            <rFont val="Tahoma"/>
            <family val="2"/>
          </rPr>
          <t xml:space="preserve">
Data na</t>
        </r>
      </text>
    </comment>
    <comment ref="AT298" authorId="0" shapeId="0" xr:uid="{8B5B5BC1-6304-43F9-B86E-2132AB557A8D}">
      <text>
        <r>
          <rPr>
            <b/>
            <sz val="9"/>
            <color indexed="81"/>
            <rFont val="Tahoma"/>
            <family val="2"/>
          </rPr>
          <t>CRISIL:</t>
        </r>
        <r>
          <rPr>
            <sz val="9"/>
            <color indexed="81"/>
            <rFont val="Tahoma"/>
            <family val="2"/>
          </rPr>
          <t xml:space="preserve">
Data na</t>
        </r>
      </text>
    </comment>
    <comment ref="AU298" authorId="0" shapeId="0" xr:uid="{EC1FF328-8BB7-4A23-BF40-20D839F685C3}">
      <text>
        <r>
          <rPr>
            <b/>
            <sz val="9"/>
            <color indexed="81"/>
            <rFont val="Tahoma"/>
            <family val="2"/>
          </rPr>
          <t>CRISIL:</t>
        </r>
        <r>
          <rPr>
            <sz val="9"/>
            <color indexed="81"/>
            <rFont val="Tahoma"/>
            <family val="2"/>
          </rPr>
          <t xml:space="preserve">
Data na</t>
        </r>
      </text>
    </comment>
    <comment ref="AV298" authorId="0" shapeId="0" xr:uid="{83EABCC7-5241-4A18-9B17-E3887A8A76D9}">
      <text>
        <r>
          <rPr>
            <b/>
            <sz val="9"/>
            <color indexed="81"/>
            <rFont val="Tahoma"/>
            <family val="2"/>
          </rPr>
          <t>CRISIL:</t>
        </r>
        <r>
          <rPr>
            <sz val="9"/>
            <color indexed="81"/>
            <rFont val="Tahoma"/>
            <family val="2"/>
          </rPr>
          <t xml:space="preserve">
Data na</t>
        </r>
      </text>
    </comment>
    <comment ref="AW298" authorId="0" shapeId="0" xr:uid="{4E6B7A8F-2572-4717-AAC7-31BB5F953D48}">
      <text>
        <r>
          <rPr>
            <b/>
            <sz val="9"/>
            <color indexed="81"/>
            <rFont val="Tahoma"/>
            <family val="2"/>
          </rPr>
          <t>CRISIL:</t>
        </r>
        <r>
          <rPr>
            <sz val="9"/>
            <color indexed="81"/>
            <rFont val="Tahoma"/>
            <family val="2"/>
          </rPr>
          <t xml:space="preserve">
Data na</t>
        </r>
      </text>
    </comment>
    <comment ref="AS301" authorId="0" shapeId="0" xr:uid="{8C91D1CF-1407-44E7-BCD1-AFB29622FB85}">
      <text>
        <r>
          <rPr>
            <b/>
            <sz val="9"/>
            <color indexed="81"/>
            <rFont val="Tahoma"/>
            <family val="2"/>
          </rPr>
          <t>CRISIL:</t>
        </r>
        <r>
          <rPr>
            <sz val="9"/>
            <color indexed="81"/>
            <rFont val="Tahoma"/>
            <family val="2"/>
          </rPr>
          <t xml:space="preserve">
Data na</t>
        </r>
      </text>
    </comment>
    <comment ref="AW301" authorId="0" shapeId="0" xr:uid="{FDFD4C18-D68B-4F39-937A-A892F09F9CB2}">
      <text>
        <r>
          <rPr>
            <b/>
            <sz val="9"/>
            <color indexed="81"/>
            <rFont val="Tahoma"/>
            <family val="2"/>
          </rPr>
          <t>CRISIL:</t>
        </r>
        <r>
          <rPr>
            <sz val="9"/>
            <color indexed="81"/>
            <rFont val="Tahoma"/>
            <family val="2"/>
          </rPr>
          <t xml:space="preserve">
Data na</t>
        </r>
      </text>
    </comment>
    <comment ref="AS302" authorId="0" shapeId="0" xr:uid="{4280B8E1-F314-48F0-8327-4FF3604FA631}">
      <text>
        <r>
          <rPr>
            <b/>
            <sz val="9"/>
            <color indexed="81"/>
            <rFont val="Tahoma"/>
            <family val="2"/>
          </rPr>
          <t>CRISIL:</t>
        </r>
        <r>
          <rPr>
            <sz val="9"/>
            <color indexed="81"/>
            <rFont val="Tahoma"/>
            <family val="2"/>
          </rPr>
          <t xml:space="preserve">
Data na</t>
        </r>
      </text>
    </comment>
    <comment ref="AW302" authorId="0" shapeId="0" xr:uid="{399BE84C-8387-4F16-904F-FA14CAA0384E}">
      <text>
        <r>
          <rPr>
            <b/>
            <sz val="9"/>
            <color indexed="81"/>
            <rFont val="Tahoma"/>
            <family val="2"/>
          </rPr>
          <t>CRISIL:</t>
        </r>
        <r>
          <rPr>
            <sz val="9"/>
            <color indexed="81"/>
            <rFont val="Tahoma"/>
            <family val="2"/>
          </rPr>
          <t xml:space="preserve">
Data na</t>
        </r>
      </text>
    </comment>
    <comment ref="O306" authorId="0" shapeId="0" xr:uid="{4E7FEE35-33AE-4C30-9122-2E8865337F9A}">
      <text>
        <r>
          <rPr>
            <b/>
            <sz val="9"/>
            <color indexed="81"/>
            <rFont val="Tahoma"/>
            <family val="2"/>
          </rPr>
          <t>CRISIL:</t>
        </r>
        <r>
          <rPr>
            <sz val="9"/>
            <color indexed="81"/>
            <rFont val="Tahoma"/>
            <family val="2"/>
          </rPr>
          <t xml:space="preserve">
Data na</t>
        </r>
      </text>
    </comment>
    <comment ref="AS306" authorId="0" shapeId="0" xr:uid="{D595E5B9-0A5A-41E8-9D9C-B1A0374EF2FD}">
      <text>
        <r>
          <rPr>
            <b/>
            <sz val="9"/>
            <color indexed="81"/>
            <rFont val="Tahoma"/>
            <family val="2"/>
          </rPr>
          <t>CRISIL:</t>
        </r>
        <r>
          <rPr>
            <sz val="9"/>
            <color indexed="81"/>
            <rFont val="Tahoma"/>
            <family val="2"/>
          </rPr>
          <t xml:space="preserve">
Data na</t>
        </r>
      </text>
    </comment>
    <comment ref="AT306" authorId="0" shapeId="0" xr:uid="{F48342EC-2951-47BB-9CCD-1A041F5ACFAD}">
      <text>
        <r>
          <rPr>
            <b/>
            <sz val="9"/>
            <color indexed="81"/>
            <rFont val="Tahoma"/>
            <family val="2"/>
          </rPr>
          <t>CRISIL:</t>
        </r>
        <r>
          <rPr>
            <sz val="9"/>
            <color indexed="81"/>
            <rFont val="Tahoma"/>
            <family val="2"/>
          </rPr>
          <t xml:space="preserve">
Data na</t>
        </r>
      </text>
    </comment>
    <comment ref="AU306" authorId="0" shapeId="0" xr:uid="{C4708CB5-0BD8-453F-ACE3-DC8AEC7F753F}">
      <text>
        <r>
          <rPr>
            <b/>
            <sz val="9"/>
            <color indexed="81"/>
            <rFont val="Tahoma"/>
            <family val="2"/>
          </rPr>
          <t>CRISIL:</t>
        </r>
        <r>
          <rPr>
            <sz val="9"/>
            <color indexed="81"/>
            <rFont val="Tahoma"/>
            <family val="2"/>
          </rPr>
          <t xml:space="preserve">
Data na</t>
        </r>
      </text>
    </comment>
    <comment ref="AV306" authorId="0" shapeId="0" xr:uid="{917C8D5A-4647-4693-8CA7-EF4C350B9C1C}">
      <text>
        <r>
          <rPr>
            <b/>
            <sz val="9"/>
            <color indexed="81"/>
            <rFont val="Tahoma"/>
            <family val="2"/>
          </rPr>
          <t>CRISIL:</t>
        </r>
        <r>
          <rPr>
            <sz val="9"/>
            <color indexed="81"/>
            <rFont val="Tahoma"/>
            <family val="2"/>
          </rPr>
          <t xml:space="preserve">
Data na</t>
        </r>
      </text>
    </comment>
    <comment ref="AW306" authorId="0" shapeId="0" xr:uid="{B587A6B5-0BE2-4552-BB29-CC0CB0730D79}">
      <text>
        <r>
          <rPr>
            <b/>
            <sz val="9"/>
            <color indexed="81"/>
            <rFont val="Tahoma"/>
            <family val="2"/>
          </rPr>
          <t>CRISIL:</t>
        </r>
        <r>
          <rPr>
            <sz val="9"/>
            <color indexed="81"/>
            <rFont val="Tahoma"/>
            <family val="2"/>
          </rPr>
          <t xml:space="preserve">
Data na</t>
        </r>
      </text>
    </comment>
    <comment ref="O307" authorId="0" shapeId="0" xr:uid="{E8AEC0B2-7B50-4104-8800-DF51937266B8}">
      <text>
        <r>
          <rPr>
            <b/>
            <sz val="9"/>
            <color indexed="81"/>
            <rFont val="Tahoma"/>
            <family val="2"/>
          </rPr>
          <t>CRISIL:</t>
        </r>
        <r>
          <rPr>
            <sz val="9"/>
            <color indexed="81"/>
            <rFont val="Tahoma"/>
            <family val="2"/>
          </rPr>
          <t xml:space="preserve">
Data na</t>
        </r>
      </text>
    </comment>
    <comment ref="AS307" authorId="0" shapeId="0" xr:uid="{F37658E7-D868-48D1-8666-658EB5D2F926}">
      <text>
        <r>
          <rPr>
            <b/>
            <sz val="9"/>
            <color indexed="81"/>
            <rFont val="Tahoma"/>
            <family val="2"/>
          </rPr>
          <t>CRISIL:</t>
        </r>
        <r>
          <rPr>
            <sz val="9"/>
            <color indexed="81"/>
            <rFont val="Tahoma"/>
            <family val="2"/>
          </rPr>
          <t xml:space="preserve">
Data na</t>
        </r>
      </text>
    </comment>
    <comment ref="AT307" authorId="0" shapeId="0" xr:uid="{F7D429A1-D4F6-47CD-9879-526F18E3F6DE}">
      <text>
        <r>
          <rPr>
            <b/>
            <sz val="9"/>
            <color indexed="81"/>
            <rFont val="Tahoma"/>
            <family val="2"/>
          </rPr>
          <t>CRISIL:</t>
        </r>
        <r>
          <rPr>
            <sz val="9"/>
            <color indexed="81"/>
            <rFont val="Tahoma"/>
            <family val="2"/>
          </rPr>
          <t xml:space="preserve">
Data na</t>
        </r>
      </text>
    </comment>
    <comment ref="AU307" authorId="0" shapeId="0" xr:uid="{C7AE8725-4EE4-485D-BAE0-F646D66D70AB}">
      <text>
        <r>
          <rPr>
            <b/>
            <sz val="9"/>
            <color indexed="81"/>
            <rFont val="Tahoma"/>
            <family val="2"/>
          </rPr>
          <t>CRISIL:</t>
        </r>
        <r>
          <rPr>
            <sz val="9"/>
            <color indexed="81"/>
            <rFont val="Tahoma"/>
            <family val="2"/>
          </rPr>
          <t xml:space="preserve">
Data na</t>
        </r>
      </text>
    </comment>
    <comment ref="AV307" authorId="0" shapeId="0" xr:uid="{6B3F7A8D-583A-4DD4-9C2F-8F0B6AC9ED6D}">
      <text>
        <r>
          <rPr>
            <b/>
            <sz val="9"/>
            <color indexed="81"/>
            <rFont val="Tahoma"/>
            <family val="2"/>
          </rPr>
          <t>CRISIL:</t>
        </r>
        <r>
          <rPr>
            <sz val="9"/>
            <color indexed="81"/>
            <rFont val="Tahoma"/>
            <family val="2"/>
          </rPr>
          <t xml:space="preserve">
Data na</t>
        </r>
      </text>
    </comment>
    <comment ref="AW307" authorId="0" shapeId="0" xr:uid="{D4FEF822-ACBA-438D-85B7-58092B6F3927}">
      <text>
        <r>
          <rPr>
            <b/>
            <sz val="9"/>
            <color indexed="81"/>
            <rFont val="Tahoma"/>
            <family val="2"/>
          </rPr>
          <t>CRISIL:</t>
        </r>
        <r>
          <rPr>
            <sz val="9"/>
            <color indexed="81"/>
            <rFont val="Tahoma"/>
            <family val="2"/>
          </rPr>
          <t xml:space="preserve">
Data na</t>
        </r>
      </text>
    </comment>
    <comment ref="O309" authorId="0" shapeId="0" xr:uid="{B18E41FC-DC84-4391-83C1-E32CE62BE6C8}">
      <text>
        <r>
          <rPr>
            <b/>
            <sz val="9"/>
            <color indexed="81"/>
            <rFont val="Tahoma"/>
            <family val="2"/>
          </rPr>
          <t>CRISIL:</t>
        </r>
        <r>
          <rPr>
            <sz val="9"/>
            <color indexed="81"/>
            <rFont val="Tahoma"/>
            <family val="2"/>
          </rPr>
          <t xml:space="preserve">
Data na</t>
        </r>
      </text>
    </comment>
    <comment ref="AS309" authorId="0" shapeId="0" xr:uid="{286DB0D0-01D3-4C09-A850-F58C31F55CE7}">
      <text>
        <r>
          <rPr>
            <b/>
            <sz val="9"/>
            <color indexed="81"/>
            <rFont val="Tahoma"/>
            <family val="2"/>
          </rPr>
          <t>CRISIL:</t>
        </r>
        <r>
          <rPr>
            <sz val="9"/>
            <color indexed="81"/>
            <rFont val="Tahoma"/>
            <family val="2"/>
          </rPr>
          <t xml:space="preserve">
Data na</t>
        </r>
      </text>
    </comment>
    <comment ref="AT309" authorId="0" shapeId="0" xr:uid="{194B2AF3-1394-4D94-BD92-1D164319A1D5}">
      <text>
        <r>
          <rPr>
            <b/>
            <sz val="9"/>
            <color indexed="81"/>
            <rFont val="Tahoma"/>
            <family val="2"/>
          </rPr>
          <t>CRISIL:</t>
        </r>
        <r>
          <rPr>
            <sz val="9"/>
            <color indexed="81"/>
            <rFont val="Tahoma"/>
            <family val="2"/>
          </rPr>
          <t xml:space="preserve">
Data na</t>
        </r>
      </text>
    </comment>
    <comment ref="AU309" authorId="0" shapeId="0" xr:uid="{2E48410B-0474-4874-A4E5-9D0EEB66959A}">
      <text>
        <r>
          <rPr>
            <b/>
            <sz val="9"/>
            <color indexed="81"/>
            <rFont val="Tahoma"/>
            <family val="2"/>
          </rPr>
          <t>CRISIL:</t>
        </r>
        <r>
          <rPr>
            <sz val="9"/>
            <color indexed="81"/>
            <rFont val="Tahoma"/>
            <family val="2"/>
          </rPr>
          <t xml:space="preserve">
Data na</t>
        </r>
      </text>
    </comment>
    <comment ref="AV309" authorId="0" shapeId="0" xr:uid="{0CFD3E0B-2A60-4060-9E9C-B4D65E9CB599}">
      <text>
        <r>
          <rPr>
            <b/>
            <sz val="9"/>
            <color indexed="81"/>
            <rFont val="Tahoma"/>
            <family val="2"/>
          </rPr>
          <t>CRISIL:</t>
        </r>
        <r>
          <rPr>
            <sz val="9"/>
            <color indexed="81"/>
            <rFont val="Tahoma"/>
            <family val="2"/>
          </rPr>
          <t xml:space="preserve">
Data na</t>
        </r>
      </text>
    </comment>
    <comment ref="AW309" authorId="0" shapeId="0" xr:uid="{5D9D0436-D950-4A61-B125-E92C0F893F97}">
      <text>
        <r>
          <rPr>
            <b/>
            <sz val="9"/>
            <color indexed="81"/>
            <rFont val="Tahoma"/>
            <family val="2"/>
          </rPr>
          <t>CRISIL:</t>
        </r>
        <r>
          <rPr>
            <sz val="9"/>
            <color indexed="81"/>
            <rFont val="Tahoma"/>
            <family val="2"/>
          </rPr>
          <t xml:space="preserve">
Data na</t>
        </r>
      </text>
    </comment>
    <comment ref="O310" authorId="0" shapeId="0" xr:uid="{8C402A1B-056A-4637-BC8C-DB78E0008D7C}">
      <text>
        <r>
          <rPr>
            <b/>
            <sz val="9"/>
            <color indexed="81"/>
            <rFont val="Tahoma"/>
            <family val="2"/>
          </rPr>
          <t>CRISIL:</t>
        </r>
        <r>
          <rPr>
            <sz val="9"/>
            <color indexed="81"/>
            <rFont val="Tahoma"/>
            <family val="2"/>
          </rPr>
          <t xml:space="preserve">
Data na</t>
        </r>
      </text>
    </comment>
    <comment ref="AS310" authorId="0" shapeId="0" xr:uid="{0369E6FB-F38D-433B-8048-5EA6986A43AB}">
      <text>
        <r>
          <rPr>
            <b/>
            <sz val="9"/>
            <color indexed="81"/>
            <rFont val="Tahoma"/>
            <family val="2"/>
          </rPr>
          <t>CRISIL:</t>
        </r>
        <r>
          <rPr>
            <sz val="9"/>
            <color indexed="81"/>
            <rFont val="Tahoma"/>
            <family val="2"/>
          </rPr>
          <t xml:space="preserve">
Data na</t>
        </r>
      </text>
    </comment>
    <comment ref="AT310" authorId="0" shapeId="0" xr:uid="{3507A82F-3477-4706-8AEF-3CD961201231}">
      <text>
        <r>
          <rPr>
            <b/>
            <sz val="9"/>
            <color indexed="81"/>
            <rFont val="Tahoma"/>
            <family val="2"/>
          </rPr>
          <t>CRISIL:</t>
        </r>
        <r>
          <rPr>
            <sz val="9"/>
            <color indexed="81"/>
            <rFont val="Tahoma"/>
            <family val="2"/>
          </rPr>
          <t xml:space="preserve">
Data na</t>
        </r>
      </text>
    </comment>
    <comment ref="AU310" authorId="0" shapeId="0" xr:uid="{51333F0B-C2CD-48B4-9D9A-9E74A4CCC77C}">
      <text>
        <r>
          <rPr>
            <b/>
            <sz val="9"/>
            <color indexed="81"/>
            <rFont val="Tahoma"/>
            <family val="2"/>
          </rPr>
          <t>CRISIL:</t>
        </r>
        <r>
          <rPr>
            <sz val="9"/>
            <color indexed="81"/>
            <rFont val="Tahoma"/>
            <family val="2"/>
          </rPr>
          <t xml:space="preserve">
Data na</t>
        </r>
      </text>
    </comment>
    <comment ref="AV310" authorId="0" shapeId="0" xr:uid="{1AC0B1E9-FDC2-447B-BECA-6ABDF825174A}">
      <text>
        <r>
          <rPr>
            <b/>
            <sz val="9"/>
            <color indexed="81"/>
            <rFont val="Tahoma"/>
            <family val="2"/>
          </rPr>
          <t>CRISIL:</t>
        </r>
        <r>
          <rPr>
            <sz val="9"/>
            <color indexed="81"/>
            <rFont val="Tahoma"/>
            <family val="2"/>
          </rPr>
          <t xml:space="preserve">
Data na</t>
        </r>
      </text>
    </comment>
    <comment ref="AW310" authorId="0" shapeId="0" xr:uid="{07A5531E-6B9F-46CD-B676-7B13C3ECF5AA}">
      <text>
        <r>
          <rPr>
            <b/>
            <sz val="9"/>
            <color indexed="81"/>
            <rFont val="Tahoma"/>
            <family val="2"/>
          </rPr>
          <t>CRISIL:</t>
        </r>
        <r>
          <rPr>
            <sz val="9"/>
            <color indexed="81"/>
            <rFont val="Tahoma"/>
            <family val="2"/>
          </rPr>
          <t xml:space="preserve">
Data na</t>
        </r>
      </text>
    </comment>
    <comment ref="O315" authorId="0" shapeId="0" xr:uid="{270D1187-0B7B-4178-AEB1-0A681DDD2290}">
      <text>
        <r>
          <rPr>
            <b/>
            <sz val="9"/>
            <color indexed="81"/>
            <rFont val="Tahoma"/>
            <family val="2"/>
          </rPr>
          <t>CRISIL:</t>
        </r>
        <r>
          <rPr>
            <sz val="9"/>
            <color indexed="81"/>
            <rFont val="Tahoma"/>
            <family val="2"/>
          </rPr>
          <t xml:space="preserve">
from excel report</t>
        </r>
      </text>
    </comment>
    <comment ref="AR315" authorId="0" shapeId="0" xr:uid="{24D2B04E-9A5D-4D31-BF3A-67A3CB77780E}">
      <text>
        <r>
          <rPr>
            <b/>
            <sz val="9"/>
            <color indexed="81"/>
            <rFont val="Tahoma"/>
            <family val="2"/>
          </rPr>
          <t>CRISIL:</t>
        </r>
        <r>
          <rPr>
            <sz val="9"/>
            <color indexed="81"/>
            <rFont val="Tahoma"/>
            <family val="2"/>
          </rPr>
          <t xml:space="preserve">
from excel report</t>
        </r>
      </text>
    </comment>
    <comment ref="AS315" authorId="0" shapeId="0" xr:uid="{DB96A48E-A918-4851-81D2-8C2044F3D84F}">
      <text>
        <r>
          <rPr>
            <b/>
            <sz val="9"/>
            <color indexed="81"/>
            <rFont val="Tahoma"/>
            <family val="2"/>
          </rPr>
          <t>CRISIL:</t>
        </r>
        <r>
          <rPr>
            <sz val="9"/>
            <color indexed="81"/>
            <rFont val="Tahoma"/>
            <family val="2"/>
          </rPr>
          <t xml:space="preserve">
from excel report</t>
        </r>
      </text>
    </comment>
    <comment ref="AT315" authorId="0" shapeId="0" xr:uid="{C8A6132C-6342-47E5-B1DA-3E75260C6BE0}">
      <text>
        <r>
          <rPr>
            <b/>
            <sz val="9"/>
            <color indexed="81"/>
            <rFont val="Tahoma"/>
            <family val="2"/>
          </rPr>
          <t>CRISIL:</t>
        </r>
        <r>
          <rPr>
            <sz val="9"/>
            <color indexed="81"/>
            <rFont val="Tahoma"/>
            <family val="2"/>
          </rPr>
          <t xml:space="preserve">
from excel report</t>
        </r>
      </text>
    </comment>
    <comment ref="AV315" authorId="0" shapeId="0" xr:uid="{A75B9D59-751E-4888-A654-55907BD1DD9E}">
      <text>
        <r>
          <rPr>
            <b/>
            <sz val="9"/>
            <color indexed="81"/>
            <rFont val="Tahoma"/>
            <family val="2"/>
          </rPr>
          <t>CRISIL:</t>
        </r>
        <r>
          <rPr>
            <sz val="9"/>
            <color indexed="81"/>
            <rFont val="Tahoma"/>
            <family val="2"/>
          </rPr>
          <t xml:space="preserve">
from excel report</t>
        </r>
      </text>
    </comment>
    <comment ref="O319" authorId="0" shapeId="0" xr:uid="{58F553C7-B8AD-4F67-A12A-CFA93463371F}">
      <text>
        <r>
          <rPr>
            <b/>
            <sz val="9"/>
            <color indexed="81"/>
            <rFont val="Tahoma"/>
            <family val="2"/>
          </rPr>
          <t>CRISIL:</t>
        </r>
        <r>
          <rPr>
            <sz val="9"/>
            <color indexed="81"/>
            <rFont val="Tahoma"/>
            <family val="2"/>
          </rPr>
          <t xml:space="preserve">
Data na</t>
        </r>
      </text>
    </comment>
    <comment ref="AS319" authorId="0" shapeId="0" xr:uid="{B4A16B91-50C1-4BD1-A7DF-0838B6CDE3BF}">
      <text>
        <r>
          <rPr>
            <b/>
            <sz val="9"/>
            <color indexed="81"/>
            <rFont val="Tahoma"/>
            <family val="2"/>
          </rPr>
          <t>CRISIL:</t>
        </r>
        <r>
          <rPr>
            <sz val="9"/>
            <color indexed="81"/>
            <rFont val="Tahoma"/>
            <family val="2"/>
          </rPr>
          <t xml:space="preserve">
Data na</t>
        </r>
      </text>
    </comment>
    <comment ref="AT319" authorId="0" shapeId="0" xr:uid="{E63A0444-BAED-44BB-AB6A-656E72482B38}">
      <text>
        <r>
          <rPr>
            <b/>
            <sz val="9"/>
            <color indexed="81"/>
            <rFont val="Tahoma"/>
            <family val="2"/>
          </rPr>
          <t>CRISIL:</t>
        </r>
        <r>
          <rPr>
            <sz val="9"/>
            <color indexed="81"/>
            <rFont val="Tahoma"/>
            <family val="2"/>
          </rPr>
          <t xml:space="preserve">
Data na</t>
        </r>
      </text>
    </comment>
    <comment ref="AU319" authorId="0" shapeId="0" xr:uid="{2408E0F9-A637-4846-8CDD-8B8684B28E32}">
      <text>
        <r>
          <rPr>
            <b/>
            <sz val="9"/>
            <color indexed="81"/>
            <rFont val="Tahoma"/>
            <family val="2"/>
          </rPr>
          <t>CRISIL:</t>
        </r>
        <r>
          <rPr>
            <sz val="9"/>
            <color indexed="81"/>
            <rFont val="Tahoma"/>
            <family val="2"/>
          </rPr>
          <t xml:space="preserve">
Data na</t>
        </r>
      </text>
    </comment>
    <comment ref="AV319" authorId="0" shapeId="0" xr:uid="{303EC57C-AB8B-464C-BDC1-949668BF0015}">
      <text>
        <r>
          <rPr>
            <b/>
            <sz val="9"/>
            <color indexed="81"/>
            <rFont val="Tahoma"/>
            <family val="2"/>
          </rPr>
          <t>CRISIL:</t>
        </r>
        <r>
          <rPr>
            <sz val="9"/>
            <color indexed="81"/>
            <rFont val="Tahoma"/>
            <family val="2"/>
          </rPr>
          <t xml:space="preserve">
Data na</t>
        </r>
      </text>
    </comment>
    <comment ref="AW319" authorId="0" shapeId="0" xr:uid="{C2C09836-A9CD-4740-A910-C37064B0E5CE}">
      <text>
        <r>
          <rPr>
            <b/>
            <sz val="9"/>
            <color indexed="81"/>
            <rFont val="Tahoma"/>
            <family val="2"/>
          </rPr>
          <t>CRISIL:</t>
        </r>
        <r>
          <rPr>
            <sz val="9"/>
            <color indexed="81"/>
            <rFont val="Tahoma"/>
            <family val="2"/>
          </rPr>
          <t xml:space="preserve">
Data na</t>
        </r>
      </text>
    </comment>
    <comment ref="O322" authorId="0" shapeId="0" xr:uid="{850525E9-916F-4CF1-BCE2-AC5390A6B3AB}">
      <text>
        <r>
          <rPr>
            <b/>
            <sz val="9"/>
            <color indexed="81"/>
            <rFont val="Tahoma"/>
            <family val="2"/>
          </rPr>
          <t>CRISIL:</t>
        </r>
        <r>
          <rPr>
            <sz val="9"/>
            <color indexed="81"/>
            <rFont val="Tahoma"/>
            <family val="2"/>
          </rPr>
          <t xml:space="preserve">
Data na</t>
        </r>
      </text>
    </comment>
    <comment ref="AT322" authorId="0" shapeId="0" xr:uid="{5ED6F274-3CB7-478B-B529-73854339055C}">
      <text>
        <r>
          <rPr>
            <b/>
            <sz val="9"/>
            <color indexed="81"/>
            <rFont val="Tahoma"/>
            <family val="2"/>
          </rPr>
          <t>CRISIL:</t>
        </r>
        <r>
          <rPr>
            <sz val="9"/>
            <color indexed="81"/>
            <rFont val="Tahoma"/>
            <family val="2"/>
          </rPr>
          <t xml:space="preserve">
Data na</t>
        </r>
      </text>
    </comment>
    <comment ref="AU322" authorId="0" shapeId="0" xr:uid="{0082C42F-ABBA-4B48-88A4-79A212E07F91}">
      <text>
        <r>
          <rPr>
            <b/>
            <sz val="9"/>
            <color indexed="81"/>
            <rFont val="Tahoma"/>
            <family val="2"/>
          </rPr>
          <t>CRISIL:</t>
        </r>
        <r>
          <rPr>
            <sz val="9"/>
            <color indexed="81"/>
            <rFont val="Tahoma"/>
            <family val="2"/>
          </rPr>
          <t xml:space="preserve">
Data na</t>
        </r>
      </text>
    </comment>
    <comment ref="AV322" authorId="0" shapeId="0" xr:uid="{56468360-904B-4703-9F54-111762DCCFAD}">
      <text>
        <r>
          <rPr>
            <b/>
            <sz val="9"/>
            <color indexed="81"/>
            <rFont val="Tahoma"/>
            <family val="2"/>
          </rPr>
          <t>CRISIL:</t>
        </r>
        <r>
          <rPr>
            <sz val="9"/>
            <color indexed="81"/>
            <rFont val="Tahoma"/>
            <family val="2"/>
          </rPr>
          <t xml:space="preserve">
Data na</t>
        </r>
      </text>
    </comment>
    <comment ref="O323" authorId="0" shapeId="0" xr:uid="{E111321B-3150-4B3D-A41D-21CC142D63B6}">
      <text>
        <r>
          <rPr>
            <b/>
            <sz val="9"/>
            <color indexed="81"/>
            <rFont val="Tahoma"/>
            <family val="2"/>
          </rPr>
          <t>CRISIL:</t>
        </r>
        <r>
          <rPr>
            <sz val="9"/>
            <color indexed="81"/>
            <rFont val="Tahoma"/>
            <family val="2"/>
          </rPr>
          <t xml:space="preserve">
Data na</t>
        </r>
      </text>
    </comment>
    <comment ref="AT323" authorId="0" shapeId="0" xr:uid="{9B42CDE6-CDEF-408C-ABB1-445F8C866996}">
      <text>
        <r>
          <rPr>
            <b/>
            <sz val="9"/>
            <color indexed="81"/>
            <rFont val="Tahoma"/>
            <family val="2"/>
          </rPr>
          <t>CRISIL:</t>
        </r>
        <r>
          <rPr>
            <sz val="9"/>
            <color indexed="81"/>
            <rFont val="Tahoma"/>
            <family val="2"/>
          </rPr>
          <t xml:space="preserve">
Data na</t>
        </r>
      </text>
    </comment>
    <comment ref="AU323" authorId="0" shapeId="0" xr:uid="{96D52F97-C52F-4343-A14A-978E3C879C7B}">
      <text>
        <r>
          <rPr>
            <b/>
            <sz val="9"/>
            <color indexed="81"/>
            <rFont val="Tahoma"/>
            <family val="2"/>
          </rPr>
          <t>CRISIL:</t>
        </r>
        <r>
          <rPr>
            <sz val="9"/>
            <color indexed="81"/>
            <rFont val="Tahoma"/>
            <family val="2"/>
          </rPr>
          <t xml:space="preserve">
Data na</t>
        </r>
      </text>
    </comment>
    <comment ref="AV323" authorId="0" shapeId="0" xr:uid="{DDC47DEB-E7D9-4130-B63C-70EE3F7E9CED}">
      <text>
        <r>
          <rPr>
            <b/>
            <sz val="9"/>
            <color indexed="81"/>
            <rFont val="Tahoma"/>
            <family val="2"/>
          </rPr>
          <t>CRISIL:</t>
        </r>
        <r>
          <rPr>
            <sz val="9"/>
            <color indexed="81"/>
            <rFont val="Tahoma"/>
            <family val="2"/>
          </rPr>
          <t xml:space="preserve">
Data na</t>
        </r>
      </text>
    </comment>
    <comment ref="O327" authorId="0" shapeId="0" xr:uid="{9D36293A-112D-4563-8DB1-4192E0545016}">
      <text>
        <r>
          <rPr>
            <b/>
            <sz val="9"/>
            <color indexed="81"/>
            <rFont val="Tahoma"/>
            <family val="2"/>
          </rPr>
          <t>CRISIL:</t>
        </r>
        <r>
          <rPr>
            <sz val="9"/>
            <color indexed="81"/>
            <rFont val="Tahoma"/>
            <family val="2"/>
          </rPr>
          <t xml:space="preserve">
Data na</t>
        </r>
      </text>
    </comment>
    <comment ref="AS327" authorId="0" shapeId="0" xr:uid="{1233FEBA-1282-46E9-BC2E-221B198DAC7A}">
      <text>
        <r>
          <rPr>
            <b/>
            <sz val="9"/>
            <color indexed="81"/>
            <rFont val="Tahoma"/>
            <family val="2"/>
          </rPr>
          <t>CRISIL:</t>
        </r>
        <r>
          <rPr>
            <sz val="9"/>
            <color indexed="81"/>
            <rFont val="Tahoma"/>
            <family val="2"/>
          </rPr>
          <t xml:space="preserve">
Data na</t>
        </r>
      </text>
    </comment>
    <comment ref="AT327" authorId="0" shapeId="0" xr:uid="{CE36D10C-4E1F-4D70-8B9C-8FC82DFDB302}">
      <text>
        <r>
          <rPr>
            <b/>
            <sz val="9"/>
            <color indexed="81"/>
            <rFont val="Tahoma"/>
            <family val="2"/>
          </rPr>
          <t>CRISIL:</t>
        </r>
        <r>
          <rPr>
            <sz val="9"/>
            <color indexed="81"/>
            <rFont val="Tahoma"/>
            <family val="2"/>
          </rPr>
          <t xml:space="preserve">
Data na</t>
        </r>
      </text>
    </comment>
    <comment ref="AU327" authorId="0" shapeId="0" xr:uid="{5DD34237-98DB-4672-B71D-B762B850FEFF}">
      <text>
        <r>
          <rPr>
            <b/>
            <sz val="9"/>
            <color indexed="81"/>
            <rFont val="Tahoma"/>
            <family val="2"/>
          </rPr>
          <t>CRISIL:</t>
        </r>
        <r>
          <rPr>
            <sz val="9"/>
            <color indexed="81"/>
            <rFont val="Tahoma"/>
            <family val="2"/>
          </rPr>
          <t xml:space="preserve">
Data na</t>
        </r>
      </text>
    </comment>
    <comment ref="AV327" authorId="0" shapeId="0" xr:uid="{846DCAE0-9D0C-47EF-A67F-68E7B0F7D43C}">
      <text>
        <r>
          <rPr>
            <b/>
            <sz val="9"/>
            <color indexed="81"/>
            <rFont val="Tahoma"/>
            <family val="2"/>
          </rPr>
          <t>CRISIL:</t>
        </r>
        <r>
          <rPr>
            <sz val="9"/>
            <color indexed="81"/>
            <rFont val="Tahoma"/>
            <family val="2"/>
          </rPr>
          <t xml:space="preserve">
Data na</t>
        </r>
      </text>
    </comment>
    <comment ref="AW327" authorId="0" shapeId="0" xr:uid="{A53698DC-9A8F-42AE-91EB-F66A9FD8FBE6}">
      <text>
        <r>
          <rPr>
            <b/>
            <sz val="9"/>
            <color indexed="81"/>
            <rFont val="Tahoma"/>
            <family val="2"/>
          </rPr>
          <t>CRISIL:</t>
        </r>
        <r>
          <rPr>
            <sz val="9"/>
            <color indexed="81"/>
            <rFont val="Tahoma"/>
            <family val="2"/>
          </rPr>
          <t xml:space="preserve">
Data na</t>
        </r>
      </text>
    </comment>
    <comment ref="O328" authorId="0" shapeId="0" xr:uid="{A90309F2-324E-4B35-80D7-2936D9F879D0}">
      <text>
        <r>
          <rPr>
            <b/>
            <sz val="9"/>
            <color indexed="81"/>
            <rFont val="Tahoma"/>
            <family val="2"/>
          </rPr>
          <t>CRISIL:</t>
        </r>
        <r>
          <rPr>
            <sz val="9"/>
            <color indexed="81"/>
            <rFont val="Tahoma"/>
            <family val="2"/>
          </rPr>
          <t xml:space="preserve">
Data na</t>
        </r>
      </text>
    </comment>
    <comment ref="AS328" authorId="0" shapeId="0" xr:uid="{57CA0219-B9B7-466D-8C20-2637B3D3070B}">
      <text>
        <r>
          <rPr>
            <b/>
            <sz val="9"/>
            <color indexed="81"/>
            <rFont val="Tahoma"/>
            <family val="2"/>
          </rPr>
          <t>CRISIL:</t>
        </r>
        <r>
          <rPr>
            <sz val="9"/>
            <color indexed="81"/>
            <rFont val="Tahoma"/>
            <family val="2"/>
          </rPr>
          <t xml:space="preserve">
Data na</t>
        </r>
      </text>
    </comment>
    <comment ref="AT328" authorId="0" shapeId="0" xr:uid="{DE8BC3B3-61C9-43EF-B2AD-2DF4E9165BA5}">
      <text>
        <r>
          <rPr>
            <b/>
            <sz val="9"/>
            <color indexed="81"/>
            <rFont val="Tahoma"/>
            <family val="2"/>
          </rPr>
          <t>CRISIL:</t>
        </r>
        <r>
          <rPr>
            <sz val="9"/>
            <color indexed="81"/>
            <rFont val="Tahoma"/>
            <family val="2"/>
          </rPr>
          <t xml:space="preserve">
Data na</t>
        </r>
      </text>
    </comment>
    <comment ref="AU328" authorId="0" shapeId="0" xr:uid="{871517FD-2DF3-4FD8-9698-72AD636384B0}">
      <text>
        <r>
          <rPr>
            <b/>
            <sz val="9"/>
            <color indexed="81"/>
            <rFont val="Tahoma"/>
            <family val="2"/>
          </rPr>
          <t>CRISIL:</t>
        </r>
        <r>
          <rPr>
            <sz val="9"/>
            <color indexed="81"/>
            <rFont val="Tahoma"/>
            <family val="2"/>
          </rPr>
          <t xml:space="preserve">
Data na</t>
        </r>
      </text>
    </comment>
    <comment ref="AV328" authorId="0" shapeId="0" xr:uid="{4509B651-0339-48EA-BA1D-DC571E4BA149}">
      <text>
        <r>
          <rPr>
            <b/>
            <sz val="9"/>
            <color indexed="81"/>
            <rFont val="Tahoma"/>
            <family val="2"/>
          </rPr>
          <t>CRISIL:</t>
        </r>
        <r>
          <rPr>
            <sz val="9"/>
            <color indexed="81"/>
            <rFont val="Tahoma"/>
            <family val="2"/>
          </rPr>
          <t xml:space="preserve">
Data na</t>
        </r>
      </text>
    </comment>
    <comment ref="AW328" authorId="0" shapeId="0" xr:uid="{9727E6D0-7AB5-47BB-9A66-5511A71CC390}">
      <text>
        <r>
          <rPr>
            <b/>
            <sz val="9"/>
            <color indexed="81"/>
            <rFont val="Tahoma"/>
            <family val="2"/>
          </rPr>
          <t>CRISIL:</t>
        </r>
        <r>
          <rPr>
            <sz val="9"/>
            <color indexed="81"/>
            <rFont val="Tahoma"/>
            <family val="2"/>
          </rPr>
          <t xml:space="preserve">
Data na</t>
        </r>
      </text>
    </comment>
    <comment ref="O330" authorId="0" shapeId="0" xr:uid="{16DF7EDB-FB97-45F8-8807-7A665A0B60FF}">
      <text>
        <r>
          <rPr>
            <b/>
            <sz val="9"/>
            <color indexed="81"/>
            <rFont val="Tahoma"/>
            <family val="2"/>
          </rPr>
          <t>CRISIL:</t>
        </r>
        <r>
          <rPr>
            <sz val="9"/>
            <color indexed="81"/>
            <rFont val="Tahoma"/>
            <family val="2"/>
          </rPr>
          <t xml:space="preserve">
Data na</t>
        </r>
      </text>
    </comment>
    <comment ref="AS330" authorId="0" shapeId="0" xr:uid="{60DA1825-F517-4AB7-9C05-7A408174D208}">
      <text>
        <r>
          <rPr>
            <b/>
            <sz val="9"/>
            <color indexed="81"/>
            <rFont val="Tahoma"/>
            <family val="2"/>
          </rPr>
          <t>CRISIL:</t>
        </r>
        <r>
          <rPr>
            <sz val="9"/>
            <color indexed="81"/>
            <rFont val="Tahoma"/>
            <family val="2"/>
          </rPr>
          <t xml:space="preserve">
Data na</t>
        </r>
      </text>
    </comment>
    <comment ref="AT330" authorId="0" shapeId="0" xr:uid="{51754C4D-1C17-471C-892E-8CCED9C17C9E}">
      <text>
        <r>
          <rPr>
            <b/>
            <sz val="9"/>
            <color indexed="81"/>
            <rFont val="Tahoma"/>
            <family val="2"/>
          </rPr>
          <t>CRISIL:</t>
        </r>
        <r>
          <rPr>
            <sz val="9"/>
            <color indexed="81"/>
            <rFont val="Tahoma"/>
            <family val="2"/>
          </rPr>
          <t xml:space="preserve">
Data na</t>
        </r>
      </text>
    </comment>
    <comment ref="AU330" authorId="0" shapeId="0" xr:uid="{5E8B7DA9-376F-4C49-9DB8-88E490AAA3AC}">
      <text>
        <r>
          <rPr>
            <b/>
            <sz val="9"/>
            <color indexed="81"/>
            <rFont val="Tahoma"/>
            <family val="2"/>
          </rPr>
          <t>CRISIL:</t>
        </r>
        <r>
          <rPr>
            <sz val="9"/>
            <color indexed="81"/>
            <rFont val="Tahoma"/>
            <family val="2"/>
          </rPr>
          <t xml:space="preserve">
Data na</t>
        </r>
      </text>
    </comment>
    <comment ref="AV330" authorId="0" shapeId="0" xr:uid="{49A56812-99C6-4B36-9486-47E1559FFD4C}">
      <text>
        <r>
          <rPr>
            <b/>
            <sz val="9"/>
            <color indexed="81"/>
            <rFont val="Tahoma"/>
            <family val="2"/>
          </rPr>
          <t>CRISIL:</t>
        </r>
        <r>
          <rPr>
            <sz val="9"/>
            <color indexed="81"/>
            <rFont val="Tahoma"/>
            <family val="2"/>
          </rPr>
          <t xml:space="preserve">
Data na</t>
        </r>
      </text>
    </comment>
    <comment ref="AW330" authorId="0" shapeId="0" xr:uid="{7B97108C-D61C-400C-87DE-FD86AC9C69D2}">
      <text>
        <r>
          <rPr>
            <b/>
            <sz val="9"/>
            <color indexed="81"/>
            <rFont val="Tahoma"/>
            <family val="2"/>
          </rPr>
          <t>CRISIL:</t>
        </r>
        <r>
          <rPr>
            <sz val="9"/>
            <color indexed="81"/>
            <rFont val="Tahoma"/>
            <family val="2"/>
          </rPr>
          <t xml:space="preserve">
Data na</t>
        </r>
      </text>
    </comment>
    <comment ref="O331" authorId="0" shapeId="0" xr:uid="{6DEF74EC-C3B5-458E-89FA-CAE9E34960ED}">
      <text>
        <r>
          <rPr>
            <b/>
            <sz val="9"/>
            <color indexed="81"/>
            <rFont val="Tahoma"/>
            <family val="2"/>
          </rPr>
          <t>CRISIL:</t>
        </r>
        <r>
          <rPr>
            <sz val="9"/>
            <color indexed="81"/>
            <rFont val="Tahoma"/>
            <family val="2"/>
          </rPr>
          <t xml:space="preserve">
Data na</t>
        </r>
      </text>
    </comment>
    <comment ref="AS331" authorId="0" shapeId="0" xr:uid="{8A76A302-1B95-487F-A198-900E8DB09E46}">
      <text>
        <r>
          <rPr>
            <b/>
            <sz val="9"/>
            <color indexed="81"/>
            <rFont val="Tahoma"/>
            <family val="2"/>
          </rPr>
          <t>CRISIL:</t>
        </r>
        <r>
          <rPr>
            <sz val="9"/>
            <color indexed="81"/>
            <rFont val="Tahoma"/>
            <family val="2"/>
          </rPr>
          <t xml:space="preserve">
Data na</t>
        </r>
      </text>
    </comment>
    <comment ref="AT331" authorId="0" shapeId="0" xr:uid="{B8E8B319-C6C7-4EDE-86A3-EAD76F6A6DC8}">
      <text>
        <r>
          <rPr>
            <b/>
            <sz val="9"/>
            <color indexed="81"/>
            <rFont val="Tahoma"/>
            <family val="2"/>
          </rPr>
          <t>CRISIL:</t>
        </r>
        <r>
          <rPr>
            <sz val="9"/>
            <color indexed="81"/>
            <rFont val="Tahoma"/>
            <family val="2"/>
          </rPr>
          <t xml:space="preserve">
Data na</t>
        </r>
      </text>
    </comment>
    <comment ref="AU331" authorId="0" shapeId="0" xr:uid="{F8313A76-1721-4967-9CE9-9B0358EA0ECD}">
      <text>
        <r>
          <rPr>
            <b/>
            <sz val="9"/>
            <color indexed="81"/>
            <rFont val="Tahoma"/>
            <family val="2"/>
          </rPr>
          <t>CRISIL:</t>
        </r>
        <r>
          <rPr>
            <sz val="9"/>
            <color indexed="81"/>
            <rFont val="Tahoma"/>
            <family val="2"/>
          </rPr>
          <t xml:space="preserve">
Data na</t>
        </r>
      </text>
    </comment>
    <comment ref="AV331" authorId="0" shapeId="0" xr:uid="{DA9BF643-5D70-4B49-844F-94A417E38684}">
      <text>
        <r>
          <rPr>
            <b/>
            <sz val="9"/>
            <color indexed="81"/>
            <rFont val="Tahoma"/>
            <family val="2"/>
          </rPr>
          <t>CRISIL:</t>
        </r>
        <r>
          <rPr>
            <sz val="9"/>
            <color indexed="81"/>
            <rFont val="Tahoma"/>
            <family val="2"/>
          </rPr>
          <t xml:space="preserve">
Data na</t>
        </r>
      </text>
    </comment>
    <comment ref="AW331" authorId="0" shapeId="0" xr:uid="{65FEE6C8-5676-40AD-92D2-2C41A68A1BFA}">
      <text>
        <r>
          <rPr>
            <b/>
            <sz val="9"/>
            <color indexed="81"/>
            <rFont val="Tahoma"/>
            <family val="2"/>
          </rPr>
          <t>CRISIL:</t>
        </r>
        <r>
          <rPr>
            <sz val="9"/>
            <color indexed="81"/>
            <rFont val="Tahoma"/>
            <family val="2"/>
          </rPr>
          <t xml:space="preserve">
Data na</t>
        </r>
      </text>
    </comment>
    <comment ref="O332" authorId="0" shapeId="0" xr:uid="{5D1F5348-20CA-4081-A66B-DDCC31A3C65E}">
      <text>
        <r>
          <rPr>
            <b/>
            <sz val="9"/>
            <color indexed="81"/>
            <rFont val="Tahoma"/>
            <family val="2"/>
          </rPr>
          <t>CRISIL:</t>
        </r>
        <r>
          <rPr>
            <sz val="9"/>
            <color indexed="81"/>
            <rFont val="Tahoma"/>
            <family val="2"/>
          </rPr>
          <t xml:space="preserve">
Data na</t>
        </r>
      </text>
    </comment>
    <comment ref="AS332" authorId="0" shapeId="0" xr:uid="{2EF91BD2-3FC5-4965-99DE-0072B1476F7F}">
      <text>
        <r>
          <rPr>
            <b/>
            <sz val="9"/>
            <color indexed="81"/>
            <rFont val="Tahoma"/>
            <family val="2"/>
          </rPr>
          <t>CRISIL:</t>
        </r>
        <r>
          <rPr>
            <sz val="9"/>
            <color indexed="81"/>
            <rFont val="Tahoma"/>
            <family val="2"/>
          </rPr>
          <t xml:space="preserve">
Data na</t>
        </r>
      </text>
    </comment>
    <comment ref="AT332" authorId="0" shapeId="0" xr:uid="{DD1FA31A-3291-4117-B9BD-C41E27CE0639}">
      <text>
        <r>
          <rPr>
            <b/>
            <sz val="9"/>
            <color indexed="81"/>
            <rFont val="Tahoma"/>
            <family val="2"/>
          </rPr>
          <t>CRISIL:</t>
        </r>
        <r>
          <rPr>
            <sz val="9"/>
            <color indexed="81"/>
            <rFont val="Tahoma"/>
            <family val="2"/>
          </rPr>
          <t xml:space="preserve">
Data na</t>
        </r>
      </text>
    </comment>
    <comment ref="AU332" authorId="0" shapeId="0" xr:uid="{DADCE2C3-5A6E-4E3A-B39A-2490C109369C}">
      <text>
        <r>
          <rPr>
            <b/>
            <sz val="9"/>
            <color indexed="81"/>
            <rFont val="Tahoma"/>
            <family val="2"/>
          </rPr>
          <t>CRISIL:</t>
        </r>
        <r>
          <rPr>
            <sz val="9"/>
            <color indexed="81"/>
            <rFont val="Tahoma"/>
            <family val="2"/>
          </rPr>
          <t xml:space="preserve">
Data na</t>
        </r>
      </text>
    </comment>
    <comment ref="AV332" authorId="0" shapeId="0" xr:uid="{4705446D-0A54-41A2-9A20-8DC9B5A2DA7A}">
      <text>
        <r>
          <rPr>
            <b/>
            <sz val="9"/>
            <color indexed="81"/>
            <rFont val="Tahoma"/>
            <family val="2"/>
          </rPr>
          <t>CRISIL:</t>
        </r>
        <r>
          <rPr>
            <sz val="9"/>
            <color indexed="81"/>
            <rFont val="Tahoma"/>
            <family val="2"/>
          </rPr>
          <t xml:space="preserve">
Data na</t>
        </r>
      </text>
    </comment>
    <comment ref="AW332" authorId="0" shapeId="0" xr:uid="{359949C3-B2D0-4ED1-BEAB-186C70E61433}">
      <text>
        <r>
          <rPr>
            <b/>
            <sz val="9"/>
            <color indexed="81"/>
            <rFont val="Tahoma"/>
            <family val="2"/>
          </rPr>
          <t>CRISIL:</t>
        </r>
        <r>
          <rPr>
            <sz val="9"/>
            <color indexed="81"/>
            <rFont val="Tahoma"/>
            <family val="2"/>
          </rPr>
          <t xml:space="preserve">
Data na</t>
        </r>
      </text>
    </comment>
    <comment ref="K336" authorId="0" shapeId="0" xr:uid="{5C9A8EB8-9D69-4FEF-A197-32C9BF955FC4}">
      <text>
        <r>
          <rPr>
            <b/>
            <sz val="9"/>
            <color indexed="81"/>
            <rFont val="Tahoma"/>
            <family val="2"/>
          </rPr>
          <t>CRISIL:</t>
        </r>
        <r>
          <rPr>
            <sz val="9"/>
            <color indexed="81"/>
            <rFont val="Tahoma"/>
            <family val="2"/>
          </rPr>
          <t xml:space="preserve">
Discontinued operation</t>
        </r>
      </text>
    </comment>
    <comment ref="L336" authorId="0" shapeId="0" xr:uid="{140F9C3C-C076-45BF-BBE9-F1482EC415E9}">
      <text>
        <r>
          <rPr>
            <b/>
            <sz val="9"/>
            <color indexed="81"/>
            <rFont val="Tahoma"/>
            <family val="2"/>
          </rPr>
          <t>CRISIL:</t>
        </r>
        <r>
          <rPr>
            <sz val="9"/>
            <color indexed="81"/>
            <rFont val="Tahoma"/>
            <family val="2"/>
          </rPr>
          <t xml:space="preserve">
Discontinued operation</t>
        </r>
      </text>
    </comment>
    <comment ref="M336" authorId="0" shapeId="0" xr:uid="{82DD5610-DAC7-4BE4-8F05-F24A5EBD08E9}">
      <text>
        <r>
          <rPr>
            <b/>
            <sz val="9"/>
            <color indexed="81"/>
            <rFont val="Tahoma"/>
            <family val="2"/>
          </rPr>
          <t>CRISIL:</t>
        </r>
        <r>
          <rPr>
            <sz val="9"/>
            <color indexed="81"/>
            <rFont val="Tahoma"/>
            <family val="2"/>
          </rPr>
          <t xml:space="preserve">
Discontinued operation</t>
        </r>
      </text>
    </comment>
    <comment ref="AN336" authorId="0" shapeId="0" xr:uid="{319A3A03-5154-4C10-9FF4-E73F0909473A}">
      <text>
        <r>
          <rPr>
            <b/>
            <sz val="9"/>
            <color indexed="81"/>
            <rFont val="Tahoma"/>
            <family val="2"/>
          </rPr>
          <t>CRISIL:</t>
        </r>
        <r>
          <rPr>
            <sz val="9"/>
            <color indexed="81"/>
            <rFont val="Tahoma"/>
            <family val="2"/>
          </rPr>
          <t xml:space="preserve">
Discontinued operation</t>
        </r>
      </text>
    </comment>
    <comment ref="AO336" authorId="0" shapeId="0" xr:uid="{A360A5DE-31FB-48A0-A6C9-DED5518C8FC5}">
      <text>
        <r>
          <rPr>
            <b/>
            <sz val="9"/>
            <color indexed="81"/>
            <rFont val="Tahoma"/>
            <family val="2"/>
          </rPr>
          <t>CRISIL:</t>
        </r>
        <r>
          <rPr>
            <sz val="9"/>
            <color indexed="81"/>
            <rFont val="Tahoma"/>
            <family val="2"/>
          </rPr>
          <t xml:space="preserve">
Discontinued operation</t>
        </r>
      </text>
    </comment>
    <comment ref="AP336" authorId="0" shapeId="0" xr:uid="{22BB8869-0859-4834-87CF-B1BD7E1445E3}">
      <text>
        <r>
          <rPr>
            <b/>
            <sz val="9"/>
            <color indexed="81"/>
            <rFont val="Tahoma"/>
            <family val="2"/>
          </rPr>
          <t>CRISIL:</t>
        </r>
        <r>
          <rPr>
            <sz val="9"/>
            <color indexed="81"/>
            <rFont val="Tahoma"/>
            <family val="2"/>
          </rPr>
          <t xml:space="preserve">
Discontinued operation</t>
        </r>
      </text>
    </comment>
    <comment ref="AS336" authorId="0" shapeId="0" xr:uid="{EC2CEEC5-C801-43BA-A3F6-8B159CD3E387}">
      <text>
        <r>
          <rPr>
            <b/>
            <sz val="9"/>
            <color indexed="81"/>
            <rFont val="Tahoma"/>
            <family val="2"/>
          </rPr>
          <t>CRISIL:</t>
        </r>
        <r>
          <rPr>
            <sz val="9"/>
            <color indexed="81"/>
            <rFont val="Tahoma"/>
            <family val="2"/>
          </rPr>
          <t xml:space="preserve">
Discontinued operation</t>
        </r>
      </text>
    </comment>
    <comment ref="AT336" authorId="0" shapeId="0" xr:uid="{A20DC447-BFA0-4D67-B03E-FF5A639B671A}">
      <text>
        <r>
          <rPr>
            <b/>
            <sz val="9"/>
            <color indexed="81"/>
            <rFont val="Tahoma"/>
            <family val="2"/>
          </rPr>
          <t>CRISIL:</t>
        </r>
        <r>
          <rPr>
            <sz val="9"/>
            <color indexed="81"/>
            <rFont val="Tahoma"/>
            <family val="2"/>
          </rPr>
          <t xml:space="preserve">
Discontinued operation</t>
        </r>
      </text>
    </comment>
    <comment ref="AU336" authorId="0" shapeId="0" xr:uid="{5F8B3180-7892-4A76-A8B2-1FF93C8FAB3E}">
      <text>
        <r>
          <rPr>
            <b/>
            <sz val="9"/>
            <color indexed="81"/>
            <rFont val="Tahoma"/>
            <family val="2"/>
          </rPr>
          <t>CRISIL:</t>
        </r>
        <r>
          <rPr>
            <sz val="9"/>
            <color indexed="81"/>
            <rFont val="Tahoma"/>
            <family val="2"/>
          </rPr>
          <t xml:space="preserve">
Discontinued operation</t>
        </r>
      </text>
    </comment>
    <comment ref="AW336" authorId="0" shapeId="0" xr:uid="{8F9816A9-0DE9-4DA2-AB9D-DB9DDA1071E5}">
      <text>
        <r>
          <rPr>
            <b/>
            <sz val="9"/>
            <color indexed="81"/>
            <rFont val="Tahoma"/>
            <family val="2"/>
          </rPr>
          <t>CRISIL:</t>
        </r>
        <r>
          <rPr>
            <sz val="9"/>
            <color indexed="81"/>
            <rFont val="Tahoma"/>
            <family val="2"/>
          </rPr>
          <t xml:space="preserve">
Discontinued operation</t>
        </r>
      </text>
    </comment>
    <comment ref="AY336" authorId="0" shapeId="0" xr:uid="{0F39BBEB-0E61-430C-9B4B-49622AD81641}">
      <text>
        <r>
          <rPr>
            <b/>
            <sz val="9"/>
            <color indexed="81"/>
            <rFont val="Tahoma"/>
            <family val="2"/>
          </rPr>
          <t>CRISIL:</t>
        </r>
        <r>
          <rPr>
            <sz val="9"/>
            <color indexed="81"/>
            <rFont val="Tahoma"/>
            <family val="2"/>
          </rPr>
          <t xml:space="preserve">
Discontinued operation</t>
        </r>
      </text>
    </comment>
    <comment ref="O356" authorId="0" shapeId="0" xr:uid="{876C5161-E337-4D0A-98EF-75E3EB7CA06D}">
      <text>
        <r>
          <rPr>
            <b/>
            <sz val="9"/>
            <color indexed="81"/>
            <rFont val="Tahoma"/>
            <family val="2"/>
          </rPr>
          <t>CRISIL:</t>
        </r>
        <r>
          <rPr>
            <sz val="9"/>
            <color indexed="81"/>
            <rFont val="Tahoma"/>
            <family val="2"/>
          </rPr>
          <t xml:space="preserve">
from excel report</t>
        </r>
      </text>
    </comment>
    <comment ref="AR356" authorId="0" shapeId="0" xr:uid="{9DA6163E-342E-4464-BF25-83A98BA1C03F}">
      <text>
        <r>
          <rPr>
            <b/>
            <sz val="9"/>
            <color indexed="81"/>
            <rFont val="Tahoma"/>
            <family val="2"/>
          </rPr>
          <t>CRISIL:</t>
        </r>
        <r>
          <rPr>
            <sz val="9"/>
            <color indexed="81"/>
            <rFont val="Tahoma"/>
            <family val="2"/>
          </rPr>
          <t xml:space="preserve">
from excel report</t>
        </r>
      </text>
    </comment>
    <comment ref="AS356" authorId="0" shapeId="0" xr:uid="{25500B55-2E5F-4862-BAC9-F555E135D5A1}">
      <text>
        <r>
          <rPr>
            <b/>
            <sz val="9"/>
            <color indexed="81"/>
            <rFont val="Tahoma"/>
            <family val="2"/>
          </rPr>
          <t>CRISIL:</t>
        </r>
        <r>
          <rPr>
            <sz val="9"/>
            <color indexed="81"/>
            <rFont val="Tahoma"/>
            <family val="2"/>
          </rPr>
          <t xml:space="preserve">
from excel report</t>
        </r>
      </text>
    </comment>
    <comment ref="AT356" authorId="0" shapeId="0" xr:uid="{8BF27B4F-4093-4C9F-B409-67386FCD3B08}">
      <text>
        <r>
          <rPr>
            <b/>
            <sz val="9"/>
            <color indexed="81"/>
            <rFont val="Tahoma"/>
            <family val="2"/>
          </rPr>
          <t>CRISIL:</t>
        </r>
        <r>
          <rPr>
            <sz val="9"/>
            <color indexed="81"/>
            <rFont val="Tahoma"/>
            <family val="2"/>
          </rPr>
          <t xml:space="preserve">
from excel report</t>
        </r>
      </text>
    </comment>
    <comment ref="AU356" authorId="0" shapeId="0" xr:uid="{CBDAB0FD-EEA2-4E07-A5B2-B2202C4B0C81}">
      <text>
        <r>
          <rPr>
            <b/>
            <sz val="9"/>
            <color indexed="81"/>
            <rFont val="Tahoma"/>
            <family val="2"/>
          </rPr>
          <t>CRISIL:</t>
        </r>
        <r>
          <rPr>
            <sz val="9"/>
            <color indexed="81"/>
            <rFont val="Tahoma"/>
            <family val="2"/>
          </rPr>
          <t xml:space="preserve">
from excel report</t>
        </r>
      </text>
    </comment>
    <comment ref="AV356" authorId="0" shapeId="0" xr:uid="{7F2A9F4E-E438-4AAF-85C2-A69832BFF1AD}">
      <text>
        <r>
          <rPr>
            <b/>
            <sz val="9"/>
            <color indexed="81"/>
            <rFont val="Tahoma"/>
            <family val="2"/>
          </rPr>
          <t>CRISIL:</t>
        </r>
        <r>
          <rPr>
            <sz val="9"/>
            <color indexed="81"/>
            <rFont val="Tahoma"/>
            <family val="2"/>
          </rPr>
          <t xml:space="preserve">
from excel report</t>
        </r>
      </text>
    </comment>
    <comment ref="AW356" authorId="0" shapeId="0" xr:uid="{031C00FC-CD5D-46CB-ABD6-AD681EB473A8}">
      <text>
        <r>
          <rPr>
            <b/>
            <sz val="9"/>
            <color indexed="81"/>
            <rFont val="Tahoma"/>
            <family val="2"/>
          </rPr>
          <t>CRISIL:</t>
        </r>
        <r>
          <rPr>
            <sz val="9"/>
            <color indexed="81"/>
            <rFont val="Tahoma"/>
            <family val="2"/>
          </rPr>
          <t xml:space="preserve">
from excel report</t>
        </r>
      </text>
    </comment>
    <comment ref="BA356" authorId="0" shapeId="0" xr:uid="{460D61D9-BB0E-49F6-B108-BB0A27358D8C}">
      <text>
        <r>
          <rPr>
            <b/>
            <sz val="9"/>
            <color indexed="81"/>
            <rFont val="Tahoma"/>
            <family val="2"/>
          </rPr>
          <t>CRISIL:</t>
        </r>
        <r>
          <rPr>
            <sz val="9"/>
            <color indexed="81"/>
            <rFont val="Tahoma"/>
            <family val="2"/>
          </rPr>
          <t xml:space="preserve">
from excel report</t>
        </r>
      </text>
    </comment>
    <comment ref="AW408" authorId="0" shapeId="0" xr:uid="{598BA883-26E2-4135-9774-93DC94CE869A}">
      <text>
        <r>
          <rPr>
            <b/>
            <sz val="9"/>
            <color indexed="81"/>
            <rFont val="Tahoma"/>
            <family val="2"/>
          </rPr>
          <t>CRISIL:</t>
        </r>
        <r>
          <rPr>
            <sz val="9"/>
            <color indexed="81"/>
            <rFont val="Tahoma"/>
            <family val="2"/>
          </rPr>
          <t xml:space="preserve">
all from excel</t>
        </r>
      </text>
    </comment>
    <comment ref="BA408" authorId="0" shapeId="0" xr:uid="{CB587174-E470-4C57-8B54-5D3B071F01FB}">
      <text>
        <r>
          <rPr>
            <b/>
            <sz val="9"/>
            <color indexed="81"/>
            <rFont val="Tahoma"/>
            <family val="2"/>
          </rPr>
          <t>CRISIL:</t>
        </r>
        <r>
          <rPr>
            <sz val="9"/>
            <color indexed="81"/>
            <rFont val="Tahoma"/>
            <family val="2"/>
          </rPr>
          <t xml:space="preserve">
all from excel</t>
        </r>
      </text>
    </comment>
    <comment ref="B419" authorId="0" shapeId="0" xr:uid="{4AC3B789-41AB-4505-BBCF-7CD0259CC21B}">
      <text>
        <r>
          <rPr>
            <b/>
            <sz val="9"/>
            <color indexed="81"/>
            <rFont val="Tahoma"/>
            <family val="2"/>
          </rPr>
          <t>CRISIL:</t>
        </r>
        <r>
          <rPr>
            <sz val="9"/>
            <color indexed="81"/>
            <rFont val="Tahoma"/>
            <family val="2"/>
          </rPr>
          <t xml:space="preserve">
OFCF less ROU depreciation</t>
        </r>
      </text>
    </comment>
    <comment ref="B426" authorId="0" shapeId="0" xr:uid="{48CD6241-93E7-4726-8783-F63DF7C52AA4}">
      <text>
        <r>
          <rPr>
            <b/>
            <sz val="9"/>
            <color indexed="81"/>
            <rFont val="Tahoma"/>
            <family val="2"/>
          </rPr>
          <t>CRISIL:</t>
        </r>
        <r>
          <rPr>
            <sz val="9"/>
            <color indexed="81"/>
            <rFont val="Tahoma"/>
            <family val="2"/>
          </rPr>
          <t xml:space="preserve">
OFCF less ROU depreciation</t>
        </r>
      </text>
    </comment>
    <comment ref="B430" authorId="0" shapeId="0" xr:uid="{4DB8EA6A-D869-4725-BDBF-AE687C4BC3AD}">
      <text>
        <r>
          <rPr>
            <b/>
            <sz val="9"/>
            <color indexed="81"/>
            <rFont val="Tahoma"/>
            <family val="2"/>
          </rPr>
          <t>CRISIL:</t>
        </r>
        <r>
          <rPr>
            <sz val="9"/>
            <color indexed="81"/>
            <rFont val="Tahoma"/>
            <family val="2"/>
          </rPr>
          <t xml:space="preserve">
Includes Hubbing</t>
        </r>
      </text>
    </comment>
    <comment ref="B433" authorId="0" shapeId="0" xr:uid="{BF7BDB1D-6699-406A-9E91-9CFD3B4AC526}">
      <text>
        <r>
          <rPr>
            <b/>
            <sz val="9"/>
            <color indexed="81"/>
            <rFont val="Tahoma"/>
            <family val="2"/>
          </rPr>
          <t>CRISIL:</t>
        </r>
        <r>
          <rPr>
            <sz val="9"/>
            <color indexed="81"/>
            <rFont val="Tahoma"/>
            <family val="2"/>
          </rPr>
          <t xml:space="preserve">
OFCF less ROU depreciation</t>
        </r>
      </text>
    </comment>
    <comment ref="B440" authorId="0" shapeId="0" xr:uid="{19286722-A6FE-4971-992B-7B53BEB90839}">
      <text>
        <r>
          <rPr>
            <b/>
            <sz val="9"/>
            <color indexed="81"/>
            <rFont val="Tahoma"/>
            <family val="2"/>
          </rPr>
          <t>CRISIL:</t>
        </r>
        <r>
          <rPr>
            <sz val="9"/>
            <color indexed="81"/>
            <rFont val="Tahoma"/>
            <family val="2"/>
          </rPr>
          <t xml:space="preserve">
OFCF less ROU depreciation</t>
        </r>
      </text>
    </comment>
    <comment ref="B447" authorId="0" shapeId="0" xr:uid="{D81F670C-8387-4839-9E39-2A9A7C3ABC3B}">
      <text>
        <r>
          <rPr>
            <b/>
            <sz val="9"/>
            <color indexed="81"/>
            <rFont val="Tahoma"/>
            <family val="2"/>
          </rPr>
          <t>CRISIL:</t>
        </r>
        <r>
          <rPr>
            <sz val="9"/>
            <color indexed="81"/>
            <rFont val="Tahoma"/>
            <family val="2"/>
          </rPr>
          <t xml:space="preserve">
OFCF less ROU depreciation</t>
        </r>
      </text>
    </comment>
    <comment ref="B454" authorId="0" shapeId="0" xr:uid="{DC6142D7-2561-43E1-8F63-74BD16718E76}">
      <text>
        <r>
          <rPr>
            <b/>
            <sz val="9"/>
            <color indexed="81"/>
            <rFont val="Tahoma"/>
            <family val="2"/>
          </rPr>
          <t>CRISIL:</t>
        </r>
        <r>
          <rPr>
            <sz val="9"/>
            <color indexed="81"/>
            <rFont val="Tahoma"/>
            <family val="2"/>
          </rPr>
          <t xml:space="preserve">
OFCF less ROU depreciation</t>
        </r>
      </text>
    </comment>
    <comment ref="B458" authorId="0" shapeId="0" xr:uid="{09A0B0C4-8095-45D2-9D7E-1C81A36F808F}">
      <text>
        <r>
          <rPr>
            <b/>
            <sz val="9"/>
            <color indexed="81"/>
            <rFont val="Tahoma"/>
            <family val="2"/>
          </rPr>
          <t>CRISIL:</t>
        </r>
        <r>
          <rPr>
            <sz val="9"/>
            <color indexed="81"/>
            <rFont val="Tahoma"/>
            <family val="2"/>
          </rPr>
          <t xml:space="preserve">
Inlcludes bank and non-bank</t>
        </r>
      </text>
    </comment>
    <comment ref="B461" authorId="0" shapeId="0" xr:uid="{343D6870-7245-400E-8265-ED5927525F11}">
      <text>
        <r>
          <rPr>
            <b/>
            <sz val="9"/>
            <color indexed="81"/>
            <rFont val="Tahoma"/>
            <family val="2"/>
          </rPr>
          <t>CRISIL:</t>
        </r>
        <r>
          <rPr>
            <sz val="9"/>
            <color indexed="81"/>
            <rFont val="Tahoma"/>
            <family val="2"/>
          </rPr>
          <t xml:space="preserve">
OFCF less ROU depreciation</t>
        </r>
      </text>
    </comment>
    <comment ref="B465" authorId="0" shapeId="0" xr:uid="{E4354BAA-C7FA-4B8B-9420-359C634B77A2}">
      <text>
        <r>
          <rPr>
            <b/>
            <sz val="9"/>
            <color indexed="81"/>
            <rFont val="Tahoma"/>
            <family val="2"/>
          </rPr>
          <t>CRISIL:</t>
        </r>
        <r>
          <rPr>
            <sz val="9"/>
            <color indexed="81"/>
            <rFont val="Tahoma"/>
            <family val="2"/>
          </rPr>
          <t xml:space="preserve">
Inlcludes bank and non-bank</t>
        </r>
      </text>
    </comment>
    <comment ref="B468" authorId="0" shapeId="0" xr:uid="{1C38B322-1B6B-47CD-BA9C-EC8344E4AAA2}">
      <text>
        <r>
          <rPr>
            <b/>
            <sz val="9"/>
            <color indexed="81"/>
            <rFont val="Tahoma"/>
            <family val="2"/>
          </rPr>
          <t>CRISIL:</t>
        </r>
        <r>
          <rPr>
            <sz val="9"/>
            <color indexed="81"/>
            <rFont val="Tahoma"/>
            <family val="2"/>
          </rPr>
          <t xml:space="preserve">
OFCF less ROU depreciation</t>
        </r>
      </text>
    </comment>
    <comment ref="B474" authorId="1" shapeId="0" xr:uid="{5BA4F67C-4223-48CD-9406-54346CD6072E}">
      <text>
        <r>
          <rPr>
            <b/>
            <sz val="9"/>
            <color indexed="81"/>
            <rFont val="Tahoma"/>
            <family val="2"/>
          </rPr>
          <t>CRISIL GR&amp;RS:</t>
        </r>
        <r>
          <rPr>
            <sz val="9"/>
            <color indexed="81"/>
            <rFont val="Tahoma"/>
            <family val="2"/>
          </rPr>
          <t xml:space="preserve">
From PPT</t>
        </r>
      </text>
    </comment>
    <comment ref="N476" authorId="1" shapeId="0" xr:uid="{718E57C7-E7EF-4446-A9D2-F76141CD4CAB}">
      <text>
        <r>
          <rPr>
            <b/>
            <sz val="9"/>
            <color indexed="81"/>
            <rFont val="Tahoma"/>
            <family val="2"/>
          </rPr>
          <t>CRISIL GR&amp;RS:</t>
        </r>
        <r>
          <rPr>
            <sz val="9"/>
            <color indexed="81"/>
            <rFont val="Tahoma"/>
            <family val="2"/>
          </rPr>
          <t xml:space="preserve">
From PPT</t>
        </r>
      </text>
    </comment>
    <comment ref="O476" authorId="1" shapeId="0" xr:uid="{AC6C5B65-06C3-4925-9F28-8E2B607F1ECE}">
      <text>
        <r>
          <rPr>
            <b/>
            <sz val="9"/>
            <color indexed="81"/>
            <rFont val="Tahoma"/>
            <family val="2"/>
          </rPr>
          <t>CRISIL GR&amp;RS:</t>
        </r>
        <r>
          <rPr>
            <sz val="9"/>
            <color indexed="81"/>
            <rFont val="Tahoma"/>
            <family val="2"/>
          </rPr>
          <t xml:space="preserve">
From PPT</t>
        </r>
      </text>
    </comment>
    <comment ref="AS476" authorId="1" shapeId="0" xr:uid="{244845EC-6FD0-4504-B91E-046F661CE546}">
      <text>
        <r>
          <rPr>
            <b/>
            <sz val="9"/>
            <color indexed="81"/>
            <rFont val="Tahoma"/>
            <family val="2"/>
          </rPr>
          <t>CRISIL GR&amp;RS:</t>
        </r>
        <r>
          <rPr>
            <sz val="9"/>
            <color indexed="81"/>
            <rFont val="Tahoma"/>
            <family val="2"/>
          </rPr>
          <t xml:space="preserve">
New reporting structure</t>
        </r>
      </text>
    </comment>
    <comment ref="AW476" authorId="1" shapeId="0" xr:uid="{7733DCA6-A83B-4B68-830C-9C37439EB2E5}">
      <text>
        <r>
          <rPr>
            <b/>
            <sz val="9"/>
            <color indexed="81"/>
            <rFont val="Tahoma"/>
            <family val="2"/>
          </rPr>
          <t>CRISIL GR&amp;RS:</t>
        </r>
        <r>
          <rPr>
            <sz val="9"/>
            <color indexed="81"/>
            <rFont val="Tahoma"/>
            <family val="2"/>
          </rPr>
          <t xml:space="preserve">
New reporting structure</t>
        </r>
      </text>
    </comment>
    <comment ref="BC476" authorId="1" shapeId="0" xr:uid="{5F48FA72-8A38-42C1-8E8B-1AC02BE40402}">
      <text>
        <r>
          <rPr>
            <b/>
            <sz val="9"/>
            <color indexed="81"/>
            <rFont val="Tahoma"/>
            <family val="2"/>
          </rPr>
          <t>CRISIL GR&amp;RS:</t>
        </r>
        <r>
          <rPr>
            <sz val="9"/>
            <color indexed="81"/>
            <rFont val="Tahoma"/>
            <family val="2"/>
          </rPr>
          <t xml:space="preserve">
New reporting structure</t>
        </r>
      </text>
    </comment>
    <comment ref="BD476" authorId="1" shapeId="0" xr:uid="{670C4F6A-5050-45C0-91A7-12197207EBDE}">
      <text>
        <r>
          <rPr>
            <b/>
            <sz val="9"/>
            <color indexed="81"/>
            <rFont val="Tahoma"/>
            <family val="2"/>
          </rPr>
          <t>CRISIL GR&amp;RS:</t>
        </r>
        <r>
          <rPr>
            <sz val="9"/>
            <color indexed="81"/>
            <rFont val="Tahoma"/>
            <family val="2"/>
          </rPr>
          <t xml:space="preserve">
New reporting structure</t>
        </r>
      </text>
    </comment>
    <comment ref="BF476" authorId="1" shapeId="0" xr:uid="{4DCB06DE-4C48-4285-969F-96C305F30322}">
      <text>
        <r>
          <rPr>
            <b/>
            <sz val="9"/>
            <color indexed="81"/>
            <rFont val="Tahoma"/>
            <family val="2"/>
          </rPr>
          <t>CRISIL GR&amp;RS:</t>
        </r>
        <r>
          <rPr>
            <sz val="9"/>
            <color indexed="81"/>
            <rFont val="Tahoma"/>
            <family val="2"/>
          </rPr>
          <t xml:space="preserve">
New reporting structure</t>
        </r>
      </text>
    </comment>
    <comment ref="BG476" authorId="1" shapeId="0" xr:uid="{7076FBDA-3350-4257-B60D-B5C16202AFE3}">
      <text>
        <r>
          <rPr>
            <b/>
            <sz val="9"/>
            <color indexed="81"/>
            <rFont val="Tahoma"/>
            <family val="2"/>
          </rPr>
          <t>CRISIL GR&amp;RS:</t>
        </r>
        <r>
          <rPr>
            <sz val="9"/>
            <color indexed="81"/>
            <rFont val="Tahoma"/>
            <family val="2"/>
          </rPr>
          <t xml:space="preserve">
New reporting structure</t>
        </r>
      </text>
    </comment>
    <comment ref="AI503" authorId="1" shapeId="0" xr:uid="{F5389324-2C7C-4FA4-B922-1839BA4A222C}">
      <text>
        <r>
          <rPr>
            <b/>
            <sz val="9"/>
            <color indexed="81"/>
            <rFont val="Tahoma"/>
            <family val="2"/>
          </rPr>
          <t>CRISIL GR&amp;RS:</t>
        </r>
        <r>
          <rPr>
            <sz val="9"/>
            <color indexed="81"/>
            <rFont val="Tahoma"/>
            <family val="2"/>
          </rPr>
          <t xml:space="preserve">
Nine months data</t>
        </r>
      </text>
    </comment>
    <comment ref="AM503" authorId="1" shapeId="0" xr:uid="{83693D75-106A-4662-B3AD-DA6B9A82F14E}">
      <text>
        <r>
          <rPr>
            <b/>
            <sz val="9"/>
            <color indexed="81"/>
            <rFont val="Tahoma"/>
            <family val="2"/>
          </rPr>
          <t>CRISIL GR&amp;RS:</t>
        </r>
        <r>
          <rPr>
            <sz val="9"/>
            <color indexed="81"/>
            <rFont val="Tahoma"/>
            <family val="2"/>
          </rPr>
          <t xml:space="preserve">
Nine months data</t>
        </r>
      </text>
    </comment>
    <comment ref="AQ503" authorId="1" shapeId="0" xr:uid="{E4FFB7B6-5E97-4D06-9F60-6A97996E12B2}">
      <text>
        <r>
          <rPr>
            <b/>
            <sz val="9"/>
            <color indexed="81"/>
            <rFont val="Tahoma"/>
            <family val="2"/>
          </rPr>
          <t>CRISIL GR&amp;RS:</t>
        </r>
        <r>
          <rPr>
            <sz val="9"/>
            <color indexed="81"/>
            <rFont val="Tahoma"/>
            <family val="2"/>
          </rPr>
          <t xml:space="preserve">
Nine months data</t>
        </r>
      </text>
    </comment>
  </commentList>
</comments>
</file>

<file path=xl/sharedStrings.xml><?xml version="1.0" encoding="utf-8"?>
<sst xmlns="http://schemas.openxmlformats.org/spreadsheetml/2006/main" count="2117" uniqueCount="458">
  <si>
    <t>1Q26</t>
  </si>
  <si>
    <t>Exchange rate as at end</t>
  </si>
  <si>
    <t>LTM Average exchange rate</t>
  </si>
  <si>
    <t>Amount outstanding as on 31-Mar-2026</t>
  </si>
  <si>
    <t>MYR (mn)</t>
  </si>
  <si>
    <t>USD (mn)</t>
  </si>
  <si>
    <t>Leverage (RM)</t>
  </si>
  <si>
    <t>Leverage (USD)</t>
  </si>
  <si>
    <t>Company reported</t>
  </si>
  <si>
    <t>Group Borrowings</t>
  </si>
  <si>
    <t>Short-term debt</t>
  </si>
  <si>
    <t>Group Cash</t>
  </si>
  <si>
    <t>Secured</t>
  </si>
  <si>
    <t>Net debt / EBITDA</t>
  </si>
  <si>
    <t>2.51x</t>
  </si>
  <si>
    <t>Unsecured</t>
  </si>
  <si>
    <t>Lease liabilities</t>
  </si>
  <si>
    <t>Long-term debt</t>
  </si>
  <si>
    <t>Total Loans &amp; Borrows</t>
  </si>
  <si>
    <t>Cash &amp; Equivalents</t>
  </si>
  <si>
    <t xml:space="preserve">Net debt </t>
  </si>
  <si>
    <t>Equity</t>
  </si>
  <si>
    <t xml:space="preserve">Total Capitalisation </t>
  </si>
  <si>
    <t xml:space="preserve">LTM Adjusted EBITDA </t>
  </si>
  <si>
    <t>check</t>
  </si>
  <si>
    <t>Liquidity Table at end-1Q26</t>
  </si>
  <si>
    <t>Deposits, cash and bank balances</t>
  </si>
  <si>
    <t>Less:</t>
  </si>
  <si>
    <t>Deposits pledged and restricted cash</t>
  </si>
  <si>
    <t>Deposits maturing more than three (3) months</t>
  </si>
  <si>
    <t>Bank overdraft</t>
  </si>
  <si>
    <t>Total</t>
  </si>
  <si>
    <t>Foreign currency borrowings and debt securities by currency at end-1Q26</t>
  </si>
  <si>
    <t>USD</t>
  </si>
  <si>
    <t>IDR</t>
  </si>
  <si>
    <t>BDT</t>
  </si>
  <si>
    <t>LKR</t>
  </si>
  <si>
    <t>PHP</t>
  </si>
  <si>
    <t>Others</t>
  </si>
  <si>
    <t xml:space="preserve">Total debt </t>
  </si>
  <si>
    <r>
      <t xml:space="preserve">Debt maturity at end-1Q26 </t>
    </r>
    <r>
      <rPr>
        <b/>
        <sz val="10"/>
        <color rgb="FFFF0000"/>
        <rFont val="Calibri"/>
        <family val="2"/>
        <scheme val="minor"/>
      </rPr>
      <t>(from BBG)</t>
    </r>
  </si>
  <si>
    <t>2031+</t>
  </si>
  <si>
    <t>4Q25</t>
  </si>
  <si>
    <t>Amount outstanding as on 31-Dec-2025</t>
  </si>
  <si>
    <t>Net debt</t>
  </si>
  <si>
    <t>RCF Drawdown &amp; other</t>
  </si>
  <si>
    <t>Liquidity Table at end-FY25</t>
  </si>
  <si>
    <t>Cash and cash equivalents</t>
  </si>
  <si>
    <t>Foreign currency borrowings and debt securities by currency at end-FY25</t>
  </si>
  <si>
    <r>
      <t xml:space="preserve">Debt maturity at end-FY25 </t>
    </r>
    <r>
      <rPr>
        <b/>
        <sz val="10"/>
        <color rgb="FFFF0000"/>
        <rFont val="Calibri"/>
        <family val="2"/>
        <scheme val="minor"/>
      </rPr>
      <t>(from BBG)</t>
    </r>
  </si>
  <si>
    <t>2030 and thereafter</t>
  </si>
  <si>
    <t>3Q25</t>
  </si>
  <si>
    <t>Exchange rate as at end 3Q25</t>
  </si>
  <si>
    <t>LTM Average exchange rate 3Q25</t>
  </si>
  <si>
    <t>Amount outstanding as on 30-Sep-2025</t>
  </si>
  <si>
    <t>RM (mn)</t>
  </si>
  <si>
    <t>Liquidity Table at end-3Q25</t>
  </si>
  <si>
    <t>Foreign currency borrowings and debt securities by currency at end-3Q25</t>
  </si>
  <si>
    <r>
      <t xml:space="preserve">Debt maturity at end-3Q25 </t>
    </r>
    <r>
      <rPr>
        <b/>
        <sz val="10"/>
        <color rgb="FFFF0000"/>
        <rFont val="Calibri"/>
        <family val="2"/>
        <scheme val="minor"/>
      </rPr>
      <t>(from BBG)</t>
    </r>
  </si>
  <si>
    <t>2Q25</t>
  </si>
  <si>
    <t>Exchange rate as at end 2Q25</t>
  </si>
  <si>
    <t>LTM Average exchange rate 2Q25</t>
  </si>
  <si>
    <t>Amount outstanding as on 30-Jun-2025</t>
  </si>
  <si>
    <t>Liquidity Table at end-2Q25</t>
  </si>
  <si>
    <t>Foreign currency borrowings and debt securities by currency at end-2Q25</t>
  </si>
  <si>
    <r>
      <t xml:space="preserve">Debt maturity at end-2Q25 </t>
    </r>
    <r>
      <rPr>
        <b/>
        <sz val="10"/>
        <color rgb="FFFF0000"/>
        <rFont val="Calibri"/>
        <family val="2"/>
        <scheme val="minor"/>
      </rPr>
      <t>(from BBG)</t>
    </r>
  </si>
  <si>
    <t>2029 and thereafter</t>
  </si>
  <si>
    <t>1Q25</t>
  </si>
  <si>
    <t>Exchange rate as at end 1Q25</t>
  </si>
  <si>
    <t>LTM Average exchange rate 1Q25</t>
  </si>
  <si>
    <t>Amount outstanding as on 31-Mar-2025</t>
  </si>
  <si>
    <t>Net debt to EBITDA</t>
  </si>
  <si>
    <t>3.00x</t>
  </si>
  <si>
    <t>Liquidity Table at end-1Q25</t>
  </si>
  <si>
    <t>RCF</t>
  </si>
  <si>
    <t>Debt by currency at end-1Q25</t>
  </si>
  <si>
    <t>Debt maturity at end-1Q25</t>
  </si>
  <si>
    <t>FY24</t>
  </si>
  <si>
    <t>Exchange rate as at end FY 2024</t>
  </si>
  <si>
    <t>LTM Average exchange rate FY 2024</t>
  </si>
  <si>
    <t>Amount outstanding as on 31-Dec-2024</t>
  </si>
  <si>
    <t>2.74x</t>
  </si>
  <si>
    <t>Liquidity Table at end-FY24</t>
  </si>
  <si>
    <t>Debt maturity at end-FY24</t>
  </si>
  <si>
    <t>%</t>
  </si>
  <si>
    <t>1-2 years</t>
  </si>
  <si>
    <t>3-5 years</t>
  </si>
  <si>
    <t>6-10 years</t>
  </si>
  <si>
    <t>above 10 years</t>
  </si>
  <si>
    <t>Debt by currency at end-FY24</t>
  </si>
  <si>
    <t>2Q24</t>
  </si>
  <si>
    <t>Exchange rate as at end 2Q 2024</t>
  </si>
  <si>
    <t>LTM Average exchange rate 2Q 2024</t>
  </si>
  <si>
    <t>Amount outstanding as on 30-Jun-2024</t>
  </si>
  <si>
    <t>2.88x</t>
  </si>
  <si>
    <t>Liquidity Table at end-2Q24</t>
  </si>
  <si>
    <t>Debt maturity at end-2Q24</t>
  </si>
  <si>
    <t>Debt by currency at end-2Q24</t>
  </si>
  <si>
    <t>1Q24</t>
  </si>
  <si>
    <t>Exchange rate as at end 1Q24</t>
  </si>
  <si>
    <t>LTM Average exchange rate 1Q24</t>
  </si>
  <si>
    <t>Amount outstanding as on 31-Mar-2024</t>
  </si>
  <si>
    <t>3.01x</t>
  </si>
  <si>
    <t>Liquidity Table at end-1Q24</t>
  </si>
  <si>
    <t>Debt maturity at end-1Q24</t>
  </si>
  <si>
    <t>Debt by currency at end-1Q24</t>
  </si>
  <si>
    <t>SLR</t>
  </si>
  <si>
    <t>FY23</t>
  </si>
  <si>
    <t>Exchange rate as at end FY 2023</t>
  </si>
  <si>
    <t>LTM Average exchange rate FY 2023</t>
  </si>
  <si>
    <t>Amount outstanding as on 31-Dec-2023</t>
  </si>
  <si>
    <t>Liquidity Table at end-FY23</t>
  </si>
  <si>
    <t>Debt maturity at end-FY23</t>
  </si>
  <si>
    <t>Debt by currency at end-FY23</t>
  </si>
  <si>
    <t>3Q23</t>
  </si>
  <si>
    <t>Exchange rate as at end 3Q 2023</t>
  </si>
  <si>
    <t>LTM Average exchange rate 3Q 2023</t>
  </si>
  <si>
    <t>Amount outstanding as on 30-Sept-2023</t>
  </si>
  <si>
    <t>3.17x</t>
  </si>
  <si>
    <t>Liquidity Table at end-3Q23</t>
  </si>
  <si>
    <t>Debt maturity at end-3Q23</t>
  </si>
  <si>
    <t>Debt by currency at end-3Q23</t>
  </si>
  <si>
    <t>Holdco &amp; Non-opco:</t>
  </si>
  <si>
    <t>RM</t>
  </si>
  <si>
    <t>Opcos:</t>
  </si>
  <si>
    <t>PKR</t>
  </si>
  <si>
    <t>NPR</t>
  </si>
  <si>
    <t>2Q23</t>
  </si>
  <si>
    <t>Exchange rate as at end 2Q 2023</t>
  </si>
  <si>
    <t>LTM Average exchange rate 2Q 2023</t>
  </si>
  <si>
    <t>Amount outstanding as on 30-Jun-2023</t>
  </si>
  <si>
    <t>3.06x</t>
  </si>
  <si>
    <t>Liquidity Table at end-2Q23</t>
  </si>
  <si>
    <t>Debt maturity at end-2Q23</t>
  </si>
  <si>
    <t>Debt by currency at end-2Q23</t>
  </si>
  <si>
    <t>1Q23</t>
  </si>
  <si>
    <t>Exchange rate as at end 1Q 2023</t>
  </si>
  <si>
    <t>LTM Average exchange rate 1Q 2023</t>
  </si>
  <si>
    <t>Amount outstanding as on 31-Mar-2023</t>
  </si>
  <si>
    <t>Liquidity Table at end-1Q23</t>
  </si>
  <si>
    <t>Debt maturity at end-1Q23</t>
  </si>
  <si>
    <t>2024-2026</t>
  </si>
  <si>
    <t>2027-2030</t>
  </si>
  <si>
    <t>2031 onwards</t>
  </si>
  <si>
    <t>Debt by currency at end-1Q23</t>
  </si>
  <si>
    <t>FY22</t>
  </si>
  <si>
    <t>Exchange rate as at end FY 2022</t>
  </si>
  <si>
    <t>LTM Average exchange rate FY 2022</t>
  </si>
  <si>
    <t>Amount outstanding as on 31-Dec-2022</t>
  </si>
  <si>
    <t>Liquidity Table at end-FY22</t>
  </si>
  <si>
    <t>Debt maturity at end-FY22</t>
  </si>
  <si>
    <t>Debt by currency at end-FY22</t>
  </si>
  <si>
    <t>Exchange rate as at end 3Q 2022</t>
  </si>
  <si>
    <t>LTM Average exchange rate 3Q 2022</t>
  </si>
  <si>
    <t>3Q22</t>
  </si>
  <si>
    <t>Amount outstanding as on 30-Sep-2022</t>
  </si>
  <si>
    <t>Liquidity Table at end-3Q22</t>
  </si>
  <si>
    <t>Debt by currency at end-3Q22</t>
  </si>
  <si>
    <t>Exchange rate as at end 2Q 2022</t>
  </si>
  <si>
    <t>LTM Average exchange rate 2Q 2022</t>
  </si>
  <si>
    <t>2Q22</t>
  </si>
  <si>
    <t>Amount outstanding as on 30-Jun-2022</t>
  </si>
  <si>
    <t>Liquidity Table at end-2Q22</t>
  </si>
  <si>
    <t>Debt by currency at end-2Q22</t>
  </si>
  <si>
    <t>Exchange rate as at end 1Q 2022</t>
  </si>
  <si>
    <t>LTM Average exchange rate 1Q 2022</t>
  </si>
  <si>
    <t>1Q22</t>
  </si>
  <si>
    <t>Amount outstanding as on 31-Mar-2022</t>
  </si>
  <si>
    <t>Liquidity Table at end-1Q22</t>
  </si>
  <si>
    <t>Debt by currency at end-1Q22</t>
  </si>
  <si>
    <t>Exchange rate as at end 4Q 2021</t>
  </si>
  <si>
    <t>LTM Average exchange rate 4Q 2021</t>
  </si>
  <si>
    <t>4Q21</t>
  </si>
  <si>
    <t>Amount outstanding as on 31-Dec-2021</t>
  </si>
  <si>
    <t>Liquidity Table at end-4Q21</t>
  </si>
  <si>
    <t>Debt by currency at end-4Q21</t>
  </si>
  <si>
    <t>Exchange rate as at end 3Q 2021</t>
  </si>
  <si>
    <t>LTM Average exchange rate 3Q 2021</t>
  </si>
  <si>
    <t>3Q21</t>
  </si>
  <si>
    <t>Amount outstanding as on 31-Sept-2021</t>
  </si>
  <si>
    <t>Liquidity Table at end-3Q21</t>
  </si>
  <si>
    <t>Debt by currency at end-3Q21</t>
  </si>
  <si>
    <t>Exchange rate as at end 2Q 2021</t>
  </si>
  <si>
    <t>LTM Average exchange rate 2Q 2021</t>
  </si>
  <si>
    <t>2Q21</t>
  </si>
  <si>
    <t>Amount outstanding as on 31-June-2021</t>
  </si>
  <si>
    <t>Liquidity Table at end-2Q21</t>
  </si>
  <si>
    <t>Debt by currency at end-2Q21</t>
  </si>
  <si>
    <t>Exchange rate as at end 1Q 2021</t>
  </si>
  <si>
    <t>LTM Average exchange rate 1Q 2021</t>
  </si>
  <si>
    <t>1Q21</t>
  </si>
  <si>
    <t>Amount outstanding as on 31-Mar-2021</t>
  </si>
  <si>
    <t>Liquidity Table at end-1Q21</t>
  </si>
  <si>
    <t>Debt by currency at end-1Q21</t>
  </si>
  <si>
    <t>Exchange rate as at end 4Q 2020</t>
  </si>
  <si>
    <t>LTM Average exchange rate 4Q 2020</t>
  </si>
  <si>
    <t>4Q20</t>
  </si>
  <si>
    <t>Amount outstanding as on 31-Dec-2020</t>
  </si>
  <si>
    <t>Liquidity Table at end-4Q20</t>
  </si>
  <si>
    <t>Debt by currency at end-4Q20</t>
  </si>
  <si>
    <t>Exchange rate as at end 3Q 2020</t>
  </si>
  <si>
    <t>LTM Average exchange rate 3Q 2020</t>
  </si>
  <si>
    <t>Proforma</t>
  </si>
  <si>
    <t>Amount outstanding as on 30-Sep-2020</t>
  </si>
  <si>
    <t>3Q20</t>
  </si>
  <si>
    <t>Liquidity Table at end-3Q20</t>
  </si>
  <si>
    <t>Debt by currency at end-3Q20</t>
  </si>
  <si>
    <t>Exchange rate as at end 1Q 2020</t>
  </si>
  <si>
    <t>LTM Average exchange rate 1Q 2020</t>
  </si>
  <si>
    <t>Amount outstanding as on 31-Mar-2020</t>
  </si>
  <si>
    <t>1Q20</t>
  </si>
  <si>
    <t>Liquidity Table at end-1Q20</t>
  </si>
  <si>
    <t>Debt by currency at end-1Q20</t>
  </si>
  <si>
    <t>Axiata</t>
  </si>
  <si>
    <t>Annual</t>
  </si>
  <si>
    <t>LTM</t>
  </si>
  <si>
    <t>Quarterly</t>
  </si>
  <si>
    <t>6M</t>
  </si>
  <si>
    <t>9M</t>
  </si>
  <si>
    <t>(MYR millions)</t>
  </si>
  <si>
    <t>Act</t>
  </si>
  <si>
    <t xml:space="preserve">restated </t>
  </si>
  <si>
    <t>Restated</t>
  </si>
  <si>
    <t>Restated**</t>
  </si>
  <si>
    <t>FY</t>
  </si>
  <si>
    <t>Q1</t>
  </si>
  <si>
    <t>Q2</t>
  </si>
  <si>
    <t>Q3</t>
  </si>
  <si>
    <t>Q4</t>
  </si>
  <si>
    <t>INCOME STATEMENT</t>
  </si>
  <si>
    <t>Operating revenue</t>
  </si>
  <si>
    <t xml:space="preserve">% y-o-y growth </t>
  </si>
  <si>
    <t xml:space="preserve">Depreciation, impairment and amortisation </t>
  </si>
  <si>
    <t>Impairment of goodwill</t>
  </si>
  <si>
    <t>Foreign exchange gains / (losses)</t>
  </si>
  <si>
    <t>Domestic interconnect and international outpayment</t>
  </si>
  <si>
    <t>Marketing, Advertising and promotion</t>
  </si>
  <si>
    <t>Other operating costs</t>
  </si>
  <si>
    <t>Staff costs</t>
  </si>
  <si>
    <t>Impairment on receivables, net / provision for impairment on financial assets</t>
  </si>
  <si>
    <t>Other gains/(losses) - net</t>
  </si>
  <si>
    <t xml:space="preserve">Other operating income (expenses)- net </t>
  </si>
  <si>
    <t>Operating Profit</t>
  </si>
  <si>
    <t>Finance Income</t>
  </si>
  <si>
    <t>Finance cost excluding net foreign exchange gains / (losses) on financing activities</t>
  </si>
  <si>
    <t>Net foreign exchange gains/ (losses) on financing activities</t>
  </si>
  <si>
    <t>Joint ventures - share of tax (net taxes)</t>
  </si>
  <si>
    <t>Associates - share of tax (net of tax)</t>
  </si>
  <si>
    <t>Associates - gain/ (loss) on dilution of equity interest</t>
  </si>
  <si>
    <t xml:space="preserve">Gain on early redemption of debt </t>
  </si>
  <si>
    <t>Profit before tax</t>
  </si>
  <si>
    <t>Income tax benefit/(expense)</t>
  </si>
  <si>
    <t>Profit / (Loss) for the financial period from continuing operations</t>
  </si>
  <si>
    <t>Gain on disposal of group of subsidiares - net</t>
  </si>
  <si>
    <t>Profit for the financial period from discontinued operations</t>
  </si>
  <si>
    <t>Profit / (Loss) for the financial period</t>
  </si>
  <si>
    <t>% of Net sales unless stated otherwise</t>
  </si>
  <si>
    <t>Finance Income as a % of cash at end of period</t>
  </si>
  <si>
    <t>Finance costs as a % of debt at end of period</t>
  </si>
  <si>
    <t>Income tax benefit/(expense) as a % of Profit before tax</t>
  </si>
  <si>
    <t>capex/sales</t>
  </si>
  <si>
    <t>D/A/sales</t>
  </si>
  <si>
    <t xml:space="preserve">EBITDA </t>
  </si>
  <si>
    <t xml:space="preserve">Operating profit </t>
  </si>
  <si>
    <t>Depreciation &amp; amortisation</t>
  </si>
  <si>
    <t xml:space="preserve">% growth </t>
  </si>
  <si>
    <t>% margin</t>
  </si>
  <si>
    <t xml:space="preserve">Adjustment </t>
  </si>
  <si>
    <t>Adj. EBITDA (Pre-IFRS)</t>
  </si>
  <si>
    <t>Adj. EBITDA</t>
  </si>
  <si>
    <t>CASH FLOW</t>
  </si>
  <si>
    <t xml:space="preserve">Adjusted EBITDA </t>
  </si>
  <si>
    <t>Working Capital</t>
  </si>
  <si>
    <t>Taxes, net</t>
  </si>
  <si>
    <t>Cash interest paid</t>
  </si>
  <si>
    <t xml:space="preserve">Net cash from operations </t>
  </si>
  <si>
    <t>Net Capex</t>
  </si>
  <si>
    <t>Purchase and development of intangible assets</t>
  </si>
  <si>
    <t>Disposals/ Acquistion of subsidiaries</t>
  </si>
  <si>
    <t xml:space="preserve">Free cash flow </t>
  </si>
  <si>
    <t>Other investing activities</t>
  </si>
  <si>
    <t>Equity Issuance/Buyback</t>
  </si>
  <si>
    <t xml:space="preserve">Dividends Paid </t>
  </si>
  <si>
    <t>Change in debt</t>
  </si>
  <si>
    <t>Other financing activities</t>
  </si>
  <si>
    <t>Cash flow after financing activities</t>
  </si>
  <si>
    <t>FX</t>
  </si>
  <si>
    <t>Balancing figure</t>
  </si>
  <si>
    <t xml:space="preserve">Net change in cash </t>
  </si>
  <si>
    <t xml:space="preserve">LTM </t>
  </si>
  <si>
    <t>EBITDA</t>
  </si>
  <si>
    <t>Adjusted EBITDA</t>
  </si>
  <si>
    <t>Net Income</t>
  </si>
  <si>
    <t>Capex</t>
  </si>
  <si>
    <t xml:space="preserve">BALANCE SHEET </t>
  </si>
  <si>
    <t>Tangible fixed assets</t>
  </si>
  <si>
    <t>Inventory</t>
  </si>
  <si>
    <t>Trade accounts receivables, net</t>
  </si>
  <si>
    <t>Trade creditors /payables</t>
  </si>
  <si>
    <t>Net working capital</t>
  </si>
  <si>
    <t>% of revenues</t>
  </si>
  <si>
    <t xml:space="preserve">Debt  Breakdown </t>
  </si>
  <si>
    <t>Interest bearing borrowings (Loans)</t>
  </si>
  <si>
    <t>Lease Liabilities</t>
  </si>
  <si>
    <t>Total Debt</t>
  </si>
  <si>
    <t>Total cash and cash equivalents</t>
  </si>
  <si>
    <t xml:space="preserve">Financial asset at FVTPL </t>
  </si>
  <si>
    <t xml:space="preserve">Deposits pledged </t>
  </si>
  <si>
    <t xml:space="preserve">Bank overdraft </t>
  </si>
  <si>
    <t>Deposits, cash and bank balances (balance sheet)</t>
  </si>
  <si>
    <t>Net debt (excl. lease liabilities)</t>
  </si>
  <si>
    <t>Gross total debt (excl. lease liabilities)</t>
  </si>
  <si>
    <t>Net debt (incl. lease liabilities)</t>
  </si>
  <si>
    <t>Gross total debt (incl. lease liabilities)</t>
  </si>
  <si>
    <t>Equity (as reported on balance sheet)</t>
  </si>
  <si>
    <t>Total debt + Equity</t>
  </si>
  <si>
    <t>CREDIT RATIOS</t>
  </si>
  <si>
    <t>Total Net Leverage  (excl. lease liabilities)</t>
  </si>
  <si>
    <t>Total Gross Leverage  (excl. lease liabilities)</t>
  </si>
  <si>
    <t>Total Net Leverage (incl. lease liabilities)</t>
  </si>
  <si>
    <t>Total Gross Leverage (incl. lease liabilities)</t>
  </si>
  <si>
    <t>EBITDA - Capex / Interest</t>
  </si>
  <si>
    <t>EBITDA/Interest</t>
  </si>
  <si>
    <t xml:space="preserve">Gearing (Net debt / Equity) </t>
  </si>
  <si>
    <t>Key  Credit Metrics (RM mn where applicable)</t>
  </si>
  <si>
    <t>Adjusted EBITDA margin</t>
  </si>
  <si>
    <t>Cash</t>
  </si>
  <si>
    <t>Net Debt</t>
  </si>
  <si>
    <t>Gross Leverage</t>
  </si>
  <si>
    <t xml:space="preserve">Net Leverage </t>
  </si>
  <si>
    <t>Summary Financials</t>
  </si>
  <si>
    <t>(RM millions)</t>
  </si>
  <si>
    <t>Cash and equivalents</t>
  </si>
  <si>
    <t>FX rate average - MYR/USD</t>
  </si>
  <si>
    <t>FX rate  - MYR/USD (as at end of period)</t>
  </si>
  <si>
    <t>LTM rate average - MYR / USD</t>
  </si>
  <si>
    <t>USD to MYR (EOP)</t>
  </si>
  <si>
    <t>Key  Credit Metrics (USD mn where applicable)</t>
  </si>
  <si>
    <t>Revenues</t>
  </si>
  <si>
    <t>(USD millions)</t>
  </si>
  <si>
    <t>NA</t>
  </si>
  <si>
    <t>Cash and equivalents (as on balance sheet)</t>
  </si>
  <si>
    <t>Restated and reclassified</t>
  </si>
  <si>
    <t>Revenue by segment</t>
  </si>
  <si>
    <t>Mobile</t>
  </si>
  <si>
    <t>Malaysia</t>
  </si>
  <si>
    <t>Indonesia</t>
  </si>
  <si>
    <t>Bangladesh</t>
  </si>
  <si>
    <t>Sri Lanka</t>
  </si>
  <si>
    <t>Nepal</t>
  </si>
  <si>
    <t>Cambodia</t>
  </si>
  <si>
    <t>Fixed BB</t>
  </si>
  <si>
    <t>Infrastructure</t>
  </si>
  <si>
    <t>Eliminations</t>
  </si>
  <si>
    <t>Total continuing operations</t>
  </si>
  <si>
    <t>Discontinued Operation</t>
  </si>
  <si>
    <t>Check</t>
  </si>
  <si>
    <t>% of Revenue by segment</t>
  </si>
  <si>
    <t>% yoy/qoq growth in revenue</t>
  </si>
  <si>
    <t>EBITDA by segment</t>
  </si>
  <si>
    <t>Total Continuing Operations</t>
  </si>
  <si>
    <t>% of EBITDA by segment</t>
  </si>
  <si>
    <t>% yoy/qoq growth in EBITDA</t>
  </si>
  <si>
    <t>Operational performance</t>
  </si>
  <si>
    <t>Celcom</t>
  </si>
  <si>
    <t>Subscribers ('000)</t>
  </si>
  <si>
    <t>Postpaid</t>
  </si>
  <si>
    <t>Prepaid</t>
  </si>
  <si>
    <t> </t>
  </si>
  <si>
    <t>Data subscribers as a % of total subscribers</t>
  </si>
  <si>
    <t>ARPU (RM)</t>
  </si>
  <si>
    <t>Blended</t>
  </si>
  <si>
    <t>Data traffic ('mil GB) and data usage (GB)*</t>
  </si>
  <si>
    <t>Data traffic ('mil GB)</t>
  </si>
  <si>
    <t>Data usage/data subscriber/month (GB)</t>
  </si>
  <si>
    <t>Smartphone penetration</t>
  </si>
  <si>
    <t>4G pop coverage</t>
  </si>
  <si>
    <t>4G LTE-A pop coverage</t>
  </si>
  <si>
    <t>Segmental Information</t>
  </si>
  <si>
    <t>External operating revenue</t>
  </si>
  <si>
    <t>Digital Telco</t>
  </si>
  <si>
    <t xml:space="preserve">Infrastructure </t>
  </si>
  <si>
    <t>Link Net</t>
  </si>
  <si>
    <t>EDOTCO</t>
  </si>
  <si>
    <t>Digital</t>
  </si>
  <si>
    <t>ADA</t>
  </si>
  <si>
    <t>Boost</t>
  </si>
  <si>
    <t>Consolidation adjustments/eliminations</t>
  </si>
  <si>
    <t>External operating revenue (% Sahre)</t>
  </si>
  <si>
    <t>External operating revenue (YoY % Growth)</t>
  </si>
  <si>
    <t>EBITDA (YoY % Growth)</t>
  </si>
  <si>
    <t>Segmental Information - External revenue</t>
  </si>
  <si>
    <t>Telecoms</t>
  </si>
  <si>
    <t>Digital Telcos</t>
  </si>
  <si>
    <t>Robi</t>
  </si>
  <si>
    <t>Dialog</t>
  </si>
  <si>
    <t>Smart</t>
  </si>
  <si>
    <t>Linknet</t>
  </si>
  <si>
    <t>Technology</t>
  </si>
  <si>
    <t>Digital Businesses</t>
  </si>
  <si>
    <t>Segmental Information - External revenue (% Share)</t>
  </si>
  <si>
    <t>Segmental Information - External revenue (% YoY )</t>
  </si>
  <si>
    <t>XL</t>
  </si>
  <si>
    <t>ARPU (IDR '000)</t>
  </si>
  <si>
    <t>Total traffic ('000 TB) (includes data, voice and SMS)</t>
  </si>
  <si>
    <t>Total 4G BTS</t>
  </si>
  <si>
    <t>Data subscribers (excl. "Pay as you Go") as a % of total subscribers</t>
  </si>
  <si>
    <t>ARPU (SLR)</t>
  </si>
  <si>
    <t>Data traffic ('mil GB) and data usage (GB)</t>
  </si>
  <si>
    <t>ROBI</t>
  </si>
  <si>
    <t>ARPU* (BDT)</t>
  </si>
  <si>
    <t>Data traffic ('mil GB) and data usage (MB)</t>
  </si>
  <si>
    <t>Data usage/data subscriber/month* (MB)</t>
  </si>
  <si>
    <t>Total 3G BTS</t>
  </si>
  <si>
    <t>Ncell</t>
  </si>
  <si>
    <t>ARPU (NPR)</t>
  </si>
  <si>
    <t>Data usage/data subscriber/month (MB)</t>
  </si>
  <si>
    <t>edotco Group (operational performance)</t>
  </si>
  <si>
    <t>Tenancies</t>
  </si>
  <si>
    <t>- Malaysia</t>
  </si>
  <si>
    <t>- Bangladesh</t>
  </si>
  <si>
    <t>- Sri Lanka</t>
  </si>
  <si>
    <t>- Cambodia</t>
  </si>
  <si>
    <t>- Myanmar</t>
  </si>
  <si>
    <t xml:space="preserve"> -   </t>
  </si>
  <si>
    <t>- Pakistan</t>
  </si>
  <si>
    <t>- Laos</t>
  </si>
  <si>
    <t>- Philippines</t>
  </si>
  <si>
    <t>- Indonesia</t>
  </si>
  <si>
    <t>Towers</t>
  </si>
  <si>
    <t>Managed sites</t>
  </si>
  <si>
    <t>-</t>
  </si>
  <si>
    <t>Tenancy ratio (x)</t>
  </si>
  <si>
    <t>ADS</t>
  </si>
  <si>
    <t>Digital Financial Services</t>
  </si>
  <si>
    <t>Gross Transaction Value (RM mil)</t>
  </si>
  <si>
    <t>No. of users (mil)</t>
  </si>
  <si>
    <t>No. of merchants ('000)</t>
  </si>
  <si>
    <t xml:space="preserve"> - Malaysia</t>
  </si>
  <si>
    <t xml:space="preserve"> - Indonesia</t>
  </si>
  <si>
    <t>CDB  (RM mn)</t>
  </si>
  <si>
    <t>Revenue</t>
  </si>
  <si>
    <t>EBIT</t>
  </si>
  <si>
    <t>PAT</t>
  </si>
  <si>
    <t>Underlying PAT</t>
  </si>
  <si>
    <t>XL (IDR bn)</t>
  </si>
  <si>
    <t>AOFCF</t>
  </si>
  <si>
    <t>Robi (BDT mn)</t>
  </si>
  <si>
    <t>PATAMI</t>
  </si>
  <si>
    <t>Dialog (LKR mn)</t>
  </si>
  <si>
    <t>Smart (USD mn)</t>
  </si>
  <si>
    <r>
      <t xml:space="preserve">Link Net </t>
    </r>
    <r>
      <rPr>
        <b/>
        <sz val="10"/>
        <color rgb="FFFF0000"/>
        <rFont val="Calibri"/>
        <family val="2"/>
        <scheme val="minor"/>
      </rPr>
      <t>(IDR bn)</t>
    </r>
  </si>
  <si>
    <t>EDOTCO (RM mn)</t>
  </si>
  <si>
    <t>BOOST (RM mn)</t>
  </si>
  <si>
    <t>ADA (RM mn)</t>
  </si>
  <si>
    <t>Revenue by business segment (constant currency)</t>
  </si>
  <si>
    <t>GROUP</t>
  </si>
  <si>
    <t>EBITDA (constant 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</si>
</sst>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_(* \(#,##0.00\);_(* &quot;-&quot;??_);_(@_)"/>
    <numFmt numFmtId="164" formatCode="_-* #,##0.00_-;\-* #,##0.00_-;_-* &quot;-&quot;??_-;_-@_-"/>
    <numFmt numFmtId="165" formatCode="mmm\ yyyy"/>
    <numFmt numFmtId="166" formatCode="#,##0.0_);\(#,##0.0\)"/>
    <numFmt numFmtId="167" formatCode="0.0%"/>
    <numFmt numFmtId="168" formatCode="#,##0.000_);\(#,##0.000\)"/>
    <numFmt numFmtId="169" formatCode="_(* #,##0.0_);_(* \(#,##0.0\);_(* &quot;-&quot;??_);_(@_)"/>
    <numFmt numFmtId="170" formatCode="0.0"/>
    <numFmt numFmtId="171" formatCode="_(* #,##0_);_(* \(#,##0\);_(* &quot;-&quot;??_);_(@_)"/>
    <numFmt numFmtId="172" formatCode="#0.0\x"/>
    <numFmt numFmtId="173" formatCode="#0.00\x"/>
    <numFmt numFmtId="174" formatCode="0.0\x"/>
    <numFmt numFmtId="175" formatCode="#0.0%_);\(#0.0%\)"/>
    <numFmt numFmtId="176" formatCode="#,##0.00000_);\(#,##0.00000\)"/>
    <numFmt numFmtId="177" formatCode="#,##0.0"/>
    <numFmt numFmtId="178" formatCode="_(* #,##0.000_);_(* \(#,##0.000\);_(* &quot;-&quot;??_);_(@_)"/>
    <numFmt numFmtId="179" formatCode="_(* #,##0.0000_);_(* \(#,##0.0000\);_(* &quot;-&quot;??_);_(@_)"/>
    <numFmt numFmtId="180" formatCode="_-&quot;RM&quot;* #,##0.00_-;\-&quot;RM&quot;* #,##0.00_-;_-&quot;RM&quot;* &quot;-&quot;??_-;_-@_-"/>
    <numFmt numFmtId="181" formatCode="_([$€-2]* #,##0.00_);_([$€-2]* \(#,##0.00\);_([$€-2]* &quot;-&quot;??_)"/>
    <numFmt numFmtId="182" formatCode="_(* #,##0.0_);_(* \(#,##0.0\);_(* &quot;-&quot;?_);_(@_)"/>
  </numFmts>
  <fonts count="30">
    <font>
      <sz val="11"/>
      <color theme="1"/>
      <name val="Calibri"/>
      <family val="2"/>
      <scheme val="minor"/>
    </font>
    <font>
      <sz val="11"/>
      <color theme="1"/>
      <name val="Calibri"/>
      <family val="2"/>
      <scheme val="minor"/>
    </font>
    <font>
      <b/>
      <sz val="11"/>
      <color theme="1"/>
      <name val="Calibri"/>
      <family val="2"/>
      <scheme val="minor"/>
    </font>
    <font>
      <b/>
      <sz val="10"/>
      <color indexed="9"/>
      <name val="Calibri"/>
      <family val="2"/>
      <scheme val="minor"/>
    </font>
    <font>
      <b/>
      <u/>
      <sz val="16"/>
      <name val="Calibri"/>
      <family val="2"/>
      <scheme val="minor"/>
    </font>
    <font>
      <b/>
      <sz val="10"/>
      <name val="Calibri"/>
      <family val="2"/>
      <scheme val="minor"/>
    </font>
    <font>
      <b/>
      <sz val="10"/>
      <color indexed="12"/>
      <name val="Calibri"/>
      <family val="2"/>
      <scheme val="minor"/>
    </font>
    <font>
      <sz val="10"/>
      <name val="Calibri"/>
      <family val="2"/>
      <scheme val="minor"/>
    </font>
    <font>
      <b/>
      <sz val="10"/>
      <color theme="1"/>
      <name val="Calibri"/>
      <family val="2"/>
      <scheme val="minor"/>
    </font>
    <font>
      <b/>
      <sz val="10"/>
      <color rgb="FF0000FF"/>
      <name val="Calibri"/>
      <family val="2"/>
      <scheme val="minor"/>
    </font>
    <font>
      <i/>
      <sz val="10"/>
      <name val="Calibri"/>
      <family val="2"/>
      <scheme val="minor"/>
    </font>
    <font>
      <i/>
      <sz val="10"/>
      <color theme="1"/>
      <name val="Calibri"/>
      <family val="2"/>
      <scheme val="minor"/>
    </font>
    <font>
      <sz val="10"/>
      <color indexed="12"/>
      <name val="Calibri"/>
      <family val="2"/>
      <scheme val="minor"/>
    </font>
    <font>
      <sz val="10"/>
      <color theme="1"/>
      <name val="Calibri"/>
      <family val="2"/>
      <scheme val="minor"/>
    </font>
    <font>
      <sz val="10"/>
      <color rgb="FF0000FF"/>
      <name val="Calibri"/>
      <family val="2"/>
      <scheme val="minor"/>
    </font>
    <font>
      <i/>
      <sz val="10"/>
      <color indexed="8"/>
      <name val="Calibri"/>
      <family val="2"/>
      <scheme val="minor"/>
    </font>
    <font>
      <sz val="10"/>
      <color rgb="FFFF0000"/>
      <name val="Calibri"/>
      <family val="2"/>
      <scheme val="minor"/>
    </font>
    <font>
      <b/>
      <sz val="10"/>
      <color indexed="8"/>
      <name val="Calibri"/>
      <family val="2"/>
      <scheme val="minor"/>
    </font>
    <font>
      <i/>
      <sz val="8"/>
      <color rgb="FFFF0000"/>
      <name val="Calibri"/>
      <family val="2"/>
      <scheme val="minor"/>
    </font>
    <font>
      <b/>
      <sz val="9"/>
      <color indexed="81"/>
      <name val="Tahoma"/>
      <family val="2"/>
    </font>
    <font>
      <sz val="9"/>
      <color indexed="81"/>
      <name val="Tahoma"/>
      <family val="2"/>
    </font>
    <font>
      <b/>
      <sz val="11"/>
      <name val="Calibri"/>
      <family val="2"/>
      <scheme val="minor"/>
    </font>
    <font>
      <sz val="10"/>
      <name val="Arial"/>
      <family val="2"/>
    </font>
    <font>
      <i/>
      <sz val="10"/>
      <color rgb="FFFF0000"/>
      <name val="Calibri"/>
      <family val="2"/>
      <scheme val="minor"/>
    </font>
    <font>
      <b/>
      <sz val="10"/>
      <color rgb="FFFF0000"/>
      <name val="Calibri"/>
      <family val="2"/>
      <scheme val="minor"/>
    </font>
    <font>
      <sz val="10"/>
      <color indexed="8"/>
      <name val="Calibri"/>
      <family val="2"/>
      <scheme val="minor"/>
    </font>
    <font>
      <b/>
      <i/>
      <sz val="10"/>
      <color theme="1"/>
      <name val="Calibri"/>
      <family val="2"/>
      <scheme val="minor"/>
    </font>
    <font>
      <b/>
      <i/>
      <sz val="10"/>
      <color rgb="FFFF0000"/>
      <name val="Calibri"/>
      <family val="2"/>
      <scheme val="minor"/>
    </font>
    <font>
      <i/>
      <sz val="8"/>
      <name val="Calibri"/>
      <family val="2"/>
      <scheme val="minor"/>
    </font>
    <font>
      <b/>
      <i/>
      <sz val="10"/>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s>
  <borders count="30">
    <border>
      <left/>
      <right/>
      <top/>
      <bottom/>
      <diagonal/>
    </border>
    <border>
      <left/>
      <right/>
      <top/>
      <bottom style="thin">
        <color indexed="9"/>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double">
        <color indexed="64"/>
      </bottom>
      <diagonal/>
    </border>
    <border>
      <left/>
      <right/>
      <top style="double">
        <color indexed="64"/>
      </top>
      <bottom/>
      <diagonal/>
    </border>
    <border>
      <left/>
      <right/>
      <top style="double">
        <color indexed="64"/>
      </top>
      <bottom style="double">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s>
  <cellStyleXfs count="17">
    <xf numFmtId="0" fontId="0" fillId="0" borderId="0"/>
    <xf numFmtId="43" fontId="1" fillId="0" borderId="0" applyFont="0" applyFill="0" applyBorder="0" applyAlignment="0" applyProtection="0"/>
    <xf numFmtId="9" fontId="1" fillId="0" borderId="0" applyFont="0" applyFill="0" applyBorder="0" applyAlignment="0" applyProtection="0"/>
    <xf numFmtId="0" fontId="22" fillId="0" borderId="0"/>
    <xf numFmtId="0" fontId="22"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81" fontId="22" fillId="0" borderId="0"/>
    <xf numFmtId="180" fontId="1" fillId="0" borderId="0" applyFont="0" applyFill="0" applyBorder="0" applyAlignment="0" applyProtection="0"/>
    <xf numFmtId="43" fontId="2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2" fillId="0" borderId="0" applyFont="0" applyFill="0" applyBorder="0" applyAlignment="0" applyProtection="0"/>
    <xf numFmtId="0" fontId="1" fillId="0" borderId="0"/>
    <xf numFmtId="43" fontId="1" fillId="0" borderId="0" applyFont="0" applyFill="0" applyBorder="0" applyAlignment="0" applyProtection="0"/>
  </cellStyleXfs>
  <cellXfs count="456">
    <xf numFmtId="0" fontId="0" fillId="0" borderId="0" xfId="0"/>
    <xf numFmtId="0" fontId="3" fillId="0" borderId="0" xfId="0" applyFont="1"/>
    <xf numFmtId="0" fontId="4" fillId="2" borderId="0" xfId="0" applyFont="1" applyFill="1" applyAlignment="1">
      <alignment horizontal="left"/>
    </xf>
    <xf numFmtId="0" fontId="5" fillId="2" borderId="1" xfId="0" applyFont="1" applyFill="1" applyBorder="1" applyAlignment="1">
      <alignment horizontal="centerContinuous"/>
    </xf>
    <xf numFmtId="0" fontId="5" fillId="2" borderId="0" xfId="0" applyFont="1" applyFill="1"/>
    <xf numFmtId="165" fontId="5" fillId="2" borderId="0" xfId="0" applyNumberFormat="1" applyFont="1" applyFill="1" applyAlignment="1">
      <alignment horizontal="centerContinuous"/>
    </xf>
    <xf numFmtId="0" fontId="5" fillId="0" borderId="0" xfId="0" applyFont="1"/>
    <xf numFmtId="165" fontId="5" fillId="2" borderId="0" xfId="0" applyNumberFormat="1" applyFont="1" applyFill="1" applyAlignment="1">
      <alignment horizontal="center"/>
    </xf>
    <xf numFmtId="0" fontId="6" fillId="0" borderId="0" xfId="0" applyFont="1"/>
    <xf numFmtId="43" fontId="6" fillId="0" borderId="0" xfId="1" applyFont="1" applyFill="1" applyBorder="1" applyAlignment="1">
      <alignment horizontal="center"/>
    </xf>
    <xf numFmtId="0" fontId="7" fillId="0" borderId="0" xfId="0" applyFont="1"/>
    <xf numFmtId="0" fontId="5" fillId="2" borderId="2" xfId="0" applyFont="1" applyFill="1" applyBorder="1"/>
    <xf numFmtId="0" fontId="7" fillId="2" borderId="2" xfId="0" applyFont="1" applyFill="1" applyBorder="1"/>
    <xf numFmtId="166" fontId="6" fillId="0" borderId="0" xfId="0" applyNumberFormat="1" applyFont="1" applyAlignment="1">
      <alignment horizontal="right" vertical="center"/>
    </xf>
    <xf numFmtId="166" fontId="8" fillId="0" borderId="0" xfId="0" applyNumberFormat="1" applyFont="1"/>
    <xf numFmtId="166" fontId="9" fillId="0" borderId="0" xfId="0" applyNumberFormat="1" applyFont="1"/>
    <xf numFmtId="0" fontId="10" fillId="0" borderId="0" xfId="0" applyFont="1"/>
    <xf numFmtId="0" fontId="10" fillId="3" borderId="0" xfId="0" applyFont="1" applyFill="1" applyAlignment="1">
      <alignment horizontal="left" indent="1"/>
    </xf>
    <xf numFmtId="167" fontId="10" fillId="3" borderId="0" xfId="2" applyNumberFormat="1" applyFont="1" applyFill="1"/>
    <xf numFmtId="167" fontId="11" fillId="3" borderId="0" xfId="2" applyNumberFormat="1" applyFont="1" applyFill="1"/>
    <xf numFmtId="166" fontId="12" fillId="0" borderId="0" xfId="0" applyNumberFormat="1" applyFont="1" applyAlignment="1">
      <alignment horizontal="right" vertical="center"/>
    </xf>
    <xf numFmtId="166" fontId="13" fillId="0" borderId="0" xfId="0" applyNumberFormat="1" applyFont="1"/>
    <xf numFmtId="166" fontId="12" fillId="0" borderId="0" xfId="0" applyNumberFormat="1" applyFont="1"/>
    <xf numFmtId="0" fontId="5" fillId="0" borderId="0" xfId="0" applyFont="1" applyAlignment="1">
      <alignment horizontal="left"/>
    </xf>
    <xf numFmtId="166" fontId="5" fillId="0" borderId="0" xfId="0" applyNumberFormat="1" applyFont="1"/>
    <xf numFmtId="0" fontId="7" fillId="0" borderId="0" xfId="0" applyFont="1" applyAlignment="1">
      <alignment horizontal="left"/>
    </xf>
    <xf numFmtId="0" fontId="7" fillId="0" borderId="0" xfId="0" applyFont="1" applyAlignment="1">
      <alignment wrapText="1"/>
    </xf>
    <xf numFmtId="0" fontId="8" fillId="0" borderId="0" xfId="0" applyFont="1"/>
    <xf numFmtId="0" fontId="10" fillId="0" borderId="0" xfId="0" applyFont="1" applyAlignment="1">
      <alignment horizontal="left" indent="1"/>
    </xf>
    <xf numFmtId="166" fontId="14" fillId="0" borderId="0" xfId="0" applyNumberFormat="1" applyFont="1"/>
    <xf numFmtId="167" fontId="10" fillId="0" borderId="0" xfId="2" applyNumberFormat="1" applyFont="1" applyFill="1"/>
    <xf numFmtId="165" fontId="5" fillId="2" borderId="2" xfId="0" applyNumberFormat="1" applyFont="1" applyFill="1" applyBorder="1" applyAlignment="1">
      <alignment horizontal="centerContinuous"/>
    </xf>
    <xf numFmtId="166" fontId="7" fillId="0" borderId="0" xfId="0" applyNumberFormat="1" applyFont="1"/>
    <xf numFmtId="167" fontId="15" fillId="3" borderId="0" xfId="2" applyNumberFormat="1" applyFont="1" applyFill="1"/>
    <xf numFmtId="169" fontId="9" fillId="0" borderId="0" xfId="1" applyNumberFormat="1" applyFont="1" applyFill="1"/>
    <xf numFmtId="169" fontId="5" fillId="0" borderId="0" xfId="1" applyNumberFormat="1" applyFont="1" applyFill="1"/>
    <xf numFmtId="9" fontId="7" fillId="0" borderId="0" xfId="2" applyFont="1"/>
    <xf numFmtId="165" fontId="5" fillId="2" borderId="2" xfId="0" applyNumberFormat="1" applyFont="1" applyFill="1" applyBorder="1" applyAlignment="1">
      <alignment horizontal="center" vertical="center"/>
    </xf>
    <xf numFmtId="166" fontId="17" fillId="0" borderId="0" xfId="0" applyNumberFormat="1" applyFont="1"/>
    <xf numFmtId="0" fontId="14" fillId="0" borderId="0" xfId="0" applyFont="1"/>
    <xf numFmtId="9" fontId="7" fillId="0" borderId="0" xfId="2" applyFont="1" applyFill="1"/>
    <xf numFmtId="0" fontId="18" fillId="0" borderId="0" xfId="0" applyFont="1"/>
    <xf numFmtId="167" fontId="12" fillId="0" borderId="0" xfId="2" applyNumberFormat="1" applyFont="1" applyFill="1"/>
    <xf numFmtId="169" fontId="14" fillId="0" borderId="0" xfId="1" applyNumberFormat="1" applyFont="1" applyFill="1" applyBorder="1"/>
    <xf numFmtId="169" fontId="7" fillId="0" borderId="0" xfId="1" applyNumberFormat="1" applyFont="1" applyFill="1" applyBorder="1"/>
    <xf numFmtId="0" fontId="10" fillId="3" borderId="0" xfId="0" applyFont="1" applyFill="1" applyAlignment="1">
      <alignment horizontal="left"/>
    </xf>
    <xf numFmtId="167" fontId="10" fillId="3" borderId="0" xfId="0" applyNumberFormat="1" applyFont="1" applyFill="1"/>
    <xf numFmtId="166" fontId="16" fillId="0" borderId="0" xfId="0" applyNumberFormat="1" applyFont="1"/>
    <xf numFmtId="0" fontId="7" fillId="0" borderId="0" xfId="0" applyFont="1" applyAlignment="1">
      <alignment horizontal="left" indent="1"/>
    </xf>
    <xf numFmtId="169" fontId="12" fillId="0" borderId="0" xfId="0" applyNumberFormat="1" applyFont="1"/>
    <xf numFmtId="169" fontId="5" fillId="0" borderId="0" xfId="1" applyNumberFormat="1" applyFont="1" applyFill="1" applyBorder="1"/>
    <xf numFmtId="172" fontId="7" fillId="0" borderId="0" xfId="0" applyNumberFormat="1" applyFont="1"/>
    <xf numFmtId="173" fontId="7" fillId="0" borderId="0" xfId="0" applyNumberFormat="1" applyFont="1"/>
    <xf numFmtId="167" fontId="5" fillId="0" borderId="0" xfId="2" applyNumberFormat="1" applyFont="1" applyFill="1" applyAlignment="1">
      <alignment horizontal="right"/>
    </xf>
    <xf numFmtId="37" fontId="7" fillId="0" borderId="0" xfId="0" applyNumberFormat="1" applyFont="1"/>
    <xf numFmtId="174" fontId="7" fillId="0" borderId="0" xfId="0" applyNumberFormat="1" applyFont="1" applyAlignment="1">
      <alignment horizontal="right"/>
    </xf>
    <xf numFmtId="174" fontId="5" fillId="0" borderId="0" xfId="0" applyNumberFormat="1" applyFont="1" applyAlignment="1">
      <alignment horizontal="right"/>
    </xf>
    <xf numFmtId="175" fontId="5" fillId="0" borderId="0" xfId="0" applyNumberFormat="1" applyFont="1"/>
    <xf numFmtId="0" fontId="5" fillId="2" borderId="3" xfId="0" applyFont="1" applyFill="1" applyBorder="1"/>
    <xf numFmtId="166" fontId="5" fillId="0" borderId="0" xfId="0" applyNumberFormat="1" applyFont="1" applyAlignment="1">
      <alignment horizontal="right"/>
    </xf>
    <xf numFmtId="0" fontId="10" fillId="3" borderId="0" xfId="0" applyFont="1" applyFill="1"/>
    <xf numFmtId="167" fontId="10" fillId="3" borderId="0" xfId="2" applyNumberFormat="1" applyFont="1" applyFill="1" applyAlignment="1">
      <alignment horizontal="right"/>
    </xf>
    <xf numFmtId="9" fontId="10" fillId="3" borderId="0" xfId="2" applyFont="1" applyFill="1" applyAlignment="1">
      <alignment horizontal="right"/>
    </xf>
    <xf numFmtId="0" fontId="5" fillId="0" borderId="4" xfId="0" applyFont="1" applyBorder="1"/>
    <xf numFmtId="166" fontId="5" fillId="0" borderId="4" xfId="0" applyNumberFormat="1" applyFont="1" applyBorder="1"/>
    <xf numFmtId="170" fontId="5" fillId="0" borderId="4" xfId="0" applyNumberFormat="1" applyFont="1" applyBorder="1"/>
    <xf numFmtId="169" fontId="7" fillId="0" borderId="0" xfId="1" applyNumberFormat="1" applyFont="1"/>
    <xf numFmtId="169" fontId="7" fillId="0" borderId="0" xfId="1" applyNumberFormat="1" applyFont="1" applyAlignment="1">
      <alignment horizontal="right"/>
    </xf>
    <xf numFmtId="169" fontId="5" fillId="0" borderId="4" xfId="1" applyNumberFormat="1" applyFont="1" applyFill="1" applyBorder="1" applyAlignment="1">
      <alignment horizontal="right"/>
    </xf>
    <xf numFmtId="169" fontId="7" fillId="0" borderId="0" xfId="1" applyNumberFormat="1" applyFont="1" applyBorder="1"/>
    <xf numFmtId="0" fontId="5" fillId="0" borderId="5" xfId="0" applyFont="1" applyBorder="1"/>
    <xf numFmtId="169" fontId="5" fillId="0" borderId="5" xfId="1" applyNumberFormat="1" applyFont="1" applyBorder="1"/>
    <xf numFmtId="0" fontId="7" fillId="0" borderId="6" xfId="0" applyFont="1" applyBorder="1"/>
    <xf numFmtId="169" fontId="7" fillId="0" borderId="6" xfId="1" applyNumberFormat="1" applyFont="1" applyBorder="1"/>
    <xf numFmtId="0" fontId="7" fillId="0" borderId="5" xfId="0" applyFont="1" applyBorder="1"/>
    <xf numFmtId="169" fontId="7" fillId="0" borderId="5" xfId="1" applyNumberFormat="1" applyFont="1" applyBorder="1"/>
    <xf numFmtId="0" fontId="5" fillId="0" borderId="7" xfId="0" applyFont="1" applyBorder="1"/>
    <xf numFmtId="0" fontId="7" fillId="0" borderId="0" xfId="0" applyFont="1" applyAlignment="1">
      <alignment horizontal="right"/>
    </xf>
    <xf numFmtId="1" fontId="7" fillId="0" borderId="0" xfId="0" applyNumberFormat="1" applyFont="1" applyAlignment="1">
      <alignment horizontal="right"/>
    </xf>
    <xf numFmtId="166" fontId="7" fillId="0" borderId="0" xfId="0" applyNumberFormat="1" applyFont="1" applyAlignment="1">
      <alignment horizontal="right"/>
    </xf>
    <xf numFmtId="2" fontId="7" fillId="0" borderId="0" xfId="0" applyNumberFormat="1" applyFont="1"/>
    <xf numFmtId="168" fontId="5" fillId="0" borderId="0" xfId="0" applyNumberFormat="1" applyFont="1" applyAlignment="1">
      <alignment horizontal="right"/>
    </xf>
    <xf numFmtId="167" fontId="7" fillId="0" borderId="5" xfId="2" applyNumberFormat="1" applyFont="1" applyFill="1" applyBorder="1" applyAlignment="1">
      <alignment horizontal="right"/>
    </xf>
    <xf numFmtId="169" fontId="14" fillId="0" borderId="0" xfId="0" applyNumberFormat="1" applyFont="1"/>
    <xf numFmtId="174" fontId="5" fillId="0" borderId="0" xfId="0" applyNumberFormat="1" applyFont="1"/>
    <xf numFmtId="174" fontId="7" fillId="0" borderId="0" xfId="0" applyNumberFormat="1" applyFont="1"/>
    <xf numFmtId="0" fontId="2" fillId="0" borderId="0" xfId="0" applyFont="1"/>
    <xf numFmtId="0" fontId="21" fillId="0" borderId="0" xfId="0" applyFont="1"/>
    <xf numFmtId="169" fontId="5" fillId="0" borderId="0" xfId="0" applyNumberFormat="1" applyFont="1"/>
    <xf numFmtId="0" fontId="9" fillId="0" borderId="0" xfId="0" applyFont="1" applyAlignment="1">
      <alignment horizontal="center"/>
    </xf>
    <xf numFmtId="43" fontId="8" fillId="0" borderId="0" xfId="1" applyFont="1" applyFill="1" applyBorder="1" applyAlignment="1">
      <alignment horizontal="left"/>
    </xf>
    <xf numFmtId="43" fontId="13" fillId="0" borderId="0" xfId="1" applyFont="1" applyFill="1" applyBorder="1" applyAlignment="1">
      <alignment horizontal="left"/>
    </xf>
    <xf numFmtId="3" fontId="7" fillId="0" borderId="0" xfId="0" applyNumberFormat="1" applyFont="1" applyAlignment="1">
      <alignment horizontal="right"/>
    </xf>
    <xf numFmtId="171" fontId="7" fillId="0" borderId="0" xfId="1" applyNumberFormat="1" applyFont="1" applyFill="1" applyBorder="1"/>
    <xf numFmtId="171" fontId="5" fillId="0" borderId="0" xfId="1" applyNumberFormat="1" applyFont="1" applyFill="1" applyBorder="1" applyAlignment="1">
      <alignment horizontal="left"/>
    </xf>
    <xf numFmtId="171" fontId="5" fillId="0" borderId="0" xfId="1" applyNumberFormat="1" applyFont="1" applyFill="1" applyBorder="1" applyAlignment="1">
      <alignment horizontal="center"/>
    </xf>
    <xf numFmtId="171" fontId="6" fillId="0" borderId="0" xfId="1" applyNumberFormat="1" applyFont="1" applyFill="1" applyBorder="1" applyAlignment="1">
      <alignment horizontal="center"/>
    </xf>
    <xf numFmtId="167" fontId="6" fillId="0" borderId="0" xfId="2" applyNumberFormat="1" applyFont="1" applyFill="1" applyBorder="1" applyAlignment="1">
      <alignment horizontal="center"/>
    </xf>
    <xf numFmtId="167" fontId="9" fillId="0" borderId="0" xfId="2" applyNumberFormat="1" applyFont="1" applyFill="1" applyBorder="1" applyAlignment="1">
      <alignment horizontal="center"/>
    </xf>
    <xf numFmtId="167" fontId="14" fillId="0" borderId="0" xfId="2" applyNumberFormat="1" applyFont="1" applyFill="1" applyBorder="1" applyAlignment="1"/>
    <xf numFmtId="167" fontId="5" fillId="0" borderId="0" xfId="2" applyNumberFormat="1" applyFont="1" applyFill="1" applyBorder="1" applyAlignment="1"/>
    <xf numFmtId="167" fontId="7" fillId="0" borderId="0" xfId="2" applyNumberFormat="1" applyFont="1" applyFill="1" applyBorder="1" applyAlignment="1"/>
    <xf numFmtId="9" fontId="5" fillId="0" borderId="0" xfId="2" applyFont="1" applyFill="1" applyBorder="1" applyAlignment="1"/>
    <xf numFmtId="9" fontId="14" fillId="0" borderId="0" xfId="2" applyFont="1" applyFill="1" applyBorder="1" applyAlignment="1"/>
    <xf numFmtId="0" fontId="13" fillId="0" borderId="0" xfId="0" applyFont="1"/>
    <xf numFmtId="0" fontId="14" fillId="0" borderId="0" xfId="2" applyNumberFormat="1" applyFont="1" applyFill="1" applyBorder="1" applyAlignment="1"/>
    <xf numFmtId="0" fontId="7" fillId="0" borderId="8" xfId="0" applyFont="1" applyBorder="1"/>
    <xf numFmtId="0" fontId="13" fillId="0" borderId="2" xfId="0" applyFont="1" applyBorder="1"/>
    <xf numFmtId="0" fontId="7" fillId="0" borderId="2" xfId="0" applyFont="1" applyBorder="1"/>
    <xf numFmtId="0" fontId="7" fillId="0" borderId="0" xfId="2" applyNumberFormat="1" applyFont="1" applyFill="1" applyBorder="1" applyAlignment="1"/>
    <xf numFmtId="0" fontId="5" fillId="0" borderId="0" xfId="2" applyNumberFormat="1" applyFont="1" applyFill="1" applyBorder="1" applyAlignment="1"/>
    <xf numFmtId="171" fontId="5" fillId="0" borderId="2" xfId="1" applyNumberFormat="1" applyFont="1" applyFill="1" applyBorder="1" applyAlignment="1">
      <alignment horizontal="left"/>
    </xf>
    <xf numFmtId="9" fontId="5" fillId="0" borderId="2" xfId="2" applyFont="1" applyFill="1" applyBorder="1" applyAlignment="1"/>
    <xf numFmtId="171" fontId="7" fillId="0" borderId="2" xfId="1" applyNumberFormat="1" applyFont="1" applyFill="1" applyBorder="1"/>
    <xf numFmtId="43" fontId="7" fillId="0" borderId="0" xfId="1" applyFont="1" applyFill="1" applyBorder="1" applyAlignment="1">
      <alignment horizontal="left"/>
    </xf>
    <xf numFmtId="43" fontId="5" fillId="0" borderId="0" xfId="1" applyFont="1" applyFill="1" applyBorder="1" applyAlignment="1">
      <alignment horizontal="left"/>
    </xf>
    <xf numFmtId="3" fontId="9" fillId="0" borderId="0" xfId="0" applyNumberFormat="1" applyFont="1" applyAlignment="1">
      <alignment horizontal="center"/>
    </xf>
    <xf numFmtId="3" fontId="14" fillId="0" borderId="0" xfId="2" applyNumberFormat="1" applyFont="1" applyFill="1" applyBorder="1" applyAlignment="1"/>
    <xf numFmtId="43" fontId="16" fillId="0" borderId="0" xfId="1" applyFont="1" applyFill="1" applyBorder="1" applyAlignment="1">
      <alignment horizontal="left"/>
    </xf>
    <xf numFmtId="0" fontId="16" fillId="0" borderId="0" xfId="0" applyFont="1"/>
    <xf numFmtId="171" fontId="16" fillId="0" borderId="0" xfId="0" applyNumberFormat="1" applyFont="1" applyAlignment="1">
      <alignment horizontal="center"/>
    </xf>
    <xf numFmtId="166" fontId="0" fillId="0" borderId="0" xfId="0" applyNumberFormat="1"/>
    <xf numFmtId="1" fontId="14" fillId="0" borderId="0" xfId="2" applyNumberFormat="1" applyFont="1" applyFill="1" applyBorder="1" applyAlignment="1"/>
    <xf numFmtId="171" fontId="14" fillId="0" borderId="0" xfId="2" applyNumberFormat="1" applyFont="1" applyFill="1" applyBorder="1" applyAlignment="1"/>
    <xf numFmtId="1" fontId="6" fillId="0" borderId="0" xfId="1" applyNumberFormat="1" applyFont="1" applyFill="1" applyBorder="1" applyAlignment="1">
      <alignment horizontal="center"/>
    </xf>
    <xf numFmtId="1" fontId="9" fillId="0" borderId="0" xfId="0" applyNumberFormat="1" applyFont="1" applyAlignment="1">
      <alignment horizontal="center"/>
    </xf>
    <xf numFmtId="0" fontId="7" fillId="0" borderId="0" xfId="3" applyFont="1"/>
    <xf numFmtId="0" fontId="5" fillId="0" borderId="0" xfId="3" applyFont="1"/>
    <xf numFmtId="176" fontId="5" fillId="0" borderId="0" xfId="0" applyNumberFormat="1" applyFont="1" applyAlignment="1">
      <alignment horizontal="right"/>
    </xf>
    <xf numFmtId="0" fontId="5" fillId="3" borderId="9" xfId="3" applyFont="1" applyFill="1" applyBorder="1" applyAlignment="1">
      <alignment horizontal="left" wrapText="1"/>
    </xf>
    <xf numFmtId="0" fontId="5" fillId="3" borderId="11" xfId="3" applyFont="1" applyFill="1" applyBorder="1" applyAlignment="1">
      <alignment horizontal="right" wrapText="1"/>
    </xf>
    <xf numFmtId="0" fontId="5" fillId="0" borderId="12" xfId="3" applyFont="1" applyBorder="1" applyAlignment="1">
      <alignment horizontal="left" wrapText="1"/>
    </xf>
    <xf numFmtId="171" fontId="7" fillId="0" borderId="13" xfId="1" applyNumberFormat="1" applyFont="1" applyFill="1" applyBorder="1" applyAlignment="1">
      <alignment horizontal="center" wrapText="1"/>
    </xf>
    <xf numFmtId="171" fontId="7" fillId="0" borderId="0" xfId="1" applyNumberFormat="1" applyFont="1" applyFill="1" applyBorder="1" applyAlignment="1">
      <alignment horizontal="center" wrapText="1"/>
    </xf>
    <xf numFmtId="0" fontId="7" fillId="0" borderId="14" xfId="3" applyFont="1" applyBorder="1" applyAlignment="1">
      <alignment horizontal="right" wrapText="1"/>
    </xf>
    <xf numFmtId="169" fontId="7" fillId="0" borderId="13" xfId="1" applyNumberFormat="1" applyFont="1" applyFill="1" applyBorder="1" applyAlignment="1">
      <alignment horizontal="center" wrapText="1"/>
    </xf>
    <xf numFmtId="169" fontId="7" fillId="0" borderId="0" xfId="1" applyNumberFormat="1" applyFont="1" applyFill="1" applyBorder="1" applyAlignment="1">
      <alignment horizontal="center" wrapText="1"/>
    </xf>
    <xf numFmtId="0" fontId="5" fillId="0" borderId="9" xfId="4" applyFont="1" applyBorder="1"/>
    <xf numFmtId="174" fontId="5" fillId="0" borderId="11" xfId="4" applyNumberFormat="1" applyFont="1" applyBorder="1"/>
    <xf numFmtId="0" fontId="7" fillId="0" borderId="12" xfId="4" applyFont="1" applyBorder="1"/>
    <xf numFmtId="174" fontId="7" fillId="0" borderId="14" xfId="4" applyNumberFormat="1" applyFont="1" applyBorder="1"/>
    <xf numFmtId="0" fontId="5" fillId="0" borderId="12" xfId="4" applyFont="1" applyBorder="1"/>
    <xf numFmtId="0" fontId="7" fillId="0" borderId="14" xfId="3" applyFont="1" applyBorder="1"/>
    <xf numFmtId="169" fontId="5" fillId="0" borderId="10" xfId="1" applyNumberFormat="1" applyFont="1" applyFill="1" applyBorder="1"/>
    <xf numFmtId="169" fontId="5" fillId="0" borderId="3" xfId="1" applyNumberFormat="1" applyFont="1" applyFill="1" applyBorder="1"/>
    <xf numFmtId="0" fontId="7" fillId="0" borderId="15" xfId="4" applyFont="1" applyBorder="1"/>
    <xf numFmtId="0" fontId="7" fillId="0" borderId="16" xfId="3" applyFont="1" applyBorder="1"/>
    <xf numFmtId="169" fontId="7" fillId="0" borderId="13" xfId="1" applyNumberFormat="1" applyFont="1" applyFill="1" applyBorder="1"/>
    <xf numFmtId="169" fontId="5" fillId="0" borderId="13" xfId="1" applyNumberFormat="1" applyFont="1" applyFill="1" applyBorder="1"/>
    <xf numFmtId="166" fontId="7" fillId="0" borderId="17" xfId="0" applyNumberFormat="1" applyFont="1" applyBorder="1"/>
    <xf numFmtId="166" fontId="7" fillId="0" borderId="2" xfId="0" applyNumberFormat="1" applyFont="1" applyBorder="1"/>
    <xf numFmtId="0" fontId="23" fillId="0" borderId="0" xfId="3" applyFont="1"/>
    <xf numFmtId="169" fontId="23" fillId="0" borderId="0" xfId="3" applyNumberFormat="1" applyFont="1"/>
    <xf numFmtId="0" fontId="10" fillId="0" borderId="0" xfId="3" applyFont="1"/>
    <xf numFmtId="0" fontId="5" fillId="0" borderId="18" xfId="3" applyFont="1" applyBorder="1" applyAlignment="1">
      <alignment horizontal="left" wrapText="1"/>
    </xf>
    <xf numFmtId="0" fontId="7" fillId="0" borderId="20" xfId="3" applyFont="1" applyBorder="1" applyAlignment="1">
      <alignment horizontal="left" wrapText="1"/>
    </xf>
    <xf numFmtId="169" fontId="7" fillId="0" borderId="21" xfId="1" applyNumberFormat="1" applyFont="1" applyFill="1" applyBorder="1" applyAlignment="1">
      <alignment horizontal="left" wrapText="1"/>
    </xf>
    <xf numFmtId="0" fontId="7" fillId="0" borderId="22" xfId="3" applyFont="1" applyBorder="1"/>
    <xf numFmtId="169" fontId="7" fillId="0" borderId="23" xfId="1" applyNumberFormat="1" applyFont="1" applyFill="1" applyBorder="1" applyAlignment="1">
      <alignment horizontal="left" wrapText="1"/>
    </xf>
    <xf numFmtId="0" fontId="7" fillId="0" borderId="20" xfId="3" applyFont="1" applyBorder="1" applyAlignment="1">
      <alignment horizontal="left"/>
    </xf>
    <xf numFmtId="169" fontId="14" fillId="0" borderId="21" xfId="3" applyNumberFormat="1" applyFont="1" applyBorder="1"/>
    <xf numFmtId="0" fontId="5" fillId="0" borderId="24" xfId="3" applyFont="1" applyBorder="1" applyAlignment="1">
      <alignment horizontal="left"/>
    </xf>
    <xf numFmtId="177" fontId="5" fillId="0" borderId="25" xfId="3" applyNumberFormat="1" applyFont="1" applyBorder="1"/>
    <xf numFmtId="169" fontId="5" fillId="0" borderId="25" xfId="3" applyNumberFormat="1" applyFont="1" applyBorder="1"/>
    <xf numFmtId="171" fontId="5" fillId="0" borderId="19" xfId="3" applyNumberFormat="1" applyFont="1" applyBorder="1" applyAlignment="1">
      <alignment horizontal="left" wrapText="1"/>
    </xf>
    <xf numFmtId="169" fontId="14" fillId="0" borderId="13" xfId="3" applyNumberFormat="1" applyFont="1" applyBorder="1"/>
    <xf numFmtId="169" fontId="14" fillId="0" borderId="17" xfId="3" applyNumberFormat="1" applyFont="1" applyBorder="1"/>
    <xf numFmtId="0" fontId="5" fillId="3" borderId="9" xfId="3" applyFont="1" applyFill="1" applyBorder="1" applyAlignment="1">
      <alignment horizontal="center" wrapText="1"/>
    </xf>
    <xf numFmtId="169" fontId="9" fillId="4" borderId="0" xfId="1" applyNumberFormat="1" applyFont="1" applyFill="1"/>
    <xf numFmtId="167" fontId="15" fillId="4" borderId="0" xfId="2" applyNumberFormat="1" applyFont="1" applyFill="1"/>
    <xf numFmtId="167" fontId="7" fillId="4" borderId="0" xfId="2" applyNumberFormat="1" applyFont="1" applyFill="1" applyAlignment="1">
      <alignment horizontal="right"/>
    </xf>
    <xf numFmtId="167" fontId="7" fillId="4" borderId="5" xfId="2" applyNumberFormat="1" applyFont="1" applyFill="1" applyBorder="1" applyAlignment="1">
      <alignment horizontal="right"/>
    </xf>
    <xf numFmtId="172" fontId="5" fillId="4" borderId="0" xfId="0" applyNumberFormat="1" applyFont="1" applyFill="1"/>
    <xf numFmtId="166" fontId="7" fillId="4" borderId="0" xfId="0" applyNumberFormat="1" applyFont="1" applyFill="1"/>
    <xf numFmtId="0" fontId="7" fillId="2" borderId="0" xfId="0" applyFont="1" applyFill="1"/>
    <xf numFmtId="170" fontId="14" fillId="0" borderId="0" xfId="2" applyNumberFormat="1" applyFont="1" applyFill="1" applyBorder="1" applyAlignment="1"/>
    <xf numFmtId="0" fontId="5" fillId="2" borderId="1" xfId="0" applyFont="1" applyFill="1" applyBorder="1" applyAlignment="1">
      <alignment horizontal="center"/>
    </xf>
    <xf numFmtId="2" fontId="14" fillId="0" borderId="0" xfId="2" applyNumberFormat="1" applyFont="1" applyFill="1" applyBorder="1" applyAlignment="1"/>
    <xf numFmtId="0" fontId="5" fillId="0" borderId="8" xfId="0" applyFont="1" applyBorder="1"/>
    <xf numFmtId="0" fontId="7" fillId="5" borderId="0" xfId="0" applyFont="1" applyFill="1"/>
    <xf numFmtId="169" fontId="12" fillId="0" borderId="0" xfId="1" applyNumberFormat="1" applyFont="1" applyFill="1"/>
    <xf numFmtId="169" fontId="14" fillId="0" borderId="0" xfId="1" applyNumberFormat="1" applyFont="1" applyFill="1"/>
    <xf numFmtId="169" fontId="14" fillId="0" borderId="0" xfId="1" applyNumberFormat="1" applyFont="1" applyFill="1" applyBorder="1" applyAlignment="1"/>
    <xf numFmtId="169" fontId="5" fillId="0" borderId="23" xfId="1" applyNumberFormat="1" applyFont="1" applyFill="1" applyBorder="1" applyAlignment="1">
      <alignment horizontal="left" wrapText="1"/>
    </xf>
    <xf numFmtId="170" fontId="7" fillId="0" borderId="0" xfId="2" applyNumberFormat="1" applyFont="1" applyFill="1" applyBorder="1" applyAlignment="1"/>
    <xf numFmtId="169" fontId="7" fillId="0" borderId="13" xfId="3" applyNumberFormat="1" applyFont="1" applyBorder="1"/>
    <xf numFmtId="1" fontId="9" fillId="0" borderId="0" xfId="2" applyNumberFormat="1" applyFont="1" applyFill="1" applyBorder="1" applyAlignment="1"/>
    <xf numFmtId="171" fontId="9" fillId="0" borderId="0" xfId="2" applyNumberFormat="1" applyFont="1" applyFill="1" applyBorder="1" applyAlignment="1"/>
    <xf numFmtId="3" fontId="5" fillId="0" borderId="0" xfId="0" applyNumberFormat="1" applyFont="1" applyAlignment="1">
      <alignment horizontal="right"/>
    </xf>
    <xf numFmtId="3" fontId="9" fillId="0" borderId="0" xfId="2" applyNumberFormat="1" applyFont="1" applyFill="1" applyBorder="1" applyAlignment="1"/>
    <xf numFmtId="0" fontId="5" fillId="2" borderId="2" xfId="0" applyFont="1" applyFill="1" applyBorder="1" applyAlignment="1">
      <alignment horizontal="center"/>
    </xf>
    <xf numFmtId="171" fontId="5" fillId="0" borderId="19" xfId="3" applyNumberFormat="1" applyFont="1" applyBorder="1" applyAlignment="1">
      <alignment horizontal="right" wrapText="1"/>
    </xf>
    <xf numFmtId="0" fontId="7" fillId="0" borderId="22" xfId="3" applyFont="1" applyBorder="1" applyAlignment="1">
      <alignment horizontal="left"/>
    </xf>
    <xf numFmtId="169" fontId="5" fillId="0" borderId="23" xfId="3" applyNumberFormat="1" applyFont="1" applyBorder="1"/>
    <xf numFmtId="171" fontId="8" fillId="0" borderId="0" xfId="1" applyNumberFormat="1" applyFont="1" applyFill="1" applyBorder="1" applyAlignment="1">
      <alignment horizontal="left"/>
    </xf>
    <xf numFmtId="43" fontId="8" fillId="0" borderId="0" xfId="1" applyFont="1" applyFill="1" applyBorder="1" applyAlignment="1">
      <alignment horizontal="center"/>
    </xf>
    <xf numFmtId="1" fontId="14" fillId="5" borderId="0" xfId="2" applyNumberFormat="1" applyFont="1" applyFill="1" applyBorder="1" applyAlignment="1"/>
    <xf numFmtId="171" fontId="7" fillId="0" borderId="0" xfId="1" applyNumberFormat="1" applyFont="1" applyFill="1" applyBorder="1" applyAlignment="1">
      <alignment horizontal="left"/>
    </xf>
    <xf numFmtId="0" fontId="7" fillId="0" borderId="26" xfId="3" applyFont="1" applyBorder="1"/>
    <xf numFmtId="0" fontId="5" fillId="0" borderId="18" xfId="3" applyFont="1" applyBorder="1"/>
    <xf numFmtId="0" fontId="5" fillId="0" borderId="19" xfId="3" applyFont="1" applyBorder="1"/>
    <xf numFmtId="169" fontId="14" fillId="0" borderId="27" xfId="3" applyNumberFormat="1" applyFont="1" applyBorder="1" applyAlignment="1">
      <alignment horizontal="center"/>
    </xf>
    <xf numFmtId="43" fontId="7" fillId="0" borderId="0" xfId="3" applyNumberFormat="1" applyFont="1"/>
    <xf numFmtId="0" fontId="2" fillId="0" borderId="19" xfId="0" applyFont="1" applyBorder="1" applyAlignment="1">
      <alignment horizontal="center"/>
    </xf>
    <xf numFmtId="9" fontId="14" fillId="0" borderId="21" xfId="2" applyFont="1" applyBorder="1" applyAlignment="1">
      <alignment horizontal="center"/>
    </xf>
    <xf numFmtId="9" fontId="8" fillId="0" borderId="23" xfId="0" applyNumberFormat="1" applyFont="1" applyBorder="1" applyAlignment="1">
      <alignment horizontal="center"/>
    </xf>
    <xf numFmtId="171" fontId="5" fillId="0" borderId="28" xfId="3" applyNumberFormat="1" applyFont="1" applyBorder="1" applyAlignment="1">
      <alignment horizontal="right" wrapText="1"/>
    </xf>
    <xf numFmtId="169" fontId="5" fillId="0" borderId="29" xfId="3" applyNumberFormat="1" applyFont="1" applyBorder="1"/>
    <xf numFmtId="171" fontId="5" fillId="0" borderId="28" xfId="3" applyNumberFormat="1" applyFont="1" applyBorder="1" applyAlignment="1">
      <alignment horizontal="left" wrapText="1"/>
    </xf>
    <xf numFmtId="169" fontId="7" fillId="0" borderId="0" xfId="1" applyNumberFormat="1" applyFont="1" applyFill="1" applyBorder="1" applyAlignment="1">
      <alignment horizontal="left" wrapText="1"/>
    </xf>
    <xf numFmtId="169" fontId="7" fillId="0" borderId="29" xfId="1" applyNumberFormat="1" applyFont="1" applyFill="1" applyBorder="1" applyAlignment="1">
      <alignment horizontal="left" wrapText="1"/>
    </xf>
    <xf numFmtId="169" fontId="7" fillId="0" borderId="0" xfId="3" applyNumberFormat="1" applyFont="1"/>
    <xf numFmtId="179" fontId="16" fillId="0" borderId="0" xfId="0" applyNumberFormat="1" applyFont="1" applyAlignment="1">
      <alignment horizontal="center"/>
    </xf>
    <xf numFmtId="164" fontId="0" fillId="0" borderId="0" xfId="0" applyNumberFormat="1"/>
    <xf numFmtId="166" fontId="24" fillId="0" borderId="0" xfId="0" applyNumberFormat="1" applyFont="1"/>
    <xf numFmtId="0" fontId="24" fillId="2" borderId="2" xfId="0" applyFont="1" applyFill="1" applyBorder="1" applyAlignment="1">
      <alignment horizontal="center"/>
    </xf>
    <xf numFmtId="165" fontId="24" fillId="2" borderId="0" xfId="0" applyNumberFormat="1" applyFont="1" applyFill="1" applyAlignment="1">
      <alignment horizontal="center"/>
    </xf>
    <xf numFmtId="166" fontId="8" fillId="6" borderId="0" xfId="0" applyNumberFormat="1" applyFont="1" applyFill="1"/>
    <xf numFmtId="167" fontId="10" fillId="6" borderId="0" xfId="2" applyNumberFormat="1" applyFont="1" applyFill="1"/>
    <xf numFmtId="166" fontId="13" fillId="6" borderId="0" xfId="0" applyNumberFormat="1" applyFont="1" applyFill="1"/>
    <xf numFmtId="166" fontId="5" fillId="6" borderId="0" xfId="0" applyNumberFormat="1" applyFont="1" applyFill="1"/>
    <xf numFmtId="166" fontId="12" fillId="6" borderId="0" xfId="0" applyNumberFormat="1" applyFont="1" applyFill="1"/>
    <xf numFmtId="165" fontId="5" fillId="6" borderId="2" xfId="0" applyNumberFormat="1" applyFont="1" applyFill="1" applyBorder="1" applyAlignment="1">
      <alignment horizontal="centerContinuous"/>
    </xf>
    <xf numFmtId="166" fontId="7" fillId="6" borderId="0" xfId="0" applyNumberFormat="1" applyFont="1" applyFill="1"/>
    <xf numFmtId="167" fontId="15" fillId="6" borderId="0" xfId="2" applyNumberFormat="1" applyFont="1" applyFill="1"/>
    <xf numFmtId="169" fontId="9" fillId="6" borderId="0" xfId="1" applyNumberFormat="1" applyFont="1" applyFill="1"/>
    <xf numFmtId="9" fontId="7" fillId="6" borderId="0" xfId="2" applyFont="1" applyFill="1"/>
    <xf numFmtId="166" fontId="17" fillId="6" borderId="0" xfId="0" applyNumberFormat="1" applyFont="1" applyFill="1"/>
    <xf numFmtId="0" fontId="7" fillId="6" borderId="0" xfId="0" applyFont="1" applyFill="1"/>
    <xf numFmtId="169" fontId="7" fillId="6" borderId="0" xfId="1" applyNumberFormat="1" applyFont="1" applyFill="1" applyBorder="1"/>
    <xf numFmtId="169" fontId="5" fillId="6" borderId="0" xfId="1" applyNumberFormat="1" applyFont="1" applyFill="1" applyBorder="1"/>
    <xf numFmtId="167" fontId="10" fillId="6" borderId="0" xfId="0" applyNumberFormat="1" applyFont="1" applyFill="1"/>
    <xf numFmtId="166" fontId="16" fillId="6" borderId="0" xfId="0" applyNumberFormat="1" applyFont="1" applyFill="1"/>
    <xf numFmtId="169" fontId="5" fillId="6" borderId="0" xfId="0" applyNumberFormat="1" applyFont="1" applyFill="1"/>
    <xf numFmtId="172" fontId="5" fillId="6" borderId="0" xfId="0" applyNumberFormat="1" applyFont="1" applyFill="1"/>
    <xf numFmtId="172" fontId="7" fillId="6" borderId="0" xfId="0" applyNumberFormat="1" applyFont="1" applyFill="1"/>
    <xf numFmtId="173" fontId="7" fillId="6" borderId="0" xfId="0" applyNumberFormat="1" applyFont="1" applyFill="1"/>
    <xf numFmtId="167" fontId="5" fillId="6" borderId="0" xfId="2" applyNumberFormat="1" applyFont="1" applyFill="1" applyAlignment="1">
      <alignment horizontal="right"/>
    </xf>
    <xf numFmtId="165" fontId="5" fillId="6" borderId="2" xfId="0" applyNumberFormat="1" applyFont="1" applyFill="1" applyBorder="1" applyAlignment="1">
      <alignment horizontal="center" vertical="center"/>
    </xf>
    <xf numFmtId="174" fontId="7" fillId="6" borderId="0" xfId="0" applyNumberFormat="1" applyFont="1" applyFill="1" applyAlignment="1">
      <alignment horizontal="right"/>
    </xf>
    <xf numFmtId="174" fontId="5" fillId="6" borderId="0" xfId="0" applyNumberFormat="1" applyFont="1" applyFill="1" applyAlignment="1">
      <alignment horizontal="right"/>
    </xf>
    <xf numFmtId="175" fontId="5" fillId="6" borderId="0" xfId="0" applyNumberFormat="1" applyFont="1" applyFill="1"/>
    <xf numFmtId="165" fontId="5" fillId="6" borderId="0" xfId="0" applyNumberFormat="1" applyFont="1" applyFill="1" applyAlignment="1">
      <alignment horizontal="center"/>
    </xf>
    <xf numFmtId="43" fontId="6" fillId="6" borderId="0" xfId="1" applyFont="1" applyFill="1" applyBorder="1" applyAlignment="1">
      <alignment horizontal="center"/>
    </xf>
    <xf numFmtId="166" fontId="5" fillId="6" borderId="0" xfId="0" applyNumberFormat="1" applyFont="1" applyFill="1" applyAlignment="1">
      <alignment horizontal="right"/>
    </xf>
    <xf numFmtId="9" fontId="10" fillId="6" borderId="0" xfId="2" applyFont="1" applyFill="1" applyAlignment="1">
      <alignment horizontal="right"/>
    </xf>
    <xf numFmtId="166" fontId="5" fillId="6" borderId="4" xfId="0" applyNumberFormat="1" applyFont="1" applyFill="1" applyBorder="1"/>
    <xf numFmtId="170" fontId="5" fillId="6" borderId="4" xfId="0" applyNumberFormat="1" applyFont="1" applyFill="1" applyBorder="1"/>
    <xf numFmtId="167" fontId="10" fillId="6" borderId="0" xfId="2" applyNumberFormat="1" applyFont="1" applyFill="1" applyAlignment="1">
      <alignment horizontal="right"/>
    </xf>
    <xf numFmtId="169" fontId="5" fillId="6" borderId="0" xfId="1" applyNumberFormat="1" applyFont="1" applyFill="1"/>
    <xf numFmtId="169" fontId="7" fillId="6" borderId="0" xfId="1" applyNumberFormat="1" applyFont="1" applyFill="1" applyAlignment="1">
      <alignment horizontal="right"/>
    </xf>
    <xf numFmtId="169" fontId="5" fillId="6" borderId="4" xfId="1" applyNumberFormat="1" applyFont="1" applyFill="1" applyBorder="1" applyAlignment="1">
      <alignment horizontal="right"/>
    </xf>
    <xf numFmtId="169" fontId="5" fillId="6" borderId="5" xfId="1" applyNumberFormat="1" applyFont="1" applyFill="1" applyBorder="1"/>
    <xf numFmtId="169" fontId="7" fillId="6" borderId="6" xfId="1" applyNumberFormat="1" applyFont="1" applyFill="1" applyBorder="1"/>
    <xf numFmtId="169" fontId="7" fillId="6" borderId="0" xfId="1" applyNumberFormat="1" applyFont="1" applyFill="1"/>
    <xf numFmtId="169" fontId="7" fillId="6" borderId="5" xfId="1" applyNumberFormat="1" applyFont="1" applyFill="1" applyBorder="1"/>
    <xf numFmtId="1" fontId="7" fillId="6" borderId="0" xfId="0" applyNumberFormat="1" applyFont="1" applyFill="1" applyAlignment="1">
      <alignment horizontal="right"/>
    </xf>
    <xf numFmtId="166" fontId="7" fillId="6" borderId="0" xfId="0" applyNumberFormat="1" applyFont="1" applyFill="1" applyAlignment="1">
      <alignment horizontal="right"/>
    </xf>
    <xf numFmtId="2" fontId="7" fillId="6" borderId="0" xfId="0" applyNumberFormat="1" applyFont="1" applyFill="1"/>
    <xf numFmtId="168" fontId="5" fillId="6" borderId="0" xfId="0" applyNumberFormat="1" applyFont="1" applyFill="1" applyAlignment="1">
      <alignment horizontal="right"/>
    </xf>
    <xf numFmtId="167" fontId="7" fillId="6" borderId="5" xfId="2" applyNumberFormat="1" applyFont="1" applyFill="1" applyBorder="1" applyAlignment="1">
      <alignment horizontal="right"/>
    </xf>
    <xf numFmtId="169" fontId="14" fillId="6" borderId="0" xfId="0" applyNumberFormat="1" applyFont="1" applyFill="1"/>
    <xf numFmtId="165" fontId="5" fillId="2" borderId="2" xfId="0" applyNumberFormat="1" applyFont="1" applyFill="1" applyBorder="1" applyAlignment="1">
      <alignment horizontal="center"/>
    </xf>
    <xf numFmtId="171" fontId="5" fillId="0" borderId="0" xfId="0" applyNumberFormat="1" applyFont="1"/>
    <xf numFmtId="0" fontId="25" fillId="0" borderId="0" xfId="0" applyFont="1" applyAlignment="1">
      <alignment horizontal="center"/>
    </xf>
    <xf numFmtId="43" fontId="9" fillId="0" borderId="0" xfId="1" applyFont="1" applyFill="1"/>
    <xf numFmtId="166" fontId="7" fillId="4" borderId="0" xfId="0" applyNumberFormat="1" applyFont="1" applyFill="1" applyAlignment="1">
      <alignment horizontal="right"/>
    </xf>
    <xf numFmtId="174" fontId="5" fillId="4" borderId="0" xfId="0" applyNumberFormat="1" applyFont="1" applyFill="1" applyAlignment="1">
      <alignment horizontal="right"/>
    </xf>
    <xf numFmtId="174" fontId="7" fillId="4" borderId="0" xfId="0" applyNumberFormat="1" applyFont="1" applyFill="1" applyAlignment="1">
      <alignment horizontal="right"/>
    </xf>
    <xf numFmtId="1" fontId="7" fillId="4" borderId="0" xfId="0" applyNumberFormat="1" applyFont="1" applyFill="1" applyAlignment="1">
      <alignment horizontal="right"/>
    </xf>
    <xf numFmtId="2" fontId="7" fillId="4" borderId="0" xfId="0" applyNumberFormat="1" applyFont="1" applyFill="1"/>
    <xf numFmtId="165" fontId="5" fillId="4" borderId="2" xfId="0" applyNumberFormat="1" applyFont="1" applyFill="1" applyBorder="1" applyAlignment="1">
      <alignment horizontal="centerContinuous"/>
    </xf>
    <xf numFmtId="165" fontId="5" fillId="4" borderId="0" xfId="0" applyNumberFormat="1" applyFont="1" applyFill="1" applyAlignment="1">
      <alignment horizontal="center"/>
    </xf>
    <xf numFmtId="43" fontId="6" fillId="4" borderId="0" xfId="1" applyFont="1" applyFill="1" applyBorder="1" applyAlignment="1">
      <alignment horizontal="center"/>
    </xf>
    <xf numFmtId="166" fontId="5" fillId="4" borderId="0" xfId="0" applyNumberFormat="1" applyFont="1" applyFill="1" applyAlignment="1">
      <alignment horizontal="right"/>
    </xf>
    <xf numFmtId="166" fontId="5" fillId="4" borderId="4" xfId="0" applyNumberFormat="1" applyFont="1" applyFill="1" applyBorder="1"/>
    <xf numFmtId="9" fontId="10" fillId="4" borderId="0" xfId="2" applyFont="1" applyFill="1" applyAlignment="1">
      <alignment horizontal="right"/>
    </xf>
    <xf numFmtId="0" fontId="7" fillId="4" borderId="0" xfId="0" applyFont="1" applyFill="1"/>
    <xf numFmtId="170" fontId="5" fillId="4" borderId="4" xfId="0" applyNumberFormat="1" applyFont="1" applyFill="1" applyBorder="1"/>
    <xf numFmtId="167" fontId="10" fillId="4" borderId="0" xfId="2" applyNumberFormat="1" applyFont="1" applyFill="1" applyAlignment="1">
      <alignment horizontal="right"/>
    </xf>
    <xf numFmtId="169" fontId="5" fillId="4" borderId="0" xfId="1" applyNumberFormat="1" applyFont="1" applyFill="1"/>
    <xf numFmtId="169" fontId="7" fillId="4" borderId="0" xfId="1" applyNumberFormat="1" applyFont="1" applyFill="1" applyAlignment="1">
      <alignment horizontal="right"/>
    </xf>
    <xf numFmtId="169" fontId="5" fillId="4" borderId="4" xfId="1" applyNumberFormat="1" applyFont="1" applyFill="1" applyBorder="1" applyAlignment="1">
      <alignment horizontal="right"/>
    </xf>
    <xf numFmtId="169" fontId="7" fillId="4" borderId="0" xfId="1" applyNumberFormat="1" applyFont="1" applyFill="1" applyBorder="1"/>
    <xf numFmtId="169" fontId="5" fillId="4" borderId="5" xfId="1" applyNumberFormat="1" applyFont="1" applyFill="1" applyBorder="1"/>
    <xf numFmtId="169" fontId="7" fillId="4" borderId="6" xfId="1" applyNumberFormat="1" applyFont="1" applyFill="1" applyBorder="1"/>
    <xf numFmtId="169" fontId="7" fillId="4" borderId="0" xfId="1" applyNumberFormat="1" applyFont="1" applyFill="1"/>
    <xf numFmtId="169" fontId="7" fillId="4" borderId="5" xfId="1" applyNumberFormat="1" applyFont="1" applyFill="1" applyBorder="1"/>
    <xf numFmtId="43" fontId="24" fillId="0" borderId="0" xfId="1" applyFont="1" applyFill="1" applyBorder="1" applyAlignment="1">
      <alignment horizontal="center"/>
    </xf>
    <xf numFmtId="1" fontId="13" fillId="0" borderId="0" xfId="0" applyNumberFormat="1" applyFont="1"/>
    <xf numFmtId="1" fontId="8" fillId="0" borderId="0" xfId="0" applyNumberFormat="1" applyFont="1"/>
    <xf numFmtId="1" fontId="7" fillId="0" borderId="0" xfId="0" applyNumberFormat="1" applyFont="1"/>
    <xf numFmtId="169" fontId="5" fillId="0" borderId="29" xfId="1" applyNumberFormat="1" applyFont="1" applyFill="1" applyBorder="1" applyAlignment="1">
      <alignment horizontal="left" wrapText="1"/>
    </xf>
    <xf numFmtId="166" fontId="12" fillId="0" borderId="0" xfId="0" applyNumberFormat="1" applyFont="1" applyAlignment="1">
      <alignment wrapText="1"/>
    </xf>
    <xf numFmtId="167" fontId="10" fillId="3" borderId="0" xfId="2" applyNumberFormat="1" applyFont="1" applyFill="1" applyBorder="1"/>
    <xf numFmtId="167" fontId="10" fillId="0" borderId="0" xfId="2" applyNumberFormat="1" applyFont="1" applyFill="1" applyBorder="1"/>
    <xf numFmtId="167" fontId="15" fillId="3" borderId="0" xfId="2" applyNumberFormat="1" applyFont="1" applyFill="1" applyBorder="1"/>
    <xf numFmtId="167" fontId="15" fillId="4" borderId="0" xfId="2" applyNumberFormat="1" applyFont="1" applyFill="1" applyBorder="1"/>
    <xf numFmtId="169" fontId="9" fillId="0" borderId="0" xfId="1" applyNumberFormat="1" applyFont="1" applyFill="1" applyBorder="1"/>
    <xf numFmtId="9" fontId="7" fillId="0" borderId="0" xfId="2" applyFont="1" applyFill="1" applyBorder="1"/>
    <xf numFmtId="167" fontId="5" fillId="0" borderId="0" xfId="2" applyNumberFormat="1" applyFont="1" applyFill="1" applyBorder="1" applyAlignment="1">
      <alignment horizontal="right"/>
    </xf>
    <xf numFmtId="9" fontId="10" fillId="3" borderId="0" xfId="2" applyFont="1" applyFill="1" applyBorder="1" applyAlignment="1">
      <alignment horizontal="right"/>
    </xf>
    <xf numFmtId="167" fontId="10" fillId="3" borderId="0" xfId="2" applyNumberFormat="1" applyFont="1" applyFill="1" applyBorder="1" applyAlignment="1">
      <alignment horizontal="right"/>
    </xf>
    <xf numFmtId="169" fontId="7" fillId="0" borderId="0" xfId="1" applyNumberFormat="1" applyFont="1" applyBorder="1" applyAlignment="1">
      <alignment horizontal="right"/>
    </xf>
    <xf numFmtId="169" fontId="7" fillId="0" borderId="0" xfId="0" applyNumberFormat="1" applyFont="1"/>
    <xf numFmtId="43" fontId="7" fillId="0" borderId="0" xfId="0" applyNumberFormat="1" applyFont="1"/>
    <xf numFmtId="3" fontId="0" fillId="0" borderId="0" xfId="0" applyNumberFormat="1"/>
    <xf numFmtId="167" fontId="0" fillId="0" borderId="0" xfId="2" applyNumberFormat="1" applyFont="1"/>
    <xf numFmtId="43" fontId="24" fillId="0" borderId="0" xfId="1" applyFont="1" applyFill="1" applyBorder="1" applyAlignment="1">
      <alignment horizontal="center" wrapText="1"/>
    </xf>
    <xf numFmtId="0" fontId="13" fillId="0" borderId="0" xfId="0" applyFont="1" applyAlignment="1">
      <alignment horizontal="left" indent="2"/>
    </xf>
    <xf numFmtId="0" fontId="8" fillId="0" borderId="0" xfId="0" applyFont="1" applyAlignment="1">
      <alignment horizontal="left" indent="1"/>
    </xf>
    <xf numFmtId="0" fontId="5" fillId="0" borderId="0" xfId="0" applyFont="1" applyAlignment="1">
      <alignment horizontal="left" indent="1"/>
    </xf>
    <xf numFmtId="170" fontId="5" fillId="0" borderId="0" xfId="2" applyNumberFormat="1" applyFont="1" applyFill="1" applyBorder="1" applyAlignment="1"/>
    <xf numFmtId="0" fontId="23" fillId="0" borderId="0" xfId="0" applyFont="1"/>
    <xf numFmtId="0" fontId="11" fillId="0" borderId="0" xfId="0" applyFont="1"/>
    <xf numFmtId="0" fontId="23" fillId="0" borderId="0" xfId="2" applyNumberFormat="1" applyFont="1" applyFill="1" applyBorder="1" applyAlignment="1"/>
    <xf numFmtId="170" fontId="23" fillId="0" borderId="0" xfId="2" applyNumberFormat="1" applyFont="1" applyFill="1" applyBorder="1" applyAlignment="1"/>
    <xf numFmtId="0" fontId="5" fillId="3" borderId="9" xfId="3" applyFont="1" applyFill="1" applyBorder="1" applyAlignment="1">
      <alignment horizontal="left" vertical="center" wrapText="1"/>
    </xf>
    <xf numFmtId="0" fontId="7" fillId="0" borderId="0" xfId="3" applyFont="1" applyAlignment="1">
      <alignment horizontal="left" vertical="center"/>
    </xf>
    <xf numFmtId="0" fontId="5" fillId="3" borderId="11" xfId="3" applyFont="1" applyFill="1" applyBorder="1" applyAlignment="1">
      <alignment horizontal="left" vertical="center" wrapText="1"/>
    </xf>
    <xf numFmtId="0" fontId="0" fillId="0" borderId="0" xfId="0" applyAlignment="1">
      <alignment horizontal="left" vertical="center"/>
    </xf>
    <xf numFmtId="0" fontId="5" fillId="0" borderId="0" xfId="3" applyFont="1" applyAlignment="1">
      <alignment horizontal="left"/>
    </xf>
    <xf numFmtId="177" fontId="5" fillId="0" borderId="0" xfId="3" applyNumberFormat="1" applyFont="1"/>
    <xf numFmtId="169" fontId="5" fillId="0" borderId="0" xfId="3" applyNumberFormat="1" applyFont="1"/>
    <xf numFmtId="169" fontId="14" fillId="0" borderId="0" xfId="3" applyNumberFormat="1" applyFont="1"/>
    <xf numFmtId="0" fontId="5" fillId="3" borderId="18" xfId="3" applyFont="1" applyFill="1" applyBorder="1" applyAlignment="1">
      <alignment horizontal="left" vertical="center"/>
    </xf>
    <xf numFmtId="0" fontId="5" fillId="3" borderId="19" xfId="3" applyFont="1" applyFill="1" applyBorder="1" applyAlignment="1">
      <alignment horizontal="left" vertical="center"/>
    </xf>
    <xf numFmtId="0" fontId="5" fillId="3" borderId="18" xfId="3" applyFont="1" applyFill="1" applyBorder="1" applyAlignment="1">
      <alignment horizontal="left" wrapText="1"/>
    </xf>
    <xf numFmtId="171" fontId="5" fillId="3" borderId="19" xfId="3" applyNumberFormat="1" applyFont="1" applyFill="1" applyBorder="1" applyAlignment="1">
      <alignment horizontal="left" wrapText="1"/>
    </xf>
    <xf numFmtId="171" fontId="5" fillId="3" borderId="28" xfId="3" applyNumberFormat="1" applyFont="1" applyFill="1" applyBorder="1" applyAlignment="1">
      <alignment horizontal="right" wrapText="1"/>
    </xf>
    <xf numFmtId="168" fontId="5" fillId="0" borderId="0" xfId="0" applyNumberFormat="1" applyFont="1"/>
    <xf numFmtId="170" fontId="5" fillId="0" borderId="0" xfId="0" applyNumberFormat="1" applyFont="1"/>
    <xf numFmtId="43" fontId="8" fillId="2" borderId="0" xfId="1" applyFont="1" applyFill="1" applyBorder="1" applyAlignment="1">
      <alignment horizontal="left"/>
    </xf>
    <xf numFmtId="43" fontId="6" fillId="2" borderId="0" xfId="1" applyFont="1" applyFill="1" applyBorder="1" applyAlignment="1">
      <alignment horizontal="center"/>
    </xf>
    <xf numFmtId="43" fontId="24" fillId="2" borderId="0" xfId="1" applyFont="1" applyFill="1" applyBorder="1" applyAlignment="1">
      <alignment horizontal="center"/>
    </xf>
    <xf numFmtId="0" fontId="5" fillId="2" borderId="9" xfId="3" applyFont="1" applyFill="1" applyBorder="1" applyAlignment="1">
      <alignment horizontal="left" vertical="center" wrapText="1"/>
    </xf>
    <xf numFmtId="0" fontId="5" fillId="2" borderId="9" xfId="3" applyFont="1" applyFill="1" applyBorder="1" applyAlignment="1">
      <alignment horizontal="center" vertical="center"/>
    </xf>
    <xf numFmtId="0" fontId="5" fillId="2" borderId="11" xfId="3" applyFont="1" applyFill="1" applyBorder="1" applyAlignment="1">
      <alignment horizontal="center" vertical="center"/>
    </xf>
    <xf numFmtId="0" fontId="5" fillId="2" borderId="18" xfId="3" applyFont="1" applyFill="1" applyBorder="1" applyAlignment="1">
      <alignment horizontal="left" wrapText="1"/>
    </xf>
    <xf numFmtId="171" fontId="5" fillId="2" borderId="19" xfId="3" applyNumberFormat="1" applyFont="1" applyFill="1" applyBorder="1" applyAlignment="1">
      <alignment horizontal="center" vertical="center" wrapText="1"/>
    </xf>
    <xf numFmtId="0" fontId="5" fillId="2" borderId="18" xfId="3" applyFont="1" applyFill="1" applyBorder="1" applyAlignment="1">
      <alignment horizontal="left" vertical="center" wrapText="1"/>
    </xf>
    <xf numFmtId="171" fontId="5" fillId="2" borderId="28" xfId="3" applyNumberFormat="1" applyFont="1" applyFill="1" applyBorder="1" applyAlignment="1">
      <alignment horizontal="center" vertical="center" wrapText="1"/>
    </xf>
    <xf numFmtId="0" fontId="5" fillId="0" borderId="20" xfId="3" applyFont="1" applyBorder="1"/>
    <xf numFmtId="169" fontId="14" fillId="0" borderId="21" xfId="3" applyNumberFormat="1" applyFont="1" applyBorder="1" applyAlignment="1">
      <alignment horizontal="center"/>
    </xf>
    <xf numFmtId="0" fontId="7" fillId="0" borderId="20" xfId="3" applyFont="1" applyBorder="1"/>
    <xf numFmtId="182" fontId="7" fillId="0" borderId="21" xfId="3" applyNumberFormat="1" applyFont="1" applyBorder="1"/>
    <xf numFmtId="174" fontId="5" fillId="0" borderId="27" xfId="4" applyNumberFormat="1" applyFont="1" applyBorder="1"/>
    <xf numFmtId="0" fontId="5" fillId="2" borderId="18" xfId="3" applyFont="1" applyFill="1" applyBorder="1" applyAlignment="1">
      <alignment horizontal="left" vertical="center"/>
    </xf>
    <xf numFmtId="0" fontId="5" fillId="2" borderId="19" xfId="3" applyFont="1" applyFill="1" applyBorder="1" applyAlignment="1">
      <alignment horizontal="left" vertical="center"/>
    </xf>
    <xf numFmtId="3" fontId="14" fillId="5" borderId="0" xfId="2" applyNumberFormat="1" applyFont="1" applyFill="1" applyBorder="1" applyAlignment="1"/>
    <xf numFmtId="0" fontId="9" fillId="5" borderId="0" xfId="0" applyFont="1" applyFill="1" applyAlignment="1">
      <alignment horizontal="center"/>
    </xf>
    <xf numFmtId="171" fontId="5" fillId="5" borderId="0" xfId="1" applyNumberFormat="1" applyFont="1" applyFill="1" applyBorder="1" applyAlignment="1">
      <alignment horizontal="center"/>
    </xf>
    <xf numFmtId="43" fontId="5" fillId="0" borderId="0" xfId="0" applyNumberFormat="1" applyFont="1"/>
    <xf numFmtId="43" fontId="24" fillId="2" borderId="0" xfId="1" applyFont="1" applyFill="1" applyBorder="1" applyAlignment="1">
      <alignment horizontal="center" vertical="center" wrapText="1"/>
    </xf>
    <xf numFmtId="0" fontId="9" fillId="2" borderId="0" xfId="0" applyFont="1" applyFill="1" applyAlignment="1">
      <alignment horizontal="center" vertical="center"/>
    </xf>
    <xf numFmtId="169" fontId="9" fillId="3" borderId="0" xfId="1" applyNumberFormat="1" applyFont="1" applyFill="1"/>
    <xf numFmtId="0" fontId="7" fillId="7" borderId="0" xfId="0" applyFont="1" applyFill="1"/>
    <xf numFmtId="166" fontId="5" fillId="7" borderId="0" xfId="0" applyNumberFormat="1" applyFont="1" applyFill="1"/>
    <xf numFmtId="169" fontId="5" fillId="7" borderId="0" xfId="1" applyNumberFormat="1" applyFont="1" applyFill="1" applyBorder="1"/>
    <xf numFmtId="172" fontId="5" fillId="0" borderId="0" xfId="0" applyNumberFormat="1" applyFont="1" applyAlignment="1">
      <alignment horizontal="left" indent="3"/>
    </xf>
    <xf numFmtId="0" fontId="8" fillId="8" borderId="0" xfId="0" applyFont="1" applyFill="1"/>
    <xf numFmtId="0" fontId="13" fillId="8" borderId="0" xfId="0" applyFont="1" applyFill="1"/>
    <xf numFmtId="0" fontId="7" fillId="8" borderId="0" xfId="0" applyFont="1" applyFill="1"/>
    <xf numFmtId="0" fontId="11" fillId="8" borderId="0" xfId="0" applyFont="1" applyFill="1"/>
    <xf numFmtId="170" fontId="23" fillId="8" borderId="0" xfId="2" applyNumberFormat="1" applyFont="1" applyFill="1" applyBorder="1" applyAlignment="1"/>
    <xf numFmtId="0" fontId="23" fillId="8" borderId="0" xfId="2" applyNumberFormat="1" applyFont="1" applyFill="1" applyBorder="1" applyAlignment="1"/>
    <xf numFmtId="0" fontId="26" fillId="0" borderId="0" xfId="0" applyFont="1"/>
    <xf numFmtId="0" fontId="13" fillId="0" borderId="0" xfId="0" applyFont="1" applyAlignment="1">
      <alignment horizontal="left" indent="1"/>
    </xf>
    <xf numFmtId="170" fontId="13" fillId="3" borderId="0" xfId="0" applyNumberFormat="1" applyFont="1" applyFill="1"/>
    <xf numFmtId="0" fontId="13" fillId="3" borderId="0" xfId="0" applyFont="1" applyFill="1"/>
    <xf numFmtId="0" fontId="7" fillId="0" borderId="0" xfId="0" applyFont="1" applyAlignment="1">
      <alignment horizontal="center" vertical="center"/>
    </xf>
    <xf numFmtId="0" fontId="23" fillId="3" borderId="0" xfId="2" applyNumberFormat="1" applyFont="1" applyFill="1" applyBorder="1" applyAlignment="1"/>
    <xf numFmtId="167" fontId="14" fillId="3" borderId="0" xfId="2" applyNumberFormat="1" applyFont="1" applyFill="1" applyBorder="1" applyAlignment="1"/>
    <xf numFmtId="0" fontId="14" fillId="3" borderId="0" xfId="2" applyNumberFormat="1" applyFont="1" applyFill="1" applyBorder="1" applyAlignment="1"/>
    <xf numFmtId="0" fontId="7" fillId="3" borderId="0" xfId="0" applyFont="1" applyFill="1"/>
    <xf numFmtId="165" fontId="5" fillId="0" borderId="0" xfId="0" applyNumberFormat="1" applyFont="1" applyAlignment="1">
      <alignment horizontal="centerContinuous"/>
    </xf>
    <xf numFmtId="0" fontId="5" fillId="8" borderId="0" xfId="0" applyFont="1" applyFill="1"/>
    <xf numFmtId="0" fontId="5" fillId="3" borderId="0" xfId="0" applyFont="1" applyFill="1"/>
    <xf numFmtId="3" fontId="14" fillId="3" borderId="0" xfId="2" applyNumberFormat="1" applyFont="1" applyFill="1" applyBorder="1" applyAlignment="1"/>
    <xf numFmtId="1" fontId="14" fillId="3" borderId="0" xfId="2" applyNumberFormat="1" applyFont="1" applyFill="1" applyBorder="1" applyAlignment="1"/>
    <xf numFmtId="9" fontId="14" fillId="3" borderId="0" xfId="2" applyFont="1" applyFill="1" applyBorder="1" applyAlignment="1"/>
    <xf numFmtId="0" fontId="8" fillId="3" borderId="0" xfId="0" applyFont="1" applyFill="1"/>
    <xf numFmtId="170" fontId="14" fillId="3" borderId="0" xfId="2" applyNumberFormat="1" applyFont="1" applyFill="1" applyBorder="1" applyAlignment="1"/>
    <xf numFmtId="43" fontId="24" fillId="2" borderId="0" xfId="1" applyFont="1" applyFill="1" applyBorder="1" applyAlignment="1">
      <alignment horizontal="left" vertical="center"/>
    </xf>
    <xf numFmtId="0" fontId="5" fillId="0" borderId="22" xfId="3" applyFont="1" applyBorder="1"/>
    <xf numFmtId="0" fontId="24" fillId="2" borderId="18" xfId="3" applyFont="1" applyFill="1" applyBorder="1" applyAlignment="1">
      <alignment horizontal="left" vertical="center"/>
    </xf>
    <xf numFmtId="166" fontId="12" fillId="7" borderId="0" xfId="0" applyNumberFormat="1" applyFont="1" applyFill="1"/>
    <xf numFmtId="0" fontId="16" fillId="7" borderId="0" xfId="0" applyFont="1" applyFill="1" applyAlignment="1">
      <alignment horizontal="left"/>
    </xf>
    <xf numFmtId="166" fontId="7" fillId="7" borderId="0" xfId="0" applyNumberFormat="1" applyFont="1" applyFill="1"/>
    <xf numFmtId="166" fontId="13" fillId="7" borderId="0" xfId="0" applyNumberFormat="1" applyFont="1" applyFill="1"/>
    <xf numFmtId="43" fontId="5" fillId="0" borderId="0" xfId="1" applyFont="1" applyFill="1"/>
    <xf numFmtId="171" fontId="18" fillId="0" borderId="0" xfId="1" applyNumberFormat="1" applyFont="1" applyFill="1"/>
    <xf numFmtId="0" fontId="28" fillId="0" borderId="0" xfId="0" applyFont="1"/>
    <xf numFmtId="168" fontId="7" fillId="7" borderId="0" xfId="0" applyNumberFormat="1" applyFont="1" applyFill="1" applyAlignment="1">
      <alignment horizontal="right"/>
    </xf>
    <xf numFmtId="3" fontId="7" fillId="3" borderId="0" xfId="0" applyNumberFormat="1" applyFont="1" applyFill="1" applyAlignment="1">
      <alignment horizontal="right"/>
    </xf>
    <xf numFmtId="3" fontId="9" fillId="3" borderId="0" xfId="2" applyNumberFormat="1" applyFont="1" applyFill="1" applyBorder="1" applyAlignment="1"/>
    <xf numFmtId="0" fontId="9" fillId="3" borderId="0" xfId="0" applyFont="1" applyFill="1" applyAlignment="1">
      <alignment horizontal="center"/>
    </xf>
    <xf numFmtId="171" fontId="5" fillId="3" borderId="0" xfId="1" applyNumberFormat="1" applyFont="1" applyFill="1" applyBorder="1" applyAlignment="1">
      <alignment horizontal="center"/>
    </xf>
    <xf numFmtId="171" fontId="16" fillId="3" borderId="0" xfId="0" applyNumberFormat="1" applyFont="1" applyFill="1" applyAlignment="1">
      <alignment horizontal="center"/>
    </xf>
    <xf numFmtId="167" fontId="7" fillId="3" borderId="0" xfId="2" applyNumberFormat="1" applyFont="1" applyFill="1" applyBorder="1" applyAlignment="1"/>
    <xf numFmtId="167" fontId="9" fillId="3" borderId="0" xfId="2" applyNumberFormat="1" applyFont="1" applyFill="1" applyBorder="1" applyAlignment="1"/>
    <xf numFmtId="0" fontId="7" fillId="3" borderId="0" xfId="2" applyNumberFormat="1" applyFont="1" applyFill="1" applyBorder="1" applyAlignment="1"/>
    <xf numFmtId="170" fontId="5" fillId="3" borderId="0" xfId="2" applyNumberFormat="1" applyFont="1" applyFill="1" applyBorder="1" applyAlignment="1"/>
    <xf numFmtId="0" fontId="11" fillId="3" borderId="0" xfId="0" applyFont="1" applyFill="1"/>
    <xf numFmtId="170" fontId="23" fillId="3" borderId="0" xfId="2" applyNumberFormat="1" applyFont="1" applyFill="1" applyBorder="1" applyAlignment="1"/>
    <xf numFmtId="0" fontId="26" fillId="3" borderId="0" xfId="0" applyFont="1" applyFill="1"/>
    <xf numFmtId="170" fontId="27" fillId="3" borderId="0" xfId="2" applyNumberFormat="1" applyFont="1" applyFill="1" applyBorder="1" applyAlignment="1"/>
    <xf numFmtId="171" fontId="14" fillId="3" borderId="0" xfId="2" applyNumberFormat="1" applyFont="1" applyFill="1" applyBorder="1" applyAlignment="1"/>
    <xf numFmtId="171" fontId="7" fillId="3" borderId="0" xfId="2" applyNumberFormat="1" applyFont="1" applyFill="1" applyBorder="1" applyAlignment="1"/>
    <xf numFmtId="171" fontId="5" fillId="3" borderId="0" xfId="0" applyNumberFormat="1" applyFont="1" applyFill="1"/>
    <xf numFmtId="0" fontId="5" fillId="0" borderId="0" xfId="3" applyFont="1" applyAlignment="1">
      <alignment horizontal="left" wrapText="1"/>
    </xf>
    <xf numFmtId="0" fontId="7" fillId="0" borderId="0" xfId="3" applyFont="1" applyAlignment="1">
      <alignment horizontal="right" wrapText="1"/>
    </xf>
    <xf numFmtId="0" fontId="7" fillId="0" borderId="0" xfId="4" applyFont="1"/>
    <xf numFmtId="174" fontId="7" fillId="0" borderId="0" xfId="4" applyNumberFormat="1" applyFont="1"/>
    <xf numFmtId="0" fontId="5" fillId="2" borderId="3" xfId="3" applyFont="1" applyFill="1" applyBorder="1" applyAlignment="1">
      <alignment horizontal="left" vertical="center" wrapText="1"/>
    </xf>
    <xf numFmtId="0" fontId="5" fillId="2" borderId="3" xfId="3" applyFont="1" applyFill="1" applyBorder="1" applyAlignment="1">
      <alignment horizontal="center" vertical="center"/>
    </xf>
    <xf numFmtId="0" fontId="5" fillId="0" borderId="3" xfId="4" applyFont="1" applyBorder="1"/>
    <xf numFmtId="174" fontId="5" fillId="0" borderId="3" xfId="4" applyNumberFormat="1" applyFont="1" applyBorder="1"/>
    <xf numFmtId="169" fontId="5" fillId="0" borderId="0" xfId="1" applyNumberFormat="1" applyFont="1" applyFill="1" applyBorder="1" applyAlignment="1">
      <alignment horizontal="left" wrapText="1"/>
    </xf>
    <xf numFmtId="0" fontId="5" fillId="7" borderId="0" xfId="0" applyFont="1" applyFill="1" applyAlignment="1">
      <alignment horizontal="left"/>
    </xf>
    <xf numFmtId="168" fontId="7" fillId="3" borderId="0" xfId="0" applyNumberFormat="1" applyFont="1" applyFill="1" applyAlignment="1">
      <alignment horizontal="right"/>
    </xf>
    <xf numFmtId="43" fontId="5" fillId="0" borderId="0" xfId="1" applyFont="1" applyFill="1" applyBorder="1" applyAlignment="1">
      <alignment horizontal="center"/>
    </xf>
    <xf numFmtId="0" fontId="7" fillId="3" borderId="0" xfId="0" applyFont="1" applyFill="1" applyAlignment="1">
      <alignment horizontal="left"/>
    </xf>
    <xf numFmtId="167" fontId="15" fillId="0" borderId="0" xfId="2" applyNumberFormat="1" applyFont="1" applyFill="1"/>
    <xf numFmtId="167" fontId="11" fillId="0" borderId="0" xfId="2" applyNumberFormat="1" applyFont="1" applyFill="1"/>
    <xf numFmtId="167" fontId="15" fillId="0" borderId="0" xfId="2" applyNumberFormat="1" applyFont="1" applyFill="1" applyBorder="1"/>
    <xf numFmtId="167" fontId="5" fillId="4" borderId="0" xfId="2" applyNumberFormat="1" applyFont="1" applyFill="1" applyAlignment="1">
      <alignment horizontal="right"/>
    </xf>
    <xf numFmtId="9" fontId="5" fillId="0" borderId="0" xfId="2" applyFont="1" applyFill="1"/>
    <xf numFmtId="0" fontId="29" fillId="0" borderId="0" xfId="0" applyFont="1"/>
    <xf numFmtId="166" fontId="5" fillId="4" borderId="0" xfId="0" applyNumberFormat="1" applyFont="1" applyFill="1"/>
    <xf numFmtId="167" fontId="7" fillId="0" borderId="0" xfId="2" applyNumberFormat="1" applyFont="1"/>
    <xf numFmtId="167" fontId="0" fillId="0" borderId="0" xfId="0" applyNumberFormat="1"/>
    <xf numFmtId="167" fontId="5" fillId="4" borderId="0" xfId="0" applyNumberFormat="1" applyFont="1" applyFill="1"/>
    <xf numFmtId="167" fontId="7" fillId="6" borderId="0" xfId="2" applyNumberFormat="1" applyFont="1" applyFill="1"/>
    <xf numFmtId="167" fontId="7" fillId="0" borderId="0" xfId="2" applyNumberFormat="1" applyFont="1" applyBorder="1"/>
    <xf numFmtId="167" fontId="7" fillId="0" borderId="0" xfId="0" applyNumberFormat="1" applyFont="1"/>
    <xf numFmtId="166" fontId="7" fillId="4" borderId="0" xfId="2" applyNumberFormat="1" applyFont="1" applyFill="1" applyAlignment="1">
      <alignment horizontal="right"/>
    </xf>
    <xf numFmtId="167" fontId="7" fillId="4" borderId="0" xfId="2" applyNumberFormat="1" applyFont="1" applyFill="1"/>
    <xf numFmtId="167" fontId="7" fillId="0" borderId="0" xfId="2" applyNumberFormat="1" applyFont="1" applyFill="1"/>
    <xf numFmtId="167" fontId="7" fillId="0" borderId="0" xfId="2" applyNumberFormat="1" applyFont="1" applyFill="1" applyBorder="1"/>
    <xf numFmtId="171" fontId="18" fillId="0" borderId="0" xfId="1" applyNumberFormat="1" applyFont="1" applyFill="1" applyBorder="1"/>
    <xf numFmtId="178" fontId="18" fillId="0" borderId="0" xfId="1" applyNumberFormat="1" applyFont="1" applyFill="1"/>
    <xf numFmtId="0" fontId="13" fillId="0" borderId="0" xfId="0" applyFont="1" applyAlignment="1">
      <alignment horizontal="left" indent="3"/>
    </xf>
    <xf numFmtId="0" fontId="8" fillId="0" borderId="0" xfId="0" applyFont="1" applyAlignment="1">
      <alignment horizontal="left" indent="2"/>
    </xf>
    <xf numFmtId="170" fontId="13" fillId="0" borderId="0" xfId="0" applyNumberFormat="1" applyFont="1"/>
    <xf numFmtId="169" fontId="8" fillId="0" borderId="0" xfId="1" applyNumberFormat="1" applyFont="1"/>
    <xf numFmtId="169" fontId="5" fillId="0" borderId="0" xfId="1" applyNumberFormat="1" applyFont="1" applyFill="1" applyBorder="1" applyAlignment="1"/>
    <xf numFmtId="169" fontId="9" fillId="0" borderId="0" xfId="1" applyNumberFormat="1" applyFont="1" applyFill="1" applyBorder="1" applyAlignment="1"/>
    <xf numFmtId="182" fontId="18" fillId="0" borderId="0" xfId="0" applyNumberFormat="1" applyFont="1"/>
    <xf numFmtId="167" fontId="13" fillId="0" borderId="0" xfId="2" applyNumberFormat="1" applyFont="1"/>
    <xf numFmtId="167" fontId="8" fillId="0" borderId="0" xfId="2" applyNumberFormat="1" applyFont="1"/>
    <xf numFmtId="170" fontId="7" fillId="0" borderId="0" xfId="0" applyNumberFormat="1" applyFont="1"/>
    <xf numFmtId="170" fontId="7" fillId="3" borderId="0" xfId="0" applyNumberFormat="1" applyFont="1" applyFill="1"/>
    <xf numFmtId="176" fontId="7" fillId="0" borderId="0" xfId="0" applyNumberFormat="1" applyFont="1" applyAlignment="1">
      <alignment horizontal="right"/>
    </xf>
    <xf numFmtId="169" fontId="14" fillId="0" borderId="21" xfId="1" applyNumberFormat="1" applyFont="1" applyFill="1" applyBorder="1" applyAlignment="1">
      <alignment horizontal="left" wrapText="1"/>
    </xf>
    <xf numFmtId="174" fontId="9" fillId="0" borderId="27" xfId="4" applyNumberFormat="1" applyFont="1" applyBorder="1" applyAlignment="1">
      <alignment horizontal="right"/>
    </xf>
  </cellXfs>
  <cellStyles count="17">
    <cellStyle name="Comma" xfId="1" builtinId="3"/>
    <cellStyle name="Comma 129" xfId="6" xr:uid="{40F3F86C-BF87-4E3D-B1C8-E494DF3BA2D6}"/>
    <cellStyle name="Comma 129 2" xfId="12" xr:uid="{BF3D185C-290D-4DC3-B9BC-B7B7E24D473B}"/>
    <cellStyle name="Comma 133" xfId="7" xr:uid="{44C38905-013C-4230-AEDC-6A5BEAFBAD47}"/>
    <cellStyle name="Comma 133 2" xfId="13" xr:uid="{4C0ED60D-1938-43F0-8586-51B6FD06C22E}"/>
    <cellStyle name="Comma 134" xfId="5" xr:uid="{00000000-0005-0000-0000-000001000000}"/>
    <cellStyle name="Comma 134 2" xfId="11" xr:uid="{BF6D50D0-ADA8-44C1-B13C-25CAD432591B}"/>
    <cellStyle name="Comma 2" xfId="16" xr:uid="{FA7146EE-8D09-429B-84E7-16C0281D2840}"/>
    <cellStyle name="Comma 3 10" xfId="10" xr:uid="{417BA59D-55FE-4BB1-8AE0-9F8B45D0BB49}"/>
    <cellStyle name="Comma 3 10 2" xfId="14" xr:uid="{CF337426-C530-4B98-83BD-B050DD377942}"/>
    <cellStyle name="Currency 2" xfId="9" xr:uid="{6527C32F-6E7B-4429-87EE-BC0CEECCC0F6}"/>
    <cellStyle name="Normal" xfId="0" builtinId="0"/>
    <cellStyle name="Normal 13" xfId="8" xr:uid="{AC1C6450-6212-4BCE-B961-2EFF525EDCF6}"/>
    <cellStyle name="Normal 2" xfId="3" xr:uid="{00000000-0005-0000-0000-000003000000}"/>
    <cellStyle name="Normal 2 2" xfId="4" xr:uid="{00000000-0005-0000-0000-000004000000}"/>
    <cellStyle name="Normal 3" xfId="15" xr:uid="{FA0F2CB6-B20D-47F9-B1B0-9C6C89358EE4}"/>
    <cellStyle name="Per cent" xfId="2" builtinId="5"/>
  </cellStyles>
  <dxfs count="0"/>
  <tableStyles count="0" defaultTableStyle="TableStyleMedium2" defaultPivotStyle="PivotStyleLight16"/>
  <colors>
    <mruColors>
      <color rgb="FF0000FF"/>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993"/>
  <sheetViews>
    <sheetView showGridLines="0" tabSelected="1" zoomScale="85" zoomScaleNormal="85" workbookViewId="0">
      <selection activeCell="P2" sqref="P2"/>
    </sheetView>
  </sheetViews>
  <sheetFormatPr defaultRowHeight="15"/>
  <cols>
    <col min="3" max="3" width="50.7109375" customWidth="1"/>
    <col min="4" max="8" width="12.7109375" customWidth="1"/>
    <col min="9" max="9" width="50.7109375" customWidth="1"/>
    <col min="10" max="10" width="12.7109375" customWidth="1"/>
    <col min="11" max="11" width="12.85546875" bestFit="1" customWidth="1"/>
    <col min="15" max="15" width="10.140625" bestFit="1" customWidth="1"/>
    <col min="16" max="16" width="9.5703125" bestFit="1" customWidth="1"/>
  </cols>
  <sheetData>
    <row r="2" spans="1:12">
      <c r="A2" s="127" t="s">
        <v>0</v>
      </c>
      <c r="B2" s="126"/>
      <c r="C2" s="126"/>
      <c r="D2" s="126"/>
      <c r="E2" s="126"/>
      <c r="F2" s="126"/>
      <c r="G2" s="126"/>
      <c r="H2" s="126"/>
      <c r="I2" s="126" t="s">
        <v>1</v>
      </c>
      <c r="J2" s="453">
        <f>Model!$R$216</f>
        <v>0.2469745616201531</v>
      </c>
    </row>
    <row r="3" spans="1:12">
      <c r="A3" s="127"/>
      <c r="B3" s="126"/>
      <c r="C3" s="126"/>
      <c r="D3" s="126"/>
      <c r="E3" s="126"/>
      <c r="F3" s="126"/>
      <c r="G3" s="126"/>
      <c r="H3" s="126"/>
      <c r="I3" s="126" t="s">
        <v>2</v>
      </c>
      <c r="J3" s="453">
        <f>Model!$R$217</f>
        <v>0.24044919890479388</v>
      </c>
    </row>
    <row r="4" spans="1:12" ht="15.75" thickBot="1">
      <c r="A4" s="127"/>
      <c r="B4" s="126"/>
      <c r="C4" s="126"/>
      <c r="D4" s="126"/>
      <c r="E4" s="126"/>
      <c r="F4" s="126"/>
      <c r="G4" s="126"/>
      <c r="H4" s="127"/>
      <c r="I4" s="127"/>
      <c r="J4" s="127"/>
    </row>
    <row r="5" spans="1:12" s="320" customFormat="1" ht="17.25" customHeight="1">
      <c r="A5" s="318"/>
      <c r="B5" s="318"/>
      <c r="C5" s="414" t="s">
        <v>3</v>
      </c>
      <c r="D5" s="415" t="s">
        <v>4</v>
      </c>
      <c r="E5" s="415" t="s">
        <v>5</v>
      </c>
      <c r="F5" s="415" t="s">
        <v>6</v>
      </c>
      <c r="G5" s="415" t="s">
        <v>7</v>
      </c>
      <c r="H5" s="318"/>
      <c r="I5" s="385" t="s">
        <v>8</v>
      </c>
      <c r="J5" s="348" t="str">
        <f>F5</f>
        <v>Leverage (RM)</v>
      </c>
      <c r="L5"/>
    </row>
    <row r="6" spans="1:12">
      <c r="A6" s="126"/>
      <c r="B6" s="126"/>
      <c r="C6" s="410"/>
      <c r="D6" s="133"/>
      <c r="E6" s="133"/>
      <c r="F6" s="411"/>
      <c r="G6" s="411"/>
      <c r="H6" s="126"/>
      <c r="I6" s="342" t="s">
        <v>9</v>
      </c>
      <c r="J6" s="343">
        <v>15098</v>
      </c>
    </row>
    <row r="7" spans="1:12">
      <c r="A7" s="126"/>
      <c r="B7" s="126"/>
      <c r="C7" s="410" t="s">
        <v>10</v>
      </c>
      <c r="D7" s="136"/>
      <c r="E7" s="136"/>
      <c r="F7" s="411"/>
      <c r="G7" s="411"/>
      <c r="H7" s="126"/>
      <c r="I7" s="344" t="s">
        <v>11</v>
      </c>
      <c r="J7" s="343">
        <v>3624</v>
      </c>
    </row>
    <row r="8" spans="1:12" ht="15.75" thickBot="1">
      <c r="A8" s="126"/>
      <c r="B8" s="126"/>
      <c r="C8" s="412" t="s">
        <v>12</v>
      </c>
      <c r="D8" s="211">
        <f>Model!$BM$108</f>
        <v>91.314999999999998</v>
      </c>
      <c r="E8" s="32">
        <f>+D8*J2</f>
        <v>22.552482094344281</v>
      </c>
      <c r="F8" s="126"/>
      <c r="G8" s="126"/>
      <c r="H8" s="126"/>
      <c r="I8" s="198" t="s">
        <v>13</v>
      </c>
      <c r="J8" s="455" t="s">
        <v>14</v>
      </c>
    </row>
    <row r="9" spans="1:12">
      <c r="A9" s="126"/>
      <c r="B9" s="126"/>
      <c r="C9" s="412" t="s">
        <v>15</v>
      </c>
      <c r="D9" s="211">
        <f>Model!$BM$109</f>
        <v>4621.0959999999995</v>
      </c>
      <c r="E9" s="32">
        <f>+D9*J2</f>
        <v>1141.2931588046429</v>
      </c>
      <c r="F9" s="126"/>
      <c r="G9" s="126"/>
      <c r="H9" s="126"/>
    </row>
    <row r="10" spans="1:12">
      <c r="A10" s="126"/>
      <c r="B10" s="126"/>
      <c r="C10" s="412" t="s">
        <v>16</v>
      </c>
      <c r="D10" s="211">
        <f>Model!$BM$110</f>
        <v>325.30500000000001</v>
      </c>
      <c r="E10" s="32">
        <f>+D10*J2</f>
        <v>80.342059767843907</v>
      </c>
      <c r="F10" s="126"/>
      <c r="G10" s="126"/>
      <c r="H10" s="126"/>
      <c r="I10" s="126"/>
      <c r="J10" s="126"/>
    </row>
    <row r="11" spans="1:12">
      <c r="A11" s="126"/>
      <c r="B11" s="126"/>
      <c r="C11" s="410" t="s">
        <v>17</v>
      </c>
      <c r="D11" s="136"/>
      <c r="E11" s="32"/>
      <c r="F11" s="411"/>
      <c r="G11" s="411"/>
      <c r="H11" s="126"/>
      <c r="I11" s="126"/>
      <c r="J11" s="126"/>
    </row>
    <row r="12" spans="1:12">
      <c r="A12" s="126"/>
      <c r="B12" s="126"/>
      <c r="C12" s="412" t="s">
        <v>12</v>
      </c>
      <c r="D12" s="211">
        <f>Model!$BM$113</f>
        <v>3653.2649999999999</v>
      </c>
      <c r="E12" s="32">
        <f>+D12*J2</f>
        <v>902.26352185724863</v>
      </c>
      <c r="F12" s="126"/>
      <c r="G12" s="126"/>
      <c r="H12" s="126"/>
      <c r="I12" s="126"/>
      <c r="J12" s="126"/>
    </row>
    <row r="13" spans="1:12">
      <c r="A13" s="126"/>
      <c r="B13" s="126"/>
      <c r="C13" s="412" t="s">
        <v>15</v>
      </c>
      <c r="D13" s="211">
        <f>Model!$BM$114</f>
        <v>6732.13</v>
      </c>
      <c r="E13" s="32">
        <f>+D13*J2</f>
        <v>1662.6648555198813</v>
      </c>
      <c r="F13" s="126"/>
      <c r="G13" s="126"/>
      <c r="H13" s="126"/>
      <c r="I13" s="126"/>
      <c r="J13" s="126"/>
    </row>
    <row r="14" spans="1:12">
      <c r="A14" s="126"/>
      <c r="B14" s="126"/>
      <c r="C14" s="412" t="s">
        <v>16</v>
      </c>
      <c r="D14" s="211">
        <f>Model!$BM$115</f>
        <v>1471.271</v>
      </c>
      <c r="E14" s="32">
        <f>+D14*J2</f>
        <v>363.36651024944427</v>
      </c>
      <c r="F14" s="126"/>
      <c r="G14" s="126"/>
      <c r="H14" s="202"/>
      <c r="I14" s="126"/>
      <c r="J14" s="126"/>
    </row>
    <row r="15" spans="1:12">
      <c r="A15" s="126"/>
      <c r="B15" s="126"/>
      <c r="C15" s="416" t="s">
        <v>18</v>
      </c>
      <c r="D15" s="144">
        <f>SUM(D8:D14)</f>
        <v>16894.382000000001</v>
      </c>
      <c r="E15" s="144">
        <f>SUM(E8:E14)</f>
        <v>4172.4825882934056</v>
      </c>
      <c r="F15" s="417">
        <f>+D15/D20</f>
        <v>3.8730008154346161</v>
      </c>
      <c r="G15" s="417">
        <f>+E15/E20</f>
        <v>3.9781071548722435</v>
      </c>
      <c r="H15" s="126"/>
      <c r="I15" s="126"/>
      <c r="J15" s="126"/>
    </row>
    <row r="16" spans="1:12">
      <c r="A16" s="126"/>
      <c r="B16" s="126"/>
      <c r="C16" s="412" t="s">
        <v>19</v>
      </c>
      <c r="D16" s="44">
        <f>Model!$BM$123</f>
        <v>2413.0570000000002</v>
      </c>
      <c r="E16" s="32">
        <f>+D16*J2</f>
        <v>595.96369473944185</v>
      </c>
      <c r="F16" s="413"/>
      <c r="G16" s="413"/>
      <c r="H16" s="126"/>
      <c r="I16" s="126"/>
      <c r="J16" s="126"/>
    </row>
    <row r="17" spans="1:10">
      <c r="A17" s="126"/>
      <c r="B17" s="126"/>
      <c r="C17" s="416" t="s">
        <v>20</v>
      </c>
      <c r="D17" s="144">
        <f>+D15-D16</f>
        <v>14481.325000000001</v>
      </c>
      <c r="E17" s="144">
        <f>+E15-E16</f>
        <v>3576.5188935539636</v>
      </c>
      <c r="F17" s="417">
        <f>+D17/D20</f>
        <v>3.3198126769936711</v>
      </c>
      <c r="G17" s="417">
        <f>+E17/E20</f>
        <v>3.4099064762789366</v>
      </c>
      <c r="H17" s="126"/>
      <c r="I17" s="126"/>
      <c r="J17" s="126"/>
    </row>
    <row r="18" spans="1:10">
      <c r="A18" s="126"/>
      <c r="B18" s="126"/>
      <c r="C18" s="412" t="s">
        <v>21</v>
      </c>
      <c r="D18" s="44">
        <f>Model!$BM$131</f>
        <v>23762.062000000002</v>
      </c>
      <c r="E18" s="32">
        <f>+D18*J2</f>
        <v>5868.6248456408994</v>
      </c>
      <c r="F18" s="126"/>
      <c r="G18" s="126"/>
      <c r="H18" s="126"/>
      <c r="I18" s="126"/>
      <c r="J18" s="126"/>
    </row>
    <row r="19" spans="1:10">
      <c r="A19" s="126"/>
      <c r="B19" s="126"/>
      <c r="C19" s="416" t="s">
        <v>22</v>
      </c>
      <c r="D19" s="144">
        <f>D15+D18</f>
        <v>40656.444000000003</v>
      </c>
      <c r="E19" s="144">
        <f>E15+E18</f>
        <v>10041.107433934305</v>
      </c>
      <c r="F19" s="417">
        <f>D19/D20</f>
        <v>9.3204025317215979</v>
      </c>
      <c r="G19" s="417">
        <f>E19/E20</f>
        <v>9.5733416450547129</v>
      </c>
      <c r="H19" s="126"/>
      <c r="I19" s="126"/>
      <c r="J19" s="126"/>
    </row>
    <row r="20" spans="1:10">
      <c r="A20" s="126"/>
      <c r="B20" s="126"/>
      <c r="C20" s="412" t="s">
        <v>23</v>
      </c>
      <c r="D20" s="32">
        <f>Model!$BM$90</f>
        <v>4362.0910000000003</v>
      </c>
      <c r="E20" s="32">
        <f>D20*J3</f>
        <v>1048.8612864998113</v>
      </c>
      <c r="F20" s="126"/>
      <c r="G20" s="126"/>
      <c r="H20" s="126"/>
      <c r="I20" s="126"/>
      <c r="J20" s="126"/>
    </row>
    <row r="21" spans="1:10">
      <c r="A21" s="126"/>
      <c r="B21" s="126"/>
      <c r="C21" s="151" t="s">
        <v>24</v>
      </c>
      <c r="D21" s="152">
        <f>+D15-Model!$BM$116</f>
        <v>0</v>
      </c>
      <c r="E21" s="153"/>
      <c r="F21" s="126"/>
      <c r="G21" s="126"/>
      <c r="H21" s="126"/>
      <c r="I21" s="126"/>
      <c r="J21" s="126"/>
    </row>
    <row r="22" spans="1:10">
      <c r="A22" s="126"/>
      <c r="B22" s="126"/>
      <c r="C22" s="151"/>
      <c r="D22" s="152"/>
      <c r="E22" s="153"/>
      <c r="F22" s="126"/>
      <c r="G22" s="126"/>
      <c r="H22" s="126"/>
      <c r="I22" s="126"/>
      <c r="J22" s="126"/>
    </row>
    <row r="23" spans="1:10" ht="15.75" thickBot="1"/>
    <row r="24" spans="1:10">
      <c r="A24" s="126"/>
      <c r="B24" s="126"/>
      <c r="C24" s="338" t="s">
        <v>25</v>
      </c>
      <c r="D24" s="339" t="str">
        <f>D5</f>
        <v>MYR (mn)</v>
      </c>
      <c r="E24" s="339" t="s">
        <v>5</v>
      </c>
      <c r="F24" s="126"/>
      <c r="G24" s="126"/>
    </row>
    <row r="25" spans="1:10">
      <c r="A25" s="126"/>
      <c r="B25" s="126"/>
      <c r="C25" s="155" t="s">
        <v>26</v>
      </c>
      <c r="D25" s="454">
        <v>3623.942</v>
      </c>
      <c r="E25" s="156">
        <f>D25*J2</f>
        <v>895.02148678686092</v>
      </c>
      <c r="F25" s="126"/>
      <c r="G25" s="126"/>
    </row>
    <row r="26" spans="1:10">
      <c r="A26" s="126"/>
      <c r="B26" s="126"/>
      <c r="C26" s="155" t="s">
        <v>27</v>
      </c>
      <c r="D26" s="454"/>
      <c r="E26" s="156"/>
      <c r="F26" s="126"/>
      <c r="G26" s="126"/>
    </row>
    <row r="27" spans="1:10">
      <c r="A27" s="126"/>
      <c r="B27" s="126"/>
      <c r="C27" s="155" t="s">
        <v>28</v>
      </c>
      <c r="D27" s="454">
        <v>-173.11500000000001</v>
      </c>
      <c r="E27" s="156">
        <f>D27*J2</f>
        <v>-42.755001234872807</v>
      </c>
      <c r="F27" s="126"/>
      <c r="G27" s="126"/>
    </row>
    <row r="28" spans="1:10">
      <c r="A28" s="126"/>
      <c r="B28" s="126"/>
      <c r="C28" s="155" t="s">
        <v>29</v>
      </c>
      <c r="D28" s="454">
        <v>-918.25199999999995</v>
      </c>
      <c r="E28" s="156">
        <f>D28*J2</f>
        <v>-226.78488515682881</v>
      </c>
      <c r="F28" s="126"/>
      <c r="G28" s="126"/>
    </row>
    <row r="29" spans="1:10">
      <c r="A29" s="126"/>
      <c r="B29" s="126"/>
      <c r="C29" s="155" t="s">
        <v>30</v>
      </c>
      <c r="D29" s="454">
        <v>-119.518</v>
      </c>
      <c r="E29" s="156">
        <f>D29*J2</f>
        <v>-29.51790565571746</v>
      </c>
      <c r="F29" s="126"/>
      <c r="G29" s="126"/>
    </row>
    <row r="30" spans="1:10" ht="15.75" thickBot="1">
      <c r="A30" s="126"/>
      <c r="B30" s="126"/>
      <c r="C30" s="384" t="s">
        <v>31</v>
      </c>
      <c r="D30" s="183">
        <f>SUM(D25:D29)</f>
        <v>2413.0570000000002</v>
      </c>
      <c r="E30" s="183">
        <f>SUM(E25:E29)</f>
        <v>595.96369473944196</v>
      </c>
      <c r="F30" s="126"/>
      <c r="G30" s="126"/>
    </row>
    <row r="31" spans="1:10">
      <c r="A31" s="126"/>
      <c r="B31" s="126"/>
      <c r="C31" s="127"/>
      <c r="D31" s="418"/>
      <c r="E31" s="418"/>
      <c r="F31" s="126"/>
      <c r="G31" s="126"/>
    </row>
    <row r="32" spans="1:10" ht="15.75" thickBot="1">
      <c r="A32" s="126"/>
      <c r="B32" s="126"/>
      <c r="C32" s="126"/>
      <c r="D32" s="126"/>
      <c r="E32" s="126"/>
      <c r="F32" s="126"/>
      <c r="G32" s="126"/>
    </row>
    <row r="33" spans="1:10" ht="25.5">
      <c r="A33" s="126"/>
      <c r="B33" s="126"/>
      <c r="C33" s="340" t="s">
        <v>32</v>
      </c>
      <c r="D33" s="339" t="str">
        <f>D5</f>
        <v>MYR (mn)</v>
      </c>
      <c r="E33" s="339" t="s">
        <v>5</v>
      </c>
      <c r="F33" s="126"/>
      <c r="G33" s="126"/>
    </row>
    <row r="34" spans="1:10">
      <c r="A34" s="126"/>
      <c r="B34" s="126"/>
      <c r="C34" s="159" t="s">
        <v>33</v>
      </c>
      <c r="D34" s="160">
        <v>6971.6980000000003</v>
      </c>
      <c r="E34" s="156">
        <f>D34*J2</f>
        <v>1721.8320572980983</v>
      </c>
      <c r="F34" s="126"/>
      <c r="G34" s="126"/>
      <c r="H34" s="126"/>
    </row>
    <row r="35" spans="1:10">
      <c r="A35" s="126"/>
      <c r="B35" s="126"/>
      <c r="C35" s="159" t="s">
        <v>34</v>
      </c>
      <c r="D35" s="160">
        <v>1945.09</v>
      </c>
      <c r="E35" s="156">
        <f>D35*J2</f>
        <v>480.38775006174359</v>
      </c>
      <c r="F35" s="126"/>
      <c r="G35" s="126"/>
      <c r="H35" s="126"/>
    </row>
    <row r="36" spans="1:10">
      <c r="A36" s="126"/>
      <c r="B36" s="126"/>
      <c r="C36" s="159" t="s">
        <v>35</v>
      </c>
      <c r="D36" s="160">
        <v>118.83</v>
      </c>
      <c r="E36" s="156">
        <f>D36*J2</f>
        <v>29.347987157322795</v>
      </c>
      <c r="F36" s="126"/>
      <c r="G36" s="126"/>
      <c r="H36" s="126"/>
    </row>
    <row r="37" spans="1:10">
      <c r="A37" s="126"/>
      <c r="B37" s="126"/>
      <c r="C37" s="159" t="s">
        <v>36</v>
      </c>
      <c r="D37" s="160">
        <v>748.52700000000004</v>
      </c>
      <c r="E37" s="156">
        <f>D37*J2</f>
        <v>184.86712768584835</v>
      </c>
      <c r="F37" s="126"/>
      <c r="G37" s="126"/>
      <c r="H37" s="126"/>
    </row>
    <row r="38" spans="1:10">
      <c r="A38" s="126"/>
      <c r="B38" s="126"/>
      <c r="C38" s="159" t="s">
        <v>37</v>
      </c>
      <c r="D38" s="160">
        <v>1717.941</v>
      </c>
      <c r="E38" s="156">
        <f>D38*J2</f>
        <v>424.28772536428744</v>
      </c>
      <c r="F38" s="126"/>
      <c r="G38" s="126"/>
      <c r="H38" s="126"/>
      <c r="I38" s="126"/>
      <c r="J38" s="126"/>
    </row>
    <row r="39" spans="1:10" ht="15.75" thickBot="1">
      <c r="A39" s="126"/>
      <c r="B39" s="126"/>
      <c r="C39" s="159" t="s">
        <v>38</v>
      </c>
      <c r="D39" s="160">
        <v>14.596</v>
      </c>
      <c r="E39" s="156">
        <f>D39*J2</f>
        <v>3.6048407014077548</v>
      </c>
      <c r="F39" s="126"/>
      <c r="G39" s="126"/>
      <c r="H39" s="126"/>
      <c r="I39" s="126"/>
      <c r="J39" s="126"/>
    </row>
    <row r="40" spans="1:10" ht="15.75" thickBot="1">
      <c r="A40" s="126"/>
      <c r="B40" s="126"/>
      <c r="C40" s="161" t="s">
        <v>39</v>
      </c>
      <c r="D40" s="162">
        <f>SUM(D34:D39)</f>
        <v>11516.682000000001</v>
      </c>
      <c r="E40" s="163">
        <f>SUM(E34:E39)</f>
        <v>2844.3274882687083</v>
      </c>
      <c r="F40" s="126"/>
      <c r="G40" s="126"/>
      <c r="H40" s="126"/>
      <c r="I40" s="126"/>
      <c r="J40" s="126"/>
    </row>
    <row r="41" spans="1:10">
      <c r="A41" s="126"/>
      <c r="B41" s="126"/>
      <c r="C41" s="321"/>
      <c r="D41" s="322"/>
      <c r="E41" s="323"/>
      <c r="F41" s="126"/>
      <c r="G41" s="126"/>
      <c r="H41" s="126"/>
      <c r="I41" s="126"/>
      <c r="J41" s="126"/>
    </row>
    <row r="42" spans="1:10" ht="15.75" thickBot="1">
      <c r="A42" s="126"/>
      <c r="B42" s="126"/>
      <c r="C42" s="321"/>
      <c r="D42" s="322"/>
      <c r="E42" s="323"/>
      <c r="F42" s="126"/>
      <c r="G42" s="126"/>
      <c r="H42" s="126"/>
      <c r="I42" s="126"/>
      <c r="J42" s="126"/>
    </row>
    <row r="43" spans="1:10">
      <c r="A43" s="126"/>
      <c r="B43" s="126"/>
      <c r="C43" s="338" t="s">
        <v>40</v>
      </c>
      <c r="D43" s="341" t="str">
        <f>D5</f>
        <v>MYR (mn)</v>
      </c>
      <c r="E43" s="339" t="s">
        <v>5</v>
      </c>
      <c r="F43" s="126"/>
      <c r="G43" s="126"/>
      <c r="H43" s="126"/>
      <c r="I43" s="126"/>
      <c r="J43" s="126"/>
    </row>
    <row r="44" spans="1:10">
      <c r="A44" s="126"/>
      <c r="B44" s="126"/>
      <c r="C44" s="159">
        <v>2027</v>
      </c>
      <c r="D44" s="324">
        <v>1531.7</v>
      </c>
      <c r="E44" s="156">
        <f>D44*J2</f>
        <v>378.29093603358854</v>
      </c>
      <c r="F44" s="126"/>
      <c r="G44" s="126"/>
      <c r="H44" s="126"/>
      <c r="I44" s="126"/>
      <c r="J44" s="126"/>
    </row>
    <row r="45" spans="1:10">
      <c r="A45" s="126"/>
      <c r="B45" s="126"/>
      <c r="C45" s="159">
        <v>2028</v>
      </c>
      <c r="D45" s="324">
        <v>29.5</v>
      </c>
      <c r="E45" s="156">
        <f>D45*J2</f>
        <v>7.2857495677945163</v>
      </c>
      <c r="F45" s="126"/>
      <c r="G45" s="126"/>
      <c r="H45" s="126"/>
      <c r="I45" s="126"/>
      <c r="J45" s="126"/>
    </row>
    <row r="46" spans="1:10">
      <c r="A46" s="126"/>
      <c r="B46" s="126"/>
      <c r="C46" s="159">
        <v>2029</v>
      </c>
      <c r="D46" s="324">
        <v>396.55</v>
      </c>
      <c r="E46" s="156">
        <f>D46*J2</f>
        <v>97.93776241047172</v>
      </c>
      <c r="F46" s="126"/>
      <c r="G46" s="126"/>
      <c r="H46" s="126"/>
      <c r="I46" s="126"/>
      <c r="J46" s="126"/>
    </row>
    <row r="47" spans="1:10">
      <c r="A47" s="126"/>
      <c r="B47" s="126"/>
      <c r="C47" s="159">
        <v>2030</v>
      </c>
      <c r="D47" s="324">
        <v>1989.65</v>
      </c>
      <c r="E47" s="156">
        <f>D47*J2</f>
        <v>491.39293652753764</v>
      </c>
      <c r="F47" s="126"/>
      <c r="G47" s="126"/>
      <c r="H47" s="126"/>
      <c r="I47" s="126"/>
      <c r="J47" s="126"/>
    </row>
    <row r="48" spans="1:10">
      <c r="A48" s="126"/>
      <c r="B48" s="126"/>
      <c r="C48" s="159" t="s">
        <v>41</v>
      </c>
      <c r="D48" s="324">
        <f>15056.88-SUM(D44:D47)</f>
        <v>11109.48</v>
      </c>
      <c r="E48" s="156">
        <f>D48*J2</f>
        <v>2743.7589528278586</v>
      </c>
      <c r="F48" s="126"/>
      <c r="G48" s="126"/>
      <c r="H48" s="126"/>
      <c r="I48" s="126"/>
      <c r="J48" s="126"/>
    </row>
    <row r="49" spans="1:12" ht="15.75" thickBot="1">
      <c r="A49" s="126"/>
      <c r="B49" s="126"/>
      <c r="C49" s="192" t="s">
        <v>31</v>
      </c>
      <c r="D49" s="207">
        <f>SUM(D44:D48)</f>
        <v>15056.88</v>
      </c>
      <c r="E49" s="183">
        <f>SUM(E44:E48)</f>
        <v>3718.6663373672509</v>
      </c>
      <c r="F49" s="126"/>
      <c r="G49" s="126"/>
      <c r="H49" s="126"/>
      <c r="I49" s="126"/>
      <c r="J49" s="126"/>
    </row>
    <row r="50" spans="1:12">
      <c r="A50" s="126"/>
      <c r="B50" s="126"/>
      <c r="C50" s="321"/>
      <c r="D50" s="322"/>
      <c r="E50" s="323"/>
      <c r="F50" s="126"/>
      <c r="G50" s="126"/>
      <c r="H50" s="126"/>
      <c r="I50" s="126"/>
      <c r="J50" s="126"/>
    </row>
    <row r="51" spans="1:12">
      <c r="A51" s="126"/>
      <c r="B51" s="126"/>
      <c r="C51" s="321"/>
      <c r="D51" s="322"/>
      <c r="E51" s="323"/>
      <c r="F51" s="126"/>
      <c r="G51" s="126"/>
      <c r="H51" s="126"/>
      <c r="I51" s="126"/>
      <c r="J51" s="126"/>
    </row>
    <row r="54" spans="1:12">
      <c r="A54" s="127" t="s">
        <v>42</v>
      </c>
      <c r="B54" s="126"/>
      <c r="C54" s="126"/>
      <c r="D54" s="126"/>
      <c r="E54" s="126"/>
      <c r="F54" s="126"/>
      <c r="G54" s="126"/>
      <c r="H54" s="126"/>
      <c r="I54" s="127" t="s">
        <v>1</v>
      </c>
      <c r="J54" s="128">
        <f>Model!$R$216</f>
        <v>0.2469745616201531</v>
      </c>
    </row>
    <row r="55" spans="1:12">
      <c r="A55" s="127"/>
      <c r="B55" s="126"/>
      <c r="C55" s="126"/>
      <c r="D55" s="126"/>
      <c r="E55" s="126"/>
      <c r="F55" s="126"/>
      <c r="G55" s="126"/>
      <c r="H55" s="126"/>
      <c r="I55" s="127" t="s">
        <v>2</v>
      </c>
      <c r="J55" s="128">
        <f>Model!$R$217</f>
        <v>0.24044919890479388</v>
      </c>
    </row>
    <row r="56" spans="1:12" ht="15.75" thickBot="1">
      <c r="A56" s="127"/>
      <c r="B56" s="126"/>
      <c r="C56" s="126"/>
      <c r="D56" s="126"/>
      <c r="E56" s="126"/>
      <c r="F56" s="126"/>
      <c r="G56" s="126"/>
      <c r="H56" s="127"/>
      <c r="I56" s="127"/>
      <c r="J56" s="127"/>
    </row>
    <row r="57" spans="1:12" s="320" customFormat="1" ht="17.25" customHeight="1">
      <c r="A57" s="318"/>
      <c r="B57" s="318"/>
      <c r="C57" s="414" t="s">
        <v>43</v>
      </c>
      <c r="D57" s="415" t="s">
        <v>4</v>
      </c>
      <c r="E57" s="415" t="s">
        <v>5</v>
      </c>
      <c r="F57" s="415" t="s">
        <v>6</v>
      </c>
      <c r="G57" s="415" t="s">
        <v>7</v>
      </c>
      <c r="H57" s="318"/>
      <c r="I57" s="385" t="s">
        <v>8</v>
      </c>
      <c r="J57" s="348" t="str">
        <f>F57</f>
        <v>Leverage (RM)</v>
      </c>
      <c r="L57"/>
    </row>
    <row r="58" spans="1:12">
      <c r="A58" s="126"/>
      <c r="B58" s="126"/>
      <c r="C58" s="410"/>
      <c r="D58" s="133"/>
      <c r="E58" s="133"/>
      <c r="F58" s="411"/>
      <c r="G58" s="411"/>
      <c r="H58" s="126"/>
      <c r="I58" s="342" t="s">
        <v>9</v>
      </c>
      <c r="J58" s="343">
        <v>15052</v>
      </c>
    </row>
    <row r="59" spans="1:12">
      <c r="A59" s="126"/>
      <c r="B59" s="126"/>
      <c r="C59" s="410" t="s">
        <v>10</v>
      </c>
      <c r="D59" s="136"/>
      <c r="E59" s="136"/>
      <c r="F59" s="411"/>
      <c r="G59" s="411"/>
      <c r="H59" s="126"/>
      <c r="I59" s="344" t="s">
        <v>11</v>
      </c>
      <c r="J59" s="343">
        <v>3747</v>
      </c>
    </row>
    <row r="60" spans="1:12">
      <c r="A60" s="126"/>
      <c r="B60" s="126"/>
      <c r="C60" s="412" t="s">
        <v>12</v>
      </c>
      <c r="D60" s="211">
        <f>Model!$BL$108</f>
        <v>1752.3820000000001</v>
      </c>
      <c r="E60" s="32">
        <f>+D60*J54</f>
        <v>432.79377624104717</v>
      </c>
      <c r="F60" s="126"/>
      <c r="G60" s="126"/>
      <c r="H60" s="126"/>
      <c r="I60" s="344" t="s">
        <v>44</v>
      </c>
      <c r="J60" s="345">
        <f>J58-J59</f>
        <v>11305</v>
      </c>
    </row>
    <row r="61" spans="1:12" ht="15.75" thickBot="1">
      <c r="A61" s="126"/>
      <c r="B61" s="126"/>
      <c r="C61" s="412" t="s">
        <v>15</v>
      </c>
      <c r="D61" s="211">
        <f>Model!$BL$109</f>
        <v>4898.2629999999999</v>
      </c>
      <c r="E61" s="32">
        <f>+D61*J54</f>
        <v>1209.746357125216</v>
      </c>
      <c r="F61" s="126"/>
      <c r="G61" s="126"/>
      <c r="H61" s="126"/>
      <c r="I61" s="198" t="s">
        <v>13</v>
      </c>
      <c r="J61" s="346">
        <f>J60/D73</f>
        <v>2.0703448419844324</v>
      </c>
    </row>
    <row r="62" spans="1:12">
      <c r="A62" s="126"/>
      <c r="B62" s="126"/>
      <c r="C62" s="412" t="s">
        <v>16</v>
      </c>
      <c r="D62" s="211">
        <f>Model!$BL$110</f>
        <v>330.52600000000001</v>
      </c>
      <c r="E62" s="32">
        <f>+D62*J54</f>
        <v>81.631513954062726</v>
      </c>
      <c r="F62" s="126"/>
      <c r="G62" s="126"/>
      <c r="H62" s="126"/>
      <c r="I62" s="126"/>
      <c r="J62" s="126"/>
    </row>
    <row r="63" spans="1:12">
      <c r="A63" s="126"/>
      <c r="B63" s="126"/>
      <c r="C63" s="410" t="s">
        <v>17</v>
      </c>
      <c r="D63" s="136"/>
      <c r="E63" s="32"/>
      <c r="F63" s="411"/>
      <c r="G63" s="411"/>
      <c r="H63" s="126"/>
      <c r="I63" s="126"/>
      <c r="J63" s="126"/>
    </row>
    <row r="64" spans="1:12">
      <c r="A64" s="126"/>
      <c r="B64" s="126"/>
      <c r="C64" s="412" t="s">
        <v>12</v>
      </c>
      <c r="D64" s="211">
        <f>Model!$BL$113</f>
        <v>2021.4590000000001</v>
      </c>
      <c r="E64" s="32">
        <f>+D64*J54</f>
        <v>499.24895035811306</v>
      </c>
      <c r="F64" s="126"/>
      <c r="G64" s="126"/>
      <c r="H64" s="126"/>
      <c r="I64" s="126"/>
      <c r="J64" s="126"/>
    </row>
    <row r="65" spans="1:10">
      <c r="A65" s="126"/>
      <c r="B65" s="126"/>
      <c r="C65" s="412" t="s">
        <v>15</v>
      </c>
      <c r="D65" s="211">
        <f>Model!$BL$114</f>
        <v>6380.3540000000003</v>
      </c>
      <c r="E65" s="32">
        <f>+D65*J54</f>
        <v>1575.7851321313904</v>
      </c>
      <c r="F65" s="126"/>
      <c r="G65" s="126"/>
      <c r="H65" s="126"/>
      <c r="I65" s="126"/>
      <c r="J65" s="126"/>
    </row>
    <row r="66" spans="1:10">
      <c r="A66" s="126"/>
      <c r="B66" s="126"/>
      <c r="C66" s="412" t="s">
        <v>16</v>
      </c>
      <c r="D66" s="211">
        <f>Model!$BL$115</f>
        <v>1471.579</v>
      </c>
      <c r="E66" s="32">
        <f>+D66*J54</f>
        <v>363.44257841442328</v>
      </c>
      <c r="F66" s="126"/>
      <c r="G66" s="126"/>
      <c r="H66" s="202"/>
      <c r="I66" s="126"/>
      <c r="J66" s="126"/>
    </row>
    <row r="67" spans="1:10">
      <c r="A67" s="126"/>
      <c r="B67" s="126"/>
      <c r="C67" s="412" t="s">
        <v>45</v>
      </c>
      <c r="D67" s="324">
        <v>0</v>
      </c>
      <c r="E67" s="32"/>
      <c r="F67" s="126"/>
      <c r="G67" s="126"/>
      <c r="H67" s="126"/>
      <c r="I67" s="126"/>
      <c r="J67" s="126"/>
    </row>
    <row r="68" spans="1:10">
      <c r="A68" s="126"/>
      <c r="B68" s="126"/>
      <c r="C68" s="416" t="s">
        <v>18</v>
      </c>
      <c r="D68" s="144">
        <f>SUM(D60:D67)</f>
        <v>16854.563000000002</v>
      </c>
      <c r="E68" s="144">
        <f>SUM(E60:E67)</f>
        <v>4162.648308224253</v>
      </c>
      <c r="F68" s="417">
        <f>+D68/D73</f>
        <v>3.0866658620921417</v>
      </c>
      <c r="G68" s="417">
        <f>+E68/E73</f>
        <v>3.1704324723491517</v>
      </c>
      <c r="H68" s="126"/>
      <c r="I68" s="126"/>
      <c r="J68" s="126"/>
    </row>
    <row r="69" spans="1:10">
      <c r="A69" s="126"/>
      <c r="B69" s="126"/>
      <c r="C69" s="412" t="s">
        <v>19</v>
      </c>
      <c r="D69" s="44">
        <f>Model!$BL$123</f>
        <v>3746.7809999999995</v>
      </c>
      <c r="E69" s="32">
        <f>+D69*J54</f>
        <v>925.3595949617187</v>
      </c>
      <c r="F69" s="413"/>
      <c r="G69" s="413"/>
      <c r="H69" s="126"/>
      <c r="I69" s="126"/>
      <c r="J69" s="126"/>
    </row>
    <row r="70" spans="1:10">
      <c r="A70" s="126"/>
      <c r="B70" s="126"/>
      <c r="C70" s="416" t="s">
        <v>20</v>
      </c>
      <c r="D70" s="144">
        <f>+D68-D69</f>
        <v>13107.782000000003</v>
      </c>
      <c r="E70" s="144">
        <f>+E68-E69</f>
        <v>3237.2887132625342</v>
      </c>
      <c r="F70" s="417">
        <f>+D70/D73</f>
        <v>2.4004979083198932</v>
      </c>
      <c r="G70" s="417">
        <f>+E70/E73</f>
        <v>2.4656431432410151</v>
      </c>
      <c r="H70" s="126"/>
      <c r="I70" s="126"/>
      <c r="J70" s="126"/>
    </row>
    <row r="71" spans="1:10">
      <c r="A71" s="126"/>
      <c r="B71" s="126"/>
      <c r="C71" s="412" t="s">
        <v>21</v>
      </c>
      <c r="D71" s="44">
        <f>Model!$BL$131</f>
        <v>24068.415000000001</v>
      </c>
      <c r="E71" s="32">
        <f>+D71*J54</f>
        <v>5944.2862435169172</v>
      </c>
      <c r="F71" s="126"/>
      <c r="G71" s="126"/>
      <c r="H71" s="126"/>
      <c r="I71" s="126"/>
      <c r="J71" s="126"/>
    </row>
    <row r="72" spans="1:10">
      <c r="A72" s="126"/>
      <c r="B72" s="126"/>
      <c r="C72" s="416" t="s">
        <v>22</v>
      </c>
      <c r="D72" s="144">
        <f>D68+D71</f>
        <v>40922.978000000003</v>
      </c>
      <c r="E72" s="144">
        <f>E68+E71</f>
        <v>10106.934551741171</v>
      </c>
      <c r="F72" s="417">
        <f>D72/D73</f>
        <v>7.4944428501497038</v>
      </c>
      <c r="G72" s="417">
        <f>E72/E73</f>
        <v>7.6978286720593081</v>
      </c>
      <c r="H72" s="126"/>
      <c r="I72" s="126"/>
      <c r="J72" s="126"/>
    </row>
    <row r="73" spans="1:10">
      <c r="A73" s="126"/>
      <c r="B73" s="126"/>
      <c r="C73" s="412" t="s">
        <v>23</v>
      </c>
      <c r="D73" s="32">
        <f>Model!$BL$90</f>
        <v>5460.4430000000002</v>
      </c>
      <c r="E73" s="32">
        <f>D73*J55</f>
        <v>1312.9591450152896</v>
      </c>
      <c r="F73" s="126"/>
      <c r="G73" s="126"/>
      <c r="H73" s="126"/>
      <c r="I73" s="126"/>
      <c r="J73" s="126"/>
    </row>
    <row r="74" spans="1:10">
      <c r="A74" s="126"/>
      <c r="B74" s="126"/>
      <c r="C74" s="151" t="s">
        <v>24</v>
      </c>
      <c r="D74" s="152">
        <f>+D68-Model!$BL$116</f>
        <v>0</v>
      </c>
      <c r="E74" s="153"/>
      <c r="F74" s="126"/>
      <c r="G74" s="126"/>
      <c r="H74" s="126"/>
      <c r="I74" s="126"/>
      <c r="J74" s="126"/>
    </row>
    <row r="75" spans="1:10" ht="15.75" thickBot="1">
      <c r="F75" s="86"/>
    </row>
    <row r="76" spans="1:10">
      <c r="A76" s="126"/>
      <c r="B76" s="126"/>
      <c r="C76" s="338" t="s">
        <v>46</v>
      </c>
      <c r="D76" s="339" t="str">
        <f>D57</f>
        <v>MYR (mn)</v>
      </c>
      <c r="E76" s="339" t="s">
        <v>5</v>
      </c>
      <c r="F76" s="126"/>
      <c r="G76" s="126"/>
    </row>
    <row r="77" spans="1:10">
      <c r="A77" s="126"/>
      <c r="B77" s="126"/>
      <c r="C77" s="155" t="s">
        <v>47</v>
      </c>
      <c r="D77" s="156">
        <f>D69</f>
        <v>3746.7809999999995</v>
      </c>
      <c r="E77" s="156">
        <f>D77*J54</f>
        <v>925.3595949617187</v>
      </c>
      <c r="F77" s="126"/>
      <c r="G77" s="126"/>
    </row>
    <row r="78" spans="1:10" ht="15.75" thickBot="1">
      <c r="A78" s="126"/>
      <c r="B78" s="126"/>
      <c r="C78" s="384" t="s">
        <v>31</v>
      </c>
      <c r="D78" s="183">
        <f>SUM(D77:D77)</f>
        <v>3746.7809999999995</v>
      </c>
      <c r="E78" s="183">
        <f>SUM(E77:E77)</f>
        <v>925.3595949617187</v>
      </c>
      <c r="F78" s="126"/>
      <c r="G78" s="126"/>
    </row>
    <row r="79" spans="1:10">
      <c r="A79" s="126"/>
      <c r="B79" s="126"/>
      <c r="C79" s="127"/>
      <c r="D79" s="418"/>
      <c r="E79" s="418"/>
      <c r="F79" s="126"/>
      <c r="G79" s="126"/>
    </row>
    <row r="80" spans="1:10" ht="15.75" thickBot="1">
      <c r="A80" s="126"/>
      <c r="B80" s="126"/>
      <c r="C80" s="126"/>
      <c r="D80" s="126"/>
      <c r="E80" s="126"/>
      <c r="F80" s="126"/>
      <c r="G80" s="126"/>
    </row>
    <row r="81" spans="1:10" ht="25.5">
      <c r="A81" s="126"/>
      <c r="B81" s="126"/>
      <c r="C81" s="340" t="s">
        <v>48</v>
      </c>
      <c r="D81" s="339" t="str">
        <f>D57</f>
        <v>MYR (mn)</v>
      </c>
      <c r="E81" s="339" t="s">
        <v>5</v>
      </c>
      <c r="F81" s="126"/>
      <c r="G81" s="126"/>
    </row>
    <row r="82" spans="1:10">
      <c r="A82" s="126"/>
      <c r="B82" s="126"/>
      <c r="C82" s="159" t="s">
        <v>33</v>
      </c>
      <c r="D82" s="160">
        <v>9046.4169999999995</v>
      </c>
      <c r="E82" s="156">
        <f>D82*J54</f>
        <v>2234.2348728081006</v>
      </c>
      <c r="F82" s="126"/>
      <c r="G82" s="126"/>
      <c r="H82" s="126"/>
    </row>
    <row r="83" spans="1:10">
      <c r="A83" s="126"/>
      <c r="B83" s="126"/>
      <c r="C83" s="159" t="s">
        <v>34</v>
      </c>
      <c r="D83" s="160">
        <v>1723.9190000000001</v>
      </c>
      <c r="E83" s="156">
        <f>D83*J54</f>
        <v>425.76413929365276</v>
      </c>
      <c r="F83" s="126"/>
      <c r="G83" s="126"/>
      <c r="H83" s="126"/>
    </row>
    <row r="84" spans="1:10">
      <c r="A84" s="126"/>
      <c r="B84" s="126"/>
      <c r="C84" s="159" t="s">
        <v>35</v>
      </c>
      <c r="D84" s="160">
        <v>0.66500000000000004</v>
      </c>
      <c r="E84" s="156">
        <f>D84*J54</f>
        <v>0.16423808347740182</v>
      </c>
      <c r="F84" s="126"/>
      <c r="G84" s="126"/>
      <c r="H84" s="126"/>
    </row>
    <row r="85" spans="1:10">
      <c r="A85" s="126"/>
      <c r="B85" s="126"/>
      <c r="C85" s="159" t="s">
        <v>36</v>
      </c>
      <c r="D85" s="160">
        <v>939.87400000000002</v>
      </c>
      <c r="E85" s="156">
        <f>D85*J54</f>
        <v>232.12496912817977</v>
      </c>
      <c r="F85" s="126"/>
      <c r="G85" s="126"/>
      <c r="H85" s="126"/>
    </row>
    <row r="86" spans="1:10">
      <c r="A86" s="126"/>
      <c r="B86" s="126"/>
      <c r="C86" s="159" t="s">
        <v>37</v>
      </c>
      <c r="D86" s="160">
        <v>1760.057</v>
      </c>
      <c r="E86" s="156">
        <f>D86*J54</f>
        <v>434.68930600148184</v>
      </c>
      <c r="F86" s="126"/>
      <c r="G86" s="126"/>
      <c r="H86" s="126"/>
      <c r="I86" s="126"/>
      <c r="J86" s="126"/>
    </row>
    <row r="87" spans="1:10" ht="15.75" thickBot="1">
      <c r="A87" s="126"/>
      <c r="B87" s="126"/>
      <c r="C87" s="159" t="s">
        <v>38</v>
      </c>
      <c r="D87" s="160">
        <v>39.488999999999997</v>
      </c>
      <c r="E87" s="156">
        <f>D87*J54</f>
        <v>9.7527784638182258</v>
      </c>
      <c r="F87" s="126"/>
      <c r="G87" s="126"/>
      <c r="H87" s="126"/>
      <c r="I87" s="126"/>
      <c r="J87" s="126"/>
    </row>
    <row r="88" spans="1:10" ht="15.75" thickBot="1">
      <c r="A88" s="126"/>
      <c r="B88" s="126"/>
      <c r="C88" s="161" t="s">
        <v>39</v>
      </c>
      <c r="D88" s="162">
        <f>SUM(D82:D87)</f>
        <v>13510.421</v>
      </c>
      <c r="E88" s="163">
        <f>SUM(E82:E87)</f>
        <v>3336.7303037787105</v>
      </c>
      <c r="F88" s="126"/>
      <c r="G88" s="126"/>
      <c r="H88" s="126"/>
      <c r="I88" s="126"/>
      <c r="J88" s="126"/>
    </row>
    <row r="89" spans="1:10">
      <c r="A89" s="126"/>
      <c r="B89" s="126"/>
      <c r="C89" s="321"/>
      <c r="D89" s="322"/>
      <c r="E89" s="323"/>
      <c r="F89" s="126"/>
      <c r="G89" s="126"/>
      <c r="H89" s="126"/>
      <c r="I89" s="126"/>
      <c r="J89" s="126"/>
    </row>
    <row r="90" spans="1:10" ht="15.75" thickBot="1">
      <c r="A90" s="126"/>
      <c r="B90" s="126"/>
      <c r="C90" s="321"/>
      <c r="D90" s="322"/>
      <c r="E90" s="323"/>
      <c r="F90" s="126"/>
      <c r="G90" s="126"/>
      <c r="H90" s="126"/>
      <c r="I90" s="126"/>
      <c r="J90" s="126"/>
    </row>
    <row r="91" spans="1:10">
      <c r="A91" s="126"/>
      <c r="B91" s="126"/>
      <c r="C91" s="338" t="s">
        <v>49</v>
      </c>
      <c r="D91" s="341" t="str">
        <f>D57</f>
        <v>MYR (mn)</v>
      </c>
      <c r="E91" s="339" t="s">
        <v>5</v>
      </c>
      <c r="F91" s="126"/>
      <c r="G91" s="126"/>
      <c r="H91" s="126"/>
      <c r="I91" s="126"/>
      <c r="J91" s="126"/>
    </row>
    <row r="92" spans="1:10">
      <c r="A92" s="126"/>
      <c r="B92" s="126"/>
      <c r="C92" s="159">
        <v>2026</v>
      </c>
      <c r="D92" s="324">
        <v>1946.28</v>
      </c>
      <c r="E92" s="156">
        <f>D92*J54</f>
        <v>480.68164979007156</v>
      </c>
      <c r="F92" s="126"/>
      <c r="G92" s="126"/>
      <c r="H92" s="126"/>
      <c r="I92" s="126"/>
      <c r="J92" s="126"/>
    </row>
    <row r="93" spans="1:10">
      <c r="A93" s="126"/>
      <c r="B93" s="126"/>
      <c r="C93" s="159">
        <v>2027</v>
      </c>
      <c r="D93" s="324">
        <v>1560.13</v>
      </c>
      <c r="E93" s="156">
        <f>D93*J54</f>
        <v>385.31242282044951</v>
      </c>
      <c r="F93" s="126"/>
      <c r="G93" s="126"/>
      <c r="H93" s="126"/>
      <c r="I93" s="126"/>
      <c r="J93" s="126"/>
    </row>
    <row r="94" spans="1:10">
      <c r="A94" s="126"/>
      <c r="B94" s="126"/>
      <c r="C94" s="159">
        <v>2028</v>
      </c>
      <c r="D94" s="324">
        <v>30.45</v>
      </c>
      <c r="E94" s="156">
        <f>D94*J54</f>
        <v>7.5203754013336619</v>
      </c>
      <c r="F94" s="126"/>
      <c r="G94" s="126"/>
      <c r="H94" s="126"/>
      <c r="I94" s="126"/>
      <c r="J94" s="126"/>
    </row>
    <row r="95" spans="1:10">
      <c r="A95" s="126"/>
      <c r="B95" s="126"/>
      <c r="C95" s="159">
        <v>2029</v>
      </c>
      <c r="D95" s="324">
        <v>398.85</v>
      </c>
      <c r="E95" s="156">
        <f>D95*J54</f>
        <v>98.505803902198068</v>
      </c>
      <c r="F95" s="126"/>
      <c r="G95" s="126"/>
      <c r="H95" s="126"/>
      <c r="I95" s="126"/>
      <c r="J95" s="126"/>
    </row>
    <row r="96" spans="1:10">
      <c r="A96" s="126"/>
      <c r="B96" s="126"/>
      <c r="C96" s="159" t="s">
        <v>50</v>
      </c>
      <c r="D96" s="324">
        <f>15172.79-SUM(D92:D95)</f>
        <v>11237.080000000002</v>
      </c>
      <c r="E96" s="156">
        <f>D96*J54</f>
        <v>2775.2729068905905</v>
      </c>
      <c r="F96" s="126"/>
      <c r="G96" s="126"/>
      <c r="H96" s="126"/>
      <c r="I96" s="126"/>
      <c r="J96" s="126"/>
    </row>
    <row r="97" spans="1:12" ht="15.75" thickBot="1">
      <c r="A97" s="126"/>
      <c r="B97" s="126"/>
      <c r="C97" s="192" t="s">
        <v>31</v>
      </c>
      <c r="D97" s="207">
        <f>SUM(D92:D96)</f>
        <v>15172.79</v>
      </c>
      <c r="E97" s="183">
        <f>SUM(E92:E96)</f>
        <v>3747.2931588046431</v>
      </c>
      <c r="F97" s="126"/>
      <c r="G97" s="126"/>
      <c r="H97" s="126"/>
      <c r="I97" s="126"/>
      <c r="J97" s="126"/>
    </row>
    <row r="98" spans="1:12">
      <c r="A98" s="126"/>
      <c r="B98" s="126"/>
      <c r="C98" s="321"/>
      <c r="D98" s="322"/>
      <c r="E98" s="323"/>
      <c r="F98" s="126"/>
      <c r="G98" s="126"/>
      <c r="H98" s="126"/>
      <c r="I98" s="126"/>
      <c r="J98" s="126"/>
    </row>
    <row r="99" spans="1:12">
      <c r="A99" s="126"/>
      <c r="B99" s="126"/>
      <c r="C99" s="321"/>
      <c r="D99" s="322"/>
      <c r="E99" s="323"/>
      <c r="F99" s="126"/>
      <c r="G99" s="126"/>
      <c r="H99" s="126"/>
      <c r="I99" s="126"/>
      <c r="J99" s="126"/>
    </row>
    <row r="101" spans="1:12">
      <c r="A101" s="127" t="s">
        <v>51</v>
      </c>
      <c r="B101" s="126"/>
      <c r="C101" s="126"/>
      <c r="D101" s="126"/>
      <c r="E101" s="126"/>
      <c r="F101" s="126"/>
      <c r="G101" s="126"/>
      <c r="H101" s="126"/>
      <c r="I101" s="127" t="s">
        <v>52</v>
      </c>
      <c r="J101" s="128">
        <f>Model!$R$216</f>
        <v>0.2469745616201531</v>
      </c>
    </row>
    <row r="102" spans="1:12">
      <c r="A102" s="127"/>
      <c r="B102" s="126"/>
      <c r="C102" s="126"/>
      <c r="D102" s="126"/>
      <c r="E102" s="126"/>
      <c r="F102" s="126"/>
      <c r="G102" s="126"/>
      <c r="H102" s="126"/>
      <c r="I102" s="127" t="s">
        <v>53</v>
      </c>
      <c r="J102" s="128">
        <f>Model!$R$217</f>
        <v>0.24044919890479388</v>
      </c>
    </row>
    <row r="103" spans="1:12" ht="15.75" thickBot="1">
      <c r="A103" s="127"/>
      <c r="B103" s="126"/>
      <c r="C103" s="126"/>
      <c r="D103" s="126"/>
      <c r="E103" s="126"/>
      <c r="F103" s="126"/>
      <c r="G103" s="126"/>
      <c r="H103" s="127"/>
      <c r="I103" s="127"/>
      <c r="J103" s="127"/>
    </row>
    <row r="104" spans="1:12" s="320" customFormat="1" ht="17.25" customHeight="1">
      <c r="A104" s="318"/>
      <c r="B104" s="318"/>
      <c r="C104" s="335" t="s">
        <v>54</v>
      </c>
      <c r="D104" s="336" t="s">
        <v>55</v>
      </c>
      <c r="E104" s="336" t="s">
        <v>5</v>
      </c>
      <c r="F104" s="337" t="s">
        <v>6</v>
      </c>
      <c r="G104" s="337" t="s">
        <v>7</v>
      </c>
      <c r="H104" s="318"/>
      <c r="I104" s="385" t="s">
        <v>8</v>
      </c>
      <c r="J104" s="348" t="str">
        <f>F104</f>
        <v>Leverage (RM)</v>
      </c>
      <c r="L104"/>
    </row>
    <row r="105" spans="1:12">
      <c r="A105" s="126"/>
      <c r="B105" s="126"/>
      <c r="C105" s="131"/>
      <c r="D105" s="132"/>
      <c r="E105" s="133"/>
      <c r="F105" s="134"/>
      <c r="G105" s="134"/>
      <c r="H105" s="126"/>
      <c r="I105" s="342" t="s">
        <v>9</v>
      </c>
      <c r="J105" s="343">
        <v>15762</v>
      </c>
    </row>
    <row r="106" spans="1:12">
      <c r="A106" s="126"/>
      <c r="B106" s="126"/>
      <c r="C106" s="131" t="s">
        <v>10</v>
      </c>
      <c r="D106" s="135"/>
      <c r="E106" s="136"/>
      <c r="F106" s="134"/>
      <c r="G106" s="134"/>
      <c r="H106" s="126"/>
      <c r="I106" s="344" t="s">
        <v>11</v>
      </c>
      <c r="J106" s="343">
        <v>3676</v>
      </c>
    </row>
    <row r="107" spans="1:12">
      <c r="A107" s="126"/>
      <c r="B107" s="126"/>
      <c r="C107" s="139" t="s">
        <v>12</v>
      </c>
      <c r="D107" s="185">
        <f>Model!$BK$108</f>
        <v>1724.973</v>
      </c>
      <c r="E107" s="32">
        <f>+D107*J101</f>
        <v>426.02445048160035</v>
      </c>
      <c r="F107" s="142"/>
      <c r="G107" s="142"/>
      <c r="H107" s="126"/>
      <c r="I107" s="344" t="s">
        <v>44</v>
      </c>
      <c r="J107" s="345">
        <f>J105-J106</f>
        <v>12086</v>
      </c>
    </row>
    <row r="108" spans="1:12" ht="15.75" thickBot="1">
      <c r="A108" s="126"/>
      <c r="B108" s="126"/>
      <c r="C108" s="139" t="s">
        <v>15</v>
      </c>
      <c r="D108" s="185">
        <f>Model!$BK$109</f>
        <v>3122.402</v>
      </c>
      <c r="E108" s="32">
        <f>+D108*J101</f>
        <v>771.15386515188925</v>
      </c>
      <c r="F108" s="142"/>
      <c r="G108" s="142"/>
      <c r="H108" s="126"/>
      <c r="I108" s="198" t="s">
        <v>13</v>
      </c>
      <c r="J108" s="346">
        <f>J107/D120</f>
        <v>1.4758914727640873</v>
      </c>
    </row>
    <row r="109" spans="1:12">
      <c r="A109" s="126"/>
      <c r="B109" s="126"/>
      <c r="C109" s="139" t="s">
        <v>16</v>
      </c>
      <c r="D109" s="185">
        <f>Model!$BK$110</f>
        <v>326.012</v>
      </c>
      <c r="E109" s="32">
        <f>+D109*J101</f>
        <v>80.516670782909358</v>
      </c>
      <c r="F109" s="142"/>
      <c r="G109" s="142"/>
      <c r="H109" s="126"/>
      <c r="I109" s="126"/>
      <c r="J109" s="126"/>
    </row>
    <row r="110" spans="1:12">
      <c r="A110" s="126"/>
      <c r="B110" s="126"/>
      <c r="C110" s="131" t="s">
        <v>17</v>
      </c>
      <c r="D110" s="135"/>
      <c r="E110" s="32"/>
      <c r="F110" s="134"/>
      <c r="G110" s="134"/>
      <c r="H110" s="126"/>
      <c r="I110" s="126"/>
      <c r="J110" s="126"/>
    </row>
    <row r="111" spans="1:12">
      <c r="A111" s="126"/>
      <c r="B111" s="126"/>
      <c r="C111" s="139" t="s">
        <v>12</v>
      </c>
      <c r="D111" s="185">
        <f>Model!$BK$113</f>
        <v>2238.6419999999998</v>
      </c>
      <c r="E111" s="32">
        <f>+D111*J101</f>
        <v>552.88762657446273</v>
      </c>
      <c r="F111" s="142"/>
      <c r="G111" s="142"/>
      <c r="H111" s="126"/>
      <c r="I111" s="126"/>
      <c r="J111" s="126"/>
    </row>
    <row r="112" spans="1:12">
      <c r="A112" s="126"/>
      <c r="B112" s="126"/>
      <c r="C112" s="139" t="s">
        <v>15</v>
      </c>
      <c r="D112" s="185">
        <f>Model!$BK$114</f>
        <v>8675.93</v>
      </c>
      <c r="E112" s="32">
        <f>+D112*J101</f>
        <v>2142.7340083971349</v>
      </c>
      <c r="F112" s="142"/>
      <c r="G112" s="142"/>
      <c r="H112" s="126"/>
      <c r="I112" s="126"/>
      <c r="J112" s="126"/>
    </row>
    <row r="113" spans="1:10">
      <c r="A113" s="126"/>
      <c r="B113" s="126"/>
      <c r="C113" s="139" t="s">
        <v>16</v>
      </c>
      <c r="D113" s="185">
        <f>Model!$BK$115</f>
        <v>1391.374</v>
      </c>
      <c r="E113" s="32">
        <f>+D113*J101</f>
        <v>343.63398369967894</v>
      </c>
      <c r="F113" s="142"/>
      <c r="G113" s="142"/>
      <c r="H113" s="202"/>
      <c r="I113" s="126"/>
      <c r="J113" s="126"/>
    </row>
    <row r="114" spans="1:10">
      <c r="A114" s="126"/>
      <c r="B114" s="126"/>
      <c r="C114" s="139" t="s">
        <v>45</v>
      </c>
      <c r="D114" s="166">
        <v>0</v>
      </c>
      <c r="E114" s="32"/>
      <c r="F114" s="146"/>
      <c r="G114" s="146"/>
      <c r="H114" s="126"/>
      <c r="I114" s="126"/>
      <c r="J114" s="126"/>
    </row>
    <row r="115" spans="1:10">
      <c r="A115" s="126"/>
      <c r="B115" s="126"/>
      <c r="C115" s="137" t="s">
        <v>18</v>
      </c>
      <c r="D115" s="143">
        <f>SUM(D107:D114)</f>
        <v>17479.332999999999</v>
      </c>
      <c r="E115" s="143">
        <f>SUM(E107:E114)</f>
        <v>4316.9506050876753</v>
      </c>
      <c r="F115" s="138">
        <f>+D115/D120</f>
        <v>2.1345026083322778</v>
      </c>
      <c r="G115" s="138">
        <f>+E115/E120</f>
        <v>2.1924292048844394</v>
      </c>
      <c r="H115" s="126"/>
      <c r="I115" s="126"/>
      <c r="J115" s="126"/>
    </row>
    <row r="116" spans="1:10">
      <c r="A116" s="126"/>
      <c r="B116" s="126"/>
      <c r="C116" s="139" t="s">
        <v>19</v>
      </c>
      <c r="D116" s="147">
        <f>Model!$BK$123</f>
        <v>3676.1210000000001</v>
      </c>
      <c r="E116" s="32">
        <f>+D116*J101</f>
        <v>907.90837243763883</v>
      </c>
      <c r="F116" s="140"/>
      <c r="G116" s="140"/>
      <c r="H116" s="126"/>
      <c r="I116" s="126"/>
      <c r="J116" s="126"/>
    </row>
    <row r="117" spans="1:10">
      <c r="A117" s="126"/>
      <c r="B117" s="126"/>
      <c r="C117" s="137" t="s">
        <v>20</v>
      </c>
      <c r="D117" s="143">
        <f>+D115-D116</f>
        <v>13803.212</v>
      </c>
      <c r="E117" s="144">
        <f>+E115-E116</f>
        <v>3409.0422326500366</v>
      </c>
      <c r="F117" s="138">
        <f>+D117/D120</f>
        <v>1.6855901776894688</v>
      </c>
      <c r="G117" s="138">
        <f>+E117/E120</f>
        <v>1.7313340909525183</v>
      </c>
      <c r="H117" s="126"/>
      <c r="I117" s="126"/>
      <c r="J117" s="126"/>
    </row>
    <row r="118" spans="1:10">
      <c r="A118" s="126"/>
      <c r="B118" s="126"/>
      <c r="C118" s="141" t="s">
        <v>21</v>
      </c>
      <c r="D118" s="148">
        <f>Model!$BK$131</f>
        <v>24607.75</v>
      </c>
      <c r="E118" s="32">
        <f>+D118*J101</f>
        <v>6077.4882687083227</v>
      </c>
      <c r="F118" s="142"/>
      <c r="G118" s="142"/>
      <c r="H118" s="126"/>
      <c r="I118" s="126"/>
      <c r="J118" s="126"/>
    </row>
    <row r="119" spans="1:10">
      <c r="A119" s="126"/>
      <c r="B119" s="126"/>
      <c r="C119" s="137" t="s">
        <v>22</v>
      </c>
      <c r="D119" s="143">
        <f>D115+D118</f>
        <v>42087.082999999999</v>
      </c>
      <c r="E119" s="144">
        <f>E115+E118</f>
        <v>10394.438873795998</v>
      </c>
      <c r="F119" s="138">
        <f>D119/D120</f>
        <v>5.1394975106085035</v>
      </c>
      <c r="G119" s="138">
        <f>E119/E120</f>
        <v>5.2789743131271321</v>
      </c>
      <c r="H119" s="126"/>
      <c r="I119" s="126"/>
      <c r="J119" s="126"/>
    </row>
    <row r="120" spans="1:10">
      <c r="A120" s="126"/>
      <c r="B120" s="126"/>
      <c r="C120" s="145" t="s">
        <v>23</v>
      </c>
      <c r="D120" s="149">
        <f>Model!$BK$90</f>
        <v>8188.9490000000005</v>
      </c>
      <c r="E120" s="150">
        <f>D120*J102</f>
        <v>1969.026226922213</v>
      </c>
      <c r="F120" s="146"/>
      <c r="G120" s="146"/>
      <c r="H120" s="126"/>
      <c r="I120" s="126"/>
      <c r="J120" s="126"/>
    </row>
    <row r="121" spans="1:10">
      <c r="A121" s="126"/>
      <c r="B121" s="126"/>
      <c r="C121" s="151" t="s">
        <v>24</v>
      </c>
      <c r="D121" s="152">
        <f>+D115-Model!$BK$116</f>
        <v>0</v>
      </c>
      <c r="E121" s="153"/>
      <c r="F121" s="126"/>
      <c r="G121" s="126"/>
      <c r="H121" s="126"/>
      <c r="I121" s="126"/>
      <c r="J121" s="126"/>
    </row>
    <row r="122" spans="1:10" ht="15.75" thickBot="1">
      <c r="F122" s="86"/>
    </row>
    <row r="123" spans="1:10">
      <c r="A123" s="126"/>
      <c r="B123" s="126"/>
      <c r="C123" s="338" t="s">
        <v>56</v>
      </c>
      <c r="D123" s="339" t="s">
        <v>55</v>
      </c>
      <c r="E123" s="339" t="s">
        <v>5</v>
      </c>
      <c r="F123" s="126"/>
      <c r="G123" s="126"/>
    </row>
    <row r="124" spans="1:10">
      <c r="A124" s="126"/>
      <c r="B124" s="126"/>
      <c r="C124" s="155" t="s">
        <v>47</v>
      </c>
      <c r="D124" s="156">
        <f>D116</f>
        <v>3676.1210000000001</v>
      </c>
      <c r="E124" s="156">
        <f>D124*J101</f>
        <v>907.90837243763883</v>
      </c>
      <c r="F124" s="126"/>
      <c r="G124" s="126"/>
    </row>
    <row r="125" spans="1:10" ht="15.75" thickBot="1">
      <c r="A125" s="126"/>
      <c r="B125" s="126"/>
      <c r="C125" s="384" t="s">
        <v>31</v>
      </c>
      <c r="D125" s="183">
        <f>SUM(D124:D124)</f>
        <v>3676.1210000000001</v>
      </c>
      <c r="E125" s="183">
        <f>SUM(E124:E124)</f>
        <v>907.90837243763883</v>
      </c>
      <c r="F125" s="126"/>
      <c r="G125" s="126"/>
    </row>
    <row r="126" spans="1:10" ht="15.75" thickBot="1">
      <c r="A126" s="126"/>
      <c r="B126" s="126"/>
      <c r="C126" s="126"/>
      <c r="D126" s="126"/>
      <c r="E126" s="126"/>
      <c r="F126" s="126"/>
      <c r="G126" s="126"/>
    </row>
    <row r="127" spans="1:10" ht="25.5">
      <c r="A127" s="126"/>
      <c r="B127" s="126"/>
      <c r="C127" s="340" t="s">
        <v>57</v>
      </c>
      <c r="D127" s="339" t="s">
        <v>55</v>
      </c>
      <c r="E127" s="339" t="s">
        <v>5</v>
      </c>
      <c r="F127" s="126"/>
      <c r="G127" s="126"/>
    </row>
    <row r="128" spans="1:10">
      <c r="A128" s="126"/>
      <c r="B128" s="126"/>
      <c r="C128" s="159" t="s">
        <v>33</v>
      </c>
      <c r="D128" s="160">
        <v>9461.7800000000007</v>
      </c>
      <c r="E128" s="156">
        <f>D128*J101</f>
        <v>2336.8189676463326</v>
      </c>
      <c r="F128" s="126"/>
      <c r="G128" s="126"/>
      <c r="H128" s="126"/>
    </row>
    <row r="129" spans="1:10">
      <c r="A129" s="126"/>
      <c r="B129" s="126"/>
      <c r="C129" s="159" t="s">
        <v>34</v>
      </c>
      <c r="D129" s="160">
        <v>1760.423</v>
      </c>
      <c r="E129" s="156">
        <f>D129*J101</f>
        <v>434.77969869103481</v>
      </c>
      <c r="F129" s="126"/>
      <c r="G129" s="126"/>
      <c r="H129" s="126"/>
    </row>
    <row r="130" spans="1:10">
      <c r="A130" s="126"/>
      <c r="B130" s="126"/>
      <c r="C130" s="159" t="s">
        <v>35</v>
      </c>
      <c r="D130" s="160">
        <v>228.33799999999999</v>
      </c>
      <c r="E130" s="156">
        <f>D130*J101</f>
        <v>56.393677451222516</v>
      </c>
      <c r="F130" s="126"/>
      <c r="G130" s="126"/>
      <c r="H130" s="126"/>
    </row>
    <row r="131" spans="1:10">
      <c r="A131" s="126"/>
      <c r="B131" s="126"/>
      <c r="C131" s="159" t="s">
        <v>36</v>
      </c>
      <c r="D131" s="160">
        <v>912.053</v>
      </c>
      <c r="E131" s="156">
        <f>D131*J101</f>
        <v>225.25388984934551</v>
      </c>
      <c r="F131" s="126"/>
      <c r="G131" s="126"/>
      <c r="H131" s="126"/>
    </row>
    <row r="132" spans="1:10">
      <c r="A132" s="126"/>
      <c r="B132" s="126"/>
      <c r="C132" s="159" t="s">
        <v>37</v>
      </c>
      <c r="D132" s="160">
        <v>1863.4860000000001</v>
      </c>
      <c r="E132" s="156">
        <f>D132*J101</f>
        <v>460.23363793529268</v>
      </c>
      <c r="F132" s="126"/>
      <c r="G132" s="126"/>
      <c r="H132" s="126"/>
      <c r="I132" s="126"/>
      <c r="J132" s="126"/>
    </row>
    <row r="133" spans="1:10" ht="15.75" thickBot="1">
      <c r="A133" s="126"/>
      <c r="B133" s="126"/>
      <c r="C133" s="159" t="s">
        <v>38</v>
      </c>
      <c r="D133" s="160">
        <v>1.4E-2</v>
      </c>
      <c r="E133" s="156">
        <f>D133*J101</f>
        <v>3.4576438626821434E-3</v>
      </c>
      <c r="F133" s="126"/>
      <c r="G133" s="126"/>
      <c r="H133" s="126"/>
      <c r="I133" s="126"/>
      <c r="J133" s="126"/>
    </row>
    <row r="134" spans="1:10" ht="15.75" thickBot="1">
      <c r="A134" s="126"/>
      <c r="B134" s="126"/>
      <c r="C134" s="161" t="s">
        <v>39</v>
      </c>
      <c r="D134" s="162">
        <f>SUM(D128:D133)</f>
        <v>14226.094000000001</v>
      </c>
      <c r="E134" s="163">
        <f>SUM(E128:E133)</f>
        <v>3513.4833292170906</v>
      </c>
      <c r="F134" s="126"/>
      <c r="G134" s="126"/>
      <c r="H134" s="126"/>
      <c r="I134" s="126"/>
      <c r="J134" s="126"/>
    </row>
    <row r="135" spans="1:10" ht="15.75" thickBot="1">
      <c r="A135" s="126"/>
      <c r="B135" s="126"/>
      <c r="C135" s="321"/>
      <c r="D135" s="322"/>
      <c r="E135" s="323"/>
      <c r="F135" s="126"/>
      <c r="G135" s="126"/>
      <c r="H135" s="126"/>
      <c r="I135" s="126"/>
      <c r="J135" s="126"/>
    </row>
    <row r="136" spans="1:10">
      <c r="A136" s="126"/>
      <c r="B136" s="126"/>
      <c r="C136" s="338" t="s">
        <v>58</v>
      </c>
      <c r="D136" s="341" t="s">
        <v>55</v>
      </c>
      <c r="E136" s="339" t="s">
        <v>5</v>
      </c>
      <c r="F136" s="126"/>
      <c r="G136" s="126"/>
      <c r="H136" s="126"/>
      <c r="I136" s="126"/>
      <c r="J136" s="126"/>
    </row>
    <row r="137" spans="1:10">
      <c r="A137" s="126"/>
      <c r="B137" s="126"/>
      <c r="C137" s="159">
        <v>2026</v>
      </c>
      <c r="D137" s="324">
        <v>2070.6999999999998</v>
      </c>
      <c r="E137" s="156">
        <f>D137*J101</f>
        <v>511.41022474685099</v>
      </c>
      <c r="F137" s="126"/>
      <c r="G137" s="126"/>
      <c r="H137" s="126"/>
      <c r="I137" s="126"/>
      <c r="J137" s="126"/>
    </row>
    <row r="138" spans="1:10">
      <c r="A138" s="126"/>
      <c r="B138" s="126"/>
      <c r="C138" s="159">
        <v>2027</v>
      </c>
      <c r="D138" s="324">
        <v>1635.88</v>
      </c>
      <c r="E138" s="156">
        <f>D138*J101</f>
        <v>404.0207458631761</v>
      </c>
      <c r="F138" s="126"/>
      <c r="G138" s="126"/>
      <c r="H138" s="126"/>
      <c r="I138" s="126"/>
      <c r="J138" s="126"/>
    </row>
    <row r="139" spans="1:10">
      <c r="A139" s="126"/>
      <c r="B139" s="126"/>
      <c r="C139" s="159">
        <v>2028</v>
      </c>
      <c r="D139" s="324">
        <v>32.799999999999997</v>
      </c>
      <c r="E139" s="156">
        <f>D139*J101</f>
        <v>8.1007656211410204</v>
      </c>
      <c r="F139" s="126"/>
      <c r="G139" s="126"/>
      <c r="H139" s="126"/>
      <c r="I139" s="126"/>
      <c r="J139" s="126"/>
    </row>
    <row r="140" spans="1:10">
      <c r="A140" s="126"/>
      <c r="B140" s="126"/>
      <c r="C140" s="159">
        <v>2029</v>
      </c>
      <c r="D140" s="324">
        <v>407.35</v>
      </c>
      <c r="E140" s="156">
        <f>D140*J101</f>
        <v>100.60508767596937</v>
      </c>
      <c r="F140" s="126"/>
      <c r="G140" s="126"/>
      <c r="H140" s="126"/>
      <c r="I140" s="126"/>
      <c r="J140" s="126"/>
    </row>
    <row r="141" spans="1:10">
      <c r="A141" s="126"/>
      <c r="B141" s="126"/>
      <c r="C141" s="159" t="s">
        <v>50</v>
      </c>
      <c r="D141" s="324">
        <f>14669.81-SUM(D137:D140)</f>
        <v>10523.079999999998</v>
      </c>
      <c r="E141" s="156">
        <f>D141*J101</f>
        <v>2598.9330698938002</v>
      </c>
      <c r="F141" s="126"/>
      <c r="G141" s="126"/>
      <c r="H141" s="126"/>
      <c r="I141" s="126"/>
      <c r="J141" s="126"/>
    </row>
    <row r="142" spans="1:10" ht="15.75" thickBot="1">
      <c r="A142" s="126"/>
      <c r="B142" s="126"/>
      <c r="C142" s="192" t="s">
        <v>31</v>
      </c>
      <c r="D142" s="207">
        <f>SUM(D137:D141)</f>
        <v>14669.809999999998</v>
      </c>
      <c r="E142" s="183">
        <f>SUM(E137:E141)</f>
        <v>3623.0698938009377</v>
      </c>
      <c r="F142" s="126"/>
      <c r="G142" s="126"/>
      <c r="H142" s="126"/>
      <c r="I142" s="126"/>
      <c r="J142" s="126"/>
    </row>
    <row r="143" spans="1:10">
      <c r="A143" s="126"/>
      <c r="B143" s="126"/>
      <c r="C143" s="321"/>
      <c r="D143" s="322"/>
      <c r="E143" s="323"/>
      <c r="F143" s="126"/>
      <c r="G143" s="126"/>
      <c r="H143" s="126"/>
      <c r="I143" s="126"/>
      <c r="J143" s="126"/>
    </row>
    <row r="144" spans="1:10">
      <c r="A144" s="126"/>
      <c r="B144" s="126"/>
      <c r="C144" s="321"/>
      <c r="D144" s="322"/>
      <c r="E144" s="323"/>
      <c r="F144" s="126"/>
      <c r="G144" s="126"/>
      <c r="H144" s="126"/>
      <c r="I144" s="126"/>
      <c r="J144" s="126"/>
    </row>
    <row r="145" spans="1:12">
      <c r="A145" s="127" t="s">
        <v>59</v>
      </c>
      <c r="B145" s="126"/>
      <c r="C145" s="126"/>
      <c r="D145" s="126"/>
      <c r="E145" s="126"/>
      <c r="F145" s="126"/>
      <c r="G145" s="126"/>
      <c r="H145" s="126"/>
      <c r="I145" s="127" t="s">
        <v>60</v>
      </c>
      <c r="J145" s="128">
        <f>Model!$R$216</f>
        <v>0.2469745616201531</v>
      </c>
    </row>
    <row r="146" spans="1:12">
      <c r="A146" s="127"/>
      <c r="B146" s="126"/>
      <c r="C146" s="126"/>
      <c r="D146" s="126"/>
      <c r="E146" s="126"/>
      <c r="F146" s="126"/>
      <c r="G146" s="126"/>
      <c r="H146" s="126"/>
      <c r="I146" s="127" t="s">
        <v>61</v>
      </c>
      <c r="J146" s="128">
        <f>Model!$R$215</f>
        <v>0.24044919890479388</v>
      </c>
    </row>
    <row r="147" spans="1:12" ht="15.75" thickBot="1">
      <c r="A147" s="127"/>
      <c r="B147" s="126"/>
      <c r="C147" s="126"/>
      <c r="D147" s="126"/>
      <c r="E147" s="126"/>
      <c r="F147" s="126"/>
      <c r="G147" s="126"/>
      <c r="H147" s="127"/>
      <c r="I147" s="127"/>
      <c r="J147" s="128"/>
    </row>
    <row r="148" spans="1:12" s="320" customFormat="1" ht="17.25" customHeight="1">
      <c r="A148" s="318"/>
      <c r="B148" s="318"/>
      <c r="C148" s="335" t="s">
        <v>62</v>
      </c>
      <c r="D148" s="336" t="s">
        <v>55</v>
      </c>
      <c r="E148" s="336" t="s">
        <v>5</v>
      </c>
      <c r="F148" s="337" t="s">
        <v>6</v>
      </c>
      <c r="G148" s="337" t="s">
        <v>7</v>
      </c>
      <c r="H148" s="318"/>
      <c r="I148" s="347" t="s">
        <v>8</v>
      </c>
      <c r="J148" s="348" t="str">
        <f>F148</f>
        <v>Leverage (RM)</v>
      </c>
      <c r="L148"/>
    </row>
    <row r="149" spans="1:12">
      <c r="A149" s="126"/>
      <c r="B149" s="126"/>
      <c r="C149" s="131"/>
      <c r="D149" s="132"/>
      <c r="E149" s="133"/>
      <c r="F149" s="134"/>
      <c r="G149" s="134"/>
      <c r="H149" s="126"/>
      <c r="I149" s="342" t="s">
        <v>9</v>
      </c>
      <c r="J149" s="343">
        <v>17710</v>
      </c>
    </row>
    <row r="150" spans="1:12">
      <c r="A150" s="126"/>
      <c r="B150" s="126"/>
      <c r="C150" s="131" t="s">
        <v>10</v>
      </c>
      <c r="D150" s="135"/>
      <c r="E150" s="136"/>
      <c r="F150" s="134"/>
      <c r="G150" s="134"/>
      <c r="H150" s="126"/>
      <c r="I150" s="344" t="s">
        <v>11</v>
      </c>
      <c r="J150" s="343">
        <v>4866</v>
      </c>
    </row>
    <row r="151" spans="1:12">
      <c r="A151" s="126"/>
      <c r="B151" s="126"/>
      <c r="C151" s="139" t="s">
        <v>12</v>
      </c>
      <c r="D151" s="185">
        <f>Model!$BJ$108</f>
        <v>2096.41</v>
      </c>
      <c r="E151" s="32">
        <f>+D151*$J$145</f>
        <v>517.75994072610513</v>
      </c>
      <c r="F151" s="142"/>
      <c r="G151" s="142"/>
      <c r="H151" s="126"/>
      <c r="I151" s="344" t="s">
        <v>44</v>
      </c>
      <c r="J151" s="345">
        <f>J149-J150</f>
        <v>12844</v>
      </c>
    </row>
    <row r="152" spans="1:12" ht="15.75" thickBot="1">
      <c r="A152" s="126"/>
      <c r="B152" s="126"/>
      <c r="C152" s="139" t="s">
        <v>15</v>
      </c>
      <c r="D152" s="185">
        <f>Model!$BJ$109</f>
        <v>5127.5870000000004</v>
      </c>
      <c r="E152" s="32">
        <f t="shared" ref="E152:E153" si="0">+D152*$J$145</f>
        <v>1266.3835514941961</v>
      </c>
      <c r="F152" s="142"/>
      <c r="G152" s="142"/>
      <c r="H152" s="126"/>
      <c r="I152" s="198" t="s">
        <v>13</v>
      </c>
      <c r="J152" s="346">
        <f>J151/D164</f>
        <v>1.35752311853204</v>
      </c>
    </row>
    <row r="153" spans="1:12">
      <c r="A153" s="126"/>
      <c r="B153" s="126"/>
      <c r="C153" s="139" t="s">
        <v>16</v>
      </c>
      <c r="D153" s="185">
        <f>Model!$BJ$110</f>
        <v>327.36900000000003</v>
      </c>
      <c r="E153" s="32">
        <f t="shared" si="0"/>
        <v>80.851815263027902</v>
      </c>
      <c r="F153" s="142"/>
      <c r="G153" s="142"/>
      <c r="H153" s="126"/>
      <c r="I153" s="126"/>
      <c r="J153" s="126"/>
    </row>
    <row r="154" spans="1:12">
      <c r="A154" s="126"/>
      <c r="B154" s="126"/>
      <c r="C154" s="131" t="s">
        <v>17</v>
      </c>
      <c r="D154" s="135"/>
      <c r="E154" s="32"/>
      <c r="F154" s="134"/>
      <c r="G154" s="134"/>
      <c r="H154" s="126"/>
      <c r="I154" s="126"/>
      <c r="J154" s="126"/>
    </row>
    <row r="155" spans="1:12">
      <c r="A155" s="126"/>
      <c r="B155" s="126"/>
      <c r="C155" s="139" t="s">
        <v>12</v>
      </c>
      <c r="D155" s="185">
        <f>Model!$BJ$113</f>
        <v>2303.6889999999999</v>
      </c>
      <c r="E155" s="32">
        <f t="shared" ref="E155:E157" si="1">+D155*$J$145</f>
        <v>568.95258088416881</v>
      </c>
      <c r="F155" s="142"/>
      <c r="G155" s="142"/>
      <c r="H155" s="126"/>
      <c r="I155" s="126"/>
      <c r="J155" s="126"/>
    </row>
    <row r="156" spans="1:12">
      <c r="A156" s="126"/>
      <c r="B156" s="126"/>
      <c r="C156" s="139" t="s">
        <v>15</v>
      </c>
      <c r="D156" s="185">
        <f>Model!$BJ$114</f>
        <v>8182.6859999999997</v>
      </c>
      <c r="E156" s="32">
        <f t="shared" si="1"/>
        <v>2020.9152877253641</v>
      </c>
      <c r="F156" s="142"/>
      <c r="G156" s="142"/>
      <c r="H156" s="126"/>
      <c r="I156" s="126"/>
      <c r="J156" s="126"/>
    </row>
    <row r="157" spans="1:12">
      <c r="A157" s="126"/>
      <c r="B157" s="126"/>
      <c r="C157" s="139" t="s">
        <v>16</v>
      </c>
      <c r="D157" s="185">
        <f>Model!$BJ$115</f>
        <v>1351.5619999999999</v>
      </c>
      <c r="E157" s="32">
        <f t="shared" si="1"/>
        <v>333.80143245245733</v>
      </c>
      <c r="F157" s="142"/>
      <c r="G157" s="142"/>
      <c r="H157" s="202"/>
      <c r="I157" s="126"/>
      <c r="J157" s="126"/>
    </row>
    <row r="158" spans="1:12">
      <c r="A158" s="126"/>
      <c r="B158" s="126"/>
      <c r="C158" s="139" t="s">
        <v>45</v>
      </c>
      <c r="D158" s="166">
        <v>0</v>
      </c>
      <c r="E158" s="32"/>
      <c r="F158" s="146"/>
      <c r="G158" s="146"/>
      <c r="H158" s="126"/>
      <c r="I158" s="126"/>
      <c r="J158" s="126"/>
    </row>
    <row r="159" spans="1:12">
      <c r="A159" s="126"/>
      <c r="B159" s="126"/>
      <c r="C159" s="137" t="s">
        <v>18</v>
      </c>
      <c r="D159" s="143">
        <f>SUM(D151:D158)</f>
        <v>19389.303</v>
      </c>
      <c r="E159" s="143">
        <f>SUM(E151:E158)</f>
        <v>4788.6646085453194</v>
      </c>
      <c r="F159" s="138">
        <f>+D159/D164</f>
        <v>2.0493169631518713</v>
      </c>
      <c r="G159" s="138">
        <f>+E159/E164</f>
        <v>2.1049317731167791</v>
      </c>
      <c r="H159" s="126"/>
      <c r="I159" s="126"/>
      <c r="J159" s="126"/>
    </row>
    <row r="160" spans="1:12">
      <c r="A160" s="126"/>
      <c r="B160" s="126"/>
      <c r="C160" s="139" t="s">
        <v>19</v>
      </c>
      <c r="D160" s="147">
        <f>Model!$BJ$123</f>
        <v>4866.0639999999994</v>
      </c>
      <c r="E160" s="32">
        <f>+D160*$J$145</f>
        <v>1201.7940232156086</v>
      </c>
      <c r="F160" s="140"/>
      <c r="G160" s="140"/>
      <c r="H160" s="126"/>
      <c r="I160" s="126"/>
      <c r="J160" s="126"/>
    </row>
    <row r="161" spans="1:10">
      <c r="A161" s="126"/>
      <c r="B161" s="126"/>
      <c r="C161" s="137" t="s">
        <v>20</v>
      </c>
      <c r="D161" s="143">
        <f>+D159-D160</f>
        <v>14523.239000000001</v>
      </c>
      <c r="E161" s="144">
        <f>+E159-E160</f>
        <v>3586.8705853297106</v>
      </c>
      <c r="F161" s="138">
        <f>+D161/D164</f>
        <v>1.5350072172583422</v>
      </c>
      <c r="G161" s="138">
        <f>+E161/E164</f>
        <v>1.5766645773532322</v>
      </c>
      <c r="H161" s="126"/>
      <c r="I161" s="126"/>
      <c r="J161" s="126"/>
    </row>
    <row r="162" spans="1:10">
      <c r="A162" s="126"/>
      <c r="B162" s="126"/>
      <c r="C162" s="141" t="s">
        <v>21</v>
      </c>
      <c r="D162" s="148">
        <f>Model!$BJ$131</f>
        <v>25306.507000000001</v>
      </c>
      <c r="E162" s="32">
        <f>+D162*$J$145</f>
        <v>6250.063472462336</v>
      </c>
      <c r="F162" s="142"/>
      <c r="G162" s="142"/>
      <c r="H162" s="126"/>
      <c r="I162" s="126"/>
      <c r="J162" s="126"/>
    </row>
    <row r="163" spans="1:10">
      <c r="A163" s="126"/>
      <c r="B163" s="126"/>
      <c r="C163" s="137" t="s">
        <v>22</v>
      </c>
      <c r="D163" s="143">
        <f>D159+D162</f>
        <v>44695.81</v>
      </c>
      <c r="E163" s="144">
        <f>E159+E162</f>
        <v>11038.728081007655</v>
      </c>
      <c r="F163" s="138">
        <f>D163/D164</f>
        <v>4.7240419944344074</v>
      </c>
      <c r="G163" s="138">
        <f>E163/E164</f>
        <v>4.8522440746936937</v>
      </c>
      <c r="H163" s="126"/>
      <c r="I163" s="126"/>
      <c r="J163" s="126"/>
    </row>
    <row r="164" spans="1:10">
      <c r="A164" s="126"/>
      <c r="B164" s="126"/>
      <c r="C164" s="145" t="s">
        <v>23</v>
      </c>
      <c r="D164" s="149">
        <f>Model!$BJ$90</f>
        <v>9461.349000000002</v>
      </c>
      <c r="E164" s="150">
        <f>D164*J146</f>
        <v>2274.9737876086733</v>
      </c>
      <c r="F164" s="146"/>
      <c r="G164" s="146"/>
      <c r="H164" s="126"/>
      <c r="I164" s="126"/>
      <c r="J164" s="126"/>
    </row>
    <row r="165" spans="1:10">
      <c r="A165" s="126"/>
      <c r="B165" s="126"/>
      <c r="C165" s="151" t="s">
        <v>24</v>
      </c>
      <c r="D165" s="152">
        <f>+D159-Model!$BJ$116</f>
        <v>0</v>
      </c>
      <c r="E165" s="153"/>
      <c r="F165" s="126"/>
      <c r="G165" s="126"/>
      <c r="H165" s="126"/>
      <c r="I165" s="126"/>
      <c r="J165" s="126"/>
    </row>
    <row r="166" spans="1:10" ht="15.75" thickBot="1">
      <c r="F166" s="86"/>
    </row>
    <row r="167" spans="1:10">
      <c r="A167" s="126"/>
      <c r="B167" s="126"/>
      <c r="C167" s="338" t="s">
        <v>63</v>
      </c>
      <c r="D167" s="339" t="s">
        <v>55</v>
      </c>
      <c r="E167" s="339" t="s">
        <v>5</v>
      </c>
      <c r="F167" s="126"/>
      <c r="G167" s="126"/>
    </row>
    <row r="168" spans="1:10">
      <c r="A168" s="126"/>
      <c r="B168" s="126"/>
      <c r="C168" s="155" t="s">
        <v>47</v>
      </c>
      <c r="D168" s="156">
        <f>D160</f>
        <v>4866.0639999999994</v>
      </c>
      <c r="E168" s="156">
        <f>D168*$J$145</f>
        <v>1201.7940232156086</v>
      </c>
      <c r="F168" s="126"/>
      <c r="G168" s="126"/>
    </row>
    <row r="169" spans="1:10" ht="15.75" thickBot="1">
      <c r="A169" s="126"/>
      <c r="B169" s="126"/>
      <c r="C169" s="157"/>
      <c r="D169" s="183">
        <f>SUM(D168:D168)</f>
        <v>4866.0639999999994</v>
      </c>
      <c r="E169" s="183">
        <f>SUM(E168:E168)</f>
        <v>1201.7940232156086</v>
      </c>
      <c r="F169" s="126"/>
      <c r="G169" s="126"/>
    </row>
    <row r="170" spans="1:10" ht="15.75" thickBot="1">
      <c r="A170" s="126"/>
      <c r="B170" s="126"/>
      <c r="C170" s="126"/>
      <c r="D170" s="126"/>
      <c r="E170" s="126"/>
      <c r="F170" s="126"/>
      <c r="G170" s="126"/>
    </row>
    <row r="171" spans="1:10" ht="25.5">
      <c r="A171" s="126"/>
      <c r="B171" s="126"/>
      <c r="C171" s="340" t="s">
        <v>64</v>
      </c>
      <c r="D171" s="339" t="s">
        <v>55</v>
      </c>
      <c r="E171" s="339" t="s">
        <v>5</v>
      </c>
      <c r="F171" s="126"/>
      <c r="G171" s="126"/>
    </row>
    <row r="172" spans="1:10">
      <c r="A172" s="126"/>
      <c r="B172" s="126"/>
      <c r="C172" s="159" t="s">
        <v>33</v>
      </c>
      <c r="D172" s="160">
        <v>12474.361000000001</v>
      </c>
      <c r="E172" s="156">
        <f>D172*$J$145</f>
        <v>3080.8498394665348</v>
      </c>
      <c r="F172" s="126"/>
      <c r="G172" s="126"/>
      <c r="H172" s="126"/>
    </row>
    <row r="173" spans="1:10">
      <c r="A173" s="126"/>
      <c r="B173" s="126"/>
      <c r="C173" s="159" t="s">
        <v>34</v>
      </c>
      <c r="D173" s="160">
        <v>5273.3869999999997</v>
      </c>
      <c r="E173" s="156">
        <f>D173*$J$145</f>
        <v>1302.3924425784141</v>
      </c>
      <c r="F173" s="126"/>
      <c r="G173" s="126"/>
      <c r="H173" s="126"/>
    </row>
    <row r="174" spans="1:10">
      <c r="A174" s="126"/>
      <c r="B174" s="126"/>
      <c r="C174" s="159" t="s">
        <v>35</v>
      </c>
      <c r="D174" s="160">
        <v>374.39699999999999</v>
      </c>
      <c r="E174" s="156">
        <f t="shared" ref="E174:E177" si="2">D174*$J$145</f>
        <v>92.466534946900467</v>
      </c>
      <c r="F174" s="126"/>
      <c r="G174" s="126"/>
      <c r="H174" s="126"/>
    </row>
    <row r="175" spans="1:10">
      <c r="A175" s="126"/>
      <c r="B175" s="126"/>
      <c r="C175" s="159" t="s">
        <v>36</v>
      </c>
      <c r="D175" s="160">
        <v>1081.9290000000001</v>
      </c>
      <c r="E175" s="156">
        <f t="shared" si="2"/>
        <v>267.20894047913066</v>
      </c>
      <c r="F175" s="126"/>
      <c r="G175" s="126"/>
      <c r="H175" s="126"/>
    </row>
    <row r="176" spans="1:10">
      <c r="A176" s="126"/>
      <c r="B176" s="126"/>
      <c r="C176" s="159" t="s">
        <v>37</v>
      </c>
      <c r="D176" s="160">
        <v>1987.51</v>
      </c>
      <c r="E176" s="156">
        <f t="shared" si="2"/>
        <v>490.86441096567052</v>
      </c>
      <c r="F176" s="126"/>
      <c r="G176" s="126"/>
      <c r="H176" s="126"/>
      <c r="I176" s="126"/>
      <c r="J176" s="126"/>
    </row>
    <row r="177" spans="1:10" ht="15.75" thickBot="1">
      <c r="A177" s="126"/>
      <c r="B177" s="126"/>
      <c r="C177" s="159" t="s">
        <v>38</v>
      </c>
      <c r="D177" s="160">
        <v>2.258</v>
      </c>
      <c r="E177" s="156">
        <f t="shared" si="2"/>
        <v>0.55766856013830568</v>
      </c>
      <c r="F177" s="126"/>
      <c r="G177" s="126"/>
      <c r="H177" s="126"/>
      <c r="I177" s="126"/>
      <c r="J177" s="126"/>
    </row>
    <row r="178" spans="1:10" ht="15.75" thickBot="1">
      <c r="A178" s="126"/>
      <c r="B178" s="126"/>
      <c r="C178" s="161" t="s">
        <v>39</v>
      </c>
      <c r="D178" s="162">
        <f>SUM(D172:D177)</f>
        <v>21193.842000000001</v>
      </c>
      <c r="E178" s="163">
        <f>SUM(E172:E177)</f>
        <v>5234.339836996789</v>
      </c>
      <c r="F178" s="126"/>
      <c r="G178" s="126"/>
      <c r="H178" s="126"/>
      <c r="I178" s="126"/>
      <c r="J178" s="126"/>
    </row>
    <row r="179" spans="1:10" ht="15.75" thickBot="1">
      <c r="A179" s="126"/>
      <c r="B179" s="126"/>
      <c r="C179" s="321"/>
      <c r="D179" s="322"/>
      <c r="E179" s="323"/>
      <c r="F179" s="126"/>
      <c r="G179" s="126"/>
      <c r="H179" s="126"/>
      <c r="I179" s="126"/>
      <c r="J179" s="126"/>
    </row>
    <row r="180" spans="1:10">
      <c r="A180" s="126"/>
      <c r="B180" s="126"/>
      <c r="C180" s="338" t="s">
        <v>65</v>
      </c>
      <c r="D180" s="341" t="s">
        <v>55</v>
      </c>
      <c r="E180" s="339" t="s">
        <v>5</v>
      </c>
      <c r="F180" s="126"/>
      <c r="G180" s="126"/>
      <c r="H180" s="126"/>
      <c r="I180" s="126"/>
      <c r="J180" s="126"/>
    </row>
    <row r="181" spans="1:10">
      <c r="A181" s="126"/>
      <c r="B181" s="126"/>
      <c r="C181" s="159">
        <v>2025</v>
      </c>
      <c r="D181" s="324">
        <v>873.16</v>
      </c>
      <c r="E181" s="156">
        <f>D181*$J$145</f>
        <v>215.64830822425287</v>
      </c>
      <c r="F181" s="126"/>
      <c r="G181" s="126"/>
      <c r="H181" s="126"/>
      <c r="I181" s="126"/>
      <c r="J181" s="126"/>
    </row>
    <row r="182" spans="1:10">
      <c r="A182" s="126"/>
      <c r="B182" s="126"/>
      <c r="C182" s="159">
        <v>2026</v>
      </c>
      <c r="D182" s="324">
        <v>2117.1799999999998</v>
      </c>
      <c r="E182" s="156">
        <f t="shared" ref="E182:E185" si="3">D182*$J$145</f>
        <v>522.88960237095569</v>
      </c>
      <c r="F182" s="126"/>
      <c r="G182" s="126"/>
      <c r="H182" s="126"/>
      <c r="I182" s="126"/>
      <c r="J182" s="126"/>
    </row>
    <row r="183" spans="1:10">
      <c r="A183" s="126"/>
      <c r="B183" s="126"/>
      <c r="C183" s="159">
        <v>2027</v>
      </c>
      <c r="D183" s="324">
        <v>1685.64</v>
      </c>
      <c r="E183" s="156">
        <f t="shared" si="3"/>
        <v>416.31020004939489</v>
      </c>
      <c r="F183" s="126"/>
      <c r="G183" s="126"/>
      <c r="H183" s="126"/>
      <c r="I183" s="126"/>
      <c r="J183" s="126"/>
    </row>
    <row r="184" spans="1:10">
      <c r="A184" s="126"/>
      <c r="B184" s="126"/>
      <c r="C184" s="159">
        <v>2028</v>
      </c>
      <c r="D184" s="324">
        <v>34.369999999999997</v>
      </c>
      <c r="E184" s="156">
        <f t="shared" si="3"/>
        <v>8.4885156828846622</v>
      </c>
      <c r="F184" s="126"/>
      <c r="G184" s="126"/>
      <c r="H184" s="126"/>
      <c r="I184" s="126"/>
      <c r="J184" s="126"/>
    </row>
    <row r="185" spans="1:10">
      <c r="A185" s="126"/>
      <c r="B185" s="126"/>
      <c r="C185" s="159" t="s">
        <v>66</v>
      </c>
      <c r="D185" s="324">
        <f>15939.18-SUM(D181:D184)</f>
        <v>11228.830000000002</v>
      </c>
      <c r="E185" s="156">
        <f t="shared" si="3"/>
        <v>2773.2353667572243</v>
      </c>
      <c r="F185" s="126"/>
      <c r="G185" s="126"/>
      <c r="H185" s="126"/>
      <c r="I185" s="126"/>
      <c r="J185" s="126"/>
    </row>
    <row r="186" spans="1:10" ht="15.75" thickBot="1">
      <c r="A186" s="126"/>
      <c r="B186" s="126"/>
      <c r="C186" s="192" t="s">
        <v>31</v>
      </c>
      <c r="D186" s="207">
        <f>SUM(D181:D185)</f>
        <v>15939.18</v>
      </c>
      <c r="E186" s="183">
        <f>SUM(E181:E185)</f>
        <v>3936.5719930847122</v>
      </c>
      <c r="F186" s="126"/>
      <c r="G186" s="126"/>
      <c r="H186" s="126"/>
      <c r="I186" s="126"/>
      <c r="J186" s="126"/>
    </row>
    <row r="187" spans="1:10">
      <c r="A187" s="126"/>
      <c r="B187" s="126"/>
      <c r="C187" s="321"/>
      <c r="D187" s="322"/>
      <c r="E187" s="323"/>
      <c r="F187" s="126"/>
      <c r="G187" s="126"/>
      <c r="H187" s="126"/>
      <c r="I187" s="126"/>
      <c r="J187" s="126"/>
    </row>
    <row r="188" spans="1:10">
      <c r="A188" s="126"/>
      <c r="B188" s="126"/>
      <c r="C188" s="321"/>
      <c r="D188" s="322"/>
      <c r="E188" s="323"/>
      <c r="F188" s="126"/>
      <c r="G188" s="126"/>
      <c r="H188" s="126"/>
      <c r="I188" s="126"/>
      <c r="J188" s="126"/>
    </row>
    <row r="189" spans="1:10" ht="12.75" customHeight="1"/>
    <row r="190" spans="1:10">
      <c r="A190" s="127" t="s">
        <v>67</v>
      </c>
      <c r="B190" s="126"/>
      <c r="C190" s="126"/>
      <c r="D190" s="126"/>
      <c r="E190" s="126"/>
      <c r="F190" s="126"/>
      <c r="G190" s="126"/>
      <c r="H190" s="126"/>
      <c r="I190" s="127" t="s">
        <v>68</v>
      </c>
      <c r="J190" s="128">
        <f>Model!$BI$216</f>
        <v>0.22539999999999999</v>
      </c>
    </row>
    <row r="191" spans="1:10">
      <c r="A191" s="127"/>
      <c r="B191" s="126"/>
      <c r="C191" s="126"/>
      <c r="D191" s="126"/>
      <c r="E191" s="126"/>
      <c r="F191" s="126"/>
      <c r="G191" s="126"/>
      <c r="H191" s="126"/>
      <c r="I191" s="127" t="s">
        <v>69</v>
      </c>
      <c r="J191" s="128">
        <f>Model!$R$215</f>
        <v>0.24044919890479388</v>
      </c>
    </row>
    <row r="192" spans="1:10" ht="15.75" thickBot="1">
      <c r="A192" s="127"/>
      <c r="B192" s="126"/>
      <c r="C192" s="126"/>
      <c r="D192" s="126"/>
      <c r="E192" s="126"/>
      <c r="F192" s="126"/>
      <c r="G192" s="126"/>
      <c r="H192" s="127"/>
      <c r="I192" s="127"/>
      <c r="J192" s="128"/>
    </row>
    <row r="193" spans="1:10" s="320" customFormat="1" ht="17.25" customHeight="1">
      <c r="A193" s="318"/>
      <c r="B193" s="318"/>
      <c r="C193" s="317" t="s">
        <v>70</v>
      </c>
      <c r="D193" s="317" t="s">
        <v>55</v>
      </c>
      <c r="E193" s="317" t="s">
        <v>5</v>
      </c>
      <c r="F193" s="319" t="s">
        <v>6</v>
      </c>
      <c r="G193" s="319" t="s">
        <v>7</v>
      </c>
      <c r="H193" s="318"/>
      <c r="I193" s="325" t="s">
        <v>8</v>
      </c>
      <c r="J193" s="326"/>
    </row>
    <row r="194" spans="1:10" ht="15.75" thickBot="1">
      <c r="A194" s="126"/>
      <c r="B194" s="126"/>
      <c r="C194" s="131"/>
      <c r="D194" s="132"/>
      <c r="E194" s="133"/>
      <c r="F194" s="134"/>
      <c r="G194" s="134"/>
      <c r="H194" s="126"/>
      <c r="I194" s="198" t="s">
        <v>71</v>
      </c>
      <c r="J194" s="201" t="s">
        <v>72</v>
      </c>
    </row>
    <row r="195" spans="1:10">
      <c r="A195" s="126"/>
      <c r="B195" s="126"/>
      <c r="C195" s="131" t="s">
        <v>10</v>
      </c>
      <c r="D195" s="135"/>
      <c r="E195" s="136"/>
      <c r="F195" s="134"/>
      <c r="G195" s="134"/>
      <c r="H195" s="126"/>
      <c r="I195" s="126"/>
      <c r="J195" s="126"/>
    </row>
    <row r="196" spans="1:10">
      <c r="A196" s="126"/>
      <c r="B196" s="126"/>
      <c r="C196" s="139" t="s">
        <v>12</v>
      </c>
      <c r="D196" s="185">
        <f>Model!$BI$108</f>
        <v>75.638999999999996</v>
      </c>
      <c r="E196" s="32">
        <f>+D196*$J$190</f>
        <v>17.049030599999998</v>
      </c>
      <c r="F196" s="142"/>
      <c r="G196" s="142"/>
      <c r="H196" s="126"/>
      <c r="I196" s="126"/>
      <c r="J196" s="126"/>
    </row>
    <row r="197" spans="1:10">
      <c r="A197" s="126"/>
      <c r="B197" s="126"/>
      <c r="C197" s="139" t="s">
        <v>15</v>
      </c>
      <c r="D197" s="185">
        <f>Model!$BI$109</f>
        <v>5001.6369999999997</v>
      </c>
      <c r="E197" s="32">
        <f t="shared" ref="E197:E198" si="4">+D197*$J$190</f>
        <v>1127.3689797999998</v>
      </c>
      <c r="F197" s="142"/>
      <c r="G197" s="142"/>
      <c r="H197" s="126"/>
      <c r="I197" s="126"/>
      <c r="J197" s="126"/>
    </row>
    <row r="198" spans="1:10">
      <c r="A198" s="126"/>
      <c r="B198" s="126"/>
      <c r="C198" s="139" t="s">
        <v>16</v>
      </c>
      <c r="D198" s="185">
        <f>Model!$BI$110</f>
        <v>2122.2330000000002</v>
      </c>
      <c r="E198" s="32">
        <f t="shared" si="4"/>
        <v>478.35131820000004</v>
      </c>
      <c r="F198" s="142"/>
      <c r="G198" s="142"/>
      <c r="H198" s="126"/>
      <c r="I198" s="126"/>
      <c r="J198" s="126"/>
    </row>
    <row r="199" spans="1:10">
      <c r="A199" s="126"/>
      <c r="B199" s="126"/>
      <c r="C199" s="131" t="s">
        <v>17</v>
      </c>
      <c r="D199" s="135"/>
      <c r="E199" s="32"/>
      <c r="F199" s="134"/>
      <c r="G199" s="134"/>
      <c r="H199" s="126"/>
      <c r="I199" s="126"/>
      <c r="J199" s="126"/>
    </row>
    <row r="200" spans="1:10">
      <c r="A200" s="126"/>
      <c r="B200" s="126"/>
      <c r="C200" s="139" t="s">
        <v>12</v>
      </c>
      <c r="D200" s="185">
        <f>Model!$BI$113</f>
        <v>4586.0309999999999</v>
      </c>
      <c r="E200" s="32">
        <f>+D200*$J$190</f>
        <v>1033.6913873999999</v>
      </c>
      <c r="F200" s="142"/>
      <c r="G200" s="142"/>
      <c r="H200" s="126"/>
      <c r="I200" s="126"/>
      <c r="J200" s="126"/>
    </row>
    <row r="201" spans="1:10">
      <c r="A201" s="126"/>
      <c r="B201" s="126"/>
      <c r="C201" s="139" t="s">
        <v>15</v>
      </c>
      <c r="D201" s="185">
        <f>Model!$BI$114</f>
        <v>13183.448</v>
      </c>
      <c r="E201" s="32">
        <f t="shared" ref="E201:E202" si="5">+D201*$J$190</f>
        <v>2971.5491791999998</v>
      </c>
      <c r="F201" s="142"/>
      <c r="G201" s="142"/>
      <c r="H201" s="126"/>
      <c r="I201" s="126"/>
      <c r="J201" s="126"/>
    </row>
    <row r="202" spans="1:10">
      <c r="A202" s="126"/>
      <c r="B202" s="126"/>
      <c r="C202" s="139" t="s">
        <v>16</v>
      </c>
      <c r="D202" s="185">
        <f>Model!$BI$115</f>
        <v>8091.3109999999997</v>
      </c>
      <c r="E202" s="32">
        <f t="shared" si="5"/>
        <v>1823.7814993999998</v>
      </c>
      <c r="F202" s="142"/>
      <c r="G202" s="142"/>
      <c r="H202" s="202"/>
      <c r="I202" s="126"/>
      <c r="J202" s="126"/>
    </row>
    <row r="203" spans="1:10">
      <c r="A203" s="126"/>
      <c r="B203" s="126"/>
      <c r="C203" s="139" t="s">
        <v>45</v>
      </c>
      <c r="D203" s="166">
        <v>0</v>
      </c>
      <c r="E203" s="32"/>
      <c r="F203" s="146"/>
      <c r="G203" s="146"/>
      <c r="H203" s="126"/>
      <c r="I203" s="202"/>
      <c r="J203" s="126"/>
    </row>
    <row r="204" spans="1:10">
      <c r="A204" s="126"/>
      <c r="B204" s="126"/>
      <c r="C204" s="137" t="s">
        <v>18</v>
      </c>
      <c r="D204" s="143">
        <f>SUM(D196:D203)</f>
        <v>33060.298999999999</v>
      </c>
      <c r="E204" s="143">
        <f>SUM(E196:E203)</f>
        <v>7451.791394599999</v>
      </c>
      <c r="F204" s="138">
        <f>+D204/D209</f>
        <v>3.0480021890837699</v>
      </c>
      <c r="G204" s="138">
        <f>+E204/E209</f>
        <v>2.8572342787946146</v>
      </c>
      <c r="H204" s="126"/>
      <c r="I204" s="202"/>
      <c r="J204" s="126"/>
    </row>
    <row r="205" spans="1:10">
      <c r="A205" s="126"/>
      <c r="B205" s="126"/>
      <c r="C205" s="139" t="s">
        <v>19</v>
      </c>
      <c r="D205" s="147">
        <f>Model!$BI$123</f>
        <v>4953.51</v>
      </c>
      <c r="E205" s="32">
        <f>+D205*$J$190</f>
        <v>1116.521154</v>
      </c>
      <c r="F205" s="140"/>
      <c r="G205" s="140"/>
      <c r="H205" s="126"/>
      <c r="I205" s="126"/>
      <c r="J205" s="126"/>
    </row>
    <row r="206" spans="1:10">
      <c r="A206" s="126"/>
      <c r="B206" s="126"/>
      <c r="C206" s="137" t="s">
        <v>20</v>
      </c>
      <c r="D206" s="143">
        <f>+D204-D205</f>
        <v>28106.788999999997</v>
      </c>
      <c r="E206" s="144">
        <f>+E204-E205</f>
        <v>6335.2702405999989</v>
      </c>
      <c r="F206" s="138">
        <f>+D206/D209</f>
        <v>2.5913121475433605</v>
      </c>
      <c r="G206" s="138">
        <f>+E206/E209</f>
        <v>2.4291274860414123</v>
      </c>
      <c r="H206" s="126"/>
      <c r="I206" s="126"/>
      <c r="J206" s="126"/>
    </row>
    <row r="207" spans="1:10">
      <c r="A207" s="126"/>
      <c r="B207" s="126"/>
      <c r="C207" s="141" t="s">
        <v>21</v>
      </c>
      <c r="D207" s="148">
        <f>Model!$BI$131</f>
        <v>26978.134999999998</v>
      </c>
      <c r="E207" s="32">
        <f>+D207*$J$190</f>
        <v>6080.8716289999993</v>
      </c>
      <c r="F207" s="142"/>
      <c r="G207" s="142"/>
      <c r="H207" s="126"/>
      <c r="I207" s="126"/>
      <c r="J207" s="126"/>
    </row>
    <row r="208" spans="1:10">
      <c r="A208" s="126"/>
      <c r="B208" s="126"/>
      <c r="C208" s="137" t="s">
        <v>22</v>
      </c>
      <c r="D208" s="143">
        <f>D204+D207</f>
        <v>60038.433999999994</v>
      </c>
      <c r="E208" s="144">
        <f>E204+E207</f>
        <v>13532.663023599998</v>
      </c>
      <c r="F208" s="138">
        <f>D208/D209</f>
        <v>5.5352578106193606</v>
      </c>
      <c r="G208" s="138">
        <f>E208/E209</f>
        <v>5.1888179132907446</v>
      </c>
      <c r="H208" s="126"/>
      <c r="I208" s="126"/>
      <c r="J208" s="126"/>
    </row>
    <row r="209" spans="1:10">
      <c r="A209" s="126"/>
      <c r="B209" s="126"/>
      <c r="C209" s="145" t="s">
        <v>23</v>
      </c>
      <c r="D209" s="149">
        <f>Model!$BI$90</f>
        <v>10846.547</v>
      </c>
      <c r="E209" s="150">
        <f>D209*J191</f>
        <v>2608.0435370331957</v>
      </c>
      <c r="F209" s="146"/>
      <c r="G209" s="146"/>
      <c r="H209" s="126"/>
      <c r="I209" s="126"/>
      <c r="J209" s="126"/>
    </row>
    <row r="210" spans="1:10">
      <c r="A210" s="126"/>
      <c r="B210" s="126"/>
      <c r="C210" s="126"/>
      <c r="D210" s="126"/>
      <c r="E210" s="126"/>
      <c r="F210" s="126"/>
      <c r="G210" s="126"/>
      <c r="H210" s="126"/>
      <c r="I210" s="126"/>
      <c r="J210" s="126"/>
    </row>
    <row r="211" spans="1:10">
      <c r="A211" s="126"/>
      <c r="B211" s="126"/>
      <c r="C211" s="151" t="s">
        <v>24</v>
      </c>
      <c r="D211" s="152">
        <f>+D204-Model!$BI$116</f>
        <v>0</v>
      </c>
      <c r="E211" s="153"/>
      <c r="F211" s="126"/>
      <c r="G211" s="126"/>
      <c r="H211" s="126"/>
      <c r="I211" s="126"/>
      <c r="J211" s="126"/>
    </row>
    <row r="212" spans="1:10" ht="15.75" thickBot="1">
      <c r="F212" s="86"/>
    </row>
    <row r="213" spans="1:10">
      <c r="A213" s="126"/>
      <c r="B213" s="126"/>
      <c r="C213" s="327" t="s">
        <v>73</v>
      </c>
      <c r="D213" s="328" t="s">
        <v>55</v>
      </c>
      <c r="E213" s="328" t="s">
        <v>5</v>
      </c>
      <c r="F213" s="126"/>
      <c r="G213" s="126"/>
    </row>
    <row r="214" spans="1:10">
      <c r="A214" s="126"/>
      <c r="B214" s="126"/>
      <c r="C214" s="155" t="s">
        <v>74</v>
      </c>
      <c r="D214" s="160">
        <v>0</v>
      </c>
      <c r="E214" s="156">
        <f>D214*$J$429</f>
        <v>0</v>
      </c>
      <c r="F214" s="126"/>
      <c r="G214" s="126"/>
    </row>
    <row r="215" spans="1:10">
      <c r="A215" s="126"/>
      <c r="B215" s="126"/>
      <c r="C215" s="155" t="s">
        <v>47</v>
      </c>
      <c r="D215" s="156">
        <f>D205</f>
        <v>4953.51</v>
      </c>
      <c r="E215" s="156">
        <f>D215*$J$190</f>
        <v>1116.521154</v>
      </c>
      <c r="F215" s="126"/>
      <c r="G215" s="126"/>
    </row>
    <row r="216" spans="1:10" ht="15.75" thickBot="1">
      <c r="A216" s="126"/>
      <c r="B216" s="126"/>
      <c r="C216" s="157"/>
      <c r="D216" s="183">
        <f>SUM(D214:D215)</f>
        <v>4953.51</v>
      </c>
      <c r="E216" s="183">
        <f>SUM(E214:E215)</f>
        <v>1116.521154</v>
      </c>
      <c r="F216" s="126"/>
      <c r="G216" s="126"/>
    </row>
    <row r="217" spans="1:10" ht="15.75" thickBot="1">
      <c r="A217" s="126"/>
      <c r="B217" s="126"/>
      <c r="C217" s="126"/>
      <c r="D217" s="126"/>
      <c r="E217" s="126"/>
      <c r="F217" s="126"/>
      <c r="G217" s="126"/>
    </row>
    <row r="218" spans="1:10">
      <c r="A218" s="126"/>
      <c r="B218" s="126"/>
      <c r="C218" s="327" t="s">
        <v>75</v>
      </c>
      <c r="D218" s="328" t="s">
        <v>55</v>
      </c>
      <c r="E218" s="328" t="s">
        <v>5</v>
      </c>
      <c r="F218" s="126"/>
      <c r="G218" s="126"/>
    </row>
    <row r="219" spans="1:10">
      <c r="A219" s="126"/>
      <c r="B219" s="126"/>
      <c r="C219" s="159" t="s">
        <v>33</v>
      </c>
      <c r="D219" s="160">
        <v>12474.361000000001</v>
      </c>
      <c r="E219" s="156">
        <f>D219*$J$190</f>
        <v>2811.7209693999998</v>
      </c>
      <c r="F219" s="126"/>
      <c r="G219" s="126"/>
      <c r="H219" s="126"/>
    </row>
    <row r="220" spans="1:10">
      <c r="A220" s="126"/>
      <c r="B220" s="126"/>
      <c r="C220" s="159" t="s">
        <v>34</v>
      </c>
      <c r="D220" s="160">
        <v>5273.3869999999997</v>
      </c>
      <c r="E220" s="156">
        <f>D220*$J$190</f>
        <v>1188.6214298</v>
      </c>
      <c r="F220" s="126"/>
      <c r="G220" s="126"/>
      <c r="H220" s="126"/>
    </row>
    <row r="221" spans="1:10">
      <c r="A221" s="126"/>
      <c r="B221" s="126"/>
      <c r="C221" s="159" t="s">
        <v>35</v>
      </c>
      <c r="D221" s="160">
        <v>374.39699999999999</v>
      </c>
      <c r="E221" s="156">
        <f t="shared" ref="E221:E224" si="6">D221*$J$190</f>
        <v>84.389083799999995</v>
      </c>
      <c r="F221" s="126"/>
      <c r="G221" s="126"/>
      <c r="H221" s="126"/>
    </row>
    <row r="222" spans="1:10">
      <c r="A222" s="126"/>
      <c r="B222" s="126"/>
      <c r="C222" s="159" t="s">
        <v>36</v>
      </c>
      <c r="D222" s="160">
        <v>1081.9290000000001</v>
      </c>
      <c r="E222" s="156">
        <f t="shared" si="6"/>
        <v>243.86679660000001</v>
      </c>
      <c r="F222" s="126"/>
      <c r="G222" s="126"/>
      <c r="H222" s="126"/>
    </row>
    <row r="223" spans="1:10">
      <c r="A223" s="126"/>
      <c r="B223" s="126"/>
      <c r="C223" s="159" t="s">
        <v>37</v>
      </c>
      <c r="D223" s="160">
        <v>1987.51</v>
      </c>
      <c r="E223" s="156">
        <f t="shared" si="6"/>
        <v>447.98475399999995</v>
      </c>
      <c r="F223" s="126"/>
      <c r="G223" s="126"/>
      <c r="H223" s="126"/>
      <c r="I223" s="126"/>
      <c r="J223" s="126"/>
    </row>
    <row r="224" spans="1:10" ht="15.75" thickBot="1">
      <c r="A224" s="126"/>
      <c r="B224" s="126"/>
      <c r="C224" s="159" t="s">
        <v>38</v>
      </c>
      <c r="D224" s="160">
        <v>2.258</v>
      </c>
      <c r="E224" s="156">
        <f t="shared" si="6"/>
        <v>0.50895319999999999</v>
      </c>
      <c r="F224" s="126"/>
      <c r="G224" s="126"/>
      <c r="H224" s="126"/>
      <c r="I224" s="126"/>
      <c r="J224" s="126"/>
    </row>
    <row r="225" spans="1:10" ht="15.75" thickBot="1">
      <c r="A225" s="126"/>
      <c r="B225" s="126"/>
      <c r="C225" s="161" t="s">
        <v>39</v>
      </c>
      <c r="D225" s="162">
        <f>SUM(D219:D224)</f>
        <v>21193.842000000001</v>
      </c>
      <c r="E225" s="163">
        <f>SUM(E219:E224)</f>
        <v>4777.0919868000001</v>
      </c>
      <c r="F225" s="126"/>
      <c r="G225" s="126"/>
      <c r="H225" s="126"/>
      <c r="I225" s="126"/>
      <c r="J225" s="126"/>
    </row>
    <row r="226" spans="1:10" ht="15.75" thickBot="1">
      <c r="A226" s="126"/>
      <c r="B226" s="126"/>
      <c r="C226" s="321"/>
      <c r="D226" s="322"/>
      <c r="E226" s="323"/>
      <c r="F226" s="126"/>
      <c r="G226" s="126"/>
      <c r="H226" s="126"/>
      <c r="I226" s="126"/>
      <c r="J226" s="126"/>
    </row>
    <row r="227" spans="1:10">
      <c r="A227" s="126"/>
      <c r="B227" s="126"/>
      <c r="C227" s="327" t="s">
        <v>76</v>
      </c>
      <c r="D227" s="329" t="s">
        <v>55</v>
      </c>
      <c r="E227" s="328" t="s">
        <v>5</v>
      </c>
      <c r="F227" s="126"/>
      <c r="G227" s="126"/>
      <c r="H227" s="126"/>
      <c r="I227" s="126"/>
      <c r="J227" s="126"/>
    </row>
    <row r="228" spans="1:10">
      <c r="A228" s="126"/>
      <c r="B228" s="126"/>
      <c r="C228" s="159">
        <v>2025</v>
      </c>
      <c r="D228" s="324">
        <v>2979.89</v>
      </c>
      <c r="E228" s="156">
        <f>D228*$J$190</f>
        <v>671.66720599999996</v>
      </c>
      <c r="F228" s="126"/>
      <c r="G228" s="126"/>
      <c r="H228" s="126"/>
      <c r="I228" s="126"/>
      <c r="J228" s="126"/>
    </row>
    <row r="229" spans="1:10">
      <c r="A229" s="126"/>
      <c r="B229" s="126"/>
      <c r="C229" s="159">
        <v>2026</v>
      </c>
      <c r="D229" s="324">
        <v>2113.6</v>
      </c>
      <c r="E229" s="156">
        <f t="shared" ref="E229:E232" si="7">D229*$J$190</f>
        <v>476.40543999999994</v>
      </c>
      <c r="F229" s="126"/>
      <c r="G229" s="126"/>
      <c r="H229" s="126"/>
      <c r="I229" s="126"/>
      <c r="J229" s="126"/>
    </row>
    <row r="230" spans="1:10">
      <c r="A230" s="126"/>
      <c r="B230" s="126"/>
      <c r="C230" s="159">
        <v>2027</v>
      </c>
      <c r="D230" s="324">
        <v>1680.3</v>
      </c>
      <c r="E230" s="156">
        <f t="shared" si="7"/>
        <v>378.73961999999995</v>
      </c>
      <c r="F230" s="126"/>
      <c r="G230" s="126"/>
      <c r="H230" s="126"/>
      <c r="I230" s="126"/>
      <c r="J230" s="126"/>
    </row>
    <row r="231" spans="1:10">
      <c r="A231" s="126"/>
      <c r="B231" s="126"/>
      <c r="C231" s="159">
        <v>2028</v>
      </c>
      <c r="D231" s="324">
        <v>34.25</v>
      </c>
      <c r="E231" s="156">
        <f t="shared" si="7"/>
        <v>7.7199499999999999</v>
      </c>
      <c r="F231" s="126"/>
      <c r="G231" s="126"/>
      <c r="H231" s="126"/>
      <c r="I231" s="126"/>
      <c r="J231" s="126"/>
    </row>
    <row r="232" spans="1:10">
      <c r="A232" s="126"/>
      <c r="B232" s="126"/>
      <c r="C232" s="159" t="s">
        <v>66</v>
      </c>
      <c r="D232" s="324">
        <f>D204-SUM(D228:D231)</f>
        <v>26252.258999999998</v>
      </c>
      <c r="E232" s="156">
        <f t="shared" si="7"/>
        <v>5917.2591785999994</v>
      </c>
      <c r="F232" s="126"/>
      <c r="G232" s="126"/>
      <c r="H232" s="126"/>
      <c r="I232" s="126"/>
      <c r="J232" s="126"/>
    </row>
    <row r="233" spans="1:10" ht="15.75" thickBot="1">
      <c r="A233" s="126"/>
      <c r="B233" s="126"/>
      <c r="C233" s="192" t="s">
        <v>31</v>
      </c>
      <c r="D233" s="207">
        <f>SUM(D228:D232)</f>
        <v>33060.298999999999</v>
      </c>
      <c r="E233" s="183">
        <f>SUM(E228:E232)</f>
        <v>7451.791394599999</v>
      </c>
      <c r="F233" s="126"/>
      <c r="G233" s="126"/>
      <c r="H233" s="126"/>
      <c r="I233" s="126"/>
      <c r="J233" s="126"/>
    </row>
    <row r="234" spans="1:10">
      <c r="A234" s="126"/>
      <c r="B234" s="126"/>
      <c r="C234" s="321"/>
      <c r="D234" s="322"/>
      <c r="E234" s="323"/>
      <c r="F234" s="126"/>
      <c r="G234" s="126"/>
      <c r="H234" s="126"/>
      <c r="I234" s="126"/>
      <c r="J234" s="126"/>
    </row>
    <row r="235" spans="1:10">
      <c r="A235" s="126"/>
      <c r="B235" s="126"/>
      <c r="C235" s="321"/>
      <c r="D235" s="322"/>
      <c r="E235" s="323"/>
      <c r="F235" s="126"/>
      <c r="G235" s="126"/>
      <c r="H235" s="126"/>
      <c r="I235" s="126"/>
      <c r="J235" s="126"/>
    </row>
    <row r="236" spans="1:10" ht="12.75" customHeight="1"/>
    <row r="237" spans="1:10">
      <c r="A237" s="127" t="s">
        <v>77</v>
      </c>
      <c r="B237" s="126"/>
      <c r="C237" s="126"/>
      <c r="D237" s="126"/>
      <c r="E237" s="126"/>
      <c r="F237" s="126"/>
      <c r="G237" s="126"/>
      <c r="H237" s="126"/>
      <c r="I237" s="127" t="s">
        <v>78</v>
      </c>
      <c r="J237" s="128">
        <f>Model!$BH$216</f>
        <v>0.2235</v>
      </c>
    </row>
    <row r="238" spans="1:10">
      <c r="A238" s="127"/>
      <c r="B238" s="126"/>
      <c r="C238" s="126"/>
      <c r="D238" s="126"/>
      <c r="E238" s="126"/>
      <c r="F238" s="126"/>
      <c r="G238" s="126"/>
      <c r="H238" s="126"/>
      <c r="I238" s="127" t="s">
        <v>79</v>
      </c>
      <c r="J238" s="128">
        <f>Model!R215</f>
        <v>0.24044919890479388</v>
      </c>
    </row>
    <row r="239" spans="1:10" ht="15.75" thickBot="1">
      <c r="A239" s="127"/>
      <c r="B239" s="126"/>
      <c r="C239" s="126"/>
      <c r="D239" s="126"/>
      <c r="E239" s="126"/>
      <c r="F239" s="126"/>
      <c r="G239" s="126"/>
      <c r="H239" s="127"/>
      <c r="I239" s="127"/>
      <c r="J239" s="128"/>
    </row>
    <row r="240" spans="1:10" ht="26.25">
      <c r="A240" s="126"/>
      <c r="B240" s="126"/>
      <c r="C240" s="129" t="s">
        <v>80</v>
      </c>
      <c r="D240" s="167" t="s">
        <v>55</v>
      </c>
      <c r="E240" s="167" t="s">
        <v>5</v>
      </c>
      <c r="F240" s="130" t="s">
        <v>6</v>
      </c>
      <c r="G240" s="130" t="s">
        <v>7</v>
      </c>
      <c r="H240" s="126"/>
      <c r="I240" s="199" t="s">
        <v>8</v>
      </c>
      <c r="J240" s="200"/>
    </row>
    <row r="241" spans="1:10" ht="15.75" thickBot="1">
      <c r="A241" s="126"/>
      <c r="B241" s="126"/>
      <c r="C241" s="131"/>
      <c r="D241" s="132"/>
      <c r="E241" s="133"/>
      <c r="F241" s="134"/>
      <c r="G241" s="134"/>
      <c r="H241" s="126"/>
      <c r="I241" s="198" t="s">
        <v>71</v>
      </c>
      <c r="J241" s="201" t="s">
        <v>81</v>
      </c>
    </row>
    <row r="242" spans="1:10">
      <c r="A242" s="126"/>
      <c r="B242" s="126"/>
      <c r="C242" s="131" t="s">
        <v>10</v>
      </c>
      <c r="D242" s="135"/>
      <c r="E242" s="136"/>
      <c r="F242" s="134"/>
      <c r="G242" s="134"/>
      <c r="H242" s="126"/>
      <c r="I242" s="126"/>
      <c r="J242" s="126"/>
    </row>
    <row r="243" spans="1:10">
      <c r="A243" s="126"/>
      <c r="B243" s="126"/>
      <c r="C243" s="139" t="s">
        <v>12</v>
      </c>
      <c r="D243" s="185">
        <f>Model!$BH$108</f>
        <v>115.036</v>
      </c>
      <c r="E243" s="32">
        <f>+D243*$J$237</f>
        <v>25.710546000000001</v>
      </c>
      <c r="F243" s="142"/>
      <c r="G243" s="142"/>
      <c r="H243" s="126"/>
      <c r="I243" s="126"/>
      <c r="J243" s="126"/>
    </row>
    <row r="244" spans="1:10">
      <c r="A244" s="126"/>
      <c r="B244" s="126"/>
      <c r="C244" s="139" t="s">
        <v>15</v>
      </c>
      <c r="D244" s="185">
        <f>Model!$BH$109</f>
        <v>4567.7070000000003</v>
      </c>
      <c r="E244" s="32">
        <f t="shared" ref="E244:E245" si="8">+D244*$J$237</f>
        <v>1020.8825145000001</v>
      </c>
      <c r="F244" s="142"/>
      <c r="G244" s="142"/>
      <c r="H244" s="126"/>
      <c r="I244" s="126"/>
      <c r="J244" s="126"/>
    </row>
    <row r="245" spans="1:10">
      <c r="A245" s="126"/>
      <c r="B245" s="126"/>
      <c r="C245" s="139" t="s">
        <v>16</v>
      </c>
      <c r="D245" s="185">
        <f>Model!$BH$110</f>
        <v>1833.17</v>
      </c>
      <c r="E245" s="32">
        <f t="shared" si="8"/>
        <v>409.71349500000002</v>
      </c>
      <c r="F245" s="142"/>
      <c r="G245" s="142"/>
      <c r="H245" s="126"/>
      <c r="I245" s="126"/>
      <c r="J245" s="126"/>
    </row>
    <row r="246" spans="1:10">
      <c r="A246" s="126"/>
      <c r="B246" s="126"/>
      <c r="C246" s="131" t="s">
        <v>17</v>
      </c>
      <c r="D246" s="135"/>
      <c r="E246" s="32"/>
      <c r="F246" s="134"/>
      <c r="G246" s="134"/>
      <c r="H246" s="126"/>
      <c r="I246" s="126"/>
      <c r="J246" s="126"/>
    </row>
    <row r="247" spans="1:10">
      <c r="A247" s="126"/>
      <c r="B247" s="126"/>
      <c r="C247" s="139" t="s">
        <v>12</v>
      </c>
      <c r="D247" s="185">
        <f>Model!$BH$113</f>
        <v>4600.9030000000002</v>
      </c>
      <c r="E247" s="32">
        <f t="shared" ref="E247:E249" si="9">+D247*$J$237</f>
        <v>1028.3018205000001</v>
      </c>
      <c r="F247" s="142"/>
      <c r="G247" s="142"/>
      <c r="H247" s="126"/>
      <c r="I247" s="126"/>
      <c r="J247" s="126"/>
    </row>
    <row r="248" spans="1:10">
      <c r="A248" s="126"/>
      <c r="B248" s="126"/>
      <c r="C248" s="139" t="s">
        <v>15</v>
      </c>
      <c r="D248" s="185">
        <f>Model!$BH$114</f>
        <v>13907.339</v>
      </c>
      <c r="E248" s="32">
        <f t="shared" si="9"/>
        <v>3108.2902665000001</v>
      </c>
      <c r="F248" s="142"/>
      <c r="G248" s="142"/>
      <c r="H248" s="126"/>
      <c r="I248" s="126"/>
      <c r="J248" s="126"/>
    </row>
    <row r="249" spans="1:10">
      <c r="A249" s="126"/>
      <c r="B249" s="126"/>
      <c r="C249" s="139" t="s">
        <v>16</v>
      </c>
      <c r="D249" s="185">
        <f>Model!$BH$115</f>
        <v>9201.8169999999991</v>
      </c>
      <c r="E249" s="32">
        <f t="shared" si="9"/>
        <v>2056.6060994999998</v>
      </c>
      <c r="F249" s="142"/>
      <c r="G249" s="142"/>
      <c r="H249" s="202"/>
      <c r="I249" s="126"/>
      <c r="J249" s="126"/>
    </row>
    <row r="250" spans="1:10">
      <c r="A250" s="126"/>
      <c r="B250" s="126"/>
      <c r="C250" s="139" t="s">
        <v>45</v>
      </c>
      <c r="D250" s="166">
        <v>0</v>
      </c>
      <c r="E250" s="32"/>
      <c r="F250" s="146"/>
      <c r="G250" s="146"/>
      <c r="H250" s="126"/>
      <c r="I250" s="126"/>
      <c r="J250" s="126"/>
    </row>
    <row r="251" spans="1:10">
      <c r="A251" s="126"/>
      <c r="B251" s="126"/>
      <c r="C251" s="137" t="s">
        <v>18</v>
      </c>
      <c r="D251" s="143">
        <f>SUM(D243:D250)</f>
        <v>34225.971999999994</v>
      </c>
      <c r="E251" s="143">
        <f>SUM(E243:E250)</f>
        <v>7649.5047420000001</v>
      </c>
      <c r="F251" s="138">
        <f>+D251/D256</f>
        <v>3.0753308413902154</v>
      </c>
      <c r="G251" s="138">
        <f>+E251/E256</f>
        <v>2.8585516033383205</v>
      </c>
      <c r="H251" s="126"/>
      <c r="I251" s="126"/>
      <c r="J251" s="126"/>
    </row>
    <row r="252" spans="1:10">
      <c r="A252" s="126"/>
      <c r="B252" s="126"/>
      <c r="C252" s="139" t="s">
        <v>19</v>
      </c>
      <c r="D252" s="147">
        <f>Model!$BH$123</f>
        <v>4860.4399999999996</v>
      </c>
      <c r="E252" s="32">
        <f>+D252*$J$274</f>
        <v>1029.927236</v>
      </c>
      <c r="F252" s="140"/>
      <c r="G252" s="140"/>
      <c r="H252" s="126"/>
      <c r="I252" s="126"/>
      <c r="J252" s="126"/>
    </row>
    <row r="253" spans="1:10">
      <c r="A253" s="126"/>
      <c r="B253" s="126"/>
      <c r="C253" s="137" t="s">
        <v>20</v>
      </c>
      <c r="D253" s="143">
        <f>+D251-D252</f>
        <v>29365.531999999996</v>
      </c>
      <c r="E253" s="144">
        <f>+E251-E252</f>
        <v>6619.5775059999996</v>
      </c>
      <c r="F253" s="138">
        <f>+D253/D256</f>
        <v>2.6386022355605063</v>
      </c>
      <c r="G253" s="138">
        <f>+E253/E256</f>
        <v>2.4736769936626284</v>
      </c>
      <c r="H253" s="126"/>
      <c r="I253" s="126"/>
      <c r="J253" s="126"/>
    </row>
    <row r="254" spans="1:10">
      <c r="A254" s="126"/>
      <c r="B254" s="126"/>
      <c r="C254" s="141" t="s">
        <v>21</v>
      </c>
      <c r="D254" s="148">
        <f>Model!$BH$131</f>
        <v>27576.713</v>
      </c>
      <c r="E254" s="32">
        <f>+D254*$J$274</f>
        <v>5843.5054847000001</v>
      </c>
      <c r="F254" s="142"/>
      <c r="G254" s="142"/>
      <c r="H254" s="126"/>
      <c r="I254" s="126"/>
      <c r="J254" s="126"/>
    </row>
    <row r="255" spans="1:10">
      <c r="A255" s="126"/>
      <c r="B255" s="126"/>
      <c r="C255" s="137" t="s">
        <v>22</v>
      </c>
      <c r="D255" s="143">
        <f>D251+D254</f>
        <v>61802.684999999998</v>
      </c>
      <c r="E255" s="144">
        <f>E251+E254</f>
        <v>13493.0102267</v>
      </c>
      <c r="F255" s="138">
        <f>D255/D256</f>
        <v>5.5532010387089805</v>
      </c>
      <c r="G255" s="138">
        <f>E255/E256</f>
        <v>5.0422174138438676</v>
      </c>
      <c r="H255" s="126"/>
      <c r="I255" s="126"/>
      <c r="J255" s="126"/>
    </row>
    <row r="256" spans="1:10">
      <c r="A256" s="126"/>
      <c r="B256" s="126"/>
      <c r="C256" s="145" t="s">
        <v>23</v>
      </c>
      <c r="D256" s="149">
        <f>Model!$BH$90</f>
        <v>11129.200000000003</v>
      </c>
      <c r="E256" s="150">
        <f>D256*J238</f>
        <v>2676.0072244512326</v>
      </c>
      <c r="F256" s="146"/>
      <c r="G256" s="146"/>
      <c r="H256" s="126"/>
      <c r="I256" s="126"/>
      <c r="J256" s="126"/>
    </row>
    <row r="257" spans="1:11">
      <c r="A257" s="126"/>
      <c r="B257" s="126"/>
      <c r="C257" s="126"/>
      <c r="D257" s="126"/>
      <c r="E257" s="126"/>
      <c r="F257" s="126"/>
      <c r="G257" s="126"/>
      <c r="H257" s="126"/>
      <c r="I257" s="126"/>
      <c r="J257" s="126"/>
    </row>
    <row r="258" spans="1:11">
      <c r="A258" s="126"/>
      <c r="B258" s="126"/>
      <c r="C258" s="151" t="s">
        <v>24</v>
      </c>
      <c r="D258" s="152">
        <f>+D251-Model!$BH$116</f>
        <v>0</v>
      </c>
      <c r="E258" s="153"/>
      <c r="F258" s="126"/>
      <c r="G258" s="126"/>
      <c r="H258" s="126"/>
      <c r="I258" s="126"/>
      <c r="J258" s="126"/>
    </row>
    <row r="259" spans="1:11" ht="15.75" thickBot="1">
      <c r="F259" s="86"/>
    </row>
    <row r="260" spans="1:11" ht="26.25">
      <c r="A260" s="126"/>
      <c r="B260" s="126"/>
      <c r="C260" s="154" t="s">
        <v>82</v>
      </c>
      <c r="D260" s="164" t="s">
        <v>55</v>
      </c>
      <c r="E260" s="164" t="s">
        <v>5</v>
      </c>
      <c r="F260" s="126"/>
      <c r="G260" s="126"/>
      <c r="H260" s="154" t="s">
        <v>83</v>
      </c>
      <c r="I260" s="206" t="s">
        <v>55</v>
      </c>
      <c r="J260" s="208" t="s">
        <v>5</v>
      </c>
      <c r="K260" s="203" t="s">
        <v>84</v>
      </c>
    </row>
    <row r="261" spans="1:11">
      <c r="A261" s="126"/>
      <c r="B261" s="126"/>
      <c r="C261" s="155" t="s">
        <v>74</v>
      </c>
      <c r="D261" s="160">
        <v>0</v>
      </c>
      <c r="E261" s="156">
        <f>D261*$J$429</f>
        <v>0</v>
      </c>
      <c r="F261" s="126"/>
      <c r="G261" s="126"/>
      <c r="H261" s="159" t="s">
        <v>85</v>
      </c>
      <c r="I261" s="211">
        <f>(D243+D244+D247+D248)/K265*K261</f>
        <v>9740.2137000000002</v>
      </c>
      <c r="J261" s="209">
        <f>I261*$J$274</f>
        <v>2063.95128303</v>
      </c>
      <c r="K261" s="204">
        <v>0.42</v>
      </c>
    </row>
    <row r="262" spans="1:11">
      <c r="A262" s="126"/>
      <c r="B262" s="126"/>
      <c r="C262" s="155" t="s">
        <v>47</v>
      </c>
      <c r="D262" s="156">
        <f>D252</f>
        <v>4860.4399999999996</v>
      </c>
      <c r="E262" s="156">
        <f>D262*$J$274</f>
        <v>1029.927236</v>
      </c>
      <c r="F262" s="126"/>
      <c r="G262" s="126"/>
      <c r="H262" s="159" t="s">
        <v>86</v>
      </c>
      <c r="I262" s="211">
        <f>(D243+D244+D247+D248)/K265*K262</f>
        <v>5565.8364000000001</v>
      </c>
      <c r="J262" s="209">
        <f>I262*$J$274</f>
        <v>1179.4007331600001</v>
      </c>
      <c r="K262" s="204">
        <v>0.24</v>
      </c>
    </row>
    <row r="263" spans="1:11" ht="15.75" thickBot="1">
      <c r="A263" s="126"/>
      <c r="B263" s="126"/>
      <c r="C263" s="157"/>
      <c r="D263" s="183">
        <f>SUM(D261:D262)</f>
        <v>4860.4399999999996</v>
      </c>
      <c r="E263" s="183">
        <f>SUM(E261:E262)</f>
        <v>1029.927236</v>
      </c>
      <c r="F263" s="126"/>
      <c r="G263" s="126"/>
      <c r="H263" s="159" t="s">
        <v>87</v>
      </c>
      <c r="I263" s="211">
        <f>(D243+D244+D247+D248)/K265*K263</f>
        <v>3710.5576000000001</v>
      </c>
      <c r="J263" s="209">
        <f>I263*$J$274</f>
        <v>786.26715544000001</v>
      </c>
      <c r="K263" s="204">
        <v>0.16</v>
      </c>
    </row>
    <row r="264" spans="1:11" ht="15.75" thickBot="1">
      <c r="A264" s="126"/>
      <c r="B264" s="126"/>
      <c r="C264" s="126"/>
      <c r="D264" s="126"/>
      <c r="E264" s="126"/>
      <c r="F264" s="126"/>
      <c r="G264" s="126"/>
      <c r="H264" s="159" t="s">
        <v>88</v>
      </c>
      <c r="I264" s="211">
        <f>(D243+D244+D247+D248)/K265*K264</f>
        <v>4174.3773000000001</v>
      </c>
      <c r="J264" s="209">
        <f>I264*$J$274</f>
        <v>884.55054987000005</v>
      </c>
      <c r="K264" s="204">
        <v>0.18</v>
      </c>
    </row>
    <row r="265" spans="1:11" ht="15.75" thickBot="1">
      <c r="A265" s="126"/>
      <c r="B265" s="126"/>
      <c r="C265" s="154" t="s">
        <v>89</v>
      </c>
      <c r="D265" s="164" t="s">
        <v>55</v>
      </c>
      <c r="E265" s="164" t="s">
        <v>5</v>
      </c>
      <c r="F265" s="126"/>
      <c r="G265" s="126"/>
      <c r="H265" s="192" t="s">
        <v>31</v>
      </c>
      <c r="I265" s="207">
        <f>SUM(I261:I264)</f>
        <v>23190.985000000001</v>
      </c>
      <c r="J265" s="292">
        <f>SUM(J261:J264)</f>
        <v>4914.1697215000004</v>
      </c>
      <c r="K265" s="205">
        <f>SUM(K261:K264)</f>
        <v>1</v>
      </c>
    </row>
    <row r="266" spans="1:11">
      <c r="A266" s="126"/>
      <c r="B266" s="126"/>
      <c r="C266" s="159" t="s">
        <v>33</v>
      </c>
      <c r="D266" s="160">
        <v>12677.37</v>
      </c>
      <c r="E266" s="156">
        <f>D266*$J$237</f>
        <v>2833.3921950000004</v>
      </c>
      <c r="F266" s="126"/>
      <c r="G266" s="126"/>
      <c r="H266" s="126"/>
      <c r="I266" s="126"/>
      <c r="J266" s="126"/>
    </row>
    <row r="267" spans="1:11">
      <c r="A267" s="126"/>
      <c r="B267" s="126"/>
      <c r="C267" s="159" t="s">
        <v>34</v>
      </c>
      <c r="D267" s="160">
        <v>5312.4520000000002</v>
      </c>
      <c r="E267" s="156">
        <f t="shared" ref="E267:E271" si="10">D267*$J$237</f>
        <v>1187.333022</v>
      </c>
      <c r="F267" s="126"/>
      <c r="G267" s="126"/>
      <c r="H267" s="126"/>
      <c r="I267" s="126"/>
      <c r="J267" s="126"/>
    </row>
    <row r="268" spans="1:11">
      <c r="A268" s="126"/>
      <c r="B268" s="126"/>
      <c r="C268" s="159" t="s">
        <v>35</v>
      </c>
      <c r="D268" s="160">
        <v>331.58300000000003</v>
      </c>
      <c r="E268" s="156">
        <f t="shared" si="10"/>
        <v>74.108800500000001</v>
      </c>
      <c r="F268" s="126"/>
      <c r="G268" s="126"/>
      <c r="H268" s="126"/>
      <c r="I268" s="126"/>
      <c r="J268" s="126"/>
    </row>
    <row r="269" spans="1:11">
      <c r="A269" s="126"/>
      <c r="B269" s="126"/>
      <c r="C269" s="159" t="s">
        <v>36</v>
      </c>
      <c r="D269" s="160">
        <v>1136.336</v>
      </c>
      <c r="E269" s="156">
        <f t="shared" si="10"/>
        <v>253.97109600000002</v>
      </c>
      <c r="F269" s="126"/>
      <c r="G269" s="126"/>
      <c r="H269" s="126"/>
      <c r="I269" s="126"/>
      <c r="J269" s="126"/>
    </row>
    <row r="270" spans="1:11">
      <c r="A270" s="126"/>
      <c r="B270" s="126"/>
      <c r="C270" s="159" t="s">
        <v>37</v>
      </c>
      <c r="D270" s="160">
        <v>1984.4459999999999</v>
      </c>
      <c r="E270" s="156">
        <f t="shared" si="10"/>
        <v>443.52368100000001</v>
      </c>
      <c r="F270" s="126"/>
      <c r="G270" s="126"/>
      <c r="H270" s="126"/>
      <c r="I270" s="126"/>
      <c r="J270" s="126"/>
    </row>
    <row r="271" spans="1:11" ht="15.75" thickBot="1">
      <c r="A271" s="126"/>
      <c r="B271" s="126"/>
      <c r="C271" s="159" t="s">
        <v>38</v>
      </c>
      <c r="D271" s="160">
        <v>43.48</v>
      </c>
      <c r="E271" s="156">
        <f t="shared" si="10"/>
        <v>9.7177799999999994</v>
      </c>
      <c r="F271" s="126"/>
      <c r="G271" s="126"/>
      <c r="H271" s="126"/>
      <c r="I271" s="126"/>
      <c r="J271" s="126"/>
    </row>
    <row r="272" spans="1:11" ht="15.75" thickBot="1">
      <c r="A272" s="126"/>
      <c r="B272" s="126"/>
      <c r="C272" s="161" t="s">
        <v>39</v>
      </c>
      <c r="D272" s="162">
        <f>SUM(D266:D271)</f>
        <v>21485.666999999998</v>
      </c>
      <c r="E272" s="163">
        <f>SUM(E266:E271)</f>
        <v>4802.0465745000001</v>
      </c>
      <c r="F272" s="126"/>
      <c r="G272" s="126"/>
      <c r="H272" s="126"/>
      <c r="I272" s="126"/>
      <c r="J272" s="126"/>
    </row>
    <row r="273" spans="1:10" ht="12.75" customHeight="1"/>
    <row r="274" spans="1:10">
      <c r="A274" s="127" t="s">
        <v>90</v>
      </c>
      <c r="B274" s="126"/>
      <c r="C274" s="126"/>
      <c r="D274" s="126"/>
      <c r="E274" s="126"/>
      <c r="F274" s="126"/>
      <c r="G274" s="126"/>
      <c r="H274" s="126"/>
      <c r="I274" s="127" t="s">
        <v>91</v>
      </c>
      <c r="J274" s="128">
        <f>Model!$BF$216</f>
        <v>0.21190000000000001</v>
      </c>
    </row>
    <row r="275" spans="1:10">
      <c r="A275" s="127"/>
      <c r="B275" s="126"/>
      <c r="C275" s="126"/>
      <c r="D275" s="126"/>
      <c r="E275" s="126"/>
      <c r="F275" s="126"/>
      <c r="G275" s="126"/>
      <c r="H275" s="126"/>
      <c r="I275" s="127" t="s">
        <v>92</v>
      </c>
      <c r="J275" s="128">
        <f>Model!$BF$215</f>
        <v>0.21129999999999999</v>
      </c>
    </row>
    <row r="276" spans="1:10" ht="15.75" thickBot="1">
      <c r="A276" s="127"/>
      <c r="B276" s="126"/>
      <c r="C276" s="126"/>
      <c r="D276" s="126"/>
      <c r="E276" s="126"/>
      <c r="F276" s="126"/>
      <c r="G276" s="126"/>
      <c r="H276" s="127"/>
      <c r="I276" s="127"/>
      <c r="J276" s="128"/>
    </row>
    <row r="277" spans="1:10" ht="26.25">
      <c r="A277" s="126"/>
      <c r="B277" s="126"/>
      <c r="C277" s="129" t="s">
        <v>93</v>
      </c>
      <c r="D277" s="167" t="s">
        <v>55</v>
      </c>
      <c r="E277" s="167" t="s">
        <v>5</v>
      </c>
      <c r="F277" s="130" t="s">
        <v>6</v>
      </c>
      <c r="G277" s="130" t="s">
        <v>7</v>
      </c>
      <c r="H277" s="126"/>
      <c r="I277" s="199" t="s">
        <v>8</v>
      </c>
      <c r="J277" s="200"/>
    </row>
    <row r="278" spans="1:10" ht="15.75" thickBot="1">
      <c r="A278" s="126"/>
      <c r="B278" s="126"/>
      <c r="C278" s="131"/>
      <c r="D278" s="132"/>
      <c r="E278" s="133"/>
      <c r="F278" s="134"/>
      <c r="G278" s="134"/>
      <c r="H278" s="126"/>
      <c r="I278" s="198" t="s">
        <v>71</v>
      </c>
      <c r="J278" s="201" t="s">
        <v>94</v>
      </c>
    </row>
    <row r="279" spans="1:10">
      <c r="A279" s="126"/>
      <c r="B279" s="126"/>
      <c r="C279" s="131" t="s">
        <v>10</v>
      </c>
      <c r="D279" s="135"/>
      <c r="E279" s="136"/>
      <c r="F279" s="134"/>
      <c r="G279" s="134"/>
      <c r="H279" s="126"/>
      <c r="I279" s="126"/>
      <c r="J279" s="126"/>
    </row>
    <row r="280" spans="1:10">
      <c r="A280" s="126"/>
      <c r="B280" s="126"/>
      <c r="C280" s="139" t="s">
        <v>12</v>
      </c>
      <c r="D280" s="185">
        <f>Model!$BF$108</f>
        <v>139.786</v>
      </c>
      <c r="E280" s="32">
        <f t="shared" ref="E280:E287" si="11">+D280*$J$274</f>
        <v>29.620653400000002</v>
      </c>
      <c r="F280" s="142"/>
      <c r="G280" s="142"/>
      <c r="H280" s="126"/>
      <c r="I280" s="126"/>
      <c r="J280" s="126"/>
    </row>
    <row r="281" spans="1:10">
      <c r="A281" s="126"/>
      <c r="B281" s="126"/>
      <c r="C281" s="139" t="s">
        <v>15</v>
      </c>
      <c r="D281" s="185">
        <f>Model!$BF$109</f>
        <v>3396.0239999999999</v>
      </c>
      <c r="E281" s="32">
        <f t="shared" si="11"/>
        <v>719.61748560000001</v>
      </c>
      <c r="F281" s="142"/>
      <c r="G281" s="142"/>
      <c r="H281" s="126"/>
      <c r="I281" s="126"/>
      <c r="J281" s="126"/>
    </row>
    <row r="282" spans="1:10">
      <c r="A282" s="126"/>
      <c r="B282" s="126"/>
      <c r="C282" s="139" t="s">
        <v>16</v>
      </c>
      <c r="D282" s="185">
        <f>Model!$BF$110</f>
        <v>2011.1890000000001</v>
      </c>
      <c r="E282" s="32">
        <f t="shared" si="11"/>
        <v>426.17094910000003</v>
      </c>
      <c r="F282" s="142"/>
      <c r="G282" s="142"/>
      <c r="H282" s="126"/>
      <c r="I282" s="126"/>
      <c r="J282" s="126"/>
    </row>
    <row r="283" spans="1:10">
      <c r="A283" s="126"/>
      <c r="B283" s="126"/>
      <c r="C283" s="131" t="s">
        <v>17</v>
      </c>
      <c r="D283" s="135"/>
      <c r="E283" s="32">
        <f t="shared" si="11"/>
        <v>0</v>
      </c>
      <c r="F283" s="134"/>
      <c r="G283" s="134"/>
      <c r="H283" s="126"/>
      <c r="I283" s="126"/>
      <c r="J283" s="126"/>
    </row>
    <row r="284" spans="1:10">
      <c r="A284" s="126"/>
      <c r="B284" s="126"/>
      <c r="C284" s="139" t="s">
        <v>12</v>
      </c>
      <c r="D284" s="185">
        <f>Model!$BF$113</f>
        <v>4872.7430000000004</v>
      </c>
      <c r="E284" s="32">
        <f t="shared" si="11"/>
        <v>1032.5342417000002</v>
      </c>
      <c r="F284" s="142"/>
      <c r="G284" s="142"/>
      <c r="H284" s="126"/>
      <c r="I284" s="126"/>
      <c r="J284" s="126"/>
    </row>
    <row r="285" spans="1:10">
      <c r="A285" s="126"/>
      <c r="B285" s="126"/>
      <c r="C285" s="139" t="s">
        <v>15</v>
      </c>
      <c r="D285" s="185">
        <f>Model!$BF$114</f>
        <v>17398.39</v>
      </c>
      <c r="E285" s="32">
        <f t="shared" si="11"/>
        <v>3686.7188409999999</v>
      </c>
      <c r="F285" s="142"/>
      <c r="G285" s="142"/>
      <c r="H285" s="126"/>
      <c r="I285" s="126"/>
      <c r="J285" s="126"/>
    </row>
    <row r="286" spans="1:10">
      <c r="A286" s="126"/>
      <c r="B286" s="126"/>
      <c r="C286" s="139" t="s">
        <v>16</v>
      </c>
      <c r="D286" s="185">
        <f>Model!$BF$115</f>
        <v>9420.6540000000005</v>
      </c>
      <c r="E286" s="32">
        <f t="shared" si="11"/>
        <v>1996.2365826000002</v>
      </c>
      <c r="F286" s="142"/>
      <c r="G286" s="142"/>
      <c r="H286" s="202"/>
      <c r="I286" s="126"/>
      <c r="J286" s="126"/>
    </row>
    <row r="287" spans="1:10">
      <c r="A287" s="126"/>
      <c r="B287" s="126"/>
      <c r="C287" s="139" t="s">
        <v>45</v>
      </c>
      <c r="D287" s="166">
        <v>0</v>
      </c>
      <c r="E287" s="32">
        <f t="shared" si="11"/>
        <v>0</v>
      </c>
      <c r="F287" s="146"/>
      <c r="G287" s="146"/>
      <c r="H287" s="126"/>
      <c r="I287" s="126"/>
      <c r="J287" s="126"/>
    </row>
    <row r="288" spans="1:10">
      <c r="A288" s="126"/>
      <c r="B288" s="126"/>
      <c r="C288" s="137" t="s">
        <v>18</v>
      </c>
      <c r="D288" s="143">
        <f>SUM(D280:D287)</f>
        <v>37238.786</v>
      </c>
      <c r="E288" s="143">
        <f>SUM(E280:E287)</f>
        <v>7890.8987534000007</v>
      </c>
      <c r="F288" s="138">
        <f>+D288/D293</f>
        <v>3.7070356833725966</v>
      </c>
      <c r="G288" s="138">
        <f>+E288/E293</f>
        <v>3.7175620506703901</v>
      </c>
      <c r="H288" s="126"/>
      <c r="I288" s="126"/>
      <c r="J288" s="126"/>
    </row>
    <row r="289" spans="1:11">
      <c r="A289" s="126"/>
      <c r="B289" s="126"/>
      <c r="C289" s="139" t="s">
        <v>19</v>
      </c>
      <c r="D289" s="147">
        <f>Model!$BF$123</f>
        <v>5177.3289999999997</v>
      </c>
      <c r="E289" s="32">
        <f>+D289*$J$274</f>
        <v>1097.0760150999999</v>
      </c>
      <c r="F289" s="140"/>
      <c r="G289" s="140"/>
      <c r="H289" s="126"/>
      <c r="I289" s="126"/>
      <c r="J289" s="126"/>
    </row>
    <row r="290" spans="1:11">
      <c r="A290" s="126"/>
      <c r="B290" s="126"/>
      <c r="C290" s="137" t="s">
        <v>20</v>
      </c>
      <c r="D290" s="143">
        <f>+D288-D289</f>
        <v>32061.457000000002</v>
      </c>
      <c r="E290" s="144">
        <f>+E288-E289</f>
        <v>6793.8227383000012</v>
      </c>
      <c r="F290" s="138">
        <f>+D290/D293</f>
        <v>3.1916444633806305</v>
      </c>
      <c r="G290" s="138">
        <f>+E290/E293</f>
        <v>3.2007073440149352</v>
      </c>
      <c r="H290" s="126"/>
      <c r="I290" s="126"/>
      <c r="J290" s="126"/>
    </row>
    <row r="291" spans="1:11">
      <c r="A291" s="126"/>
      <c r="B291" s="126"/>
      <c r="C291" s="141" t="s">
        <v>21</v>
      </c>
      <c r="D291" s="148">
        <f>Model!$BF$131</f>
        <v>27966.955000000002</v>
      </c>
      <c r="E291" s="32">
        <f>+D291*$J$274</f>
        <v>5926.1977645000006</v>
      </c>
      <c r="F291" s="142"/>
      <c r="G291" s="142"/>
      <c r="H291" s="126"/>
      <c r="I291" s="126"/>
      <c r="J291" s="126"/>
    </row>
    <row r="292" spans="1:11">
      <c r="A292" s="126"/>
      <c r="B292" s="126"/>
      <c r="C292" s="137" t="s">
        <v>22</v>
      </c>
      <c r="D292" s="143">
        <f>D288+D291</f>
        <v>65205.741000000002</v>
      </c>
      <c r="E292" s="144">
        <f>E288+E291</f>
        <v>13817.096517900001</v>
      </c>
      <c r="F292" s="138">
        <f>D292/D293</f>
        <v>6.4910818695258099</v>
      </c>
      <c r="G292" s="138">
        <f>E292/E293</f>
        <v>6.5095137158188328</v>
      </c>
      <c r="H292" s="126"/>
      <c r="I292" s="126"/>
      <c r="J292" s="126"/>
    </row>
    <row r="293" spans="1:11">
      <c r="A293" s="126"/>
      <c r="B293" s="126"/>
      <c r="C293" s="145" t="s">
        <v>23</v>
      </c>
      <c r="D293" s="149">
        <f>Model!$BF$90</f>
        <v>10045.434999999999</v>
      </c>
      <c r="E293" s="150">
        <f>D293*J275</f>
        <v>2122.6004154999996</v>
      </c>
      <c r="F293" s="146"/>
      <c r="G293" s="146"/>
      <c r="H293" s="126"/>
      <c r="I293" s="126"/>
      <c r="J293" s="126"/>
    </row>
    <row r="294" spans="1:11">
      <c r="A294" s="126"/>
      <c r="B294" s="126"/>
      <c r="C294" s="126"/>
      <c r="D294" s="126"/>
      <c r="E294" s="126"/>
      <c r="F294" s="126"/>
      <c r="G294" s="126"/>
      <c r="H294" s="126"/>
      <c r="I294" s="126"/>
      <c r="J294" s="126"/>
    </row>
    <row r="295" spans="1:11">
      <c r="A295" s="126"/>
      <c r="B295" s="126"/>
      <c r="C295" s="151" t="s">
        <v>24</v>
      </c>
      <c r="D295" s="152">
        <f>+D288-Model!$BF$116</f>
        <v>0</v>
      </c>
      <c r="E295" s="153"/>
      <c r="F295" s="126"/>
      <c r="G295" s="126"/>
      <c r="H295" s="126"/>
      <c r="I295" s="126"/>
      <c r="J295" s="126"/>
    </row>
    <row r="296" spans="1:11" ht="15.75" thickBot="1">
      <c r="F296" s="86"/>
    </row>
    <row r="297" spans="1:11" ht="26.25">
      <c r="A297" s="126"/>
      <c r="B297" s="126"/>
      <c r="C297" s="154" t="s">
        <v>95</v>
      </c>
      <c r="D297" s="164" t="s">
        <v>55</v>
      </c>
      <c r="E297" s="164" t="s">
        <v>5</v>
      </c>
      <c r="F297" s="126"/>
      <c r="G297" s="126"/>
      <c r="H297" s="154" t="s">
        <v>96</v>
      </c>
      <c r="I297" s="206" t="s">
        <v>55</v>
      </c>
      <c r="J297" s="208" t="s">
        <v>5</v>
      </c>
      <c r="K297" s="203" t="s">
        <v>84</v>
      </c>
    </row>
    <row r="298" spans="1:11">
      <c r="A298" s="126"/>
      <c r="B298" s="126"/>
      <c r="C298" s="155" t="s">
        <v>74</v>
      </c>
      <c r="D298" s="160">
        <v>0</v>
      </c>
      <c r="E298" s="156">
        <f>D298*$J$429</f>
        <v>0</v>
      </c>
      <c r="F298" s="126"/>
      <c r="G298" s="126"/>
      <c r="H298" s="159" t="s">
        <v>85</v>
      </c>
      <c r="I298" s="211">
        <f>(D280+D281+D284+D285)/K302*K298</f>
        <v>4903.3191699999998</v>
      </c>
      <c r="J298" s="209">
        <f>I298*$J$274</f>
        <v>1039.0133321230001</v>
      </c>
      <c r="K298" s="204">
        <v>0.19</v>
      </c>
    </row>
    <row r="299" spans="1:11">
      <c r="A299" s="126"/>
      <c r="B299" s="126"/>
      <c r="C299" s="155" t="s">
        <v>47</v>
      </c>
      <c r="D299" s="156">
        <f>D289</f>
        <v>5177.3289999999997</v>
      </c>
      <c r="E299" s="156">
        <f>D299*$J$274</f>
        <v>1097.0760150999999</v>
      </c>
      <c r="F299" s="126"/>
      <c r="G299" s="126"/>
      <c r="H299" s="159" t="s">
        <v>86</v>
      </c>
      <c r="I299" s="211">
        <f>(D280+D281+D284+D285)/K302*K299</f>
        <v>10064.707770000001</v>
      </c>
      <c r="J299" s="209">
        <f>I299*$J$274</f>
        <v>2132.7115764630003</v>
      </c>
      <c r="K299" s="204">
        <v>0.39</v>
      </c>
    </row>
    <row r="300" spans="1:11" ht="15.75" thickBot="1">
      <c r="A300" s="126"/>
      <c r="B300" s="126"/>
      <c r="C300" s="157"/>
      <c r="D300" s="183">
        <f>SUM(D298:D299)</f>
        <v>5177.3289999999997</v>
      </c>
      <c r="E300" s="183">
        <f>SUM(E298:E299)</f>
        <v>1097.0760150999999</v>
      </c>
      <c r="F300" s="126"/>
      <c r="G300" s="126"/>
      <c r="H300" s="159" t="s">
        <v>87</v>
      </c>
      <c r="I300" s="211">
        <f>(D280+D281+D284+D285)/K302*K300</f>
        <v>4903.3191699999998</v>
      </c>
      <c r="J300" s="209">
        <f>I300*$J$274</f>
        <v>1039.0133321230001</v>
      </c>
      <c r="K300" s="204">
        <v>0.19</v>
      </c>
    </row>
    <row r="301" spans="1:11" ht="15.75" thickBot="1">
      <c r="A301" s="126"/>
      <c r="B301" s="126"/>
      <c r="C301" s="126"/>
      <c r="D301" s="126"/>
      <c r="E301" s="126"/>
      <c r="F301" s="126"/>
      <c r="G301" s="126"/>
      <c r="H301" s="159" t="s">
        <v>88</v>
      </c>
      <c r="I301" s="211">
        <f>(D280+D281+D284+D285)/K302*K301</f>
        <v>5935.5968899999998</v>
      </c>
      <c r="J301" s="209">
        <f>I301*$J$274</f>
        <v>1257.752980991</v>
      </c>
      <c r="K301" s="204">
        <f>19%+4%</f>
        <v>0.23</v>
      </c>
    </row>
    <row r="302" spans="1:11" ht="15.75" thickBot="1">
      <c r="A302" s="126"/>
      <c r="B302" s="126"/>
      <c r="C302" s="154" t="s">
        <v>97</v>
      </c>
      <c r="D302" s="164" t="s">
        <v>55</v>
      </c>
      <c r="E302" s="164" t="s">
        <v>5</v>
      </c>
      <c r="F302" s="126"/>
      <c r="G302" s="126"/>
      <c r="H302" s="192" t="s">
        <v>31</v>
      </c>
      <c r="I302" s="207">
        <f>SUM(I298:I301)</f>
        <v>25806.942999999999</v>
      </c>
      <c r="J302" s="292">
        <f>SUM(J298:J301)</f>
        <v>5468.491221700001</v>
      </c>
      <c r="K302" s="205">
        <f>SUM(K298:K301)</f>
        <v>1</v>
      </c>
    </row>
    <row r="303" spans="1:11">
      <c r="A303" s="126"/>
      <c r="B303" s="126"/>
      <c r="C303" s="159" t="s">
        <v>33</v>
      </c>
      <c r="D303" s="160">
        <v>14537.123</v>
      </c>
      <c r="E303" s="156">
        <f t="shared" ref="E303:E308" si="12">D303*$J$274</f>
        <v>3080.4163637000001</v>
      </c>
      <c r="F303" s="126"/>
      <c r="G303" s="126"/>
      <c r="H303" s="126"/>
      <c r="I303" s="126"/>
      <c r="J303" s="126"/>
    </row>
    <row r="304" spans="1:11">
      <c r="A304" s="126"/>
      <c r="B304" s="126"/>
      <c r="C304" s="159" t="s">
        <v>34</v>
      </c>
      <c r="D304" s="160">
        <v>5431.1819999999998</v>
      </c>
      <c r="E304" s="156">
        <f t="shared" si="12"/>
        <v>1150.8674658</v>
      </c>
      <c r="F304" s="126"/>
      <c r="G304" s="126"/>
      <c r="H304" s="126"/>
      <c r="I304" s="126"/>
      <c r="J304" s="126"/>
    </row>
    <row r="305" spans="1:10">
      <c r="A305" s="126"/>
      <c r="B305" s="126"/>
      <c r="C305" s="159" t="s">
        <v>35</v>
      </c>
      <c r="D305" s="160">
        <v>607.971</v>
      </c>
      <c r="E305" s="156">
        <f t="shared" si="12"/>
        <v>128.82905490000002</v>
      </c>
      <c r="F305" s="126"/>
      <c r="G305" s="126"/>
      <c r="H305" s="126"/>
      <c r="I305" s="126"/>
      <c r="J305" s="126"/>
    </row>
    <row r="306" spans="1:10">
      <c r="A306" s="126"/>
      <c r="B306" s="126"/>
      <c r="C306" s="159" t="s">
        <v>36</v>
      </c>
      <c r="D306" s="160">
        <v>1386.723</v>
      </c>
      <c r="E306" s="156">
        <f t="shared" si="12"/>
        <v>293.8466037</v>
      </c>
      <c r="F306" s="126"/>
      <c r="G306" s="126"/>
      <c r="H306" s="126"/>
      <c r="I306" s="126"/>
      <c r="J306" s="126"/>
    </row>
    <row r="307" spans="1:10">
      <c r="A307" s="126"/>
      <c r="B307" s="126"/>
      <c r="C307" s="159" t="s">
        <v>37</v>
      </c>
      <c r="D307" s="160">
        <v>2073.5650000000001</v>
      </c>
      <c r="E307" s="156">
        <f t="shared" si="12"/>
        <v>439.38842350000004</v>
      </c>
      <c r="F307" s="126"/>
      <c r="G307" s="126"/>
      <c r="H307" s="126"/>
      <c r="I307" s="126"/>
      <c r="J307" s="126"/>
    </row>
    <row r="308" spans="1:10" ht="15.75" thickBot="1">
      <c r="A308" s="126"/>
      <c r="B308" s="126"/>
      <c r="C308" s="159" t="s">
        <v>38</v>
      </c>
      <c r="D308" s="160">
        <v>44.384999999999998</v>
      </c>
      <c r="E308" s="156">
        <f t="shared" si="12"/>
        <v>9.4051814999999994</v>
      </c>
      <c r="F308" s="126"/>
      <c r="G308" s="126"/>
      <c r="H308" s="126"/>
      <c r="I308" s="126"/>
      <c r="J308" s="126"/>
    </row>
    <row r="309" spans="1:10" ht="15.75" thickBot="1">
      <c r="A309" s="126"/>
      <c r="B309" s="126"/>
      <c r="C309" s="161" t="s">
        <v>39</v>
      </c>
      <c r="D309" s="162">
        <f>SUM(D303:D308)</f>
        <v>24080.949000000001</v>
      </c>
      <c r="E309" s="163">
        <f>SUM(E303:E308)</f>
        <v>5102.7530931000001</v>
      </c>
      <c r="F309" s="126"/>
      <c r="G309" s="126"/>
      <c r="H309" s="126"/>
      <c r="I309" s="126"/>
      <c r="J309" s="126"/>
    </row>
    <row r="310" spans="1:10" ht="12.75" customHeight="1"/>
    <row r="311" spans="1:10">
      <c r="C311" s="151"/>
      <c r="D311" s="152"/>
    </row>
    <row r="312" spans="1:10">
      <c r="A312" s="127" t="s">
        <v>98</v>
      </c>
      <c r="B312" s="126"/>
      <c r="C312" s="126"/>
      <c r="D312" s="126"/>
      <c r="E312" s="126"/>
      <c r="F312" s="126"/>
      <c r="G312" s="126"/>
      <c r="H312" s="126"/>
      <c r="I312" s="127" t="s">
        <v>99</v>
      </c>
      <c r="J312" s="128">
        <f>Model!$BE$216</f>
        <v>0.21160000000000001</v>
      </c>
    </row>
    <row r="313" spans="1:10">
      <c r="A313" s="127"/>
      <c r="B313" s="126"/>
      <c r="C313" s="126"/>
      <c r="D313" s="126"/>
      <c r="E313" s="126"/>
      <c r="F313" s="126"/>
      <c r="G313" s="126"/>
      <c r="H313" s="126"/>
      <c r="I313" s="127" t="s">
        <v>100</v>
      </c>
      <c r="J313" s="128">
        <f>Model!$BE$215</f>
        <v>0.2117</v>
      </c>
    </row>
    <row r="314" spans="1:10" ht="15.75" thickBot="1">
      <c r="A314" s="127"/>
      <c r="B314" s="126"/>
      <c r="C314" s="126"/>
      <c r="D314" s="126"/>
      <c r="E314" s="126"/>
      <c r="F314" s="126"/>
      <c r="G314" s="126"/>
      <c r="H314" s="127"/>
      <c r="I314" s="127"/>
      <c r="J314" s="128"/>
    </row>
    <row r="315" spans="1:10" ht="26.25">
      <c r="A315" s="126"/>
      <c r="B315" s="126"/>
      <c r="C315" s="129" t="s">
        <v>101</v>
      </c>
      <c r="D315" s="167" t="s">
        <v>55</v>
      </c>
      <c r="E315" s="167" t="s">
        <v>5</v>
      </c>
      <c r="F315" s="130" t="s">
        <v>6</v>
      </c>
      <c r="G315" s="130" t="s">
        <v>7</v>
      </c>
      <c r="H315" s="126"/>
      <c r="I315" s="199" t="s">
        <v>8</v>
      </c>
      <c r="J315" s="200"/>
    </row>
    <row r="316" spans="1:10" ht="15.75" thickBot="1">
      <c r="A316" s="126"/>
      <c r="B316" s="126"/>
      <c r="C316" s="131"/>
      <c r="D316" s="132"/>
      <c r="E316" s="133"/>
      <c r="F316" s="134"/>
      <c r="G316" s="134"/>
      <c r="H316" s="126"/>
      <c r="I316" s="198" t="s">
        <v>71</v>
      </c>
      <c r="J316" s="201" t="s">
        <v>102</v>
      </c>
    </row>
    <row r="317" spans="1:10">
      <c r="A317" s="126"/>
      <c r="B317" s="126"/>
      <c r="C317" s="131" t="s">
        <v>10</v>
      </c>
      <c r="D317" s="135"/>
      <c r="E317" s="136"/>
      <c r="F317" s="134"/>
      <c r="G317" s="134"/>
      <c r="H317" s="126"/>
      <c r="I317" s="126"/>
      <c r="J317" s="126"/>
    </row>
    <row r="318" spans="1:10">
      <c r="A318" s="126"/>
      <c r="B318" s="126"/>
      <c r="C318" s="139" t="s">
        <v>12</v>
      </c>
      <c r="D318" s="185">
        <f>Model!$BE$108</f>
        <v>181.09700000000001</v>
      </c>
      <c r="E318" s="32">
        <f>+D318*$J$312</f>
        <v>38.320125200000007</v>
      </c>
      <c r="F318" s="142"/>
      <c r="G318" s="142"/>
      <c r="H318" s="126"/>
      <c r="I318" s="126"/>
      <c r="J318" s="126"/>
    </row>
    <row r="319" spans="1:10">
      <c r="A319" s="126"/>
      <c r="B319" s="126"/>
      <c r="C319" s="139" t="s">
        <v>15</v>
      </c>
      <c r="D319" s="185">
        <f>Model!$BE$109</f>
        <v>3078.7759999999998</v>
      </c>
      <c r="E319" s="32">
        <f t="shared" ref="E319:E325" si="13">+D319*$J$312</f>
        <v>651.46900159999996</v>
      </c>
      <c r="F319" s="142"/>
      <c r="G319" s="142"/>
      <c r="H319" s="126"/>
      <c r="I319" s="126"/>
      <c r="J319" s="126"/>
    </row>
    <row r="320" spans="1:10">
      <c r="A320" s="126"/>
      <c r="B320" s="126"/>
      <c r="C320" s="139" t="s">
        <v>16</v>
      </c>
      <c r="D320" s="185">
        <f>Model!$BE$110</f>
        <v>2065.6550000000002</v>
      </c>
      <c r="E320" s="32">
        <f t="shared" si="13"/>
        <v>437.09259800000007</v>
      </c>
      <c r="F320" s="142"/>
      <c r="G320" s="142"/>
      <c r="H320" s="126"/>
      <c r="I320" s="126"/>
      <c r="J320" s="126"/>
    </row>
    <row r="321" spans="1:11">
      <c r="A321" s="126"/>
      <c r="B321" s="126"/>
      <c r="C321" s="131" t="s">
        <v>17</v>
      </c>
      <c r="D321" s="135"/>
      <c r="E321" s="32">
        <f t="shared" si="13"/>
        <v>0</v>
      </c>
      <c r="F321" s="134"/>
      <c r="G321" s="134"/>
      <c r="H321" s="126"/>
      <c r="I321" s="126"/>
      <c r="J321" s="126"/>
    </row>
    <row r="322" spans="1:11">
      <c r="A322" s="126"/>
      <c r="B322" s="126"/>
      <c r="C322" s="139" t="s">
        <v>12</v>
      </c>
      <c r="D322" s="185">
        <f>Model!$BE$113</f>
        <v>4518.1499999999996</v>
      </c>
      <c r="E322" s="32">
        <f t="shared" si="13"/>
        <v>956.04053999999996</v>
      </c>
      <c r="F322" s="142"/>
      <c r="G322" s="142"/>
      <c r="H322" s="126"/>
      <c r="I322" s="126"/>
      <c r="J322" s="126"/>
    </row>
    <row r="323" spans="1:11">
      <c r="A323" s="126"/>
      <c r="B323" s="126"/>
      <c r="C323" s="139" t="s">
        <v>15</v>
      </c>
      <c r="D323" s="185">
        <f>Model!$BE$114</f>
        <v>17751.304</v>
      </c>
      <c r="E323" s="32">
        <f t="shared" si="13"/>
        <v>3756.1759264000002</v>
      </c>
      <c r="F323" s="142"/>
      <c r="G323" s="142"/>
      <c r="H323" s="126"/>
      <c r="I323" s="126"/>
      <c r="J323" s="126"/>
    </row>
    <row r="324" spans="1:11">
      <c r="A324" s="126"/>
      <c r="B324" s="126"/>
      <c r="C324" s="139" t="s">
        <v>16</v>
      </c>
      <c r="D324" s="185">
        <f>Model!$BE$115</f>
        <v>9749.0889999999999</v>
      </c>
      <c r="E324" s="32">
        <f t="shared" si="13"/>
        <v>2062.9072323999999</v>
      </c>
      <c r="F324" s="142"/>
      <c r="G324" s="142"/>
      <c r="H324" s="202"/>
      <c r="I324" s="126"/>
      <c r="J324" s="126"/>
    </row>
    <row r="325" spans="1:11">
      <c r="A325" s="126"/>
      <c r="B325" s="126"/>
      <c r="C325" s="139" t="s">
        <v>45</v>
      </c>
      <c r="D325" s="166">
        <v>0</v>
      </c>
      <c r="E325" s="32">
        <f t="shared" si="13"/>
        <v>0</v>
      </c>
      <c r="F325" s="146"/>
      <c r="G325" s="146"/>
      <c r="H325" s="202"/>
      <c r="I325" s="126"/>
      <c r="J325" s="126"/>
    </row>
    <row r="326" spans="1:11">
      <c r="A326" s="126"/>
      <c r="B326" s="126"/>
      <c r="C326" s="137" t="s">
        <v>18</v>
      </c>
      <c r="D326" s="143">
        <f>SUM(D318:D325)</f>
        <v>37344.070999999996</v>
      </c>
      <c r="E326" s="143">
        <f>SUM(E318:E325)</f>
        <v>7902.0054236000005</v>
      </c>
      <c r="F326" s="138">
        <f>+D326/D331</f>
        <v>3.8406407596687413</v>
      </c>
      <c r="G326" s="138">
        <f>+E326/E331</f>
        <v>3.8388265694185439</v>
      </c>
      <c r="H326" s="202"/>
      <c r="I326" s="126"/>
      <c r="J326" s="126"/>
    </row>
    <row r="327" spans="1:11">
      <c r="A327" s="126"/>
      <c r="B327" s="126"/>
      <c r="C327" s="139" t="s">
        <v>19</v>
      </c>
      <c r="D327" s="147">
        <f>Model!$BE$123</f>
        <v>4409.4369999999999</v>
      </c>
      <c r="E327" s="32">
        <f>+D327*$J$312</f>
        <v>933.03686920000007</v>
      </c>
      <c r="F327" s="140"/>
      <c r="G327" s="140"/>
      <c r="H327" s="126"/>
      <c r="I327" s="126"/>
      <c r="J327" s="126"/>
    </row>
    <row r="328" spans="1:11">
      <c r="A328" s="126"/>
      <c r="B328" s="126"/>
      <c r="C328" s="137" t="s">
        <v>20</v>
      </c>
      <c r="D328" s="143">
        <f>+D326-D327</f>
        <v>32934.633999999998</v>
      </c>
      <c r="E328" s="144">
        <f>+E326-E327</f>
        <v>6968.9685544000004</v>
      </c>
      <c r="F328" s="138">
        <f>+D328/D331</f>
        <v>3.3871534184147185</v>
      </c>
      <c r="G328" s="138">
        <f>+E328/E331</f>
        <v>3.3855534404183016</v>
      </c>
      <c r="H328" s="126"/>
      <c r="I328" s="126"/>
      <c r="J328" s="126"/>
    </row>
    <row r="329" spans="1:11">
      <c r="A329" s="126"/>
      <c r="B329" s="126"/>
      <c r="C329" s="141" t="s">
        <v>21</v>
      </c>
      <c r="D329" s="148">
        <f>Model!$BE$131</f>
        <v>28288.59</v>
      </c>
      <c r="E329" s="32">
        <f>+D329*$J$312</f>
        <v>5985.8656440000004</v>
      </c>
      <c r="F329" s="142"/>
      <c r="G329" s="142"/>
      <c r="H329" s="126"/>
      <c r="I329" s="126"/>
      <c r="J329" s="126"/>
    </row>
    <row r="330" spans="1:11">
      <c r="A330" s="126"/>
      <c r="B330" s="126"/>
      <c r="C330" s="137" t="s">
        <v>22</v>
      </c>
      <c r="D330" s="143">
        <f>D326+D329</f>
        <v>65632.660999999993</v>
      </c>
      <c r="E330" s="144">
        <f>E326+E329</f>
        <v>13887.871067600001</v>
      </c>
      <c r="F330" s="138">
        <f>D330/D331</f>
        <v>6.7499730546817185</v>
      </c>
      <c r="G330" s="138">
        <f>E330/E331</f>
        <v>6.7467845931537633</v>
      </c>
      <c r="H330" s="126"/>
      <c r="I330" s="126"/>
      <c r="J330" s="126"/>
    </row>
    <row r="331" spans="1:11">
      <c r="A331" s="126"/>
      <c r="B331" s="126"/>
      <c r="C331" s="145" t="s">
        <v>23</v>
      </c>
      <c r="D331" s="149">
        <f>Model!$BE$90</f>
        <v>9723.3959999999988</v>
      </c>
      <c r="E331" s="150">
        <f>D331*J313</f>
        <v>2058.4429332</v>
      </c>
      <c r="F331" s="146"/>
      <c r="G331" s="146"/>
      <c r="H331" s="126"/>
      <c r="I331" s="126"/>
      <c r="J331" s="126"/>
    </row>
    <row r="332" spans="1:11">
      <c r="A332" s="126"/>
      <c r="B332" s="126"/>
      <c r="C332" s="126"/>
      <c r="D332" s="126"/>
      <c r="E332" s="126"/>
      <c r="F332" s="126"/>
      <c r="G332" s="126"/>
      <c r="H332" s="126"/>
      <c r="I332" s="126"/>
      <c r="J332" s="126"/>
    </row>
    <row r="333" spans="1:11">
      <c r="A333" s="126"/>
      <c r="B333" s="126"/>
      <c r="C333" s="151" t="s">
        <v>24</v>
      </c>
      <c r="D333" s="152">
        <f>+D326-Model!$BE$116</f>
        <v>0</v>
      </c>
      <c r="E333" s="153"/>
      <c r="F333" s="126"/>
      <c r="G333" s="126"/>
      <c r="H333" s="126"/>
      <c r="I333" s="126"/>
      <c r="J333" s="126"/>
    </row>
    <row r="334" spans="1:11" ht="15.75" thickBot="1">
      <c r="F334" s="86"/>
    </row>
    <row r="335" spans="1:11" ht="26.25">
      <c r="A335" s="126"/>
      <c r="B335" s="126"/>
      <c r="C335" s="154" t="s">
        <v>103</v>
      </c>
      <c r="D335" s="164" t="s">
        <v>55</v>
      </c>
      <c r="E335" s="164" t="s">
        <v>5</v>
      </c>
      <c r="F335" s="126"/>
      <c r="G335" s="126"/>
      <c r="H335" s="154" t="s">
        <v>104</v>
      </c>
      <c r="I335" s="206" t="s">
        <v>55</v>
      </c>
      <c r="J335" s="208" t="s">
        <v>5</v>
      </c>
      <c r="K335" s="203" t="s">
        <v>84</v>
      </c>
    </row>
    <row r="336" spans="1:11">
      <c r="A336" s="126"/>
      <c r="B336" s="126"/>
      <c r="C336" s="155" t="s">
        <v>74</v>
      </c>
      <c r="D336" s="160">
        <v>0</v>
      </c>
      <c r="E336" s="156">
        <f>D336*$J$386</f>
        <v>0</v>
      </c>
      <c r="F336" s="126"/>
      <c r="G336" s="126"/>
      <c r="H336" s="159" t="s">
        <v>85</v>
      </c>
      <c r="I336" s="211">
        <f>(D318+D319+D322+D323)/K340*K336</f>
        <v>5105.8653999999997</v>
      </c>
      <c r="J336" s="209">
        <f>I336*$J$312</f>
        <v>1080.40111864</v>
      </c>
      <c r="K336" s="204">
        <v>0.2</v>
      </c>
    </row>
    <row r="337" spans="1:11">
      <c r="A337" s="126"/>
      <c r="B337" s="126"/>
      <c r="C337" s="155" t="s">
        <v>47</v>
      </c>
      <c r="D337" s="156">
        <f>D327</f>
        <v>4409.4369999999999</v>
      </c>
      <c r="E337" s="156">
        <f>D337*$J$312</f>
        <v>933.03686920000007</v>
      </c>
      <c r="F337" s="126"/>
      <c r="G337" s="126"/>
      <c r="H337" s="159" t="s">
        <v>86</v>
      </c>
      <c r="I337" s="211">
        <f>(D318+D319+D322+D323)/K340*K337</f>
        <v>9445.850989999999</v>
      </c>
      <c r="J337" s="209">
        <f t="shared" ref="J337:J339" si="14">I337*$J$312</f>
        <v>1998.7420694839998</v>
      </c>
      <c r="K337" s="204">
        <v>0.37</v>
      </c>
    </row>
    <row r="338" spans="1:11" ht="15.75" thickBot="1">
      <c r="A338" s="126"/>
      <c r="B338" s="126"/>
      <c r="C338" s="157"/>
      <c r="D338" s="183">
        <f>SUM(D336:D337)</f>
        <v>4409.4369999999999</v>
      </c>
      <c r="E338" s="183">
        <f>SUM(E336:E337)</f>
        <v>933.03686920000007</v>
      </c>
      <c r="F338" s="126"/>
      <c r="G338" s="126"/>
      <c r="H338" s="159" t="s">
        <v>87</v>
      </c>
      <c r="I338" s="211">
        <f>(D318+D319+D322+D323)/K340*K338</f>
        <v>4850.5721299999996</v>
      </c>
      <c r="J338" s="209">
        <f t="shared" si="14"/>
        <v>1026.3810627079999</v>
      </c>
      <c r="K338" s="204">
        <v>0.19</v>
      </c>
    </row>
    <row r="339" spans="1:11" ht="15.75" thickBot="1">
      <c r="A339" s="126"/>
      <c r="B339" s="126"/>
      <c r="C339" s="126"/>
      <c r="D339" s="126"/>
      <c r="E339" s="126"/>
      <c r="F339" s="126"/>
      <c r="G339" s="126"/>
      <c r="H339" s="159" t="s">
        <v>88</v>
      </c>
      <c r="I339" s="211">
        <f>(D318+D319+D322+D323)/K340*K339</f>
        <v>6127.0384799999993</v>
      </c>
      <c r="J339" s="209">
        <f t="shared" si="14"/>
        <v>1296.481342368</v>
      </c>
      <c r="K339" s="204">
        <v>0.24</v>
      </c>
    </row>
    <row r="340" spans="1:11" ht="15.75" thickBot="1">
      <c r="A340" s="126"/>
      <c r="B340" s="126"/>
      <c r="C340" s="154" t="s">
        <v>105</v>
      </c>
      <c r="D340" s="164" t="s">
        <v>55</v>
      </c>
      <c r="E340" s="164" t="s">
        <v>5</v>
      </c>
      <c r="F340" s="126"/>
      <c r="G340" s="126"/>
      <c r="H340" s="192" t="s">
        <v>31</v>
      </c>
      <c r="I340" s="207">
        <f>SUM(I336:I339)</f>
        <v>25529.326999999997</v>
      </c>
      <c r="J340" s="292">
        <f>SUM(J336:J339)</f>
        <v>5402.0055931999996</v>
      </c>
      <c r="K340" s="205">
        <f>SUM(K336:K339)</f>
        <v>1</v>
      </c>
    </row>
    <row r="341" spans="1:11">
      <c r="A341" s="126"/>
      <c r="B341" s="126"/>
      <c r="C341" s="159" t="s">
        <v>33</v>
      </c>
      <c r="D341" s="160">
        <v>14502.835999999999</v>
      </c>
      <c r="E341" s="156">
        <f>D341*$J$312</f>
        <v>3068.8000975999998</v>
      </c>
      <c r="F341" s="126"/>
      <c r="G341" s="126"/>
      <c r="H341" s="126"/>
      <c r="I341" s="126"/>
      <c r="J341" s="126"/>
    </row>
    <row r="342" spans="1:11">
      <c r="A342" s="126"/>
      <c r="B342" s="126"/>
      <c r="C342" s="159" t="s">
        <v>34</v>
      </c>
      <c r="D342" s="160">
        <v>5596.3339999999998</v>
      </c>
      <c r="E342" s="156">
        <f t="shared" ref="E342:E346" si="15">D342*$J$312</f>
        <v>1184.1842744</v>
      </c>
      <c r="F342" s="126"/>
      <c r="G342" s="126"/>
      <c r="H342" s="126"/>
      <c r="I342" s="126"/>
      <c r="J342" s="126"/>
    </row>
    <row r="343" spans="1:11">
      <c r="A343" s="126"/>
      <c r="B343" s="126"/>
      <c r="C343" s="159" t="s">
        <v>35</v>
      </c>
      <c r="D343" s="160">
        <v>533.66099999999994</v>
      </c>
      <c r="E343" s="156">
        <f t="shared" si="15"/>
        <v>112.9226676</v>
      </c>
      <c r="F343" s="126"/>
      <c r="G343" s="126"/>
      <c r="H343" s="126"/>
      <c r="I343" s="126"/>
      <c r="J343" s="126"/>
    </row>
    <row r="344" spans="1:11">
      <c r="A344" s="126"/>
      <c r="B344" s="126"/>
      <c r="C344" s="159" t="s">
        <v>106</v>
      </c>
      <c r="D344" s="160">
        <v>1044.846</v>
      </c>
      <c r="E344" s="156">
        <f t="shared" si="15"/>
        <v>221.0894136</v>
      </c>
      <c r="F344" s="126"/>
      <c r="G344" s="126"/>
      <c r="H344" s="126"/>
      <c r="I344" s="126"/>
      <c r="J344" s="126"/>
    </row>
    <row r="345" spans="1:11">
      <c r="A345" s="126"/>
      <c r="B345" s="126"/>
      <c r="C345" s="159" t="s">
        <v>37</v>
      </c>
      <c r="D345" s="160">
        <v>2167.4839999999999</v>
      </c>
      <c r="E345" s="156">
        <f t="shared" si="15"/>
        <v>458.63961440000003</v>
      </c>
      <c r="F345" s="126"/>
      <c r="G345" s="126"/>
    </row>
    <row r="346" spans="1:11" ht="15.75" thickBot="1">
      <c r="A346" s="126"/>
      <c r="B346" s="126"/>
      <c r="C346" s="159" t="s">
        <v>38</v>
      </c>
      <c r="D346" s="160">
        <v>39.155999999999999</v>
      </c>
      <c r="E346" s="156">
        <f t="shared" si="15"/>
        <v>8.2854095999999995</v>
      </c>
      <c r="F346" s="126"/>
      <c r="G346" s="126"/>
    </row>
    <row r="347" spans="1:11" ht="15.75" thickBot="1">
      <c r="A347" s="126"/>
      <c r="B347" s="126"/>
      <c r="C347" s="161" t="s">
        <v>39</v>
      </c>
      <c r="D347" s="162">
        <f>SUM(D341:D346)</f>
        <v>23884.316999999999</v>
      </c>
      <c r="E347" s="163">
        <f>SUM(E341:E346)</f>
        <v>5053.9214771999996</v>
      </c>
      <c r="F347" s="126"/>
      <c r="G347" s="126"/>
    </row>
    <row r="349" spans="1:11">
      <c r="A349" s="127" t="s">
        <v>107</v>
      </c>
      <c r="B349" s="126"/>
      <c r="C349" s="126"/>
      <c r="D349" s="126"/>
      <c r="E349" s="126"/>
      <c r="F349" s="126"/>
      <c r="G349" s="126"/>
      <c r="H349" s="126"/>
      <c r="I349" s="127" t="s">
        <v>108</v>
      </c>
      <c r="J349" s="128">
        <f>Model!$M$216</f>
        <v>0.21740000000000001</v>
      </c>
    </row>
    <row r="350" spans="1:11">
      <c r="A350" s="127"/>
      <c r="B350" s="126"/>
      <c r="C350" s="126"/>
      <c r="D350" s="126"/>
      <c r="E350" s="126"/>
      <c r="F350" s="126"/>
      <c r="G350" s="126"/>
      <c r="H350" s="126"/>
      <c r="I350" s="127" t="s">
        <v>109</v>
      </c>
      <c r="J350" s="128">
        <f>Model!$M$215</f>
        <v>0.219275</v>
      </c>
    </row>
    <row r="351" spans="1:11" ht="15.75" thickBot="1">
      <c r="A351" s="127"/>
      <c r="B351" s="126"/>
      <c r="C351" s="126"/>
      <c r="D351" s="126"/>
      <c r="E351" s="126"/>
      <c r="F351" s="126"/>
      <c r="G351" s="126"/>
      <c r="H351" s="127"/>
      <c r="I351" s="127"/>
      <c r="J351" s="128"/>
    </row>
    <row r="352" spans="1:11" ht="26.25">
      <c r="A352" s="126"/>
      <c r="B352" s="126"/>
      <c r="C352" s="129" t="s">
        <v>110</v>
      </c>
      <c r="D352" s="167" t="s">
        <v>55</v>
      </c>
      <c r="E352" s="167" t="s">
        <v>5</v>
      </c>
      <c r="F352" s="130" t="s">
        <v>6</v>
      </c>
      <c r="G352" s="130" t="s">
        <v>7</v>
      </c>
      <c r="H352" s="126"/>
      <c r="I352" s="199" t="s">
        <v>8</v>
      </c>
      <c r="J352" s="200"/>
    </row>
    <row r="353" spans="1:10" ht="15.75" thickBot="1">
      <c r="A353" s="126"/>
      <c r="B353" s="126"/>
      <c r="C353" s="131"/>
      <c r="D353" s="132"/>
      <c r="E353" s="133"/>
      <c r="F353" s="134"/>
      <c r="G353" s="134"/>
      <c r="H353" s="126"/>
      <c r="I353" s="198" t="s">
        <v>71</v>
      </c>
      <c r="J353" s="201">
        <v>3.36</v>
      </c>
    </row>
    <row r="354" spans="1:10">
      <c r="A354" s="126"/>
      <c r="B354" s="126"/>
      <c r="C354" s="131" t="s">
        <v>10</v>
      </c>
      <c r="D354" s="135"/>
      <c r="E354" s="136"/>
      <c r="F354" s="134"/>
      <c r="G354" s="134"/>
      <c r="H354" s="126"/>
      <c r="I354" s="126"/>
      <c r="J354" s="126"/>
    </row>
    <row r="355" spans="1:10">
      <c r="A355" s="126"/>
      <c r="B355" s="126"/>
      <c r="C355" s="139" t="s">
        <v>12</v>
      </c>
      <c r="D355" s="185">
        <f>Model!$M$108</f>
        <v>189.863</v>
      </c>
      <c r="E355" s="32">
        <f t="shared" ref="E355:E362" si="16">+D355*$J$349</f>
        <v>41.2762162</v>
      </c>
      <c r="F355" s="142"/>
      <c r="G355" s="142"/>
      <c r="H355" s="126"/>
      <c r="I355" s="126"/>
      <c r="J355" s="126"/>
    </row>
    <row r="356" spans="1:10">
      <c r="A356" s="126"/>
      <c r="B356" s="126"/>
      <c r="C356" s="139" t="s">
        <v>15</v>
      </c>
      <c r="D356" s="185">
        <f>Model!$M$109</f>
        <v>2476.0970000000002</v>
      </c>
      <c r="E356" s="32">
        <f t="shared" si="16"/>
        <v>538.30348780000008</v>
      </c>
      <c r="F356" s="142"/>
      <c r="G356" s="142"/>
      <c r="H356" s="126"/>
      <c r="I356" s="126"/>
      <c r="J356" s="126"/>
    </row>
    <row r="357" spans="1:10">
      <c r="A357" s="126"/>
      <c r="B357" s="126"/>
      <c r="C357" s="139" t="s">
        <v>16</v>
      </c>
      <c r="D357" s="185">
        <f>Model!$M$110</f>
        <v>2086.4949999999999</v>
      </c>
      <c r="E357" s="32">
        <f t="shared" si="16"/>
        <v>453.60401300000001</v>
      </c>
      <c r="F357" s="142"/>
      <c r="G357" s="142"/>
      <c r="H357" s="126"/>
      <c r="I357" s="126"/>
      <c r="J357" s="126"/>
    </row>
    <row r="358" spans="1:10">
      <c r="A358" s="126"/>
      <c r="B358" s="126"/>
      <c r="C358" s="131" t="s">
        <v>17</v>
      </c>
      <c r="D358" s="135"/>
      <c r="E358" s="32">
        <f t="shared" si="16"/>
        <v>0</v>
      </c>
      <c r="F358" s="134"/>
      <c r="G358" s="134"/>
      <c r="H358" s="126"/>
      <c r="I358" s="126"/>
      <c r="J358" s="126"/>
    </row>
    <row r="359" spans="1:10">
      <c r="A359" s="126"/>
      <c r="B359" s="126"/>
      <c r="C359" s="139" t="s">
        <v>12</v>
      </c>
      <c r="D359" s="185">
        <f>Model!$M$113</f>
        <v>4396.7290000000003</v>
      </c>
      <c r="E359" s="32">
        <f t="shared" si="16"/>
        <v>955.84888460000013</v>
      </c>
      <c r="F359" s="142"/>
      <c r="G359" s="142"/>
      <c r="H359" s="126"/>
      <c r="I359" s="126"/>
      <c r="J359" s="126"/>
    </row>
    <row r="360" spans="1:10">
      <c r="A360" s="126"/>
      <c r="B360" s="126"/>
      <c r="C360" s="139" t="s">
        <v>15</v>
      </c>
      <c r="D360" s="185">
        <f>Model!$M$114</f>
        <v>17779.46</v>
      </c>
      <c r="E360" s="32">
        <f t="shared" si="16"/>
        <v>3865.2546040000002</v>
      </c>
      <c r="F360" s="142"/>
      <c r="G360" s="142"/>
      <c r="H360" s="126"/>
      <c r="I360" s="126"/>
      <c r="J360" s="126"/>
    </row>
    <row r="361" spans="1:10">
      <c r="A361" s="126"/>
      <c r="B361" s="126"/>
      <c r="C361" s="139" t="s">
        <v>16</v>
      </c>
      <c r="D361" s="185">
        <f>Model!$M$115</f>
        <v>10015.513000000001</v>
      </c>
      <c r="E361" s="32">
        <f t="shared" si="16"/>
        <v>2177.3725262000003</v>
      </c>
      <c r="F361" s="142"/>
      <c r="G361" s="142"/>
      <c r="H361" s="202"/>
      <c r="I361" s="126"/>
      <c r="J361" s="126"/>
    </row>
    <row r="362" spans="1:10">
      <c r="A362" s="126"/>
      <c r="B362" s="126"/>
      <c r="C362" s="139" t="s">
        <v>45</v>
      </c>
      <c r="D362" s="166">
        <v>0</v>
      </c>
      <c r="E362" s="32">
        <f t="shared" si="16"/>
        <v>0</v>
      </c>
      <c r="F362" s="146"/>
      <c r="G362" s="146"/>
      <c r="H362" s="202"/>
      <c r="I362" s="126"/>
      <c r="J362" s="126"/>
    </row>
    <row r="363" spans="1:10">
      <c r="A363" s="126"/>
      <c r="B363" s="126"/>
      <c r="C363" s="137" t="s">
        <v>18</v>
      </c>
      <c r="D363" s="143">
        <f>SUM(D355:D362)</f>
        <v>36944.156999999999</v>
      </c>
      <c r="E363" s="143">
        <f>SUM(E355:E362)</f>
        <v>8031.6597318000004</v>
      </c>
      <c r="F363" s="138">
        <f>+D363/D368</f>
        <v>3.8368104799814557</v>
      </c>
      <c r="G363" s="138">
        <f>+E363/E368</f>
        <v>3.8040022727076441</v>
      </c>
      <c r="H363" s="202"/>
      <c r="I363" s="126"/>
      <c r="J363" s="126"/>
    </row>
    <row r="364" spans="1:10">
      <c r="A364" s="126"/>
      <c r="B364" s="126"/>
      <c r="C364" s="139" t="s">
        <v>19</v>
      </c>
      <c r="D364" s="147">
        <f>Model!$M$123</f>
        <v>4612.134</v>
      </c>
      <c r="E364" s="32">
        <f>+D364*$J$349</f>
        <v>1002.6779316000001</v>
      </c>
      <c r="F364" s="140"/>
      <c r="G364" s="140"/>
      <c r="H364" s="126"/>
      <c r="I364" s="126"/>
      <c r="J364" s="126"/>
    </row>
    <row r="365" spans="1:10">
      <c r="A365" s="126"/>
      <c r="B365" s="126"/>
      <c r="C365" s="137" t="s">
        <v>20</v>
      </c>
      <c r="D365" s="143">
        <f>+D363-D364</f>
        <v>32332.023000000001</v>
      </c>
      <c r="E365" s="144">
        <f>+E363-E364</f>
        <v>7028.9818002000002</v>
      </c>
      <c r="F365" s="138">
        <f>+D365/D368</f>
        <v>3.3578204175940862</v>
      </c>
      <c r="G365" s="138">
        <f>+E365/E368</f>
        <v>3.3291080095084</v>
      </c>
      <c r="H365" s="126"/>
      <c r="I365" s="126"/>
      <c r="J365" s="126"/>
    </row>
    <row r="366" spans="1:10">
      <c r="A366" s="126"/>
      <c r="B366" s="126"/>
      <c r="C366" s="141" t="s">
        <v>21</v>
      </c>
      <c r="D366" s="148">
        <f>Model!$M$131</f>
        <v>28235.31</v>
      </c>
      <c r="E366" s="32">
        <f>+D366*$J$349</f>
        <v>6138.3563940000004</v>
      </c>
      <c r="F366" s="142"/>
      <c r="G366" s="142"/>
      <c r="H366" s="126"/>
      <c r="I366" s="126"/>
      <c r="J366" s="126"/>
    </row>
    <row r="367" spans="1:10">
      <c r="A367" s="126"/>
      <c r="B367" s="126"/>
      <c r="C367" s="137" t="s">
        <v>22</v>
      </c>
      <c r="D367" s="143">
        <f>D363+D366</f>
        <v>65179.467000000004</v>
      </c>
      <c r="E367" s="144">
        <f>E363+E366</f>
        <v>14170.016125800001</v>
      </c>
      <c r="F367" s="138">
        <f>D367/D368</f>
        <v>6.769169535123118</v>
      </c>
      <c r="G367" s="138">
        <f>E367/E368</f>
        <v>6.7112870000490981</v>
      </c>
      <c r="H367" s="126"/>
      <c r="I367" s="126"/>
      <c r="J367" s="126"/>
    </row>
    <row r="368" spans="1:10">
      <c r="A368" s="126"/>
      <c r="B368" s="126"/>
      <c r="C368" s="145" t="s">
        <v>23</v>
      </c>
      <c r="D368" s="149">
        <f>Model!$M$90</f>
        <v>9628.8719999999994</v>
      </c>
      <c r="E368" s="150">
        <f>D368*J350</f>
        <v>2111.3709077999997</v>
      </c>
      <c r="F368" s="146"/>
      <c r="G368" s="146"/>
      <c r="H368" s="126"/>
      <c r="I368" s="126"/>
      <c r="J368" s="126"/>
    </row>
    <row r="369" spans="1:11">
      <c r="A369" s="126"/>
      <c r="B369" s="126"/>
      <c r="C369" s="126"/>
      <c r="D369" s="126"/>
      <c r="E369" s="126"/>
      <c r="F369" s="126"/>
      <c r="G369" s="126"/>
      <c r="H369" s="126"/>
      <c r="I369" s="126"/>
      <c r="J369" s="126"/>
    </row>
    <row r="370" spans="1:11">
      <c r="A370" s="126"/>
      <c r="B370" s="126"/>
      <c r="C370" s="151" t="s">
        <v>24</v>
      </c>
      <c r="D370" s="152">
        <f>+D363-Model!$M$116</f>
        <v>0</v>
      </c>
      <c r="E370" s="153"/>
      <c r="F370" s="126"/>
      <c r="G370" s="126"/>
      <c r="H370" s="126"/>
      <c r="I370" s="126"/>
      <c r="J370" s="126"/>
    </row>
    <row r="371" spans="1:11" ht="15.75" thickBot="1">
      <c r="F371" s="86"/>
    </row>
    <row r="372" spans="1:11" ht="26.25">
      <c r="A372" s="126"/>
      <c r="B372" s="126"/>
      <c r="C372" s="154" t="s">
        <v>111</v>
      </c>
      <c r="D372" s="164" t="s">
        <v>55</v>
      </c>
      <c r="E372" s="164" t="s">
        <v>5</v>
      </c>
      <c r="F372" s="126"/>
      <c r="G372" s="126"/>
      <c r="H372" s="154" t="s">
        <v>112</v>
      </c>
      <c r="I372" s="206" t="s">
        <v>55</v>
      </c>
      <c r="J372" s="208" t="s">
        <v>5</v>
      </c>
      <c r="K372" s="203" t="s">
        <v>84</v>
      </c>
    </row>
    <row r="373" spans="1:11">
      <c r="A373" s="126"/>
      <c r="B373" s="126"/>
      <c r="C373" s="155" t="s">
        <v>74</v>
      </c>
      <c r="D373" s="160">
        <v>0</v>
      </c>
      <c r="E373" s="156">
        <f>D373*$J$386</f>
        <v>0</v>
      </c>
      <c r="F373" s="126"/>
      <c r="G373" s="126"/>
      <c r="H373" s="159" t="s">
        <v>85</v>
      </c>
      <c r="I373" s="211">
        <f>(D355+D356+D359+D360)/K377*K373</f>
        <v>5465.2727799999993</v>
      </c>
      <c r="J373" s="209">
        <f>I373*$J$312</f>
        <v>1156.4517202479999</v>
      </c>
      <c r="K373" s="204">
        <v>0.22</v>
      </c>
    </row>
    <row r="374" spans="1:11">
      <c r="A374" s="126"/>
      <c r="B374" s="126"/>
      <c r="C374" s="155" t="s">
        <v>47</v>
      </c>
      <c r="D374" s="156">
        <f>D364</f>
        <v>4612.134</v>
      </c>
      <c r="E374" s="156">
        <f>D374*$J$349</f>
        <v>1002.6779316000001</v>
      </c>
      <c r="F374" s="126"/>
      <c r="G374" s="126"/>
      <c r="H374" s="159" t="s">
        <v>86</v>
      </c>
      <c r="I374" s="211">
        <f>(D355+D356+D359+D360)/K377*K374</f>
        <v>9191.5951299999997</v>
      </c>
      <c r="J374" s="209">
        <f t="shared" ref="J374:J376" si="17">I374*$J$312</f>
        <v>1944.941529508</v>
      </c>
      <c r="K374" s="204">
        <v>0.37</v>
      </c>
    </row>
    <row r="375" spans="1:11" ht="15.75" thickBot="1">
      <c r="A375" s="126"/>
      <c r="B375" s="126"/>
      <c r="C375" s="157"/>
      <c r="D375" s="183">
        <f>SUM(D373:D374)</f>
        <v>4612.134</v>
      </c>
      <c r="E375" s="183">
        <f>SUM(E373:E374)</f>
        <v>1002.6779316000001</v>
      </c>
      <c r="F375" s="126"/>
      <c r="G375" s="126"/>
      <c r="H375" s="159" t="s">
        <v>87</v>
      </c>
      <c r="I375" s="211">
        <f>(D355+D356+D359+D360)/K377*K375</f>
        <v>4471.5868199999995</v>
      </c>
      <c r="J375" s="209">
        <f t="shared" si="17"/>
        <v>946.18777111199995</v>
      </c>
      <c r="K375" s="204">
        <v>0.18</v>
      </c>
    </row>
    <row r="376" spans="1:11" ht="15.75" thickBot="1">
      <c r="A376" s="126"/>
      <c r="B376" s="126"/>
      <c r="C376" s="126"/>
      <c r="D376" s="126"/>
      <c r="E376" s="126"/>
      <c r="F376" s="126"/>
      <c r="G376" s="126"/>
      <c r="H376" s="159" t="s">
        <v>88</v>
      </c>
      <c r="I376" s="211">
        <f>(D355+D356+D359+D360)/K377*K376</f>
        <v>5713.69427</v>
      </c>
      <c r="J376" s="209">
        <f t="shared" si="17"/>
        <v>1209.017707532</v>
      </c>
      <c r="K376" s="204">
        <v>0.23</v>
      </c>
    </row>
    <row r="377" spans="1:11" ht="15.75" thickBot="1">
      <c r="A377" s="126"/>
      <c r="B377" s="126"/>
      <c r="C377" s="154" t="s">
        <v>113</v>
      </c>
      <c r="D377" s="164" t="s">
        <v>55</v>
      </c>
      <c r="E377" s="164" t="s">
        <v>5</v>
      </c>
      <c r="F377" s="126"/>
      <c r="G377" s="126"/>
      <c r="H377" s="192" t="s">
        <v>31</v>
      </c>
      <c r="I377" s="207">
        <f>SUM(I373:I376)</f>
        <v>24842.148999999998</v>
      </c>
      <c r="J377" s="292">
        <f>SUM(J373:J376)</f>
        <v>5256.5987284000003</v>
      </c>
      <c r="K377" s="205">
        <f>SUM(K373:K376)</f>
        <v>1</v>
      </c>
    </row>
    <row r="378" spans="1:11">
      <c r="A378" s="126"/>
      <c r="B378" s="126"/>
      <c r="C378" s="159" t="s">
        <v>33</v>
      </c>
      <c r="D378" s="160">
        <v>14607.48</v>
      </c>
      <c r="E378" s="156">
        <f t="shared" ref="E378:E383" si="18">D378*$J$429</f>
        <v>3126.00072</v>
      </c>
      <c r="F378" s="126"/>
      <c r="G378" s="126"/>
      <c r="H378" s="126"/>
      <c r="I378" s="126"/>
      <c r="J378" s="126"/>
    </row>
    <row r="379" spans="1:11">
      <c r="A379" s="126"/>
      <c r="B379" s="126"/>
      <c r="C379" s="159" t="s">
        <v>34</v>
      </c>
      <c r="D379" s="160">
        <v>5102.5630000000001</v>
      </c>
      <c r="E379" s="156">
        <f t="shared" si="18"/>
        <v>1091.948482</v>
      </c>
      <c r="F379" s="126"/>
      <c r="G379" s="126"/>
      <c r="H379" s="126"/>
      <c r="I379" s="126"/>
      <c r="J379" s="126"/>
    </row>
    <row r="380" spans="1:11">
      <c r="A380" s="126"/>
      <c r="B380" s="126"/>
      <c r="C380" s="159" t="s">
        <v>35</v>
      </c>
      <c r="D380" s="160">
        <v>363.76799999999997</v>
      </c>
      <c r="E380" s="156">
        <f t="shared" si="18"/>
        <v>77.846351999999996</v>
      </c>
      <c r="F380" s="126"/>
      <c r="G380" s="126"/>
      <c r="H380" s="126"/>
      <c r="I380" s="126"/>
      <c r="J380" s="126"/>
    </row>
    <row r="381" spans="1:11">
      <c r="A381" s="126"/>
      <c r="B381" s="126"/>
      <c r="C381" s="159" t="s">
        <v>106</v>
      </c>
      <c r="D381" s="160">
        <v>925.15700000000004</v>
      </c>
      <c r="E381" s="156">
        <f t="shared" si="18"/>
        <v>197.983598</v>
      </c>
      <c r="F381" s="126"/>
      <c r="G381" s="126"/>
      <c r="H381" s="126"/>
      <c r="I381" s="126"/>
      <c r="J381" s="126"/>
    </row>
    <row r="382" spans="1:11">
      <c r="A382" s="126"/>
      <c r="B382" s="126"/>
      <c r="C382" s="159" t="s">
        <v>37</v>
      </c>
      <c r="D382" s="160">
        <v>2130.4920000000002</v>
      </c>
      <c r="E382" s="156">
        <f t="shared" si="18"/>
        <v>455.92528800000002</v>
      </c>
      <c r="F382" s="126"/>
      <c r="G382" s="126"/>
    </row>
    <row r="383" spans="1:11" ht="15.75" thickBot="1">
      <c r="A383" s="126"/>
      <c r="B383" s="126"/>
      <c r="C383" s="159" t="s">
        <v>38</v>
      </c>
      <c r="D383" s="160">
        <v>44.325000000000003</v>
      </c>
      <c r="E383" s="156">
        <f t="shared" si="18"/>
        <v>9.4855499999999999</v>
      </c>
      <c r="F383" s="126"/>
      <c r="G383" s="126"/>
    </row>
    <row r="384" spans="1:11" ht="15.75" thickBot="1">
      <c r="A384" s="126"/>
      <c r="B384" s="126"/>
      <c r="C384" s="161" t="s">
        <v>39</v>
      </c>
      <c r="D384" s="162">
        <f>SUM(D378:D383)</f>
        <v>23173.785</v>
      </c>
      <c r="E384" s="163">
        <f>SUM(E378:E383)</f>
        <v>4959.1899899999999</v>
      </c>
      <c r="F384" s="126"/>
      <c r="G384" s="126"/>
    </row>
    <row r="386" spans="1:10">
      <c r="A386" s="127" t="s">
        <v>114</v>
      </c>
      <c r="B386" s="126"/>
      <c r="C386" s="126"/>
      <c r="D386" s="126"/>
      <c r="E386" s="126"/>
      <c r="F386" s="126"/>
      <c r="G386" s="126"/>
      <c r="H386" s="126"/>
      <c r="I386" s="127" t="s">
        <v>115</v>
      </c>
      <c r="J386" s="128">
        <f>Model!$BC$216</f>
        <v>0.21290000000000001</v>
      </c>
    </row>
    <row r="387" spans="1:10">
      <c r="A387" s="127"/>
      <c r="B387" s="126"/>
      <c r="C387" s="126"/>
      <c r="D387" s="126"/>
      <c r="E387" s="126"/>
      <c r="F387" s="126"/>
      <c r="G387" s="126"/>
      <c r="H387" s="126"/>
      <c r="I387" s="127" t="s">
        <v>116</v>
      </c>
      <c r="J387" s="128">
        <f>AVERAGE(Model!$BC$215,Model!$AX$215:$AZ$215,Model!$AU$215)</f>
        <v>0.22220000000000001</v>
      </c>
    </row>
    <row r="388" spans="1:10" ht="15.75" thickBot="1">
      <c r="A388" s="127"/>
      <c r="B388" s="126"/>
      <c r="C388" s="126"/>
      <c r="D388" s="126"/>
      <c r="E388" s="126"/>
      <c r="F388" s="126"/>
      <c r="G388" s="126"/>
      <c r="H388" s="127"/>
      <c r="I388" s="127"/>
      <c r="J388" s="128"/>
    </row>
    <row r="389" spans="1:10" ht="26.25">
      <c r="A389" s="126"/>
      <c r="B389" s="126"/>
      <c r="C389" s="129" t="s">
        <v>117</v>
      </c>
      <c r="D389" s="167" t="s">
        <v>55</v>
      </c>
      <c r="E389" s="167" t="s">
        <v>5</v>
      </c>
      <c r="F389" s="130" t="s">
        <v>6</v>
      </c>
      <c r="G389" s="130" t="s">
        <v>7</v>
      </c>
      <c r="H389" s="126"/>
      <c r="I389" s="199" t="s">
        <v>8</v>
      </c>
      <c r="J389" s="200"/>
    </row>
    <row r="390" spans="1:10" ht="15.75" thickBot="1">
      <c r="A390" s="126"/>
      <c r="B390" s="126"/>
      <c r="C390" s="131"/>
      <c r="D390" s="132"/>
      <c r="E390" s="133"/>
      <c r="F390" s="134"/>
      <c r="G390" s="134"/>
      <c r="H390" s="126"/>
      <c r="I390" s="198" t="s">
        <v>71</v>
      </c>
      <c r="J390" s="201" t="s">
        <v>118</v>
      </c>
    </row>
    <row r="391" spans="1:10">
      <c r="A391" s="126"/>
      <c r="B391" s="126"/>
      <c r="C391" s="131" t="s">
        <v>10</v>
      </c>
      <c r="D391" s="135"/>
      <c r="E391" s="136"/>
      <c r="F391" s="134"/>
      <c r="G391" s="134"/>
      <c r="H391" s="126"/>
      <c r="I391" s="126"/>
      <c r="J391" s="126"/>
    </row>
    <row r="392" spans="1:10">
      <c r="A392" s="126"/>
      <c r="B392" s="126"/>
      <c r="C392" s="139" t="s">
        <v>12</v>
      </c>
      <c r="D392" s="185">
        <f>Model!$BC$108</f>
        <v>179.12799999999999</v>
      </c>
      <c r="E392" s="32">
        <f>+D392*$J$386</f>
        <v>38.1363512</v>
      </c>
      <c r="F392" s="142"/>
      <c r="G392" s="142"/>
      <c r="H392" s="126"/>
      <c r="I392" s="126"/>
      <c r="J392" s="126"/>
    </row>
    <row r="393" spans="1:10">
      <c r="A393" s="126"/>
      <c r="B393" s="126"/>
      <c r="C393" s="139" t="s">
        <v>15</v>
      </c>
      <c r="D393" s="185">
        <f>Model!$BC$109</f>
        <v>2556.6039999999998</v>
      </c>
      <c r="E393" s="32">
        <f t="shared" ref="E393:E403" si="19">+D393*$J$386</f>
        <v>544.30099159999997</v>
      </c>
      <c r="F393" s="142"/>
      <c r="G393" s="142"/>
      <c r="H393" s="126"/>
      <c r="I393" s="126"/>
      <c r="J393" s="126"/>
    </row>
    <row r="394" spans="1:10">
      <c r="A394" s="126"/>
      <c r="B394" s="126"/>
      <c r="C394" s="139" t="s">
        <v>16</v>
      </c>
      <c r="D394" s="185">
        <f>Model!$BC$110</f>
        <v>2143.2939999999999</v>
      </c>
      <c r="E394" s="32">
        <f t="shared" si="19"/>
        <v>456.30729259999998</v>
      </c>
      <c r="F394" s="142"/>
      <c r="G394" s="142"/>
      <c r="H394" s="126"/>
      <c r="I394" s="126"/>
      <c r="J394" s="126"/>
    </row>
    <row r="395" spans="1:10">
      <c r="A395" s="126"/>
      <c r="B395" s="126"/>
      <c r="C395" s="131" t="s">
        <v>17</v>
      </c>
      <c r="D395" s="135"/>
      <c r="E395" s="32">
        <f t="shared" si="19"/>
        <v>0</v>
      </c>
      <c r="F395" s="134"/>
      <c r="G395" s="134"/>
      <c r="H395" s="126"/>
      <c r="I395" s="126"/>
      <c r="J395" s="126"/>
    </row>
    <row r="396" spans="1:10">
      <c r="A396" s="126"/>
      <c r="B396" s="126"/>
      <c r="C396" s="139" t="s">
        <v>12</v>
      </c>
      <c r="D396" s="185">
        <f>Model!$BC$113</f>
        <v>4215.2250000000004</v>
      </c>
      <c r="E396" s="32">
        <f t="shared" si="19"/>
        <v>897.42140250000011</v>
      </c>
      <c r="F396" s="142"/>
      <c r="G396" s="142"/>
      <c r="H396" s="126"/>
      <c r="I396" s="126"/>
      <c r="J396" s="126"/>
    </row>
    <row r="397" spans="1:10">
      <c r="A397" s="126"/>
      <c r="B397" s="126"/>
      <c r="C397" s="139" t="s">
        <v>15</v>
      </c>
      <c r="D397" s="185">
        <f>Model!$BC$114</f>
        <v>17868.575000000001</v>
      </c>
      <c r="E397" s="32">
        <f t="shared" si="19"/>
        <v>3804.2196175000004</v>
      </c>
      <c r="F397" s="142"/>
      <c r="G397" s="142"/>
      <c r="H397" s="126"/>
      <c r="I397" s="126"/>
      <c r="J397" s="126"/>
    </row>
    <row r="398" spans="1:10">
      <c r="A398" s="126"/>
      <c r="B398" s="126"/>
      <c r="C398" s="139" t="s">
        <v>16</v>
      </c>
      <c r="D398" s="185">
        <f>Model!$BC$115</f>
        <v>9782.0730000000003</v>
      </c>
      <c r="E398" s="32">
        <f t="shared" si="19"/>
        <v>2082.6033417000003</v>
      </c>
      <c r="F398" s="142"/>
      <c r="G398" s="142"/>
      <c r="H398" s="202"/>
      <c r="I398" s="126"/>
      <c r="J398" s="126"/>
    </row>
    <row r="399" spans="1:10">
      <c r="A399" s="126"/>
      <c r="B399" s="126"/>
      <c r="C399" s="139" t="s">
        <v>45</v>
      </c>
      <c r="D399" s="166">
        <v>0</v>
      </c>
      <c r="E399" s="32">
        <f t="shared" si="19"/>
        <v>0</v>
      </c>
      <c r="F399" s="146"/>
      <c r="G399" s="146"/>
      <c r="H399" s="202"/>
      <c r="I399" s="126"/>
      <c r="J399" s="126"/>
    </row>
    <row r="400" spans="1:10">
      <c r="A400" s="126"/>
      <c r="B400" s="126"/>
      <c r="C400" s="137" t="s">
        <v>18</v>
      </c>
      <c r="D400" s="143">
        <f>SUM(D392:D399)</f>
        <v>36744.899000000005</v>
      </c>
      <c r="E400" s="143">
        <f>SUM(E392:E399)</f>
        <v>7822.9889971000011</v>
      </c>
      <c r="F400" s="138">
        <f>+D400/D405</f>
        <v>3.5911055074486939</v>
      </c>
      <c r="G400" s="138">
        <f>+E400/E405</f>
        <v>3.4408027116823892</v>
      </c>
      <c r="H400" s="202"/>
      <c r="I400" s="126"/>
      <c r="J400" s="126"/>
    </row>
    <row r="401" spans="1:11">
      <c r="A401" s="126"/>
      <c r="B401" s="126"/>
      <c r="C401" s="139" t="s">
        <v>19</v>
      </c>
      <c r="D401" s="147">
        <f>Model!$BC$123</f>
        <v>5657.7869999999994</v>
      </c>
      <c r="E401" s="32">
        <f t="shared" si="19"/>
        <v>1204.5428522999998</v>
      </c>
      <c r="F401" s="140"/>
      <c r="G401" s="140"/>
      <c r="H401" s="126"/>
      <c r="I401" s="126"/>
      <c r="J401" s="126"/>
    </row>
    <row r="402" spans="1:11">
      <c r="A402" s="126"/>
      <c r="B402" s="126"/>
      <c r="C402" s="137" t="s">
        <v>20</v>
      </c>
      <c r="D402" s="143">
        <f>+D400-D401</f>
        <v>31087.112000000005</v>
      </c>
      <c r="E402" s="144">
        <f>+E400-E401</f>
        <v>6618.4461448000011</v>
      </c>
      <c r="F402" s="138">
        <f>+D402/D405</f>
        <v>3.0381658992687499</v>
      </c>
      <c r="G402" s="138">
        <f>+E402/E405</f>
        <v>2.9110059403884643</v>
      </c>
      <c r="H402" s="126"/>
      <c r="I402" s="126"/>
      <c r="J402" s="126"/>
    </row>
    <row r="403" spans="1:11">
      <c r="A403" s="126"/>
      <c r="B403" s="126"/>
      <c r="C403" s="141" t="s">
        <v>21</v>
      </c>
      <c r="D403" s="148">
        <f>Model!$BC$131</f>
        <v>29285.859</v>
      </c>
      <c r="E403" s="32">
        <f t="shared" si="19"/>
        <v>6234.9593811000004</v>
      </c>
      <c r="F403" s="142"/>
      <c r="G403" s="142"/>
      <c r="H403" s="126"/>
      <c r="I403" s="126"/>
      <c r="J403" s="126"/>
    </row>
    <row r="404" spans="1:11">
      <c r="A404" s="126"/>
      <c r="B404" s="126"/>
      <c r="C404" s="137" t="s">
        <v>22</v>
      </c>
      <c r="D404" s="143">
        <f>D400+D403</f>
        <v>66030.758000000002</v>
      </c>
      <c r="E404" s="144">
        <f>E400+E403</f>
        <v>14057.948378200002</v>
      </c>
      <c r="F404" s="138">
        <f>D404/D405</f>
        <v>6.4532336506030914</v>
      </c>
      <c r="G404" s="138">
        <f>E404/E405</f>
        <v>6.1831388128415758</v>
      </c>
      <c r="H404" s="126"/>
      <c r="I404" s="126"/>
      <c r="J404" s="126"/>
    </row>
    <row r="405" spans="1:11">
      <c r="A405" s="126"/>
      <c r="B405" s="126"/>
      <c r="C405" s="145" t="s">
        <v>23</v>
      </c>
      <c r="D405" s="149">
        <f>Model!$BC$90</f>
        <v>10232.197</v>
      </c>
      <c r="E405" s="150">
        <f>D405*J387</f>
        <v>2273.5941734000003</v>
      </c>
      <c r="F405" s="146"/>
      <c r="G405" s="146"/>
      <c r="H405" s="126"/>
      <c r="I405" s="126"/>
      <c r="J405" s="126"/>
    </row>
    <row r="406" spans="1:11">
      <c r="A406" s="126"/>
      <c r="B406" s="126"/>
      <c r="C406" s="126"/>
      <c r="D406" s="126"/>
      <c r="E406" s="126"/>
      <c r="F406" s="126"/>
      <c r="G406" s="126"/>
      <c r="H406" s="126"/>
      <c r="I406" s="126"/>
      <c r="J406" s="126"/>
    </row>
    <row r="407" spans="1:11">
      <c r="A407" s="126"/>
      <c r="B407" s="126"/>
      <c r="C407" s="151" t="s">
        <v>24</v>
      </c>
      <c r="D407" s="152">
        <f>+D400-Model!$BC$116</f>
        <v>0</v>
      </c>
      <c r="E407" s="153"/>
      <c r="F407" s="126"/>
      <c r="G407" s="126"/>
      <c r="H407" s="126"/>
      <c r="I407" s="126"/>
      <c r="J407" s="126"/>
    </row>
    <row r="408" spans="1:11" ht="15.75" thickBot="1">
      <c r="F408" s="86"/>
    </row>
    <row r="409" spans="1:11" ht="26.25">
      <c r="A409" s="126"/>
      <c r="B409" s="126"/>
      <c r="C409" s="154" t="s">
        <v>119</v>
      </c>
      <c r="D409" s="164" t="s">
        <v>55</v>
      </c>
      <c r="E409" s="164" t="s">
        <v>5</v>
      </c>
      <c r="F409" s="126"/>
      <c r="G409" s="126"/>
      <c r="H409" s="154" t="s">
        <v>120</v>
      </c>
      <c r="I409" s="206" t="s">
        <v>55</v>
      </c>
      <c r="J409" s="208" t="s">
        <v>5</v>
      </c>
      <c r="K409" s="203" t="s">
        <v>84</v>
      </c>
    </row>
    <row r="410" spans="1:11">
      <c r="A410" s="126"/>
      <c r="B410" s="126"/>
      <c r="C410" s="155" t="s">
        <v>74</v>
      </c>
      <c r="D410" s="160">
        <v>0</v>
      </c>
      <c r="E410" s="156">
        <f>D410*$J$386</f>
        <v>0</v>
      </c>
      <c r="F410" s="126"/>
      <c r="G410" s="126"/>
      <c r="H410" s="159" t="s">
        <v>85</v>
      </c>
      <c r="I410" s="211">
        <f>(D392+D393+D396+D397)/K414*K410</f>
        <v>7197.6642799999991</v>
      </c>
      <c r="J410" s="209">
        <f>I410*$J$386</f>
        <v>1532.3827252119997</v>
      </c>
      <c r="K410" s="204">
        <v>0.28999999999999998</v>
      </c>
    </row>
    <row r="411" spans="1:11">
      <c r="A411" s="126"/>
      <c r="B411" s="126"/>
      <c r="C411" s="155" t="s">
        <v>47</v>
      </c>
      <c r="D411" s="156">
        <f>D401</f>
        <v>5657.7869999999994</v>
      </c>
      <c r="E411" s="156">
        <f>D411*$J$386</f>
        <v>1204.5428522999998</v>
      </c>
      <c r="F411" s="126"/>
      <c r="G411" s="126"/>
      <c r="H411" s="159" t="s">
        <v>86</v>
      </c>
      <c r="I411" s="211">
        <f>(D392+D393+D396+D397)/K414*K411</f>
        <v>7942.2502400000003</v>
      </c>
      <c r="J411" s="209">
        <f>I411*$J$386</f>
        <v>1690.9050760960001</v>
      </c>
      <c r="K411" s="204">
        <v>0.32</v>
      </c>
    </row>
    <row r="412" spans="1:11" ht="15.75" thickBot="1">
      <c r="A412" s="126"/>
      <c r="B412" s="126"/>
      <c r="C412" s="157"/>
      <c r="D412" s="183">
        <f>SUM(D410:D411)</f>
        <v>5657.7869999999994</v>
      </c>
      <c r="E412" s="183">
        <f>SUM(E410:E411)</f>
        <v>1204.5428522999998</v>
      </c>
      <c r="F412" s="126"/>
      <c r="G412" s="126"/>
      <c r="H412" s="159" t="s">
        <v>87</v>
      </c>
      <c r="I412" s="211">
        <f>(D392+D393+D396+D397)/K414*K412</f>
        <v>5212.1017199999997</v>
      </c>
      <c r="J412" s="209">
        <f>I412*$J$386</f>
        <v>1109.656456188</v>
      </c>
      <c r="K412" s="204">
        <v>0.21</v>
      </c>
    </row>
    <row r="413" spans="1:11" ht="15.75" thickBot="1">
      <c r="A413" s="126"/>
      <c r="B413" s="126"/>
      <c r="C413" s="126"/>
      <c r="D413" s="126"/>
      <c r="E413" s="126"/>
      <c r="F413" s="126"/>
      <c r="G413" s="126"/>
      <c r="H413" s="159" t="s">
        <v>88</v>
      </c>
      <c r="I413" s="211">
        <f>(D392+D393+D396+D397)/K414*K413</f>
        <v>4467.5157599999993</v>
      </c>
      <c r="J413" s="209">
        <f>I413*$J$386</f>
        <v>951.13410530399983</v>
      </c>
      <c r="K413" s="204">
        <v>0.18</v>
      </c>
    </row>
    <row r="414" spans="1:11" ht="15.75" thickBot="1">
      <c r="A414" s="126"/>
      <c r="B414" s="126"/>
      <c r="C414" s="154" t="s">
        <v>121</v>
      </c>
      <c r="D414" s="164" t="s">
        <v>55</v>
      </c>
      <c r="E414" s="164" t="s">
        <v>5</v>
      </c>
      <c r="F414" s="126"/>
      <c r="G414" s="126"/>
      <c r="H414" s="192" t="s">
        <v>31</v>
      </c>
      <c r="I414" s="207">
        <f>SUM(I410:I413)</f>
        <v>24819.531999999996</v>
      </c>
      <c r="J414" s="210">
        <f>SUM(J410:J413)</f>
        <v>5284.078362799999</v>
      </c>
      <c r="K414" s="205">
        <f>SUM(K410:K413)</f>
        <v>1</v>
      </c>
    </row>
    <row r="415" spans="1:11">
      <c r="A415" s="126"/>
      <c r="B415" s="126"/>
      <c r="C415" s="159" t="s">
        <v>122</v>
      </c>
      <c r="D415" s="160"/>
      <c r="E415" s="156"/>
      <c r="F415" s="126"/>
      <c r="G415" s="126"/>
      <c r="H415" s="126"/>
      <c r="I415" s="126"/>
      <c r="J415" s="126"/>
    </row>
    <row r="416" spans="1:11">
      <c r="A416" s="126"/>
      <c r="B416" s="126"/>
      <c r="C416" s="159" t="s">
        <v>33</v>
      </c>
      <c r="D416" s="160">
        <v>11258</v>
      </c>
      <c r="E416" s="156">
        <f>D416*$J$429</f>
        <v>2409.212</v>
      </c>
      <c r="F416" s="126"/>
      <c r="G416" s="126"/>
      <c r="H416" s="126"/>
      <c r="I416" s="126"/>
      <c r="J416" s="126"/>
    </row>
    <row r="417" spans="1:10">
      <c r="A417" s="126"/>
      <c r="B417" s="126"/>
      <c r="C417" s="159" t="s">
        <v>123</v>
      </c>
      <c r="D417" s="160">
        <v>0</v>
      </c>
      <c r="E417" s="156">
        <f>D417*$J$429</f>
        <v>0</v>
      </c>
      <c r="F417" s="126"/>
      <c r="G417" s="126"/>
      <c r="H417" s="126"/>
      <c r="I417" s="126"/>
      <c r="J417" s="126"/>
    </row>
    <row r="418" spans="1:10">
      <c r="A418" s="126"/>
      <c r="B418" s="126"/>
      <c r="C418" s="159" t="s">
        <v>124</v>
      </c>
      <c r="D418" s="160"/>
      <c r="E418" s="156"/>
      <c r="F418" s="126"/>
      <c r="G418" s="126"/>
      <c r="H418" s="126"/>
      <c r="I418" s="126"/>
      <c r="J418" s="126"/>
    </row>
    <row r="419" spans="1:10">
      <c r="A419" s="126"/>
      <c r="B419" s="126"/>
      <c r="C419" s="159" t="s">
        <v>33</v>
      </c>
      <c r="D419" s="160">
        <v>3524</v>
      </c>
      <c r="E419" s="156">
        <f t="shared" ref="E419:E426" si="20">D419*$J$429</f>
        <v>754.13599999999997</v>
      </c>
      <c r="F419" s="126"/>
      <c r="G419" s="126"/>
      <c r="H419" s="126"/>
      <c r="I419" s="126"/>
      <c r="J419" s="126"/>
    </row>
    <row r="420" spans="1:10">
      <c r="A420" s="126"/>
      <c r="B420" s="126"/>
      <c r="C420" s="159" t="s">
        <v>123</v>
      </c>
      <c r="D420" s="160">
        <v>1630</v>
      </c>
      <c r="E420" s="156">
        <f t="shared" si="20"/>
        <v>348.82</v>
      </c>
      <c r="F420" s="126"/>
      <c r="G420" s="126"/>
      <c r="H420" s="126"/>
      <c r="I420" s="126"/>
      <c r="J420" s="126"/>
    </row>
    <row r="421" spans="1:10">
      <c r="A421" s="126"/>
      <c r="B421" s="126"/>
      <c r="C421" s="159" t="s">
        <v>34</v>
      </c>
      <c r="D421" s="160">
        <v>5065</v>
      </c>
      <c r="E421" s="156">
        <f t="shared" si="20"/>
        <v>1083.9100000000001</v>
      </c>
      <c r="F421" s="126"/>
      <c r="G421" s="126"/>
      <c r="H421" s="126"/>
      <c r="I421" s="126"/>
      <c r="J421" s="126"/>
    </row>
    <row r="422" spans="1:10">
      <c r="A422" s="126"/>
      <c r="B422" s="126"/>
      <c r="C422" s="159" t="s">
        <v>35</v>
      </c>
      <c r="D422" s="160">
        <v>308</v>
      </c>
      <c r="E422" s="156">
        <f t="shared" si="20"/>
        <v>65.911999999999992</v>
      </c>
      <c r="F422" s="126"/>
      <c r="G422" s="126"/>
      <c r="H422" s="126"/>
      <c r="I422" s="126"/>
      <c r="J422" s="126"/>
    </row>
    <row r="423" spans="1:10">
      <c r="A423" s="126"/>
      <c r="B423" s="126"/>
      <c r="C423" s="159" t="s">
        <v>106</v>
      </c>
      <c r="D423" s="160">
        <v>827</v>
      </c>
      <c r="E423" s="156">
        <f t="shared" si="20"/>
        <v>176.97800000000001</v>
      </c>
      <c r="F423" s="126"/>
      <c r="G423" s="126"/>
      <c r="H423" s="126"/>
      <c r="I423" s="126"/>
      <c r="J423" s="126"/>
    </row>
    <row r="424" spans="1:10">
      <c r="A424" s="126"/>
      <c r="B424" s="126"/>
      <c r="C424" s="159" t="s">
        <v>125</v>
      </c>
      <c r="D424" s="160">
        <v>49</v>
      </c>
      <c r="E424" s="156">
        <f t="shared" si="20"/>
        <v>10.486000000000001</v>
      </c>
      <c r="F424" s="126"/>
      <c r="G424" s="126"/>
    </row>
    <row r="425" spans="1:10">
      <c r="A425" s="126"/>
      <c r="B425" s="126"/>
      <c r="C425" s="159" t="s">
        <v>126</v>
      </c>
      <c r="D425" s="160">
        <v>0</v>
      </c>
      <c r="E425" s="156">
        <f t="shared" si="20"/>
        <v>0</v>
      </c>
      <c r="F425" s="126"/>
      <c r="G425" s="126"/>
    </row>
    <row r="426" spans="1:10" ht="15.75" thickBot="1">
      <c r="A426" s="126"/>
      <c r="B426" s="126"/>
      <c r="C426" s="159" t="s">
        <v>37</v>
      </c>
      <c r="D426" s="160">
        <v>2154</v>
      </c>
      <c r="E426" s="156">
        <f t="shared" si="20"/>
        <v>460.95600000000002</v>
      </c>
      <c r="F426" s="126"/>
      <c r="G426" s="126"/>
    </row>
    <row r="427" spans="1:10" ht="15.75" thickBot="1">
      <c r="A427" s="126"/>
      <c r="B427" s="126"/>
      <c r="C427" s="161" t="s">
        <v>39</v>
      </c>
      <c r="D427" s="162">
        <f>SUM(D415:D426)</f>
        <v>24815</v>
      </c>
      <c r="E427" s="163">
        <f>SUM(E415:E425)</f>
        <v>4849.4540000000006</v>
      </c>
      <c r="F427" s="126"/>
      <c r="G427" s="126"/>
    </row>
    <row r="429" spans="1:10">
      <c r="A429" s="127" t="s">
        <v>127</v>
      </c>
      <c r="B429" s="126"/>
      <c r="C429" s="126"/>
      <c r="D429" s="126"/>
      <c r="E429" s="126"/>
      <c r="F429" s="126"/>
      <c r="G429" s="126"/>
      <c r="H429" s="126"/>
      <c r="I429" s="127" t="s">
        <v>128</v>
      </c>
      <c r="J429" s="128">
        <f>Model!$AZ$216</f>
        <v>0.214</v>
      </c>
    </row>
    <row r="430" spans="1:10">
      <c r="A430" s="127"/>
      <c r="B430" s="126"/>
      <c r="C430" s="126"/>
      <c r="D430" s="126"/>
      <c r="E430" s="126"/>
      <c r="F430" s="126"/>
      <c r="G430" s="126"/>
      <c r="H430" s="126"/>
      <c r="I430" s="127" t="s">
        <v>129</v>
      </c>
      <c r="J430" s="128">
        <f>AVERAGE(Model!AT215:$AZ$215)</f>
        <v>0.22342857142857145</v>
      </c>
    </row>
    <row r="431" spans="1:10" ht="15.75" thickBot="1">
      <c r="A431" s="127"/>
      <c r="B431" s="126"/>
      <c r="C431" s="126"/>
      <c r="D431" s="126"/>
      <c r="E431" s="126"/>
      <c r="F431" s="126"/>
      <c r="G431" s="126"/>
      <c r="H431" s="127"/>
      <c r="I431" s="127"/>
      <c r="J431" s="128"/>
    </row>
    <row r="432" spans="1:10" ht="26.25">
      <c r="A432" s="126"/>
      <c r="B432" s="126"/>
      <c r="C432" s="129" t="s">
        <v>130</v>
      </c>
      <c r="D432" s="167" t="s">
        <v>55</v>
      </c>
      <c r="E432" s="167" t="s">
        <v>5</v>
      </c>
      <c r="F432" s="130" t="s">
        <v>6</v>
      </c>
      <c r="G432" s="130" t="s">
        <v>7</v>
      </c>
      <c r="H432" s="126"/>
      <c r="I432" s="199" t="s">
        <v>8</v>
      </c>
      <c r="J432" s="200"/>
    </row>
    <row r="433" spans="1:10" ht="15.75" thickBot="1">
      <c r="A433" s="126"/>
      <c r="B433" s="126"/>
      <c r="C433" s="131"/>
      <c r="D433" s="132"/>
      <c r="E433" s="133"/>
      <c r="F433" s="134"/>
      <c r="G433" s="134"/>
      <c r="H433" s="126"/>
      <c r="I433" s="198" t="s">
        <v>71</v>
      </c>
      <c r="J433" s="201" t="s">
        <v>131</v>
      </c>
    </row>
    <row r="434" spans="1:10">
      <c r="A434" s="126"/>
      <c r="B434" s="126"/>
      <c r="C434" s="131" t="s">
        <v>10</v>
      </c>
      <c r="D434" s="135"/>
      <c r="E434" s="136"/>
      <c r="F434" s="134"/>
      <c r="G434" s="134"/>
      <c r="H434" s="126"/>
      <c r="I434" s="126"/>
      <c r="J434" s="126"/>
    </row>
    <row r="435" spans="1:10">
      <c r="A435" s="126"/>
      <c r="B435" s="126"/>
      <c r="C435" s="139" t="s">
        <v>12</v>
      </c>
      <c r="D435" s="185">
        <f>Model!$AZ$108</f>
        <v>314.10599999999999</v>
      </c>
      <c r="E435" s="32">
        <f t="shared" ref="E435:E442" si="21">+D435*$J$429</f>
        <v>67.218683999999996</v>
      </c>
      <c r="F435" s="142"/>
      <c r="G435" s="142"/>
      <c r="H435" s="126"/>
      <c r="I435" s="126"/>
      <c r="J435" s="126"/>
    </row>
    <row r="436" spans="1:10">
      <c r="A436" s="126"/>
      <c r="B436" s="126"/>
      <c r="C436" s="139" t="s">
        <v>15</v>
      </c>
      <c r="D436" s="185">
        <f>Model!$AZ$109</f>
        <v>3461.1010000000001</v>
      </c>
      <c r="E436" s="32">
        <f t="shared" si="21"/>
        <v>740.675614</v>
      </c>
      <c r="F436" s="142"/>
      <c r="G436" s="142"/>
      <c r="H436" s="126"/>
      <c r="I436" s="126"/>
      <c r="J436" s="126"/>
    </row>
    <row r="437" spans="1:10">
      <c r="A437" s="126"/>
      <c r="B437" s="126"/>
      <c r="C437" s="139" t="s">
        <v>16</v>
      </c>
      <c r="D437" s="185">
        <f>Model!$AZ$110</f>
        <v>2229.4760000000001</v>
      </c>
      <c r="E437" s="32">
        <f t="shared" si="21"/>
        <v>477.10786400000001</v>
      </c>
      <c r="F437" s="142"/>
      <c r="G437" s="142"/>
      <c r="H437" s="126"/>
      <c r="I437" s="126"/>
      <c r="J437" s="126"/>
    </row>
    <row r="438" spans="1:10">
      <c r="A438" s="126"/>
      <c r="B438" s="126"/>
      <c r="C438" s="131" t="s">
        <v>17</v>
      </c>
      <c r="D438" s="135"/>
      <c r="E438" s="32">
        <f t="shared" si="21"/>
        <v>0</v>
      </c>
      <c r="F438" s="134"/>
      <c r="G438" s="134"/>
      <c r="H438" s="126"/>
      <c r="I438" s="126"/>
      <c r="J438" s="126"/>
    </row>
    <row r="439" spans="1:10">
      <c r="A439" s="126"/>
      <c r="B439" s="126"/>
      <c r="C439" s="139" t="s">
        <v>12</v>
      </c>
      <c r="D439" s="185">
        <f>Model!$AZ$113</f>
        <v>4592.2539999999999</v>
      </c>
      <c r="E439" s="32">
        <f t="shared" si="21"/>
        <v>982.74235599999997</v>
      </c>
      <c r="F439" s="142"/>
      <c r="G439" s="142"/>
      <c r="H439" s="126"/>
      <c r="I439" s="126"/>
      <c r="J439" s="126"/>
    </row>
    <row r="440" spans="1:10">
      <c r="A440" s="126"/>
      <c r="B440" s="126"/>
      <c r="C440" s="139" t="s">
        <v>15</v>
      </c>
      <c r="D440" s="185">
        <f>Model!$AZ$114</f>
        <v>17674.106</v>
      </c>
      <c r="E440" s="32">
        <f t="shared" si="21"/>
        <v>3782.2586839999999</v>
      </c>
      <c r="F440" s="142"/>
      <c r="G440" s="142"/>
      <c r="H440" s="126"/>
      <c r="I440" s="126"/>
      <c r="J440" s="126"/>
    </row>
    <row r="441" spans="1:10">
      <c r="A441" s="126"/>
      <c r="B441" s="126"/>
      <c r="C441" s="139" t="s">
        <v>16</v>
      </c>
      <c r="D441" s="185">
        <f>Model!$AZ$115</f>
        <v>9494.0529999999999</v>
      </c>
      <c r="E441" s="32">
        <f t="shared" si="21"/>
        <v>2031.7273419999999</v>
      </c>
      <c r="F441" s="142"/>
      <c r="G441" s="142"/>
      <c r="H441" s="202"/>
      <c r="I441" s="126"/>
      <c r="J441" s="126"/>
    </row>
    <row r="442" spans="1:10">
      <c r="A442" s="126"/>
      <c r="B442" s="126"/>
      <c r="C442" s="139" t="s">
        <v>45</v>
      </c>
      <c r="D442" s="166">
        <v>0</v>
      </c>
      <c r="E442" s="32">
        <f t="shared" si="21"/>
        <v>0</v>
      </c>
      <c r="F442" s="146"/>
      <c r="G442" s="146"/>
      <c r="H442" s="126"/>
      <c r="I442" s="126"/>
      <c r="J442" s="126"/>
    </row>
    <row r="443" spans="1:10">
      <c r="A443" s="126"/>
      <c r="B443" s="126"/>
      <c r="C443" s="137" t="s">
        <v>18</v>
      </c>
      <c r="D443" s="143">
        <f>SUM(D435:D442)</f>
        <v>37765.096000000005</v>
      </c>
      <c r="E443" s="143">
        <f>SUM(E435:E442)</f>
        <v>8081.730544</v>
      </c>
      <c r="F443" s="138">
        <f>+D443/D448</f>
        <v>3.775755581610353</v>
      </c>
      <c r="G443" s="138">
        <f>+E443/E448</f>
        <v>3.6164206273991737</v>
      </c>
      <c r="H443" s="126"/>
      <c r="I443" s="126"/>
      <c r="J443" s="126"/>
    </row>
    <row r="444" spans="1:10">
      <c r="A444" s="126"/>
      <c r="B444" s="126"/>
      <c r="C444" s="139" t="s">
        <v>19</v>
      </c>
      <c r="D444" s="147">
        <f>Model!$AZ$123</f>
        <v>6270.49</v>
      </c>
      <c r="E444" s="32">
        <f>+D444*$J$429</f>
        <v>1341.8848599999999</v>
      </c>
      <c r="F444" s="140"/>
      <c r="G444" s="140"/>
      <c r="H444" s="126"/>
      <c r="I444" s="126"/>
      <c r="J444" s="126"/>
    </row>
    <row r="445" spans="1:10">
      <c r="A445" s="126"/>
      <c r="B445" s="126"/>
      <c r="C445" s="137" t="s">
        <v>20</v>
      </c>
      <c r="D445" s="143">
        <f>+D443-D444</f>
        <v>31494.606000000007</v>
      </c>
      <c r="E445" s="144">
        <f>+E443-E444</f>
        <v>6739.8456839999999</v>
      </c>
      <c r="F445" s="138">
        <f>+D445/D448</f>
        <v>3.1488317782938755</v>
      </c>
      <c r="G445" s="138">
        <f>+E445/E448</f>
        <v>3.0159526879055143</v>
      </c>
      <c r="H445" s="126"/>
      <c r="I445" s="126"/>
      <c r="J445" s="126"/>
    </row>
    <row r="446" spans="1:10">
      <c r="A446" s="126"/>
      <c r="B446" s="126"/>
      <c r="C446" s="141" t="s">
        <v>21</v>
      </c>
      <c r="D446" s="148">
        <f>Model!$AZ$131</f>
        <v>31133.85</v>
      </c>
      <c r="E446" s="32">
        <f>+D446*$J$429</f>
        <v>6662.6438999999991</v>
      </c>
      <c r="F446" s="142"/>
      <c r="G446" s="142"/>
      <c r="H446" s="126"/>
      <c r="I446" s="126"/>
      <c r="J446" s="126"/>
    </row>
    <row r="447" spans="1:10">
      <c r="A447" s="126"/>
      <c r="B447" s="126"/>
      <c r="C447" s="137" t="s">
        <v>22</v>
      </c>
      <c r="D447" s="143">
        <f>D443+D446</f>
        <v>68898.945999999996</v>
      </c>
      <c r="E447" s="144">
        <f>E443+E446</f>
        <v>14744.374443999999</v>
      </c>
      <c r="F447" s="138">
        <f>D447/D448</f>
        <v>6.8885189627631362</v>
      </c>
      <c r="G447" s="138">
        <f>E447/E448</f>
        <v>6.5978269860736427</v>
      </c>
      <c r="H447" s="126"/>
      <c r="I447" s="126"/>
      <c r="J447" s="126"/>
    </row>
    <row r="448" spans="1:10">
      <c r="A448" s="126"/>
      <c r="B448" s="126"/>
      <c r="C448" s="145" t="s">
        <v>23</v>
      </c>
      <c r="D448" s="149">
        <f>Model!$AZ$90</f>
        <v>10001.996999999999</v>
      </c>
      <c r="E448" s="150">
        <f>D448*J430</f>
        <v>2234.7319011428572</v>
      </c>
      <c r="F448" s="146"/>
      <c r="G448" s="146"/>
      <c r="H448" s="126"/>
      <c r="I448" s="126"/>
      <c r="J448" s="126"/>
    </row>
    <row r="449" spans="1:11">
      <c r="A449" s="126"/>
      <c r="B449" s="126"/>
      <c r="C449" s="126"/>
      <c r="D449" s="126"/>
      <c r="E449" s="126"/>
      <c r="F449" s="126"/>
      <c r="G449" s="126"/>
      <c r="H449" s="126"/>
      <c r="I449" s="126"/>
      <c r="J449" s="126"/>
    </row>
    <row r="450" spans="1:11">
      <c r="A450" s="126"/>
      <c r="B450" s="126"/>
      <c r="C450" s="151" t="s">
        <v>24</v>
      </c>
      <c r="D450" s="152">
        <f>+D443-Model!$AZ$116</f>
        <v>0</v>
      </c>
      <c r="E450" s="153"/>
      <c r="F450" s="126"/>
      <c r="G450" s="126"/>
      <c r="H450" s="126"/>
      <c r="I450" s="126"/>
      <c r="J450" s="126"/>
    </row>
    <row r="451" spans="1:11" ht="15.75" thickBot="1">
      <c r="F451" s="86"/>
    </row>
    <row r="452" spans="1:11" ht="26.25">
      <c r="A452" s="126"/>
      <c r="B452" s="126"/>
      <c r="C452" s="154" t="s">
        <v>132</v>
      </c>
      <c r="D452" s="164" t="s">
        <v>55</v>
      </c>
      <c r="E452" s="164" t="s">
        <v>5</v>
      </c>
      <c r="F452" s="126"/>
      <c r="G452" s="126"/>
      <c r="H452" s="154" t="s">
        <v>133</v>
      </c>
      <c r="I452" s="206" t="s">
        <v>55</v>
      </c>
      <c r="J452" s="208" t="s">
        <v>5</v>
      </c>
      <c r="K452" s="203" t="s">
        <v>84</v>
      </c>
    </row>
    <row r="453" spans="1:11">
      <c r="A453" s="126"/>
      <c r="B453" s="126"/>
      <c r="C453" s="155" t="s">
        <v>74</v>
      </c>
      <c r="D453" s="160">
        <v>0</v>
      </c>
      <c r="E453" s="156">
        <f>D453*$J$429</f>
        <v>0</v>
      </c>
      <c r="F453" s="126"/>
      <c r="G453" s="126"/>
      <c r="H453" s="159" t="s">
        <v>85</v>
      </c>
      <c r="I453" s="211">
        <f>($D$435+$D$436+$D$439+$D$440)/$K$457*K453</f>
        <v>4166.6507199999996</v>
      </c>
      <c r="J453" s="209">
        <f>I453*$J$429</f>
        <v>891.66325407999989</v>
      </c>
      <c r="K453" s="204">
        <v>0.16</v>
      </c>
    </row>
    <row r="454" spans="1:11">
      <c r="A454" s="126"/>
      <c r="B454" s="126"/>
      <c r="C454" s="155" t="s">
        <v>47</v>
      </c>
      <c r="D454" s="156">
        <f>D444</f>
        <v>6270.49</v>
      </c>
      <c r="E454" s="156">
        <f>D454*$J$429</f>
        <v>1341.8848599999999</v>
      </c>
      <c r="F454" s="126"/>
      <c r="G454" s="126"/>
      <c r="H454" s="159" t="s">
        <v>86</v>
      </c>
      <c r="I454" s="211">
        <f t="shared" ref="I454:I456" si="22">($D$435+$D$436+$D$439+$D$440)/$K$457*K454</f>
        <v>11197.873809999999</v>
      </c>
      <c r="J454" s="209">
        <f>I454*$J$429</f>
        <v>2396.34499534</v>
      </c>
      <c r="K454" s="204">
        <v>0.43</v>
      </c>
    </row>
    <row r="455" spans="1:11" ht="15.75" thickBot="1">
      <c r="A455" s="126"/>
      <c r="B455" s="126"/>
      <c r="C455" s="157"/>
      <c r="D455" s="183">
        <f>SUM(D453:D454)</f>
        <v>6270.49</v>
      </c>
      <c r="E455" s="183">
        <f>SUM(E453:E454)</f>
        <v>1341.8848599999999</v>
      </c>
      <c r="F455" s="126"/>
      <c r="G455" s="126"/>
      <c r="H455" s="159" t="s">
        <v>87</v>
      </c>
      <c r="I455" s="211">
        <f t="shared" si="22"/>
        <v>5989.56041</v>
      </c>
      <c r="J455" s="209">
        <f>I455*$J$429</f>
        <v>1281.7659277400001</v>
      </c>
      <c r="K455" s="204">
        <v>0.23</v>
      </c>
    </row>
    <row r="456" spans="1:11" ht="15.75" thickBot="1">
      <c r="A456" s="126"/>
      <c r="B456" s="126"/>
      <c r="C456" s="126"/>
      <c r="D456" s="126"/>
      <c r="E456" s="126"/>
      <c r="F456" s="126"/>
      <c r="G456" s="126"/>
      <c r="H456" s="159" t="s">
        <v>88</v>
      </c>
      <c r="I456" s="211">
        <f t="shared" si="22"/>
        <v>4687.4820599999994</v>
      </c>
      <c r="J456" s="209">
        <f>I456*$J$429</f>
        <v>1003.1211608399998</v>
      </c>
      <c r="K456" s="204">
        <v>0.18</v>
      </c>
    </row>
    <row r="457" spans="1:11" ht="15.75" thickBot="1">
      <c r="A457" s="126"/>
      <c r="B457" s="126"/>
      <c r="C457" s="154" t="s">
        <v>134</v>
      </c>
      <c r="D457" s="164" t="s">
        <v>55</v>
      </c>
      <c r="E457" s="164" t="s">
        <v>5</v>
      </c>
      <c r="F457" s="126"/>
      <c r="G457" s="126"/>
      <c r="H457" s="192" t="s">
        <v>31</v>
      </c>
      <c r="I457" s="207">
        <f>SUM(I453:I456)</f>
        <v>26041.566999999999</v>
      </c>
      <c r="J457" s="210">
        <f>SUM(J453:J456)</f>
        <v>5572.8953379999994</v>
      </c>
      <c r="K457" s="205">
        <f>SUM(K453:K456)</f>
        <v>1</v>
      </c>
    </row>
    <row r="458" spans="1:11">
      <c r="A458" s="126"/>
      <c r="B458" s="126"/>
      <c r="C458" s="159" t="s">
        <v>122</v>
      </c>
      <c r="D458" s="160"/>
      <c r="E458" s="156"/>
      <c r="F458" s="126"/>
      <c r="G458" s="126"/>
      <c r="H458" s="126"/>
      <c r="I458" s="126"/>
      <c r="J458" s="126"/>
    </row>
    <row r="459" spans="1:11">
      <c r="A459" s="126"/>
      <c r="B459" s="126"/>
      <c r="C459" s="159" t="s">
        <v>33</v>
      </c>
      <c r="D459" s="160">
        <v>11748</v>
      </c>
      <c r="E459" s="156">
        <f>D459*$J$429</f>
        <v>2514.0720000000001</v>
      </c>
      <c r="F459" s="126"/>
      <c r="G459" s="126"/>
      <c r="H459" s="126"/>
      <c r="I459" s="126"/>
      <c r="J459" s="126"/>
    </row>
    <row r="460" spans="1:11">
      <c r="A460" s="126"/>
      <c r="B460" s="126"/>
      <c r="C460" s="159" t="s">
        <v>123</v>
      </c>
      <c r="D460" s="160">
        <v>0</v>
      </c>
      <c r="E460" s="156">
        <f>D460*$J$429</f>
        <v>0</v>
      </c>
      <c r="F460" s="126"/>
      <c r="G460" s="126"/>
      <c r="H460" s="126"/>
      <c r="I460" s="126"/>
      <c r="J460" s="126"/>
    </row>
    <row r="461" spans="1:11">
      <c r="A461" s="126"/>
      <c r="B461" s="126"/>
      <c r="C461" s="159" t="s">
        <v>124</v>
      </c>
      <c r="D461" s="160"/>
      <c r="E461" s="156"/>
      <c r="F461" s="126"/>
      <c r="G461" s="126"/>
      <c r="H461" s="126"/>
      <c r="I461" s="126"/>
      <c r="J461" s="126"/>
    </row>
    <row r="462" spans="1:11">
      <c r="A462" s="126"/>
      <c r="B462" s="126"/>
      <c r="C462" s="159" t="s">
        <v>33</v>
      </c>
      <c r="D462" s="160">
        <v>3345</v>
      </c>
      <c r="E462" s="156">
        <f t="shared" ref="E462:E469" si="23">D462*$J$429</f>
        <v>715.83</v>
      </c>
      <c r="F462" s="126"/>
      <c r="G462" s="126"/>
      <c r="H462" s="126"/>
      <c r="I462" s="126"/>
      <c r="J462" s="126"/>
    </row>
    <row r="463" spans="1:11">
      <c r="A463" s="126"/>
      <c r="B463" s="126"/>
      <c r="C463" s="159" t="s">
        <v>123</v>
      </c>
      <c r="D463" s="160">
        <v>1656</v>
      </c>
      <c r="E463" s="156">
        <f t="shared" si="23"/>
        <v>354.38400000000001</v>
      </c>
      <c r="F463" s="126"/>
      <c r="G463" s="126"/>
      <c r="H463" s="126"/>
      <c r="I463" s="126"/>
      <c r="J463" s="126"/>
    </row>
    <row r="464" spans="1:11">
      <c r="A464" s="126"/>
      <c r="B464" s="126"/>
      <c r="C464" s="159" t="s">
        <v>34</v>
      </c>
      <c r="D464" s="160">
        <v>5012</v>
      </c>
      <c r="E464" s="156">
        <f t="shared" si="23"/>
        <v>1072.568</v>
      </c>
      <c r="F464" s="126"/>
      <c r="G464" s="126"/>
      <c r="H464" s="126"/>
      <c r="I464" s="126"/>
      <c r="J464" s="126"/>
    </row>
    <row r="465" spans="1:16">
      <c r="A465" s="126"/>
      <c r="B465" s="126"/>
      <c r="C465" s="159" t="s">
        <v>35</v>
      </c>
      <c r="D465" s="160">
        <v>428</v>
      </c>
      <c r="E465" s="156">
        <f t="shared" si="23"/>
        <v>91.591999999999999</v>
      </c>
      <c r="F465" s="126"/>
      <c r="G465" s="126"/>
      <c r="H465" s="126"/>
      <c r="I465" s="126"/>
      <c r="J465" s="126"/>
    </row>
    <row r="466" spans="1:16">
      <c r="A466" s="126"/>
      <c r="B466" s="126"/>
      <c r="C466" s="159" t="s">
        <v>106</v>
      </c>
      <c r="D466" s="160">
        <v>999</v>
      </c>
      <c r="E466" s="156">
        <f t="shared" si="23"/>
        <v>213.786</v>
      </c>
      <c r="F466" s="126"/>
      <c r="G466" s="126"/>
      <c r="H466" s="126"/>
      <c r="I466" s="126"/>
      <c r="J466" s="126"/>
    </row>
    <row r="467" spans="1:16">
      <c r="A467" s="126"/>
      <c r="B467" s="126"/>
      <c r="C467" s="159" t="s">
        <v>125</v>
      </c>
      <c r="D467" s="160">
        <v>63</v>
      </c>
      <c r="E467" s="156">
        <f t="shared" si="23"/>
        <v>13.481999999999999</v>
      </c>
      <c r="F467" s="126"/>
      <c r="G467" s="126"/>
    </row>
    <row r="468" spans="1:16">
      <c r="A468" s="126"/>
      <c r="B468" s="126"/>
      <c r="C468" s="159" t="s">
        <v>126</v>
      </c>
      <c r="D468" s="160">
        <v>579</v>
      </c>
      <c r="E468" s="156">
        <f t="shared" si="23"/>
        <v>123.90599999999999</v>
      </c>
      <c r="F468" s="126"/>
      <c r="G468" s="126"/>
      <c r="P468" s="213">
        <f>D533-D402</f>
        <v>-2659.8310000000092</v>
      </c>
    </row>
    <row r="469" spans="1:16" ht="15.75" thickBot="1">
      <c r="A469" s="126"/>
      <c r="B469" s="126"/>
      <c r="C469" s="159" t="s">
        <v>37</v>
      </c>
      <c r="D469" s="160">
        <v>2197</v>
      </c>
      <c r="E469" s="156">
        <f t="shared" si="23"/>
        <v>470.15800000000002</v>
      </c>
      <c r="F469" s="126"/>
      <c r="G469" s="126"/>
    </row>
    <row r="470" spans="1:16" ht="15.75" thickBot="1">
      <c r="A470" s="126"/>
      <c r="B470" s="126"/>
      <c r="C470" s="161" t="s">
        <v>39</v>
      </c>
      <c r="D470" s="162">
        <f>SUM(D458:D469)</f>
        <v>26027</v>
      </c>
      <c r="E470" s="163">
        <f>SUM(E458:E468)</f>
        <v>5099.62</v>
      </c>
      <c r="F470" s="126"/>
      <c r="G470" s="126"/>
    </row>
    <row r="472" spans="1:16">
      <c r="C472" s="151"/>
      <c r="D472" s="152"/>
    </row>
    <row r="473" spans="1:16">
      <c r="A473" s="127" t="s">
        <v>135</v>
      </c>
      <c r="B473" s="126"/>
      <c r="C473" s="126"/>
      <c r="D473" s="126"/>
      <c r="E473" s="126"/>
      <c r="F473" s="126"/>
      <c r="G473" s="126"/>
      <c r="H473" s="126"/>
      <c r="I473" s="127" t="s">
        <v>136</v>
      </c>
      <c r="J473" s="128">
        <f>Model!AX216</f>
        <v>0.22600000000000001</v>
      </c>
    </row>
    <row r="474" spans="1:16">
      <c r="A474" s="127"/>
      <c r="B474" s="126"/>
      <c r="C474" s="126"/>
      <c r="D474" s="126"/>
      <c r="E474" s="126"/>
      <c r="F474" s="126"/>
      <c r="G474" s="126"/>
      <c r="H474" s="126"/>
      <c r="I474" s="127" t="s">
        <v>137</v>
      </c>
      <c r="J474" s="128">
        <f>Model!AX215</f>
        <v>0.22770000000000001</v>
      </c>
    </row>
    <row r="475" spans="1:16">
      <c r="A475" s="127"/>
      <c r="B475" s="126"/>
      <c r="C475" s="126"/>
      <c r="D475" s="126"/>
      <c r="E475" s="126"/>
      <c r="F475" s="126"/>
      <c r="G475" s="126"/>
      <c r="H475" s="127"/>
      <c r="I475" s="127"/>
      <c r="J475" s="128"/>
    </row>
    <row r="476" spans="1:16" ht="26.25">
      <c r="A476" s="126"/>
      <c r="B476" s="126"/>
      <c r="C476" s="129" t="s">
        <v>138</v>
      </c>
      <c r="D476" s="167" t="s">
        <v>55</v>
      </c>
      <c r="E476" s="167" t="s">
        <v>5</v>
      </c>
      <c r="F476" s="130" t="s">
        <v>6</v>
      </c>
      <c r="G476" s="130" t="s">
        <v>7</v>
      </c>
      <c r="H476" s="126"/>
      <c r="I476" s="126"/>
      <c r="J476" s="126"/>
    </row>
    <row r="477" spans="1:16">
      <c r="A477" s="126"/>
      <c r="B477" s="126"/>
      <c r="C477" s="131"/>
      <c r="D477" s="132"/>
      <c r="E477" s="133"/>
      <c r="F477" s="134"/>
      <c r="G477" s="134"/>
      <c r="H477" s="126"/>
      <c r="I477" s="126"/>
      <c r="J477" s="126"/>
    </row>
    <row r="478" spans="1:16">
      <c r="A478" s="126"/>
      <c r="B478" s="126"/>
      <c r="C478" s="131" t="s">
        <v>10</v>
      </c>
      <c r="D478" s="135"/>
      <c r="E478" s="136"/>
      <c r="F478" s="134"/>
      <c r="G478" s="134"/>
      <c r="H478" s="126"/>
      <c r="I478" s="126"/>
      <c r="J478" s="126"/>
    </row>
    <row r="479" spans="1:16">
      <c r="A479" s="126"/>
      <c r="B479" s="126"/>
      <c r="C479" s="139" t="s">
        <v>12</v>
      </c>
      <c r="D479" s="185">
        <f>Model!AX108</f>
        <v>401.42399999999998</v>
      </c>
      <c r="E479" s="32">
        <f t="shared" ref="E479:E486" si="24">+D479*$J$473</f>
        <v>90.721823999999998</v>
      </c>
      <c r="F479" s="142"/>
      <c r="G479" s="142"/>
      <c r="H479" s="126"/>
      <c r="I479" s="126"/>
      <c r="J479" s="126"/>
    </row>
    <row r="480" spans="1:16">
      <c r="A480" s="126"/>
      <c r="B480" s="126"/>
      <c r="C480" s="139" t="s">
        <v>15</v>
      </c>
      <c r="D480" s="185">
        <f>Model!AX109</f>
        <v>6872.0590000000002</v>
      </c>
      <c r="E480" s="32">
        <f t="shared" si="24"/>
        <v>1553.0853340000001</v>
      </c>
      <c r="F480" s="142"/>
      <c r="G480" s="142"/>
      <c r="H480" s="126"/>
      <c r="I480" s="126"/>
      <c r="J480" s="126"/>
    </row>
    <row r="481" spans="1:10">
      <c r="A481" s="126"/>
      <c r="B481" s="126"/>
      <c r="C481" s="139" t="s">
        <v>16</v>
      </c>
      <c r="D481" s="185">
        <f>Model!AX110</f>
        <v>2358.6390000000001</v>
      </c>
      <c r="E481" s="32">
        <f t="shared" si="24"/>
        <v>533.052414</v>
      </c>
      <c r="F481" s="142"/>
      <c r="G481" s="142"/>
      <c r="H481" s="126"/>
      <c r="I481" s="126"/>
      <c r="J481" s="126"/>
    </row>
    <row r="482" spans="1:10">
      <c r="A482" s="126"/>
      <c r="B482" s="126"/>
      <c r="C482" s="131" t="s">
        <v>17</v>
      </c>
      <c r="D482" s="135"/>
      <c r="E482" s="32">
        <f t="shared" si="24"/>
        <v>0</v>
      </c>
      <c r="F482" s="134"/>
      <c r="G482" s="134"/>
      <c r="H482" s="126"/>
      <c r="I482" s="126"/>
      <c r="J482" s="126"/>
    </row>
    <row r="483" spans="1:10">
      <c r="A483" s="126"/>
      <c r="B483" s="126"/>
      <c r="C483" s="139" t="s">
        <v>12</v>
      </c>
      <c r="D483" s="185">
        <f>Model!AX113</f>
        <v>2706.9549999999999</v>
      </c>
      <c r="E483" s="32">
        <f t="shared" si="24"/>
        <v>611.77183000000002</v>
      </c>
      <c r="F483" s="142"/>
      <c r="G483" s="142"/>
      <c r="H483" s="126"/>
      <c r="I483" s="126"/>
      <c r="J483" s="126"/>
    </row>
    <row r="484" spans="1:10">
      <c r="A484" s="126"/>
      <c r="B484" s="126"/>
      <c r="C484" s="139" t="s">
        <v>15</v>
      </c>
      <c r="D484" s="185">
        <f>Model!AX114</f>
        <v>15874.569</v>
      </c>
      <c r="E484" s="32">
        <f t="shared" si="24"/>
        <v>3587.6525940000001</v>
      </c>
      <c r="F484" s="142"/>
      <c r="G484" s="142"/>
      <c r="H484" s="126"/>
      <c r="I484" s="126"/>
      <c r="J484" s="126"/>
    </row>
    <row r="485" spans="1:10">
      <c r="A485" s="126"/>
      <c r="B485" s="126"/>
      <c r="C485" s="139" t="s">
        <v>16</v>
      </c>
      <c r="D485" s="185">
        <f>Model!AX115</f>
        <v>8452.7029999999995</v>
      </c>
      <c r="E485" s="32">
        <f t="shared" si="24"/>
        <v>1910.310878</v>
      </c>
      <c r="F485" s="142"/>
      <c r="G485" s="142"/>
      <c r="H485" s="126"/>
      <c r="I485" s="126"/>
      <c r="J485" s="126"/>
    </row>
    <row r="486" spans="1:10">
      <c r="A486" s="126"/>
      <c r="B486" s="126"/>
      <c r="C486" s="139" t="s">
        <v>45</v>
      </c>
      <c r="D486" s="166">
        <v>0</v>
      </c>
      <c r="E486" s="32">
        <f t="shared" si="24"/>
        <v>0</v>
      </c>
      <c r="F486" s="146"/>
      <c r="G486" s="146"/>
      <c r="H486" s="126"/>
      <c r="I486" s="126"/>
      <c r="J486" s="126"/>
    </row>
    <row r="487" spans="1:10">
      <c r="A487" s="126"/>
      <c r="B487" s="126"/>
      <c r="C487" s="137" t="s">
        <v>18</v>
      </c>
      <c r="D487" s="143">
        <f>SUM(D479:D486)</f>
        <v>36666.349000000002</v>
      </c>
      <c r="E487" s="143">
        <f>SUM(E479:E486)</f>
        <v>8286.5948740000003</v>
      </c>
      <c r="F487" s="138">
        <f>+D487/D492</f>
        <v>3.8181481834759663</v>
      </c>
      <c r="G487" s="138">
        <f>+E487/E492</f>
        <v>3.7896420266384205</v>
      </c>
      <c r="H487" s="126"/>
      <c r="I487" s="126"/>
      <c r="J487" s="126"/>
    </row>
    <row r="488" spans="1:10">
      <c r="A488" s="126"/>
      <c r="B488" s="126"/>
      <c r="C488" s="139" t="s">
        <v>19</v>
      </c>
      <c r="D488" s="147">
        <f>Model!AX123</f>
        <v>5455.3030000000008</v>
      </c>
      <c r="E488" s="32">
        <f>+D488*$J$473</f>
        <v>1232.8984780000003</v>
      </c>
      <c r="F488" s="140"/>
      <c r="G488" s="140"/>
      <c r="H488" s="126"/>
      <c r="I488" s="126"/>
      <c r="J488" s="126"/>
    </row>
    <row r="489" spans="1:10">
      <c r="A489" s="126"/>
      <c r="B489" s="126"/>
      <c r="C489" s="137" t="s">
        <v>20</v>
      </c>
      <c r="D489" s="143">
        <f>+D487-D488</f>
        <v>31211.046000000002</v>
      </c>
      <c r="E489" s="144">
        <f>+E487-E488</f>
        <v>7053.6963960000003</v>
      </c>
      <c r="F489" s="138">
        <f>+D489/D492</f>
        <v>3.2500753917245708</v>
      </c>
      <c r="G489" s="138">
        <f>+E489/E492</f>
        <v>3.2258104458926349</v>
      </c>
      <c r="H489" s="126"/>
      <c r="I489" s="126"/>
      <c r="J489" s="126"/>
    </row>
    <row r="490" spans="1:10">
      <c r="A490" s="126"/>
      <c r="B490" s="126"/>
      <c r="C490" s="141" t="s">
        <v>21</v>
      </c>
      <c r="D490" s="148">
        <f>Model!AX131</f>
        <v>30858.001</v>
      </c>
      <c r="E490" s="32">
        <f>+D490*$J$473</f>
        <v>6973.9082260000005</v>
      </c>
      <c r="F490" s="142"/>
      <c r="G490" s="142"/>
      <c r="H490" s="126"/>
      <c r="I490" s="126"/>
      <c r="J490" s="126"/>
    </row>
    <row r="491" spans="1:10">
      <c r="A491" s="126"/>
      <c r="B491" s="126"/>
      <c r="C491" s="137" t="s">
        <v>22</v>
      </c>
      <c r="D491" s="143">
        <f>D487+D490</f>
        <v>67524.350000000006</v>
      </c>
      <c r="E491" s="144">
        <f>E487+E490</f>
        <v>15260.503100000002</v>
      </c>
      <c r="F491" s="138">
        <f>D491/D492</f>
        <v>7.0314602169115714</v>
      </c>
      <c r="G491" s="138">
        <f>E491/E492</f>
        <v>6.9789635881511423</v>
      </c>
      <c r="H491" s="126"/>
      <c r="I491" s="126"/>
      <c r="J491" s="126"/>
    </row>
    <row r="492" spans="1:10">
      <c r="A492" s="126"/>
      <c r="B492" s="126"/>
      <c r="C492" s="145" t="s">
        <v>23</v>
      </c>
      <c r="D492" s="149">
        <f>Model!AX90</f>
        <v>9603.1760000000013</v>
      </c>
      <c r="E492" s="150">
        <f>D492*J474</f>
        <v>2186.6431752000003</v>
      </c>
      <c r="F492" s="146"/>
      <c r="G492" s="146"/>
      <c r="H492" s="126"/>
      <c r="I492" s="126"/>
      <c r="J492" s="126"/>
    </row>
    <row r="493" spans="1:10">
      <c r="A493" s="126"/>
      <c r="B493" s="126"/>
      <c r="C493" s="126"/>
      <c r="D493" s="126"/>
      <c r="E493" s="126"/>
      <c r="F493" s="126"/>
      <c r="G493" s="126"/>
      <c r="H493" s="126"/>
      <c r="I493" s="126"/>
      <c r="J493" s="126"/>
    </row>
    <row r="494" spans="1:10">
      <c r="A494" s="126"/>
      <c r="B494" s="126"/>
      <c r="C494" s="151" t="s">
        <v>24</v>
      </c>
      <c r="D494" s="152">
        <f>+D487-Model!AX116</f>
        <v>0</v>
      </c>
      <c r="E494" s="153"/>
      <c r="F494" s="126"/>
      <c r="G494" s="126"/>
      <c r="H494" s="126"/>
      <c r="I494" s="126"/>
      <c r="J494" s="126"/>
    </row>
    <row r="495" spans="1:10" ht="15.75" thickBot="1">
      <c r="F495" s="86"/>
    </row>
    <row r="496" spans="1:10" ht="26.25">
      <c r="A496" s="126"/>
      <c r="B496" s="126"/>
      <c r="C496" s="154" t="s">
        <v>139</v>
      </c>
      <c r="D496" s="164" t="s">
        <v>55</v>
      </c>
      <c r="E496" s="164" t="s">
        <v>5</v>
      </c>
      <c r="F496" s="126"/>
      <c r="G496" s="126"/>
      <c r="H496" s="154" t="s">
        <v>140</v>
      </c>
      <c r="I496" s="191" t="s">
        <v>55</v>
      </c>
      <c r="J496" s="164" t="s">
        <v>5</v>
      </c>
    </row>
    <row r="497" spans="1:10">
      <c r="A497" s="126"/>
      <c r="B497" s="126"/>
      <c r="C497" s="155" t="s">
        <v>74</v>
      </c>
      <c r="D497" s="160">
        <v>0</v>
      </c>
      <c r="E497" s="156">
        <f>D497*$J$473</f>
        <v>0</v>
      </c>
      <c r="F497" s="126"/>
      <c r="G497" s="126"/>
      <c r="H497" s="159">
        <v>2023</v>
      </c>
      <c r="I497" s="160">
        <v>4280</v>
      </c>
      <c r="J497" s="156">
        <f>I497*$J$473</f>
        <v>967.28</v>
      </c>
    </row>
    <row r="498" spans="1:10">
      <c r="A498" s="126"/>
      <c r="B498" s="126"/>
      <c r="C498" s="155" t="s">
        <v>47</v>
      </c>
      <c r="D498" s="156">
        <f>D488</f>
        <v>5455.3030000000008</v>
      </c>
      <c r="E498" s="156">
        <f>D498*$J$473</f>
        <v>1232.8984780000003</v>
      </c>
      <c r="F498" s="126"/>
      <c r="G498" s="126"/>
      <c r="H498" s="159" t="s">
        <v>141</v>
      </c>
      <c r="I498" s="160">
        <f>133.84+1465.66+2279.59</f>
        <v>3879.09</v>
      </c>
      <c r="J498" s="156">
        <f>I498*$J$473</f>
        <v>876.67434000000003</v>
      </c>
    </row>
    <row r="499" spans="1:10" ht="15.75" thickBot="1">
      <c r="A499" s="126"/>
      <c r="B499" s="126"/>
      <c r="C499" s="157"/>
      <c r="D499" s="183">
        <f>SUM(D497:D498)</f>
        <v>5455.3030000000008</v>
      </c>
      <c r="E499" s="183">
        <f>SUM(E497:E498)</f>
        <v>1232.8984780000003</v>
      </c>
      <c r="F499" s="126"/>
      <c r="G499" s="126"/>
      <c r="H499" s="159" t="s">
        <v>142</v>
      </c>
      <c r="I499" s="160">
        <f>1873.99+40.34+432.02+2275</f>
        <v>4621.3500000000004</v>
      </c>
      <c r="J499" s="156">
        <f>I499*$J$473</f>
        <v>1044.4251000000002</v>
      </c>
    </row>
    <row r="500" spans="1:10" ht="15.75" thickBot="1">
      <c r="A500" s="126"/>
      <c r="B500" s="126"/>
      <c r="C500" s="126"/>
      <c r="D500" s="126"/>
      <c r="E500" s="126"/>
      <c r="F500" s="126"/>
      <c r="G500" s="126"/>
      <c r="H500" s="159" t="s">
        <v>143</v>
      </c>
      <c r="I500" s="160">
        <f>533.74+4550</f>
        <v>5083.74</v>
      </c>
      <c r="J500" s="156">
        <f>I500*$J$473</f>
        <v>1148.92524</v>
      </c>
    </row>
    <row r="501" spans="1:10" ht="15.75" thickBot="1">
      <c r="A501" s="126"/>
      <c r="B501" s="126"/>
      <c r="C501" s="154" t="s">
        <v>144</v>
      </c>
      <c r="D501" s="164" t="s">
        <v>55</v>
      </c>
      <c r="E501" s="164" t="s">
        <v>5</v>
      </c>
      <c r="F501" s="126"/>
      <c r="G501" s="126"/>
      <c r="H501" s="192" t="s">
        <v>31</v>
      </c>
      <c r="I501" s="193">
        <f>SUM(I497:I500)</f>
        <v>17864.18</v>
      </c>
      <c r="J501" s="158">
        <f>I501*$J$561</f>
        <v>3851.5172080000002</v>
      </c>
    </row>
    <row r="502" spans="1:10">
      <c r="A502" s="126"/>
      <c r="B502" s="126"/>
      <c r="C502" s="159" t="s">
        <v>122</v>
      </c>
      <c r="D502" s="160"/>
      <c r="E502" s="156"/>
      <c r="F502" s="126"/>
      <c r="G502" s="126"/>
      <c r="H502" s="126"/>
      <c r="I502" s="126"/>
      <c r="J502" s="126"/>
    </row>
    <row r="503" spans="1:10">
      <c r="A503" s="126"/>
      <c r="B503" s="126"/>
      <c r="C503" s="159" t="s">
        <v>33</v>
      </c>
      <c r="D503" s="160">
        <v>11649</v>
      </c>
      <c r="E503" s="156">
        <f>D503*$J$473</f>
        <v>2632.674</v>
      </c>
      <c r="F503" s="126"/>
      <c r="G503" s="126"/>
      <c r="H503" s="126"/>
      <c r="I503" s="126"/>
      <c r="J503" s="126"/>
    </row>
    <row r="504" spans="1:10">
      <c r="A504" s="126"/>
      <c r="B504" s="126"/>
      <c r="C504" s="159" t="s">
        <v>123</v>
      </c>
      <c r="D504" s="160">
        <v>1365</v>
      </c>
      <c r="E504" s="156">
        <f>D504*$J$473</f>
        <v>308.49</v>
      </c>
      <c r="F504" s="126"/>
      <c r="G504" s="126"/>
      <c r="H504" s="126"/>
      <c r="I504" s="126"/>
      <c r="J504" s="126"/>
    </row>
    <row r="505" spans="1:10">
      <c r="A505" s="126"/>
      <c r="B505" s="126"/>
      <c r="C505" s="159" t="s">
        <v>124</v>
      </c>
      <c r="D505" s="160"/>
      <c r="E505" s="156"/>
      <c r="F505" s="126"/>
      <c r="G505" s="126"/>
      <c r="H505" s="126"/>
      <c r="I505" s="126"/>
      <c r="J505" s="126"/>
    </row>
    <row r="506" spans="1:10">
      <c r="A506" s="126"/>
      <c r="B506" s="126"/>
      <c r="C506" s="159" t="s">
        <v>33</v>
      </c>
      <c r="D506" s="160">
        <v>3139</v>
      </c>
      <c r="E506" s="156">
        <f t="shared" ref="E506:E513" si="25">D506*$J$473</f>
        <v>709.41399999999999</v>
      </c>
      <c r="F506" s="126"/>
      <c r="G506" s="126"/>
      <c r="H506" s="126"/>
      <c r="I506" s="126"/>
      <c r="J506" s="126"/>
    </row>
    <row r="507" spans="1:10">
      <c r="A507" s="126"/>
      <c r="B507" s="126"/>
      <c r="C507" s="159" t="s">
        <v>123</v>
      </c>
      <c r="D507" s="160">
        <v>1634</v>
      </c>
      <c r="E507" s="156">
        <f t="shared" si="25"/>
        <v>369.28399999999999</v>
      </c>
      <c r="F507" s="126"/>
      <c r="G507" s="126"/>
      <c r="H507" s="126"/>
      <c r="I507" s="126"/>
      <c r="J507" s="126"/>
    </row>
    <row r="508" spans="1:10">
      <c r="A508" s="126"/>
      <c r="B508" s="126"/>
      <c r="C508" s="159" t="s">
        <v>34</v>
      </c>
      <c r="D508" s="160">
        <v>4384</v>
      </c>
      <c r="E508" s="156">
        <f t="shared" si="25"/>
        <v>990.78399999999999</v>
      </c>
      <c r="F508" s="126"/>
      <c r="G508" s="126"/>
      <c r="H508" s="126"/>
      <c r="I508" s="126"/>
      <c r="J508" s="126"/>
    </row>
    <row r="509" spans="1:10">
      <c r="A509" s="126"/>
      <c r="B509" s="126"/>
      <c r="C509" s="159" t="s">
        <v>35</v>
      </c>
      <c r="D509" s="160">
        <v>414</v>
      </c>
      <c r="E509" s="156">
        <f t="shared" si="25"/>
        <v>93.564000000000007</v>
      </c>
      <c r="F509" s="126"/>
      <c r="G509" s="126"/>
      <c r="H509" s="126"/>
      <c r="I509" s="126"/>
      <c r="J509" s="126"/>
    </row>
    <row r="510" spans="1:10">
      <c r="A510" s="126"/>
      <c r="B510" s="126"/>
      <c r="C510" s="159" t="s">
        <v>106</v>
      </c>
      <c r="D510" s="160">
        <v>589</v>
      </c>
      <c r="E510" s="156">
        <f t="shared" si="25"/>
        <v>133.114</v>
      </c>
      <c r="F510" s="126"/>
      <c r="G510" s="126"/>
      <c r="H510" s="126"/>
      <c r="I510" s="126"/>
      <c r="J510" s="126"/>
    </row>
    <row r="511" spans="1:10">
      <c r="A511" s="126"/>
      <c r="B511" s="126"/>
      <c r="C511" s="159" t="s">
        <v>125</v>
      </c>
      <c r="D511" s="160">
        <v>64</v>
      </c>
      <c r="E511" s="156">
        <f t="shared" si="25"/>
        <v>14.464</v>
      </c>
      <c r="F511" s="126"/>
      <c r="G511" s="126"/>
    </row>
    <row r="512" spans="1:10">
      <c r="A512" s="126"/>
      <c r="B512" s="126"/>
      <c r="C512" s="159" t="s">
        <v>126</v>
      </c>
      <c r="D512" s="160">
        <v>635</v>
      </c>
      <c r="E512" s="156">
        <f t="shared" si="25"/>
        <v>143.51</v>
      </c>
      <c r="F512" s="126"/>
      <c r="G512" s="126"/>
    </row>
    <row r="513" spans="1:10" ht="15.75" thickBot="1">
      <c r="A513" s="126"/>
      <c r="B513" s="126"/>
      <c r="C513" s="159" t="s">
        <v>37</v>
      </c>
      <c r="D513" s="160">
        <v>1982</v>
      </c>
      <c r="E513" s="156">
        <f t="shared" si="25"/>
        <v>447.93200000000002</v>
      </c>
      <c r="F513" s="126"/>
      <c r="G513" s="126"/>
    </row>
    <row r="514" spans="1:10" ht="15.75" thickBot="1">
      <c r="A514" s="126"/>
      <c r="B514" s="126"/>
      <c r="C514" s="161" t="s">
        <v>39</v>
      </c>
      <c r="D514" s="162">
        <f>SUM(D502:D513)</f>
        <v>25855</v>
      </c>
      <c r="E514" s="163">
        <f>SUM(E502:E512)</f>
        <v>5395.2979999999998</v>
      </c>
      <c r="F514" s="126"/>
      <c r="G514" s="126"/>
    </row>
    <row r="516" spans="1:10">
      <c r="C516" s="151" t="s">
        <v>24</v>
      </c>
      <c r="D516" s="152">
        <f>+D514-D479-D480-D483-D484</f>
        <v>-6.9999999996070983E-3</v>
      </c>
    </row>
    <row r="517" spans="1:10">
      <c r="A517" s="127" t="s">
        <v>145</v>
      </c>
      <c r="B517" s="126"/>
      <c r="C517" s="126"/>
      <c r="D517" s="126"/>
      <c r="E517" s="126"/>
      <c r="F517" s="126"/>
      <c r="G517" s="126"/>
      <c r="H517" s="126"/>
      <c r="I517" s="127" t="s">
        <v>146</v>
      </c>
      <c r="J517" s="128">
        <f>Model!K216</f>
        <v>0.2268</v>
      </c>
    </row>
    <row r="518" spans="1:10">
      <c r="A518" s="127"/>
      <c r="B518" s="126"/>
      <c r="C518" s="126"/>
      <c r="D518" s="126"/>
      <c r="E518" s="126"/>
      <c r="F518" s="126"/>
      <c r="G518" s="126"/>
      <c r="H518" s="126"/>
      <c r="I518" s="127" t="s">
        <v>147</v>
      </c>
      <c r="J518" s="128">
        <f>Model!K215</f>
        <v>0.22755</v>
      </c>
    </row>
    <row r="519" spans="1:10">
      <c r="A519" s="127"/>
      <c r="B519" s="126"/>
      <c r="C519" s="126"/>
      <c r="D519" s="126"/>
      <c r="E519" s="126"/>
      <c r="F519" s="126"/>
      <c r="G519" s="126"/>
      <c r="H519" s="127"/>
      <c r="I519" s="127"/>
      <c r="J519" s="128"/>
    </row>
    <row r="520" spans="1:10" ht="26.25">
      <c r="A520" s="126"/>
      <c r="B520" s="126"/>
      <c r="C520" s="129" t="s">
        <v>148</v>
      </c>
      <c r="D520" s="167" t="s">
        <v>55</v>
      </c>
      <c r="E520" s="167" t="s">
        <v>5</v>
      </c>
      <c r="F520" s="130" t="s">
        <v>6</v>
      </c>
      <c r="G520" s="130" t="s">
        <v>7</v>
      </c>
      <c r="H520" s="126"/>
      <c r="I520" s="126"/>
      <c r="J520" s="126"/>
    </row>
    <row r="521" spans="1:10">
      <c r="A521" s="126"/>
      <c r="B521" s="126"/>
      <c r="C521" s="131"/>
      <c r="D521" s="132"/>
      <c r="E521" s="133"/>
      <c r="F521" s="134"/>
      <c r="G521" s="134"/>
      <c r="H521" s="126"/>
      <c r="I521" s="126"/>
      <c r="J521" s="126"/>
    </row>
    <row r="522" spans="1:10">
      <c r="A522" s="126"/>
      <c r="B522" s="126"/>
      <c r="C522" s="131" t="s">
        <v>10</v>
      </c>
      <c r="D522" s="135"/>
      <c r="E522" s="136"/>
      <c r="F522" s="134"/>
      <c r="G522" s="134"/>
      <c r="H522" s="126"/>
      <c r="I522" s="126"/>
      <c r="J522" s="126"/>
    </row>
    <row r="523" spans="1:10">
      <c r="A523" s="126"/>
      <c r="B523" s="126"/>
      <c r="C523" s="139" t="s">
        <v>12</v>
      </c>
      <c r="D523" s="185">
        <f>Model!K108</f>
        <v>361.94200000000001</v>
      </c>
      <c r="E523" s="32">
        <f>+D523*$J$517</f>
        <v>82.0884456</v>
      </c>
      <c r="F523" s="142"/>
      <c r="G523" s="142"/>
      <c r="H523" s="126"/>
      <c r="I523" s="126"/>
      <c r="J523" s="126"/>
    </row>
    <row r="524" spans="1:10">
      <c r="A524" s="126"/>
      <c r="B524" s="126"/>
      <c r="C524" s="139" t="s">
        <v>15</v>
      </c>
      <c r="D524" s="185">
        <f>Model!K109</f>
        <v>6726.1859999999997</v>
      </c>
      <c r="E524" s="32">
        <f t="shared" ref="E524:E530" si="26">+D524*$J$517</f>
        <v>1525.4989848</v>
      </c>
      <c r="F524" s="142"/>
      <c r="G524" s="142"/>
      <c r="H524" s="126"/>
      <c r="I524" s="126"/>
      <c r="J524" s="126"/>
    </row>
    <row r="525" spans="1:10">
      <c r="A525" s="126"/>
      <c r="B525" s="126"/>
      <c r="C525" s="139" t="s">
        <v>16</v>
      </c>
      <c r="D525" s="185">
        <f>Model!K110</f>
        <v>1839.617</v>
      </c>
      <c r="E525" s="32">
        <f t="shared" si="26"/>
        <v>417.22513559999999</v>
      </c>
      <c r="F525" s="142"/>
      <c r="G525" s="142"/>
      <c r="H525" s="126"/>
      <c r="I525" s="126"/>
      <c r="J525" s="126"/>
    </row>
    <row r="526" spans="1:10">
      <c r="A526" s="126"/>
      <c r="B526" s="126"/>
      <c r="C526" s="131" t="s">
        <v>17</v>
      </c>
      <c r="D526" s="135"/>
      <c r="E526" s="32">
        <f t="shared" si="26"/>
        <v>0</v>
      </c>
      <c r="F526" s="134"/>
      <c r="G526" s="134"/>
      <c r="H526" s="126"/>
      <c r="I526" s="126"/>
      <c r="J526" s="126"/>
    </row>
    <row r="527" spans="1:10">
      <c r="A527" s="126"/>
      <c r="B527" s="126"/>
      <c r="C527" s="139" t="s">
        <v>12</v>
      </c>
      <c r="D527" s="185">
        <f>Model!K113</f>
        <v>2677.5479999999998</v>
      </c>
      <c r="E527" s="32">
        <f t="shared" si="26"/>
        <v>607.26788639999995</v>
      </c>
      <c r="F527" s="142"/>
      <c r="G527" s="142"/>
      <c r="H527" s="126"/>
      <c r="I527" s="126"/>
      <c r="J527" s="126"/>
    </row>
    <row r="528" spans="1:10">
      <c r="A528" s="126"/>
      <c r="B528" s="126"/>
      <c r="C528" s="139" t="s">
        <v>15</v>
      </c>
      <c r="D528" s="185">
        <f>Model!K114</f>
        <v>15669.956</v>
      </c>
      <c r="E528" s="32">
        <f t="shared" si="26"/>
        <v>3553.9460208</v>
      </c>
      <c r="F528" s="142"/>
      <c r="G528" s="142"/>
      <c r="H528" s="126"/>
      <c r="I528" s="126"/>
      <c r="J528" s="126"/>
    </row>
    <row r="529" spans="1:10">
      <c r="A529" s="126"/>
      <c r="B529" s="126"/>
      <c r="C529" s="139" t="s">
        <v>16</v>
      </c>
      <c r="D529" s="185">
        <f>Model!K115</f>
        <v>8604.2739999999994</v>
      </c>
      <c r="E529" s="32">
        <f t="shared" si="26"/>
        <v>1951.4493431999999</v>
      </c>
      <c r="F529" s="142"/>
      <c r="G529" s="142"/>
      <c r="H529" s="126"/>
      <c r="I529" s="126"/>
      <c r="J529" s="126"/>
    </row>
    <row r="530" spans="1:10">
      <c r="A530" s="126"/>
      <c r="B530" s="126"/>
      <c r="C530" s="139" t="s">
        <v>45</v>
      </c>
      <c r="D530" s="166">
        <v>0</v>
      </c>
      <c r="E530" s="32">
        <f t="shared" si="26"/>
        <v>0</v>
      </c>
      <c r="F530" s="146"/>
      <c r="G530" s="146"/>
      <c r="H530" s="126"/>
      <c r="I530" s="126"/>
      <c r="J530" s="126"/>
    </row>
    <row r="531" spans="1:10">
      <c r="A531" s="126"/>
      <c r="B531" s="126"/>
      <c r="C531" s="137" t="s">
        <v>18</v>
      </c>
      <c r="D531" s="143">
        <f>SUM(D523:D530)</f>
        <v>35879.522999999994</v>
      </c>
      <c r="E531" s="143">
        <f>SUM(E523:E530)</f>
        <v>8137.4758163999995</v>
      </c>
      <c r="F531" s="138">
        <f>+D531/D536</f>
        <v>3.7387569301563195</v>
      </c>
      <c r="G531" s="138">
        <f>+E531/E536</f>
        <v>3.7264340661808544</v>
      </c>
      <c r="H531" s="126"/>
      <c r="I531" s="126"/>
      <c r="J531" s="126"/>
    </row>
    <row r="532" spans="1:10">
      <c r="A532" s="126"/>
      <c r="B532" s="126"/>
      <c r="C532" s="139" t="s">
        <v>19</v>
      </c>
      <c r="D532" s="147">
        <f>Model!K123</f>
        <v>7452.2420000000002</v>
      </c>
      <c r="E532" s="32">
        <f>+D532*$J$517</f>
        <v>1690.1684856000002</v>
      </c>
      <c r="F532" s="140"/>
      <c r="G532" s="140"/>
      <c r="H532" s="126"/>
      <c r="I532" s="126"/>
      <c r="J532" s="126"/>
    </row>
    <row r="533" spans="1:10">
      <c r="A533" s="126"/>
      <c r="B533" s="126"/>
      <c r="C533" s="137" t="s">
        <v>20</v>
      </c>
      <c r="D533" s="143">
        <f>+D531-D532</f>
        <v>28427.280999999995</v>
      </c>
      <c r="E533" s="144">
        <f>+E531-E532</f>
        <v>6447.3073307999994</v>
      </c>
      <c r="F533" s="138">
        <f>+D533/D536</f>
        <v>2.9622103349660214</v>
      </c>
      <c r="G533" s="138">
        <f>+E533/E536</f>
        <v>2.9524469521876235</v>
      </c>
      <c r="H533" s="126"/>
      <c r="I533" s="126"/>
      <c r="J533" s="126"/>
    </row>
    <row r="534" spans="1:10">
      <c r="A534" s="126"/>
      <c r="B534" s="126"/>
      <c r="C534" s="141" t="s">
        <v>21</v>
      </c>
      <c r="D534" s="148">
        <f>Model!K131</f>
        <v>30680.35</v>
      </c>
      <c r="E534" s="32">
        <f>+D534*$J$517</f>
        <v>6958.3033799999994</v>
      </c>
      <c r="F534" s="142"/>
      <c r="G534" s="142"/>
      <c r="H534" s="126"/>
      <c r="I534" s="126"/>
      <c r="J534" s="126"/>
    </row>
    <row r="535" spans="1:10">
      <c r="A535" s="126"/>
      <c r="B535" s="126"/>
      <c r="C535" s="137" t="s">
        <v>22</v>
      </c>
      <c r="D535" s="143">
        <f>D531+D534</f>
        <v>66559.872999999992</v>
      </c>
      <c r="E535" s="144">
        <f>E531+E534</f>
        <v>15095.779196399999</v>
      </c>
      <c r="F535" s="138">
        <f>D535/D536</f>
        <v>6.9357440022007681</v>
      </c>
      <c r="G535" s="138">
        <f>E535/E536</f>
        <v>6.9128839362739374</v>
      </c>
      <c r="H535" s="126"/>
      <c r="I535" s="126"/>
      <c r="J535" s="126"/>
    </row>
    <row r="536" spans="1:10">
      <c r="A536" s="126"/>
      <c r="B536" s="126"/>
      <c r="C536" s="145" t="s">
        <v>23</v>
      </c>
      <c r="D536" s="149">
        <f>Model!K90</f>
        <v>9596.6450000000004</v>
      </c>
      <c r="E536" s="150">
        <f>D536*J518</f>
        <v>2183.71656975</v>
      </c>
      <c r="F536" s="146"/>
      <c r="G536" s="146"/>
      <c r="H536" s="126"/>
      <c r="I536" s="126"/>
      <c r="J536" s="126"/>
    </row>
    <row r="537" spans="1:10">
      <c r="A537" s="126"/>
      <c r="B537" s="126"/>
      <c r="C537" s="126"/>
      <c r="D537" s="126"/>
      <c r="E537" s="126"/>
      <c r="F537" s="126"/>
      <c r="G537" s="126"/>
      <c r="H537" s="126"/>
      <c r="I537" s="126"/>
      <c r="J537" s="126"/>
    </row>
    <row r="538" spans="1:10">
      <c r="A538" s="126"/>
      <c r="B538" s="126"/>
      <c r="C538" s="151" t="s">
        <v>24</v>
      </c>
      <c r="D538" s="152">
        <f>+D531-Model!K116</f>
        <v>0</v>
      </c>
      <c r="E538" s="153"/>
      <c r="F538" s="126"/>
      <c r="G538" s="126"/>
      <c r="H538" s="126"/>
      <c r="I538" s="126"/>
      <c r="J538" s="126"/>
    </row>
    <row r="539" spans="1:10" ht="15.75" thickBot="1">
      <c r="F539" s="86"/>
    </row>
    <row r="540" spans="1:10" ht="26.25">
      <c r="A540" s="126"/>
      <c r="B540" s="126"/>
      <c r="C540" s="154" t="s">
        <v>149</v>
      </c>
      <c r="D540" s="164" t="s">
        <v>55</v>
      </c>
      <c r="E540" s="164" t="s">
        <v>5</v>
      </c>
      <c r="F540" s="126"/>
      <c r="G540" s="126"/>
      <c r="H540" s="154" t="s">
        <v>150</v>
      </c>
      <c r="I540" s="191" t="s">
        <v>55</v>
      </c>
      <c r="J540" s="164" t="s">
        <v>5</v>
      </c>
    </row>
    <row r="541" spans="1:10">
      <c r="A541" s="126"/>
      <c r="B541" s="126"/>
      <c r="C541" s="155" t="s">
        <v>74</v>
      </c>
      <c r="D541" s="160">
        <v>0</v>
      </c>
      <c r="E541" s="156">
        <f>D541*$J$517</f>
        <v>0</v>
      </c>
      <c r="F541" s="126"/>
      <c r="G541" s="126"/>
      <c r="H541" s="159">
        <v>2023</v>
      </c>
      <c r="I541" s="160">
        <v>6215.73</v>
      </c>
      <c r="J541" s="156">
        <f>I541*$J$517</f>
        <v>1409.7275639999998</v>
      </c>
    </row>
    <row r="542" spans="1:10">
      <c r="A542" s="126"/>
      <c r="B542" s="126"/>
      <c r="C542" s="155" t="s">
        <v>47</v>
      </c>
      <c r="D542" s="156">
        <f>D532</f>
        <v>7452.2420000000002</v>
      </c>
      <c r="E542" s="156">
        <f>D542*$J$517</f>
        <v>1690.1684856000002</v>
      </c>
      <c r="F542" s="126"/>
      <c r="G542" s="126"/>
      <c r="H542" s="159" t="s">
        <v>141</v>
      </c>
      <c r="I542" s="160">
        <f>273.37+1402.5+2514.57</f>
        <v>4190.4400000000005</v>
      </c>
      <c r="J542" s="156">
        <f>I542*$J$517</f>
        <v>950.39179200000012</v>
      </c>
    </row>
    <row r="543" spans="1:10" ht="15.75" thickBot="1">
      <c r="A543" s="126"/>
      <c r="B543" s="126"/>
      <c r="C543" s="157"/>
      <c r="D543" s="183">
        <f>SUM(D541:D542)</f>
        <v>7452.2420000000002</v>
      </c>
      <c r="E543" s="183">
        <f>SUM(E541:E542)</f>
        <v>1690.1684856000002</v>
      </c>
      <c r="F543" s="126"/>
      <c r="G543" s="126"/>
      <c r="H543" s="159" t="s">
        <v>142</v>
      </c>
      <c r="I543" s="160">
        <f>1815.07+38.47+425.92+2218.75</f>
        <v>4498.21</v>
      </c>
      <c r="J543" s="156">
        <f t="shared" ref="J543:J544" si="27">I543*$J$517</f>
        <v>1020.194028</v>
      </c>
    </row>
    <row r="544" spans="1:10" ht="15.75" thickBot="1">
      <c r="A544" s="126"/>
      <c r="B544" s="126"/>
      <c r="C544" s="126"/>
      <c r="D544" s="126"/>
      <c r="E544" s="126"/>
      <c r="F544" s="126"/>
      <c r="G544" s="126"/>
      <c r="H544" s="159" t="s">
        <v>143</v>
      </c>
      <c r="I544" s="160">
        <f>527.55+4437.5</f>
        <v>4965.05</v>
      </c>
      <c r="J544" s="156">
        <f t="shared" si="27"/>
        <v>1126.0733400000001</v>
      </c>
    </row>
    <row r="545" spans="1:10" ht="15.75" thickBot="1">
      <c r="A545" s="126"/>
      <c r="B545" s="126"/>
      <c r="C545" s="154" t="s">
        <v>151</v>
      </c>
      <c r="D545" s="164" t="s">
        <v>55</v>
      </c>
      <c r="E545" s="164" t="s">
        <v>5</v>
      </c>
      <c r="F545" s="126"/>
      <c r="G545" s="126"/>
      <c r="H545" s="192" t="s">
        <v>31</v>
      </c>
      <c r="I545" s="193">
        <f>SUM(I541:I544)</f>
        <v>19869.43</v>
      </c>
      <c r="J545" s="158">
        <f>I545*$J$561</f>
        <v>4283.8491080000003</v>
      </c>
    </row>
    <row r="546" spans="1:10">
      <c r="A546" s="126"/>
      <c r="B546" s="126"/>
      <c r="C546" s="159" t="s">
        <v>122</v>
      </c>
      <c r="D546" s="160"/>
      <c r="E546" s="156"/>
      <c r="F546" s="126"/>
      <c r="G546" s="126"/>
      <c r="H546" s="126"/>
      <c r="I546" s="126"/>
      <c r="J546" s="126"/>
    </row>
    <row r="547" spans="1:10">
      <c r="A547" s="126"/>
      <c r="B547" s="126"/>
      <c r="C547" s="159" t="s">
        <v>33</v>
      </c>
      <c r="D547" s="160">
        <v>11572</v>
      </c>
      <c r="E547" s="156">
        <f>D547*$J$517</f>
        <v>2624.5295999999998</v>
      </c>
      <c r="F547" s="126"/>
      <c r="G547" s="126"/>
      <c r="H547" s="126"/>
      <c r="I547" s="126"/>
      <c r="J547" s="126"/>
    </row>
    <row r="548" spans="1:10">
      <c r="A548" s="126"/>
      <c r="B548" s="126"/>
      <c r="C548" s="159" t="s">
        <v>123</v>
      </c>
      <c r="D548" s="160">
        <v>1432</v>
      </c>
      <c r="E548" s="156">
        <f>D548*$J$517</f>
        <v>324.77760000000001</v>
      </c>
      <c r="F548" s="126"/>
      <c r="G548" s="126"/>
      <c r="H548" s="126"/>
      <c r="I548" s="126"/>
      <c r="J548" s="126"/>
    </row>
    <row r="549" spans="1:10">
      <c r="A549" s="126"/>
      <c r="B549" s="126"/>
      <c r="C549" s="159" t="s">
        <v>124</v>
      </c>
      <c r="D549" s="160"/>
      <c r="E549" s="156"/>
      <c r="F549" s="126"/>
      <c r="G549" s="126"/>
      <c r="H549" s="126"/>
      <c r="I549" s="126"/>
      <c r="J549" s="126"/>
    </row>
    <row r="550" spans="1:10">
      <c r="A550" s="126"/>
      <c r="B550" s="126"/>
      <c r="C550" s="159" t="s">
        <v>33</v>
      </c>
      <c r="D550" s="160">
        <v>2681</v>
      </c>
      <c r="E550" s="156">
        <f t="shared" ref="E550:E557" si="28">D550*$J$517</f>
        <v>608.05079999999998</v>
      </c>
      <c r="F550" s="126"/>
      <c r="G550" s="126"/>
      <c r="H550" s="126"/>
      <c r="I550" s="126"/>
      <c r="J550" s="126"/>
    </row>
    <row r="551" spans="1:10">
      <c r="A551" s="126"/>
      <c r="B551" s="126"/>
      <c r="C551" s="159" t="s">
        <v>123</v>
      </c>
      <c r="D551" s="160">
        <v>1620</v>
      </c>
      <c r="E551" s="156">
        <f t="shared" si="28"/>
        <v>367.416</v>
      </c>
      <c r="F551" s="126"/>
      <c r="G551" s="126"/>
      <c r="H551" s="126"/>
      <c r="I551" s="126"/>
      <c r="J551" s="126"/>
    </row>
    <row r="552" spans="1:10">
      <c r="A552" s="126"/>
      <c r="B552" s="126"/>
      <c r="C552" s="159" t="s">
        <v>34</v>
      </c>
      <c r="D552" s="160">
        <v>4863</v>
      </c>
      <c r="E552" s="156">
        <f t="shared" si="28"/>
        <v>1102.9284</v>
      </c>
      <c r="F552" s="126"/>
      <c r="G552" s="126"/>
      <c r="H552" s="126"/>
      <c r="I552" s="126"/>
      <c r="J552" s="126"/>
    </row>
    <row r="553" spans="1:10">
      <c r="A553" s="126"/>
      <c r="B553" s="126"/>
      <c r="C553" s="159" t="s">
        <v>35</v>
      </c>
      <c r="D553" s="160">
        <v>379</v>
      </c>
      <c r="E553" s="156">
        <f t="shared" si="28"/>
        <v>85.9572</v>
      </c>
      <c r="F553" s="126"/>
      <c r="G553" s="126"/>
      <c r="H553" s="126"/>
      <c r="I553" s="126"/>
      <c r="J553" s="126"/>
    </row>
    <row r="554" spans="1:10">
      <c r="A554" s="126"/>
      <c r="B554" s="126"/>
      <c r="C554" s="159" t="s">
        <v>106</v>
      </c>
      <c r="D554" s="160">
        <v>231</v>
      </c>
      <c r="E554" s="156">
        <f t="shared" si="28"/>
        <v>52.390799999999999</v>
      </c>
      <c r="F554" s="126"/>
      <c r="G554" s="126"/>
      <c r="H554" s="126"/>
      <c r="I554" s="126"/>
      <c r="J554" s="126"/>
    </row>
    <row r="555" spans="1:10">
      <c r="A555" s="126"/>
      <c r="B555" s="126"/>
      <c r="C555" s="159" t="s">
        <v>125</v>
      </c>
      <c r="D555" s="160">
        <v>78</v>
      </c>
      <c r="E555" s="156">
        <f t="shared" si="28"/>
        <v>17.6904</v>
      </c>
      <c r="F555" s="126"/>
      <c r="G555" s="126"/>
    </row>
    <row r="556" spans="1:10">
      <c r="A556" s="126"/>
      <c r="B556" s="126"/>
      <c r="C556" s="159" t="s">
        <v>126</v>
      </c>
      <c r="D556" s="160">
        <v>653</v>
      </c>
      <c r="E556" s="156">
        <f t="shared" si="28"/>
        <v>148.10040000000001</v>
      </c>
      <c r="F556" s="126"/>
      <c r="G556" s="126"/>
    </row>
    <row r="557" spans="1:10" ht="15.75" thickBot="1">
      <c r="A557" s="126"/>
      <c r="B557" s="126"/>
      <c r="C557" s="159" t="s">
        <v>37</v>
      </c>
      <c r="D557" s="160">
        <v>1925</v>
      </c>
      <c r="E557" s="156">
        <f t="shared" si="28"/>
        <v>436.59</v>
      </c>
      <c r="F557" s="126"/>
      <c r="G557" s="126"/>
    </row>
    <row r="558" spans="1:10" ht="15.75" thickBot="1">
      <c r="A558" s="126"/>
      <c r="B558" s="126"/>
      <c r="C558" s="161" t="s">
        <v>39</v>
      </c>
      <c r="D558" s="162">
        <f>SUM(D546:D557)</f>
        <v>25434</v>
      </c>
      <c r="E558" s="163">
        <f>SUM(E546:E556)</f>
        <v>5331.8412000000008</v>
      </c>
      <c r="F558" s="126"/>
      <c r="G558" s="126"/>
    </row>
    <row r="560" spans="1:10">
      <c r="C560" s="151" t="s">
        <v>24</v>
      </c>
      <c r="D560" s="152">
        <f>+D558-D523-D524-D527-D528</f>
        <v>-1.6319999999959691</v>
      </c>
    </row>
    <row r="561" spans="1:10">
      <c r="H561" s="126"/>
      <c r="I561" s="127" t="s">
        <v>152</v>
      </c>
      <c r="J561" s="128">
        <f>+Model!AT216</f>
        <v>0.21560000000000001</v>
      </c>
    </row>
    <row r="562" spans="1:10">
      <c r="H562" s="126"/>
      <c r="I562" s="127" t="s">
        <v>153</v>
      </c>
      <c r="J562" s="128">
        <f>+Model!AT215</f>
        <v>0.223</v>
      </c>
    </row>
    <row r="563" spans="1:10">
      <c r="H563" s="127"/>
      <c r="I563" s="127"/>
      <c r="J563" s="128"/>
    </row>
    <row r="564" spans="1:10">
      <c r="H564" s="126"/>
      <c r="I564" s="126"/>
      <c r="J564" s="126"/>
    </row>
    <row r="565" spans="1:10">
      <c r="A565" s="127" t="s">
        <v>154</v>
      </c>
      <c r="B565" s="126"/>
      <c r="C565" s="126"/>
      <c r="D565" s="126"/>
      <c r="E565" s="126"/>
      <c r="F565" s="126"/>
      <c r="G565" s="126"/>
      <c r="H565" s="126"/>
      <c r="I565" s="126"/>
      <c r="J565" s="126"/>
    </row>
    <row r="566" spans="1:10">
      <c r="A566" s="127"/>
      <c r="B566" s="126"/>
      <c r="C566" s="126"/>
      <c r="D566" s="126"/>
      <c r="E566" s="126"/>
      <c r="F566" s="126"/>
      <c r="G566" s="126"/>
      <c r="H566" s="126"/>
      <c r="I566" s="126"/>
      <c r="J566" s="126"/>
    </row>
    <row r="567" spans="1:10">
      <c r="A567" s="127"/>
      <c r="B567" s="126"/>
      <c r="C567" s="126"/>
      <c r="D567" s="126"/>
      <c r="E567" s="126"/>
      <c r="F567" s="126"/>
      <c r="G567" s="126"/>
      <c r="H567" s="126"/>
      <c r="I567" s="126"/>
      <c r="J567" s="126"/>
    </row>
    <row r="568" spans="1:10" ht="26.25">
      <c r="A568" s="126"/>
      <c r="B568" s="126"/>
      <c r="C568" s="129" t="s">
        <v>155</v>
      </c>
      <c r="D568" s="167" t="s">
        <v>55</v>
      </c>
      <c r="E568" s="167" t="s">
        <v>5</v>
      </c>
      <c r="F568" s="130" t="s">
        <v>6</v>
      </c>
      <c r="G568" s="130" t="s">
        <v>7</v>
      </c>
      <c r="H568" s="126"/>
      <c r="I568" s="126"/>
      <c r="J568" s="126"/>
    </row>
    <row r="569" spans="1:10">
      <c r="A569" s="126"/>
      <c r="B569" s="126"/>
      <c r="C569" s="131"/>
      <c r="D569" s="132"/>
      <c r="E569" s="133"/>
      <c r="F569" s="134"/>
      <c r="G569" s="134"/>
      <c r="H569" s="126"/>
      <c r="I569" s="126"/>
      <c r="J569" s="126"/>
    </row>
    <row r="570" spans="1:10">
      <c r="A570" s="126"/>
      <c r="B570" s="126"/>
      <c r="C570" s="131" t="s">
        <v>10</v>
      </c>
      <c r="D570" s="135"/>
      <c r="E570" s="136"/>
      <c r="F570" s="134"/>
      <c r="G570" s="134"/>
      <c r="H570" s="126"/>
      <c r="I570" s="126"/>
      <c r="J570" s="126"/>
    </row>
    <row r="571" spans="1:10">
      <c r="A571" s="126"/>
      <c r="B571" s="126"/>
      <c r="C571" s="139" t="s">
        <v>12</v>
      </c>
      <c r="D571" s="185">
        <f>Model!AT108</f>
        <v>411.25099999999998</v>
      </c>
      <c r="E571" s="32">
        <f t="shared" ref="E571:E578" si="29">+D571*$J$561</f>
        <v>88.665715599999999</v>
      </c>
      <c r="F571" s="142"/>
      <c r="G571" s="142"/>
      <c r="H571" s="126"/>
      <c r="I571" s="126"/>
      <c r="J571" s="126"/>
    </row>
    <row r="572" spans="1:10">
      <c r="A572" s="126"/>
      <c r="B572" s="126"/>
      <c r="C572" s="139" t="s">
        <v>15</v>
      </c>
      <c r="D572" s="185">
        <f>Model!AT109</f>
        <v>6479.402</v>
      </c>
      <c r="E572" s="32">
        <f t="shared" si="29"/>
        <v>1396.9590712000002</v>
      </c>
      <c r="F572" s="142"/>
      <c r="G572" s="142"/>
      <c r="H572" s="126"/>
      <c r="I572" s="126"/>
      <c r="J572" s="126"/>
    </row>
    <row r="573" spans="1:10">
      <c r="A573" s="126"/>
      <c r="B573" s="126"/>
      <c r="C573" s="139" t="s">
        <v>16</v>
      </c>
      <c r="D573" s="185">
        <f>Model!AT110</f>
        <v>2138.873</v>
      </c>
      <c r="E573" s="32">
        <f t="shared" si="29"/>
        <v>461.14101880000004</v>
      </c>
      <c r="F573" s="142"/>
      <c r="G573" s="142"/>
      <c r="H573" s="126"/>
      <c r="I573" s="126"/>
      <c r="J573" s="126"/>
    </row>
    <row r="574" spans="1:10">
      <c r="A574" s="126"/>
      <c r="B574" s="126"/>
      <c r="C574" s="131" t="s">
        <v>17</v>
      </c>
      <c r="D574" s="135"/>
      <c r="E574" s="32">
        <f t="shared" si="29"/>
        <v>0</v>
      </c>
      <c r="F574" s="134"/>
      <c r="G574" s="134"/>
      <c r="H574" s="126"/>
      <c r="I574" s="126"/>
      <c r="J574" s="126"/>
    </row>
    <row r="575" spans="1:10">
      <c r="A575" s="126"/>
      <c r="B575" s="126"/>
      <c r="C575" s="139" t="s">
        <v>12</v>
      </c>
      <c r="D575" s="185">
        <f>Model!AT113</f>
        <v>2644.3180000000002</v>
      </c>
      <c r="E575" s="32">
        <f t="shared" si="29"/>
        <v>570.11496080000006</v>
      </c>
      <c r="F575" s="142"/>
      <c r="G575" s="142"/>
      <c r="H575" s="126"/>
      <c r="I575" s="126"/>
      <c r="J575" s="126"/>
    </row>
    <row r="576" spans="1:10">
      <c r="A576" s="126"/>
      <c r="B576" s="126"/>
      <c r="C576" s="139" t="s">
        <v>15</v>
      </c>
      <c r="D576" s="185">
        <f>Model!AT114</f>
        <v>18309.971000000001</v>
      </c>
      <c r="E576" s="32">
        <f t="shared" si="29"/>
        <v>3947.6297476000004</v>
      </c>
      <c r="F576" s="142"/>
      <c r="G576" s="142"/>
      <c r="H576" s="126"/>
      <c r="I576" s="126"/>
      <c r="J576" s="126"/>
    </row>
    <row r="577" spans="1:10">
      <c r="A577" s="126"/>
      <c r="B577" s="126"/>
      <c r="C577" s="139" t="s">
        <v>16</v>
      </c>
      <c r="D577" s="185">
        <f>Model!AT115</f>
        <v>9202.5480000000007</v>
      </c>
      <c r="E577" s="32">
        <f t="shared" si="29"/>
        <v>1984.0693488000002</v>
      </c>
      <c r="F577" s="142"/>
      <c r="G577" s="142"/>
      <c r="H577" s="126"/>
      <c r="I577" s="126"/>
      <c r="J577" s="126"/>
    </row>
    <row r="578" spans="1:10">
      <c r="A578" s="126"/>
      <c r="B578" s="126"/>
      <c r="C578" s="139" t="s">
        <v>45</v>
      </c>
      <c r="D578" s="166">
        <v>0</v>
      </c>
      <c r="E578" s="32">
        <f t="shared" si="29"/>
        <v>0</v>
      </c>
      <c r="F578" s="146"/>
      <c r="G578" s="146"/>
      <c r="H578" s="126"/>
      <c r="I578" s="126"/>
      <c r="J578" s="126"/>
    </row>
    <row r="579" spans="1:10">
      <c r="A579" s="126"/>
      <c r="B579" s="126"/>
      <c r="C579" s="137" t="s">
        <v>18</v>
      </c>
      <c r="D579" s="143">
        <f>SUM(D571:D578)</f>
        <v>39186.363000000005</v>
      </c>
      <c r="E579" s="143">
        <f>SUM(E571:E578)</f>
        <v>8448.5798628000011</v>
      </c>
      <c r="F579" s="138">
        <f>+D579/D584</f>
        <v>4.1821752360656284</v>
      </c>
      <c r="G579" s="138">
        <f>+E579/E584</f>
        <v>4.043394533164796</v>
      </c>
      <c r="H579" s="126"/>
      <c r="I579" s="126"/>
      <c r="J579" s="126"/>
    </row>
    <row r="580" spans="1:10">
      <c r="A580" s="126"/>
      <c r="B580" s="126"/>
      <c r="C580" s="139" t="s">
        <v>19</v>
      </c>
      <c r="D580" s="147">
        <f>+Model!AT123</f>
        <v>7741.3359999999993</v>
      </c>
      <c r="E580" s="32">
        <f>+D580*$J$561</f>
        <v>1669.0320416</v>
      </c>
      <c r="F580" s="140"/>
      <c r="G580" s="140"/>
      <c r="H580" s="126"/>
      <c r="I580" s="126"/>
      <c r="J580" s="126"/>
    </row>
    <row r="581" spans="1:10">
      <c r="A581" s="126"/>
      <c r="B581" s="126"/>
      <c r="C581" s="137" t="s">
        <v>20</v>
      </c>
      <c r="D581" s="143">
        <f>+D579-D580</f>
        <v>31445.027000000006</v>
      </c>
      <c r="E581" s="144">
        <f>+E579-E580</f>
        <v>6779.5478212000016</v>
      </c>
      <c r="F581" s="138">
        <f>+D581/D584</f>
        <v>3.3559790485484724</v>
      </c>
      <c r="G581" s="138">
        <f>+E581/E584</f>
        <v>3.2446147213769088</v>
      </c>
      <c r="H581" s="126"/>
      <c r="I581" s="126"/>
      <c r="J581" s="126"/>
    </row>
    <row r="582" spans="1:10">
      <c r="A582" s="126"/>
      <c r="B582" s="126"/>
      <c r="C582" s="141" t="s">
        <v>21</v>
      </c>
      <c r="D582" s="148">
        <f>+Model!AT131</f>
        <v>24397.092000000001</v>
      </c>
      <c r="E582" s="32">
        <f>+D582*$J$561</f>
        <v>5260.0130352000006</v>
      </c>
      <c r="F582" s="142"/>
      <c r="G582" s="142"/>
      <c r="H582" s="126"/>
      <c r="I582" s="126"/>
      <c r="J582" s="126"/>
    </row>
    <row r="583" spans="1:10">
      <c r="A583" s="126"/>
      <c r="B583" s="126"/>
      <c r="C583" s="137" t="s">
        <v>22</v>
      </c>
      <c r="D583" s="143">
        <f>D579+D582</f>
        <v>63583.455000000002</v>
      </c>
      <c r="E583" s="144">
        <f>E579+E582</f>
        <v>13708.592898000003</v>
      </c>
      <c r="F583" s="138">
        <f>D583/D584</f>
        <v>6.7859615071828241</v>
      </c>
      <c r="G583" s="138">
        <f>E583/E584</f>
        <v>6.5607771342987311</v>
      </c>
    </row>
    <row r="584" spans="1:10">
      <c r="A584" s="126"/>
      <c r="B584" s="126"/>
      <c r="C584" s="145" t="s">
        <v>23</v>
      </c>
      <c r="D584" s="149">
        <f>+Model!AT90</f>
        <v>9369.8520000000008</v>
      </c>
      <c r="E584" s="150">
        <f>D584*J562</f>
        <v>2089.4769960000003</v>
      </c>
      <c r="F584" s="146"/>
      <c r="G584" s="146"/>
      <c r="H584" s="126"/>
      <c r="I584" s="126"/>
      <c r="J584" s="126"/>
    </row>
    <row r="585" spans="1:10">
      <c r="A585" s="126"/>
      <c r="B585" s="126"/>
      <c r="C585" s="126"/>
      <c r="D585" s="126"/>
      <c r="E585" s="126"/>
      <c r="F585" s="126"/>
      <c r="G585" s="126"/>
      <c r="H585" s="126"/>
      <c r="I585" s="126"/>
      <c r="J585" s="126"/>
    </row>
    <row r="586" spans="1:10">
      <c r="A586" s="126"/>
      <c r="B586" s="126"/>
      <c r="C586" s="151" t="s">
        <v>24</v>
      </c>
      <c r="D586" s="152">
        <f>+D579-Model!AT116</f>
        <v>0</v>
      </c>
      <c r="E586" s="153"/>
      <c r="F586" s="126"/>
      <c r="G586" s="126"/>
      <c r="H586" s="126"/>
      <c r="I586" s="126"/>
      <c r="J586" s="126"/>
    </row>
    <row r="587" spans="1:10" ht="15.75" thickBot="1">
      <c r="F587" s="86"/>
      <c r="H587" s="126"/>
      <c r="I587" s="126"/>
      <c r="J587" s="126"/>
    </row>
    <row r="588" spans="1:10">
      <c r="A588" s="126"/>
      <c r="B588" s="126"/>
      <c r="C588" s="154" t="s">
        <v>156</v>
      </c>
      <c r="D588" s="164" t="s">
        <v>55</v>
      </c>
      <c r="E588" s="164" t="s">
        <v>5</v>
      </c>
      <c r="F588" s="126"/>
      <c r="G588" s="126"/>
      <c r="H588" s="126"/>
      <c r="I588" s="126"/>
      <c r="J588" s="126"/>
    </row>
    <row r="589" spans="1:10">
      <c r="A589" s="126"/>
      <c r="B589" s="126"/>
      <c r="C589" s="155" t="s">
        <v>74</v>
      </c>
      <c r="D589" s="160">
        <v>0</v>
      </c>
      <c r="E589" s="156">
        <f>D589*$J$561</f>
        <v>0</v>
      </c>
      <c r="F589" s="126"/>
      <c r="G589" s="126"/>
      <c r="H589" s="126"/>
      <c r="I589" s="126"/>
      <c r="J589" s="126"/>
    </row>
    <row r="590" spans="1:10">
      <c r="A590" s="126"/>
      <c r="B590" s="126"/>
      <c r="C590" s="155" t="s">
        <v>47</v>
      </c>
      <c r="D590" s="156">
        <f>D580</f>
        <v>7741.3359999999993</v>
      </c>
      <c r="E590" s="156">
        <f>D590*$J$561</f>
        <v>1669.0320416</v>
      </c>
      <c r="F590" s="126"/>
      <c r="G590" s="126"/>
      <c r="H590" s="126"/>
      <c r="I590" s="126"/>
      <c r="J590" s="126"/>
    </row>
    <row r="591" spans="1:10" ht="15.75" thickBot="1">
      <c r="A591" s="126"/>
      <c r="B591" s="126"/>
      <c r="C591" s="157"/>
      <c r="D591" s="183">
        <f>SUM(D589:D590)</f>
        <v>7741.3359999999993</v>
      </c>
      <c r="E591" s="183">
        <f>SUM(E589:E590)</f>
        <v>1669.0320416</v>
      </c>
      <c r="F591" s="126"/>
      <c r="G591" s="126"/>
      <c r="H591" s="126"/>
      <c r="I591" s="126"/>
      <c r="J591" s="126"/>
    </row>
    <row r="592" spans="1:10" ht="15.75" thickBot="1">
      <c r="A592" s="126"/>
      <c r="B592" s="126"/>
      <c r="C592" s="126"/>
      <c r="D592" s="126"/>
      <c r="E592" s="126"/>
      <c r="F592" s="126"/>
      <c r="G592" s="126"/>
      <c r="H592" s="126"/>
      <c r="I592" s="126"/>
      <c r="J592" s="126"/>
    </row>
    <row r="593" spans="1:10">
      <c r="A593" s="126"/>
      <c r="B593" s="126"/>
      <c r="C593" s="154" t="s">
        <v>157</v>
      </c>
      <c r="D593" s="164" t="s">
        <v>55</v>
      </c>
      <c r="E593" s="164" t="s">
        <v>5</v>
      </c>
      <c r="F593" s="126"/>
      <c r="G593" s="126"/>
      <c r="H593" s="126"/>
      <c r="I593" s="126"/>
      <c r="J593" s="126"/>
    </row>
    <row r="594" spans="1:10">
      <c r="A594" s="126"/>
      <c r="B594" s="126"/>
      <c r="C594" s="159" t="s">
        <v>122</v>
      </c>
      <c r="D594" s="160"/>
      <c r="E594" s="156"/>
      <c r="F594" s="126"/>
      <c r="G594" s="126"/>
      <c r="H594" s="126"/>
      <c r="I594" s="126"/>
      <c r="J594" s="126"/>
    </row>
    <row r="595" spans="1:10">
      <c r="A595" s="126"/>
      <c r="B595" s="126"/>
      <c r="C595" s="159" t="s">
        <v>33</v>
      </c>
      <c r="D595" s="160">
        <v>11712</v>
      </c>
      <c r="E595" s="156">
        <f>D595*$J$561</f>
        <v>2525.1072000000004</v>
      </c>
      <c r="F595" s="126"/>
      <c r="G595" s="126"/>
      <c r="H595" s="126"/>
      <c r="I595" s="126"/>
      <c r="J595" s="126"/>
    </row>
    <row r="596" spans="1:10">
      <c r="A596" s="126"/>
      <c r="B596" s="126"/>
      <c r="C596" s="159" t="s">
        <v>123</v>
      </c>
      <c r="D596" s="160">
        <v>904</v>
      </c>
      <c r="E596" s="156">
        <f>D596*$J$561</f>
        <v>194.9024</v>
      </c>
      <c r="F596" s="126"/>
      <c r="G596" s="126"/>
      <c r="H596" s="126"/>
      <c r="I596" s="126"/>
      <c r="J596" s="126"/>
    </row>
    <row r="597" spans="1:10">
      <c r="A597" s="126"/>
      <c r="B597" s="126"/>
      <c r="C597" s="159" t="s">
        <v>124</v>
      </c>
      <c r="D597" s="160"/>
      <c r="E597" s="156"/>
      <c r="F597" s="126"/>
      <c r="G597" s="126"/>
      <c r="H597" s="126"/>
      <c r="I597" s="126"/>
      <c r="J597" s="126"/>
    </row>
    <row r="598" spans="1:10">
      <c r="A598" s="126"/>
      <c r="B598" s="126"/>
      <c r="C598" s="159" t="s">
        <v>33</v>
      </c>
      <c r="D598" s="160">
        <v>2622</v>
      </c>
      <c r="E598" s="156">
        <f t="shared" ref="E598:E605" si="30">D598*$J$561</f>
        <v>565.30320000000006</v>
      </c>
      <c r="F598" s="126"/>
      <c r="G598" s="126"/>
      <c r="H598" s="126"/>
      <c r="I598" s="126"/>
      <c r="J598" s="126"/>
    </row>
    <row r="599" spans="1:10">
      <c r="A599" s="126"/>
      <c r="B599" s="126"/>
      <c r="C599" s="159" t="s">
        <v>123</v>
      </c>
      <c r="D599" s="160">
        <v>3242</v>
      </c>
      <c r="E599" s="156">
        <f t="shared" si="30"/>
        <v>698.97520000000009</v>
      </c>
      <c r="F599" s="126"/>
      <c r="G599" s="126"/>
      <c r="H599" s="126"/>
      <c r="I599" s="126"/>
      <c r="J599" s="126"/>
    </row>
    <row r="600" spans="1:10">
      <c r="A600" s="126"/>
      <c r="B600" s="126"/>
      <c r="C600" s="159" t="s">
        <v>34</v>
      </c>
      <c r="D600" s="160">
        <v>6143</v>
      </c>
      <c r="E600" s="156">
        <f t="shared" si="30"/>
        <v>1324.4308000000001</v>
      </c>
      <c r="F600" s="126"/>
      <c r="G600" s="126"/>
      <c r="H600" s="126"/>
      <c r="I600" s="126"/>
      <c r="J600" s="126"/>
    </row>
    <row r="601" spans="1:10">
      <c r="A601" s="126"/>
      <c r="B601" s="126"/>
      <c r="C601" s="159" t="s">
        <v>35</v>
      </c>
      <c r="D601" s="160">
        <v>396</v>
      </c>
      <c r="E601" s="156">
        <f t="shared" si="30"/>
        <v>85.377600000000001</v>
      </c>
      <c r="F601" s="126"/>
      <c r="G601" s="126"/>
      <c r="H601" s="126"/>
      <c r="I601" s="126"/>
      <c r="J601" s="126"/>
    </row>
    <row r="602" spans="1:10">
      <c r="A602" s="126"/>
      <c r="B602" s="126"/>
      <c r="C602" s="159" t="s">
        <v>106</v>
      </c>
      <c r="D602" s="160">
        <v>173</v>
      </c>
      <c r="E602" s="156">
        <f t="shared" si="30"/>
        <v>37.2988</v>
      </c>
      <c r="F602" s="126"/>
      <c r="G602" s="126"/>
      <c r="H602" s="126"/>
      <c r="I602" s="126"/>
      <c r="J602" s="126"/>
    </row>
    <row r="603" spans="1:10">
      <c r="A603" s="126"/>
      <c r="B603" s="126"/>
      <c r="C603" s="159" t="s">
        <v>125</v>
      </c>
      <c r="D603" s="160">
        <v>99</v>
      </c>
      <c r="E603" s="156">
        <f t="shared" si="30"/>
        <v>21.3444</v>
      </c>
      <c r="F603" s="126"/>
      <c r="G603" s="126"/>
    </row>
    <row r="604" spans="1:10">
      <c r="A604" s="126"/>
      <c r="B604" s="126"/>
      <c r="C604" s="159" t="s">
        <v>126</v>
      </c>
      <c r="D604" s="160">
        <v>747</v>
      </c>
      <c r="E604" s="156">
        <f t="shared" si="30"/>
        <v>161.0532</v>
      </c>
      <c r="F604" s="126"/>
      <c r="G604" s="126"/>
    </row>
    <row r="605" spans="1:10" ht="15.75" thickBot="1">
      <c r="A605" s="126"/>
      <c r="B605" s="126"/>
      <c r="C605" s="159" t="s">
        <v>37</v>
      </c>
      <c r="D605" s="160">
        <v>1807</v>
      </c>
      <c r="E605" s="156">
        <f t="shared" si="30"/>
        <v>389.58920000000001</v>
      </c>
      <c r="F605" s="126"/>
      <c r="G605" s="126"/>
    </row>
    <row r="606" spans="1:10" ht="15.75" thickBot="1">
      <c r="A606" s="126"/>
      <c r="B606" s="126"/>
      <c r="C606" s="161" t="s">
        <v>39</v>
      </c>
      <c r="D606" s="162">
        <f>SUM(D594:D605)</f>
        <v>27845</v>
      </c>
      <c r="E606" s="163">
        <f>SUM(E594:E604)</f>
        <v>5613.7928000000002</v>
      </c>
      <c r="F606" s="126"/>
      <c r="G606" s="126"/>
      <c r="H606" s="126"/>
      <c r="I606" s="127" t="s">
        <v>158</v>
      </c>
      <c r="J606" s="128">
        <f>+Model!AS216</f>
        <v>0.22720000000000001</v>
      </c>
    </row>
    <row r="607" spans="1:10">
      <c r="H607" s="126"/>
      <c r="I607" s="127" t="s">
        <v>159</v>
      </c>
      <c r="J607" s="128">
        <f>+Model!AS215</f>
        <v>0.22989999999999999</v>
      </c>
    </row>
    <row r="608" spans="1:10">
      <c r="C608" s="151" t="s">
        <v>24</v>
      </c>
      <c r="D608" s="152">
        <f>+D606-D571-D572-D575-D576</f>
        <v>5.8000000000902219E-2</v>
      </c>
      <c r="H608" s="127"/>
      <c r="I608" s="127"/>
      <c r="J608" s="128"/>
    </row>
    <row r="609" spans="1:10">
      <c r="H609" s="126"/>
      <c r="I609" s="126"/>
      <c r="J609" s="126"/>
    </row>
    <row r="610" spans="1:10">
      <c r="A610" s="127" t="s">
        <v>160</v>
      </c>
      <c r="B610" s="126"/>
      <c r="C610" s="126"/>
      <c r="D610" s="126"/>
      <c r="E610" s="126"/>
      <c r="F610" s="126"/>
      <c r="G610" s="126"/>
      <c r="H610" s="126"/>
      <c r="I610" s="126"/>
      <c r="J610" s="126"/>
    </row>
    <row r="611" spans="1:10">
      <c r="A611" s="127"/>
      <c r="B611" s="126"/>
      <c r="C611" s="126"/>
      <c r="D611" s="126"/>
      <c r="E611" s="126"/>
      <c r="F611" s="126"/>
      <c r="G611" s="126"/>
      <c r="H611" s="126"/>
      <c r="I611" s="126"/>
      <c r="J611" s="126"/>
    </row>
    <row r="612" spans="1:10">
      <c r="A612" s="127"/>
      <c r="B612" s="126"/>
      <c r="C612" s="126"/>
      <c r="D612" s="126"/>
      <c r="E612" s="126"/>
      <c r="F612" s="126"/>
      <c r="G612" s="126"/>
      <c r="H612" s="126"/>
      <c r="I612" s="126"/>
      <c r="J612" s="126"/>
    </row>
    <row r="613" spans="1:10" ht="26.25">
      <c r="A613" s="126"/>
      <c r="B613" s="126"/>
      <c r="C613" s="129" t="s">
        <v>161</v>
      </c>
      <c r="D613" s="167" t="s">
        <v>55</v>
      </c>
      <c r="E613" s="167" t="s">
        <v>5</v>
      </c>
      <c r="F613" s="130" t="s">
        <v>6</v>
      </c>
      <c r="G613" s="130" t="s">
        <v>7</v>
      </c>
      <c r="H613" s="126"/>
      <c r="I613" s="126"/>
      <c r="J613" s="126"/>
    </row>
    <row r="614" spans="1:10">
      <c r="A614" s="126"/>
      <c r="B614" s="126"/>
      <c r="C614" s="131"/>
      <c r="D614" s="132"/>
      <c r="E614" s="133"/>
      <c r="F614" s="134"/>
      <c r="G614" s="134"/>
      <c r="H614" s="126"/>
      <c r="I614" s="126"/>
      <c r="J614" s="126"/>
    </row>
    <row r="615" spans="1:10">
      <c r="A615" s="126"/>
      <c r="B615" s="126"/>
      <c r="C615" s="131" t="s">
        <v>10</v>
      </c>
      <c r="D615" s="135"/>
      <c r="E615" s="136"/>
      <c r="F615" s="134"/>
      <c r="G615" s="134"/>
      <c r="H615" s="126"/>
      <c r="I615" s="126"/>
      <c r="J615" s="126"/>
    </row>
    <row r="616" spans="1:10">
      <c r="A616" s="126"/>
      <c r="B616" s="126"/>
      <c r="C616" s="139" t="s">
        <v>12</v>
      </c>
      <c r="D616" s="185">
        <f>Model!AS108</f>
        <v>388.73</v>
      </c>
      <c r="E616" s="32">
        <f t="shared" ref="E616:E623" si="31">+D616*$J$606</f>
        <v>88.319456000000002</v>
      </c>
      <c r="F616" s="142"/>
      <c r="G616" s="142"/>
      <c r="H616" s="126"/>
      <c r="I616" s="126"/>
      <c r="J616" s="126"/>
    </row>
    <row r="617" spans="1:10">
      <c r="A617" s="126"/>
      <c r="B617" s="126"/>
      <c r="C617" s="139" t="s">
        <v>15</v>
      </c>
      <c r="D617" s="185">
        <f>Model!AS109</f>
        <v>6921.3220000000001</v>
      </c>
      <c r="E617" s="32">
        <f t="shared" si="31"/>
        <v>1572.5243584000002</v>
      </c>
      <c r="F617" s="142"/>
      <c r="G617" s="142"/>
      <c r="H617" s="126"/>
      <c r="I617" s="126"/>
      <c r="J617" s="126"/>
    </row>
    <row r="618" spans="1:10">
      <c r="A618" s="126"/>
      <c r="B618" s="126"/>
      <c r="C618" s="139" t="s">
        <v>16</v>
      </c>
      <c r="D618" s="185">
        <f>Model!AS110</f>
        <v>2014.164</v>
      </c>
      <c r="E618" s="32">
        <f t="shared" si="31"/>
        <v>457.61806080000002</v>
      </c>
      <c r="F618" s="142"/>
      <c r="G618" s="142"/>
      <c r="H618" s="126"/>
      <c r="I618" s="126"/>
      <c r="J618" s="126"/>
    </row>
    <row r="619" spans="1:10">
      <c r="A619" s="126"/>
      <c r="B619" s="126"/>
      <c r="C619" s="131" t="s">
        <v>17</v>
      </c>
      <c r="D619" s="135"/>
      <c r="E619" s="32">
        <f t="shared" si="31"/>
        <v>0</v>
      </c>
      <c r="F619" s="134"/>
      <c r="G619" s="134"/>
      <c r="H619" s="126"/>
      <c r="I619" s="126"/>
      <c r="J619" s="126"/>
    </row>
    <row r="620" spans="1:10">
      <c r="A620" s="126"/>
      <c r="B620" s="126"/>
      <c r="C620" s="139" t="s">
        <v>12</v>
      </c>
      <c r="D620" s="185">
        <f>Model!AS113</f>
        <v>2244.25</v>
      </c>
      <c r="E620" s="32">
        <f t="shared" si="31"/>
        <v>509.89360000000005</v>
      </c>
      <c r="F620" s="142"/>
      <c r="G620" s="142"/>
      <c r="H620" s="126"/>
      <c r="I620" s="126"/>
      <c r="J620" s="126"/>
    </row>
    <row r="621" spans="1:10">
      <c r="A621" s="126"/>
      <c r="B621" s="126"/>
      <c r="C621" s="139" t="s">
        <v>15</v>
      </c>
      <c r="D621" s="185">
        <f>Model!AS114</f>
        <v>15648.065000000001</v>
      </c>
      <c r="E621" s="32">
        <f t="shared" si="31"/>
        <v>3555.2403680000002</v>
      </c>
      <c r="F621" s="142"/>
      <c r="G621" s="142"/>
      <c r="H621" s="126"/>
      <c r="I621" s="126"/>
      <c r="J621" s="126"/>
    </row>
    <row r="622" spans="1:10">
      <c r="A622" s="126"/>
      <c r="B622" s="126"/>
      <c r="C622" s="139" t="s">
        <v>16</v>
      </c>
      <c r="D622" s="185">
        <f>Model!AS115</f>
        <v>8636.1790000000001</v>
      </c>
      <c r="E622" s="32">
        <f t="shared" si="31"/>
        <v>1962.1398688000002</v>
      </c>
      <c r="F622" s="142"/>
      <c r="G622" s="142"/>
      <c r="H622" s="126"/>
      <c r="I622" s="126"/>
      <c r="J622" s="126"/>
    </row>
    <row r="623" spans="1:10">
      <c r="A623" s="126"/>
      <c r="B623" s="126"/>
      <c r="C623" s="139" t="s">
        <v>45</v>
      </c>
      <c r="D623" s="166">
        <v>0</v>
      </c>
      <c r="E623" s="32">
        <f t="shared" si="31"/>
        <v>0</v>
      </c>
      <c r="F623" s="146"/>
      <c r="G623" s="146"/>
      <c r="H623" s="126"/>
      <c r="I623" s="126"/>
      <c r="J623" s="126"/>
    </row>
    <row r="624" spans="1:10">
      <c r="A624" s="126"/>
      <c r="B624" s="126"/>
      <c r="C624" s="137" t="s">
        <v>18</v>
      </c>
      <c r="D624" s="143">
        <f>SUM(D616:D623)</f>
        <v>35852.710000000006</v>
      </c>
      <c r="E624" s="143">
        <f>SUM(E616:E623)</f>
        <v>8145.7357120000006</v>
      </c>
      <c r="F624" s="138">
        <f>+D624/D629</f>
        <v>3.6744732474497397</v>
      </c>
      <c r="G624" s="138">
        <f>+E624/E629</f>
        <v>3.6313193641608557</v>
      </c>
      <c r="H624" s="126"/>
      <c r="I624" s="126"/>
      <c r="J624" s="126"/>
    </row>
    <row r="625" spans="1:10">
      <c r="A625" s="126"/>
      <c r="B625" s="126"/>
      <c r="C625" s="139" t="s">
        <v>19</v>
      </c>
      <c r="D625" s="147">
        <f>+Model!AS123</f>
        <v>6586.2759999999998</v>
      </c>
      <c r="E625" s="32">
        <f>+D625*$J$606</f>
        <v>1496.4019072000001</v>
      </c>
      <c r="F625" s="140"/>
      <c r="G625" s="140"/>
      <c r="H625" s="126"/>
      <c r="I625" s="126"/>
      <c r="J625" s="126"/>
    </row>
    <row r="626" spans="1:10">
      <c r="A626" s="126"/>
      <c r="B626" s="126"/>
      <c r="C626" s="137" t="s">
        <v>20</v>
      </c>
      <c r="D626" s="143">
        <f>+D624-D625</f>
        <v>29266.434000000008</v>
      </c>
      <c r="E626" s="144">
        <f>+E624-E625</f>
        <v>6649.3338048000005</v>
      </c>
      <c r="F626" s="138">
        <f>+D626/D629</f>
        <v>2.9994588632561801</v>
      </c>
      <c r="G626" s="138">
        <f>+E626/E629</f>
        <v>2.9642325086202868</v>
      </c>
      <c r="H626" s="126"/>
      <c r="I626" s="126"/>
      <c r="J626" s="126"/>
    </row>
    <row r="627" spans="1:10">
      <c r="A627" s="126"/>
      <c r="B627" s="126"/>
      <c r="C627" s="141" t="s">
        <v>21</v>
      </c>
      <c r="D627" s="148">
        <f>+Model!AS131</f>
        <v>24284.591</v>
      </c>
      <c r="E627" s="32">
        <f>+D627*$J$606</f>
        <v>5517.4590752000004</v>
      </c>
      <c r="F627" s="142"/>
      <c r="G627" s="142"/>
      <c r="H627" s="126"/>
      <c r="I627" s="126"/>
      <c r="J627" s="126"/>
    </row>
    <row r="628" spans="1:10">
      <c r="A628" s="126"/>
      <c r="B628" s="126"/>
      <c r="C628" s="137" t="s">
        <v>22</v>
      </c>
      <c r="D628" s="143">
        <f>D624+D627</f>
        <v>60137.301000000007</v>
      </c>
      <c r="E628" s="144">
        <f>E624+E627</f>
        <v>13663.194787200002</v>
      </c>
      <c r="F628" s="138">
        <f>D628/D629</f>
        <v>6.1633528873642316</v>
      </c>
      <c r="G628" s="138">
        <f>E628/E629</f>
        <v>6.0909690126539946</v>
      </c>
    </row>
    <row r="629" spans="1:10">
      <c r="A629" s="126"/>
      <c r="B629" s="126"/>
      <c r="C629" s="145" t="s">
        <v>23</v>
      </c>
      <c r="D629" s="149">
        <f>+Model!AS90</f>
        <v>9757.2380000000012</v>
      </c>
      <c r="E629" s="150">
        <f>D629*J607</f>
        <v>2243.1890162000004</v>
      </c>
      <c r="F629" s="146"/>
      <c r="G629" s="146"/>
      <c r="H629" s="126"/>
      <c r="I629" s="126"/>
      <c r="J629" s="126"/>
    </row>
    <row r="630" spans="1:10">
      <c r="A630" s="126"/>
      <c r="B630" s="126"/>
      <c r="C630" s="126"/>
      <c r="D630" s="126"/>
      <c r="E630" s="126"/>
      <c r="F630" s="126"/>
      <c r="G630" s="126"/>
      <c r="H630" s="126"/>
      <c r="I630" s="126"/>
      <c r="J630" s="126"/>
    </row>
    <row r="631" spans="1:10">
      <c r="A631" s="126"/>
      <c r="B631" s="126"/>
      <c r="C631" s="151" t="s">
        <v>24</v>
      </c>
      <c r="D631" s="152">
        <f>+D624-Model!AS116</f>
        <v>0</v>
      </c>
      <c r="E631" s="153"/>
      <c r="F631" s="126"/>
      <c r="G631" s="126"/>
      <c r="H631" s="126"/>
      <c r="I631" s="126"/>
      <c r="J631" s="126"/>
    </row>
    <row r="632" spans="1:10" ht="15.75" thickBot="1">
      <c r="F632" s="86"/>
      <c r="H632" s="126"/>
      <c r="I632" s="126"/>
      <c r="J632" s="126"/>
    </row>
    <row r="633" spans="1:10">
      <c r="A633" s="126"/>
      <c r="B633" s="126"/>
      <c r="C633" s="154" t="s">
        <v>162</v>
      </c>
      <c r="D633" s="164" t="s">
        <v>55</v>
      </c>
      <c r="E633" s="164" t="s">
        <v>5</v>
      </c>
      <c r="F633" s="126"/>
      <c r="G633" s="126"/>
      <c r="H633" s="126"/>
      <c r="I633" s="126"/>
      <c r="J633" s="126"/>
    </row>
    <row r="634" spans="1:10">
      <c r="A634" s="126"/>
      <c r="B634" s="126"/>
      <c r="C634" s="155" t="s">
        <v>74</v>
      </c>
      <c r="D634" s="160">
        <v>0</v>
      </c>
      <c r="E634" s="156">
        <f>D634*$J$651</f>
        <v>0</v>
      </c>
      <c r="F634" s="126"/>
      <c r="G634" s="126"/>
      <c r="H634" s="126"/>
      <c r="I634" s="126"/>
      <c r="J634" s="126"/>
    </row>
    <row r="635" spans="1:10">
      <c r="A635" s="126"/>
      <c r="B635" s="126"/>
      <c r="C635" s="155" t="s">
        <v>47</v>
      </c>
      <c r="D635" s="156">
        <f>D625</f>
        <v>6586.2759999999998</v>
      </c>
      <c r="E635" s="156">
        <f>D635*$J$606</f>
        <v>1496.4019072000001</v>
      </c>
      <c r="F635" s="126"/>
      <c r="G635" s="126"/>
      <c r="H635" s="126"/>
      <c r="I635" s="126"/>
      <c r="J635" s="126"/>
    </row>
    <row r="636" spans="1:10" ht="15.75" thickBot="1">
      <c r="A636" s="126"/>
      <c r="B636" s="126"/>
      <c r="C636" s="157"/>
      <c r="D636" s="183">
        <f>SUM(D634:D635)</f>
        <v>6586.2759999999998</v>
      </c>
      <c r="E636" s="183">
        <f>SUM(E634:E635)</f>
        <v>1496.4019072000001</v>
      </c>
      <c r="F636" s="126"/>
      <c r="G636" s="126"/>
      <c r="H636" s="126"/>
      <c r="I636" s="126"/>
      <c r="J636" s="126"/>
    </row>
    <row r="637" spans="1:10" ht="15.75" thickBot="1">
      <c r="A637" s="126"/>
      <c r="B637" s="126"/>
      <c r="C637" s="126"/>
      <c r="D637" s="126"/>
      <c r="E637" s="126"/>
      <c r="F637" s="126"/>
      <c r="G637" s="126"/>
      <c r="H637" s="126"/>
      <c r="I637" s="126"/>
      <c r="J637" s="126"/>
    </row>
    <row r="638" spans="1:10">
      <c r="A638" s="126"/>
      <c r="B638" s="126"/>
      <c r="C638" s="154" t="s">
        <v>163</v>
      </c>
      <c r="D638" s="164" t="s">
        <v>55</v>
      </c>
      <c r="E638" s="164" t="s">
        <v>5</v>
      </c>
      <c r="F638" s="126"/>
      <c r="G638" s="126"/>
      <c r="H638" s="126"/>
      <c r="I638" s="126"/>
      <c r="J638" s="126"/>
    </row>
    <row r="639" spans="1:10">
      <c r="A639" s="126"/>
      <c r="B639" s="126"/>
      <c r="C639" s="159" t="s">
        <v>122</v>
      </c>
      <c r="D639" s="160"/>
      <c r="E639" s="156"/>
      <c r="F639" s="126"/>
      <c r="G639" s="126"/>
      <c r="H639" s="126"/>
      <c r="I639" s="126"/>
      <c r="J639" s="126"/>
    </row>
    <row r="640" spans="1:10">
      <c r="A640" s="126"/>
      <c r="B640" s="126"/>
      <c r="C640" s="159" t="s">
        <v>33</v>
      </c>
      <c r="D640" s="160">
        <v>11091</v>
      </c>
      <c r="E640" s="156">
        <f>D640*$J$606</f>
        <v>2519.8751999999999</v>
      </c>
      <c r="F640" s="126"/>
      <c r="G640" s="126"/>
      <c r="H640" s="126"/>
      <c r="I640" s="126"/>
      <c r="J640" s="126"/>
    </row>
    <row r="641" spans="1:10">
      <c r="A641" s="126"/>
      <c r="B641" s="126"/>
      <c r="C641" s="159" t="s">
        <v>123</v>
      </c>
      <c r="D641" s="160">
        <v>968</v>
      </c>
      <c r="E641" s="156">
        <f>D641*$J$606</f>
        <v>219.92960000000002</v>
      </c>
      <c r="F641" s="126"/>
      <c r="G641" s="126"/>
      <c r="H641" s="126"/>
      <c r="I641" s="126"/>
      <c r="J641" s="126"/>
    </row>
    <row r="642" spans="1:10">
      <c r="A642" s="126"/>
      <c r="B642" s="126"/>
      <c r="C642" s="159" t="s">
        <v>124</v>
      </c>
      <c r="D642" s="160"/>
      <c r="E642" s="156"/>
      <c r="F642" s="126"/>
      <c r="G642" s="126"/>
      <c r="H642" s="126"/>
      <c r="I642" s="126"/>
      <c r="J642" s="126"/>
    </row>
    <row r="643" spans="1:10">
      <c r="A643" s="126"/>
      <c r="B643" s="126"/>
      <c r="C643" s="159" t="s">
        <v>33</v>
      </c>
      <c r="D643" s="160">
        <v>2052</v>
      </c>
      <c r="E643" s="156">
        <f t="shared" ref="E643:E650" si="32">D643*$J$606</f>
        <v>466.21440000000001</v>
      </c>
      <c r="F643" s="126"/>
      <c r="G643" s="126"/>
      <c r="H643" s="126"/>
      <c r="I643" s="126"/>
      <c r="J643" s="126"/>
    </row>
    <row r="644" spans="1:10">
      <c r="A644" s="126"/>
      <c r="B644" s="126"/>
      <c r="C644" s="159" t="s">
        <v>123</v>
      </c>
      <c r="D644" s="160">
        <v>3386</v>
      </c>
      <c r="E644" s="156">
        <f t="shared" si="32"/>
        <v>769.29920000000004</v>
      </c>
      <c r="F644" s="126"/>
      <c r="G644" s="126"/>
      <c r="H644" s="126"/>
      <c r="I644" s="126"/>
      <c r="J644" s="126"/>
    </row>
    <row r="645" spans="1:10">
      <c r="A645" s="126"/>
      <c r="B645" s="126"/>
      <c r="C645" s="159" t="s">
        <v>34</v>
      </c>
      <c r="D645" s="160">
        <v>4820</v>
      </c>
      <c r="E645" s="156">
        <f t="shared" si="32"/>
        <v>1095.104</v>
      </c>
      <c r="F645" s="126"/>
      <c r="G645" s="126"/>
      <c r="H645" s="126"/>
      <c r="I645" s="126"/>
      <c r="J645" s="126"/>
    </row>
    <row r="646" spans="1:10">
      <c r="A646" s="126"/>
      <c r="B646" s="126"/>
      <c r="C646" s="159" t="s">
        <v>35</v>
      </c>
      <c r="D646" s="160">
        <v>523</v>
      </c>
      <c r="E646" s="156">
        <f t="shared" si="32"/>
        <v>118.82560000000001</v>
      </c>
      <c r="F646" s="126"/>
      <c r="G646" s="126"/>
      <c r="H646" s="126"/>
      <c r="I646" s="126"/>
      <c r="J646" s="126"/>
    </row>
    <row r="647" spans="1:10">
      <c r="A647" s="126"/>
      <c r="B647" s="126"/>
      <c r="C647" s="159" t="s">
        <v>106</v>
      </c>
      <c r="D647" s="160">
        <v>172</v>
      </c>
      <c r="E647" s="156">
        <f t="shared" si="32"/>
        <v>39.078400000000002</v>
      </c>
      <c r="F647" s="126"/>
      <c r="G647" s="126"/>
      <c r="H647" s="126"/>
      <c r="I647" s="126"/>
      <c r="J647" s="126"/>
    </row>
    <row r="648" spans="1:10">
      <c r="A648" s="126"/>
      <c r="B648" s="126"/>
      <c r="C648" s="159" t="s">
        <v>125</v>
      </c>
      <c r="D648" s="160">
        <v>95</v>
      </c>
      <c r="E648" s="156">
        <f t="shared" si="32"/>
        <v>21.584</v>
      </c>
      <c r="F648" s="126"/>
      <c r="G648" s="126"/>
    </row>
    <row r="649" spans="1:10">
      <c r="A649" s="126"/>
      <c r="B649" s="126"/>
      <c r="C649" s="159" t="s">
        <v>126</v>
      </c>
      <c r="D649" s="160">
        <v>745</v>
      </c>
      <c r="E649" s="156">
        <f t="shared" si="32"/>
        <v>169.26400000000001</v>
      </c>
      <c r="F649" s="126"/>
      <c r="G649" s="126"/>
    </row>
    <row r="650" spans="1:10" ht="15.75" thickBot="1">
      <c r="A650" s="126"/>
      <c r="B650" s="126"/>
      <c r="C650" s="159" t="s">
        <v>37</v>
      </c>
      <c r="D650" s="160">
        <v>1350</v>
      </c>
      <c r="E650" s="156">
        <f t="shared" si="32"/>
        <v>306.72000000000003</v>
      </c>
      <c r="F650" s="126"/>
      <c r="G650" s="126"/>
    </row>
    <row r="651" spans="1:10" ht="15.75" thickBot="1">
      <c r="A651" s="126"/>
      <c r="B651" s="126"/>
      <c r="C651" s="161" t="s">
        <v>39</v>
      </c>
      <c r="D651" s="162">
        <f>SUM(D639:D650)</f>
        <v>25202</v>
      </c>
      <c r="E651" s="163">
        <f>SUM(E639:E649)</f>
        <v>5419.1743999999999</v>
      </c>
      <c r="F651" s="126"/>
      <c r="G651" s="126"/>
      <c r="H651" s="126"/>
      <c r="I651" s="127" t="s">
        <v>164</v>
      </c>
      <c r="J651" s="128">
        <f>+Model!AR216</f>
        <v>0.23780000000000001</v>
      </c>
    </row>
    <row r="652" spans="1:10">
      <c r="H652" s="126"/>
      <c r="I652" s="127" t="s">
        <v>165</v>
      </c>
      <c r="J652" s="128">
        <f>+Model!AR215</f>
        <v>0.2384</v>
      </c>
    </row>
    <row r="653" spans="1:10">
      <c r="C653" s="151" t="s">
        <v>24</v>
      </c>
      <c r="D653" s="152">
        <f>+D651-D616-D617-D620-D621</f>
        <v>-0.36700000000018917</v>
      </c>
      <c r="H653" s="127"/>
      <c r="I653" s="127"/>
      <c r="J653" s="128"/>
    </row>
    <row r="654" spans="1:10">
      <c r="H654" s="126"/>
      <c r="I654" s="126"/>
      <c r="J654" s="126"/>
    </row>
    <row r="655" spans="1:10">
      <c r="A655" s="127" t="s">
        <v>166</v>
      </c>
      <c r="B655" s="126"/>
      <c r="C655" s="126"/>
      <c r="D655" s="126"/>
      <c r="E655" s="126"/>
      <c r="F655" s="126"/>
      <c r="G655" s="126"/>
      <c r="H655" s="126"/>
      <c r="I655" s="126"/>
      <c r="J655" s="126"/>
    </row>
    <row r="656" spans="1:10">
      <c r="A656" s="127"/>
      <c r="B656" s="126"/>
      <c r="C656" s="126"/>
      <c r="D656" s="126"/>
      <c r="E656" s="126"/>
      <c r="F656" s="126"/>
      <c r="G656" s="126"/>
      <c r="H656" s="126"/>
      <c r="I656" s="126"/>
      <c r="J656" s="126"/>
    </row>
    <row r="657" spans="1:11">
      <c r="A657" s="127"/>
      <c r="B657" s="126"/>
      <c r="C657" s="126"/>
      <c r="D657" s="126"/>
      <c r="E657" s="126"/>
      <c r="F657" s="126"/>
      <c r="G657" s="126"/>
      <c r="H657" s="126"/>
      <c r="I657" s="126"/>
      <c r="J657" s="126"/>
    </row>
    <row r="658" spans="1:11" ht="26.25">
      <c r="A658" s="126"/>
      <c r="B658" s="126"/>
      <c r="C658" s="129" t="s">
        <v>167</v>
      </c>
      <c r="D658" s="167" t="s">
        <v>55</v>
      </c>
      <c r="E658" s="167" t="s">
        <v>5</v>
      </c>
      <c r="F658" s="130" t="s">
        <v>6</v>
      </c>
      <c r="G658" s="130" t="s">
        <v>7</v>
      </c>
      <c r="H658" s="126"/>
      <c r="I658" s="126"/>
      <c r="J658" s="126"/>
    </row>
    <row r="659" spans="1:11">
      <c r="A659" s="126"/>
      <c r="B659" s="126"/>
      <c r="C659" s="131"/>
      <c r="D659" s="132"/>
      <c r="E659" s="133"/>
      <c r="F659" s="134"/>
      <c r="G659" s="134"/>
      <c r="H659" s="126"/>
      <c r="I659" s="126"/>
      <c r="J659" s="126"/>
    </row>
    <row r="660" spans="1:11">
      <c r="A660" s="126"/>
      <c r="B660" s="126"/>
      <c r="C660" s="131" t="s">
        <v>10</v>
      </c>
      <c r="D660" s="135"/>
      <c r="E660" s="136"/>
      <c r="F660" s="134"/>
      <c r="G660" s="134"/>
      <c r="H660" s="126"/>
      <c r="I660" s="126"/>
      <c r="J660" s="126"/>
    </row>
    <row r="661" spans="1:11">
      <c r="A661" s="126"/>
      <c r="B661" s="126"/>
      <c r="C661" s="139" t="s">
        <v>12</v>
      </c>
      <c r="D661" s="165">
        <v>280.57499999999999</v>
      </c>
      <c r="E661" s="32">
        <f t="shared" ref="E661:E668" si="33">+D661*$J$651</f>
        <v>66.720735000000005</v>
      </c>
      <c r="F661" s="142"/>
      <c r="G661" s="142"/>
      <c r="H661" s="126"/>
      <c r="I661" s="126"/>
      <c r="J661" s="126"/>
    </row>
    <row r="662" spans="1:11" s="126" customFormat="1">
      <c r="C662" s="139" t="s">
        <v>15</v>
      </c>
      <c r="D662" s="165">
        <v>3986.36</v>
      </c>
      <c r="E662" s="32">
        <f t="shared" si="33"/>
        <v>947.95640800000012</v>
      </c>
      <c r="F662" s="142"/>
      <c r="G662" s="142"/>
      <c r="K662"/>
    </row>
    <row r="663" spans="1:11" s="126" customFormat="1">
      <c r="C663" s="139" t="s">
        <v>16</v>
      </c>
      <c r="D663" s="165">
        <v>1881.9559999999999</v>
      </c>
      <c r="E663" s="32">
        <f t="shared" si="33"/>
        <v>447.5291368</v>
      </c>
      <c r="F663" s="142"/>
      <c r="G663" s="142"/>
      <c r="K663"/>
    </row>
    <row r="664" spans="1:11" s="126" customFormat="1">
      <c r="C664" s="131" t="s">
        <v>17</v>
      </c>
      <c r="D664" s="135"/>
      <c r="E664" s="32">
        <f t="shared" si="33"/>
        <v>0</v>
      </c>
      <c r="F664" s="134"/>
      <c r="G664" s="134"/>
      <c r="K664"/>
    </row>
    <row r="665" spans="1:11" s="126" customFormat="1" ht="21.75" customHeight="1">
      <c r="C665" s="139" t="s">
        <v>12</v>
      </c>
      <c r="D665" s="165">
        <v>1025.0440000000001</v>
      </c>
      <c r="E665" s="32">
        <f t="shared" si="33"/>
        <v>243.75546320000004</v>
      </c>
      <c r="F665" s="142"/>
      <c r="G665" s="142"/>
      <c r="K665"/>
    </row>
    <row r="666" spans="1:11" s="126" customFormat="1">
      <c r="C666" s="139" t="s">
        <v>15</v>
      </c>
      <c r="D666" s="165">
        <v>13370.731</v>
      </c>
      <c r="E666" s="32">
        <f t="shared" si="33"/>
        <v>3179.5598318000002</v>
      </c>
      <c r="F666" s="142"/>
      <c r="G666" s="142"/>
      <c r="K666"/>
    </row>
    <row r="667" spans="1:11" s="126" customFormat="1">
      <c r="C667" s="139" t="s">
        <v>16</v>
      </c>
      <c r="D667" s="165">
        <v>8297.7469999999994</v>
      </c>
      <c r="E667" s="32">
        <f t="shared" si="33"/>
        <v>1973.2042366000001</v>
      </c>
      <c r="F667" s="142"/>
      <c r="G667" s="142"/>
      <c r="K667"/>
    </row>
    <row r="668" spans="1:11" s="126" customFormat="1">
      <c r="C668" s="139" t="s">
        <v>45</v>
      </c>
      <c r="D668" s="166">
        <v>0</v>
      </c>
      <c r="E668" s="32">
        <f t="shared" si="33"/>
        <v>0</v>
      </c>
      <c r="F668" s="146"/>
      <c r="G668" s="146"/>
      <c r="K668"/>
    </row>
    <row r="669" spans="1:11" s="126" customFormat="1">
      <c r="C669" s="137" t="s">
        <v>18</v>
      </c>
      <c r="D669" s="143">
        <f>SUM(D661:D668)</f>
        <v>28842.413</v>
      </c>
      <c r="E669" s="143">
        <f>SUM(E661:E668)</f>
        <v>6858.7258114000015</v>
      </c>
      <c r="F669" s="138">
        <f>+D669/D674</f>
        <v>2.8171497518009594</v>
      </c>
      <c r="G669" s="138">
        <f>+E669/E674</f>
        <v>2.8100596098081723</v>
      </c>
      <c r="K669"/>
    </row>
    <row r="670" spans="1:11" s="126" customFormat="1">
      <c r="C670" s="139" t="s">
        <v>19</v>
      </c>
      <c r="D670" s="147">
        <f>+Model!AR123</f>
        <v>5781.9050000000007</v>
      </c>
      <c r="E670" s="32">
        <f>+D670*$J$651</f>
        <v>1374.9370090000002</v>
      </c>
      <c r="F670" s="140"/>
      <c r="G670" s="140"/>
      <c r="K670"/>
    </row>
    <row r="671" spans="1:11" s="126" customFormat="1" ht="15.75" customHeight="1">
      <c r="C671" s="137" t="s">
        <v>20</v>
      </c>
      <c r="D671" s="143">
        <f>+D669-D670</f>
        <v>23060.508000000002</v>
      </c>
      <c r="E671" s="144">
        <f>+E669-E670</f>
        <v>5483.7888024000013</v>
      </c>
      <c r="F671" s="138">
        <f>+D671/D674</f>
        <v>2.2524087838491198</v>
      </c>
      <c r="G671" s="138">
        <f>+E671/E674</f>
        <v>2.2467399697958088</v>
      </c>
      <c r="K671"/>
    </row>
    <row r="672" spans="1:11" s="126" customFormat="1">
      <c r="C672" s="141" t="s">
        <v>21</v>
      </c>
      <c r="D672" s="148">
        <f>+Model!AR131</f>
        <v>23913.594000000001</v>
      </c>
      <c r="E672" s="32">
        <f>+D672*$J$651</f>
        <v>5686.6526532000007</v>
      </c>
      <c r="F672" s="142"/>
      <c r="G672" s="142"/>
      <c r="K672"/>
    </row>
    <row r="673" spans="1:11" s="126" customFormat="1">
      <c r="C673" s="137" t="s">
        <v>22</v>
      </c>
      <c r="D673" s="143">
        <f>D669+D672</f>
        <v>52756.006999999998</v>
      </c>
      <c r="E673" s="144">
        <f>E669+E672</f>
        <v>12545.378464600002</v>
      </c>
      <c r="F673" s="138">
        <f>D673/D674</f>
        <v>5.1528827364776886</v>
      </c>
      <c r="G673" s="138">
        <f>E673/E674</f>
        <v>5.139914071872461</v>
      </c>
      <c r="H673"/>
      <c r="I673"/>
      <c r="J673"/>
      <c r="K673"/>
    </row>
    <row r="674" spans="1:11" s="126" customFormat="1">
      <c r="C674" s="145" t="s">
        <v>23</v>
      </c>
      <c r="D674" s="149">
        <f>+Model!AR90</f>
        <v>10238.154</v>
      </c>
      <c r="E674" s="150">
        <f>D674*J652</f>
        <v>2440.7759136</v>
      </c>
      <c r="F674" s="146"/>
      <c r="G674" s="146"/>
      <c r="K674"/>
    </row>
    <row r="675" spans="1:11" s="126" customFormat="1">
      <c r="K675"/>
    </row>
    <row r="676" spans="1:11" s="126" customFormat="1">
      <c r="C676" s="151" t="s">
        <v>24</v>
      </c>
      <c r="D676" s="152">
        <f>+D669-Model!AR116</f>
        <v>0</v>
      </c>
      <c r="E676" s="153"/>
      <c r="K676"/>
    </row>
    <row r="677" spans="1:11" s="126" customFormat="1" ht="15.75" thickBot="1">
      <c r="A677"/>
      <c r="B677"/>
      <c r="C677"/>
      <c r="D677"/>
      <c r="E677"/>
      <c r="F677" s="86"/>
      <c r="G677"/>
      <c r="K677"/>
    </row>
    <row r="678" spans="1:11" s="126" customFormat="1">
      <c r="C678" s="154" t="s">
        <v>168</v>
      </c>
      <c r="D678" s="164" t="s">
        <v>55</v>
      </c>
      <c r="E678" s="164" t="s">
        <v>5</v>
      </c>
      <c r="K678"/>
    </row>
    <row r="679" spans="1:11" s="126" customFormat="1">
      <c r="C679" s="155" t="s">
        <v>74</v>
      </c>
      <c r="D679" s="160">
        <v>0</v>
      </c>
      <c r="E679" s="156">
        <f>D679*$J$651</f>
        <v>0</v>
      </c>
      <c r="K679"/>
    </row>
    <row r="680" spans="1:11" s="126" customFormat="1">
      <c r="C680" s="155" t="s">
        <v>47</v>
      </c>
      <c r="D680" s="156">
        <f>D670</f>
        <v>5781.9050000000007</v>
      </c>
      <c r="E680" s="156">
        <f>D680*$J$651</f>
        <v>1374.9370090000002</v>
      </c>
      <c r="K680"/>
    </row>
    <row r="681" spans="1:11" s="126" customFormat="1" ht="15.75" thickBot="1">
      <c r="C681" s="157"/>
      <c r="D681" s="183">
        <f>SUM(D679:D680)</f>
        <v>5781.9050000000007</v>
      </c>
      <c r="E681" s="183">
        <f>SUM(E679:E680)</f>
        <v>1374.9370090000002</v>
      </c>
      <c r="K681"/>
    </row>
    <row r="682" spans="1:11" s="126" customFormat="1" ht="15.75" thickBot="1">
      <c r="K682"/>
    </row>
    <row r="683" spans="1:11" s="126" customFormat="1">
      <c r="C683" s="154" t="s">
        <v>169</v>
      </c>
      <c r="D683" s="164" t="s">
        <v>55</v>
      </c>
      <c r="E683" s="164" t="s">
        <v>5</v>
      </c>
      <c r="K683"/>
    </row>
    <row r="684" spans="1:11">
      <c r="A684" s="126"/>
      <c r="B684" s="126"/>
      <c r="C684" s="159" t="s">
        <v>122</v>
      </c>
      <c r="D684" s="160"/>
      <c r="E684" s="156"/>
      <c r="F684" s="126"/>
      <c r="G684" s="126"/>
      <c r="H684" s="126"/>
      <c r="I684" s="126"/>
      <c r="J684" s="126"/>
    </row>
    <row r="685" spans="1:11" s="126" customFormat="1">
      <c r="C685" s="159" t="s">
        <v>33</v>
      </c>
      <c r="D685" s="160">
        <v>9040</v>
      </c>
      <c r="E685" s="156">
        <f>D685*$J$651</f>
        <v>2149.712</v>
      </c>
      <c r="K685"/>
    </row>
    <row r="686" spans="1:11" s="126" customFormat="1">
      <c r="C686" s="159" t="s">
        <v>123</v>
      </c>
      <c r="D686" s="160">
        <v>658</v>
      </c>
      <c r="E686" s="156">
        <f>D686*$J$651</f>
        <v>156.47239999999999</v>
      </c>
      <c r="K686"/>
    </row>
    <row r="687" spans="1:11" s="126" customFormat="1" ht="11.25" customHeight="1">
      <c r="C687" s="159" t="s">
        <v>124</v>
      </c>
      <c r="D687" s="160"/>
      <c r="E687" s="156"/>
      <c r="K687"/>
    </row>
    <row r="688" spans="1:11" s="126" customFormat="1">
      <c r="C688" s="159" t="s">
        <v>33</v>
      </c>
      <c r="D688" s="160">
        <v>1170</v>
      </c>
      <c r="E688" s="156">
        <f t="shared" ref="E688:E694" si="34">D688*$J$651</f>
        <v>278.226</v>
      </c>
      <c r="K688"/>
    </row>
    <row r="689" spans="1:11" s="126" customFormat="1">
      <c r="C689" s="159" t="s">
        <v>123</v>
      </c>
      <c r="D689" s="160">
        <v>3409</v>
      </c>
      <c r="E689" s="156">
        <f t="shared" si="34"/>
        <v>810.66020000000003</v>
      </c>
      <c r="K689"/>
    </row>
    <row r="690" spans="1:11" s="126" customFormat="1">
      <c r="C690" s="159" t="s">
        <v>34</v>
      </c>
      <c r="D690" s="160">
        <v>2999</v>
      </c>
      <c r="E690" s="156">
        <f t="shared" si="34"/>
        <v>713.16219999999998</v>
      </c>
      <c r="K690"/>
    </row>
    <row r="691" spans="1:11" s="126" customFormat="1">
      <c r="C691" s="159" t="s">
        <v>35</v>
      </c>
      <c r="D691" s="160">
        <v>343</v>
      </c>
      <c r="E691" s="156">
        <f t="shared" si="34"/>
        <v>81.565400000000011</v>
      </c>
      <c r="K691"/>
    </row>
    <row r="692" spans="1:11" s="126" customFormat="1">
      <c r="C692" s="159" t="s">
        <v>106</v>
      </c>
      <c r="D692" s="160">
        <v>213</v>
      </c>
      <c r="E692" s="156">
        <f t="shared" si="34"/>
        <v>50.651400000000002</v>
      </c>
      <c r="H692"/>
      <c r="I692"/>
      <c r="J692"/>
      <c r="K692"/>
    </row>
    <row r="693" spans="1:11" s="126" customFormat="1">
      <c r="C693" s="159" t="s">
        <v>125</v>
      </c>
      <c r="D693" s="160">
        <v>99</v>
      </c>
      <c r="E693" s="156">
        <f t="shared" si="34"/>
        <v>23.542200000000001</v>
      </c>
      <c r="H693"/>
      <c r="I693"/>
      <c r="J693"/>
      <c r="K693"/>
    </row>
    <row r="694" spans="1:11" s="126" customFormat="1" ht="15.75" thickBot="1">
      <c r="C694" s="159" t="s">
        <v>126</v>
      </c>
      <c r="D694" s="160">
        <v>732</v>
      </c>
      <c r="E694" s="156">
        <f t="shared" si="34"/>
        <v>174.06960000000001</v>
      </c>
      <c r="H694"/>
      <c r="I694"/>
      <c r="J694"/>
      <c r="K694"/>
    </row>
    <row r="695" spans="1:11" s="126" customFormat="1" ht="15.75" thickBot="1">
      <c r="C695" s="161" t="s">
        <v>39</v>
      </c>
      <c r="D695" s="162">
        <f>SUM(D684:D694)</f>
        <v>18663</v>
      </c>
      <c r="E695" s="163">
        <f>SUM(E684:E694)</f>
        <v>4438.0613999999996</v>
      </c>
      <c r="I695" s="127" t="s">
        <v>170</v>
      </c>
      <c r="J695" s="128">
        <f>+Model!AI216</f>
        <v>0.23899999999999999</v>
      </c>
      <c r="K695"/>
    </row>
    <row r="696" spans="1:11" s="126" customFormat="1">
      <c r="A696"/>
      <c r="B696"/>
      <c r="C696"/>
      <c r="D696"/>
      <c r="E696"/>
      <c r="F696"/>
      <c r="G696"/>
      <c r="I696" s="127" t="s">
        <v>171</v>
      </c>
      <c r="J696" s="128">
        <f>+AVERAGE(Model!AF215:AI215)</f>
        <v>0.24195447147089968</v>
      </c>
      <c r="K696"/>
    </row>
    <row r="697" spans="1:11" s="126" customFormat="1">
      <c r="A697"/>
      <c r="B697"/>
      <c r="C697" s="151" t="s">
        <v>24</v>
      </c>
      <c r="D697" s="152">
        <f>+D695-D661-D662-D665-D666</f>
        <v>0.28999999999905413</v>
      </c>
      <c r="E697"/>
      <c r="F697"/>
      <c r="G697"/>
      <c r="H697" s="127"/>
      <c r="I697" s="127"/>
      <c r="J697" s="128"/>
      <c r="K697"/>
    </row>
    <row r="698" spans="1:11" s="126" customFormat="1">
      <c r="A698"/>
      <c r="B698"/>
      <c r="C698"/>
      <c r="D698"/>
      <c r="E698"/>
      <c r="F698"/>
      <c r="G698"/>
      <c r="K698"/>
    </row>
    <row r="699" spans="1:11" s="126" customFormat="1">
      <c r="A699" s="127" t="s">
        <v>172</v>
      </c>
      <c r="K699"/>
    </row>
    <row r="700" spans="1:11" s="126" customFormat="1">
      <c r="A700" s="127"/>
      <c r="K700"/>
    </row>
    <row r="701" spans="1:11" s="126" customFormat="1">
      <c r="A701" s="127"/>
      <c r="K701"/>
    </row>
    <row r="702" spans="1:11" ht="26.25">
      <c r="A702" s="126"/>
      <c r="B702" s="126"/>
      <c r="C702" s="129" t="s">
        <v>173</v>
      </c>
      <c r="D702" s="167" t="s">
        <v>55</v>
      </c>
      <c r="E702" s="167" t="s">
        <v>5</v>
      </c>
      <c r="F702" s="130" t="s">
        <v>6</v>
      </c>
      <c r="G702" s="130" t="s">
        <v>7</v>
      </c>
      <c r="H702" s="126"/>
      <c r="I702" s="126"/>
      <c r="J702" s="126"/>
    </row>
    <row r="703" spans="1:11">
      <c r="A703" s="126"/>
      <c r="B703" s="126"/>
      <c r="C703" s="131"/>
      <c r="D703" s="132"/>
      <c r="E703" s="133"/>
      <c r="F703" s="134"/>
      <c r="G703" s="134"/>
      <c r="H703" s="126"/>
      <c r="I703" s="126"/>
      <c r="J703" s="126"/>
    </row>
    <row r="704" spans="1:11" s="126" customFormat="1">
      <c r="C704" s="131" t="s">
        <v>10</v>
      </c>
      <c r="D704" s="135"/>
      <c r="E704" s="136"/>
      <c r="F704" s="134"/>
      <c r="G704" s="134"/>
      <c r="K704"/>
    </row>
    <row r="705" spans="3:11" s="126" customFormat="1">
      <c r="C705" s="139" t="s">
        <v>12</v>
      </c>
      <c r="D705" s="165">
        <v>280.12400000000002</v>
      </c>
      <c r="E705" s="32">
        <f t="shared" ref="E705:E712" si="35">+D705*$J$695</f>
        <v>66.949635999999998</v>
      </c>
      <c r="F705" s="142"/>
      <c r="G705" s="142"/>
      <c r="K705"/>
    </row>
    <row r="706" spans="3:11" s="126" customFormat="1">
      <c r="C706" s="139" t="s">
        <v>15</v>
      </c>
      <c r="D706" s="165">
        <v>3951.2919999999999</v>
      </c>
      <c r="E706" s="32">
        <f t="shared" si="35"/>
        <v>944.35878799999989</v>
      </c>
      <c r="F706" s="142"/>
      <c r="G706" s="142"/>
      <c r="K706"/>
    </row>
    <row r="707" spans="3:11" s="126" customFormat="1" ht="21.75" customHeight="1">
      <c r="C707" s="139" t="s">
        <v>16</v>
      </c>
      <c r="D707" s="165">
        <v>1758.846</v>
      </c>
      <c r="E707" s="32">
        <f t="shared" si="35"/>
        <v>420.364194</v>
      </c>
      <c r="F707" s="142"/>
      <c r="G707" s="142"/>
      <c r="K707"/>
    </row>
    <row r="708" spans="3:11" s="126" customFormat="1">
      <c r="C708" s="131" t="s">
        <v>17</v>
      </c>
      <c r="D708" s="135"/>
      <c r="E708" s="32">
        <f t="shared" si="35"/>
        <v>0</v>
      </c>
      <c r="F708" s="134"/>
      <c r="G708" s="134"/>
      <c r="K708"/>
    </row>
    <row r="709" spans="3:11" s="126" customFormat="1">
      <c r="C709" s="139" t="s">
        <v>12</v>
      </c>
      <c r="D709" s="165">
        <v>1024.9169999999999</v>
      </c>
      <c r="E709" s="32">
        <f t="shared" si="35"/>
        <v>244.95516299999997</v>
      </c>
      <c r="F709" s="142"/>
      <c r="G709" s="142"/>
      <c r="K709"/>
    </row>
    <row r="710" spans="3:11" s="126" customFormat="1">
      <c r="C710" s="139" t="s">
        <v>15</v>
      </c>
      <c r="D710" s="165">
        <v>13794.162</v>
      </c>
      <c r="E710" s="32">
        <f t="shared" si="35"/>
        <v>3296.8047179999999</v>
      </c>
      <c r="F710" s="142"/>
      <c r="G710" s="142"/>
      <c r="K710"/>
    </row>
    <row r="711" spans="3:11" s="126" customFormat="1">
      <c r="C711" s="139" t="s">
        <v>16</v>
      </c>
      <c r="D711" s="165">
        <v>8412.1489999999994</v>
      </c>
      <c r="E711" s="32">
        <f t="shared" si="35"/>
        <v>2010.5036109999999</v>
      </c>
      <c r="F711" s="142"/>
      <c r="G711" s="142"/>
      <c r="K711"/>
    </row>
    <row r="712" spans="3:11" s="126" customFormat="1">
      <c r="C712" s="139" t="s">
        <v>45</v>
      </c>
      <c r="D712" s="166">
        <v>0</v>
      </c>
      <c r="E712" s="32">
        <f t="shared" si="35"/>
        <v>0</v>
      </c>
      <c r="F712" s="146"/>
      <c r="G712" s="146"/>
      <c r="K712"/>
    </row>
    <row r="713" spans="3:11" s="126" customFormat="1" ht="15.75" customHeight="1">
      <c r="C713" s="137" t="s">
        <v>18</v>
      </c>
      <c r="D713" s="143">
        <f>SUM(D705:D712)</f>
        <v>29221.489999999998</v>
      </c>
      <c r="E713" s="143">
        <f>SUM(E705:E712)</f>
        <v>6983.9361099999996</v>
      </c>
      <c r="F713" s="138">
        <f>+D713/D718</f>
        <v>2.5623856926905666</v>
      </c>
      <c r="G713" s="138">
        <f>+E713/E718</f>
        <v>2.5310967672143274</v>
      </c>
      <c r="K713"/>
    </row>
    <row r="714" spans="3:11" s="126" customFormat="1">
      <c r="C714" s="139" t="s">
        <v>19</v>
      </c>
      <c r="D714" s="147">
        <f>+Model!AI123</f>
        <v>6969.3519999999999</v>
      </c>
      <c r="E714" s="32">
        <f>+D714*$J$695</f>
        <v>1665.6751279999999</v>
      </c>
      <c r="F714" s="140"/>
      <c r="G714" s="140"/>
      <c r="K714"/>
    </row>
    <row r="715" spans="3:11" s="126" customFormat="1">
      <c r="C715" s="137" t="s">
        <v>20</v>
      </c>
      <c r="D715" s="143">
        <f>+D713-D714</f>
        <v>22252.137999999999</v>
      </c>
      <c r="E715" s="144">
        <f>+E713-E714</f>
        <v>5318.2609819999998</v>
      </c>
      <c r="F715" s="138">
        <f>+D715/D718</f>
        <v>1.9512543694033426</v>
      </c>
      <c r="G715" s="138">
        <f>+E715/E718</f>
        <v>1.9274278811726264</v>
      </c>
      <c r="K715"/>
    </row>
    <row r="716" spans="3:11" s="126" customFormat="1">
      <c r="C716" s="141" t="s">
        <v>21</v>
      </c>
      <c r="D716" s="148">
        <f>+Model!AI131</f>
        <v>25065.829000000002</v>
      </c>
      <c r="E716" s="32">
        <f>+D716*$J$695</f>
        <v>5990.733131</v>
      </c>
      <c r="F716" s="142"/>
      <c r="G716" s="142"/>
      <c r="K716"/>
    </row>
    <row r="717" spans="3:11" s="126" customFormat="1">
      <c r="C717" s="137" t="s">
        <v>22</v>
      </c>
      <c r="D717" s="143">
        <f>D713+D716</f>
        <v>54287.319000000003</v>
      </c>
      <c r="E717" s="144">
        <f>E713+E716</f>
        <v>12974.669241</v>
      </c>
      <c r="F717" s="138">
        <f>D717/D718</f>
        <v>4.7603681229166881</v>
      </c>
      <c r="G717" s="138">
        <f>E717/E718</f>
        <v>4.7022399481215</v>
      </c>
      <c r="H717"/>
      <c r="I717"/>
      <c r="J717"/>
      <c r="K717"/>
    </row>
    <row r="718" spans="3:11" s="126" customFormat="1">
      <c r="C718" s="145" t="s">
        <v>23</v>
      </c>
      <c r="D718" s="149">
        <f>+Model!AI90</f>
        <v>11404.017</v>
      </c>
      <c r="E718" s="150">
        <f>D718*J696</f>
        <v>2759.2529058801551</v>
      </c>
      <c r="F718" s="146"/>
      <c r="G718" s="146"/>
      <c r="K718"/>
    </row>
    <row r="719" spans="3:11" s="126" customFormat="1">
      <c r="K719"/>
    </row>
    <row r="720" spans="3:11" s="126" customFormat="1">
      <c r="C720" s="151" t="s">
        <v>24</v>
      </c>
      <c r="D720" s="152">
        <f>+D713-Model!AI116</f>
        <v>0</v>
      </c>
      <c r="E720" s="153"/>
      <c r="K720"/>
    </row>
    <row r="721" spans="1:11" s="126" customFormat="1" ht="15.75" thickBot="1">
      <c r="A721"/>
      <c r="B721"/>
      <c r="C721"/>
      <c r="D721"/>
      <c r="E721"/>
      <c r="F721" s="86"/>
      <c r="G721"/>
      <c r="K721"/>
    </row>
    <row r="722" spans="1:11" s="126" customFormat="1">
      <c r="C722" s="154" t="s">
        <v>174</v>
      </c>
      <c r="D722" s="164" t="s">
        <v>55</v>
      </c>
      <c r="E722" s="164" t="s">
        <v>5</v>
      </c>
      <c r="K722"/>
    </row>
    <row r="723" spans="1:11" s="126" customFormat="1">
      <c r="C723" s="155" t="s">
        <v>74</v>
      </c>
      <c r="D723" s="160">
        <v>0</v>
      </c>
      <c r="E723" s="156">
        <f>D723*$J$695</f>
        <v>0</v>
      </c>
      <c r="K723"/>
    </row>
    <row r="724" spans="1:11" s="126" customFormat="1">
      <c r="C724" s="155" t="s">
        <v>47</v>
      </c>
      <c r="D724" s="156">
        <f>D714</f>
        <v>6969.3519999999999</v>
      </c>
      <c r="E724" s="156">
        <f>D724*$J$695</f>
        <v>1665.6751279999999</v>
      </c>
      <c r="K724"/>
    </row>
    <row r="725" spans="1:11" s="126" customFormat="1" ht="15.75" thickBot="1">
      <c r="C725" s="157"/>
      <c r="D725" s="183">
        <f>SUM(D723:D724)</f>
        <v>6969.3519999999999</v>
      </c>
      <c r="E725" s="183">
        <f>SUM(E723:E724)</f>
        <v>1665.6751279999999</v>
      </c>
      <c r="K725"/>
    </row>
    <row r="726" spans="1:11" ht="15.75" thickBot="1">
      <c r="A726" s="126"/>
      <c r="B726" s="126"/>
      <c r="C726" s="126"/>
      <c r="D726" s="126"/>
      <c r="E726" s="126"/>
      <c r="F726" s="126"/>
      <c r="G726" s="126"/>
      <c r="H726" s="126"/>
      <c r="I726" s="126"/>
      <c r="J726" s="126"/>
    </row>
    <row r="727" spans="1:11" s="126" customFormat="1">
      <c r="C727" s="154" t="s">
        <v>175</v>
      </c>
      <c r="D727" s="164" t="s">
        <v>55</v>
      </c>
      <c r="E727" s="164" t="s">
        <v>5</v>
      </c>
      <c r="K727"/>
    </row>
    <row r="728" spans="1:11" s="126" customFormat="1">
      <c r="C728" s="159" t="s">
        <v>122</v>
      </c>
      <c r="D728" s="160"/>
      <c r="E728" s="156"/>
      <c r="K728"/>
    </row>
    <row r="729" spans="1:11" s="126" customFormat="1" ht="11.25" customHeight="1">
      <c r="C729" s="159" t="s">
        <v>33</v>
      </c>
      <c r="D729" s="160">
        <v>8982</v>
      </c>
      <c r="E729" s="156">
        <f t="shared" ref="E729:E738" si="36">D729*$J$695</f>
        <v>2146.6979999999999</v>
      </c>
      <c r="K729"/>
    </row>
    <row r="730" spans="1:11" s="126" customFormat="1">
      <c r="C730" s="159" t="s">
        <v>123</v>
      </c>
      <c r="D730" s="160">
        <v>724</v>
      </c>
      <c r="E730" s="156">
        <f t="shared" si="36"/>
        <v>173.036</v>
      </c>
      <c r="K730"/>
    </row>
    <row r="731" spans="1:11" s="126" customFormat="1">
      <c r="C731" s="159" t="s">
        <v>124</v>
      </c>
      <c r="D731" s="160"/>
      <c r="E731" s="156">
        <f t="shared" si="36"/>
        <v>0</v>
      </c>
      <c r="K731"/>
    </row>
    <row r="732" spans="1:11" s="126" customFormat="1">
      <c r="C732" s="159" t="s">
        <v>33</v>
      </c>
      <c r="D732" s="160">
        <v>1194</v>
      </c>
      <c r="E732" s="156">
        <f t="shared" si="36"/>
        <v>285.36599999999999</v>
      </c>
      <c r="K732"/>
    </row>
    <row r="733" spans="1:11" s="126" customFormat="1">
      <c r="C733" s="159" t="s">
        <v>123</v>
      </c>
      <c r="D733" s="160">
        <v>3389</v>
      </c>
      <c r="E733" s="156">
        <f t="shared" si="36"/>
        <v>809.971</v>
      </c>
      <c r="K733"/>
    </row>
    <row r="734" spans="1:11" s="126" customFormat="1">
      <c r="C734" s="159" t="s">
        <v>34</v>
      </c>
      <c r="D734" s="160">
        <v>3031</v>
      </c>
      <c r="E734" s="156">
        <f t="shared" si="36"/>
        <v>724.40899999999999</v>
      </c>
      <c r="K734"/>
    </row>
    <row r="735" spans="1:11" s="126" customFormat="1">
      <c r="C735" s="159" t="s">
        <v>35</v>
      </c>
      <c r="D735" s="160">
        <v>393</v>
      </c>
      <c r="E735" s="156">
        <f t="shared" si="36"/>
        <v>93.926999999999992</v>
      </c>
      <c r="K735"/>
    </row>
    <row r="736" spans="1:11" s="126" customFormat="1">
      <c r="C736" s="159" t="s">
        <v>36</v>
      </c>
      <c r="D736" s="160">
        <v>486</v>
      </c>
      <c r="E736" s="156">
        <f t="shared" si="36"/>
        <v>116.154</v>
      </c>
      <c r="H736"/>
      <c r="I736"/>
      <c r="J736"/>
      <c r="K736"/>
    </row>
    <row r="737" spans="1:11" s="126" customFormat="1">
      <c r="C737" s="159" t="s">
        <v>125</v>
      </c>
      <c r="D737" s="160">
        <v>135</v>
      </c>
      <c r="E737" s="156">
        <f t="shared" si="36"/>
        <v>32.265000000000001</v>
      </c>
      <c r="H737"/>
      <c r="I737"/>
      <c r="J737"/>
      <c r="K737"/>
    </row>
    <row r="738" spans="1:11" s="126" customFormat="1" ht="15.75" thickBot="1">
      <c r="C738" s="159" t="s">
        <v>126</v>
      </c>
      <c r="D738" s="160">
        <v>716</v>
      </c>
      <c r="E738" s="156">
        <f t="shared" si="36"/>
        <v>171.124</v>
      </c>
      <c r="H738"/>
      <c r="I738"/>
      <c r="J738"/>
      <c r="K738"/>
    </row>
    <row r="739" spans="1:11" s="126" customFormat="1" ht="15.75" thickBot="1">
      <c r="C739" s="161" t="s">
        <v>39</v>
      </c>
      <c r="D739" s="162">
        <f>SUM(D728:D738)</f>
        <v>19050</v>
      </c>
      <c r="E739" s="163">
        <f>SUM(E728:E738)</f>
        <v>4552.95</v>
      </c>
      <c r="I739" s="127" t="s">
        <v>176</v>
      </c>
      <c r="J739" s="128">
        <f>+Model!AH216</f>
        <v>0.24035572647518327</v>
      </c>
      <c r="K739"/>
    </row>
    <row r="740" spans="1:11" s="126" customFormat="1">
      <c r="A740"/>
      <c r="B740"/>
      <c r="C740"/>
      <c r="D740"/>
      <c r="E740"/>
      <c r="F740"/>
      <c r="G740"/>
      <c r="I740" s="127" t="s">
        <v>177</v>
      </c>
      <c r="J740" s="128">
        <f>+AVERAGE(Model!AE215:AH215)</f>
        <v>0.24292825566150178</v>
      </c>
      <c r="K740"/>
    </row>
    <row r="741" spans="1:11" s="126" customFormat="1">
      <c r="A741"/>
      <c r="B741"/>
      <c r="C741" s="151" t="s">
        <v>24</v>
      </c>
      <c r="D741" s="152">
        <f>+D739-D705-D706-D709-D710</f>
        <v>-0.49499999999898137</v>
      </c>
      <c r="E741"/>
      <c r="F741"/>
      <c r="G741"/>
      <c r="H741" s="127"/>
      <c r="I741" s="127"/>
      <c r="J741" s="128"/>
      <c r="K741"/>
    </row>
    <row r="742" spans="1:11" s="126" customFormat="1">
      <c r="A742"/>
      <c r="B742"/>
      <c r="C742"/>
      <c r="D742"/>
      <c r="E742"/>
      <c r="F742"/>
      <c r="G742"/>
      <c r="K742"/>
    </row>
    <row r="743" spans="1:11" s="126" customFormat="1" ht="12.75">
      <c r="A743" s="127" t="s">
        <v>178</v>
      </c>
    </row>
    <row r="744" spans="1:11">
      <c r="A744" s="127"/>
      <c r="B744" s="126"/>
      <c r="C744" s="126"/>
      <c r="D744" s="126"/>
      <c r="E744" s="126"/>
      <c r="F744" s="126"/>
      <c r="G744" s="126"/>
      <c r="H744" s="126"/>
      <c r="I744" s="126"/>
      <c r="J744" s="126"/>
      <c r="K744" s="126"/>
    </row>
    <row r="745" spans="1:11">
      <c r="A745" s="127"/>
      <c r="B745" s="126"/>
      <c r="C745" s="126"/>
      <c r="D745" s="126"/>
      <c r="E745" s="126"/>
      <c r="F745" s="126"/>
      <c r="G745" s="126"/>
      <c r="H745" s="126"/>
      <c r="I745" s="126"/>
      <c r="J745" s="126"/>
      <c r="K745" s="126"/>
    </row>
    <row r="746" spans="1:11" s="126" customFormat="1" ht="25.5">
      <c r="C746" s="129" t="s">
        <v>179</v>
      </c>
      <c r="D746" s="167" t="s">
        <v>55</v>
      </c>
      <c r="E746" s="167" t="s">
        <v>5</v>
      </c>
      <c r="F746" s="130" t="s">
        <v>6</v>
      </c>
      <c r="G746" s="130" t="s">
        <v>7</v>
      </c>
    </row>
    <row r="747" spans="1:11" s="126" customFormat="1" ht="12.75">
      <c r="C747" s="131"/>
      <c r="D747" s="132"/>
      <c r="E747" s="133"/>
      <c r="F747" s="134"/>
      <c r="G747" s="134"/>
    </row>
    <row r="748" spans="1:11" s="126" customFormat="1" ht="12.75">
      <c r="C748" s="131" t="s">
        <v>10</v>
      </c>
      <c r="D748" s="135"/>
      <c r="E748" s="136"/>
      <c r="F748" s="134"/>
      <c r="G748" s="134"/>
    </row>
    <row r="749" spans="1:11" s="126" customFormat="1" ht="21.75" customHeight="1">
      <c r="C749" s="139" t="s">
        <v>12</v>
      </c>
      <c r="D749" s="165">
        <v>169.697</v>
      </c>
      <c r="E749" s="32">
        <f>+D749*$J$739</f>
        <v>40.787645715659174</v>
      </c>
      <c r="F749" s="142"/>
      <c r="G749" s="142"/>
    </row>
    <row r="750" spans="1:11" s="126" customFormat="1" ht="12.75">
      <c r="C750" s="139" t="s">
        <v>15</v>
      </c>
      <c r="D750" s="165">
        <v>2776.0459999999998</v>
      </c>
      <c r="E750" s="32">
        <f>+D750*$J$739</f>
        <v>667.23855305852658</v>
      </c>
      <c r="F750" s="142"/>
      <c r="G750" s="142"/>
    </row>
    <row r="751" spans="1:11" s="126" customFormat="1" ht="12.75">
      <c r="C751" s="139" t="s">
        <v>16</v>
      </c>
      <c r="D751" s="165">
        <v>1782.8030000000001</v>
      </c>
      <c r="E751" s="32">
        <f>+D751*$J$739</f>
        <v>428.50691022713619</v>
      </c>
      <c r="F751" s="142"/>
      <c r="G751" s="142"/>
    </row>
    <row r="752" spans="1:11" s="126" customFormat="1" ht="12.75">
      <c r="C752" s="131" t="s">
        <v>17</v>
      </c>
      <c r="D752" s="135"/>
      <c r="E752" s="136"/>
      <c r="F752" s="134"/>
      <c r="G752" s="134"/>
    </row>
    <row r="753" spans="1:11" s="126" customFormat="1" ht="12.75">
      <c r="C753" s="139" t="s">
        <v>12</v>
      </c>
      <c r="D753" s="165">
        <v>907.55100000000004</v>
      </c>
      <c r="E753" s="32">
        <f>+D753*$J$739</f>
        <v>218.13507991827908</v>
      </c>
      <c r="F753" s="142"/>
      <c r="G753" s="142"/>
    </row>
    <row r="754" spans="1:11" s="126" customFormat="1" ht="12.75">
      <c r="C754" s="139" t="s">
        <v>15</v>
      </c>
      <c r="D754" s="165">
        <v>13929.912</v>
      </c>
      <c r="E754" s="32">
        <f>+D754*$J$739</f>
        <v>3348.1341184953731</v>
      </c>
      <c r="F754" s="142"/>
      <c r="G754" s="142"/>
    </row>
    <row r="755" spans="1:11" s="126" customFormat="1" ht="15.75" customHeight="1">
      <c r="C755" s="139" t="s">
        <v>16</v>
      </c>
      <c r="D755" s="165">
        <v>8140.85</v>
      </c>
      <c r="E755" s="32">
        <f>+D755*$J$739</f>
        <v>1956.6999158754959</v>
      </c>
      <c r="F755" s="142"/>
      <c r="G755" s="142"/>
    </row>
    <row r="756" spans="1:11" s="126" customFormat="1" ht="12.75">
      <c r="C756" s="139" t="s">
        <v>45</v>
      </c>
      <c r="D756" s="166">
        <v>0</v>
      </c>
      <c r="E756" s="32">
        <f>+D756*$J$739</f>
        <v>0</v>
      </c>
      <c r="F756" s="146"/>
      <c r="G756" s="146"/>
    </row>
    <row r="757" spans="1:11" s="126" customFormat="1" ht="12.75">
      <c r="C757" s="137" t="s">
        <v>18</v>
      </c>
      <c r="D757" s="143">
        <f>SUM(D749:D756)</f>
        <v>27706.859000000004</v>
      </c>
      <c r="E757" s="143">
        <f>SUM(E749:E756)</f>
        <v>6659.5022232904703</v>
      </c>
      <c r="F757" s="138">
        <f>+D757/D762</f>
        <v>2.4979806076668298</v>
      </c>
      <c r="G757" s="138">
        <f>+E757/E762</f>
        <v>2.4715278263607523</v>
      </c>
    </row>
    <row r="758" spans="1:11" s="126" customFormat="1" ht="12.75">
      <c r="C758" s="139" t="s">
        <v>19</v>
      </c>
      <c r="D758" s="147">
        <f>+Model!AH123</f>
        <v>7320.7370000000001</v>
      </c>
      <c r="E758" s="32">
        <f>+D758*$J$739</f>
        <v>1759.5810599687538</v>
      </c>
      <c r="F758" s="140"/>
      <c r="G758" s="140"/>
    </row>
    <row r="759" spans="1:11" s="126" customFormat="1" ht="12.75">
      <c r="C759" s="137" t="s">
        <v>20</v>
      </c>
      <c r="D759" s="143">
        <f>+D757-D758</f>
        <v>20386.122000000003</v>
      </c>
      <c r="E759" s="144">
        <f>+E757-E758</f>
        <v>4899.9211633217164</v>
      </c>
      <c r="F759" s="138">
        <f>+D759/D762</f>
        <v>1.8379614023202751</v>
      </c>
      <c r="G759" s="138">
        <f>+E759/E762</f>
        <v>1.8184980042156749</v>
      </c>
    </row>
    <row r="760" spans="1:11" s="126" customFormat="1" ht="12.75">
      <c r="C760" s="141" t="s">
        <v>21</v>
      </c>
      <c r="D760" s="148">
        <f>+Model!AH131</f>
        <v>24636.275000000001</v>
      </c>
      <c r="E760" s="32">
        <f>+D760*$J$739</f>
        <v>5921.4697752673965</v>
      </c>
      <c r="F760" s="142"/>
      <c r="G760" s="142"/>
    </row>
    <row r="761" spans="1:11" s="126" customFormat="1">
      <c r="C761" s="137" t="s">
        <v>22</v>
      </c>
      <c r="D761" s="143">
        <f>D757+D760</f>
        <v>52343.134000000005</v>
      </c>
      <c r="E761" s="144">
        <f>E757+E760</f>
        <v>12580.971998557867</v>
      </c>
      <c r="F761" s="138">
        <f>D761/D762</f>
        <v>4.7191250973813492</v>
      </c>
      <c r="G761" s="138">
        <f>E761/E762</f>
        <v>4.6691511369054712</v>
      </c>
      <c r="H761"/>
      <c r="I761"/>
      <c r="J761"/>
    </row>
    <row r="762" spans="1:11" s="126" customFormat="1" ht="12.75">
      <c r="C762" s="145" t="s">
        <v>23</v>
      </c>
      <c r="D762" s="149">
        <f>+Model!AH90</f>
        <v>11091.703000000001</v>
      </c>
      <c r="E762" s="150">
        <f>D762*J740</f>
        <v>2694.4880621054467</v>
      </c>
      <c r="F762" s="146"/>
      <c r="G762" s="146"/>
    </row>
    <row r="763" spans="1:11" s="126" customFormat="1" ht="12.75"/>
    <row r="764" spans="1:11" s="126" customFormat="1" ht="12.75">
      <c r="C764" s="151" t="s">
        <v>24</v>
      </c>
      <c r="D764" s="152">
        <f>+D757-Model!AH116</f>
        <v>0</v>
      </c>
      <c r="E764" s="153"/>
    </row>
    <row r="765" spans="1:11" s="126" customFormat="1" ht="15.75" thickBot="1">
      <c r="A765"/>
      <c r="B765"/>
      <c r="C765"/>
      <c r="D765"/>
      <c r="E765"/>
      <c r="F765" s="86"/>
      <c r="G765"/>
      <c r="K765"/>
    </row>
    <row r="766" spans="1:11" s="126" customFormat="1" ht="12.75">
      <c r="C766" s="154" t="s">
        <v>180</v>
      </c>
      <c r="D766" s="164" t="s">
        <v>55</v>
      </c>
      <c r="E766" s="164" t="s">
        <v>5</v>
      </c>
    </row>
    <row r="767" spans="1:11" s="126" customFormat="1" ht="12.75">
      <c r="C767" s="155" t="s">
        <v>74</v>
      </c>
      <c r="D767" s="160">
        <v>0</v>
      </c>
      <c r="E767" s="156">
        <f>D767*$J$739</f>
        <v>0</v>
      </c>
    </row>
    <row r="768" spans="1:11">
      <c r="A768" s="126"/>
      <c r="B768" s="126"/>
      <c r="C768" s="155" t="s">
        <v>47</v>
      </c>
      <c r="D768" s="156">
        <f>D758</f>
        <v>7320.7370000000001</v>
      </c>
      <c r="E768" s="156">
        <f>D768*$J$739</f>
        <v>1759.5810599687538</v>
      </c>
      <c r="F768" s="126"/>
      <c r="G768" s="126"/>
      <c r="H768" s="126"/>
      <c r="I768" s="126"/>
      <c r="J768" s="126"/>
      <c r="K768" s="126"/>
    </row>
    <row r="769" spans="1:11" s="126" customFormat="1" ht="13.5" thickBot="1">
      <c r="C769" s="157"/>
      <c r="D769" s="183">
        <f>SUM(D767:D768)</f>
        <v>7320.7370000000001</v>
      </c>
      <c r="E769" s="183">
        <f>SUM(E767:E768)</f>
        <v>1759.5810599687538</v>
      </c>
    </row>
    <row r="770" spans="1:11" s="126" customFormat="1" ht="13.5" thickBot="1"/>
    <row r="771" spans="1:11" s="126" customFormat="1" ht="11.25" customHeight="1">
      <c r="C771" s="154" t="s">
        <v>181</v>
      </c>
      <c r="D771" s="164" t="s">
        <v>55</v>
      </c>
      <c r="E771" s="164" t="s">
        <v>5</v>
      </c>
    </row>
    <row r="772" spans="1:11" s="126" customFormat="1" ht="12.75">
      <c r="C772" s="159" t="s">
        <v>122</v>
      </c>
      <c r="D772" s="160"/>
      <c r="E772" s="156"/>
    </row>
    <row r="773" spans="1:11" s="126" customFormat="1" ht="12.75">
      <c r="C773" s="159" t="s">
        <v>33</v>
      </c>
      <c r="D773" s="160">
        <v>9659</v>
      </c>
      <c r="E773" s="156">
        <f>D773*$J$739</f>
        <v>2321.5959620237954</v>
      </c>
    </row>
    <row r="774" spans="1:11" s="126" customFormat="1" ht="12.75">
      <c r="C774" s="159" t="s">
        <v>124</v>
      </c>
      <c r="D774" s="160"/>
      <c r="E774" s="156"/>
    </row>
    <row r="775" spans="1:11" s="126" customFormat="1" ht="12.75">
      <c r="C775" s="159" t="s">
        <v>33</v>
      </c>
      <c r="D775" s="160">
        <v>1290</v>
      </c>
      <c r="E775" s="156">
        <f t="shared" ref="E775:E781" si="37">D775*$J$739</f>
        <v>310.05888715298642</v>
      </c>
    </row>
    <row r="776" spans="1:11" s="126" customFormat="1" ht="12.75">
      <c r="C776" s="159" t="s">
        <v>123</v>
      </c>
      <c r="D776" s="160">
        <v>2135</v>
      </c>
      <c r="E776" s="156">
        <f t="shared" si="37"/>
        <v>513.15947602451627</v>
      </c>
    </row>
    <row r="777" spans="1:11" s="126" customFormat="1" ht="12.75">
      <c r="C777" s="159" t="s">
        <v>34</v>
      </c>
      <c r="D777" s="160">
        <v>3058</v>
      </c>
      <c r="E777" s="156">
        <f t="shared" si="37"/>
        <v>735.00781156111043</v>
      </c>
    </row>
    <row r="778" spans="1:11" s="126" customFormat="1" ht="12.75">
      <c r="C778" s="159" t="s">
        <v>35</v>
      </c>
      <c r="D778" s="160">
        <v>373</v>
      </c>
      <c r="E778" s="156">
        <f t="shared" si="37"/>
        <v>89.652685975243358</v>
      </c>
    </row>
    <row r="779" spans="1:11" s="126" customFormat="1">
      <c r="C779" s="159" t="s">
        <v>36</v>
      </c>
      <c r="D779" s="160">
        <v>375</v>
      </c>
      <c r="E779" s="156">
        <f t="shared" si="37"/>
        <v>90.133397428193732</v>
      </c>
      <c r="H779"/>
      <c r="I779"/>
      <c r="J779"/>
    </row>
    <row r="780" spans="1:11" s="126" customFormat="1">
      <c r="C780" s="159" t="s">
        <v>125</v>
      </c>
      <c r="D780" s="160">
        <v>187</v>
      </c>
      <c r="E780" s="156">
        <f t="shared" si="37"/>
        <v>44.946520850859272</v>
      </c>
      <c r="H780"/>
      <c r="I780"/>
      <c r="J780"/>
    </row>
    <row r="781" spans="1:11" s="126" customFormat="1" ht="13.5" thickBot="1">
      <c r="C781" s="159" t="s">
        <v>126</v>
      </c>
      <c r="D781" s="160">
        <v>706</v>
      </c>
      <c r="E781" s="156">
        <f t="shared" si="37"/>
        <v>169.69114289147939</v>
      </c>
      <c r="I781" s="127" t="s">
        <v>182</v>
      </c>
      <c r="J781" s="128">
        <f>+Model!AG216</f>
        <v>0.2419</v>
      </c>
    </row>
    <row r="782" spans="1:11" s="126" customFormat="1" ht="13.5" thickBot="1">
      <c r="C782" s="161" t="s">
        <v>39</v>
      </c>
      <c r="D782" s="162">
        <f>SUM(D772:D781)</f>
        <v>17783</v>
      </c>
      <c r="E782" s="163">
        <f>SUM(E772:E781)</f>
        <v>4274.2458839081837</v>
      </c>
      <c r="I782" s="127" t="s">
        <v>183</v>
      </c>
      <c r="J782" s="128">
        <f>+AVERAGE(Model!AD215:AG215)</f>
        <v>0.24282400000000001</v>
      </c>
    </row>
    <row r="783" spans="1:11" s="126" customFormat="1">
      <c r="A783"/>
      <c r="B783"/>
      <c r="C783"/>
      <c r="D783"/>
      <c r="E783"/>
      <c r="F783"/>
      <c r="G783"/>
      <c r="H783" s="127"/>
      <c r="I783" s="127"/>
      <c r="J783" s="128"/>
      <c r="K783"/>
    </row>
    <row r="784" spans="1:11" s="126" customFormat="1">
      <c r="A784"/>
      <c r="B784"/>
      <c r="C784" s="151" t="s">
        <v>24</v>
      </c>
      <c r="D784" s="152">
        <f>+D782-D749-D750-D753-D754</f>
        <v>-0.20600000000013097</v>
      </c>
      <c r="E784"/>
      <c r="F784"/>
      <c r="G784"/>
      <c r="K784"/>
    </row>
    <row r="785" spans="1:12" s="126" customFormat="1" ht="12.75">
      <c r="A785" s="127" t="s">
        <v>184</v>
      </c>
    </row>
    <row r="786" spans="1:12">
      <c r="A786" s="127"/>
      <c r="B786" s="126"/>
      <c r="C786" s="126"/>
      <c r="D786" s="126"/>
      <c r="E786" s="126"/>
      <c r="F786" s="126"/>
      <c r="G786" s="126"/>
      <c r="H786" s="126"/>
      <c r="I786" s="126"/>
      <c r="J786" s="126"/>
      <c r="K786" s="126"/>
    </row>
    <row r="787" spans="1:12">
      <c r="A787" s="127"/>
      <c r="B787" s="126"/>
      <c r="C787" s="126"/>
      <c r="D787" s="126"/>
      <c r="E787" s="126"/>
      <c r="F787" s="126"/>
      <c r="G787" s="126"/>
      <c r="H787" s="126"/>
      <c r="I787" s="126"/>
      <c r="J787" s="126"/>
      <c r="K787" s="126"/>
    </row>
    <row r="788" spans="1:12" s="126" customFormat="1" ht="25.5">
      <c r="C788" s="129" t="s">
        <v>185</v>
      </c>
      <c r="D788" s="167" t="s">
        <v>55</v>
      </c>
      <c r="E788" s="167" t="s">
        <v>5</v>
      </c>
      <c r="F788" s="130" t="s">
        <v>6</v>
      </c>
      <c r="G788" s="130" t="s">
        <v>7</v>
      </c>
    </row>
    <row r="789" spans="1:12" s="126" customFormat="1" ht="12.75">
      <c r="C789" s="131"/>
      <c r="D789" s="132"/>
      <c r="E789" s="133"/>
      <c r="F789" s="134"/>
      <c r="G789" s="134"/>
    </row>
    <row r="790" spans="1:12" s="126" customFormat="1" ht="12.75">
      <c r="C790" s="131" t="s">
        <v>10</v>
      </c>
      <c r="D790" s="135"/>
      <c r="E790" s="136"/>
      <c r="F790" s="134"/>
      <c r="G790" s="134"/>
    </row>
    <row r="791" spans="1:12" s="126" customFormat="1" ht="21.75" customHeight="1">
      <c r="C791" s="139" t="s">
        <v>12</v>
      </c>
      <c r="D791" s="165">
        <v>214.66200000000001</v>
      </c>
      <c r="E791" s="32">
        <f>+D791*$J$781</f>
        <v>51.926737800000005</v>
      </c>
      <c r="F791" s="142"/>
      <c r="G791" s="142"/>
      <c r="L791" s="130" t="s">
        <v>7</v>
      </c>
    </row>
    <row r="792" spans="1:12" s="126" customFormat="1" ht="12.75">
      <c r="C792" s="139" t="s">
        <v>15</v>
      </c>
      <c r="D792" s="165">
        <v>2353.9830000000002</v>
      </c>
      <c r="E792" s="32">
        <f>+D792*$J$781</f>
        <v>569.42848770000001</v>
      </c>
      <c r="F792" s="142"/>
      <c r="G792" s="142"/>
      <c r="L792" s="134"/>
    </row>
    <row r="793" spans="1:12" s="126" customFormat="1" ht="12.75">
      <c r="C793" s="139" t="s">
        <v>16</v>
      </c>
      <c r="D793" s="165">
        <v>1790.875</v>
      </c>
      <c r="E793" s="32">
        <f>+D793*$J$781</f>
        <v>433.21266250000002</v>
      </c>
      <c r="F793" s="142"/>
      <c r="G793" s="142"/>
      <c r="L793" s="134"/>
    </row>
    <row r="794" spans="1:12" s="126" customFormat="1" ht="12.75">
      <c r="C794" s="131" t="s">
        <v>17</v>
      </c>
      <c r="D794" s="135"/>
      <c r="E794" s="136"/>
      <c r="F794" s="134"/>
      <c r="G794" s="134"/>
      <c r="L794" s="142"/>
    </row>
    <row r="795" spans="1:12" s="126" customFormat="1" ht="12.75">
      <c r="C795" s="139" t="s">
        <v>12</v>
      </c>
      <c r="D795" s="165">
        <v>875.01099999999997</v>
      </c>
      <c r="E795" s="32">
        <f>+D795*$J$781</f>
        <v>211.66516089999999</v>
      </c>
      <c r="F795" s="142"/>
      <c r="G795" s="142"/>
      <c r="L795" s="142"/>
    </row>
    <row r="796" spans="1:12" s="126" customFormat="1" ht="12.75">
      <c r="C796" s="139" t="s">
        <v>15</v>
      </c>
      <c r="D796" s="165">
        <v>14528.519</v>
      </c>
      <c r="E796" s="32">
        <f>+D796*$J$781</f>
        <v>3514.4487461000003</v>
      </c>
      <c r="F796" s="142"/>
      <c r="G796" s="142"/>
      <c r="L796" s="142"/>
    </row>
    <row r="797" spans="1:12" s="126" customFormat="1" ht="15.75" customHeight="1">
      <c r="C797" s="139" t="s">
        <v>16</v>
      </c>
      <c r="D797" s="165">
        <v>7559.0990000000002</v>
      </c>
      <c r="E797" s="32">
        <f>+D797*$J$781</f>
        <v>1828.5460481</v>
      </c>
      <c r="F797" s="142"/>
      <c r="G797" s="142"/>
      <c r="L797" s="134"/>
    </row>
    <row r="798" spans="1:12" s="126" customFormat="1" ht="12.75">
      <c r="C798" s="139" t="s">
        <v>45</v>
      </c>
      <c r="D798" s="166">
        <v>0</v>
      </c>
      <c r="E798" s="32">
        <f>+D798*$J$781</f>
        <v>0</v>
      </c>
      <c r="F798" s="146"/>
      <c r="G798" s="146"/>
      <c r="L798" s="142"/>
    </row>
    <row r="799" spans="1:12" s="126" customFormat="1" ht="12.75">
      <c r="C799" s="137" t="s">
        <v>18</v>
      </c>
      <c r="D799" s="143">
        <f>SUM(D791:D798)</f>
        <v>27322.149000000005</v>
      </c>
      <c r="E799" s="143">
        <f>SUM(E791:E798)</f>
        <v>6609.2278431000004</v>
      </c>
      <c r="F799" s="138">
        <f>+D799/D804</f>
        <v>2.4676896717878649</v>
      </c>
      <c r="G799" s="138">
        <f>+E799/E804</f>
        <v>2.4582995569032895</v>
      </c>
      <c r="L799" s="142"/>
    </row>
    <row r="800" spans="1:12" s="126" customFormat="1" ht="12.75">
      <c r="C800" s="139" t="s">
        <v>19</v>
      </c>
      <c r="D800" s="147">
        <f>+Model!AG123</f>
        <v>7001.7959999999994</v>
      </c>
      <c r="E800" s="32">
        <f>+D800*$J$781</f>
        <v>1693.7344523999998</v>
      </c>
      <c r="F800" s="140"/>
      <c r="G800" s="140"/>
      <c r="L800" s="142"/>
    </row>
    <row r="801" spans="1:12" s="126" customFormat="1" ht="12.75">
      <c r="C801" s="137" t="s">
        <v>20</v>
      </c>
      <c r="D801" s="143">
        <f>+D799-D800</f>
        <v>20320.353000000006</v>
      </c>
      <c r="E801" s="144">
        <f>+E799-E800</f>
        <v>4915.4933907000004</v>
      </c>
      <c r="F801" s="138">
        <f>+D801/D804</f>
        <v>1.8352994570516237</v>
      </c>
      <c r="G801" s="138">
        <f>+E801/E804</f>
        <v>1.8283157293380705</v>
      </c>
      <c r="L801" s="142"/>
    </row>
    <row r="802" spans="1:12" s="126" customFormat="1" ht="12.75">
      <c r="C802" s="141" t="s">
        <v>21</v>
      </c>
      <c r="D802" s="148">
        <f>+Model!AG131</f>
        <v>24331.616999999998</v>
      </c>
      <c r="E802" s="32">
        <f>+D802*$J$781</f>
        <v>5885.8181522999994</v>
      </c>
      <c r="F802" s="142"/>
      <c r="G802" s="142"/>
      <c r="L802" s="138">
        <f>+J921/J926</f>
        <v>2.7376048861908675</v>
      </c>
    </row>
    <row r="803" spans="1:12" s="126" customFormat="1">
      <c r="C803" s="137" t="s">
        <v>22</v>
      </c>
      <c r="D803" s="143">
        <f>D799+D802</f>
        <v>51653.766000000003</v>
      </c>
      <c r="E803" s="144">
        <f>E799+E802</f>
        <v>12495.0459954</v>
      </c>
      <c r="F803" s="138">
        <f>D803/D804</f>
        <v>4.6652796186400698</v>
      </c>
      <c r="G803" s="138">
        <f>E803/E804</f>
        <v>4.6475271791463477</v>
      </c>
      <c r="H803"/>
      <c r="I803"/>
      <c r="J803"/>
      <c r="L803" s="140"/>
    </row>
    <row r="804" spans="1:12" s="126" customFormat="1" ht="12.75">
      <c r="C804" s="145" t="s">
        <v>23</v>
      </c>
      <c r="D804" s="149">
        <f>+Model!AG90</f>
        <v>11071.954999999998</v>
      </c>
      <c r="E804" s="150">
        <f>D804*J782</f>
        <v>2688.5364009199998</v>
      </c>
      <c r="F804" s="146"/>
      <c r="G804" s="146"/>
      <c r="L804" s="138">
        <f>+J923/J926</f>
        <v>1.7265244372691708</v>
      </c>
    </row>
    <row r="805" spans="1:12" s="126" customFormat="1" ht="12.75">
      <c r="L805" s="142"/>
    </row>
    <row r="806" spans="1:12" s="126" customFormat="1" ht="12.75">
      <c r="C806" s="151" t="s">
        <v>24</v>
      </c>
      <c r="D806" s="152">
        <f>+D799-Model!AG116</f>
        <v>0</v>
      </c>
      <c r="E806" s="153"/>
      <c r="L806" s="138">
        <f>J925/J926</f>
        <v>4.7426338823371799</v>
      </c>
    </row>
    <row r="807" spans="1:12" s="126" customFormat="1" ht="15.75" thickBot="1">
      <c r="A807"/>
      <c r="B807"/>
      <c r="C807"/>
      <c r="D807"/>
      <c r="E807"/>
      <c r="F807" s="86"/>
      <c r="G807"/>
      <c r="K807"/>
      <c r="L807" s="146"/>
    </row>
    <row r="808" spans="1:12" s="126" customFormat="1" ht="12.75">
      <c r="C808" s="154" t="s">
        <v>186</v>
      </c>
      <c r="D808" s="164" t="s">
        <v>55</v>
      </c>
      <c r="E808" s="164" t="s">
        <v>5</v>
      </c>
    </row>
    <row r="809" spans="1:12" s="126" customFormat="1" ht="12.75">
      <c r="C809" s="155" t="s">
        <v>74</v>
      </c>
      <c r="D809" s="160">
        <v>0</v>
      </c>
      <c r="E809" s="156">
        <f>D809*$J$865</f>
        <v>0</v>
      </c>
    </row>
    <row r="810" spans="1:12">
      <c r="A810" s="126"/>
      <c r="B810" s="126"/>
      <c r="C810" s="155" t="s">
        <v>47</v>
      </c>
      <c r="D810" s="156">
        <f>D800</f>
        <v>7001.7959999999994</v>
      </c>
      <c r="E810" s="156">
        <f>D810*$J$781</f>
        <v>1693.7344523999998</v>
      </c>
      <c r="F810" s="126"/>
      <c r="G810" s="126"/>
      <c r="H810" s="126"/>
      <c r="I810" s="126"/>
      <c r="J810" s="126"/>
      <c r="K810" s="126"/>
    </row>
    <row r="811" spans="1:12" s="126" customFormat="1" ht="13.5" thickBot="1">
      <c r="C811" s="157"/>
      <c r="D811" s="158">
        <f>SUM(D809:D810)</f>
        <v>7001.7959999999994</v>
      </c>
      <c r="E811" s="158">
        <f>SUM(E809:E810)</f>
        <v>1693.7344523999998</v>
      </c>
    </row>
    <row r="812" spans="1:12" s="126" customFormat="1" ht="13.5" thickBot="1"/>
    <row r="813" spans="1:12" s="126" customFormat="1" ht="11.25" customHeight="1">
      <c r="C813" s="154" t="s">
        <v>187</v>
      </c>
      <c r="D813" s="164" t="s">
        <v>55</v>
      </c>
      <c r="E813" s="164" t="s">
        <v>5</v>
      </c>
    </row>
    <row r="814" spans="1:12" s="126" customFormat="1" ht="12.75">
      <c r="C814" s="159" t="s">
        <v>122</v>
      </c>
      <c r="D814" s="160"/>
      <c r="E814" s="156"/>
    </row>
    <row r="815" spans="1:12" s="126" customFormat="1" ht="12.75">
      <c r="C815" s="159" t="s">
        <v>33</v>
      </c>
      <c r="D815" s="160">
        <v>9644</v>
      </c>
      <c r="E815" s="156">
        <f>D815*$J$781</f>
        <v>2332.8836000000001</v>
      </c>
    </row>
    <row r="816" spans="1:12" s="126" customFormat="1" ht="12.75">
      <c r="C816" s="159" t="s">
        <v>124</v>
      </c>
      <c r="D816" s="160"/>
      <c r="E816" s="156"/>
    </row>
    <row r="817" spans="1:11" s="126" customFormat="1" ht="12.75">
      <c r="C817" s="159" t="s">
        <v>33</v>
      </c>
      <c r="D817" s="160">
        <v>1327</v>
      </c>
      <c r="E817" s="156">
        <f t="shared" ref="E817:E823" si="38">D817*$J$781</f>
        <v>321.00130000000001</v>
      </c>
    </row>
    <row r="818" spans="1:11" s="126" customFormat="1" ht="12.75">
      <c r="C818" s="159" t="s">
        <v>123</v>
      </c>
      <c r="D818" s="160">
        <v>2351</v>
      </c>
      <c r="E818" s="156">
        <f t="shared" si="38"/>
        <v>568.70690000000002</v>
      </c>
    </row>
    <row r="819" spans="1:11" s="126" customFormat="1" ht="12.75">
      <c r="C819" s="159" t="s">
        <v>34</v>
      </c>
      <c r="D819" s="160">
        <v>3038</v>
      </c>
      <c r="E819" s="156">
        <f t="shared" si="38"/>
        <v>734.8922</v>
      </c>
    </row>
    <row r="820" spans="1:11" s="126" customFormat="1" ht="12.75">
      <c r="C820" s="159" t="s">
        <v>35</v>
      </c>
      <c r="D820" s="160">
        <v>392</v>
      </c>
      <c r="E820" s="156">
        <f t="shared" si="38"/>
        <v>94.824799999999996</v>
      </c>
    </row>
    <row r="821" spans="1:11" s="126" customFormat="1">
      <c r="C821" s="159" t="s">
        <v>36</v>
      </c>
      <c r="D821" s="160">
        <v>305</v>
      </c>
      <c r="E821" s="156">
        <f t="shared" si="38"/>
        <v>73.779499999999999</v>
      </c>
      <c r="H821"/>
      <c r="I821"/>
      <c r="J821"/>
    </row>
    <row r="822" spans="1:11" s="126" customFormat="1">
      <c r="C822" s="159" t="s">
        <v>125</v>
      </c>
      <c r="D822" s="160">
        <v>211</v>
      </c>
      <c r="E822" s="156">
        <f t="shared" si="38"/>
        <v>51.040900000000001</v>
      </c>
      <c r="H822"/>
      <c r="I822"/>
      <c r="J822"/>
    </row>
    <row r="823" spans="1:11" s="126" customFormat="1" ht="13.5" thickBot="1">
      <c r="C823" s="159" t="s">
        <v>126</v>
      </c>
      <c r="D823" s="160">
        <v>704</v>
      </c>
      <c r="E823" s="156">
        <f t="shared" si="38"/>
        <v>170.29759999999999</v>
      </c>
      <c r="I823" s="127" t="s">
        <v>188</v>
      </c>
      <c r="J823" s="128">
        <f>+Model!AF216</f>
        <v>0.241255</v>
      </c>
    </row>
    <row r="824" spans="1:11" s="126" customFormat="1" ht="13.5" thickBot="1">
      <c r="C824" s="161" t="s">
        <v>39</v>
      </c>
      <c r="D824" s="162">
        <f>SUM(D814:D823)</f>
        <v>17972</v>
      </c>
      <c r="E824" s="163">
        <f>SUM(E814:E823)</f>
        <v>4347.4268000000002</v>
      </c>
      <c r="I824" s="127" t="s">
        <v>189</v>
      </c>
      <c r="J824" s="128">
        <f>+AVERAGE(Model!AC215:AF215)</f>
        <v>0.2396827677588042</v>
      </c>
    </row>
    <row r="825" spans="1:11" s="126" customFormat="1">
      <c r="A825"/>
      <c r="B825"/>
      <c r="C825"/>
      <c r="D825"/>
      <c r="E825"/>
      <c r="F825"/>
      <c r="G825"/>
      <c r="H825" s="127"/>
      <c r="I825" s="127"/>
      <c r="J825" s="128"/>
      <c r="K825"/>
    </row>
    <row r="826" spans="1:11" s="126" customFormat="1">
      <c r="A826"/>
      <c r="B826"/>
      <c r="C826" s="151" t="s">
        <v>24</v>
      </c>
      <c r="D826" s="152">
        <f>+D824-D791-D792-D795-D796</f>
        <v>-0.17500000000109139</v>
      </c>
      <c r="E826"/>
      <c r="F826"/>
      <c r="G826"/>
      <c r="K826"/>
    </row>
    <row r="827" spans="1:11" s="126" customFormat="1" ht="12.75">
      <c r="A827" s="127" t="s">
        <v>190</v>
      </c>
    </row>
    <row r="828" spans="1:11">
      <c r="A828" s="127"/>
      <c r="B828" s="126"/>
      <c r="C828" s="126"/>
      <c r="D828" s="126"/>
      <c r="E828" s="126"/>
      <c r="F828" s="126"/>
      <c r="G828" s="126"/>
      <c r="H828" s="126"/>
      <c r="I828" s="126"/>
      <c r="J828" s="126"/>
      <c r="K828" s="126"/>
    </row>
    <row r="829" spans="1:11">
      <c r="A829" s="127"/>
      <c r="B829" s="126"/>
      <c r="C829" s="126"/>
      <c r="D829" s="126"/>
      <c r="E829" s="126"/>
      <c r="F829" s="126"/>
      <c r="G829" s="126"/>
      <c r="H829" s="126"/>
      <c r="I829" s="126"/>
      <c r="J829" s="126"/>
      <c r="K829" s="126"/>
    </row>
    <row r="830" spans="1:11" s="126" customFormat="1" ht="25.5">
      <c r="C830" s="129" t="s">
        <v>191</v>
      </c>
      <c r="D830" s="167" t="s">
        <v>55</v>
      </c>
      <c r="E830" s="167" t="s">
        <v>5</v>
      </c>
      <c r="F830" s="130" t="s">
        <v>6</v>
      </c>
      <c r="G830" s="130" t="s">
        <v>7</v>
      </c>
    </row>
    <row r="831" spans="1:11" s="126" customFormat="1" ht="12.75">
      <c r="C831" s="131"/>
      <c r="D831" s="132"/>
      <c r="E831" s="133"/>
      <c r="F831" s="134"/>
      <c r="G831" s="134"/>
    </row>
    <row r="832" spans="1:11" s="126" customFormat="1" ht="12.75">
      <c r="C832" s="131" t="s">
        <v>10</v>
      </c>
      <c r="D832" s="135"/>
      <c r="E832" s="136"/>
      <c r="F832" s="134"/>
      <c r="G832" s="134"/>
    </row>
    <row r="833" spans="3:12" s="126" customFormat="1" ht="21.75" customHeight="1">
      <c r="C833" s="139" t="s">
        <v>12</v>
      </c>
      <c r="D833" s="165">
        <v>178.77199999999999</v>
      </c>
      <c r="E833" s="32">
        <f>+D833*$J$823</f>
        <v>43.12963886</v>
      </c>
      <c r="F833" s="142"/>
      <c r="G833" s="142"/>
      <c r="L833" s="130" t="s">
        <v>7</v>
      </c>
    </row>
    <row r="834" spans="3:12" s="126" customFormat="1" ht="12.75">
      <c r="C834" s="139" t="s">
        <v>15</v>
      </c>
      <c r="D834" s="165">
        <v>2656.9349999999999</v>
      </c>
      <c r="E834" s="32">
        <f>+D834*$J$823</f>
        <v>640.99885342499999</v>
      </c>
      <c r="F834" s="142"/>
      <c r="G834" s="142"/>
      <c r="L834" s="134"/>
    </row>
    <row r="835" spans="3:12" s="126" customFormat="1" ht="12.75">
      <c r="C835" s="139" t="s">
        <v>16</v>
      </c>
      <c r="D835" s="165">
        <v>1976.374</v>
      </c>
      <c r="E835" s="32">
        <f>+D835*$J$823</f>
        <v>476.81010937000002</v>
      </c>
      <c r="F835" s="142"/>
      <c r="G835" s="142"/>
      <c r="L835" s="134"/>
    </row>
    <row r="836" spans="3:12" s="126" customFormat="1" ht="12.75">
      <c r="C836" s="131" t="s">
        <v>17</v>
      </c>
      <c r="D836" s="135"/>
      <c r="E836" s="136"/>
      <c r="F836" s="134"/>
      <c r="G836" s="134"/>
      <c r="L836" s="142"/>
    </row>
    <row r="837" spans="3:12" s="126" customFormat="1" ht="12.75">
      <c r="C837" s="139" t="s">
        <v>12</v>
      </c>
      <c r="D837" s="165">
        <v>914.21</v>
      </c>
      <c r="E837" s="32">
        <f>+D837*$J$823</f>
        <v>220.55773354999999</v>
      </c>
      <c r="F837" s="142"/>
      <c r="G837" s="142"/>
      <c r="L837" s="142"/>
    </row>
    <row r="838" spans="3:12" s="126" customFormat="1" ht="12.75">
      <c r="C838" s="139" t="s">
        <v>15</v>
      </c>
      <c r="D838" s="165">
        <v>13904.023999999999</v>
      </c>
      <c r="E838" s="32">
        <f>+D838*$J$823</f>
        <v>3354.41531012</v>
      </c>
      <c r="F838" s="142"/>
      <c r="G838" s="142"/>
      <c r="L838" s="142"/>
    </row>
    <row r="839" spans="3:12" s="126" customFormat="1" ht="15.75" customHeight="1">
      <c r="C839" s="139" t="s">
        <v>16</v>
      </c>
      <c r="D839" s="165">
        <v>7341.8969999999999</v>
      </c>
      <c r="E839" s="32">
        <f>+D839*$J$823</f>
        <v>1771.269360735</v>
      </c>
      <c r="F839" s="142"/>
      <c r="G839" s="142"/>
      <c r="L839" s="134"/>
    </row>
    <row r="840" spans="3:12" s="126" customFormat="1" ht="12.75">
      <c r="C840" s="139" t="s">
        <v>45</v>
      </c>
      <c r="D840" s="166">
        <v>0</v>
      </c>
      <c r="E840" s="32">
        <f>+D840*$J$823</f>
        <v>0</v>
      </c>
      <c r="F840" s="146"/>
      <c r="G840" s="146"/>
      <c r="L840" s="142"/>
    </row>
    <row r="841" spans="3:12" s="126" customFormat="1" ht="12.75">
      <c r="C841" s="137" t="s">
        <v>18</v>
      </c>
      <c r="D841" s="143">
        <f>SUM(D833:D840)</f>
        <v>26972.212</v>
      </c>
      <c r="E841" s="143">
        <f>SUM(E833:E840)</f>
        <v>6507.1810060600001</v>
      </c>
      <c r="F841" s="138">
        <f>+D841/D846</f>
        <v>2.4871016503060397</v>
      </c>
      <c r="G841" s="138">
        <f>+E841/E846</f>
        <v>2.503416137318629</v>
      </c>
      <c r="L841" s="142"/>
    </row>
    <row r="842" spans="3:12" s="126" customFormat="1" ht="12.75">
      <c r="C842" s="139" t="s">
        <v>19</v>
      </c>
      <c r="D842" s="147">
        <f>+Model!AF123</f>
        <v>6552.2480000000005</v>
      </c>
      <c r="E842" s="32">
        <f>+D842*$J$823</f>
        <v>1580.7625912400001</v>
      </c>
      <c r="F842" s="140"/>
      <c r="G842" s="140"/>
      <c r="L842" s="142"/>
    </row>
    <row r="843" spans="3:12" s="126" customFormat="1" ht="12.75">
      <c r="C843" s="137" t="s">
        <v>20</v>
      </c>
      <c r="D843" s="143">
        <f>+D841-D842</f>
        <v>20419.964</v>
      </c>
      <c r="E843" s="144">
        <f>+E841-E842</f>
        <v>4926.4184148200002</v>
      </c>
      <c r="F843" s="138">
        <f>+D843/D846</f>
        <v>1.8829203242058872</v>
      </c>
      <c r="G843" s="138">
        <f>+E843/E846</f>
        <v>1.8952716003072145</v>
      </c>
      <c r="L843" s="142"/>
    </row>
    <row r="844" spans="3:12" s="126" customFormat="1" ht="12.75">
      <c r="C844" s="141" t="s">
        <v>21</v>
      </c>
      <c r="D844" s="148">
        <f>+Model!AF131</f>
        <v>23842.499</v>
      </c>
      <c r="E844" s="32">
        <f>+D844*$J$823</f>
        <v>5752.1220962449997</v>
      </c>
      <c r="F844" s="142"/>
      <c r="G844" s="142"/>
      <c r="L844" s="138">
        <f>+J963/J968</f>
        <v>2.3176523238820188</v>
      </c>
    </row>
    <row r="845" spans="3:12" s="126" customFormat="1">
      <c r="C845" s="137" t="s">
        <v>22</v>
      </c>
      <c r="D845" s="143">
        <f>D841+D844</f>
        <v>50814.710999999996</v>
      </c>
      <c r="E845" s="144">
        <f>E841+E844</f>
        <v>12259.303102304999</v>
      </c>
      <c r="F845" s="138">
        <f>D845/D846</f>
        <v>4.6856131632038363</v>
      </c>
      <c r="G845" s="138">
        <f>E845/E846</f>
        <v>4.7163490903372116</v>
      </c>
      <c r="H845"/>
      <c r="I845"/>
      <c r="J845"/>
      <c r="L845" s="140"/>
    </row>
    <row r="846" spans="3:12" s="126" customFormat="1" ht="12.75">
      <c r="C846" s="145" t="s">
        <v>23</v>
      </c>
      <c r="D846" s="149">
        <f>+Model!AF90</f>
        <v>10844.837</v>
      </c>
      <c r="E846" s="150">
        <f>D846*J824</f>
        <v>2599.3205480530869</v>
      </c>
      <c r="F846" s="146"/>
      <c r="G846" s="146"/>
      <c r="L846" s="138">
        <f>+J965/J968</f>
        <v>1.7807587134791159</v>
      </c>
    </row>
    <row r="847" spans="3:12" s="126" customFormat="1" ht="12.75">
      <c r="L847" s="142"/>
    </row>
    <row r="848" spans="3:12" s="126" customFormat="1" ht="12.75">
      <c r="C848" s="151" t="s">
        <v>24</v>
      </c>
      <c r="D848" s="152">
        <f>+D841-Model!AF116</f>
        <v>0</v>
      </c>
      <c r="E848" s="153"/>
      <c r="L848" s="138">
        <f>J967/J968</f>
        <v>4.2673143814552299</v>
      </c>
    </row>
    <row r="849" spans="1:12" s="126" customFormat="1" ht="15.75" thickBot="1">
      <c r="A849"/>
      <c r="B849"/>
      <c r="C849"/>
      <c r="D849"/>
      <c r="E849"/>
      <c r="F849" s="86"/>
      <c r="G849"/>
      <c r="K849"/>
      <c r="L849" s="146"/>
    </row>
    <row r="850" spans="1:12" s="126" customFormat="1" ht="12.75">
      <c r="C850" s="154" t="s">
        <v>192</v>
      </c>
      <c r="D850" s="164" t="s">
        <v>55</v>
      </c>
      <c r="E850" s="164" t="s">
        <v>5</v>
      </c>
    </row>
    <row r="851" spans="1:12" s="126" customFormat="1" ht="12.75">
      <c r="C851" s="155" t="s">
        <v>74</v>
      </c>
      <c r="D851" s="160">
        <v>0</v>
      </c>
      <c r="E851" s="156">
        <f>D851*$J$865</f>
        <v>0</v>
      </c>
    </row>
    <row r="852" spans="1:12">
      <c r="A852" s="126"/>
      <c r="B852" s="126"/>
      <c r="C852" s="155" t="s">
        <v>47</v>
      </c>
      <c r="D852" s="156">
        <f>D842</f>
        <v>6552.2480000000005</v>
      </c>
      <c r="E852" s="156">
        <f>D852*$J$823</f>
        <v>1580.7625912400001</v>
      </c>
      <c r="F852" s="126"/>
      <c r="G852" s="126"/>
      <c r="H852" s="126"/>
      <c r="I852" s="126"/>
      <c r="J852" s="126"/>
      <c r="K852" s="126"/>
    </row>
    <row r="853" spans="1:12" s="126" customFormat="1" ht="13.5" thickBot="1">
      <c r="C853" s="157"/>
      <c r="D853" s="158">
        <f>SUM(D851:D852)</f>
        <v>6552.2480000000005</v>
      </c>
      <c r="E853" s="158">
        <f>SUM(E851:E852)</f>
        <v>1580.7625912400001</v>
      </c>
    </row>
    <row r="854" spans="1:12" s="126" customFormat="1" ht="13.5" thickBot="1"/>
    <row r="855" spans="1:12" s="126" customFormat="1" ht="11.25" customHeight="1">
      <c r="C855" s="154" t="s">
        <v>193</v>
      </c>
      <c r="D855" s="164" t="s">
        <v>55</v>
      </c>
      <c r="E855" s="164" t="s">
        <v>5</v>
      </c>
    </row>
    <row r="856" spans="1:12" s="126" customFormat="1" ht="12.75">
      <c r="C856" s="159" t="s">
        <v>122</v>
      </c>
      <c r="D856" s="160"/>
      <c r="E856" s="156"/>
    </row>
    <row r="857" spans="1:12" s="126" customFormat="1" ht="12.75">
      <c r="C857" s="159" t="s">
        <v>33</v>
      </c>
      <c r="D857" s="160">
        <v>9573</v>
      </c>
      <c r="E857" s="156">
        <f>D857*$J$823</f>
        <v>2309.5341149999999</v>
      </c>
    </row>
    <row r="858" spans="1:12" s="126" customFormat="1" ht="12.75">
      <c r="C858" s="159" t="s">
        <v>124</v>
      </c>
      <c r="D858" s="160"/>
      <c r="E858" s="156"/>
    </row>
    <row r="859" spans="1:12" s="126" customFormat="1" ht="12.75">
      <c r="C859" s="159" t="s">
        <v>33</v>
      </c>
      <c r="D859" s="160">
        <v>1526</v>
      </c>
      <c r="E859" s="156">
        <f t="shared" ref="E859:E865" si="39">D859*$J$823</f>
        <v>368.15512999999999</v>
      </c>
    </row>
    <row r="860" spans="1:12" s="126" customFormat="1" ht="12.75">
      <c r="C860" s="159" t="s">
        <v>123</v>
      </c>
      <c r="D860" s="160">
        <v>2363</v>
      </c>
      <c r="E860" s="156">
        <f t="shared" si="39"/>
        <v>570.08556499999997</v>
      </c>
    </row>
    <row r="861" spans="1:12" s="126" customFormat="1" ht="12.75">
      <c r="C861" s="159" t="s">
        <v>34</v>
      </c>
      <c r="D861" s="160">
        <v>2620</v>
      </c>
      <c r="E861" s="156">
        <f t="shared" si="39"/>
        <v>632.08809999999994</v>
      </c>
    </row>
    <row r="862" spans="1:12" s="126" customFormat="1" ht="12.75">
      <c r="C862" s="159" t="s">
        <v>35</v>
      </c>
      <c r="D862" s="160">
        <v>395</v>
      </c>
      <c r="E862" s="156">
        <f t="shared" si="39"/>
        <v>95.295725000000004</v>
      </c>
    </row>
    <row r="863" spans="1:12" s="126" customFormat="1">
      <c r="C863" s="159" t="s">
        <v>36</v>
      </c>
      <c r="D863" s="160">
        <v>255</v>
      </c>
      <c r="E863" s="156">
        <f t="shared" si="39"/>
        <v>61.520024999999997</v>
      </c>
      <c r="H863"/>
      <c r="I863"/>
      <c r="J863"/>
    </row>
    <row r="864" spans="1:12" s="126" customFormat="1">
      <c r="C864" s="159" t="s">
        <v>125</v>
      </c>
      <c r="D864" s="160">
        <v>207</v>
      </c>
      <c r="E864" s="156">
        <f t="shared" si="39"/>
        <v>49.939785000000001</v>
      </c>
      <c r="H864"/>
      <c r="I864"/>
      <c r="J864"/>
    </row>
    <row r="865" spans="1:11" s="126" customFormat="1" ht="13.5" thickBot="1">
      <c r="C865" s="159" t="s">
        <v>126</v>
      </c>
      <c r="D865" s="160">
        <v>715</v>
      </c>
      <c r="E865" s="156">
        <f t="shared" si="39"/>
        <v>172.49732499999999</v>
      </c>
      <c r="I865" s="127" t="s">
        <v>194</v>
      </c>
      <c r="J865" s="128">
        <f>+Model!AE216</f>
        <v>0.24873799999999999</v>
      </c>
    </row>
    <row r="866" spans="1:11" s="126" customFormat="1" ht="13.5" thickBot="1">
      <c r="C866" s="161" t="s">
        <v>39</v>
      </c>
      <c r="D866" s="162">
        <f>SUM(D856:D865)</f>
        <v>17654</v>
      </c>
      <c r="E866" s="163">
        <f>SUM(E856:E865)</f>
        <v>4259.1157699999994</v>
      </c>
      <c r="I866" s="127" t="s">
        <v>195</v>
      </c>
      <c r="J866" s="128">
        <f>+AVERAGE(Model!AB215:AE215)</f>
        <v>0.23802726775880423</v>
      </c>
    </row>
    <row r="867" spans="1:11" s="126" customFormat="1">
      <c r="A867"/>
      <c r="B867"/>
      <c r="C867"/>
      <c r="D867"/>
      <c r="E867"/>
      <c r="F867"/>
      <c r="G867"/>
      <c r="H867" s="127"/>
      <c r="I867" s="127"/>
      <c r="J867" s="128"/>
      <c r="K867"/>
    </row>
    <row r="868" spans="1:11" s="126" customFormat="1">
      <c r="A868"/>
      <c r="B868"/>
      <c r="C868" s="151" t="s">
        <v>24</v>
      </c>
      <c r="D868" s="152">
        <f>+D866-D833-D834-D837-D838</f>
        <v>5.8999999999286956E-2</v>
      </c>
      <c r="E868"/>
      <c r="F868"/>
      <c r="G868"/>
      <c r="K868"/>
    </row>
    <row r="869" spans="1:11">
      <c r="A869" s="127" t="s">
        <v>196</v>
      </c>
      <c r="B869" s="126"/>
      <c r="C869" s="126"/>
      <c r="D869" s="126"/>
      <c r="E869" s="126"/>
      <c r="F869" s="126"/>
      <c r="G869" s="126"/>
      <c r="H869" s="126"/>
      <c r="I869" s="126"/>
      <c r="J869" s="126"/>
      <c r="K869" s="126"/>
    </row>
    <row r="870" spans="1:11">
      <c r="A870" s="127"/>
      <c r="B870" s="126"/>
      <c r="C870" s="126"/>
      <c r="D870" s="126"/>
      <c r="E870" s="126"/>
      <c r="F870" s="126"/>
      <c r="G870" s="126"/>
      <c r="H870" s="126"/>
      <c r="I870" s="126"/>
      <c r="J870" s="126"/>
      <c r="K870" s="126"/>
    </row>
    <row r="871" spans="1:11">
      <c r="A871" s="127"/>
      <c r="B871" s="126"/>
      <c r="C871" s="126"/>
      <c r="D871" s="126"/>
      <c r="E871" s="126"/>
      <c r="F871" s="126"/>
      <c r="G871" s="126"/>
      <c r="H871" s="126"/>
      <c r="I871" s="126"/>
      <c r="J871" s="126"/>
      <c r="K871" s="126"/>
    </row>
    <row r="872" spans="1:11" ht="26.25">
      <c r="A872" s="126"/>
      <c r="B872" s="126"/>
      <c r="C872" s="129" t="s">
        <v>197</v>
      </c>
      <c r="D872" s="167" t="s">
        <v>55</v>
      </c>
      <c r="E872" s="167" t="s">
        <v>5</v>
      </c>
      <c r="F872" s="130" t="s">
        <v>6</v>
      </c>
      <c r="G872" s="130" t="s">
        <v>7</v>
      </c>
      <c r="H872" s="126"/>
      <c r="I872" s="126"/>
      <c r="J872" s="126"/>
      <c r="K872" s="126"/>
    </row>
    <row r="873" spans="1:11">
      <c r="A873" s="126"/>
      <c r="B873" s="126"/>
      <c r="C873" s="131"/>
      <c r="D873" s="132"/>
      <c r="E873" s="133"/>
      <c r="F873" s="134"/>
      <c r="G873" s="134"/>
      <c r="H873" s="126"/>
      <c r="I873" s="126"/>
      <c r="J873" s="126"/>
      <c r="K873" s="126"/>
    </row>
    <row r="874" spans="1:11">
      <c r="A874" s="126"/>
      <c r="B874" s="126"/>
      <c r="C874" s="131" t="s">
        <v>10</v>
      </c>
      <c r="D874" s="135"/>
      <c r="E874" s="136"/>
      <c r="F874" s="134"/>
      <c r="G874" s="134"/>
      <c r="H874" s="126"/>
      <c r="I874" s="126"/>
      <c r="J874" s="126"/>
      <c r="K874" s="126"/>
    </row>
    <row r="875" spans="1:11">
      <c r="A875" s="126"/>
      <c r="B875" s="126"/>
      <c r="C875" s="139" t="s">
        <v>12</v>
      </c>
      <c r="D875" s="165">
        <v>276.25</v>
      </c>
      <c r="E875" s="32">
        <f>+D875*$J$865</f>
        <v>68.713872499999994</v>
      </c>
      <c r="F875" s="142"/>
      <c r="G875" s="142"/>
      <c r="H875" s="126"/>
      <c r="I875" s="126"/>
      <c r="J875" s="126"/>
      <c r="K875" s="126"/>
    </row>
    <row r="876" spans="1:11">
      <c r="A876" s="126"/>
      <c r="B876" s="126"/>
      <c r="C876" s="139" t="s">
        <v>15</v>
      </c>
      <c r="D876" s="165">
        <v>2695.2939999999999</v>
      </c>
      <c r="E876" s="32">
        <f>+D876*$J$865</f>
        <v>670.42203897199988</v>
      </c>
      <c r="F876" s="142"/>
      <c r="G876" s="142"/>
      <c r="H876" s="126"/>
      <c r="I876" s="126"/>
      <c r="J876" s="126"/>
      <c r="K876" s="126"/>
    </row>
    <row r="877" spans="1:11">
      <c r="A877" s="126"/>
      <c r="B877" s="126"/>
      <c r="C877" s="139" t="s">
        <v>16</v>
      </c>
      <c r="D877" s="165">
        <v>1734.32</v>
      </c>
      <c r="E877" s="32">
        <f>+D877*$J$865</f>
        <v>431.39128815999999</v>
      </c>
      <c r="F877" s="142"/>
      <c r="G877" s="142"/>
      <c r="H877" s="126"/>
      <c r="I877" s="126"/>
      <c r="J877" s="126"/>
      <c r="K877" s="126"/>
    </row>
    <row r="878" spans="1:11">
      <c r="A878" s="126"/>
      <c r="B878" s="126"/>
      <c r="C878" s="131" t="s">
        <v>17</v>
      </c>
      <c r="D878" s="135"/>
      <c r="E878" s="136"/>
      <c r="F878" s="134"/>
      <c r="G878" s="134"/>
      <c r="H878" s="126"/>
      <c r="I878" s="126"/>
      <c r="J878" s="126"/>
      <c r="K878" s="126"/>
    </row>
    <row r="879" spans="1:11">
      <c r="A879" s="126"/>
      <c r="B879" s="126"/>
      <c r="C879" s="139" t="s">
        <v>12</v>
      </c>
      <c r="D879" s="165">
        <v>1031.905</v>
      </c>
      <c r="E879" s="32">
        <f>+D879*$J$865</f>
        <v>256.67398588999998</v>
      </c>
      <c r="F879" s="142"/>
      <c r="G879" s="142"/>
      <c r="H879" s="126"/>
      <c r="I879" s="126"/>
      <c r="J879" s="126"/>
      <c r="K879" s="126"/>
    </row>
    <row r="880" spans="1:11">
      <c r="A880" s="126"/>
      <c r="B880" s="126"/>
      <c r="C880" s="139" t="s">
        <v>15</v>
      </c>
      <c r="D880" s="165">
        <v>13741.99</v>
      </c>
      <c r="E880" s="32">
        <f>+D880*$J$865</f>
        <v>3418.1551086199997</v>
      </c>
      <c r="F880" s="142"/>
      <c r="G880" s="142"/>
      <c r="H880" s="126"/>
      <c r="I880" s="126"/>
      <c r="J880" s="126"/>
      <c r="K880" s="126"/>
    </row>
    <row r="881" spans="1:11">
      <c r="A881" s="126"/>
      <c r="B881" s="126"/>
      <c r="C881" s="139" t="s">
        <v>16</v>
      </c>
      <c r="D881" s="165">
        <v>7894.2759999999998</v>
      </c>
      <c r="E881" s="32">
        <f>+D881*$J$865</f>
        <v>1963.6064236879999</v>
      </c>
      <c r="F881" s="142"/>
      <c r="G881" s="142"/>
      <c r="H881" s="126"/>
      <c r="I881" s="126"/>
      <c r="J881" s="126"/>
      <c r="K881" s="126"/>
    </row>
    <row r="882" spans="1:11">
      <c r="A882" s="126"/>
      <c r="B882" s="126"/>
      <c r="C882" s="139" t="s">
        <v>45</v>
      </c>
      <c r="D882" s="166">
        <v>0</v>
      </c>
      <c r="E882" s="32">
        <f>+D882*$J$865</f>
        <v>0</v>
      </c>
      <c r="F882" s="146"/>
      <c r="G882" s="146"/>
      <c r="H882" s="126"/>
      <c r="I882" s="126"/>
      <c r="J882" s="126"/>
      <c r="K882" s="126"/>
    </row>
    <row r="883" spans="1:11">
      <c r="A883" s="126"/>
      <c r="B883" s="126"/>
      <c r="C883" s="137" t="s">
        <v>18</v>
      </c>
      <c r="D883" s="143">
        <f>SUM(D875:D882)</f>
        <v>27374.034999999996</v>
      </c>
      <c r="E883" s="143">
        <f>SUM(E875:E882)</f>
        <v>6808.9627178299997</v>
      </c>
      <c r="F883" s="138">
        <f>+D883/D888</f>
        <v>2.5686737434754559</v>
      </c>
      <c r="G883" s="138">
        <f>+E883/E888</f>
        <v>2.684258722206692</v>
      </c>
      <c r="H883" s="126"/>
      <c r="I883" s="126"/>
      <c r="J883" s="126"/>
      <c r="K883" s="126"/>
    </row>
    <row r="884" spans="1:11">
      <c r="A884" s="126"/>
      <c r="B884" s="126"/>
      <c r="C884" s="139" t="s">
        <v>19</v>
      </c>
      <c r="D884" s="147">
        <f>+Model!AE123</f>
        <v>7194.2539999999999</v>
      </c>
      <c r="E884" s="32">
        <f>+D884*$J$865</f>
        <v>1789.4843514519998</v>
      </c>
      <c r="F884" s="140"/>
      <c r="G884" s="140"/>
      <c r="H884" s="126"/>
      <c r="I884" s="126"/>
      <c r="J884" s="126"/>
      <c r="K884" s="126"/>
    </row>
    <row r="885" spans="1:11">
      <c r="A885" s="126"/>
      <c r="B885" s="126"/>
      <c r="C885" s="137" t="s">
        <v>20</v>
      </c>
      <c r="D885" s="143">
        <f>+D883-D884</f>
        <v>20179.780999999995</v>
      </c>
      <c r="E885" s="144">
        <f>+E883-E884</f>
        <v>5019.4783663779999</v>
      </c>
      <c r="F885" s="138">
        <f>+D885/D888</f>
        <v>1.8935927276992548</v>
      </c>
      <c r="G885" s="138">
        <f>+E885/E888</f>
        <v>1.9788004640700898</v>
      </c>
      <c r="H885" s="126"/>
      <c r="I885" s="126"/>
      <c r="J885" s="126"/>
      <c r="K885" s="126"/>
    </row>
    <row r="886" spans="1:11">
      <c r="A886" s="126"/>
      <c r="B886" s="126"/>
      <c r="C886" s="141" t="s">
        <v>21</v>
      </c>
      <c r="D886" s="148">
        <f>+Model!AE131</f>
        <v>23879.43</v>
      </c>
      <c r="E886" s="32">
        <f>+D886*$J$865</f>
        <v>5939.7216593399999</v>
      </c>
      <c r="F886" s="142"/>
      <c r="G886" s="142"/>
      <c r="H886" s="126"/>
      <c r="I886" s="126"/>
      <c r="J886" s="126"/>
      <c r="K886" s="126"/>
    </row>
    <row r="887" spans="1:11">
      <c r="A887" s="126"/>
      <c r="B887" s="126"/>
      <c r="C887" s="137" t="s">
        <v>22</v>
      </c>
      <c r="D887" s="143">
        <f>D883+D886</f>
        <v>51253.464999999997</v>
      </c>
      <c r="E887" s="144">
        <f>E883+E886</f>
        <v>12748.684377170001</v>
      </c>
      <c r="F887" s="138">
        <f>D887/D888</f>
        <v>4.8094272476687578</v>
      </c>
      <c r="G887" s="138">
        <f>E887/E888</f>
        <v>5.02584147603981</v>
      </c>
      <c r="K887" s="126"/>
    </row>
    <row r="888" spans="1:11">
      <c r="A888" s="126"/>
      <c r="B888" s="126"/>
      <c r="C888" s="145" t="s">
        <v>23</v>
      </c>
      <c r="D888" s="149">
        <f>+Model!AE90</f>
        <v>10656.875</v>
      </c>
      <c r="E888" s="150">
        <f>D888*J866</f>
        <v>2536.6268390971068</v>
      </c>
      <c r="F888" s="146"/>
      <c r="G888" s="146"/>
      <c r="H888" s="126"/>
      <c r="I888" s="126"/>
      <c r="J888" s="126"/>
      <c r="K888" s="126"/>
    </row>
    <row r="889" spans="1:11">
      <c r="A889" s="126"/>
      <c r="B889" s="126"/>
      <c r="C889" s="126"/>
      <c r="D889" s="126"/>
      <c r="E889" s="126"/>
      <c r="F889" s="126"/>
      <c r="G889" s="126"/>
      <c r="H889" s="126"/>
      <c r="I889" s="126"/>
      <c r="J889" s="126"/>
      <c r="K889" s="126"/>
    </row>
    <row r="890" spans="1:11">
      <c r="A890" s="126"/>
      <c r="B890" s="126"/>
      <c r="C890" s="151" t="s">
        <v>24</v>
      </c>
      <c r="D890" s="152">
        <f>+D883-Model!AE116</f>
        <v>0</v>
      </c>
      <c r="E890" s="153"/>
      <c r="F890" s="126"/>
      <c r="G890" s="126"/>
      <c r="H890" s="126"/>
      <c r="I890" s="126"/>
      <c r="J890" s="126"/>
      <c r="K890" s="126"/>
    </row>
    <row r="891" spans="1:11" ht="15.75" thickBot="1">
      <c r="F891" s="86"/>
      <c r="H891" s="126"/>
      <c r="I891" s="126"/>
      <c r="J891" s="126"/>
    </row>
    <row r="892" spans="1:11">
      <c r="A892" s="126"/>
      <c r="B892" s="126"/>
      <c r="C892" s="154" t="s">
        <v>198</v>
      </c>
      <c r="D892" s="164" t="s">
        <v>55</v>
      </c>
      <c r="E892" s="164" t="s">
        <v>5</v>
      </c>
      <c r="F892" s="126"/>
      <c r="G892" s="126"/>
      <c r="H892" s="126"/>
      <c r="I892" s="126"/>
      <c r="J892" s="126"/>
      <c r="K892" s="126"/>
    </row>
    <row r="893" spans="1:11">
      <c r="A893" s="126"/>
      <c r="B893" s="126"/>
      <c r="C893" s="155" t="s">
        <v>74</v>
      </c>
      <c r="D893" s="160">
        <f>3500-600-433.5-867+427.8-667-427.8-1100+1100+831.2</f>
        <v>1763.7</v>
      </c>
      <c r="E893" s="156">
        <f>D893*$J$865</f>
        <v>438.69921060000001</v>
      </c>
      <c r="F893" s="126"/>
      <c r="G893" s="126"/>
      <c r="H893" s="126"/>
      <c r="I893" s="126"/>
      <c r="J893" s="126"/>
      <c r="K893" s="126"/>
    </row>
    <row r="894" spans="1:11">
      <c r="A894" s="126"/>
      <c r="B894" s="126"/>
      <c r="C894" s="155" t="s">
        <v>47</v>
      </c>
      <c r="D894" s="156">
        <f>D884</f>
        <v>7194.2539999999999</v>
      </c>
      <c r="E894" s="156">
        <f>D894*$J$865</f>
        <v>1789.4843514519998</v>
      </c>
      <c r="F894" s="126"/>
      <c r="G894" s="126"/>
      <c r="H894" s="126"/>
      <c r="I894" s="126"/>
      <c r="J894" s="126"/>
      <c r="K894" s="126"/>
    </row>
    <row r="895" spans="1:11" ht="15.75" thickBot="1">
      <c r="A895" s="126"/>
      <c r="B895" s="126"/>
      <c r="C895" s="157"/>
      <c r="D895" s="158">
        <f>SUM(D893:D894)</f>
        <v>8957.9539999999997</v>
      </c>
      <c r="E895" s="158">
        <f>SUM(E893:E894)</f>
        <v>2228.1835620519996</v>
      </c>
      <c r="F895" s="126"/>
      <c r="G895" s="126"/>
      <c r="H895" s="126"/>
      <c r="I895" s="126"/>
      <c r="J895" s="126"/>
      <c r="K895" s="126"/>
    </row>
    <row r="896" spans="1:11" ht="15.75" thickBot="1">
      <c r="A896" s="126"/>
      <c r="B896" s="126"/>
      <c r="C896" s="126"/>
      <c r="D896" s="126"/>
      <c r="E896" s="126"/>
      <c r="F896" s="126"/>
      <c r="G896" s="126"/>
      <c r="H896" s="126"/>
      <c r="I896" s="126"/>
      <c r="J896" s="126"/>
      <c r="K896" s="126"/>
    </row>
    <row r="897" spans="1:11">
      <c r="A897" s="126"/>
      <c r="B897" s="126"/>
      <c r="C897" s="154" t="s">
        <v>199</v>
      </c>
      <c r="D897" s="164" t="s">
        <v>55</v>
      </c>
      <c r="E897" s="164" t="s">
        <v>5</v>
      </c>
      <c r="F897" s="126"/>
      <c r="G897" s="126"/>
      <c r="H897" s="126"/>
      <c r="I897" s="126"/>
      <c r="J897" s="126"/>
      <c r="K897" s="126"/>
    </row>
    <row r="898" spans="1:11">
      <c r="A898" s="126"/>
      <c r="B898" s="126"/>
      <c r="C898" s="159" t="s">
        <v>122</v>
      </c>
      <c r="D898" s="160"/>
      <c r="E898" s="156"/>
      <c r="F898" s="126"/>
      <c r="G898" s="126"/>
      <c r="H898" s="126"/>
      <c r="I898" s="126"/>
      <c r="J898" s="126"/>
      <c r="K898" s="126"/>
    </row>
    <row r="899" spans="1:11">
      <c r="A899" s="126"/>
      <c r="B899" s="126"/>
      <c r="C899" s="159" t="s">
        <v>33</v>
      </c>
      <c r="D899" s="160">
        <v>9393</v>
      </c>
      <c r="E899" s="156">
        <f>D899*$J$865</f>
        <v>2336.3960339999999</v>
      </c>
      <c r="F899" s="126"/>
      <c r="G899" s="126"/>
      <c r="H899" s="126"/>
      <c r="I899" s="126"/>
      <c r="J899" s="126"/>
      <c r="K899" s="126"/>
    </row>
    <row r="900" spans="1:11">
      <c r="A900" s="126"/>
      <c r="B900" s="126"/>
      <c r="C900" s="159" t="s">
        <v>124</v>
      </c>
      <c r="D900" s="160"/>
      <c r="E900" s="156"/>
      <c r="F900" s="126"/>
      <c r="G900" s="126"/>
      <c r="H900" s="126"/>
      <c r="I900" s="126"/>
      <c r="J900" s="126"/>
      <c r="K900" s="126"/>
    </row>
    <row r="901" spans="1:11">
      <c r="A901" s="126"/>
      <c r="B901" s="126"/>
      <c r="C901" s="159" t="s">
        <v>33</v>
      </c>
      <c r="D901" s="160">
        <v>1557</v>
      </c>
      <c r="E901" s="156">
        <f t="shared" ref="E901:E907" si="40">D901*$J$865</f>
        <v>387.28506599999997</v>
      </c>
      <c r="F901" s="126"/>
      <c r="G901" s="126"/>
      <c r="H901" s="126"/>
      <c r="I901" s="126"/>
      <c r="J901" s="126"/>
      <c r="K901" s="126"/>
    </row>
    <row r="902" spans="1:11">
      <c r="A902" s="126"/>
      <c r="B902" s="126"/>
      <c r="C902" s="159" t="s">
        <v>123</v>
      </c>
      <c r="D902" s="160">
        <v>2370</v>
      </c>
      <c r="E902" s="156">
        <f t="shared" si="40"/>
        <v>589.50905999999998</v>
      </c>
      <c r="F902" s="126"/>
      <c r="G902" s="126"/>
      <c r="H902" s="126"/>
      <c r="I902" s="126"/>
      <c r="J902" s="126"/>
      <c r="K902" s="126"/>
    </row>
    <row r="903" spans="1:11">
      <c r="A903" s="126"/>
      <c r="B903" s="126"/>
      <c r="C903" s="159" t="s">
        <v>34</v>
      </c>
      <c r="D903" s="160">
        <v>2707</v>
      </c>
      <c r="E903" s="156">
        <f t="shared" si="40"/>
        <v>673.33376599999997</v>
      </c>
      <c r="F903" s="126"/>
      <c r="G903" s="126"/>
      <c r="H903" s="126"/>
      <c r="I903" s="126"/>
      <c r="J903" s="126"/>
      <c r="K903" s="126"/>
    </row>
    <row r="904" spans="1:11">
      <c r="A904" s="126"/>
      <c r="B904" s="126"/>
      <c r="C904" s="159" t="s">
        <v>35</v>
      </c>
      <c r="D904" s="160">
        <v>617</v>
      </c>
      <c r="E904" s="156">
        <f t="shared" si="40"/>
        <v>153.47134599999998</v>
      </c>
      <c r="F904" s="126"/>
      <c r="G904" s="126"/>
      <c r="H904" s="126"/>
      <c r="I904" s="126"/>
      <c r="J904" s="126"/>
      <c r="K904" s="126"/>
    </row>
    <row r="905" spans="1:11">
      <c r="A905" s="126"/>
      <c r="B905" s="126"/>
      <c r="C905" s="159" t="s">
        <v>106</v>
      </c>
      <c r="D905" s="160">
        <v>205</v>
      </c>
      <c r="E905" s="156">
        <f t="shared" si="40"/>
        <v>50.991289999999999</v>
      </c>
      <c r="F905" s="126"/>
      <c r="G905" s="126"/>
      <c r="K905" s="126"/>
    </row>
    <row r="906" spans="1:11">
      <c r="A906" s="126"/>
      <c r="B906" s="126"/>
      <c r="C906" s="159" t="s">
        <v>125</v>
      </c>
      <c r="D906" s="160">
        <v>205</v>
      </c>
      <c r="E906" s="156">
        <f t="shared" si="40"/>
        <v>50.991289999999999</v>
      </c>
      <c r="F906" s="126"/>
      <c r="G906" s="126"/>
      <c r="K906" s="126"/>
    </row>
    <row r="907" spans="1:11" ht="15.75" thickBot="1">
      <c r="A907" s="126"/>
      <c r="B907" s="126"/>
      <c r="C907" s="159" t="s">
        <v>126</v>
      </c>
      <c r="D907" s="160">
        <v>691</v>
      </c>
      <c r="E907" s="156">
        <f t="shared" si="40"/>
        <v>171.87795799999998</v>
      </c>
      <c r="F907" s="126"/>
      <c r="G907" s="126"/>
      <c r="H907" s="126"/>
      <c r="I907" s="127" t="s">
        <v>200</v>
      </c>
      <c r="J907" s="128">
        <f>+Model!AD216</f>
        <v>0.240587</v>
      </c>
      <c r="K907" s="126"/>
    </row>
    <row r="908" spans="1:11" ht="15.75" thickBot="1">
      <c r="A908" s="126"/>
      <c r="B908" s="126"/>
      <c r="C908" s="161" t="s">
        <v>39</v>
      </c>
      <c r="D908" s="162">
        <f>SUM(D898:D907)</f>
        <v>17745</v>
      </c>
      <c r="E908" s="163">
        <f>SUM(E898:E907)</f>
        <v>4413.85581</v>
      </c>
      <c r="F908" s="126"/>
      <c r="G908" s="126"/>
      <c r="H908" s="126"/>
      <c r="I908" s="127" t="s">
        <v>201</v>
      </c>
      <c r="J908" s="128">
        <f>+AVERAGE(Model!AA215:AD215)</f>
        <v>0.2371652677588042</v>
      </c>
      <c r="K908" s="126"/>
    </row>
    <row r="909" spans="1:11">
      <c r="H909" s="127" t="s">
        <v>202</v>
      </c>
      <c r="I909" s="127"/>
      <c r="J909" s="128"/>
    </row>
    <row r="910" spans="1:11" ht="51.75">
      <c r="C910" s="151" t="s">
        <v>24</v>
      </c>
      <c r="D910" s="152">
        <f>+D908-D875-D876-D879-D880</f>
        <v>-0.43900000000030559</v>
      </c>
      <c r="H910" s="129" t="s">
        <v>203</v>
      </c>
      <c r="I910" s="167" t="s">
        <v>55</v>
      </c>
      <c r="J910" s="167" t="s">
        <v>5</v>
      </c>
    </row>
    <row r="911" spans="1:11">
      <c r="A911" s="127" t="s">
        <v>204</v>
      </c>
      <c r="B911" s="126"/>
      <c r="C911" s="126"/>
      <c r="D911" s="126"/>
      <c r="E911" s="126"/>
      <c r="F911" s="126"/>
      <c r="G911" s="126"/>
      <c r="H911" s="131"/>
      <c r="I911" s="132"/>
      <c r="J911" s="133"/>
      <c r="K911" s="126"/>
    </row>
    <row r="912" spans="1:11" ht="26.25">
      <c r="A912" s="127"/>
      <c r="B912" s="126"/>
      <c r="C912" s="126"/>
      <c r="D912" s="126"/>
      <c r="E912" s="126"/>
      <c r="F912" s="126"/>
      <c r="G912" s="126"/>
      <c r="H912" s="131" t="s">
        <v>10</v>
      </c>
      <c r="I912" s="135"/>
      <c r="J912" s="136"/>
      <c r="K912" s="126"/>
    </row>
    <row r="913" spans="1:11">
      <c r="A913" s="127"/>
      <c r="B913" s="126"/>
      <c r="C913" s="126"/>
      <c r="D913" s="126"/>
      <c r="E913" s="126"/>
      <c r="F913" s="126"/>
      <c r="G913" s="126"/>
      <c r="H913" s="139" t="s">
        <v>12</v>
      </c>
      <c r="I913" s="165">
        <f>+D917</f>
        <v>132.66900000000001</v>
      </c>
      <c r="J913" s="32">
        <f>+I913*$J$949</f>
        <v>30.701861973000003</v>
      </c>
      <c r="K913" s="126"/>
    </row>
    <row r="914" spans="1:11" ht="26.25">
      <c r="A914" s="126"/>
      <c r="B914" s="126"/>
      <c r="C914" s="129" t="s">
        <v>203</v>
      </c>
      <c r="D914" s="167" t="s">
        <v>55</v>
      </c>
      <c r="E914" s="167" t="s">
        <v>5</v>
      </c>
      <c r="F914" s="130" t="s">
        <v>6</v>
      </c>
      <c r="G914" s="130" t="s">
        <v>7</v>
      </c>
      <c r="H914" s="139" t="s">
        <v>15</v>
      </c>
      <c r="I914" s="165">
        <f>+D918</f>
        <v>5083.1109999999999</v>
      </c>
      <c r="J914" s="32">
        <f>+I914*$J$949</f>
        <v>1176.3182982870001</v>
      </c>
      <c r="K914" s="130" t="s">
        <v>6</v>
      </c>
    </row>
    <row r="915" spans="1:11">
      <c r="A915" s="126"/>
      <c r="B915" s="126"/>
      <c r="C915" s="131"/>
      <c r="D915" s="132"/>
      <c r="E915" s="133"/>
      <c r="F915" s="134"/>
      <c r="G915" s="134"/>
      <c r="H915" s="139" t="s">
        <v>16</v>
      </c>
      <c r="I915" s="165">
        <f>+D919</f>
        <v>1660.8520000000001</v>
      </c>
      <c r="J915" s="32">
        <f>+I915*$J$949</f>
        <v>384.34938728400004</v>
      </c>
      <c r="K915" s="134"/>
    </row>
    <row r="916" spans="1:11" ht="26.25">
      <c r="A916" s="126"/>
      <c r="B916" s="126"/>
      <c r="C916" s="131" t="s">
        <v>10</v>
      </c>
      <c r="D916" s="135"/>
      <c r="E916" s="136"/>
      <c r="F916" s="134"/>
      <c r="G916" s="134"/>
      <c r="H916" s="131" t="s">
        <v>17</v>
      </c>
      <c r="I916" s="135"/>
      <c r="J916" s="136"/>
      <c r="K916" s="134"/>
    </row>
    <row r="917" spans="1:11">
      <c r="A917" s="126"/>
      <c r="B917" s="126"/>
      <c r="C917" s="139" t="s">
        <v>12</v>
      </c>
      <c r="D917" s="165">
        <v>132.66900000000001</v>
      </c>
      <c r="E917" s="32">
        <f>+D917*$J$907</f>
        <v>31.918436703000001</v>
      </c>
      <c r="F917" s="142"/>
      <c r="G917" s="142"/>
      <c r="H917" s="139" t="s">
        <v>12</v>
      </c>
      <c r="I917" s="165">
        <f>+D921</f>
        <v>1102.723</v>
      </c>
      <c r="J917" s="32">
        <f>+I917*$J$949</f>
        <v>255.18884849100002</v>
      </c>
      <c r="K917" s="142"/>
    </row>
    <row r="918" spans="1:11">
      <c r="A918" s="126"/>
      <c r="B918" s="126"/>
      <c r="C918" s="139" t="s">
        <v>15</v>
      </c>
      <c r="D918" s="165">
        <v>5083.1109999999999</v>
      </c>
      <c r="E918" s="32">
        <f>+D918*$J$907</f>
        <v>1222.9304261570001</v>
      </c>
      <c r="F918" s="142"/>
      <c r="G918" s="142"/>
      <c r="H918" s="139" t="s">
        <v>15</v>
      </c>
      <c r="I918" s="165">
        <f>+D922</f>
        <v>15091.96</v>
      </c>
      <c r="J918" s="32">
        <f>+I918*$J$949</f>
        <v>3492.5361073200002</v>
      </c>
      <c r="K918" s="142"/>
    </row>
    <row r="919" spans="1:11">
      <c r="A919" s="126"/>
      <c r="B919" s="126"/>
      <c r="C919" s="139" t="s">
        <v>16</v>
      </c>
      <c r="D919" s="165">
        <v>1660.8520000000001</v>
      </c>
      <c r="E919" s="32">
        <f>+D919*$J$907</f>
        <v>399.57940012400002</v>
      </c>
      <c r="F919" s="142"/>
      <c r="G919" s="142"/>
      <c r="H919" s="139" t="s">
        <v>16</v>
      </c>
      <c r="I919" s="165">
        <f>+D923</f>
        <v>7515.2820000000002</v>
      </c>
      <c r="J919" s="32">
        <f>+I919*$J$949</f>
        <v>1739.164014594</v>
      </c>
      <c r="K919" s="142"/>
    </row>
    <row r="920" spans="1:11">
      <c r="A920" s="126"/>
      <c r="B920" s="126"/>
      <c r="C920" s="131" t="s">
        <v>17</v>
      </c>
      <c r="D920" s="135"/>
      <c r="E920" s="136"/>
      <c r="F920" s="134"/>
      <c r="G920" s="134"/>
      <c r="H920" s="145" t="str">
        <f>+C924</f>
        <v>RCF Drawdown &amp; other</v>
      </c>
      <c r="I920" s="166">
        <f>600-1300</f>
        <v>-700</v>
      </c>
      <c r="J920" s="32">
        <f>+I920*$J$949</f>
        <v>-161.99190000000002</v>
      </c>
      <c r="K920" s="134"/>
    </row>
    <row r="921" spans="1:11">
      <c r="A921" s="126"/>
      <c r="B921" s="126"/>
      <c r="C921" s="139" t="s">
        <v>12</v>
      </c>
      <c r="D921" s="165">
        <v>1102.723</v>
      </c>
      <c r="E921" s="32">
        <f>+D921*$J$907</f>
        <v>265.30081840099996</v>
      </c>
      <c r="F921" s="142"/>
      <c r="G921" s="142"/>
      <c r="H921" s="137" t="s">
        <v>18</v>
      </c>
      <c r="I921" s="143">
        <f>SUM(I913:I920)</f>
        <v>29886.596999999998</v>
      </c>
      <c r="J921" s="143">
        <f>SUM(J913:J920)</f>
        <v>6916.2666179489997</v>
      </c>
      <c r="K921" s="142"/>
    </row>
    <row r="922" spans="1:11">
      <c r="A922" s="126"/>
      <c r="B922" s="126"/>
      <c r="C922" s="139" t="s">
        <v>15</v>
      </c>
      <c r="D922" s="165">
        <v>15091.96</v>
      </c>
      <c r="E922" s="32">
        <f>+D922*$J$907</f>
        <v>3630.9293805199995</v>
      </c>
      <c r="F922" s="142"/>
      <c r="G922" s="142"/>
      <c r="H922" s="139" t="s">
        <v>19</v>
      </c>
      <c r="I922" s="147">
        <f>+D926</f>
        <v>11038.026</v>
      </c>
      <c r="J922" s="136">
        <f>+I922*$J$949</f>
        <v>2554.386862842</v>
      </c>
      <c r="K922" s="142"/>
    </row>
    <row r="923" spans="1:11">
      <c r="A923" s="126"/>
      <c r="B923" s="126"/>
      <c r="C923" s="139" t="s">
        <v>16</v>
      </c>
      <c r="D923" s="165">
        <v>7515.2820000000002</v>
      </c>
      <c r="E923" s="32">
        <f>+D923*$J$907</f>
        <v>1808.0791505340001</v>
      </c>
      <c r="F923" s="142"/>
      <c r="G923" s="142"/>
      <c r="H923" s="137" t="s">
        <v>20</v>
      </c>
      <c r="I923" s="143">
        <f>+I921-I922</f>
        <v>18848.570999999996</v>
      </c>
      <c r="J923" s="144">
        <f>+J921-J922</f>
        <v>4361.8797551070002</v>
      </c>
      <c r="K923" s="142"/>
    </row>
    <row r="924" spans="1:11">
      <c r="A924" s="126"/>
      <c r="B924" s="126"/>
      <c r="C924" s="139" t="s">
        <v>45</v>
      </c>
      <c r="D924" s="166">
        <v>0</v>
      </c>
      <c r="E924" s="32">
        <f>+D924*$J$907</f>
        <v>0</v>
      </c>
      <c r="F924" s="146"/>
      <c r="G924" s="146"/>
      <c r="H924" s="141" t="s">
        <v>21</v>
      </c>
      <c r="I924" s="148">
        <f>+D928</f>
        <v>21889.022000000001</v>
      </c>
      <c r="J924" s="136">
        <f>+I924*$J$949</f>
        <v>5065.4918041740002</v>
      </c>
      <c r="K924" s="142"/>
    </row>
    <row r="925" spans="1:11">
      <c r="A925" s="126"/>
      <c r="B925" s="126"/>
      <c r="C925" s="137" t="s">
        <v>18</v>
      </c>
      <c r="D925" s="143">
        <f>SUM(D917:D924)</f>
        <v>30586.596999999998</v>
      </c>
      <c r="E925" s="143">
        <f>SUM(E917:E924)</f>
        <v>7358.7376124389993</v>
      </c>
      <c r="F925" s="138">
        <f>+D925/D930</f>
        <v>2.8713179745634321</v>
      </c>
      <c r="G925" s="138">
        <f>+E925/E930</f>
        <v>2.9127442819697951</v>
      </c>
      <c r="H925" s="137" t="s">
        <v>22</v>
      </c>
      <c r="I925" s="143">
        <f>I921+I924</f>
        <v>51775.618999999999</v>
      </c>
      <c r="J925" s="144">
        <f>J921+J924</f>
        <v>11981.758422122999</v>
      </c>
      <c r="K925" s="138">
        <f>+I921/I926</f>
        <v>2.8056054475309411</v>
      </c>
    </row>
    <row r="926" spans="1:11">
      <c r="A926" s="126"/>
      <c r="B926" s="126"/>
      <c r="C926" s="139" t="s">
        <v>19</v>
      </c>
      <c r="D926" s="147">
        <f>+Model!AD123</f>
        <v>11038.026</v>
      </c>
      <c r="E926" s="32">
        <f>+D926*$J$907</f>
        <v>2655.6055612619998</v>
      </c>
      <c r="F926" s="140"/>
      <c r="G926" s="140"/>
      <c r="H926" s="145" t="s">
        <v>23</v>
      </c>
      <c r="I926" s="149">
        <f>+D930</f>
        <v>10652.458999999999</v>
      </c>
      <c r="J926" s="150">
        <f>I926*J908</f>
        <v>2526.3932910246835</v>
      </c>
      <c r="K926" s="140"/>
    </row>
    <row r="927" spans="1:11">
      <c r="A927" s="126"/>
      <c r="B927" s="126"/>
      <c r="C927" s="137" t="s">
        <v>20</v>
      </c>
      <c r="D927" s="143">
        <f>+D925-D926</f>
        <v>19548.570999999996</v>
      </c>
      <c r="E927" s="144">
        <f>+E925-E926</f>
        <v>4703.1320511769991</v>
      </c>
      <c r="F927" s="138">
        <f>+D927/D930</f>
        <v>1.8351228575486653</v>
      </c>
      <c r="G927" s="138">
        <f>+E927/E930</f>
        <v>1.8615993273436255</v>
      </c>
      <c r="H927" s="126"/>
      <c r="I927" s="126"/>
      <c r="J927" s="126"/>
      <c r="K927" s="138">
        <f>+I923/I926</f>
        <v>1.7694103305161746</v>
      </c>
    </row>
    <row r="928" spans="1:11">
      <c r="A928" s="126"/>
      <c r="B928" s="126"/>
      <c r="C928" s="141" t="s">
        <v>21</v>
      </c>
      <c r="D928" s="148">
        <f>+Model!AD131</f>
        <v>21889.022000000001</v>
      </c>
      <c r="E928" s="32">
        <f>+D928*$J$907</f>
        <v>5266.2141359140005</v>
      </c>
      <c r="F928" s="142"/>
      <c r="G928" s="142"/>
      <c r="H928" s="126"/>
      <c r="I928" s="126"/>
      <c r="J928" s="126"/>
      <c r="K928" s="142"/>
    </row>
    <row r="929" spans="1:11">
      <c r="A929" s="126"/>
      <c r="B929" s="126"/>
      <c r="C929" s="137" t="s">
        <v>22</v>
      </c>
      <c r="D929" s="143">
        <f>D925+D928</f>
        <v>52475.618999999999</v>
      </c>
      <c r="E929" s="144">
        <f>E925+E928</f>
        <v>12624.951748353</v>
      </c>
      <c r="F929" s="138">
        <f>D929/D930</f>
        <v>4.9261507601202696</v>
      </c>
      <c r="G929" s="138">
        <f>E929/E930</f>
        <v>4.9972234304154703</v>
      </c>
      <c r="K929" s="138">
        <f>I925/I926</f>
        <v>4.8604382330877787</v>
      </c>
    </row>
    <row r="930" spans="1:11">
      <c r="A930" s="126"/>
      <c r="B930" s="126"/>
      <c r="C930" s="145" t="s">
        <v>23</v>
      </c>
      <c r="D930" s="149">
        <f>+Model!AD90</f>
        <v>10652.458999999999</v>
      </c>
      <c r="E930" s="150">
        <f>D930*J908</f>
        <v>2526.3932910246835</v>
      </c>
      <c r="F930" s="146"/>
      <c r="G930" s="146"/>
      <c r="H930" s="126"/>
      <c r="I930" s="126"/>
      <c r="J930" s="126"/>
      <c r="K930" s="146"/>
    </row>
    <row r="931" spans="1:11">
      <c r="A931" s="126"/>
      <c r="B931" s="126"/>
      <c r="C931" s="126"/>
      <c r="D931" s="126"/>
      <c r="E931" s="126"/>
      <c r="F931" s="126"/>
      <c r="G931" s="126"/>
      <c r="H931" s="126"/>
      <c r="I931" s="126"/>
      <c r="J931" s="126"/>
      <c r="K931" s="126"/>
    </row>
    <row r="932" spans="1:11">
      <c r="A932" s="126"/>
      <c r="B932" s="126"/>
      <c r="C932" s="151" t="s">
        <v>24</v>
      </c>
      <c r="D932" s="152">
        <f>+D925-Model!AD116</f>
        <v>0</v>
      </c>
      <c r="E932" s="153"/>
      <c r="F932" s="126"/>
      <c r="G932" s="126"/>
      <c r="H932" s="126"/>
      <c r="I932" s="126"/>
      <c r="J932" s="126"/>
      <c r="K932" s="126"/>
    </row>
    <row r="933" spans="1:11" ht="15.75" thickBot="1">
      <c r="F933" s="86" t="s">
        <v>202</v>
      </c>
      <c r="H933" s="126"/>
      <c r="I933" s="126"/>
      <c r="J933" s="126"/>
    </row>
    <row r="934" spans="1:11">
      <c r="A934" s="126"/>
      <c r="B934" s="126"/>
      <c r="C934" s="154" t="s">
        <v>205</v>
      </c>
      <c r="D934" s="164" t="s">
        <v>55</v>
      </c>
      <c r="E934" s="164" t="s">
        <v>5</v>
      </c>
      <c r="F934" s="164" t="s">
        <v>55</v>
      </c>
      <c r="G934" s="164" t="s">
        <v>5</v>
      </c>
      <c r="H934" s="126"/>
      <c r="I934" s="126"/>
      <c r="J934" s="126"/>
      <c r="K934" s="126"/>
    </row>
    <row r="935" spans="1:11">
      <c r="A935" s="126"/>
      <c r="B935" s="126"/>
      <c r="C935" s="155" t="s">
        <v>74</v>
      </c>
      <c r="D935" s="160">
        <v>0</v>
      </c>
      <c r="E935" s="156">
        <f>D935*$J$949</f>
        <v>0</v>
      </c>
      <c r="F935" s="160">
        <f>4200-2068</f>
        <v>2132</v>
      </c>
      <c r="G935" s="156">
        <f>F935*$J$907</f>
        <v>512.93148399999995</v>
      </c>
      <c r="H935" s="126"/>
      <c r="I935" s="126"/>
      <c r="J935" s="126"/>
      <c r="K935" s="126"/>
    </row>
    <row r="936" spans="1:11">
      <c r="A936" s="126"/>
      <c r="B936" s="126"/>
      <c r="C936" s="155" t="s">
        <v>47</v>
      </c>
      <c r="D936" s="156">
        <f>D926</f>
        <v>11038.026</v>
      </c>
      <c r="E936" s="156">
        <f>D936*$J$907</f>
        <v>2655.6055612619998</v>
      </c>
      <c r="F936" s="156">
        <f>+D926</f>
        <v>11038.026</v>
      </c>
      <c r="G936" s="156">
        <f>F936*$J$907</f>
        <v>2655.6055612619998</v>
      </c>
      <c r="H936" s="126"/>
      <c r="I936" s="126"/>
      <c r="J936" s="126"/>
      <c r="K936" s="126"/>
    </row>
    <row r="937" spans="1:11" ht="15.75" thickBot="1">
      <c r="A937" s="126"/>
      <c r="B937" s="126"/>
      <c r="C937" s="157"/>
      <c r="D937" s="158">
        <f>SUM(D935:D936)</f>
        <v>11038.026</v>
      </c>
      <c r="E937" s="158">
        <f>SUM(E935:E936)</f>
        <v>2655.6055612619998</v>
      </c>
      <c r="F937" s="158">
        <f>SUM(F935:F936)</f>
        <v>13170.026</v>
      </c>
      <c r="G937" s="158">
        <f>SUM(G935:G936)</f>
        <v>3168.537045262</v>
      </c>
      <c r="H937" s="126"/>
      <c r="I937" s="126"/>
      <c r="J937" s="126"/>
      <c r="K937" s="126"/>
    </row>
    <row r="938" spans="1:11" ht="15.75" thickBot="1">
      <c r="A938" s="126"/>
      <c r="B938" s="126"/>
      <c r="C938" s="126"/>
      <c r="D938" s="126"/>
      <c r="E938" s="126"/>
      <c r="F938" s="126"/>
      <c r="G938" s="126"/>
      <c r="H938" s="126"/>
      <c r="I938" s="126"/>
      <c r="J938" s="126"/>
      <c r="K938" s="126"/>
    </row>
    <row r="939" spans="1:11">
      <c r="A939" s="126"/>
      <c r="B939" s="126"/>
      <c r="C939" s="154" t="s">
        <v>206</v>
      </c>
      <c r="D939" s="164" t="s">
        <v>55</v>
      </c>
      <c r="E939" s="164" t="s">
        <v>5</v>
      </c>
      <c r="F939" s="126"/>
      <c r="G939" s="126"/>
      <c r="H939" s="126"/>
      <c r="I939" s="126"/>
      <c r="J939" s="126"/>
      <c r="K939" s="126"/>
    </row>
    <row r="940" spans="1:11">
      <c r="A940" s="126"/>
      <c r="B940" s="126"/>
      <c r="C940" s="159" t="s">
        <v>122</v>
      </c>
      <c r="D940" s="160"/>
      <c r="E940" s="156"/>
      <c r="F940" s="126"/>
      <c r="G940" s="126"/>
      <c r="H940" s="126"/>
      <c r="I940" s="126"/>
      <c r="J940" s="126"/>
      <c r="K940" s="126"/>
    </row>
    <row r="941" spans="1:11">
      <c r="A941" s="126"/>
      <c r="B941" s="126"/>
      <c r="C941" s="159" t="s">
        <v>33</v>
      </c>
      <c r="D941" s="160">
        <v>12529</v>
      </c>
      <c r="E941" s="156">
        <f>D941*$J$907</f>
        <v>3014.314523</v>
      </c>
      <c r="F941" s="126"/>
      <c r="G941" s="126"/>
      <c r="H941" s="126"/>
      <c r="I941" s="126"/>
      <c r="J941" s="126"/>
      <c r="K941" s="126"/>
    </row>
    <row r="942" spans="1:11">
      <c r="A942" s="126"/>
      <c r="B942" s="126"/>
      <c r="C942" s="159" t="s">
        <v>124</v>
      </c>
      <c r="D942" s="160"/>
      <c r="E942" s="156"/>
      <c r="F942" s="126"/>
      <c r="G942" s="126"/>
      <c r="H942" s="126"/>
      <c r="I942" s="126"/>
      <c r="J942" s="126"/>
      <c r="K942" s="126"/>
    </row>
    <row r="943" spans="1:11">
      <c r="A943" s="126"/>
      <c r="B943" s="126"/>
      <c r="C943" s="159" t="s">
        <v>33</v>
      </c>
      <c r="D943" s="160">
        <v>1316</v>
      </c>
      <c r="E943" s="156">
        <f t="shared" ref="E943:E949" si="41">D943*$J$907</f>
        <v>316.61249199999997</v>
      </c>
      <c r="F943" s="126"/>
      <c r="G943" s="126"/>
      <c r="H943" s="126"/>
      <c r="I943" s="126"/>
      <c r="J943" s="126"/>
      <c r="K943" s="126"/>
    </row>
    <row r="944" spans="1:11">
      <c r="A944" s="126"/>
      <c r="B944" s="126"/>
      <c r="C944" s="159" t="s">
        <v>123</v>
      </c>
      <c r="D944" s="160">
        <v>3539</v>
      </c>
      <c r="E944" s="156">
        <f t="shared" si="41"/>
        <v>851.43739299999993</v>
      </c>
      <c r="F944" s="126"/>
      <c r="G944" s="126"/>
      <c r="H944" s="126"/>
      <c r="I944" s="126"/>
      <c r="J944" s="126"/>
      <c r="K944" s="126"/>
    </row>
    <row r="945" spans="1:11">
      <c r="A945" s="126"/>
      <c r="B945" s="126"/>
      <c r="C945" s="159" t="s">
        <v>34</v>
      </c>
      <c r="D945" s="160">
        <v>2323</v>
      </c>
      <c r="E945" s="156">
        <f t="shared" si="41"/>
        <v>558.883601</v>
      </c>
      <c r="F945" s="126"/>
      <c r="G945" s="126"/>
      <c r="H945" s="126"/>
      <c r="I945" s="126"/>
      <c r="J945" s="126"/>
      <c r="K945" s="126"/>
    </row>
    <row r="946" spans="1:11">
      <c r="A946" s="126"/>
      <c r="B946" s="126"/>
      <c r="C946" s="159" t="s">
        <v>35</v>
      </c>
      <c r="D946" s="160">
        <v>707</v>
      </c>
      <c r="E946" s="156">
        <f t="shared" si="41"/>
        <v>170.095009</v>
      </c>
      <c r="F946" s="126"/>
      <c r="G946" s="126"/>
      <c r="H946" s="126"/>
      <c r="I946" s="126"/>
      <c r="J946" s="126"/>
      <c r="K946" s="126"/>
    </row>
    <row r="947" spans="1:11">
      <c r="A947" s="126"/>
      <c r="B947" s="126"/>
      <c r="C947" s="159" t="s">
        <v>106</v>
      </c>
      <c r="D947" s="160">
        <v>154</v>
      </c>
      <c r="E947" s="156">
        <f t="shared" si="41"/>
        <v>37.050398000000001</v>
      </c>
      <c r="F947" s="126"/>
      <c r="G947" s="126"/>
      <c r="K947" s="126"/>
    </row>
    <row r="948" spans="1:11">
      <c r="A948" s="126"/>
      <c r="B948" s="126"/>
      <c r="C948" s="159" t="s">
        <v>125</v>
      </c>
      <c r="D948" s="160">
        <v>133</v>
      </c>
      <c r="E948" s="156">
        <f t="shared" si="41"/>
        <v>31.998070999999999</v>
      </c>
      <c r="F948" s="126"/>
      <c r="G948" s="126"/>
      <c r="K948" s="126"/>
    </row>
    <row r="949" spans="1:11" ht="15.75" thickBot="1">
      <c r="A949" s="126"/>
      <c r="B949" s="126"/>
      <c r="C949" s="159" t="s">
        <v>126</v>
      </c>
      <c r="D949" s="160">
        <v>710</v>
      </c>
      <c r="E949" s="156">
        <f t="shared" si="41"/>
        <v>170.81676999999999</v>
      </c>
      <c r="F949" s="126"/>
      <c r="G949" s="126"/>
      <c r="H949" s="126"/>
      <c r="I949" s="127" t="s">
        <v>207</v>
      </c>
      <c r="J949" s="128">
        <f>+Model!AB216</f>
        <v>0.23141700000000001</v>
      </c>
      <c r="K949" s="126"/>
    </row>
    <row r="950" spans="1:11" ht="15.75" thickBot="1">
      <c r="A950" s="126"/>
      <c r="B950" s="126"/>
      <c r="C950" s="161" t="s">
        <v>39</v>
      </c>
      <c r="D950" s="162">
        <f>SUM(D940:D949)</f>
        <v>21411</v>
      </c>
      <c r="E950" s="163">
        <f>SUM(E940:E949)</f>
        <v>5151.2082570000011</v>
      </c>
      <c r="F950" s="126"/>
      <c r="G950" s="126"/>
      <c r="H950" s="126"/>
      <c r="I950" s="127" t="s">
        <v>208</v>
      </c>
      <c r="J950" s="128">
        <f>+AVERAGE(Model!Y215:AB215)</f>
        <v>0.2401615</v>
      </c>
      <c r="K950" s="126"/>
    </row>
    <row r="951" spans="1:11">
      <c r="H951" s="127" t="s">
        <v>202</v>
      </c>
      <c r="I951" s="127"/>
      <c r="J951" s="128"/>
    </row>
    <row r="952" spans="1:11" ht="51.75">
      <c r="C952" s="151" t="s">
        <v>24</v>
      </c>
      <c r="D952" s="152">
        <f>+D950-D917-D918-D921-D922</f>
        <v>0.53699999999844295</v>
      </c>
      <c r="H952" s="129" t="s">
        <v>209</v>
      </c>
      <c r="I952" s="167" t="s">
        <v>55</v>
      </c>
      <c r="J952" s="167" t="s">
        <v>5</v>
      </c>
    </row>
    <row r="953" spans="1:11">
      <c r="A953" s="127" t="s">
        <v>210</v>
      </c>
      <c r="B953" s="126"/>
      <c r="C953" s="126"/>
      <c r="D953" s="126"/>
      <c r="E953" s="126"/>
      <c r="F953" s="126"/>
      <c r="G953" s="126"/>
      <c r="H953" s="131"/>
      <c r="I953" s="132"/>
      <c r="J953" s="133"/>
      <c r="K953" s="126"/>
    </row>
    <row r="954" spans="1:11" ht="26.25">
      <c r="A954" s="127"/>
      <c r="B954" s="126"/>
      <c r="C954" s="126"/>
      <c r="D954" s="126"/>
      <c r="E954" s="126"/>
      <c r="F954" s="126"/>
      <c r="G954" s="126"/>
      <c r="H954" s="131" t="s">
        <v>10</v>
      </c>
      <c r="I954" s="135"/>
      <c r="J954" s="136"/>
      <c r="K954" s="126"/>
    </row>
    <row r="955" spans="1:11">
      <c r="A955" s="127"/>
      <c r="B955" s="126"/>
      <c r="C955" s="126"/>
      <c r="D955" s="126"/>
      <c r="E955" s="126"/>
      <c r="F955" s="126"/>
      <c r="G955" s="126"/>
      <c r="H955" s="139" t="s">
        <v>12</v>
      </c>
      <c r="I955" s="165">
        <f>+D959</f>
        <v>105.852</v>
      </c>
      <c r="J955" s="32">
        <f>+I955*$J$949</f>
        <v>24.495952284000001</v>
      </c>
      <c r="K955" s="126"/>
    </row>
    <row r="956" spans="1:11" ht="26.25">
      <c r="A956" s="126"/>
      <c r="B956" s="126"/>
      <c r="C956" s="129" t="s">
        <v>209</v>
      </c>
      <c r="D956" s="167" t="s">
        <v>55</v>
      </c>
      <c r="E956" s="167" t="s">
        <v>5</v>
      </c>
      <c r="F956" s="130" t="s">
        <v>6</v>
      </c>
      <c r="G956" s="130" t="s">
        <v>7</v>
      </c>
      <c r="H956" s="139" t="s">
        <v>15</v>
      </c>
      <c r="I956" s="165">
        <f>+D960</f>
        <v>8940.5509999999995</v>
      </c>
      <c r="J956" s="32">
        <f>+I956*$J$949</f>
        <v>2068.9954907669999</v>
      </c>
      <c r="K956" s="130" t="s">
        <v>6</v>
      </c>
    </row>
    <row r="957" spans="1:11">
      <c r="A957" s="126"/>
      <c r="B957" s="126"/>
      <c r="C957" s="131"/>
      <c r="D957" s="132"/>
      <c r="E957" s="133"/>
      <c r="F957" s="134"/>
      <c r="G957" s="134"/>
      <c r="H957" s="139" t="s">
        <v>16</v>
      </c>
      <c r="I957" s="165">
        <f>+D961</f>
        <v>1582.519</v>
      </c>
      <c r="J957" s="32">
        <f>+I957*$J$949</f>
        <v>366.22179942299999</v>
      </c>
      <c r="K957" s="134"/>
    </row>
    <row r="958" spans="1:11" ht="26.25">
      <c r="A958" s="126"/>
      <c r="B958" s="126"/>
      <c r="C958" s="131" t="s">
        <v>10</v>
      </c>
      <c r="D958" s="135"/>
      <c r="E958" s="136"/>
      <c r="F958" s="134"/>
      <c r="G958" s="134"/>
      <c r="H958" s="131" t="s">
        <v>17</v>
      </c>
      <c r="I958" s="135"/>
      <c r="J958" s="136"/>
      <c r="K958" s="134"/>
    </row>
    <row r="959" spans="1:11">
      <c r="A959" s="126"/>
      <c r="B959" s="126"/>
      <c r="C959" s="139" t="s">
        <v>12</v>
      </c>
      <c r="D959" s="165">
        <v>105.852</v>
      </c>
      <c r="E959" s="32">
        <f>+D959*$J$949</f>
        <v>24.495952284000001</v>
      </c>
      <c r="F959" s="142"/>
      <c r="G959" s="142"/>
      <c r="H959" s="139" t="s">
        <v>12</v>
      </c>
      <c r="I959" s="165">
        <f>+D963</f>
        <v>485.28100000000001</v>
      </c>
      <c r="J959" s="32">
        <f>+I959*$J$949</f>
        <v>112.302273177</v>
      </c>
      <c r="K959" s="142"/>
    </row>
    <row r="960" spans="1:11">
      <c r="A960" s="126"/>
      <c r="B960" s="126"/>
      <c r="C960" s="139" t="s">
        <v>15</v>
      </c>
      <c r="D960" s="165">
        <v>8940.5509999999995</v>
      </c>
      <c r="E960" s="32">
        <f>+D960*$J$949</f>
        <v>2068.9954907669999</v>
      </c>
      <c r="F960" s="142"/>
      <c r="G960" s="142"/>
      <c r="H960" s="139" t="s">
        <v>15</v>
      </c>
      <c r="I960" s="165">
        <f>+D964</f>
        <v>8382.3259999999991</v>
      </c>
      <c r="J960" s="32">
        <f>+I960*$J$949</f>
        <v>1939.8127359419998</v>
      </c>
      <c r="K960" s="142"/>
    </row>
    <row r="961" spans="1:11">
      <c r="A961" s="126"/>
      <c r="B961" s="126"/>
      <c r="C961" s="139" t="s">
        <v>16</v>
      </c>
      <c r="D961" s="165">
        <v>1582.519</v>
      </c>
      <c r="E961" s="32">
        <f>+D961*$J$949</f>
        <v>366.22179942299999</v>
      </c>
      <c r="F961" s="142"/>
      <c r="G961" s="142"/>
      <c r="H961" s="139" t="s">
        <v>16</v>
      </c>
      <c r="I961" s="165">
        <f>+D965</f>
        <v>6949.8869999999997</v>
      </c>
      <c r="J961" s="32">
        <f>+I961*$J$949</f>
        <v>1608.321999879</v>
      </c>
      <c r="K961" s="142"/>
    </row>
    <row r="962" spans="1:11">
      <c r="A962" s="126"/>
      <c r="B962" s="126"/>
      <c r="C962" s="131" t="s">
        <v>17</v>
      </c>
      <c r="D962" s="135"/>
      <c r="E962" s="136"/>
      <c r="F962" s="134"/>
      <c r="G962" s="134"/>
      <c r="H962" s="145" t="str">
        <f>+C966</f>
        <v>RCF Drawdown &amp; other</v>
      </c>
      <c r="I962" s="166">
        <f>600-1307.4</f>
        <v>-707.40000000000009</v>
      </c>
      <c r="J962" s="32">
        <f>+I962*$J$949</f>
        <v>-163.70438580000004</v>
      </c>
      <c r="K962" s="134"/>
    </row>
    <row r="963" spans="1:11">
      <c r="A963" s="126"/>
      <c r="B963" s="126"/>
      <c r="C963" s="139" t="s">
        <v>12</v>
      </c>
      <c r="D963" s="165">
        <v>485.28100000000001</v>
      </c>
      <c r="E963" s="32">
        <f>+D963*$J$949</f>
        <v>112.302273177</v>
      </c>
      <c r="F963" s="142"/>
      <c r="G963" s="142"/>
      <c r="H963" s="137" t="s">
        <v>18</v>
      </c>
      <c r="I963" s="143">
        <f>SUM(I955:I962)</f>
        <v>25739.016</v>
      </c>
      <c r="J963" s="143">
        <f>SUM(J955:J962)</f>
        <v>5956.4458656719999</v>
      </c>
      <c r="K963" s="142"/>
    </row>
    <row r="964" spans="1:11">
      <c r="A964" s="126"/>
      <c r="B964" s="126"/>
      <c r="C964" s="139" t="s">
        <v>15</v>
      </c>
      <c r="D964" s="165">
        <v>8382.3259999999991</v>
      </c>
      <c r="E964" s="32">
        <f>+D964*$J$949</f>
        <v>1939.8127359419998</v>
      </c>
      <c r="F964" s="142"/>
      <c r="G964" s="142"/>
      <c r="H964" s="139" t="s">
        <v>19</v>
      </c>
      <c r="I964" s="147">
        <f>+D968</f>
        <v>5962.5480000000007</v>
      </c>
      <c r="J964" s="136">
        <f>+I964*$J$949</f>
        <v>1379.8349705160003</v>
      </c>
      <c r="K964" s="142"/>
    </row>
    <row r="965" spans="1:11">
      <c r="A965" s="126"/>
      <c r="B965" s="126"/>
      <c r="C965" s="139" t="s">
        <v>16</v>
      </c>
      <c r="D965" s="165">
        <v>6949.8869999999997</v>
      </c>
      <c r="E965" s="32">
        <f>+D965*$J$949</f>
        <v>1608.321999879</v>
      </c>
      <c r="F965" s="142"/>
      <c r="G965" s="142"/>
      <c r="H965" s="137" t="s">
        <v>20</v>
      </c>
      <c r="I965" s="143">
        <f>+I963-I964</f>
        <v>19776.468000000001</v>
      </c>
      <c r="J965" s="144">
        <f>+J963-J964</f>
        <v>4576.610895156</v>
      </c>
      <c r="K965" s="142"/>
    </row>
    <row r="966" spans="1:11">
      <c r="A966" s="126"/>
      <c r="B966" s="126"/>
      <c r="C966" s="139" t="s">
        <v>45</v>
      </c>
      <c r="D966" s="166">
        <v>0</v>
      </c>
      <c r="E966" s="32">
        <f>+D966*$J$949</f>
        <v>0</v>
      </c>
      <c r="F966" s="146"/>
      <c r="G966" s="146"/>
      <c r="H966" s="141" t="s">
        <v>21</v>
      </c>
      <c r="I966" s="148">
        <f>+D970</f>
        <v>21652.248</v>
      </c>
      <c r="J966" s="136">
        <f>+I966*$J$949</f>
        <v>5010.6982754159999</v>
      </c>
      <c r="K966" s="142"/>
    </row>
    <row r="967" spans="1:11">
      <c r="A967" s="126"/>
      <c r="B967" s="126"/>
      <c r="C967" s="137" t="s">
        <v>18</v>
      </c>
      <c r="D967" s="143">
        <f>SUM(D959:D966)</f>
        <v>26446.416000000001</v>
      </c>
      <c r="E967" s="143">
        <f>SUM(E959:E966)</f>
        <v>6120.1502514719996</v>
      </c>
      <c r="F967" s="138">
        <f>+D967/D972</f>
        <v>2.4713331822609925</v>
      </c>
      <c r="G967" s="138">
        <f>+E967/E972</f>
        <v>2.381349679441926</v>
      </c>
      <c r="H967" s="137" t="s">
        <v>22</v>
      </c>
      <c r="I967" s="143">
        <f>I963+I966</f>
        <v>47391.263999999996</v>
      </c>
      <c r="J967" s="144">
        <f>J963+J966</f>
        <v>10967.144141088</v>
      </c>
      <c r="K967" s="138">
        <f>+I963/I968</f>
        <v>2.4052289096392721</v>
      </c>
    </row>
    <row r="968" spans="1:11">
      <c r="A968" s="126"/>
      <c r="B968" s="126"/>
      <c r="C968" s="139" t="s">
        <v>19</v>
      </c>
      <c r="D968" s="147">
        <f>+Model!AB123</f>
        <v>5962.5480000000007</v>
      </c>
      <c r="E968" s="136">
        <f>+D968*$J$949</f>
        <v>1379.8349705160003</v>
      </c>
      <c r="F968" s="140"/>
      <c r="G968" s="140"/>
      <c r="H968" s="145" t="s">
        <v>23</v>
      </c>
      <c r="I968" s="149">
        <f>+D972</f>
        <v>10701.275</v>
      </c>
      <c r="J968" s="150">
        <f>I968*J950</f>
        <v>2570.0342559124997</v>
      </c>
      <c r="K968" s="140"/>
    </row>
    <row r="969" spans="1:11">
      <c r="A969" s="126"/>
      <c r="B969" s="126"/>
      <c r="C969" s="137" t="s">
        <v>20</v>
      </c>
      <c r="D969" s="143">
        <f>+D967-D968</f>
        <v>20483.868000000002</v>
      </c>
      <c r="E969" s="144">
        <f>+E967-E968</f>
        <v>4740.3152809559997</v>
      </c>
      <c r="F969" s="138">
        <f>+D969/D972</f>
        <v>1.9141520986985199</v>
      </c>
      <c r="G969" s="138">
        <f>+E969/E972</f>
        <v>1.844456069039023</v>
      </c>
      <c r="H969" s="126"/>
      <c r="I969" s="126"/>
      <c r="J969" s="126"/>
      <c r="K969" s="138">
        <f>+I965/I968</f>
        <v>1.8480478260767994</v>
      </c>
    </row>
    <row r="970" spans="1:11">
      <c r="A970" s="126"/>
      <c r="B970" s="126"/>
      <c r="C970" s="141" t="s">
        <v>21</v>
      </c>
      <c r="D970" s="148">
        <f>+Model!AB131</f>
        <v>21652.248</v>
      </c>
      <c r="E970" s="136">
        <f>+D970*$J$949</f>
        <v>5010.6982754159999</v>
      </c>
      <c r="F970" s="142"/>
      <c r="G970" s="142"/>
      <c r="H970" s="126"/>
      <c r="I970" s="126"/>
      <c r="J970" s="126"/>
      <c r="K970" s="142"/>
    </row>
    <row r="971" spans="1:11">
      <c r="A971" s="126"/>
      <c r="B971" s="126"/>
      <c r="C971" s="137" t="s">
        <v>22</v>
      </c>
      <c r="D971" s="143">
        <f>D967+D970</f>
        <v>48098.664000000004</v>
      </c>
      <c r="E971" s="144">
        <f>E967+E970</f>
        <v>11130.848526887999</v>
      </c>
      <c r="F971" s="138">
        <f>D971/D972</f>
        <v>4.494666663551774</v>
      </c>
      <c r="G971" s="138">
        <f>E971/E972</f>
        <v>4.3310117370151362</v>
      </c>
      <c r="K971" s="138">
        <f>I967/I968</f>
        <v>4.4285623909300522</v>
      </c>
    </row>
    <row r="972" spans="1:11">
      <c r="A972" s="126"/>
      <c r="B972" s="126"/>
      <c r="C972" s="145" t="s">
        <v>23</v>
      </c>
      <c r="D972" s="149">
        <f>+Model!AB90</f>
        <v>10701.275</v>
      </c>
      <c r="E972" s="150">
        <f>D972*J950</f>
        <v>2570.0342559124997</v>
      </c>
      <c r="F972" s="146"/>
      <c r="G972" s="146"/>
      <c r="H972" s="126"/>
      <c r="I972" s="126"/>
      <c r="J972" s="126"/>
      <c r="K972" s="146"/>
    </row>
    <row r="973" spans="1:11">
      <c r="A973" s="126"/>
      <c r="B973" s="126"/>
      <c r="C973" s="126"/>
      <c r="D973" s="126"/>
      <c r="E973" s="126"/>
      <c r="F973" s="126"/>
      <c r="G973" s="126"/>
      <c r="H973" s="126"/>
      <c r="I973" s="126"/>
      <c r="J973" s="126"/>
      <c r="K973" s="126"/>
    </row>
    <row r="974" spans="1:11">
      <c r="A974" s="126"/>
      <c r="B974" s="126"/>
      <c r="C974" s="151" t="s">
        <v>24</v>
      </c>
      <c r="D974" s="152">
        <f>+D967-Model!AB116</f>
        <v>0</v>
      </c>
      <c r="E974" s="153"/>
      <c r="F974" s="126"/>
      <c r="G974" s="126"/>
      <c r="H974" s="126"/>
      <c r="I974" s="126"/>
      <c r="J974" s="126"/>
      <c r="K974" s="126"/>
    </row>
    <row r="975" spans="1:11" ht="15.75" thickBot="1">
      <c r="F975" s="86" t="s">
        <v>202</v>
      </c>
      <c r="H975" s="126"/>
      <c r="I975" s="126"/>
      <c r="J975" s="126"/>
    </row>
    <row r="976" spans="1:11">
      <c r="A976" s="126"/>
      <c r="B976" s="126"/>
      <c r="C976" s="154" t="s">
        <v>211</v>
      </c>
      <c r="D976" s="164" t="s">
        <v>55</v>
      </c>
      <c r="E976" s="164" t="s">
        <v>5</v>
      </c>
      <c r="F976" s="164" t="s">
        <v>55</v>
      </c>
      <c r="G976" s="164" t="s">
        <v>5</v>
      </c>
      <c r="H976" s="126"/>
      <c r="I976" s="126"/>
      <c r="J976" s="126"/>
      <c r="K976" s="126"/>
    </row>
    <row r="977" spans="1:11">
      <c r="A977" s="126"/>
      <c r="B977" s="126"/>
      <c r="C977" s="155" t="s">
        <v>74</v>
      </c>
      <c r="D977" s="160">
        <v>0</v>
      </c>
      <c r="E977" s="156">
        <f>D977*$J$949</f>
        <v>0</v>
      </c>
      <c r="F977" s="160">
        <f>3500-600</f>
        <v>2900</v>
      </c>
      <c r="G977" s="156">
        <f>F977*$J$949</f>
        <v>671.10930000000008</v>
      </c>
      <c r="H977" s="126"/>
      <c r="I977" s="126"/>
      <c r="J977" s="126"/>
      <c r="K977" s="126"/>
    </row>
    <row r="978" spans="1:11">
      <c r="A978" s="126"/>
      <c r="B978" s="126"/>
      <c r="C978" s="155" t="s">
        <v>47</v>
      </c>
      <c r="D978" s="156">
        <f>D968</f>
        <v>5962.5480000000007</v>
      </c>
      <c r="E978" s="156">
        <f>D978*$J$949</f>
        <v>1379.8349705160003</v>
      </c>
      <c r="F978" s="156">
        <f>+D968</f>
        <v>5962.5480000000007</v>
      </c>
      <c r="G978" s="156">
        <f>F978*$J$949</f>
        <v>1379.8349705160003</v>
      </c>
      <c r="H978" s="126"/>
      <c r="I978" s="126"/>
      <c r="J978" s="126"/>
      <c r="K978" s="126"/>
    </row>
    <row r="979" spans="1:11" ht="15.75" thickBot="1">
      <c r="A979" s="126"/>
      <c r="B979" s="126"/>
      <c r="C979" s="157"/>
      <c r="D979" s="158">
        <f>SUM(D977:D978)</f>
        <v>5962.5480000000007</v>
      </c>
      <c r="E979" s="158">
        <f>SUM(E977:E978)</f>
        <v>1379.8349705160003</v>
      </c>
      <c r="F979" s="158">
        <f>SUM(F977:F978)</f>
        <v>8862.5480000000007</v>
      </c>
      <c r="G979" s="158">
        <f>SUM(G977:G978)</f>
        <v>2050.9442705160004</v>
      </c>
      <c r="H979" s="126"/>
      <c r="I979" s="126"/>
      <c r="J979" s="126"/>
      <c r="K979" s="126"/>
    </row>
    <row r="980" spans="1:11" ht="15.75" thickBot="1">
      <c r="A980" s="126"/>
      <c r="B980" s="126"/>
      <c r="C980" s="126"/>
      <c r="D980" s="126"/>
      <c r="E980" s="126"/>
      <c r="F980" s="126"/>
      <c r="G980" s="126"/>
      <c r="H980" s="126"/>
      <c r="I980" s="126"/>
      <c r="J980" s="126"/>
      <c r="K980" s="126"/>
    </row>
    <row r="981" spans="1:11">
      <c r="A981" s="126"/>
      <c r="B981" s="126"/>
      <c r="C981" s="154" t="s">
        <v>212</v>
      </c>
      <c r="D981" s="164" t="s">
        <v>55</v>
      </c>
      <c r="E981" s="164" t="s">
        <v>5</v>
      </c>
      <c r="F981" s="126"/>
      <c r="G981" s="126"/>
      <c r="H981" s="126"/>
      <c r="I981" s="126"/>
      <c r="J981" s="126"/>
      <c r="K981" s="126"/>
    </row>
    <row r="982" spans="1:11">
      <c r="A982" s="126"/>
      <c r="B982" s="126"/>
      <c r="C982" s="159" t="s">
        <v>122</v>
      </c>
      <c r="D982" s="160"/>
      <c r="E982" s="156"/>
      <c r="F982" s="126"/>
      <c r="G982" s="126"/>
      <c r="H982" s="126"/>
      <c r="I982" s="126"/>
      <c r="J982" s="126"/>
      <c r="K982" s="126"/>
    </row>
    <row r="983" spans="1:11">
      <c r="A983" s="126"/>
      <c r="B983" s="126"/>
      <c r="C983" s="159" t="s">
        <v>33</v>
      </c>
      <c r="D983" s="160">
        <v>7206</v>
      </c>
      <c r="E983" s="156">
        <f>D983*$J$949</f>
        <v>1667.5909020000001</v>
      </c>
      <c r="F983" s="126"/>
      <c r="G983" s="126"/>
      <c r="H983" s="126"/>
      <c r="I983" s="126"/>
      <c r="J983" s="126"/>
      <c r="K983" s="126"/>
    </row>
    <row r="984" spans="1:11">
      <c r="A984" s="126"/>
      <c r="B984" s="126"/>
      <c r="C984" s="159" t="s">
        <v>124</v>
      </c>
      <c r="D984" s="160"/>
      <c r="E984" s="156"/>
      <c r="F984" s="126"/>
      <c r="G984" s="126"/>
      <c r="H984" s="126"/>
      <c r="I984" s="126"/>
      <c r="J984" s="126"/>
      <c r="K984" s="126"/>
    </row>
    <row r="985" spans="1:11">
      <c r="A985" s="126"/>
      <c r="B985" s="126"/>
      <c r="C985" s="159" t="s">
        <v>33</v>
      </c>
      <c r="D985" s="160">
        <v>1414</v>
      </c>
      <c r="E985" s="156">
        <f t="shared" ref="E985:E990" si="42">D985*$J$949</f>
        <v>327.22363799999999</v>
      </c>
      <c r="F985" s="126"/>
      <c r="G985" s="126"/>
      <c r="H985" s="126"/>
      <c r="I985" s="126"/>
      <c r="J985" s="126"/>
      <c r="K985" s="126"/>
    </row>
    <row r="986" spans="1:11">
      <c r="A986" s="126"/>
      <c r="B986" s="126"/>
      <c r="C986" s="159" t="s">
        <v>123</v>
      </c>
      <c r="D986" s="160">
        <v>4753</v>
      </c>
      <c r="E986" s="156">
        <f t="shared" si="42"/>
        <v>1099.9250010000001</v>
      </c>
      <c r="F986" s="126"/>
      <c r="G986" s="126"/>
      <c r="H986" s="126"/>
      <c r="I986" s="126"/>
      <c r="J986" s="126"/>
      <c r="K986" s="126"/>
    </row>
    <row r="987" spans="1:11">
      <c r="A987" s="126"/>
      <c r="B987" s="126"/>
      <c r="C987" s="159" t="s">
        <v>34</v>
      </c>
      <c r="D987" s="160">
        <v>3165</v>
      </c>
      <c r="E987" s="156">
        <f t="shared" si="42"/>
        <v>732.43480499999998</v>
      </c>
      <c r="F987" s="126"/>
      <c r="G987" s="126"/>
      <c r="H987" s="126"/>
      <c r="I987" s="126"/>
      <c r="J987" s="126"/>
      <c r="K987" s="126"/>
    </row>
    <row r="988" spans="1:11">
      <c r="A988" s="126"/>
      <c r="B988" s="126"/>
      <c r="C988" s="159" t="s">
        <v>35</v>
      </c>
      <c r="D988" s="160">
        <v>925</v>
      </c>
      <c r="E988" s="156">
        <f t="shared" si="42"/>
        <v>214.06072500000002</v>
      </c>
      <c r="F988" s="126"/>
      <c r="G988" s="126"/>
      <c r="K988" s="126"/>
    </row>
    <row r="989" spans="1:11">
      <c r="A989" s="126"/>
      <c r="B989" s="126"/>
      <c r="C989" s="159" t="s">
        <v>106</v>
      </c>
      <c r="D989" s="160">
        <v>338</v>
      </c>
      <c r="E989" s="156">
        <f t="shared" si="42"/>
        <v>78.218946000000003</v>
      </c>
      <c r="F989" s="126"/>
      <c r="G989" s="126"/>
      <c r="K989" s="126"/>
    </row>
    <row r="990" spans="1:11" ht="15.75" thickBot="1">
      <c r="A990" s="126"/>
      <c r="B990" s="126"/>
      <c r="C990" s="159" t="s">
        <v>125</v>
      </c>
      <c r="D990" s="160">
        <v>113</v>
      </c>
      <c r="E990" s="156">
        <f t="shared" si="42"/>
        <v>26.150121000000002</v>
      </c>
      <c r="F990" s="126"/>
      <c r="G990" s="126"/>
      <c r="K990" s="126"/>
    </row>
    <row r="991" spans="1:11" ht="15.75" thickBot="1">
      <c r="A991" s="126"/>
      <c r="B991" s="126"/>
      <c r="C991" s="161" t="s">
        <v>39</v>
      </c>
      <c r="D991" s="162">
        <f>SUM(D982:D990)</f>
        <v>17914</v>
      </c>
      <c r="E991" s="163">
        <f>SUM(E982:E990)</f>
        <v>4145.6041379999997</v>
      </c>
      <c r="F991" s="126"/>
      <c r="G991" s="126"/>
      <c r="K991" s="126"/>
    </row>
    <row r="993" spans="3:4">
      <c r="C993" s="151" t="s">
        <v>24</v>
      </c>
      <c r="D993" s="152">
        <f>+D991-D959-D960-D963-D964</f>
        <v>-9.9999999983992893E-3</v>
      </c>
    </row>
  </sheetData>
  <pageMargins left="0.7" right="0.7" top="0.75" bottom="0.75" header="0.3" footer="0.3"/>
  <pageSetup orientation="portrait" horizontalDpi="90" verticalDpi="90" r:id="rId1"/>
  <headerFooter>
    <oddFooter>&amp;C_x000D_&amp;1#&amp;"Calibri"&amp;10&amp;K000000 Barings-Corporate</oddFooter>
  </headerFooter>
  <ignoredErrors>
    <ignoredError sqref="J908" formulaRange="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C289"/>
  <sheetViews>
    <sheetView showGridLines="0" zoomScale="85" zoomScaleNormal="85" workbookViewId="0">
      <pane xSplit="2" ySplit="6" topLeftCell="M7" activePane="bottomRight" state="frozen"/>
      <selection pane="bottomRight" activeCell="BN1" sqref="BN1"/>
      <selection pane="bottomLeft" activeCell="O242" sqref="O242"/>
      <selection pane="topRight" activeCell="O242" sqref="O242"/>
    </sheetView>
  </sheetViews>
  <sheetFormatPr defaultColWidth="11.42578125" defaultRowHeight="15" outlineLevelRow="1" outlineLevelCol="1"/>
  <cols>
    <col min="1" max="1" width="2.7109375" style="10" customWidth="1"/>
    <col min="2" max="2" width="52.7109375" style="10" customWidth="1"/>
    <col min="3" max="12" width="12.7109375" style="10" hidden="1" customWidth="1" outlineLevel="1"/>
    <col min="13" max="13" width="12.7109375" style="10" customWidth="1" collapsed="1"/>
    <col min="14" max="18" width="12.7109375" style="10" customWidth="1"/>
    <col min="19" max="19" width="12.7109375" customWidth="1"/>
    <col min="20" max="43" width="12.7109375" style="10" hidden="1" customWidth="1" outlineLevel="1"/>
    <col min="44" max="44" width="12.7109375" style="10" hidden="1" customWidth="1" outlineLevel="1" collapsed="1"/>
    <col min="45" max="60" width="12.7109375" style="10" hidden="1" customWidth="1" outlineLevel="1"/>
    <col min="61" max="61" width="12.7109375" style="10" customWidth="1" collapsed="1"/>
    <col min="62" max="67" width="12.7109375" style="10" customWidth="1"/>
    <col min="68" max="70" width="12.7109375" style="10" customWidth="1" collapsed="1"/>
    <col min="71" max="71" width="12.7109375" style="10" customWidth="1"/>
    <col min="72" max="72" width="12.7109375" style="10" customWidth="1" collapsed="1"/>
    <col min="73" max="73" width="12.7109375" style="10" customWidth="1"/>
    <col min="74" max="75" width="12.7109375" style="10" customWidth="1" collapsed="1"/>
    <col min="76" max="76" width="12.7109375" style="10" customWidth="1"/>
    <col min="77" max="78" width="12.7109375" style="10" customWidth="1" collapsed="1"/>
    <col min="79" max="85" width="12.7109375" style="10" customWidth="1"/>
    <col min="86" max="288" width="11.42578125" style="10"/>
    <col min="289" max="289" width="3.85546875" style="10" customWidth="1"/>
    <col min="290" max="290" width="35" style="10" customWidth="1"/>
    <col min="291" max="297" width="11.5703125" style="10" customWidth="1"/>
    <col min="298" max="305" width="0" style="10" hidden="1" customWidth="1"/>
    <col min="306" max="315" width="11.5703125" style="10" customWidth="1"/>
    <col min="316" max="544" width="11.42578125" style="10"/>
    <col min="545" max="545" width="3.85546875" style="10" customWidth="1"/>
    <col min="546" max="546" width="35" style="10" customWidth="1"/>
    <col min="547" max="553" width="11.5703125" style="10" customWidth="1"/>
    <col min="554" max="561" width="0" style="10" hidden="1" customWidth="1"/>
    <col min="562" max="571" width="11.5703125" style="10" customWidth="1"/>
    <col min="572" max="800" width="11.42578125" style="10"/>
    <col min="801" max="801" width="3.85546875" style="10" customWidth="1"/>
    <col min="802" max="802" width="35" style="10" customWidth="1"/>
    <col min="803" max="809" width="11.5703125" style="10" customWidth="1"/>
    <col min="810" max="817" width="0" style="10" hidden="1" customWidth="1"/>
    <col min="818" max="827" width="11.5703125" style="10" customWidth="1"/>
    <col min="828" max="1056" width="11.42578125" style="10"/>
    <col min="1057" max="1057" width="3.85546875" style="10" customWidth="1"/>
    <col min="1058" max="1058" width="35" style="10" customWidth="1"/>
    <col min="1059" max="1065" width="11.5703125" style="10" customWidth="1"/>
    <col min="1066" max="1073" width="0" style="10" hidden="1" customWidth="1"/>
    <col min="1074" max="1083" width="11.5703125" style="10" customWidth="1"/>
    <col min="1084" max="1312" width="11.42578125" style="10"/>
    <col min="1313" max="1313" width="3.85546875" style="10" customWidth="1"/>
    <col min="1314" max="1314" width="35" style="10" customWidth="1"/>
    <col min="1315" max="1321" width="11.5703125" style="10" customWidth="1"/>
    <col min="1322" max="1329" width="0" style="10" hidden="1" customWidth="1"/>
    <col min="1330" max="1339" width="11.5703125" style="10" customWidth="1"/>
    <col min="1340" max="1568" width="11.42578125" style="10"/>
    <col min="1569" max="1569" width="3.85546875" style="10" customWidth="1"/>
    <col min="1570" max="1570" width="35" style="10" customWidth="1"/>
    <col min="1571" max="1577" width="11.5703125" style="10" customWidth="1"/>
    <col min="1578" max="1585" width="0" style="10" hidden="1" customWidth="1"/>
    <col min="1586" max="1595" width="11.5703125" style="10" customWidth="1"/>
    <col min="1596" max="1824" width="11.42578125" style="10"/>
    <col min="1825" max="1825" width="3.85546875" style="10" customWidth="1"/>
    <col min="1826" max="1826" width="35" style="10" customWidth="1"/>
    <col min="1827" max="1833" width="11.5703125" style="10" customWidth="1"/>
    <col min="1834" max="1841" width="0" style="10" hidden="1" customWidth="1"/>
    <col min="1842" max="1851" width="11.5703125" style="10" customWidth="1"/>
    <col min="1852" max="2080" width="11.42578125" style="10"/>
    <col min="2081" max="2081" width="3.85546875" style="10" customWidth="1"/>
    <col min="2082" max="2082" width="35" style="10" customWidth="1"/>
    <col min="2083" max="2089" width="11.5703125" style="10" customWidth="1"/>
    <col min="2090" max="2097" width="0" style="10" hidden="1" customWidth="1"/>
    <col min="2098" max="2107" width="11.5703125" style="10" customWidth="1"/>
    <col min="2108" max="2336" width="11.42578125" style="10"/>
    <col min="2337" max="2337" width="3.85546875" style="10" customWidth="1"/>
    <col min="2338" max="2338" width="35" style="10" customWidth="1"/>
    <col min="2339" max="2345" width="11.5703125" style="10" customWidth="1"/>
    <col min="2346" max="2353" width="0" style="10" hidden="1" customWidth="1"/>
    <col min="2354" max="2363" width="11.5703125" style="10" customWidth="1"/>
    <col min="2364" max="2592" width="11.42578125" style="10"/>
    <col min="2593" max="2593" width="3.85546875" style="10" customWidth="1"/>
    <col min="2594" max="2594" width="35" style="10" customWidth="1"/>
    <col min="2595" max="2601" width="11.5703125" style="10" customWidth="1"/>
    <col min="2602" max="2609" width="0" style="10" hidden="1" customWidth="1"/>
    <col min="2610" max="2619" width="11.5703125" style="10" customWidth="1"/>
    <col min="2620" max="2848" width="11.42578125" style="10"/>
    <col min="2849" max="2849" width="3.85546875" style="10" customWidth="1"/>
    <col min="2850" max="2850" width="35" style="10" customWidth="1"/>
    <col min="2851" max="2857" width="11.5703125" style="10" customWidth="1"/>
    <col min="2858" max="2865" width="0" style="10" hidden="1" customWidth="1"/>
    <col min="2866" max="2875" width="11.5703125" style="10" customWidth="1"/>
    <col min="2876" max="3104" width="11.42578125" style="10"/>
    <col min="3105" max="3105" width="3.85546875" style="10" customWidth="1"/>
    <col min="3106" max="3106" width="35" style="10" customWidth="1"/>
    <col min="3107" max="3113" width="11.5703125" style="10" customWidth="1"/>
    <col min="3114" max="3121" width="0" style="10" hidden="1" customWidth="1"/>
    <col min="3122" max="3131" width="11.5703125" style="10" customWidth="1"/>
    <col min="3132" max="3360" width="11.42578125" style="10"/>
    <col min="3361" max="3361" width="3.85546875" style="10" customWidth="1"/>
    <col min="3362" max="3362" width="35" style="10" customWidth="1"/>
    <col min="3363" max="3369" width="11.5703125" style="10" customWidth="1"/>
    <col min="3370" max="3377" width="0" style="10" hidden="1" customWidth="1"/>
    <col min="3378" max="3387" width="11.5703125" style="10" customWidth="1"/>
    <col min="3388" max="3616" width="11.42578125" style="10"/>
    <col min="3617" max="3617" width="3.85546875" style="10" customWidth="1"/>
    <col min="3618" max="3618" width="35" style="10" customWidth="1"/>
    <col min="3619" max="3625" width="11.5703125" style="10" customWidth="1"/>
    <col min="3626" max="3633" width="0" style="10" hidden="1" customWidth="1"/>
    <col min="3634" max="3643" width="11.5703125" style="10" customWidth="1"/>
    <col min="3644" max="3872" width="11.42578125" style="10"/>
    <col min="3873" max="3873" width="3.85546875" style="10" customWidth="1"/>
    <col min="3874" max="3874" width="35" style="10" customWidth="1"/>
    <col min="3875" max="3881" width="11.5703125" style="10" customWidth="1"/>
    <col min="3882" max="3889" width="0" style="10" hidden="1" customWidth="1"/>
    <col min="3890" max="3899" width="11.5703125" style="10" customWidth="1"/>
    <col min="3900" max="4128" width="11.42578125" style="10"/>
    <col min="4129" max="4129" width="3.85546875" style="10" customWidth="1"/>
    <col min="4130" max="4130" width="35" style="10" customWidth="1"/>
    <col min="4131" max="4137" width="11.5703125" style="10" customWidth="1"/>
    <col min="4138" max="4145" width="0" style="10" hidden="1" customWidth="1"/>
    <col min="4146" max="4155" width="11.5703125" style="10" customWidth="1"/>
    <col min="4156" max="4384" width="11.42578125" style="10"/>
    <col min="4385" max="4385" width="3.85546875" style="10" customWidth="1"/>
    <col min="4386" max="4386" width="35" style="10" customWidth="1"/>
    <col min="4387" max="4393" width="11.5703125" style="10" customWidth="1"/>
    <col min="4394" max="4401" width="0" style="10" hidden="1" customWidth="1"/>
    <col min="4402" max="4411" width="11.5703125" style="10" customWidth="1"/>
    <col min="4412" max="4640" width="11.42578125" style="10"/>
    <col min="4641" max="4641" width="3.85546875" style="10" customWidth="1"/>
    <col min="4642" max="4642" width="35" style="10" customWidth="1"/>
    <col min="4643" max="4649" width="11.5703125" style="10" customWidth="1"/>
    <col min="4650" max="4657" width="0" style="10" hidden="1" customWidth="1"/>
    <col min="4658" max="4667" width="11.5703125" style="10" customWidth="1"/>
    <col min="4668" max="4896" width="11.42578125" style="10"/>
    <col min="4897" max="4897" width="3.85546875" style="10" customWidth="1"/>
    <col min="4898" max="4898" width="35" style="10" customWidth="1"/>
    <col min="4899" max="4905" width="11.5703125" style="10" customWidth="1"/>
    <col min="4906" max="4913" width="0" style="10" hidden="1" customWidth="1"/>
    <col min="4914" max="4923" width="11.5703125" style="10" customWidth="1"/>
    <col min="4924" max="5152" width="11.42578125" style="10"/>
    <col min="5153" max="5153" width="3.85546875" style="10" customWidth="1"/>
    <col min="5154" max="5154" width="35" style="10" customWidth="1"/>
    <col min="5155" max="5161" width="11.5703125" style="10" customWidth="1"/>
    <col min="5162" max="5169" width="0" style="10" hidden="1" customWidth="1"/>
    <col min="5170" max="5179" width="11.5703125" style="10" customWidth="1"/>
    <col min="5180" max="5408" width="11.42578125" style="10"/>
    <col min="5409" max="5409" width="3.85546875" style="10" customWidth="1"/>
    <col min="5410" max="5410" width="35" style="10" customWidth="1"/>
    <col min="5411" max="5417" width="11.5703125" style="10" customWidth="1"/>
    <col min="5418" max="5425" width="0" style="10" hidden="1" customWidth="1"/>
    <col min="5426" max="5435" width="11.5703125" style="10" customWidth="1"/>
    <col min="5436" max="5664" width="11.42578125" style="10"/>
    <col min="5665" max="5665" width="3.85546875" style="10" customWidth="1"/>
    <col min="5666" max="5666" width="35" style="10" customWidth="1"/>
    <col min="5667" max="5673" width="11.5703125" style="10" customWidth="1"/>
    <col min="5674" max="5681" width="0" style="10" hidden="1" customWidth="1"/>
    <col min="5682" max="5691" width="11.5703125" style="10" customWidth="1"/>
    <col min="5692" max="5920" width="11.42578125" style="10"/>
    <col min="5921" max="5921" width="3.85546875" style="10" customWidth="1"/>
    <col min="5922" max="5922" width="35" style="10" customWidth="1"/>
    <col min="5923" max="5929" width="11.5703125" style="10" customWidth="1"/>
    <col min="5930" max="5937" width="0" style="10" hidden="1" customWidth="1"/>
    <col min="5938" max="5947" width="11.5703125" style="10" customWidth="1"/>
    <col min="5948" max="6176" width="11.42578125" style="10"/>
    <col min="6177" max="6177" width="3.85546875" style="10" customWidth="1"/>
    <col min="6178" max="6178" width="35" style="10" customWidth="1"/>
    <col min="6179" max="6185" width="11.5703125" style="10" customWidth="1"/>
    <col min="6186" max="6193" width="0" style="10" hidden="1" customWidth="1"/>
    <col min="6194" max="6203" width="11.5703125" style="10" customWidth="1"/>
    <col min="6204" max="6432" width="11.42578125" style="10"/>
    <col min="6433" max="6433" width="3.85546875" style="10" customWidth="1"/>
    <col min="6434" max="6434" width="35" style="10" customWidth="1"/>
    <col min="6435" max="6441" width="11.5703125" style="10" customWidth="1"/>
    <col min="6442" max="6449" width="0" style="10" hidden="1" customWidth="1"/>
    <col min="6450" max="6459" width="11.5703125" style="10" customWidth="1"/>
    <col min="6460" max="6688" width="11.42578125" style="10"/>
    <col min="6689" max="6689" width="3.85546875" style="10" customWidth="1"/>
    <col min="6690" max="6690" width="35" style="10" customWidth="1"/>
    <col min="6691" max="6697" width="11.5703125" style="10" customWidth="1"/>
    <col min="6698" max="6705" width="0" style="10" hidden="1" customWidth="1"/>
    <col min="6706" max="6715" width="11.5703125" style="10" customWidth="1"/>
    <col min="6716" max="6944" width="11.42578125" style="10"/>
    <col min="6945" max="6945" width="3.85546875" style="10" customWidth="1"/>
    <col min="6946" max="6946" width="35" style="10" customWidth="1"/>
    <col min="6947" max="6953" width="11.5703125" style="10" customWidth="1"/>
    <col min="6954" max="6961" width="0" style="10" hidden="1" customWidth="1"/>
    <col min="6962" max="6971" width="11.5703125" style="10" customWidth="1"/>
    <col min="6972" max="7200" width="11.42578125" style="10"/>
    <col min="7201" max="7201" width="3.85546875" style="10" customWidth="1"/>
    <col min="7202" max="7202" width="35" style="10" customWidth="1"/>
    <col min="7203" max="7209" width="11.5703125" style="10" customWidth="1"/>
    <col min="7210" max="7217" width="0" style="10" hidden="1" customWidth="1"/>
    <col min="7218" max="7227" width="11.5703125" style="10" customWidth="1"/>
    <col min="7228" max="7456" width="11.42578125" style="10"/>
    <col min="7457" max="7457" width="3.85546875" style="10" customWidth="1"/>
    <col min="7458" max="7458" width="35" style="10" customWidth="1"/>
    <col min="7459" max="7465" width="11.5703125" style="10" customWidth="1"/>
    <col min="7466" max="7473" width="0" style="10" hidden="1" customWidth="1"/>
    <col min="7474" max="7483" width="11.5703125" style="10" customWidth="1"/>
    <col min="7484" max="7712" width="11.42578125" style="10"/>
    <col min="7713" max="7713" width="3.85546875" style="10" customWidth="1"/>
    <col min="7714" max="7714" width="35" style="10" customWidth="1"/>
    <col min="7715" max="7721" width="11.5703125" style="10" customWidth="1"/>
    <col min="7722" max="7729" width="0" style="10" hidden="1" customWidth="1"/>
    <col min="7730" max="7739" width="11.5703125" style="10" customWidth="1"/>
    <col min="7740" max="7968" width="11.42578125" style="10"/>
    <col min="7969" max="7969" width="3.85546875" style="10" customWidth="1"/>
    <col min="7970" max="7970" width="35" style="10" customWidth="1"/>
    <col min="7971" max="7977" width="11.5703125" style="10" customWidth="1"/>
    <col min="7978" max="7985" width="0" style="10" hidden="1" customWidth="1"/>
    <col min="7986" max="7995" width="11.5703125" style="10" customWidth="1"/>
    <col min="7996" max="8224" width="11.42578125" style="10"/>
    <col min="8225" max="8225" width="3.85546875" style="10" customWidth="1"/>
    <col min="8226" max="8226" width="35" style="10" customWidth="1"/>
    <col min="8227" max="8233" width="11.5703125" style="10" customWidth="1"/>
    <col min="8234" max="8241" width="0" style="10" hidden="1" customWidth="1"/>
    <col min="8242" max="8251" width="11.5703125" style="10" customWidth="1"/>
    <col min="8252" max="8480" width="11.42578125" style="10"/>
    <col min="8481" max="8481" width="3.85546875" style="10" customWidth="1"/>
    <col min="8482" max="8482" width="35" style="10" customWidth="1"/>
    <col min="8483" max="8489" width="11.5703125" style="10" customWidth="1"/>
    <col min="8490" max="8497" width="0" style="10" hidden="1" customWidth="1"/>
    <col min="8498" max="8507" width="11.5703125" style="10" customWidth="1"/>
    <col min="8508" max="8736" width="11.42578125" style="10"/>
    <col min="8737" max="8737" width="3.85546875" style="10" customWidth="1"/>
    <col min="8738" max="8738" width="35" style="10" customWidth="1"/>
    <col min="8739" max="8745" width="11.5703125" style="10" customWidth="1"/>
    <col min="8746" max="8753" width="0" style="10" hidden="1" customWidth="1"/>
    <col min="8754" max="8763" width="11.5703125" style="10" customWidth="1"/>
    <col min="8764" max="8992" width="11.42578125" style="10"/>
    <col min="8993" max="8993" width="3.85546875" style="10" customWidth="1"/>
    <col min="8994" max="8994" width="35" style="10" customWidth="1"/>
    <col min="8995" max="9001" width="11.5703125" style="10" customWidth="1"/>
    <col min="9002" max="9009" width="0" style="10" hidden="1" customWidth="1"/>
    <col min="9010" max="9019" width="11.5703125" style="10" customWidth="1"/>
    <col min="9020" max="9248" width="11.42578125" style="10"/>
    <col min="9249" max="9249" width="3.85546875" style="10" customWidth="1"/>
    <col min="9250" max="9250" width="35" style="10" customWidth="1"/>
    <col min="9251" max="9257" width="11.5703125" style="10" customWidth="1"/>
    <col min="9258" max="9265" width="0" style="10" hidden="1" customWidth="1"/>
    <col min="9266" max="9275" width="11.5703125" style="10" customWidth="1"/>
    <col min="9276" max="9504" width="11.42578125" style="10"/>
    <col min="9505" max="9505" width="3.85546875" style="10" customWidth="1"/>
    <col min="9506" max="9506" width="35" style="10" customWidth="1"/>
    <col min="9507" max="9513" width="11.5703125" style="10" customWidth="1"/>
    <col min="9514" max="9521" width="0" style="10" hidden="1" customWidth="1"/>
    <col min="9522" max="9531" width="11.5703125" style="10" customWidth="1"/>
    <col min="9532" max="9760" width="11.42578125" style="10"/>
    <col min="9761" max="9761" width="3.85546875" style="10" customWidth="1"/>
    <col min="9762" max="9762" width="35" style="10" customWidth="1"/>
    <col min="9763" max="9769" width="11.5703125" style="10" customWidth="1"/>
    <col min="9770" max="9777" width="0" style="10" hidden="1" customWidth="1"/>
    <col min="9778" max="9787" width="11.5703125" style="10" customWidth="1"/>
    <col min="9788" max="10016" width="11.42578125" style="10"/>
    <col min="10017" max="10017" width="3.85546875" style="10" customWidth="1"/>
    <col min="10018" max="10018" width="35" style="10" customWidth="1"/>
    <col min="10019" max="10025" width="11.5703125" style="10" customWidth="1"/>
    <col min="10026" max="10033" width="0" style="10" hidden="1" customWidth="1"/>
    <col min="10034" max="10043" width="11.5703125" style="10" customWidth="1"/>
    <col min="10044" max="10272" width="11.42578125" style="10"/>
    <col min="10273" max="10273" width="3.85546875" style="10" customWidth="1"/>
    <col min="10274" max="10274" width="35" style="10" customWidth="1"/>
    <col min="10275" max="10281" width="11.5703125" style="10" customWidth="1"/>
    <col min="10282" max="10289" width="0" style="10" hidden="1" customWidth="1"/>
    <col min="10290" max="10299" width="11.5703125" style="10" customWidth="1"/>
    <col min="10300" max="10528" width="11.42578125" style="10"/>
    <col min="10529" max="10529" width="3.85546875" style="10" customWidth="1"/>
    <col min="10530" max="10530" width="35" style="10" customWidth="1"/>
    <col min="10531" max="10537" width="11.5703125" style="10" customWidth="1"/>
    <col min="10538" max="10545" width="0" style="10" hidden="1" customWidth="1"/>
    <col min="10546" max="10555" width="11.5703125" style="10" customWidth="1"/>
    <col min="10556" max="10784" width="11.42578125" style="10"/>
    <col min="10785" max="10785" width="3.85546875" style="10" customWidth="1"/>
    <col min="10786" max="10786" width="35" style="10" customWidth="1"/>
    <col min="10787" max="10793" width="11.5703125" style="10" customWidth="1"/>
    <col min="10794" max="10801" width="0" style="10" hidden="1" customWidth="1"/>
    <col min="10802" max="10811" width="11.5703125" style="10" customWidth="1"/>
    <col min="10812" max="11040" width="11.42578125" style="10"/>
    <col min="11041" max="11041" width="3.85546875" style="10" customWidth="1"/>
    <col min="11042" max="11042" width="35" style="10" customWidth="1"/>
    <col min="11043" max="11049" width="11.5703125" style="10" customWidth="1"/>
    <col min="11050" max="11057" width="0" style="10" hidden="1" customWidth="1"/>
    <col min="11058" max="11067" width="11.5703125" style="10" customWidth="1"/>
    <col min="11068" max="11296" width="11.42578125" style="10"/>
    <col min="11297" max="11297" width="3.85546875" style="10" customWidth="1"/>
    <col min="11298" max="11298" width="35" style="10" customWidth="1"/>
    <col min="11299" max="11305" width="11.5703125" style="10" customWidth="1"/>
    <col min="11306" max="11313" width="0" style="10" hidden="1" customWidth="1"/>
    <col min="11314" max="11323" width="11.5703125" style="10" customWidth="1"/>
    <col min="11324" max="11552" width="11.42578125" style="10"/>
    <col min="11553" max="11553" width="3.85546875" style="10" customWidth="1"/>
    <col min="11554" max="11554" width="35" style="10" customWidth="1"/>
    <col min="11555" max="11561" width="11.5703125" style="10" customWidth="1"/>
    <col min="11562" max="11569" width="0" style="10" hidden="1" customWidth="1"/>
    <col min="11570" max="11579" width="11.5703125" style="10" customWidth="1"/>
    <col min="11580" max="11808" width="11.42578125" style="10"/>
    <col min="11809" max="11809" width="3.85546875" style="10" customWidth="1"/>
    <col min="11810" max="11810" width="35" style="10" customWidth="1"/>
    <col min="11811" max="11817" width="11.5703125" style="10" customWidth="1"/>
    <col min="11818" max="11825" width="0" style="10" hidden="1" customWidth="1"/>
    <col min="11826" max="11835" width="11.5703125" style="10" customWidth="1"/>
    <col min="11836" max="12064" width="11.42578125" style="10"/>
    <col min="12065" max="12065" width="3.85546875" style="10" customWidth="1"/>
    <col min="12066" max="12066" width="35" style="10" customWidth="1"/>
    <col min="12067" max="12073" width="11.5703125" style="10" customWidth="1"/>
    <col min="12074" max="12081" width="0" style="10" hidden="1" customWidth="1"/>
    <col min="12082" max="12091" width="11.5703125" style="10" customWidth="1"/>
    <col min="12092" max="12320" width="11.42578125" style="10"/>
    <col min="12321" max="12321" width="3.85546875" style="10" customWidth="1"/>
    <col min="12322" max="12322" width="35" style="10" customWidth="1"/>
    <col min="12323" max="12329" width="11.5703125" style="10" customWidth="1"/>
    <col min="12330" max="12337" width="0" style="10" hidden="1" customWidth="1"/>
    <col min="12338" max="12347" width="11.5703125" style="10" customWidth="1"/>
    <col min="12348" max="12576" width="11.42578125" style="10"/>
    <col min="12577" max="12577" width="3.85546875" style="10" customWidth="1"/>
    <col min="12578" max="12578" width="35" style="10" customWidth="1"/>
    <col min="12579" max="12585" width="11.5703125" style="10" customWidth="1"/>
    <col min="12586" max="12593" width="0" style="10" hidden="1" customWidth="1"/>
    <col min="12594" max="12603" width="11.5703125" style="10" customWidth="1"/>
    <col min="12604" max="12832" width="11.42578125" style="10"/>
    <col min="12833" max="12833" width="3.85546875" style="10" customWidth="1"/>
    <col min="12834" max="12834" width="35" style="10" customWidth="1"/>
    <col min="12835" max="12841" width="11.5703125" style="10" customWidth="1"/>
    <col min="12842" max="12849" width="0" style="10" hidden="1" customWidth="1"/>
    <col min="12850" max="12859" width="11.5703125" style="10" customWidth="1"/>
    <col min="12860" max="13088" width="11.42578125" style="10"/>
    <col min="13089" max="13089" width="3.85546875" style="10" customWidth="1"/>
    <col min="13090" max="13090" width="35" style="10" customWidth="1"/>
    <col min="13091" max="13097" width="11.5703125" style="10" customWidth="1"/>
    <col min="13098" max="13105" width="0" style="10" hidden="1" customWidth="1"/>
    <col min="13106" max="13115" width="11.5703125" style="10" customWidth="1"/>
    <col min="13116" max="13344" width="11.42578125" style="10"/>
    <col min="13345" max="13345" width="3.85546875" style="10" customWidth="1"/>
    <col min="13346" max="13346" width="35" style="10" customWidth="1"/>
    <col min="13347" max="13353" width="11.5703125" style="10" customWidth="1"/>
    <col min="13354" max="13361" width="0" style="10" hidden="1" customWidth="1"/>
    <col min="13362" max="13371" width="11.5703125" style="10" customWidth="1"/>
    <col min="13372" max="13600" width="11.42578125" style="10"/>
    <col min="13601" max="13601" width="3.85546875" style="10" customWidth="1"/>
    <col min="13602" max="13602" width="35" style="10" customWidth="1"/>
    <col min="13603" max="13609" width="11.5703125" style="10" customWidth="1"/>
    <col min="13610" max="13617" width="0" style="10" hidden="1" customWidth="1"/>
    <col min="13618" max="13627" width="11.5703125" style="10" customWidth="1"/>
    <col min="13628" max="13856" width="11.42578125" style="10"/>
    <col min="13857" max="13857" width="3.85546875" style="10" customWidth="1"/>
    <col min="13858" max="13858" width="35" style="10" customWidth="1"/>
    <col min="13859" max="13865" width="11.5703125" style="10" customWidth="1"/>
    <col min="13866" max="13873" width="0" style="10" hidden="1" customWidth="1"/>
    <col min="13874" max="13883" width="11.5703125" style="10" customWidth="1"/>
    <col min="13884" max="14112" width="11.42578125" style="10"/>
    <col min="14113" max="14113" width="3.85546875" style="10" customWidth="1"/>
    <col min="14114" max="14114" width="35" style="10" customWidth="1"/>
    <col min="14115" max="14121" width="11.5703125" style="10" customWidth="1"/>
    <col min="14122" max="14129" width="0" style="10" hidden="1" customWidth="1"/>
    <col min="14130" max="14139" width="11.5703125" style="10" customWidth="1"/>
    <col min="14140" max="14368" width="11.42578125" style="10"/>
    <col min="14369" max="14369" width="3.85546875" style="10" customWidth="1"/>
    <col min="14370" max="14370" width="35" style="10" customWidth="1"/>
    <col min="14371" max="14377" width="11.5703125" style="10" customWidth="1"/>
    <col min="14378" max="14385" width="0" style="10" hidden="1" customWidth="1"/>
    <col min="14386" max="14395" width="11.5703125" style="10" customWidth="1"/>
    <col min="14396" max="14624" width="11.42578125" style="10"/>
    <col min="14625" max="14625" width="3.85546875" style="10" customWidth="1"/>
    <col min="14626" max="14626" width="35" style="10" customWidth="1"/>
    <col min="14627" max="14633" width="11.5703125" style="10" customWidth="1"/>
    <col min="14634" max="14641" width="0" style="10" hidden="1" customWidth="1"/>
    <col min="14642" max="14651" width="11.5703125" style="10" customWidth="1"/>
    <col min="14652" max="14880" width="11.42578125" style="10"/>
    <col min="14881" max="14881" width="3.85546875" style="10" customWidth="1"/>
    <col min="14882" max="14882" width="35" style="10" customWidth="1"/>
    <col min="14883" max="14889" width="11.5703125" style="10" customWidth="1"/>
    <col min="14890" max="14897" width="0" style="10" hidden="1" customWidth="1"/>
    <col min="14898" max="14907" width="11.5703125" style="10" customWidth="1"/>
    <col min="14908" max="15136" width="11.42578125" style="10"/>
    <col min="15137" max="15137" width="3.85546875" style="10" customWidth="1"/>
    <col min="15138" max="15138" width="35" style="10" customWidth="1"/>
    <col min="15139" max="15145" width="11.5703125" style="10" customWidth="1"/>
    <col min="15146" max="15153" width="0" style="10" hidden="1" customWidth="1"/>
    <col min="15154" max="15163" width="11.5703125" style="10" customWidth="1"/>
    <col min="15164" max="15392" width="11.42578125" style="10"/>
    <col min="15393" max="15393" width="3.85546875" style="10" customWidth="1"/>
    <col min="15394" max="15394" width="35" style="10" customWidth="1"/>
    <col min="15395" max="15401" width="11.5703125" style="10" customWidth="1"/>
    <col min="15402" max="15409" width="0" style="10" hidden="1" customWidth="1"/>
    <col min="15410" max="15419" width="11.5703125" style="10" customWidth="1"/>
    <col min="15420" max="15648" width="11.42578125" style="10"/>
    <col min="15649" max="15649" width="3.85546875" style="10" customWidth="1"/>
    <col min="15650" max="15650" width="35" style="10" customWidth="1"/>
    <col min="15651" max="15657" width="11.5703125" style="10" customWidth="1"/>
    <col min="15658" max="15665" width="0" style="10" hidden="1" customWidth="1"/>
    <col min="15666" max="15675" width="11.5703125" style="10" customWidth="1"/>
    <col min="15676" max="15904" width="11.42578125" style="10"/>
    <col min="15905" max="15905" width="3.85546875" style="10" customWidth="1"/>
    <col min="15906" max="15906" width="35" style="10" customWidth="1"/>
    <col min="15907" max="15913" width="11.5703125" style="10" customWidth="1"/>
    <col min="15914" max="15921" width="0" style="10" hidden="1" customWidth="1"/>
    <col min="15922" max="15931" width="11.5703125" style="10" customWidth="1"/>
    <col min="15932" max="16160" width="11.42578125" style="10"/>
    <col min="16161" max="16161" width="3.85546875" style="10" customWidth="1"/>
    <col min="16162" max="16162" width="35" style="10" customWidth="1"/>
    <col min="16163" max="16169" width="11.5703125" style="10" customWidth="1"/>
    <col min="16170" max="16177" width="0" style="10" hidden="1" customWidth="1"/>
    <col min="16178" max="16187" width="11.5703125" style="10" customWidth="1"/>
    <col min="16188" max="16384" width="11.42578125" style="10"/>
  </cols>
  <sheetData>
    <row r="2" spans="2:81" s="1" customFormat="1" ht="24.75" customHeight="1">
      <c r="B2" s="2" t="s">
        <v>213</v>
      </c>
      <c r="C2" s="3" t="s">
        <v>214</v>
      </c>
      <c r="D2" s="3" t="s">
        <v>214</v>
      </c>
      <c r="E2" s="3" t="s">
        <v>214</v>
      </c>
      <c r="F2" s="176" t="s">
        <v>214</v>
      </c>
      <c r="G2" s="176" t="s">
        <v>214</v>
      </c>
      <c r="H2" s="176" t="s">
        <v>214</v>
      </c>
      <c r="I2" s="176" t="s">
        <v>214</v>
      </c>
      <c r="J2" s="176" t="s">
        <v>214</v>
      </c>
      <c r="K2" s="176" t="s">
        <v>214</v>
      </c>
      <c r="L2" s="176" t="s">
        <v>214</v>
      </c>
      <c r="M2" s="176" t="s">
        <v>214</v>
      </c>
      <c r="N2" s="176" t="s">
        <v>214</v>
      </c>
      <c r="O2" s="176" t="s">
        <v>214</v>
      </c>
      <c r="P2" s="176" t="s">
        <v>214</v>
      </c>
      <c r="Q2" s="176" t="s">
        <v>214</v>
      </c>
      <c r="R2" s="176" t="s">
        <v>215</v>
      </c>
      <c r="S2"/>
      <c r="T2" s="3" t="s">
        <v>216</v>
      </c>
      <c r="U2" s="3" t="s">
        <v>216</v>
      </c>
      <c r="V2" s="3" t="s">
        <v>216</v>
      </c>
      <c r="W2" s="3" t="s">
        <v>216</v>
      </c>
      <c r="X2" s="3" t="s">
        <v>216</v>
      </c>
      <c r="Y2" s="3" t="s">
        <v>216</v>
      </c>
      <c r="Z2" s="3" t="s">
        <v>216</v>
      </c>
      <c r="AA2" s="3" t="s">
        <v>216</v>
      </c>
      <c r="AB2" s="3" t="s">
        <v>216</v>
      </c>
      <c r="AC2" s="3" t="s">
        <v>216</v>
      </c>
      <c r="AD2" s="3" t="s">
        <v>216</v>
      </c>
      <c r="AE2" s="3" t="s">
        <v>216</v>
      </c>
      <c r="AF2" s="3" t="s">
        <v>216</v>
      </c>
      <c r="AG2" s="3" t="s">
        <v>216</v>
      </c>
      <c r="AH2" s="3" t="s">
        <v>216</v>
      </c>
      <c r="AI2" s="3" t="s">
        <v>216</v>
      </c>
      <c r="AJ2" s="3" t="s">
        <v>216</v>
      </c>
      <c r="AK2" s="3" t="s">
        <v>216</v>
      </c>
      <c r="AL2" s="3" t="s">
        <v>216</v>
      </c>
      <c r="AM2" s="3" t="s">
        <v>216</v>
      </c>
      <c r="AN2" s="3" t="s">
        <v>216</v>
      </c>
      <c r="AO2" s="3" t="s">
        <v>216</v>
      </c>
      <c r="AP2" s="3" t="s">
        <v>216</v>
      </c>
      <c r="AQ2" s="3" t="s">
        <v>216</v>
      </c>
      <c r="AR2" s="3" t="s">
        <v>216</v>
      </c>
      <c r="AS2" s="3" t="s">
        <v>216</v>
      </c>
      <c r="AT2" s="3" t="s">
        <v>216</v>
      </c>
      <c r="AU2" s="3" t="s">
        <v>216</v>
      </c>
      <c r="AV2" s="3" t="s">
        <v>216</v>
      </c>
      <c r="AW2" s="3" t="s">
        <v>216</v>
      </c>
      <c r="AX2" s="3" t="s">
        <v>216</v>
      </c>
      <c r="AY2" s="3" t="s">
        <v>216</v>
      </c>
      <c r="AZ2" s="3" t="s">
        <v>216</v>
      </c>
      <c r="BA2" s="3" t="s">
        <v>216</v>
      </c>
      <c r="BB2" s="3" t="s">
        <v>216</v>
      </c>
      <c r="BC2" s="3" t="s">
        <v>216</v>
      </c>
      <c r="BD2" s="3" t="s">
        <v>216</v>
      </c>
      <c r="BE2" s="3" t="s">
        <v>216</v>
      </c>
      <c r="BF2" s="3" t="s">
        <v>216</v>
      </c>
      <c r="BG2" s="176" t="s">
        <v>216</v>
      </c>
      <c r="BH2" s="176" t="s">
        <v>216</v>
      </c>
      <c r="BI2" s="3" t="s">
        <v>216</v>
      </c>
      <c r="BJ2" s="3" t="s">
        <v>216</v>
      </c>
      <c r="BK2" s="176" t="s">
        <v>216</v>
      </c>
      <c r="BL2" s="176" t="s">
        <v>216</v>
      </c>
      <c r="BM2" s="3" t="s">
        <v>216</v>
      </c>
      <c r="BO2" s="176" t="s">
        <v>216</v>
      </c>
      <c r="BP2" s="3" t="s">
        <v>216</v>
      </c>
      <c r="BQ2" s="3" t="s">
        <v>216</v>
      </c>
      <c r="BR2" s="3" t="s">
        <v>216</v>
      </c>
      <c r="BS2" s="176" t="s">
        <v>216</v>
      </c>
      <c r="BT2" s="3" t="s">
        <v>216</v>
      </c>
      <c r="BV2" s="3" t="s">
        <v>217</v>
      </c>
      <c r="BW2" s="3" t="s">
        <v>217</v>
      </c>
      <c r="BY2" s="3" t="s">
        <v>218</v>
      </c>
      <c r="BZ2" s="3" t="s">
        <v>218</v>
      </c>
      <c r="CB2" s="176" t="s">
        <v>216</v>
      </c>
      <c r="CC2" s="176" t="s">
        <v>216</v>
      </c>
    </row>
    <row r="3" spans="2:81" s="1" customFormat="1" ht="13.5" customHeight="1">
      <c r="B3" s="4" t="s">
        <v>219</v>
      </c>
      <c r="C3" s="5">
        <v>42707</v>
      </c>
      <c r="D3" s="5">
        <v>43073</v>
      </c>
      <c r="E3" s="5">
        <v>43438</v>
      </c>
      <c r="F3" s="7">
        <v>43803</v>
      </c>
      <c r="G3" s="7">
        <v>44169</v>
      </c>
      <c r="H3" s="7">
        <v>44561</v>
      </c>
      <c r="I3" s="7">
        <v>44926</v>
      </c>
      <c r="J3" s="7">
        <v>44561</v>
      </c>
      <c r="K3" s="7">
        <v>44926</v>
      </c>
      <c r="L3" s="7">
        <v>44926</v>
      </c>
      <c r="M3" s="7">
        <v>45291</v>
      </c>
      <c r="N3" s="7">
        <v>45291</v>
      </c>
      <c r="O3" s="7">
        <v>45657</v>
      </c>
      <c r="P3" s="7">
        <v>45657</v>
      </c>
      <c r="Q3" s="7">
        <v>46022</v>
      </c>
      <c r="R3" s="7">
        <f>BM3</f>
        <v>46112</v>
      </c>
      <c r="S3"/>
      <c r="T3" s="5">
        <v>43190</v>
      </c>
      <c r="U3" s="5">
        <v>43281</v>
      </c>
      <c r="V3" s="5">
        <v>43373</v>
      </c>
      <c r="W3" s="5">
        <v>43465</v>
      </c>
      <c r="X3" s="5">
        <v>43555</v>
      </c>
      <c r="Y3" s="5">
        <v>43646</v>
      </c>
      <c r="Z3" s="5">
        <v>43738</v>
      </c>
      <c r="AA3" s="5">
        <v>43830</v>
      </c>
      <c r="AB3" s="5">
        <v>43921</v>
      </c>
      <c r="AC3" s="5">
        <v>44012</v>
      </c>
      <c r="AD3" s="5">
        <v>44104</v>
      </c>
      <c r="AE3" s="5">
        <v>44196</v>
      </c>
      <c r="AF3" s="5">
        <v>44286</v>
      </c>
      <c r="AG3" s="5">
        <v>44377</v>
      </c>
      <c r="AH3" s="5">
        <v>44469</v>
      </c>
      <c r="AI3" s="5">
        <v>44561</v>
      </c>
      <c r="AJ3" s="5">
        <v>44286</v>
      </c>
      <c r="AK3" s="5">
        <v>44377</v>
      </c>
      <c r="AL3" s="5">
        <v>44469</v>
      </c>
      <c r="AM3" s="5">
        <v>44561</v>
      </c>
      <c r="AN3" s="5">
        <v>44651</v>
      </c>
      <c r="AO3" s="5">
        <v>44742</v>
      </c>
      <c r="AP3" s="5">
        <v>44834</v>
      </c>
      <c r="AQ3" s="5">
        <v>44926</v>
      </c>
      <c r="AR3" s="5">
        <v>44651</v>
      </c>
      <c r="AS3" s="5">
        <v>44742</v>
      </c>
      <c r="AT3" s="5">
        <v>44834</v>
      </c>
      <c r="AU3" s="5">
        <v>44926</v>
      </c>
      <c r="AV3" s="5">
        <v>44834</v>
      </c>
      <c r="AW3" s="5">
        <v>44926</v>
      </c>
      <c r="AX3" s="5">
        <v>45016</v>
      </c>
      <c r="AY3" s="5">
        <v>45016</v>
      </c>
      <c r="AZ3" s="5">
        <v>45107</v>
      </c>
      <c r="BA3" s="5">
        <v>45107</v>
      </c>
      <c r="BB3" s="5">
        <v>45199</v>
      </c>
      <c r="BC3" s="5">
        <v>45199</v>
      </c>
      <c r="BD3" s="5">
        <v>45291</v>
      </c>
      <c r="BE3" s="5">
        <v>45382</v>
      </c>
      <c r="BF3" s="5">
        <v>45473</v>
      </c>
      <c r="BG3" s="7">
        <v>45565</v>
      </c>
      <c r="BH3" s="7">
        <v>45657</v>
      </c>
      <c r="BI3" s="5">
        <v>45747</v>
      </c>
      <c r="BJ3" s="5">
        <v>45838</v>
      </c>
      <c r="BK3" s="7">
        <v>45930</v>
      </c>
      <c r="BL3" s="7">
        <v>46022</v>
      </c>
      <c r="BM3" s="5">
        <v>46112</v>
      </c>
      <c r="BO3" s="7">
        <v>45291</v>
      </c>
      <c r="BP3" s="5">
        <v>45382</v>
      </c>
      <c r="BQ3" s="5">
        <v>45473</v>
      </c>
      <c r="BR3" s="5">
        <v>45565</v>
      </c>
      <c r="BS3" s="7">
        <v>45657</v>
      </c>
      <c r="BT3" s="5">
        <v>45747</v>
      </c>
      <c r="BV3" s="5">
        <v>45473</v>
      </c>
      <c r="BW3" s="5">
        <v>45838</v>
      </c>
      <c r="BY3" s="5">
        <v>45565</v>
      </c>
      <c r="BZ3" s="5">
        <v>45930</v>
      </c>
      <c r="CB3" s="7">
        <v>45657</v>
      </c>
      <c r="CC3" s="7">
        <v>46022</v>
      </c>
    </row>
    <row r="4" spans="2:81" s="6" customFormat="1" ht="13.5" customHeight="1">
      <c r="B4" s="4"/>
      <c r="C4" s="7" t="s">
        <v>220</v>
      </c>
      <c r="D4" s="7" t="s">
        <v>220</v>
      </c>
      <c r="E4" s="7" t="s">
        <v>220</v>
      </c>
      <c r="F4" s="7" t="s">
        <v>220</v>
      </c>
      <c r="G4" s="7" t="s">
        <v>220</v>
      </c>
      <c r="H4" s="7" t="s">
        <v>220</v>
      </c>
      <c r="I4" s="7" t="s">
        <v>220</v>
      </c>
      <c r="J4" s="7" t="s">
        <v>220</v>
      </c>
      <c r="K4" s="7" t="s">
        <v>220</v>
      </c>
      <c r="L4" s="7" t="s">
        <v>220</v>
      </c>
      <c r="M4" s="7" t="s">
        <v>220</v>
      </c>
      <c r="N4" s="7" t="s">
        <v>220</v>
      </c>
      <c r="O4" s="7" t="s">
        <v>220</v>
      </c>
      <c r="P4" s="7" t="s">
        <v>220</v>
      </c>
      <c r="Q4" s="7" t="s">
        <v>220</v>
      </c>
      <c r="R4" s="7" t="s">
        <v>220</v>
      </c>
      <c r="S4"/>
      <c r="T4" s="7" t="s">
        <v>220</v>
      </c>
      <c r="U4" s="7" t="s">
        <v>220</v>
      </c>
      <c r="V4" s="7" t="s">
        <v>220</v>
      </c>
      <c r="W4" s="7" t="s">
        <v>220</v>
      </c>
      <c r="X4" s="7" t="s">
        <v>220</v>
      </c>
      <c r="Y4" s="7" t="s">
        <v>220</v>
      </c>
      <c r="Z4" s="7" t="s">
        <v>220</v>
      </c>
      <c r="AA4" s="7" t="s">
        <v>220</v>
      </c>
      <c r="AB4" s="7" t="s">
        <v>220</v>
      </c>
      <c r="AC4" s="7" t="s">
        <v>220</v>
      </c>
      <c r="AD4" s="7" t="s">
        <v>220</v>
      </c>
      <c r="AE4" s="7" t="s">
        <v>220</v>
      </c>
      <c r="AF4" s="7" t="s">
        <v>220</v>
      </c>
      <c r="AG4" s="7" t="s">
        <v>220</v>
      </c>
      <c r="AH4" s="7" t="s">
        <v>220</v>
      </c>
      <c r="AI4" s="7" t="s">
        <v>220</v>
      </c>
      <c r="AJ4" s="216" t="s">
        <v>221</v>
      </c>
      <c r="AK4" s="216" t="s">
        <v>221</v>
      </c>
      <c r="AL4" s="216" t="s">
        <v>221</v>
      </c>
      <c r="AM4" s="216" t="s">
        <v>221</v>
      </c>
      <c r="AN4" s="7" t="s">
        <v>220</v>
      </c>
      <c r="AO4" s="7" t="s">
        <v>220</v>
      </c>
      <c r="AP4" s="7" t="s">
        <v>220</v>
      </c>
      <c r="AQ4" s="7" t="s">
        <v>220</v>
      </c>
      <c r="AR4" s="216" t="s">
        <v>222</v>
      </c>
      <c r="AS4" s="216" t="s">
        <v>222</v>
      </c>
      <c r="AT4" s="216" t="s">
        <v>222</v>
      </c>
      <c r="AU4" s="216" t="s">
        <v>222</v>
      </c>
      <c r="AV4" s="216" t="s">
        <v>223</v>
      </c>
      <c r="AW4" s="216" t="s">
        <v>222</v>
      </c>
      <c r="AX4" s="7" t="s">
        <v>220</v>
      </c>
      <c r="AY4" s="216" t="s">
        <v>222</v>
      </c>
      <c r="AZ4" s="7" t="s">
        <v>220</v>
      </c>
      <c r="BA4" s="216" t="s">
        <v>222</v>
      </c>
      <c r="BB4" s="7" t="s">
        <v>220</v>
      </c>
      <c r="BC4" s="216" t="s">
        <v>222</v>
      </c>
      <c r="BD4" s="216"/>
      <c r="BE4" s="7" t="s">
        <v>220</v>
      </c>
      <c r="BF4" s="7" t="s">
        <v>220</v>
      </c>
      <c r="BG4" s="7" t="s">
        <v>220</v>
      </c>
      <c r="BH4" s="7" t="s">
        <v>220</v>
      </c>
      <c r="BI4" s="7" t="s">
        <v>220</v>
      </c>
      <c r="BJ4" s="7" t="s">
        <v>220</v>
      </c>
      <c r="BK4" s="7" t="s">
        <v>220</v>
      </c>
      <c r="BL4" s="7" t="s">
        <v>220</v>
      </c>
      <c r="BM4" s="7" t="s">
        <v>220</v>
      </c>
      <c r="BO4" s="7" t="s">
        <v>220</v>
      </c>
      <c r="BP4" s="7" t="s">
        <v>220</v>
      </c>
      <c r="BQ4" s="7" t="s">
        <v>220</v>
      </c>
      <c r="BR4" s="7" t="s">
        <v>220</v>
      </c>
      <c r="BS4" s="7" t="s">
        <v>220</v>
      </c>
      <c r="BT4" s="7" t="s">
        <v>220</v>
      </c>
      <c r="BV4" s="7" t="s">
        <v>220</v>
      </c>
      <c r="BW4" s="7" t="s">
        <v>220</v>
      </c>
      <c r="BY4" s="7" t="s">
        <v>220</v>
      </c>
      <c r="BZ4" s="7" t="s">
        <v>220</v>
      </c>
      <c r="CB4" s="7" t="s">
        <v>220</v>
      </c>
      <c r="CC4" s="7" t="s">
        <v>220</v>
      </c>
    </row>
    <row r="5" spans="2:81" s="8" customFormat="1" ht="13.5" customHeight="1">
      <c r="C5" s="9" t="s">
        <v>224</v>
      </c>
      <c r="D5" s="9" t="s">
        <v>224</v>
      </c>
      <c r="E5" s="9" t="s">
        <v>224</v>
      </c>
      <c r="F5" s="9" t="s">
        <v>224</v>
      </c>
      <c r="G5" s="9" t="s">
        <v>224</v>
      </c>
      <c r="H5" s="9" t="s">
        <v>224</v>
      </c>
      <c r="I5" s="9" t="s">
        <v>224</v>
      </c>
      <c r="J5" s="9" t="s">
        <v>224</v>
      </c>
      <c r="K5" s="9" t="s">
        <v>224</v>
      </c>
      <c r="L5" s="9" t="s">
        <v>224</v>
      </c>
      <c r="M5" s="9" t="s">
        <v>224</v>
      </c>
      <c r="N5" s="9" t="s">
        <v>224</v>
      </c>
      <c r="O5" s="9" t="s">
        <v>224</v>
      </c>
      <c r="P5" s="9" t="s">
        <v>224</v>
      </c>
      <c r="Q5" s="9" t="s">
        <v>224</v>
      </c>
      <c r="R5" s="421" t="s">
        <v>215</v>
      </c>
      <c r="S5"/>
      <c r="T5" s="9" t="s">
        <v>225</v>
      </c>
      <c r="U5" s="9" t="s">
        <v>226</v>
      </c>
      <c r="V5" s="9" t="s">
        <v>227</v>
      </c>
      <c r="W5" s="9" t="s">
        <v>228</v>
      </c>
      <c r="X5" s="9" t="s">
        <v>225</v>
      </c>
      <c r="Y5" s="9" t="s">
        <v>226</v>
      </c>
      <c r="Z5" s="9" t="s">
        <v>227</v>
      </c>
      <c r="AA5" s="9" t="s">
        <v>228</v>
      </c>
      <c r="AB5" s="9" t="s">
        <v>225</v>
      </c>
      <c r="AC5" s="9" t="s">
        <v>226</v>
      </c>
      <c r="AD5" s="9" t="s">
        <v>227</v>
      </c>
      <c r="AE5" s="9" t="s">
        <v>228</v>
      </c>
      <c r="AF5" s="9" t="s">
        <v>225</v>
      </c>
      <c r="AG5" s="9" t="s">
        <v>226</v>
      </c>
      <c r="AH5" s="9" t="s">
        <v>227</v>
      </c>
      <c r="AI5" s="9" t="s">
        <v>228</v>
      </c>
      <c r="AJ5" s="9" t="s">
        <v>225</v>
      </c>
      <c r="AK5" s="9" t="s">
        <v>226</v>
      </c>
      <c r="AL5" s="9" t="s">
        <v>227</v>
      </c>
      <c r="AM5" s="9" t="s">
        <v>228</v>
      </c>
      <c r="AN5" s="9" t="s">
        <v>225</v>
      </c>
      <c r="AO5" s="9" t="s">
        <v>226</v>
      </c>
      <c r="AP5" s="9" t="s">
        <v>227</v>
      </c>
      <c r="AQ5" s="9" t="s">
        <v>228</v>
      </c>
      <c r="AR5" s="9" t="s">
        <v>225</v>
      </c>
      <c r="AS5" s="9" t="s">
        <v>226</v>
      </c>
      <c r="AT5" s="9" t="s">
        <v>227</v>
      </c>
      <c r="AU5" s="9" t="s">
        <v>228</v>
      </c>
      <c r="AV5" s="9" t="s">
        <v>227</v>
      </c>
      <c r="AW5" s="9" t="s">
        <v>228</v>
      </c>
      <c r="AX5" s="9" t="s">
        <v>225</v>
      </c>
      <c r="AY5" s="9" t="s">
        <v>225</v>
      </c>
      <c r="AZ5" s="9" t="s">
        <v>226</v>
      </c>
      <c r="BA5" s="9" t="s">
        <v>226</v>
      </c>
      <c r="BB5" s="9" t="s">
        <v>227</v>
      </c>
      <c r="BC5" s="9" t="s">
        <v>227</v>
      </c>
      <c r="BD5" s="9" t="s">
        <v>228</v>
      </c>
      <c r="BE5" s="9" t="s">
        <v>225</v>
      </c>
      <c r="BF5" s="9" t="s">
        <v>226</v>
      </c>
      <c r="BG5" s="9" t="s">
        <v>227</v>
      </c>
      <c r="BH5" s="421" t="s">
        <v>228</v>
      </c>
      <c r="BI5" s="9" t="s">
        <v>225</v>
      </c>
      <c r="BJ5" s="9" t="s">
        <v>226</v>
      </c>
      <c r="BK5" s="9" t="s">
        <v>227</v>
      </c>
      <c r="BL5" s="421" t="s">
        <v>228</v>
      </c>
      <c r="BM5" s="9" t="s">
        <v>225</v>
      </c>
      <c r="BO5" s="421" t="s">
        <v>228</v>
      </c>
      <c r="BP5" s="9" t="s">
        <v>225</v>
      </c>
      <c r="BQ5" s="9" t="s">
        <v>226</v>
      </c>
      <c r="BR5" s="9" t="s">
        <v>227</v>
      </c>
      <c r="BS5" s="421" t="s">
        <v>228</v>
      </c>
      <c r="BT5" s="9" t="s">
        <v>225</v>
      </c>
      <c r="BV5" s="9" t="s">
        <v>217</v>
      </c>
      <c r="BW5" s="9" t="s">
        <v>217</v>
      </c>
      <c r="BY5" s="9" t="s">
        <v>218</v>
      </c>
      <c r="BZ5" s="9" t="s">
        <v>218</v>
      </c>
      <c r="CB5" s="9" t="s">
        <v>228</v>
      </c>
      <c r="CC5" s="9" t="s">
        <v>228</v>
      </c>
    </row>
    <row r="6" spans="2:81" ht="13.5" customHeight="1">
      <c r="B6" s="11" t="s">
        <v>229</v>
      </c>
      <c r="C6" s="12"/>
      <c r="D6" s="12"/>
      <c r="E6" s="12"/>
      <c r="F6" s="12"/>
      <c r="G6" s="12"/>
      <c r="H6" s="12"/>
      <c r="I6" s="12"/>
      <c r="J6" s="190" t="s">
        <v>222</v>
      </c>
      <c r="K6" s="215" t="s">
        <v>222</v>
      </c>
      <c r="L6" s="215" t="s">
        <v>223</v>
      </c>
      <c r="M6" s="12"/>
      <c r="N6" s="216" t="s">
        <v>222</v>
      </c>
      <c r="O6" s="12"/>
      <c r="P6" s="216" t="s">
        <v>222</v>
      </c>
      <c r="Q6" s="216"/>
      <c r="R6" s="12"/>
      <c r="T6" s="12"/>
      <c r="U6" s="12"/>
      <c r="V6" s="12"/>
      <c r="W6" s="12"/>
      <c r="X6" s="12"/>
      <c r="Y6" s="12"/>
      <c r="Z6" s="12"/>
      <c r="AA6" s="12"/>
      <c r="AB6" s="12"/>
      <c r="AC6" s="174"/>
      <c r="AD6" s="12"/>
      <c r="AE6" s="12"/>
      <c r="AF6" s="12"/>
      <c r="AG6" s="174"/>
      <c r="AH6" s="174"/>
      <c r="AI6" s="12"/>
      <c r="AJ6" s="12"/>
      <c r="AK6" s="12"/>
      <c r="AL6" s="12"/>
      <c r="AM6" s="12"/>
      <c r="AN6" s="12"/>
      <c r="AO6" s="12"/>
      <c r="AP6" s="12"/>
      <c r="AQ6" s="12"/>
      <c r="AR6" s="12"/>
      <c r="AS6" s="174"/>
      <c r="AT6" s="174"/>
      <c r="AU6" s="12"/>
      <c r="AV6" s="12"/>
      <c r="AW6" s="12"/>
      <c r="AX6" s="12"/>
      <c r="AY6" s="12"/>
      <c r="AZ6" s="174"/>
      <c r="BA6" s="174"/>
      <c r="BB6" s="174"/>
      <c r="BC6" s="174"/>
      <c r="BD6" s="12"/>
      <c r="BE6" s="12"/>
      <c r="BF6" s="174"/>
      <c r="BG6" s="174"/>
      <c r="BH6" s="12"/>
      <c r="BI6" s="12"/>
      <c r="BJ6" s="174"/>
      <c r="BK6" s="174"/>
      <c r="BL6" s="12"/>
      <c r="BM6" s="12"/>
      <c r="BO6" s="216" t="s">
        <v>222</v>
      </c>
      <c r="BP6" s="216" t="s">
        <v>222</v>
      </c>
      <c r="BQ6" s="216" t="s">
        <v>222</v>
      </c>
      <c r="BR6" s="216" t="s">
        <v>222</v>
      </c>
      <c r="BS6" s="216" t="s">
        <v>222</v>
      </c>
      <c r="BT6" s="216" t="s">
        <v>222</v>
      </c>
      <c r="BV6" s="216" t="s">
        <v>222</v>
      </c>
      <c r="BW6" s="12"/>
      <c r="BY6" s="216" t="s">
        <v>222</v>
      </c>
      <c r="BZ6" s="12"/>
      <c r="CB6" s="216" t="s">
        <v>222</v>
      </c>
      <c r="CC6" s="216" t="s">
        <v>222</v>
      </c>
    </row>
    <row r="7" spans="2:81" s="6" customFormat="1">
      <c r="B7" s="6" t="s">
        <v>230</v>
      </c>
      <c r="C7" s="13">
        <v>21565.392</v>
      </c>
      <c r="D7" s="13">
        <v>24402.401000000002</v>
      </c>
      <c r="E7" s="13">
        <v>23885.780999999999</v>
      </c>
      <c r="F7" s="13">
        <v>24583.312000000002</v>
      </c>
      <c r="G7" s="13">
        <v>24203.170999999998</v>
      </c>
      <c r="H7" s="13">
        <v>25900.661</v>
      </c>
      <c r="I7" s="13">
        <v>27522</v>
      </c>
      <c r="J7" s="13">
        <v>19994.367999999999</v>
      </c>
      <c r="K7" s="13">
        <v>21725.735000000001</v>
      </c>
      <c r="L7" s="13">
        <v>20020.28</v>
      </c>
      <c r="M7" s="13">
        <v>22002.269</v>
      </c>
      <c r="N7" s="13">
        <v>22318.326000000001</v>
      </c>
      <c r="O7" s="13">
        <v>22334.616999999998</v>
      </c>
      <c r="P7" s="13">
        <v>12541.918</v>
      </c>
      <c r="Q7" s="13">
        <v>11757.996999999999</v>
      </c>
      <c r="R7" s="14">
        <f>SUM(BJ7:BM7)</f>
        <v>9468.9609999999993</v>
      </c>
      <c r="S7" s="306"/>
      <c r="T7" s="15">
        <v>5748.2489999999998</v>
      </c>
      <c r="U7" s="15">
        <v>5867.0649999999996</v>
      </c>
      <c r="V7" s="15">
        <v>6003.4719999999998</v>
      </c>
      <c r="W7" s="14">
        <f>E7-V7-U7-T7</f>
        <v>6266.9950000000026</v>
      </c>
      <c r="X7" s="15">
        <v>5949.4369999999999</v>
      </c>
      <c r="Y7" s="15">
        <v>6153.6139999999996</v>
      </c>
      <c r="Z7" s="15">
        <v>6213.2539999999999</v>
      </c>
      <c r="AA7" s="14">
        <f>F7-Z7-Y7-X7</f>
        <v>6267.0070000000014</v>
      </c>
      <c r="AB7" s="15">
        <v>6036.5839999999998</v>
      </c>
      <c r="AC7" s="15">
        <v>5792.4139999999998</v>
      </c>
      <c r="AD7" s="15">
        <v>6111.6570000000002</v>
      </c>
      <c r="AE7" s="14">
        <f>G7-AD7-AC7-AB7</f>
        <v>6262.5159999999987</v>
      </c>
      <c r="AF7" s="15">
        <v>6064.0190000000002</v>
      </c>
      <c r="AG7" s="15">
        <v>6390.0640000000003</v>
      </c>
      <c r="AH7" s="15">
        <v>6542.9629999999997</v>
      </c>
      <c r="AI7" s="14">
        <f>H7-AH7-AG7-AF7</f>
        <v>6903.6149999999998</v>
      </c>
      <c r="AJ7" s="217"/>
      <c r="AK7" s="217"/>
      <c r="AL7" s="217"/>
      <c r="AM7" s="15">
        <v>5336.4650000000001</v>
      </c>
      <c r="AN7" s="15">
        <v>6469.951</v>
      </c>
      <c r="AO7" s="15">
        <v>6704.2569999999996</v>
      </c>
      <c r="AP7" s="15">
        <v>7260.3180000000002</v>
      </c>
      <c r="AQ7" s="15">
        <f>I7-SUM(AN7:AP7)</f>
        <v>7087.474000000002</v>
      </c>
      <c r="AR7" s="15">
        <v>4983.8900000000003</v>
      </c>
      <c r="AS7" s="15">
        <v>5197.6049999999996</v>
      </c>
      <c r="AT7" s="15">
        <v>5709</v>
      </c>
      <c r="AU7" s="214">
        <v>5835</v>
      </c>
      <c r="AV7" s="214">
        <v>5367.3829999999998</v>
      </c>
      <c r="AW7" s="24">
        <f>L7-AR7-AS7-AV7</f>
        <v>4471.402</v>
      </c>
      <c r="AX7" s="15">
        <v>5378.7160000000003</v>
      </c>
      <c r="AY7" s="15">
        <v>4997.2280000000001</v>
      </c>
      <c r="AZ7" s="15">
        <v>5994.5259999999998</v>
      </c>
      <c r="BA7" s="15">
        <v>5592.1589999999997</v>
      </c>
      <c r="BB7" s="15">
        <v>6010</v>
      </c>
      <c r="BC7" s="15">
        <v>5695.6970000000001</v>
      </c>
      <c r="BD7" s="24">
        <f>M7-AZ7-AX7-BC7</f>
        <v>4933.33</v>
      </c>
      <c r="BE7" s="15">
        <v>5662.0839999999998</v>
      </c>
      <c r="BF7" s="15">
        <v>5755.7659999999996</v>
      </c>
      <c r="BG7" s="15">
        <v>5321.643</v>
      </c>
      <c r="BH7" s="24">
        <f>O7-SUM(BE7:BG7)</f>
        <v>5595.1239999999998</v>
      </c>
      <c r="BI7" s="15">
        <v>5088.8969999999999</v>
      </c>
      <c r="BJ7" s="15">
        <v>2966.4189999999999</v>
      </c>
      <c r="BK7" s="15">
        <v>2920.48</v>
      </c>
      <c r="BL7" s="24">
        <f>Q7-SUM(BI7:BK7)</f>
        <v>782.20099999999911</v>
      </c>
      <c r="BM7" s="15">
        <v>2799.8609999999999</v>
      </c>
      <c r="BN7" s="54"/>
      <c r="BO7" s="24">
        <f>N7-SUM(AY7,BA7,BC7)</f>
        <v>6033.242000000002</v>
      </c>
      <c r="BP7" s="15">
        <v>5739.0429999999997</v>
      </c>
      <c r="BQ7" s="15">
        <v>3319.636</v>
      </c>
      <c r="BR7" s="15">
        <v>3064.998</v>
      </c>
      <c r="BS7" s="24">
        <f>P7-SUM(BP7:BR7)</f>
        <v>418.24099999999999</v>
      </c>
      <c r="BT7" s="15">
        <v>2891.857</v>
      </c>
      <c r="BU7" s="10"/>
      <c r="BV7" s="15">
        <v>6508.7439999999997</v>
      </c>
      <c r="BW7" s="15">
        <v>5858.2759999999998</v>
      </c>
      <c r="BY7" s="15">
        <v>9573.74</v>
      </c>
      <c r="BZ7" s="15">
        <v>8778.7559999999994</v>
      </c>
      <c r="CB7" s="24">
        <f>P7-BY7</f>
        <v>2968.1779999999999</v>
      </c>
      <c r="CC7" s="24">
        <f>Q7-BZ7</f>
        <v>2979.241</v>
      </c>
    </row>
    <row r="8" spans="2:81" s="16" customFormat="1">
      <c r="B8" s="17" t="s">
        <v>231</v>
      </c>
      <c r="C8" s="18"/>
      <c r="D8" s="18">
        <f>D7/C7-1</f>
        <v>0.1315537876612678</v>
      </c>
      <c r="E8" s="18">
        <f>E7/D7-1</f>
        <v>-2.1170867571596808E-2</v>
      </c>
      <c r="F8" s="18">
        <f>F7/E7-1</f>
        <v>2.9202771305656849E-2</v>
      </c>
      <c r="G8" s="18">
        <f>G7/E7-1</f>
        <v>1.3287821737961947E-2</v>
      </c>
      <c r="H8" s="18">
        <f>H7/F7-1</f>
        <v>5.358712446882663E-2</v>
      </c>
      <c r="I8" s="18">
        <f>I7/H7-1</f>
        <v>6.259836380237549E-2</v>
      </c>
      <c r="J8" s="18">
        <f>J7/G7-1</f>
        <v>-0.17389469338542463</v>
      </c>
      <c r="K8" s="18">
        <f>K7/J7-1</f>
        <v>8.6592734514039149E-2</v>
      </c>
      <c r="L8" s="18">
        <f>L7/J7-1</f>
        <v>1.2959649437280785E-3</v>
      </c>
      <c r="M8" s="18">
        <f>M7/L7-1</f>
        <v>9.8999064948142701E-2</v>
      </c>
      <c r="N8" s="18">
        <f>N7/L7-1</f>
        <v>0.11478590709021064</v>
      </c>
      <c r="O8" s="18">
        <f>O7/N7-1</f>
        <v>7.2993825791400901E-4</v>
      </c>
      <c r="P8" s="18">
        <f>P7/N7-1</f>
        <v>-0.43804396440844173</v>
      </c>
      <c r="Q8" s="18">
        <f>Q7/P7-1</f>
        <v>-6.2504076330270997E-2</v>
      </c>
      <c r="R8" s="19"/>
      <c r="S8" s="307"/>
      <c r="T8" s="18"/>
      <c r="U8" s="18"/>
      <c r="V8" s="18"/>
      <c r="W8" s="18"/>
      <c r="X8" s="18">
        <f t="shared" ref="X8" si="0">X7/T7-1</f>
        <v>3.4999875614295739E-2</v>
      </c>
      <c r="Y8" s="18">
        <f t="shared" ref="Y8" si="1">Y7/U7-1</f>
        <v>4.8840263402570194E-2</v>
      </c>
      <c r="Z8" s="18">
        <f t="shared" ref="Z8" si="2">Z7/V7-1</f>
        <v>3.4943446059213734E-2</v>
      </c>
      <c r="AA8" s="18">
        <f t="shared" ref="AA8" si="3">AA7/W7-1</f>
        <v>1.9147932939223011E-6</v>
      </c>
      <c r="AB8" s="18">
        <f t="shared" ref="AB8" si="4">AB7/X7-1</f>
        <v>1.4647940637072088E-2</v>
      </c>
      <c r="AC8" s="18">
        <f t="shared" ref="AC8:AI8" si="5">AC7/Y7-1</f>
        <v>-5.8697214352411375E-2</v>
      </c>
      <c r="AD8" s="18">
        <f t="shared" si="5"/>
        <v>-1.6351657279744192E-2</v>
      </c>
      <c r="AE8" s="18">
        <f t="shared" si="5"/>
        <v>-7.1661001814782299E-4</v>
      </c>
      <c r="AF8" s="18">
        <f t="shared" si="5"/>
        <v>4.5447889071037473E-3</v>
      </c>
      <c r="AG8" s="18">
        <f t="shared" si="5"/>
        <v>0.10317805322616791</v>
      </c>
      <c r="AH8" s="18">
        <f t="shared" si="5"/>
        <v>7.057104153587157E-2</v>
      </c>
      <c r="AI8" s="18">
        <f t="shared" si="5"/>
        <v>0.10237083625814303</v>
      </c>
      <c r="AJ8" s="218"/>
      <c r="AK8" s="218"/>
      <c r="AL8" s="218"/>
      <c r="AM8" s="18">
        <f>AM7/AE7-1</f>
        <v>-0.14787203737283849</v>
      </c>
      <c r="AN8" s="18">
        <f>AN7/AF7-1</f>
        <v>6.6941083133149837E-2</v>
      </c>
      <c r="AO8" s="18">
        <f>AO7/AG7-1</f>
        <v>4.9168991108696103E-2</v>
      </c>
      <c r="AP8" s="18">
        <f>AP7/AH7-1</f>
        <v>0.10963763664871728</v>
      </c>
      <c r="AQ8" s="18">
        <f>AQ7/AI7-1</f>
        <v>2.6632278885772465E-2</v>
      </c>
      <c r="AR8" s="18">
        <f>AR7/AF7-1</f>
        <v>-0.17812097884257949</v>
      </c>
      <c r="AS8" s="18">
        <f>AS7/AG7-1</f>
        <v>-0.18661143299973215</v>
      </c>
      <c r="AT8" s="18">
        <f>AT7/AH7-1</f>
        <v>-0.12745953171368996</v>
      </c>
      <c r="AU8" s="18">
        <f>AU7/AM7-1</f>
        <v>9.3420457175302341E-2</v>
      </c>
      <c r="AV8" s="18">
        <f>AV7/AH7-1</f>
        <v>-0.17967089222421095</v>
      </c>
      <c r="AW8" s="18">
        <f>AW7/AM7-1</f>
        <v>-0.16210412698293719</v>
      </c>
      <c r="AX8" s="18">
        <f>AX7/AR7-1</f>
        <v>7.9220448284372136E-2</v>
      </c>
      <c r="AY8" s="294">
        <f>AY7/AS7-1</f>
        <v>-3.8551794528441374E-2</v>
      </c>
      <c r="AZ8" s="18">
        <f>AZ7/AS7-1</f>
        <v>0.15332465625995062</v>
      </c>
      <c r="BA8" s="294">
        <f>BA7/AS7-1</f>
        <v>7.5910731962124833E-2</v>
      </c>
      <c r="BB8" s="18">
        <f>BB7/AT7-1</f>
        <v>5.2723769486775263E-2</v>
      </c>
      <c r="BC8" s="18">
        <f>BC7/AV7-1</f>
        <v>6.1168357093205339E-2</v>
      </c>
      <c r="BD8" s="18">
        <f>BD7/AW7-1</f>
        <v>0.10330719537183186</v>
      </c>
      <c r="BE8" s="18">
        <f>BE7/AW7-1</f>
        <v>0.26628829168122214</v>
      </c>
      <c r="BF8" s="18">
        <f>BF7/AX7-1</f>
        <v>7.0100373397665727E-2</v>
      </c>
      <c r="BG8" s="18">
        <f>BG7/BC7-1</f>
        <v>-6.5673086191207153E-2</v>
      </c>
      <c r="BH8" s="18">
        <f t="shared" ref="BH8:BM8" si="6">BH7/BO7-1</f>
        <v>-7.2617342384078465E-2</v>
      </c>
      <c r="BI8" s="18">
        <f t="shared" si="6"/>
        <v>-0.11328474102738029</v>
      </c>
      <c r="BJ8" s="18">
        <f t="shared" si="6"/>
        <v>-0.10640232844805875</v>
      </c>
      <c r="BK8" s="18">
        <f t="shared" si="6"/>
        <v>-4.7151091126323763E-2</v>
      </c>
      <c r="BL8" s="18">
        <f t="shared" si="6"/>
        <v>0.87021597595644407</v>
      </c>
      <c r="BM8" s="18">
        <f t="shared" si="6"/>
        <v>-3.1812084760761028E-2</v>
      </c>
      <c r="BO8" s="18">
        <f>BO7/AW7-1</f>
        <v>0.34929536641974979</v>
      </c>
      <c r="BP8" s="18">
        <f>BP7/AY7-1</f>
        <v>0.1484452980732518</v>
      </c>
      <c r="BQ8" s="18">
        <f>BQ7/BA7-1</f>
        <v>-0.40637667848857661</v>
      </c>
      <c r="BR8" s="18">
        <f>BR7/BC7-1</f>
        <v>-0.46187481532110997</v>
      </c>
      <c r="BS8" s="18">
        <f>BS7/BO7-1</f>
        <v>-0.93067723787641876</v>
      </c>
      <c r="BT8" s="18">
        <f>BT7/BP7-1</f>
        <v>-0.49610814904157363</v>
      </c>
      <c r="BV8" s="18"/>
      <c r="BW8" s="18">
        <f>BW7/BV7-1</f>
        <v>-9.9937560918051171E-2</v>
      </c>
      <c r="BY8" s="18"/>
      <c r="BZ8" s="18">
        <f>BZ7/BY7-1</f>
        <v>-8.3037976799035684E-2</v>
      </c>
      <c r="CB8" s="18"/>
      <c r="CC8" s="18">
        <f>CC7/CB7-1</f>
        <v>3.7272023443337687E-3</v>
      </c>
    </row>
    <row r="9" spans="2:81">
      <c r="B9" s="10" t="s">
        <v>232</v>
      </c>
      <c r="C9" s="20">
        <v>-5666.5050000000001</v>
      </c>
      <c r="D9" s="20">
        <v>-5986.2129999999997</v>
      </c>
      <c r="E9" s="20">
        <v>-7644.8159999999998</v>
      </c>
      <c r="F9" s="20">
        <v>-7084.2359999999999</v>
      </c>
      <c r="G9" s="20">
        <v>-8484.9940000000006</v>
      </c>
      <c r="H9" s="20">
        <v>-8094.8680000000004</v>
      </c>
      <c r="I9" s="20">
        <v>-7070.9120000000003</v>
      </c>
      <c r="J9" s="20">
        <v>-6317.817</v>
      </c>
      <c r="K9" s="20">
        <v>-7070.9120000000003</v>
      </c>
      <c r="L9" s="20">
        <v>-7878.0029999999997</v>
      </c>
      <c r="M9" s="20">
        <v>-7199.9859999999999</v>
      </c>
      <c r="N9" s="20">
        <v>-8202.3819999999996</v>
      </c>
      <c r="O9" s="20">
        <v>-7341.1949999999997</v>
      </c>
      <c r="P9" s="20">
        <v>-3752.3090000000002</v>
      </c>
      <c r="Q9" s="20">
        <v>-3893.444</v>
      </c>
      <c r="R9" s="21">
        <f>SUM(BJ9:BM9)</f>
        <v>-3007.4879999999998</v>
      </c>
      <c r="T9" s="22">
        <v>-1393.211</v>
      </c>
      <c r="U9" s="22">
        <v>-1489.038</v>
      </c>
      <c r="V9" s="22">
        <v>-1511.4459999999999</v>
      </c>
      <c r="W9" s="21">
        <f>E9-V9-U9-T9</f>
        <v>-3251.1210000000001</v>
      </c>
      <c r="X9" s="22">
        <v>-1643.04</v>
      </c>
      <c r="Y9" s="22">
        <v>-1706.761</v>
      </c>
      <c r="Z9" s="22">
        <v>-1846.046</v>
      </c>
      <c r="AA9" s="21">
        <f>F9-Z9-Y9-X9</f>
        <v>-1888.3889999999997</v>
      </c>
      <c r="AB9" s="22">
        <v>-1848.4690000000001</v>
      </c>
      <c r="AC9" s="22">
        <v>-1842.2280000000001</v>
      </c>
      <c r="AD9" s="22">
        <v>-1762.1420000000001</v>
      </c>
      <c r="AE9" s="21">
        <f t="shared" ref="AE9:AE18" si="7">G9-AD9-AC9-AB9</f>
        <v>-3032.1550000000007</v>
      </c>
      <c r="AF9" s="22">
        <v>-1974.973</v>
      </c>
      <c r="AG9" s="22">
        <v>-1903.3920000000001</v>
      </c>
      <c r="AH9" s="22">
        <v>-1983.9739999999999</v>
      </c>
      <c r="AI9" s="21">
        <f t="shared" ref="AI9:AI18" si="8">H9-AH9-AG9-AF9</f>
        <v>-2232.5290000000005</v>
      </c>
      <c r="AJ9" s="219"/>
      <c r="AK9" s="219"/>
      <c r="AL9" s="219"/>
      <c r="AM9" s="22">
        <v>-1636.1669999999999</v>
      </c>
      <c r="AN9" s="22">
        <v>-1860.5429999999999</v>
      </c>
      <c r="AO9" s="22">
        <v>-1879.377</v>
      </c>
      <c r="AP9" s="22">
        <v>-2101.4160000000002</v>
      </c>
      <c r="AQ9" s="29">
        <f t="shared" ref="AQ9:AQ18" si="9">I9-SUM(AN9:AP9)</f>
        <v>-1229.576</v>
      </c>
      <c r="AR9" s="22">
        <v>-1608.3520000000001</v>
      </c>
      <c r="AS9" s="22">
        <v>-1626.4639999999999</v>
      </c>
      <c r="AT9" s="22">
        <v>-1680.5060000000001</v>
      </c>
      <c r="AU9" s="21">
        <f t="shared" ref="AU9:AU18" si="10">K9-AR9-AS9-AT9</f>
        <v>-2155.59</v>
      </c>
      <c r="AV9" s="22">
        <v>-1680.5060000000001</v>
      </c>
      <c r="AW9" s="21">
        <f t="shared" ref="AW9:AW18" si="11">L9-AR9-AS9-AV9</f>
        <v>-2962.6809999999996</v>
      </c>
      <c r="AX9" s="22">
        <v>-1812.9059999999999</v>
      </c>
      <c r="AY9" s="22">
        <v>-1636.184</v>
      </c>
      <c r="AZ9" s="22">
        <v>-2697.0680000000002</v>
      </c>
      <c r="BA9" s="22">
        <v>-1814.3679999999999</v>
      </c>
      <c r="BB9" s="22">
        <v>-1859.5360000000001</v>
      </c>
      <c r="BC9" s="22">
        <v>-1859.5360000000001</v>
      </c>
      <c r="BD9" s="21">
        <f t="shared" ref="BD9:BD18" si="12">M9-AZ9-AX9-BC9</f>
        <v>-830.47599999999966</v>
      </c>
      <c r="BE9" s="22">
        <v>-1916.817</v>
      </c>
      <c r="BF9" s="22">
        <v>-1879.0540000000001</v>
      </c>
      <c r="BG9" s="22">
        <v>-1818.854</v>
      </c>
      <c r="BH9" s="32">
        <f>O9-SUM(BE9:BG9)</f>
        <v>-1726.4699999999993</v>
      </c>
      <c r="BI9" s="22">
        <v>-1658.463</v>
      </c>
      <c r="BJ9" s="22">
        <v>-1133.367</v>
      </c>
      <c r="BK9" s="22">
        <v>-1019.063</v>
      </c>
      <c r="BL9" s="32">
        <f>Q9-SUM(BI9:BK9)</f>
        <v>-82.550999999999931</v>
      </c>
      <c r="BM9" s="22">
        <v>-772.50699999999995</v>
      </c>
      <c r="BN9" s="32"/>
      <c r="BO9" s="32">
        <f t="shared" ref="BO9:BO18" si="13">N9-SUM(AY9,BA9,BC9)</f>
        <v>-2892.2939999999999</v>
      </c>
      <c r="BP9" s="22">
        <v>-1897.248</v>
      </c>
      <c r="BQ9" s="22">
        <v>-972.91700000000003</v>
      </c>
      <c r="BR9" s="22">
        <v>-944.65599999999995</v>
      </c>
      <c r="BS9" s="32">
        <f t="shared" ref="BS9:BS18" si="14">P9-SUM(BP9:BR9)</f>
        <v>62.511999999999716</v>
      </c>
      <c r="BT9" s="22">
        <v>-825.97500000000002</v>
      </c>
      <c r="BV9" s="22">
        <v>-1956.1510000000001</v>
      </c>
      <c r="BW9" s="22">
        <v>-1959.3409999999999</v>
      </c>
      <c r="BY9" s="22">
        <v>-2900.808</v>
      </c>
      <c r="BZ9" s="22">
        <v>-2978.404</v>
      </c>
      <c r="CB9" s="32">
        <f t="shared" ref="CB9:CB18" si="15">P9-BY9</f>
        <v>-851.5010000000002</v>
      </c>
      <c r="CC9" s="32">
        <f t="shared" ref="CC9:CC18" si="16">Q9-BZ9</f>
        <v>-915.04</v>
      </c>
    </row>
    <row r="10" spans="2:81">
      <c r="B10" s="10" t="s">
        <v>233</v>
      </c>
      <c r="C10" s="20"/>
      <c r="D10" s="20"/>
      <c r="E10" s="20"/>
      <c r="F10" s="20">
        <v>0</v>
      </c>
      <c r="G10" s="20">
        <v>0</v>
      </c>
      <c r="H10" s="20">
        <v>0</v>
      </c>
      <c r="I10" s="20">
        <v>-4145.5439999999999</v>
      </c>
      <c r="J10" s="20">
        <v>-340.029</v>
      </c>
      <c r="K10" s="20">
        <v>-4145.5439999999999</v>
      </c>
      <c r="L10" s="20">
        <v>0</v>
      </c>
      <c r="M10" s="20">
        <v>0</v>
      </c>
      <c r="N10" s="20">
        <v>0</v>
      </c>
      <c r="O10" s="20">
        <v>0</v>
      </c>
      <c r="P10" s="20">
        <v>0</v>
      </c>
      <c r="Q10" s="20">
        <v>0</v>
      </c>
      <c r="R10" s="21">
        <f t="shared" ref="R10:R18" si="17">SUM(BJ10:BM10)</f>
        <v>0</v>
      </c>
      <c r="T10" s="22"/>
      <c r="U10" s="22"/>
      <c r="V10" s="22"/>
      <c r="W10" s="21"/>
      <c r="X10" s="22"/>
      <c r="Y10" s="22"/>
      <c r="Z10" s="22"/>
      <c r="AA10" s="21"/>
      <c r="AB10" s="22">
        <v>0</v>
      </c>
      <c r="AC10" s="22">
        <v>0</v>
      </c>
      <c r="AD10" s="22">
        <v>0</v>
      </c>
      <c r="AE10" s="21">
        <f t="shared" si="7"/>
        <v>0</v>
      </c>
      <c r="AF10" s="22">
        <v>0</v>
      </c>
      <c r="AG10" s="22">
        <v>0</v>
      </c>
      <c r="AH10" s="22">
        <v>0</v>
      </c>
      <c r="AI10" s="21">
        <f t="shared" si="8"/>
        <v>0</v>
      </c>
      <c r="AJ10" s="219"/>
      <c r="AK10" s="219"/>
      <c r="AL10" s="219"/>
      <c r="AM10" s="22">
        <v>-338.44</v>
      </c>
      <c r="AN10" s="22">
        <v>0</v>
      </c>
      <c r="AO10" s="22">
        <v>0</v>
      </c>
      <c r="AP10" s="22">
        <v>0</v>
      </c>
      <c r="AQ10" s="29">
        <f t="shared" si="9"/>
        <v>-4145.5439999999999</v>
      </c>
      <c r="AR10" s="22">
        <v>0</v>
      </c>
      <c r="AS10" s="22">
        <v>0</v>
      </c>
      <c r="AT10" s="22">
        <v>0</v>
      </c>
      <c r="AU10" s="21">
        <f t="shared" si="10"/>
        <v>-4145.5439999999999</v>
      </c>
      <c r="AV10" s="22">
        <v>0</v>
      </c>
      <c r="AW10" s="21">
        <f t="shared" si="11"/>
        <v>0</v>
      </c>
      <c r="AX10" s="22">
        <v>0</v>
      </c>
      <c r="AY10" s="22">
        <v>0</v>
      </c>
      <c r="AZ10" s="22">
        <v>0</v>
      </c>
      <c r="BA10" s="22">
        <v>0</v>
      </c>
      <c r="BB10" s="22">
        <v>0</v>
      </c>
      <c r="BC10" s="22">
        <v>0</v>
      </c>
      <c r="BD10" s="21">
        <f t="shared" si="12"/>
        <v>0</v>
      </c>
      <c r="BE10" s="22">
        <v>0</v>
      </c>
      <c r="BF10" s="22">
        <v>0</v>
      </c>
      <c r="BG10" s="22">
        <v>0</v>
      </c>
      <c r="BH10" s="32">
        <f t="shared" ref="BH10:BH31" si="18">O10-SUM(BE10:BG10)</f>
        <v>0</v>
      </c>
      <c r="BI10" s="22">
        <v>0</v>
      </c>
      <c r="BJ10" s="22">
        <v>0</v>
      </c>
      <c r="BK10" s="22">
        <v>0</v>
      </c>
      <c r="BL10" s="32">
        <f t="shared" ref="BL10:BL18" si="19">Q10-SUM(BI10:BK10)</f>
        <v>0</v>
      </c>
      <c r="BM10" s="22">
        <v>0</v>
      </c>
      <c r="BO10" s="32">
        <f t="shared" si="13"/>
        <v>0</v>
      </c>
      <c r="BP10" s="22">
        <v>0</v>
      </c>
      <c r="BQ10" s="22">
        <v>0</v>
      </c>
      <c r="BR10" s="22">
        <v>0</v>
      </c>
      <c r="BS10" s="32">
        <f t="shared" si="14"/>
        <v>0</v>
      </c>
      <c r="BT10" s="22">
        <v>0</v>
      </c>
      <c r="BV10" s="22">
        <v>0</v>
      </c>
      <c r="BW10" s="22">
        <v>0</v>
      </c>
      <c r="BY10" s="22">
        <v>0</v>
      </c>
      <c r="BZ10" s="22">
        <v>0</v>
      </c>
      <c r="CB10" s="32">
        <f t="shared" si="15"/>
        <v>0</v>
      </c>
      <c r="CC10" s="32">
        <f t="shared" si="16"/>
        <v>0</v>
      </c>
    </row>
    <row r="11" spans="2:81">
      <c r="B11" s="10" t="s">
        <v>234</v>
      </c>
      <c r="C11" s="20">
        <v>-85.341999999999999</v>
      </c>
      <c r="D11" s="20">
        <v>-191.56299999999999</v>
      </c>
      <c r="E11" s="20">
        <v>8.3889999999999993</v>
      </c>
      <c r="F11" s="20">
        <v>5.4210000000000003</v>
      </c>
      <c r="G11" s="20">
        <v>-196.083</v>
      </c>
      <c r="H11" s="20">
        <v>58.238999999999997</v>
      </c>
      <c r="I11" s="20">
        <v>-420.48</v>
      </c>
      <c r="J11" s="20">
        <v>58.05</v>
      </c>
      <c r="K11" s="20">
        <v>-420.48</v>
      </c>
      <c r="L11" s="20">
        <v>-388.81599999999997</v>
      </c>
      <c r="M11" s="20">
        <v>143.947</v>
      </c>
      <c r="N11" s="20">
        <v>47.984000000000002</v>
      </c>
      <c r="O11" s="20">
        <v>-311.62200000000001</v>
      </c>
      <c r="P11" s="20">
        <v>-195.976</v>
      </c>
      <c r="Q11" s="20">
        <v>-274.50299999999999</v>
      </c>
      <c r="R11" s="21">
        <f t="shared" si="17"/>
        <v>-272.90799999999996</v>
      </c>
      <c r="T11" s="22">
        <v>-106.444</v>
      </c>
      <c r="U11" s="22">
        <v>87.727000000000004</v>
      </c>
      <c r="V11" s="22">
        <v>38.593000000000004</v>
      </c>
      <c r="W11" s="21">
        <f t="shared" ref="W11:W18" si="20">E11-V11-U11-T11</f>
        <v>-11.487000000000009</v>
      </c>
      <c r="X11" s="22">
        <v>14.577</v>
      </c>
      <c r="Y11" s="22">
        <v>5.7279999999999998</v>
      </c>
      <c r="Z11" s="22">
        <v>6.2949999999999999</v>
      </c>
      <c r="AA11" s="21">
        <f t="shared" ref="AA11:AA18" si="21">F11-Z11-Y11-X11</f>
        <v>-21.178999999999998</v>
      </c>
      <c r="AB11" s="22">
        <v>65.593999999999994</v>
      </c>
      <c r="AC11" s="22">
        <v>-6.2370000000000001</v>
      </c>
      <c r="AD11" s="22">
        <v>-116.41200000000001</v>
      </c>
      <c r="AE11" s="21">
        <f t="shared" si="7"/>
        <v>-139.02799999999999</v>
      </c>
      <c r="AF11" s="22">
        <v>72.198999999999998</v>
      </c>
      <c r="AG11" s="22">
        <v>1.0999999999999999E-2</v>
      </c>
      <c r="AH11" s="22">
        <v>-4.8070000000000004</v>
      </c>
      <c r="AI11" s="21">
        <f t="shared" si="8"/>
        <v>-9.1640000000000015</v>
      </c>
      <c r="AJ11" s="219"/>
      <c r="AK11" s="219"/>
      <c r="AL11" s="219"/>
      <c r="AM11" s="22">
        <v>-9.8580000000000005</v>
      </c>
      <c r="AN11" s="22">
        <v>-241.227</v>
      </c>
      <c r="AO11" s="22">
        <v>-175.399</v>
      </c>
      <c r="AP11" s="22">
        <v>77.355999999999995</v>
      </c>
      <c r="AQ11" s="29">
        <f t="shared" si="9"/>
        <v>-81.210000000000036</v>
      </c>
      <c r="AR11" s="22">
        <v>-241.18700000000001</v>
      </c>
      <c r="AS11" s="22">
        <v>-175.93799999999999</v>
      </c>
      <c r="AT11" s="22">
        <v>62.868000000000002</v>
      </c>
      <c r="AU11" s="21">
        <f t="shared" si="10"/>
        <v>-66.223000000000013</v>
      </c>
      <c r="AV11" s="22">
        <v>62.868000000000002</v>
      </c>
      <c r="AW11" s="21">
        <f t="shared" si="11"/>
        <v>-34.558999999999976</v>
      </c>
      <c r="AX11" s="22">
        <v>5.8310000000000004</v>
      </c>
      <c r="AY11" s="22">
        <v>7.3310000000000004</v>
      </c>
      <c r="AZ11" s="22">
        <v>161.55199999999999</v>
      </c>
      <c r="BA11" s="22">
        <v>193.44800000000001</v>
      </c>
      <c r="BB11" s="22">
        <v>-12.170999999999999</v>
      </c>
      <c r="BC11" s="22">
        <v>-12.170999999999999</v>
      </c>
      <c r="BD11" s="21">
        <f t="shared" si="12"/>
        <v>-11.26499999999999</v>
      </c>
      <c r="BE11" s="22">
        <v>87.885999999999996</v>
      </c>
      <c r="BF11" s="22">
        <v>-53.866</v>
      </c>
      <c r="BG11" s="22">
        <v>-368.63900000000001</v>
      </c>
      <c r="BH11" s="32">
        <f t="shared" si="18"/>
        <v>22.997000000000014</v>
      </c>
      <c r="BI11" s="22">
        <v>-22.417999999999999</v>
      </c>
      <c r="BJ11" s="22">
        <v>-181.79900000000001</v>
      </c>
      <c r="BK11" s="22">
        <v>-0.38900000000000001</v>
      </c>
      <c r="BL11" s="32">
        <f t="shared" si="19"/>
        <v>-69.896999999999963</v>
      </c>
      <c r="BM11" s="22">
        <v>-20.823</v>
      </c>
      <c r="BO11" s="32">
        <f t="shared" si="13"/>
        <v>-140.624</v>
      </c>
      <c r="BP11" s="22">
        <v>58.64</v>
      </c>
      <c r="BQ11" s="22">
        <v>-50.578000000000003</v>
      </c>
      <c r="BR11" s="22">
        <v>-378.35899999999998</v>
      </c>
      <c r="BS11" s="32">
        <f t="shared" si="14"/>
        <v>174.32099999999997</v>
      </c>
      <c r="BT11" s="22">
        <v>-22.145</v>
      </c>
      <c r="BV11" s="22">
        <v>41.09</v>
      </c>
      <c r="BW11" s="22">
        <v>-203.94399999999999</v>
      </c>
      <c r="BY11" s="22">
        <v>-337.26799999999997</v>
      </c>
      <c r="BZ11" s="22">
        <v>-204.33199999999999</v>
      </c>
      <c r="CB11" s="32">
        <f t="shared" si="15"/>
        <v>141.29199999999997</v>
      </c>
      <c r="CC11" s="32">
        <f t="shared" si="16"/>
        <v>-70.170999999999992</v>
      </c>
    </row>
    <row r="12" spans="2:81">
      <c r="B12" s="10" t="s">
        <v>235</v>
      </c>
      <c r="C12" s="20">
        <v>-2096.123</v>
      </c>
      <c r="D12" s="20">
        <v>-2700.723</v>
      </c>
      <c r="E12" s="20">
        <v>-2408.317</v>
      </c>
      <c r="F12" s="20">
        <v>-1980.2570000000001</v>
      </c>
      <c r="G12" s="20">
        <v>-1822.171</v>
      </c>
      <c r="H12" s="20">
        <v>-2199.9299999999998</v>
      </c>
      <c r="I12" s="20">
        <v>-2148.3690000000001</v>
      </c>
      <c r="J12" s="20">
        <v>-1972.088</v>
      </c>
      <c r="K12" s="20">
        <v>-2148.3690000000001</v>
      </c>
      <c r="L12" s="20">
        <v>-2227.6759999999999</v>
      </c>
      <c r="M12" s="20">
        <v>-2479.3539999999998</v>
      </c>
      <c r="N12" s="20">
        <v>-2497.5419999999999</v>
      </c>
      <c r="O12" s="20">
        <v>-1953.5940000000001</v>
      </c>
      <c r="P12" s="20">
        <v>-1513.7180000000001</v>
      </c>
      <c r="Q12" s="20">
        <v>-1206.7739999999999</v>
      </c>
      <c r="R12" s="21">
        <f t="shared" si="17"/>
        <v>-1112.971</v>
      </c>
      <c r="T12" s="22">
        <v>-602.404</v>
      </c>
      <c r="U12" s="22">
        <v>-611.21100000000001</v>
      </c>
      <c r="V12" s="22">
        <v>-600.12800000000004</v>
      </c>
      <c r="W12" s="21">
        <f t="shared" si="20"/>
        <v>-594.57399999999984</v>
      </c>
      <c r="X12" s="22">
        <v>-530.67200000000003</v>
      </c>
      <c r="Y12" s="22">
        <v>-502.14299999999997</v>
      </c>
      <c r="Z12" s="22">
        <v>-447.20400000000001</v>
      </c>
      <c r="AA12" s="21">
        <f t="shared" si="21"/>
        <v>-500.23800000000006</v>
      </c>
      <c r="AB12" s="22">
        <v>-416.56400000000002</v>
      </c>
      <c r="AC12" s="22">
        <v>-417.55500000000001</v>
      </c>
      <c r="AD12" s="22">
        <v>-460.99900000000002</v>
      </c>
      <c r="AE12" s="21">
        <f t="shared" si="7"/>
        <v>-527.05299999999988</v>
      </c>
      <c r="AF12" s="22">
        <v>-417.17399999999998</v>
      </c>
      <c r="AG12" s="22">
        <v>-528.87599999999998</v>
      </c>
      <c r="AH12" s="22">
        <v>-573.07899999999995</v>
      </c>
      <c r="AI12" s="21">
        <f t="shared" si="8"/>
        <v>-680.80099999999993</v>
      </c>
      <c r="AJ12" s="219"/>
      <c r="AK12" s="219"/>
      <c r="AL12" s="219"/>
      <c r="AM12" s="22">
        <v>-612.06200000000001</v>
      </c>
      <c r="AN12" s="22">
        <v>-525.36900000000003</v>
      </c>
      <c r="AO12" s="22">
        <v>-538.51300000000003</v>
      </c>
      <c r="AP12" s="22">
        <v>-668.25699999999995</v>
      </c>
      <c r="AQ12" s="29">
        <f t="shared" si="9"/>
        <v>-416.23</v>
      </c>
      <c r="AR12" s="22">
        <v>-449.86799999999999</v>
      </c>
      <c r="AS12" s="22">
        <v>-460.12299999999999</v>
      </c>
      <c r="AT12" s="22">
        <v>-568.58699999999999</v>
      </c>
      <c r="AU12" s="21">
        <f t="shared" si="10"/>
        <v>-669.79100000000017</v>
      </c>
      <c r="AV12" s="22">
        <v>-568.58699999999999</v>
      </c>
      <c r="AW12" s="21">
        <f t="shared" si="11"/>
        <v>-749.09799999999996</v>
      </c>
      <c r="AX12" s="22">
        <v>-568.68600000000004</v>
      </c>
      <c r="AY12" s="22">
        <v>-550.52599999999995</v>
      </c>
      <c r="AZ12" s="22">
        <v>-638.85400000000004</v>
      </c>
      <c r="BA12" s="22">
        <v>-624.03700000000003</v>
      </c>
      <c r="BB12" s="22">
        <v>-666.2</v>
      </c>
      <c r="BC12" s="22">
        <v>-666.2</v>
      </c>
      <c r="BD12" s="21">
        <f t="shared" si="12"/>
        <v>-605.61399999999981</v>
      </c>
      <c r="BE12" s="22">
        <v>-564.35400000000004</v>
      </c>
      <c r="BF12" s="22">
        <v>-531.24199999999996</v>
      </c>
      <c r="BG12" s="22">
        <v>-421.03300000000002</v>
      </c>
      <c r="BH12" s="32">
        <f t="shared" si="18"/>
        <v>-436.96500000000015</v>
      </c>
      <c r="BI12" s="22">
        <v>-385.67899999999997</v>
      </c>
      <c r="BJ12" s="22">
        <v>-331.55799999999999</v>
      </c>
      <c r="BK12" s="22">
        <v>-300.32299999999998</v>
      </c>
      <c r="BL12" s="32">
        <f t="shared" si="19"/>
        <v>-189.21399999999994</v>
      </c>
      <c r="BM12" s="22">
        <v>-291.87599999999998</v>
      </c>
      <c r="BO12" s="32">
        <f t="shared" si="13"/>
        <v>-656.77899999999977</v>
      </c>
      <c r="BP12" s="22">
        <v>-571.18700000000001</v>
      </c>
      <c r="BQ12" s="22">
        <v>-374.75200000000001</v>
      </c>
      <c r="BR12" s="22">
        <v>-357.61700000000002</v>
      </c>
      <c r="BS12" s="32">
        <f t="shared" si="14"/>
        <v>-210.16200000000003</v>
      </c>
      <c r="BT12" s="22">
        <v>-330.49299999999999</v>
      </c>
      <c r="BV12" s="22">
        <v>-808.57500000000005</v>
      </c>
      <c r="BW12" s="22">
        <v>-662.05100000000004</v>
      </c>
      <c r="BY12" s="22">
        <v>-1166.191</v>
      </c>
      <c r="BZ12" s="22">
        <v>-962.37400000000002</v>
      </c>
      <c r="CB12" s="32">
        <f t="shared" si="15"/>
        <v>-347.52700000000004</v>
      </c>
      <c r="CC12" s="32">
        <f t="shared" si="16"/>
        <v>-244.39999999999986</v>
      </c>
    </row>
    <row r="13" spans="2:81">
      <c r="B13" s="10" t="s">
        <v>236</v>
      </c>
      <c r="C13" s="20">
        <v>-1817.5989999999999</v>
      </c>
      <c r="D13" s="20">
        <v>-2108.7550000000001</v>
      </c>
      <c r="E13" s="20">
        <v>-2147.6979999999999</v>
      </c>
      <c r="F13" s="20">
        <v>-2001.47</v>
      </c>
      <c r="G13" s="20">
        <v>-1892.2719999999999</v>
      </c>
      <c r="H13" s="20">
        <v>-2192.6579999999999</v>
      </c>
      <c r="I13" s="20">
        <v>-1862.175</v>
      </c>
      <c r="J13" s="20">
        <v>-1858.864</v>
      </c>
      <c r="K13" s="20">
        <v>-1862.175</v>
      </c>
      <c r="L13" s="20">
        <v>-1757.81</v>
      </c>
      <c r="M13" s="20">
        <v>-1774.327</v>
      </c>
      <c r="N13" s="20">
        <v>-1774.327</v>
      </c>
      <c r="O13" s="20">
        <v>-1537.4559999999999</v>
      </c>
      <c r="P13" s="20">
        <v>-1007.41</v>
      </c>
      <c r="Q13" s="20">
        <v>-866.55</v>
      </c>
      <c r="R13" s="21">
        <f t="shared" si="17"/>
        <v>-759.66599999999994</v>
      </c>
      <c r="T13" s="22">
        <v>-550.88</v>
      </c>
      <c r="U13" s="22">
        <v>-565.84699999999998</v>
      </c>
      <c r="V13" s="22">
        <v>-506.78399999999999</v>
      </c>
      <c r="W13" s="21">
        <f t="shared" si="20"/>
        <v>-524.18699999999978</v>
      </c>
      <c r="X13" s="22">
        <v>-488.97899999999998</v>
      </c>
      <c r="Y13" s="22">
        <v>-516.25699999999995</v>
      </c>
      <c r="Z13" s="22">
        <v>-475.96199999999999</v>
      </c>
      <c r="AA13" s="21">
        <f t="shared" si="21"/>
        <v>-520.27200000000016</v>
      </c>
      <c r="AB13" s="22">
        <v>-497.36200000000002</v>
      </c>
      <c r="AC13" s="22">
        <v>-412.34800000000001</v>
      </c>
      <c r="AD13" s="22">
        <v>-440.084</v>
      </c>
      <c r="AE13" s="21">
        <f t="shared" si="7"/>
        <v>-542.47799999999984</v>
      </c>
      <c r="AF13" s="22">
        <v>-482.75599999999997</v>
      </c>
      <c r="AG13" s="22">
        <v>-567.57299999999998</v>
      </c>
      <c r="AH13" s="22">
        <v>-566.02300000000002</v>
      </c>
      <c r="AI13" s="21">
        <f t="shared" si="8"/>
        <v>-576.30599999999993</v>
      </c>
      <c r="AJ13" s="219"/>
      <c r="AK13" s="219"/>
      <c r="AL13" s="219"/>
      <c r="AM13" s="22">
        <v>-503.79899999999998</v>
      </c>
      <c r="AN13" s="22">
        <v>-537.34799999999996</v>
      </c>
      <c r="AO13" s="22">
        <v>-534.16399999999999</v>
      </c>
      <c r="AP13" s="22">
        <v>-529.77800000000002</v>
      </c>
      <c r="AQ13" s="29">
        <f t="shared" si="9"/>
        <v>-260.88499999999999</v>
      </c>
      <c r="AR13" s="22">
        <v>-476.45</v>
      </c>
      <c r="AS13" s="22">
        <v>-449.12</v>
      </c>
      <c r="AT13" s="22">
        <v>-414.77199999999999</v>
      </c>
      <c r="AU13" s="21">
        <f t="shared" si="10"/>
        <v>-521.83299999999986</v>
      </c>
      <c r="AV13" s="22">
        <v>-414.77199999999999</v>
      </c>
      <c r="AW13" s="21">
        <f t="shared" si="11"/>
        <v>-417.4679999999999</v>
      </c>
      <c r="AX13" s="22">
        <v>-426.41399999999999</v>
      </c>
      <c r="AY13" s="22">
        <v>-405.83100000000002</v>
      </c>
      <c r="AZ13" s="22">
        <v>-471.13</v>
      </c>
      <c r="BA13" s="22">
        <v>-450.452</v>
      </c>
      <c r="BB13" s="22">
        <v>-461.87700000000001</v>
      </c>
      <c r="BC13" s="22">
        <v>-461.87700000000001</v>
      </c>
      <c r="BD13" s="21">
        <f t="shared" si="12"/>
        <v>-414.90600000000012</v>
      </c>
      <c r="BE13" s="22">
        <v>-431.577</v>
      </c>
      <c r="BF13" s="22">
        <v>-436.28300000000002</v>
      </c>
      <c r="BG13" s="22">
        <v>-342.54500000000002</v>
      </c>
      <c r="BH13" s="32">
        <f t="shared" si="18"/>
        <v>-327.05099999999993</v>
      </c>
      <c r="BI13" s="22">
        <v>-304.20400000000001</v>
      </c>
      <c r="BJ13" s="22">
        <v>-215.964</v>
      </c>
      <c r="BK13" s="22">
        <v>-214.02699999999999</v>
      </c>
      <c r="BL13" s="32">
        <f t="shared" si="19"/>
        <v>-132.35500000000002</v>
      </c>
      <c r="BM13" s="22">
        <v>-197.32</v>
      </c>
      <c r="BO13" s="32">
        <f t="shared" si="13"/>
        <v>-456.16699999999992</v>
      </c>
      <c r="BP13" s="22">
        <v>-431.577</v>
      </c>
      <c r="BQ13" s="22">
        <v>-294.25299999999999</v>
      </c>
      <c r="BR13" s="22">
        <v>-215.61500000000001</v>
      </c>
      <c r="BS13" s="32">
        <f t="shared" si="14"/>
        <v>-65.965000000000032</v>
      </c>
      <c r="BT13" s="22">
        <v>-213.26400000000001</v>
      </c>
      <c r="BV13" s="22">
        <v>-583.81700000000001</v>
      </c>
      <c r="BW13" s="22">
        <v>-429.22699999999998</v>
      </c>
      <c r="BY13" s="22">
        <v>-799.43299999999999</v>
      </c>
      <c r="BZ13" s="22">
        <v>-643.25400000000002</v>
      </c>
      <c r="CB13" s="32">
        <f t="shared" si="15"/>
        <v>-207.97699999999998</v>
      </c>
      <c r="CC13" s="32">
        <f t="shared" si="16"/>
        <v>-223.29599999999994</v>
      </c>
    </row>
    <row r="14" spans="2:81">
      <c r="B14" s="10" t="s">
        <v>237</v>
      </c>
      <c r="C14" s="20">
        <v>-8074.3119999999999</v>
      </c>
      <c r="D14" s="20">
        <v>-8455.866</v>
      </c>
      <c r="E14" s="20">
        <v>-8927.4989999999998</v>
      </c>
      <c r="F14" s="20">
        <v>-7406.7979999999998</v>
      </c>
      <c r="G14" s="20">
        <v>-7305.59</v>
      </c>
      <c r="H14" s="20">
        <v>-7963.2330000000002</v>
      </c>
      <c r="I14" s="20">
        <v>-6328.8249999999998</v>
      </c>
      <c r="J14" s="20">
        <v>-5685.3310000000001</v>
      </c>
      <c r="K14" s="20">
        <v>-6328.8249999999998</v>
      </c>
      <c r="L14" s="20">
        <v>-5747.0140000000001</v>
      </c>
      <c r="M14" s="20">
        <v>-6128.7160000000003</v>
      </c>
      <c r="N14" s="20">
        <v>-6135.2719999999999</v>
      </c>
      <c r="O14" s="20">
        <v>-5958.7569999999996</v>
      </c>
      <c r="P14" s="20">
        <v>-2949.7269999999999</v>
      </c>
      <c r="Q14" s="20">
        <v>-2885.2840000000001</v>
      </c>
      <c r="R14" s="21">
        <f t="shared" si="17"/>
        <v>-2015.33</v>
      </c>
      <c r="T14" s="22">
        <v>-2143.009</v>
      </c>
      <c r="U14" s="22">
        <v>-2121.201</v>
      </c>
      <c r="V14" s="22">
        <v>-2200.2310000000002</v>
      </c>
      <c r="W14" s="21">
        <f t="shared" si="20"/>
        <v>-2463.058</v>
      </c>
      <c r="X14" s="22">
        <v>-2005.5219999999999</v>
      </c>
      <c r="Y14" s="22">
        <v>-1832.29</v>
      </c>
      <c r="Z14" s="22">
        <v>-1942.82</v>
      </c>
      <c r="AA14" s="21">
        <f t="shared" si="21"/>
        <v>-1626.1660000000002</v>
      </c>
      <c r="AB14" s="22">
        <v>-1892.56</v>
      </c>
      <c r="AC14" s="22">
        <v>-1870.242</v>
      </c>
      <c r="AD14" s="22">
        <v>-1846.424</v>
      </c>
      <c r="AE14" s="21">
        <f t="shared" si="7"/>
        <v>-1696.364</v>
      </c>
      <c r="AF14" s="22">
        <v>-1924.25</v>
      </c>
      <c r="AG14" s="22">
        <v>-1930.3340000000001</v>
      </c>
      <c r="AH14" s="22">
        <v>-1978.6869999999999</v>
      </c>
      <c r="AI14" s="21">
        <f t="shared" si="8"/>
        <v>-2129.9620000000004</v>
      </c>
      <c r="AJ14" s="219"/>
      <c r="AK14" s="219"/>
      <c r="AL14" s="219"/>
      <c r="AM14" s="22">
        <v>-1552.268</v>
      </c>
      <c r="AN14" s="22">
        <v>-1983.5150000000001</v>
      </c>
      <c r="AO14" s="22">
        <v>-2089.2649999999999</v>
      </c>
      <c r="AP14" s="22">
        <v>-2223.5520000000001</v>
      </c>
      <c r="AQ14" s="29">
        <f t="shared" si="9"/>
        <v>-32.492999999999483</v>
      </c>
      <c r="AR14" s="22">
        <v>-1417.3389999999999</v>
      </c>
      <c r="AS14" s="22">
        <v>-1548.441</v>
      </c>
      <c r="AT14" s="22">
        <v>-1623.2</v>
      </c>
      <c r="AU14" s="21">
        <f t="shared" si="10"/>
        <v>-1739.845</v>
      </c>
      <c r="AV14" s="22">
        <v>-1623.2</v>
      </c>
      <c r="AW14" s="21">
        <f t="shared" si="11"/>
        <v>-1158.0340000000003</v>
      </c>
      <c r="AX14" s="22">
        <v>-1507.643</v>
      </c>
      <c r="AY14" s="22">
        <v>-1419.337</v>
      </c>
      <c r="AZ14" s="22">
        <v>-1647.2719999999999</v>
      </c>
      <c r="BA14" s="22">
        <v>-1530.4639999999999</v>
      </c>
      <c r="BB14" s="22">
        <v>-1528.7280000000001</v>
      </c>
      <c r="BC14" s="22">
        <v>-1528.7280000000001</v>
      </c>
      <c r="BD14" s="21">
        <f t="shared" si="12"/>
        <v>-1445.0730000000003</v>
      </c>
      <c r="BE14" s="22">
        <v>-1497.0329999999999</v>
      </c>
      <c r="BF14" s="22">
        <v>-1513.9849999999999</v>
      </c>
      <c r="BG14" s="22">
        <v>-1507.9739999999999</v>
      </c>
      <c r="BH14" s="32">
        <f t="shared" si="18"/>
        <v>-1439.7649999999994</v>
      </c>
      <c r="BI14" s="22">
        <v>-1516.152</v>
      </c>
      <c r="BJ14" s="22">
        <v>-638.98500000000001</v>
      </c>
      <c r="BK14" s="22">
        <v>-687.21199999999999</v>
      </c>
      <c r="BL14" s="32">
        <f t="shared" si="19"/>
        <v>-42.934999999999945</v>
      </c>
      <c r="BM14" s="22">
        <v>-646.19799999999998</v>
      </c>
      <c r="BO14" s="32">
        <f t="shared" si="13"/>
        <v>-1656.7429999999995</v>
      </c>
      <c r="BP14" s="22">
        <v>-1498.4159999999999</v>
      </c>
      <c r="BQ14" s="22">
        <v>-783.62699999999995</v>
      </c>
      <c r="BR14" s="22">
        <v>-746.35199999999998</v>
      </c>
      <c r="BS14" s="32">
        <f t="shared" si="14"/>
        <v>78.667999999999665</v>
      </c>
      <c r="BT14" s="22">
        <v>-797.21500000000003</v>
      </c>
      <c r="BV14" s="22">
        <v>-1515.9860000000001</v>
      </c>
      <c r="BW14" s="22">
        <v>-1436.201</v>
      </c>
      <c r="BY14" s="22">
        <v>-2262.3380000000002</v>
      </c>
      <c r="BZ14" s="22">
        <v>-2123.4140000000002</v>
      </c>
      <c r="CB14" s="32">
        <f t="shared" si="15"/>
        <v>-687.38899999999967</v>
      </c>
      <c r="CC14" s="32">
        <f t="shared" si="16"/>
        <v>-761.86999999999989</v>
      </c>
    </row>
    <row r="15" spans="2:81">
      <c r="B15" s="10" t="s">
        <v>238</v>
      </c>
      <c r="C15" s="20">
        <v>-1564.71</v>
      </c>
      <c r="D15" s="20">
        <v>-1906.9390000000001</v>
      </c>
      <c r="E15" s="20">
        <v>-2068.1329999999998</v>
      </c>
      <c r="F15" s="20">
        <v>-2220.1999999999998</v>
      </c>
      <c r="G15" s="20">
        <v>-2227.5320000000002</v>
      </c>
      <c r="H15" s="20">
        <v>-2071.0059999999999</v>
      </c>
      <c r="I15" s="20">
        <v>-1662.47</v>
      </c>
      <c r="J15" s="20">
        <v>-1536.7280000000001</v>
      </c>
      <c r="K15" s="20">
        <v>-1662.47</v>
      </c>
      <c r="L15" s="20">
        <v>-1570.643</v>
      </c>
      <c r="M15" s="20">
        <v>-1719.19</v>
      </c>
      <c r="N15" s="20">
        <v>-1731.3320000000001</v>
      </c>
      <c r="O15" s="20">
        <v>-1614.394</v>
      </c>
      <c r="P15" s="20">
        <v>-1280.3920000000001</v>
      </c>
      <c r="Q15" s="20">
        <v>-1305.327</v>
      </c>
      <c r="R15" s="21">
        <f t="shared" si="17"/>
        <v>-1187.4989999999998</v>
      </c>
      <c r="T15" s="22">
        <v>-415.54599999999999</v>
      </c>
      <c r="U15" s="22">
        <v>-525.63800000000003</v>
      </c>
      <c r="V15" s="22">
        <v>-525.31200000000001</v>
      </c>
      <c r="W15" s="21">
        <f t="shared" si="20"/>
        <v>-601.63699999999994</v>
      </c>
      <c r="X15" s="22">
        <v>-502.49599999999998</v>
      </c>
      <c r="Y15" s="22">
        <v>-632.39700000000005</v>
      </c>
      <c r="Z15" s="22">
        <v>-545.59100000000001</v>
      </c>
      <c r="AA15" s="21">
        <f t="shared" si="21"/>
        <v>-539.71600000000001</v>
      </c>
      <c r="AB15" s="22">
        <v>-650.21299999999997</v>
      </c>
      <c r="AC15" s="22">
        <v>-508.51900000000001</v>
      </c>
      <c r="AD15" s="22">
        <v>-524.51199999999994</v>
      </c>
      <c r="AE15" s="21">
        <f t="shared" si="7"/>
        <v>-544.28800000000024</v>
      </c>
      <c r="AF15" s="22">
        <v>-519.66499999999996</v>
      </c>
      <c r="AG15" s="22">
        <v>-520.29300000000001</v>
      </c>
      <c r="AH15" s="22">
        <v>-551.81899999999996</v>
      </c>
      <c r="AI15" s="21">
        <f t="shared" si="8"/>
        <v>-479.22899999999993</v>
      </c>
      <c r="AJ15" s="219"/>
      <c r="AK15" s="219"/>
      <c r="AL15" s="219"/>
      <c r="AM15" s="22">
        <v>-341.12700000000001</v>
      </c>
      <c r="AN15" s="22">
        <v>-499.44799999999998</v>
      </c>
      <c r="AO15" s="22">
        <v>-543.21100000000001</v>
      </c>
      <c r="AP15" s="22">
        <v>-608.34799999999996</v>
      </c>
      <c r="AQ15" s="29">
        <f t="shared" si="9"/>
        <v>-11.462999999999965</v>
      </c>
      <c r="AR15" s="22">
        <v>-374.89</v>
      </c>
      <c r="AS15" s="22">
        <v>-395.351</v>
      </c>
      <c r="AT15" s="22">
        <v>-420.16300000000001</v>
      </c>
      <c r="AU15" s="21">
        <f t="shared" si="10"/>
        <v>-472.06599999999992</v>
      </c>
      <c r="AV15" s="22">
        <v>-420.16300000000001</v>
      </c>
      <c r="AW15" s="21">
        <f t="shared" si="11"/>
        <v>-380.23900000000015</v>
      </c>
      <c r="AX15" s="22">
        <v>-432.43599999999998</v>
      </c>
      <c r="AY15" s="22">
        <v>-410.339</v>
      </c>
      <c r="AZ15" s="22">
        <v>-474.69900000000001</v>
      </c>
      <c r="BA15" s="22">
        <v>-450.56</v>
      </c>
      <c r="BB15" s="22">
        <v>-464.41500000000002</v>
      </c>
      <c r="BC15" s="22">
        <v>-464.41500000000002</v>
      </c>
      <c r="BD15" s="21">
        <f t="shared" si="12"/>
        <v>-347.64000000000004</v>
      </c>
      <c r="BE15" s="22">
        <v>-409.48899999999998</v>
      </c>
      <c r="BF15" s="22">
        <v>-423.423</v>
      </c>
      <c r="BG15" s="22">
        <v>-384.29</v>
      </c>
      <c r="BH15" s="32">
        <f t="shared" si="18"/>
        <v>-397.19200000000001</v>
      </c>
      <c r="BI15" s="22">
        <v>-401.625</v>
      </c>
      <c r="BJ15" s="22">
        <v>-335.82499999999999</v>
      </c>
      <c r="BK15" s="22">
        <v>-340.35199999999998</v>
      </c>
      <c r="BL15" s="32">
        <f t="shared" si="19"/>
        <v>-227.52499999999986</v>
      </c>
      <c r="BM15" s="22">
        <v>-283.79700000000003</v>
      </c>
      <c r="BO15" s="32">
        <f t="shared" si="13"/>
        <v>-406.01800000000003</v>
      </c>
      <c r="BP15" s="22">
        <v>-412.80399999999997</v>
      </c>
      <c r="BQ15" s="22">
        <v>-337.28699999999998</v>
      </c>
      <c r="BR15" s="22">
        <v>-309.464</v>
      </c>
      <c r="BS15" s="32">
        <f t="shared" si="14"/>
        <v>-220.83700000000022</v>
      </c>
      <c r="BT15" s="22">
        <v>-313.15699999999998</v>
      </c>
      <c r="BV15" s="22">
        <v>-665.86099999999999</v>
      </c>
      <c r="BW15" s="22">
        <v>-648.98299999999995</v>
      </c>
      <c r="BY15" s="22">
        <v>-975.32500000000005</v>
      </c>
      <c r="BZ15" s="22">
        <v>-989.33500000000004</v>
      </c>
      <c r="CB15" s="32">
        <f t="shared" si="15"/>
        <v>-305.06700000000001</v>
      </c>
      <c r="CC15" s="32">
        <f t="shared" si="16"/>
        <v>-315.99199999999996</v>
      </c>
    </row>
    <row r="16" spans="2:81">
      <c r="B16" s="10" t="s">
        <v>239</v>
      </c>
      <c r="C16" s="20">
        <v>0</v>
      </c>
      <c r="D16" s="20">
        <v>0</v>
      </c>
      <c r="E16" s="20">
        <v>0</v>
      </c>
      <c r="F16" s="20">
        <v>-355.43700000000001</v>
      </c>
      <c r="G16" s="20">
        <v>-298.73099999999999</v>
      </c>
      <c r="H16" s="20">
        <v>-69.816999999999993</v>
      </c>
      <c r="I16" s="20">
        <v>-127.251</v>
      </c>
      <c r="J16" s="20">
        <v>-39.097999999999999</v>
      </c>
      <c r="K16" s="20">
        <v>-127.251</v>
      </c>
      <c r="L16" s="20">
        <v>-97.222999999999999</v>
      </c>
      <c r="M16" s="20">
        <v>-271.81</v>
      </c>
      <c r="N16" s="20">
        <v>-270.50900000000001</v>
      </c>
      <c r="O16" s="20">
        <v>-141.172</v>
      </c>
      <c r="P16" s="20">
        <v>-102.354</v>
      </c>
      <c r="Q16" s="20">
        <v>-33.619</v>
      </c>
      <c r="R16" s="21">
        <f t="shared" si="17"/>
        <v>-31.404</v>
      </c>
      <c r="T16" s="22">
        <v>0</v>
      </c>
      <c r="U16" s="22">
        <v>0</v>
      </c>
      <c r="V16" s="22">
        <v>0</v>
      </c>
      <c r="W16" s="21">
        <f t="shared" si="20"/>
        <v>0</v>
      </c>
      <c r="X16" s="22">
        <v>0</v>
      </c>
      <c r="Y16" s="22">
        <v>0</v>
      </c>
      <c r="Z16" s="22">
        <v>0</v>
      </c>
      <c r="AA16" s="21">
        <f t="shared" si="21"/>
        <v>-355.43700000000001</v>
      </c>
      <c r="AB16" s="22">
        <v>-75.992000000000004</v>
      </c>
      <c r="AC16" s="22">
        <v>0</v>
      </c>
      <c r="AD16" s="22">
        <v>0</v>
      </c>
      <c r="AE16" s="21">
        <f t="shared" si="7"/>
        <v>-222.73899999999998</v>
      </c>
      <c r="AF16" s="22">
        <v>-28.318999999999999</v>
      </c>
      <c r="AG16" s="22">
        <v>-32.119999999999997</v>
      </c>
      <c r="AH16" s="22">
        <v>-13.968999999999999</v>
      </c>
      <c r="AI16" s="21">
        <f t="shared" si="8"/>
        <v>4.5910000000000046</v>
      </c>
      <c r="AJ16" s="219"/>
      <c r="AK16" s="219"/>
      <c r="AL16" s="219"/>
      <c r="AM16" s="22">
        <v>-5.3540000000000001</v>
      </c>
      <c r="AN16" s="22">
        <v>-25.808</v>
      </c>
      <c r="AO16" s="22">
        <v>11.532</v>
      </c>
      <c r="AP16" s="22">
        <v>-26.776</v>
      </c>
      <c r="AQ16" s="29">
        <f t="shared" si="9"/>
        <v>-86.199000000000012</v>
      </c>
      <c r="AR16" s="22">
        <v>-19.064</v>
      </c>
      <c r="AS16" s="22">
        <v>-14.9</v>
      </c>
      <c r="AT16" s="22">
        <v>-32.893000000000001</v>
      </c>
      <c r="AU16" s="21">
        <f t="shared" si="10"/>
        <v>-60.394000000000005</v>
      </c>
      <c r="AV16" s="22">
        <v>-32.893000000000001</v>
      </c>
      <c r="AW16" s="21">
        <f t="shared" si="11"/>
        <v>-30.365999999999993</v>
      </c>
      <c r="AX16" s="22">
        <v>-26.806000000000001</v>
      </c>
      <c r="AY16" s="22">
        <v>-27.920999999999999</v>
      </c>
      <c r="AZ16" s="22">
        <v>-33.798000000000002</v>
      </c>
      <c r="BA16" s="22">
        <v>-33.460999999999999</v>
      </c>
      <c r="BB16" s="22">
        <v>-36.469000000000001</v>
      </c>
      <c r="BC16" s="22">
        <v>-36.469000000000001</v>
      </c>
      <c r="BD16" s="21">
        <f t="shared" si="12"/>
        <v>-174.73699999999999</v>
      </c>
      <c r="BE16" s="22">
        <v>-22.762</v>
      </c>
      <c r="BF16" s="22">
        <v>-25.634</v>
      </c>
      <c r="BG16" s="22">
        <v>-31.013000000000002</v>
      </c>
      <c r="BH16" s="32">
        <f t="shared" si="18"/>
        <v>-61.762999999999991</v>
      </c>
      <c r="BI16" s="22">
        <v>-27.021000000000001</v>
      </c>
      <c r="BJ16" s="22">
        <v>-4.0389999999999997</v>
      </c>
      <c r="BK16" s="22">
        <v>-16.146000000000001</v>
      </c>
      <c r="BL16" s="32">
        <f t="shared" si="19"/>
        <v>13.587000000000003</v>
      </c>
      <c r="BM16" s="22">
        <v>-24.806000000000001</v>
      </c>
      <c r="BO16" s="32">
        <f t="shared" si="13"/>
        <v>-172.65800000000002</v>
      </c>
      <c r="BP16" s="22">
        <v>-21.513000000000002</v>
      </c>
      <c r="BQ16" s="22">
        <v>-16.706</v>
      </c>
      <c r="BR16" s="22">
        <v>-22.097999999999999</v>
      </c>
      <c r="BS16" s="32">
        <f t="shared" si="14"/>
        <v>-42.036999999999999</v>
      </c>
      <c r="BT16" s="22">
        <v>-18.559000000000001</v>
      </c>
      <c r="BV16" s="22">
        <v>-28.754999999999999</v>
      </c>
      <c r="BW16" s="22">
        <v>-22.599</v>
      </c>
      <c r="BY16" s="22">
        <v>-50.853000000000002</v>
      </c>
      <c r="BZ16" s="22">
        <v>-38.744</v>
      </c>
      <c r="CB16" s="32">
        <f t="shared" si="15"/>
        <v>-51.500999999999998</v>
      </c>
      <c r="CC16" s="32">
        <f t="shared" si="16"/>
        <v>5.125</v>
      </c>
    </row>
    <row r="17" spans="2:81">
      <c r="B17" s="10" t="s">
        <v>240</v>
      </c>
      <c r="C17" s="20">
        <v>-68.161000000000001</v>
      </c>
      <c r="D17" s="20">
        <v>-57.655000000000001</v>
      </c>
      <c r="E17" s="20">
        <v>-25.242000000000001</v>
      </c>
      <c r="F17" s="20">
        <v>-22.600999999999999</v>
      </c>
      <c r="G17" s="20">
        <v>2.6930000000000001</v>
      </c>
      <c r="H17" s="20">
        <v>52.033999999999999</v>
      </c>
      <c r="I17" s="20">
        <v>28.225000000000001</v>
      </c>
      <c r="J17" s="20">
        <v>17.026</v>
      </c>
      <c r="K17" s="20">
        <v>28.225000000000001</v>
      </c>
      <c r="L17" s="20">
        <v>5.3479999999999999</v>
      </c>
      <c r="M17" s="20">
        <v>-5.3419999999999996</v>
      </c>
      <c r="N17" s="20">
        <v>-5.3419999999999996</v>
      </c>
      <c r="O17" s="20">
        <v>-0.85199999999999998</v>
      </c>
      <c r="P17" s="20">
        <v>-0.85199999999999998</v>
      </c>
      <c r="Q17" s="20">
        <v>6.0750000000000002</v>
      </c>
      <c r="R17" s="21">
        <f t="shared" si="17"/>
        <v>5.2520000000000007</v>
      </c>
      <c r="T17" s="22">
        <v>20.262</v>
      </c>
      <c r="U17" s="22">
        <v>49.509</v>
      </c>
      <c r="V17" s="22">
        <v>27.673999999999999</v>
      </c>
      <c r="W17" s="21">
        <f t="shared" si="20"/>
        <v>-122.687</v>
      </c>
      <c r="X17" s="22">
        <v>-22.709</v>
      </c>
      <c r="Y17" s="22">
        <v>-8.8999999999999996E-2</v>
      </c>
      <c r="Z17" s="22">
        <v>-0.122</v>
      </c>
      <c r="AA17" s="21">
        <f t="shared" si="21"/>
        <v>0.31899999999999906</v>
      </c>
      <c r="AB17" s="22">
        <v>0.56599999999999995</v>
      </c>
      <c r="AC17" s="22">
        <v>0.61</v>
      </c>
      <c r="AD17" s="22">
        <v>0.77800000000000002</v>
      </c>
      <c r="AE17" s="21">
        <f t="shared" si="7"/>
        <v>0.73900000000000021</v>
      </c>
      <c r="AF17" s="22">
        <v>16.202000000000002</v>
      </c>
      <c r="AG17" s="22">
        <v>6.4950000000000001</v>
      </c>
      <c r="AH17" s="22">
        <v>41.722999999999999</v>
      </c>
      <c r="AI17" s="21">
        <f t="shared" si="8"/>
        <v>-12.386000000000003</v>
      </c>
      <c r="AJ17" s="219"/>
      <c r="AK17" s="219"/>
      <c r="AL17" s="219"/>
      <c r="AM17" s="22">
        <v>-12.382999999999999</v>
      </c>
      <c r="AN17" s="22">
        <v>11.509</v>
      </c>
      <c r="AO17" s="22">
        <v>8.7560000000000002</v>
      </c>
      <c r="AP17" s="22">
        <v>5.016</v>
      </c>
      <c r="AQ17" s="29">
        <f t="shared" si="9"/>
        <v>2.9440000000000026</v>
      </c>
      <c r="AR17" s="22">
        <v>11.510999999999999</v>
      </c>
      <c r="AS17" s="22">
        <v>8.7560000000000002</v>
      </c>
      <c r="AT17" s="22">
        <v>-2.3149999999999999</v>
      </c>
      <c r="AU17" s="21">
        <f t="shared" si="10"/>
        <v>10.273000000000001</v>
      </c>
      <c r="AV17" s="22">
        <v>-2.3149999999999999</v>
      </c>
      <c r="AW17" s="21">
        <f t="shared" si="11"/>
        <v>-12.604000000000001</v>
      </c>
      <c r="AX17" s="22">
        <v>6.31</v>
      </c>
      <c r="AY17" s="22">
        <v>-1.2470000000000001</v>
      </c>
      <c r="AZ17" s="22">
        <v>6.8010000000000002</v>
      </c>
      <c r="BA17" s="22">
        <v>1.58</v>
      </c>
      <c r="BB17" s="22">
        <v>0.13200000000000001</v>
      </c>
      <c r="BC17" s="22">
        <v>0.13200000000000001</v>
      </c>
      <c r="BD17" s="21">
        <f t="shared" si="12"/>
        <v>-18.585000000000001</v>
      </c>
      <c r="BE17" s="22">
        <v>2.4630000000000001</v>
      </c>
      <c r="BF17" s="22">
        <v>-0.82899999999999996</v>
      </c>
      <c r="BG17" s="22">
        <v>2.0070000000000001</v>
      </c>
      <c r="BH17" s="32">
        <f t="shared" si="18"/>
        <v>-4.4930000000000003</v>
      </c>
      <c r="BI17" s="22">
        <v>2.5249999999999999</v>
      </c>
      <c r="BJ17" s="22">
        <v>1.214</v>
      </c>
      <c r="BK17" s="22">
        <v>1.8620000000000001</v>
      </c>
      <c r="BL17" s="32">
        <f t="shared" si="19"/>
        <v>0.4740000000000002</v>
      </c>
      <c r="BM17" s="22">
        <v>1.702</v>
      </c>
      <c r="BO17" s="32">
        <f t="shared" si="13"/>
        <v>-5.8069999999999995</v>
      </c>
      <c r="BP17" s="22">
        <v>2.4630000000000001</v>
      </c>
      <c r="BQ17" s="22">
        <v>-0.82899999999999996</v>
      </c>
      <c r="BR17" s="22">
        <v>2.0070000000000001</v>
      </c>
      <c r="BS17" s="32">
        <f t="shared" si="14"/>
        <v>-4.4930000000000003</v>
      </c>
      <c r="BT17" s="22">
        <v>2.5249999999999999</v>
      </c>
      <c r="BV17" s="22">
        <v>1.6339999999999999</v>
      </c>
      <c r="BW17" s="22">
        <v>3.74</v>
      </c>
      <c r="BY17" s="22">
        <v>3.6419999999999999</v>
      </c>
      <c r="BZ17" s="22">
        <v>5.601</v>
      </c>
      <c r="CB17" s="32">
        <f t="shared" si="15"/>
        <v>-4.4939999999999998</v>
      </c>
      <c r="CC17" s="32">
        <f t="shared" si="16"/>
        <v>0.4740000000000002</v>
      </c>
    </row>
    <row r="18" spans="2:81">
      <c r="B18" s="10" t="s">
        <v>241</v>
      </c>
      <c r="C18" s="20">
        <v>534.56600000000003</v>
      </c>
      <c r="D18" s="20">
        <v>5.37</v>
      </c>
      <c r="E18" s="20">
        <v>-3057.5920000000001</v>
      </c>
      <c r="F18" s="20">
        <v>714.39200000000005</v>
      </c>
      <c r="G18" s="20">
        <v>516.39300000000003</v>
      </c>
      <c r="H18" s="20">
        <v>398.65499999999997</v>
      </c>
      <c r="I18" s="20">
        <v>-33.426000000000002</v>
      </c>
      <c r="J18" s="20">
        <v>107.224</v>
      </c>
      <c r="K18" s="20">
        <v>-33.426000000000002</v>
      </c>
      <c r="L18" s="20">
        <v>-0.104</v>
      </c>
      <c r="M18" s="20">
        <v>91.066999999999993</v>
      </c>
      <c r="N18" s="20">
        <v>96.546999999999997</v>
      </c>
      <c r="O18" s="20">
        <v>80.506</v>
      </c>
      <c r="P18" s="20">
        <v>-6.4610000000000003</v>
      </c>
      <c r="Q18" s="20">
        <v>-2.5449999999999999</v>
      </c>
      <c r="R18" s="21">
        <f t="shared" si="17"/>
        <v>-21.779999999999998</v>
      </c>
      <c r="T18" s="22">
        <v>57.774000000000001</v>
      </c>
      <c r="U18" s="22">
        <v>-3273.8389999999999</v>
      </c>
      <c r="V18" s="22">
        <v>103.16800000000001</v>
      </c>
      <c r="W18" s="21">
        <f t="shared" si="20"/>
        <v>55.304999999999723</v>
      </c>
      <c r="X18" s="22">
        <v>460.57</v>
      </c>
      <c r="Y18" s="22">
        <v>145.435</v>
      </c>
      <c r="Z18" s="22">
        <v>36.167999999999999</v>
      </c>
      <c r="AA18" s="21">
        <f t="shared" si="21"/>
        <v>72.218999999999994</v>
      </c>
      <c r="AB18" s="22">
        <v>414.55599999999998</v>
      </c>
      <c r="AC18" s="22">
        <v>10.989000000000001</v>
      </c>
      <c r="AD18" s="22">
        <v>43.670999999999999</v>
      </c>
      <c r="AE18" s="21">
        <f t="shared" si="7"/>
        <v>47.177000000000078</v>
      </c>
      <c r="AF18" s="22">
        <v>69.564999999999998</v>
      </c>
      <c r="AG18" s="22">
        <v>34.564999999999998</v>
      </c>
      <c r="AH18" s="22">
        <v>135.24299999999999</v>
      </c>
      <c r="AI18" s="21">
        <f t="shared" si="8"/>
        <v>159.28199999999998</v>
      </c>
      <c r="AJ18" s="219"/>
      <c r="AK18" s="219"/>
      <c r="AL18" s="219"/>
      <c r="AM18" s="22">
        <v>25.195</v>
      </c>
      <c r="AN18" s="22">
        <v>46.034999999999997</v>
      </c>
      <c r="AO18" s="22">
        <v>22.599</v>
      </c>
      <c r="AP18" s="22">
        <v>-29.547000000000001</v>
      </c>
      <c r="AQ18" s="29">
        <f t="shared" si="9"/>
        <v>-72.513000000000005</v>
      </c>
      <c r="AR18" s="22">
        <v>30.184000000000001</v>
      </c>
      <c r="AS18" s="22">
        <v>-2.4</v>
      </c>
      <c r="AT18" s="22">
        <v>-82.775999999999996</v>
      </c>
      <c r="AU18" s="21">
        <f t="shared" si="10"/>
        <v>21.565999999999995</v>
      </c>
      <c r="AV18" s="22">
        <v>-82.775999999999996</v>
      </c>
      <c r="AW18" s="21">
        <f t="shared" si="11"/>
        <v>54.887999999999991</v>
      </c>
      <c r="AX18" s="22">
        <v>10.993</v>
      </c>
      <c r="AY18" s="22">
        <v>10.401999999999999</v>
      </c>
      <c r="AZ18" s="22">
        <v>-407.09</v>
      </c>
      <c r="BA18" s="22">
        <v>-9.8450000000000006</v>
      </c>
      <c r="BB18" s="22">
        <v>26.571000000000002</v>
      </c>
      <c r="BC18" s="22">
        <v>26.571000000000002</v>
      </c>
      <c r="BD18" s="21">
        <f t="shared" si="12"/>
        <v>460.59299999999996</v>
      </c>
      <c r="BE18" s="22">
        <v>26.161000000000001</v>
      </c>
      <c r="BF18" s="22">
        <v>-6.6820000000000004</v>
      </c>
      <c r="BG18" s="22">
        <v>12.569000000000001</v>
      </c>
      <c r="BH18" s="32">
        <f t="shared" si="18"/>
        <v>48.457999999999998</v>
      </c>
      <c r="BI18" s="22">
        <v>14.794</v>
      </c>
      <c r="BJ18" s="22">
        <v>5.9029999999999996</v>
      </c>
      <c r="BK18" s="22">
        <v>-45.963999999999999</v>
      </c>
      <c r="BL18" s="32">
        <f t="shared" si="19"/>
        <v>22.722000000000001</v>
      </c>
      <c r="BM18" s="22">
        <v>-4.4409999999999998</v>
      </c>
      <c r="BO18" s="32">
        <f t="shared" si="13"/>
        <v>69.418999999999997</v>
      </c>
      <c r="BP18" s="22">
        <v>29.893999999999998</v>
      </c>
      <c r="BQ18" s="22">
        <v>-38.018999999999998</v>
      </c>
      <c r="BR18" s="22">
        <v>-9.3109999999999999</v>
      </c>
      <c r="BS18" s="32">
        <f t="shared" si="14"/>
        <v>10.975</v>
      </c>
      <c r="BT18" s="22">
        <v>8.4920000000000009</v>
      </c>
      <c r="BV18" s="22">
        <v>-49.523000000000003</v>
      </c>
      <c r="BW18" s="22">
        <v>14.394</v>
      </c>
      <c r="BY18" s="22">
        <v>-58.829000000000001</v>
      </c>
      <c r="BZ18" s="22">
        <v>-31.568999999999999</v>
      </c>
      <c r="CB18" s="32">
        <f t="shared" si="15"/>
        <v>52.368000000000002</v>
      </c>
      <c r="CC18" s="32">
        <f t="shared" si="16"/>
        <v>29.024000000000001</v>
      </c>
    </row>
    <row r="19" spans="2:81" s="6" customFormat="1">
      <c r="B19" s="23" t="s">
        <v>242</v>
      </c>
      <c r="C19" s="24">
        <f t="shared" ref="C19:K19" si="22">C7+SUM(C9:C18)</f>
        <v>2727.2059999999983</v>
      </c>
      <c r="D19" s="24">
        <f t="shared" si="22"/>
        <v>3000.0570000000007</v>
      </c>
      <c r="E19" s="24">
        <f t="shared" si="22"/>
        <v>-2385.1270000000004</v>
      </c>
      <c r="F19" s="24">
        <f t="shared" si="22"/>
        <v>4232.1260000000002</v>
      </c>
      <c r="G19" s="24">
        <f t="shared" ref="G19" si="23">G7+SUM(G9:G18)</f>
        <v>2494.8839999999982</v>
      </c>
      <c r="H19" s="24">
        <f t="shared" si="22"/>
        <v>3818.0769999999975</v>
      </c>
      <c r="I19" s="24">
        <f t="shared" ref="I19" si="24">I7+SUM(I9:I18)</f>
        <v>3750.7729999999974</v>
      </c>
      <c r="J19" s="24">
        <f t="shared" si="22"/>
        <v>2426.7129999999961</v>
      </c>
      <c r="K19" s="24">
        <f t="shared" si="22"/>
        <v>-2045.492000000002</v>
      </c>
      <c r="L19" s="24">
        <f t="shared" ref="L19:M19" si="25">L7+SUM(L9:L18)</f>
        <v>358.33899999999994</v>
      </c>
      <c r="M19" s="24">
        <f t="shared" si="25"/>
        <v>2658.5579999999973</v>
      </c>
      <c r="N19" s="24">
        <f t="shared" ref="N19" si="26">N7+SUM(N9:N18)</f>
        <v>1846.1510000000017</v>
      </c>
      <c r="O19" s="24">
        <f t="shared" ref="O19:P19" si="27">O7+SUM(O9:O18)</f>
        <v>3556.0810000000019</v>
      </c>
      <c r="P19" s="24">
        <f t="shared" si="27"/>
        <v>1732.719000000001</v>
      </c>
      <c r="Q19" s="24">
        <f t="shared" ref="Q19" si="28">Q7+SUM(Q9:Q18)</f>
        <v>1296.0259999999998</v>
      </c>
      <c r="R19" s="24">
        <f>R7+SUM(R9:R18)</f>
        <v>1065.1669999999976</v>
      </c>
      <c r="S19"/>
      <c r="T19" s="24">
        <f t="shared" ref="T19:V19" si="29">T7+SUM(T9:T18)</f>
        <v>614.79099999999926</v>
      </c>
      <c r="U19" s="24">
        <f t="shared" si="29"/>
        <v>-2582.4730000000009</v>
      </c>
      <c r="V19" s="24">
        <f t="shared" si="29"/>
        <v>829.0059999999994</v>
      </c>
      <c r="W19" s="24">
        <f t="shared" ref="W19:AC19" si="30">W7+SUM(W9:W18)</f>
        <v>-1246.4509999999973</v>
      </c>
      <c r="X19" s="24">
        <f t="shared" si="30"/>
        <v>1231.1659999999993</v>
      </c>
      <c r="Y19" s="24">
        <f t="shared" si="30"/>
        <v>1114.8400000000001</v>
      </c>
      <c r="Z19" s="24">
        <f t="shared" si="30"/>
        <v>997.97199999999884</v>
      </c>
      <c r="AA19" s="24">
        <f t="shared" si="30"/>
        <v>888.14800000000196</v>
      </c>
      <c r="AB19" s="24">
        <f t="shared" si="30"/>
        <v>1136.1399999999994</v>
      </c>
      <c r="AC19" s="24">
        <f t="shared" si="30"/>
        <v>746.88399999999911</v>
      </c>
      <c r="AD19" s="24">
        <f t="shared" ref="AD19" si="31">AD7+SUM(AD9:AD18)</f>
        <v>1005.5330000000013</v>
      </c>
      <c r="AE19" s="24">
        <f>AE7+SUM(AE9:AE18)</f>
        <v>-393.67300000000159</v>
      </c>
      <c r="AF19" s="24">
        <f t="shared" ref="AF19:AH19" si="32">AF7+SUM(AF9:AF18)</f>
        <v>874.84799999999996</v>
      </c>
      <c r="AG19" s="24">
        <f t="shared" si="32"/>
        <v>948.54700000000048</v>
      </c>
      <c r="AH19" s="24">
        <f t="shared" si="32"/>
        <v>1047.5710000000008</v>
      </c>
      <c r="AI19" s="24">
        <f>AI7+SUM(AI9:AI18)</f>
        <v>947.11099999999897</v>
      </c>
      <c r="AJ19" s="220"/>
      <c r="AK19" s="220"/>
      <c r="AL19" s="220"/>
      <c r="AM19" s="24">
        <f t="shared" ref="AM19:AP19" si="33">AM7+SUM(AM9:AM18)</f>
        <v>350.20199999999932</v>
      </c>
      <c r="AN19" s="24">
        <f t="shared" si="33"/>
        <v>854.23699999999917</v>
      </c>
      <c r="AO19" s="24">
        <f t="shared" si="33"/>
        <v>987.21500000000106</v>
      </c>
      <c r="AP19" s="24">
        <f t="shared" si="33"/>
        <v>1155.0159999999996</v>
      </c>
      <c r="AQ19" s="24">
        <f t="shared" ref="AQ19" si="34">AQ7+SUM(AQ9:AQ18)</f>
        <v>754.30500000000393</v>
      </c>
      <c r="AR19" s="24">
        <f t="shared" ref="AR19:AU19" si="35">AR7+SUM(AR9:AR18)</f>
        <v>438.4350000000004</v>
      </c>
      <c r="AS19" s="24">
        <f t="shared" si="35"/>
        <v>533.62400000000071</v>
      </c>
      <c r="AT19" s="24">
        <f t="shared" si="35"/>
        <v>946.65599999999995</v>
      </c>
      <c r="AU19" s="24">
        <f t="shared" si="35"/>
        <v>-3964.4470000000001</v>
      </c>
      <c r="AV19" s="24">
        <f t="shared" ref="AV19:AW19" si="36">AV7+SUM(AV9:AV18)</f>
        <v>605.03899999999976</v>
      </c>
      <c r="AW19" s="24">
        <f t="shared" si="36"/>
        <v>-1218.7590000000009</v>
      </c>
      <c r="AX19" s="24">
        <f t="shared" ref="AX19:BB19" si="37">AX7+SUM(AX9:AX18)</f>
        <v>626.95900000000165</v>
      </c>
      <c r="AY19" s="24">
        <f t="shared" ref="AY19" si="38">AY7+SUM(AY9:AY18)</f>
        <v>563.57599999999911</v>
      </c>
      <c r="AZ19" s="24">
        <f t="shared" si="37"/>
        <v>-207.03199999999924</v>
      </c>
      <c r="BA19" s="24">
        <f t="shared" si="37"/>
        <v>873.99999999999909</v>
      </c>
      <c r="BB19" s="24">
        <f t="shared" si="37"/>
        <v>1007.3069999999989</v>
      </c>
      <c r="BC19" s="24">
        <f t="shared" ref="BC19:BG19" si="39">BC7+SUM(BC9:BC18)</f>
        <v>693.003999999999</v>
      </c>
      <c r="BD19" s="24">
        <f t="shared" si="39"/>
        <v>1545.627</v>
      </c>
      <c r="BE19" s="24">
        <f t="shared" si="39"/>
        <v>936.5619999999999</v>
      </c>
      <c r="BF19" s="24">
        <f t="shared" si="39"/>
        <v>884.76800000000003</v>
      </c>
      <c r="BG19" s="24">
        <f t="shared" si="39"/>
        <v>461.87100000000009</v>
      </c>
      <c r="BH19" s="24">
        <f t="shared" ref="BH19:BK19" si="40">BH7+SUM(BH9:BH18)</f>
        <v>1272.880000000001</v>
      </c>
      <c r="BI19" s="24">
        <f t="shared" si="40"/>
        <v>790.65399999999954</v>
      </c>
      <c r="BJ19" s="24">
        <f t="shared" si="40"/>
        <v>131.9989999999998</v>
      </c>
      <c r="BK19" s="24">
        <f t="shared" si="40"/>
        <v>298.86599999999999</v>
      </c>
      <c r="BL19" s="24">
        <f t="shared" ref="BL19:BM19" si="41">BL7+SUM(BL9:BL18)</f>
        <v>74.506999999999493</v>
      </c>
      <c r="BM19" s="24">
        <f t="shared" si="41"/>
        <v>559.79500000000053</v>
      </c>
      <c r="BO19" s="24">
        <f t="shared" ref="BO19:BP19" si="42">BO7+SUM(BO9:BO18)</f>
        <v>-284.42899999999736</v>
      </c>
      <c r="BP19" s="24">
        <f t="shared" si="42"/>
        <v>997.29499999999916</v>
      </c>
      <c r="BQ19" s="24">
        <f t="shared" ref="BQ19:BT19" si="43">BQ7+SUM(BQ9:BQ18)</f>
        <v>450.66800000000012</v>
      </c>
      <c r="BR19" s="24">
        <f t="shared" si="43"/>
        <v>83.533000000000357</v>
      </c>
      <c r="BS19" s="24">
        <f t="shared" si="43"/>
        <v>201.22299999999905</v>
      </c>
      <c r="BT19" s="24">
        <f t="shared" si="43"/>
        <v>382.0659999999998</v>
      </c>
      <c r="BV19" s="24">
        <f t="shared" ref="BV19" si="44">BV7+SUM(BV9:BV18)</f>
        <v>942.79999999999927</v>
      </c>
      <c r="BW19" s="24">
        <f t="shared" ref="BW19" si="45">BW7+SUM(BW9:BW18)</f>
        <v>514.06400000000031</v>
      </c>
      <c r="BY19" s="24">
        <f t="shared" ref="BY19:BZ19" si="46">BY7+SUM(BY9:BY18)</f>
        <v>1026.3369999999995</v>
      </c>
      <c r="BZ19" s="24">
        <f t="shared" si="46"/>
        <v>812.93099999999868</v>
      </c>
      <c r="CB19" s="24">
        <f t="shared" ref="CB19:CC19" si="47">CB7+SUM(CB9:CB18)</f>
        <v>706.38199999999961</v>
      </c>
      <c r="CC19" s="24">
        <f t="shared" si="47"/>
        <v>483.09500000000071</v>
      </c>
    </row>
    <row r="20" spans="2:81">
      <c r="B20" s="25" t="s">
        <v>243</v>
      </c>
      <c r="C20" s="20">
        <v>183.39400000000001</v>
      </c>
      <c r="D20" s="20">
        <v>241.80699999999999</v>
      </c>
      <c r="E20" s="20">
        <v>221.459</v>
      </c>
      <c r="F20" s="20">
        <v>230.46799999999999</v>
      </c>
      <c r="G20" s="20">
        <v>177.18299999999999</v>
      </c>
      <c r="H20" s="20">
        <v>150.982</v>
      </c>
      <c r="I20" s="20">
        <v>255.274</v>
      </c>
      <c r="J20" s="20">
        <v>179.684</v>
      </c>
      <c r="K20" s="20">
        <v>255.274</v>
      </c>
      <c r="L20" s="20">
        <v>223.80500000000001</v>
      </c>
      <c r="M20" s="20">
        <v>248.363</v>
      </c>
      <c r="N20" s="20">
        <v>287.17</v>
      </c>
      <c r="O20" s="20">
        <v>265.64600000000002</v>
      </c>
      <c r="P20" s="20">
        <v>176.32599999999999</v>
      </c>
      <c r="Q20" s="20">
        <v>169.71700000000001</v>
      </c>
      <c r="R20" s="21">
        <f t="shared" ref="R20:R26" si="48">SUM(BJ20:BM20)</f>
        <v>138.06100000000001</v>
      </c>
      <c r="T20" s="22">
        <v>61.298999999999999</v>
      </c>
      <c r="U20" s="22">
        <v>53.411000000000001</v>
      </c>
      <c r="V20" s="22">
        <v>50.768000000000001</v>
      </c>
      <c r="W20" s="21">
        <f t="shared" ref="W20:W25" si="49">E20-V20-U20-T20</f>
        <v>55.981000000000002</v>
      </c>
      <c r="X20" s="22">
        <v>56.381</v>
      </c>
      <c r="Y20" s="22">
        <v>55.021999999999998</v>
      </c>
      <c r="Z20" s="22">
        <v>65.885999999999996</v>
      </c>
      <c r="AA20" s="21">
        <f t="shared" ref="AA20:AA25" si="50">F20-Z20-Y20-X20</f>
        <v>53.179000000000002</v>
      </c>
      <c r="AB20" s="22">
        <v>42.137</v>
      </c>
      <c r="AC20" s="22">
        <v>48.1</v>
      </c>
      <c r="AD20" s="22">
        <v>46.917000000000002</v>
      </c>
      <c r="AE20" s="21">
        <f t="shared" ref="AE20:AE25" si="51">G20-AD20-AC20-AB20</f>
        <v>40.028999999999996</v>
      </c>
      <c r="AF20" s="22">
        <v>34.469000000000001</v>
      </c>
      <c r="AG20" s="22">
        <v>37.003</v>
      </c>
      <c r="AH20" s="22">
        <v>39.152999999999999</v>
      </c>
      <c r="AI20" s="21">
        <f t="shared" ref="AI20:AI25" si="52">H20-AH20-AG20-AF20</f>
        <v>40.357000000000006</v>
      </c>
      <c r="AJ20" s="219"/>
      <c r="AK20" s="219"/>
      <c r="AL20" s="219"/>
      <c r="AM20" s="22">
        <v>48.56</v>
      </c>
      <c r="AN20" s="22">
        <v>36.734999999999999</v>
      </c>
      <c r="AO20" s="22">
        <v>43.720999999999997</v>
      </c>
      <c r="AP20" s="22">
        <v>58.39</v>
      </c>
      <c r="AQ20" s="29">
        <f t="shared" ref="AQ20:AQ25" si="53">I20-SUM(AN20:AP20)</f>
        <v>116.428</v>
      </c>
      <c r="AR20" s="22">
        <v>44.835999999999999</v>
      </c>
      <c r="AS20" s="22">
        <v>51.610999999999997</v>
      </c>
      <c r="AT20" s="22">
        <v>57.348999999999997</v>
      </c>
      <c r="AU20" s="21">
        <f t="shared" ref="AU20:AU25" si="54">K20-AR20-AS20-AT20</f>
        <v>101.47800000000001</v>
      </c>
      <c r="AV20" s="22">
        <v>57.348999999999997</v>
      </c>
      <c r="AW20" s="21">
        <f t="shared" ref="AW20:AW25" si="55">L20-AR20-AS20-AV20</f>
        <v>70.009000000000015</v>
      </c>
      <c r="AX20" s="22">
        <v>83.870999999999995</v>
      </c>
      <c r="AY20" s="22">
        <v>69.662000000000006</v>
      </c>
      <c r="AZ20" s="22">
        <v>76.941999999999993</v>
      </c>
      <c r="BA20" s="22">
        <v>62.383000000000003</v>
      </c>
      <c r="BB20" s="22">
        <v>69.594999999999999</v>
      </c>
      <c r="BC20" s="22">
        <v>69.594999999999999</v>
      </c>
      <c r="BD20" s="21">
        <f t="shared" ref="BD20:BD25" si="56">M20-AZ20-AX20-BC20</f>
        <v>17.954999999999998</v>
      </c>
      <c r="BE20" s="22">
        <v>57.936</v>
      </c>
      <c r="BF20" s="22">
        <v>41.634999999999998</v>
      </c>
      <c r="BG20" s="22">
        <v>55.01</v>
      </c>
      <c r="BH20" s="32">
        <f t="shared" si="18"/>
        <v>111.06500000000003</v>
      </c>
      <c r="BI20" s="22">
        <v>66.343000000000004</v>
      </c>
      <c r="BJ20" s="22">
        <v>49.338999999999999</v>
      </c>
      <c r="BK20" s="22">
        <v>43.11</v>
      </c>
      <c r="BL20" s="32">
        <f t="shared" ref="BL20:BL26" si="57">Q20-SUM(BI20:BK20)</f>
        <v>10.925000000000011</v>
      </c>
      <c r="BM20" s="22">
        <v>34.686999999999998</v>
      </c>
      <c r="BO20" s="32">
        <f t="shared" ref="BO20:BO26" si="58">N20-SUM(AY20,BA20,BC20)</f>
        <v>85.53</v>
      </c>
      <c r="BP20" s="22">
        <v>72.159000000000006</v>
      </c>
      <c r="BQ20" s="22">
        <v>36.79</v>
      </c>
      <c r="BR20" s="22">
        <v>47.808999999999997</v>
      </c>
      <c r="BS20" s="32">
        <f t="shared" ref="BS20:BS26" si="59">P20-SUM(BP20:BR20)</f>
        <v>19.567999999999984</v>
      </c>
      <c r="BT20" s="22">
        <v>36.850999999999999</v>
      </c>
      <c r="BV20" s="22">
        <v>89.992999999999995</v>
      </c>
      <c r="BW20" s="22">
        <v>86.191000000000003</v>
      </c>
      <c r="BY20" s="22">
        <v>137.80199999999999</v>
      </c>
      <c r="BZ20" s="22">
        <v>129.30199999999999</v>
      </c>
      <c r="CB20" s="32">
        <f t="shared" ref="CB20:CC26" si="60">P20-BY20</f>
        <v>38.524000000000001</v>
      </c>
      <c r="CC20" s="32">
        <f t="shared" si="60"/>
        <v>40.41500000000002</v>
      </c>
    </row>
    <row r="21" spans="2:81">
      <c r="B21" s="25" t="s">
        <v>244</v>
      </c>
      <c r="C21" s="20">
        <v>-1201.184</v>
      </c>
      <c r="D21" s="20">
        <v>-1253.3689999999999</v>
      </c>
      <c r="E21" s="20">
        <v>-1272.385</v>
      </c>
      <c r="F21" s="20">
        <v>-1738.473</v>
      </c>
      <c r="G21" s="20">
        <v>-1693.067</v>
      </c>
      <c r="H21" s="20">
        <v>-1565.069</v>
      </c>
      <c r="I21" s="20">
        <v>-1827.0150000000001</v>
      </c>
      <c r="J21" s="20">
        <v>-1411.4480000000001</v>
      </c>
      <c r="K21" s="20">
        <v>-1827.0150000000001</v>
      </c>
      <c r="L21" s="20">
        <v>-1702.229</v>
      </c>
      <c r="M21" s="20">
        <v>-2287.8690000000001</v>
      </c>
      <c r="N21" s="20">
        <v>-2296.6170000000002</v>
      </c>
      <c r="O21" s="20">
        <v>-2345.0210000000002</v>
      </c>
      <c r="P21" s="20">
        <v>-1419.5730000000001</v>
      </c>
      <c r="Q21" s="20">
        <v>-1248.83</v>
      </c>
      <c r="R21" s="21">
        <f t="shared" si="48"/>
        <v>-985.55000000000007</v>
      </c>
      <c r="T21" s="22">
        <v>-302.52199999999999</v>
      </c>
      <c r="U21" s="22">
        <v>-314.95100000000002</v>
      </c>
      <c r="V21" s="22">
        <v>-323.63299999999998</v>
      </c>
      <c r="W21" s="21">
        <f t="shared" si="49"/>
        <v>-331.27899999999994</v>
      </c>
      <c r="X21" s="22">
        <v>-408.92200000000003</v>
      </c>
      <c r="Y21" s="22">
        <v>-464.56599999999997</v>
      </c>
      <c r="Z21" s="22">
        <v>-435.30900000000003</v>
      </c>
      <c r="AA21" s="21">
        <f t="shared" si="50"/>
        <v>-429.67599999999993</v>
      </c>
      <c r="AB21" s="22">
        <v>-426.23500000000001</v>
      </c>
      <c r="AC21" s="22">
        <v>-427.08699999999999</v>
      </c>
      <c r="AD21" s="22">
        <v>-429.44799999999998</v>
      </c>
      <c r="AE21" s="21">
        <f t="shared" si="51"/>
        <v>-410.29700000000014</v>
      </c>
      <c r="AF21" s="22">
        <v>-362.30900000000003</v>
      </c>
      <c r="AG21" s="22">
        <v>-376.83499999999998</v>
      </c>
      <c r="AH21" s="22">
        <v>-379.09199999999998</v>
      </c>
      <c r="AI21" s="21">
        <f t="shared" si="52"/>
        <v>-446.8329999999998</v>
      </c>
      <c r="AJ21" s="219"/>
      <c r="AK21" s="219"/>
      <c r="AL21" s="219"/>
      <c r="AM21" s="22">
        <v>-412.488</v>
      </c>
      <c r="AN21" s="22">
        <v>-403.26</v>
      </c>
      <c r="AO21" s="22">
        <v>-434.95499999999998</v>
      </c>
      <c r="AP21" s="22">
        <v>-522.55499999999995</v>
      </c>
      <c r="AQ21" s="29">
        <f t="shared" si="53"/>
        <v>-466.24500000000012</v>
      </c>
      <c r="AR21" s="22">
        <v>-368.69099999999997</v>
      </c>
      <c r="AS21" s="22">
        <v>-400.709</v>
      </c>
      <c r="AT21" s="22">
        <v>-461.63499999999999</v>
      </c>
      <c r="AU21" s="21">
        <f t="shared" si="54"/>
        <v>-595.98</v>
      </c>
      <c r="AV21" s="22">
        <v>-461.63499999999999</v>
      </c>
      <c r="AW21" s="21">
        <f t="shared" si="55"/>
        <v>-471.19399999999996</v>
      </c>
      <c r="AX21" s="22">
        <v>-536.91800000000001</v>
      </c>
      <c r="AY21" s="22">
        <v>-509.642</v>
      </c>
      <c r="AZ21" s="22">
        <v>-721.36900000000003</v>
      </c>
      <c r="BA21" s="22">
        <v>-623.02599999999995</v>
      </c>
      <c r="BB21" s="22">
        <v>-586.88199999999995</v>
      </c>
      <c r="BC21" s="22">
        <v>-586.88199999999995</v>
      </c>
      <c r="BD21" s="21">
        <f t="shared" si="56"/>
        <v>-442.69999999999993</v>
      </c>
      <c r="BE21" s="22">
        <v>-602.03099999999995</v>
      </c>
      <c r="BF21" s="22">
        <v>-602.96600000000001</v>
      </c>
      <c r="BG21" s="22">
        <v>-562.21600000000001</v>
      </c>
      <c r="BH21" s="32">
        <f t="shared" si="18"/>
        <v>-577.80800000000045</v>
      </c>
      <c r="BI21" s="22">
        <v>-526.70899999999995</v>
      </c>
      <c r="BJ21" s="22">
        <v>-313.78500000000003</v>
      </c>
      <c r="BK21" s="22">
        <v>-313.99200000000002</v>
      </c>
      <c r="BL21" s="32">
        <f t="shared" si="57"/>
        <v>-94.344000000000051</v>
      </c>
      <c r="BM21" s="22">
        <v>-263.42899999999997</v>
      </c>
      <c r="BO21" s="32">
        <f t="shared" si="58"/>
        <v>-577.06700000000046</v>
      </c>
      <c r="BP21" s="22">
        <v>-604.32100000000003</v>
      </c>
      <c r="BQ21" s="22">
        <v>-370.85199999999998</v>
      </c>
      <c r="BR21" s="22">
        <v>-342.78699999999998</v>
      </c>
      <c r="BS21" s="32">
        <f t="shared" si="59"/>
        <v>-101.61300000000006</v>
      </c>
      <c r="BT21" s="22">
        <v>-309.68299999999999</v>
      </c>
      <c r="BV21" s="22">
        <v>-739.73800000000006</v>
      </c>
      <c r="BW21" s="22">
        <v>-623.46799999999996</v>
      </c>
      <c r="BY21" s="22">
        <v>-1082.5260000000001</v>
      </c>
      <c r="BZ21" s="22">
        <v>-937.46</v>
      </c>
      <c r="CB21" s="32">
        <f t="shared" si="60"/>
        <v>-337.04700000000003</v>
      </c>
      <c r="CC21" s="32">
        <f t="shared" si="60"/>
        <v>-311.36999999999989</v>
      </c>
    </row>
    <row r="22" spans="2:81">
      <c r="B22" s="25" t="s">
        <v>245</v>
      </c>
      <c r="C22" s="20">
        <v>-599.72</v>
      </c>
      <c r="D22" s="20">
        <v>352</v>
      </c>
      <c r="E22" s="20">
        <v>-208.68899999999999</v>
      </c>
      <c r="F22" s="20">
        <v>59.085000000000001</v>
      </c>
      <c r="G22" s="20">
        <v>173.39500000000001</v>
      </c>
      <c r="H22" s="20">
        <v>-234.35499999999999</v>
      </c>
      <c r="I22" s="20">
        <v>-564.53300000000002</v>
      </c>
      <c r="J22" s="20">
        <v>-234.35499999999999</v>
      </c>
      <c r="K22" s="20">
        <v>-564.53300000000002</v>
      </c>
      <c r="L22" s="20">
        <v>-622.87900000000002</v>
      </c>
      <c r="M22" s="20">
        <v>-357.44299999999998</v>
      </c>
      <c r="N22" s="20">
        <v>-357.44299999999998</v>
      </c>
      <c r="O22" s="20">
        <v>330.73700000000002</v>
      </c>
      <c r="P22" s="20">
        <v>330.73700000000002</v>
      </c>
      <c r="Q22" s="20">
        <v>531.03300000000002</v>
      </c>
      <c r="R22" s="21">
        <f t="shared" si="48"/>
        <v>606.49900000000002</v>
      </c>
      <c r="T22" s="22">
        <v>125.023</v>
      </c>
      <c r="U22" s="22">
        <v>-202.01400000000001</v>
      </c>
      <c r="V22" s="22">
        <v>-164.84100000000001</v>
      </c>
      <c r="W22" s="21">
        <f t="shared" si="49"/>
        <v>33.143000000000029</v>
      </c>
      <c r="X22" s="22">
        <v>115.43300000000001</v>
      </c>
      <c r="Y22" s="22">
        <v>-48.264000000000003</v>
      </c>
      <c r="Z22" s="22">
        <v>-55.537999999999997</v>
      </c>
      <c r="AA22" s="21">
        <f t="shared" si="50"/>
        <v>47.453999999999994</v>
      </c>
      <c r="AB22" s="22">
        <v>-165.31299999999999</v>
      </c>
      <c r="AC22" s="22">
        <v>35.003999999999998</v>
      </c>
      <c r="AD22" s="22">
        <v>94.320999999999998</v>
      </c>
      <c r="AE22" s="21">
        <f t="shared" si="51"/>
        <v>209.38300000000001</v>
      </c>
      <c r="AF22" s="22">
        <v>-186.73599999999999</v>
      </c>
      <c r="AG22" s="22">
        <v>-4.7519999999999998</v>
      </c>
      <c r="AH22" s="22">
        <v>-47.122</v>
      </c>
      <c r="AI22" s="21">
        <f t="shared" si="52"/>
        <v>4.2549999999999955</v>
      </c>
      <c r="AJ22" s="219"/>
      <c r="AK22" s="219"/>
      <c r="AL22" s="219"/>
      <c r="AM22" s="22">
        <v>4.2560000000000002</v>
      </c>
      <c r="AN22" s="22">
        <v>-235.65700000000001</v>
      </c>
      <c r="AO22" s="22">
        <v>-300.255</v>
      </c>
      <c r="AP22" s="22">
        <v>-424.00599999999997</v>
      </c>
      <c r="AQ22" s="29">
        <f t="shared" si="53"/>
        <v>395.38499999999999</v>
      </c>
      <c r="AR22" s="22">
        <v>-235.65700000000001</v>
      </c>
      <c r="AS22" s="22">
        <v>-300.255</v>
      </c>
      <c r="AT22" s="22">
        <v>-424.00599999999997</v>
      </c>
      <c r="AU22" s="21">
        <f t="shared" si="54"/>
        <v>395.38499999999999</v>
      </c>
      <c r="AV22" s="22">
        <v>-424.00599999999997</v>
      </c>
      <c r="AW22" s="21">
        <f t="shared" si="55"/>
        <v>337.03899999999999</v>
      </c>
      <c r="AX22" s="22">
        <v>-19.402000000000001</v>
      </c>
      <c r="AY22" s="22">
        <v>-19.402000000000001</v>
      </c>
      <c r="AZ22" s="22">
        <v>-459.47800000000001</v>
      </c>
      <c r="BA22" s="22">
        <v>-459.47800000000001</v>
      </c>
      <c r="BB22" s="22">
        <v>-75.191999999999993</v>
      </c>
      <c r="BC22" s="22">
        <v>-75.191999999999993</v>
      </c>
      <c r="BD22" s="21">
        <f t="shared" si="56"/>
        <v>196.62900000000002</v>
      </c>
      <c r="BE22" s="22">
        <v>-196.601</v>
      </c>
      <c r="BF22" s="22">
        <v>-18.36</v>
      </c>
      <c r="BG22" s="22">
        <v>1034.989</v>
      </c>
      <c r="BH22" s="32">
        <f t="shared" si="18"/>
        <v>-489.291</v>
      </c>
      <c r="BI22" s="22">
        <v>50.865000000000002</v>
      </c>
      <c r="BJ22" s="22">
        <v>306.70800000000003</v>
      </c>
      <c r="BK22" s="22">
        <v>-5.9660000000000002</v>
      </c>
      <c r="BL22" s="32">
        <f t="shared" si="57"/>
        <v>179.42599999999999</v>
      </c>
      <c r="BM22" s="22">
        <v>126.331</v>
      </c>
      <c r="BO22" s="32">
        <f t="shared" si="58"/>
        <v>196.62900000000002</v>
      </c>
      <c r="BP22" s="22">
        <v>-196.601</v>
      </c>
      <c r="BQ22" s="22">
        <v>-18.36</v>
      </c>
      <c r="BR22" s="22">
        <v>1034.989</v>
      </c>
      <c r="BS22" s="32">
        <f t="shared" si="59"/>
        <v>-489.291</v>
      </c>
      <c r="BT22" s="22">
        <v>50.865000000000002</v>
      </c>
      <c r="BV22" s="22">
        <v>-214.96100000000001</v>
      </c>
      <c r="BW22" s="22">
        <v>357.57400000000001</v>
      </c>
      <c r="BY22" s="22">
        <v>820.02700000000004</v>
      </c>
      <c r="BZ22" s="22">
        <v>351.60700000000003</v>
      </c>
      <c r="CB22" s="32">
        <f t="shared" si="60"/>
        <v>-489.29</v>
      </c>
      <c r="CC22" s="32">
        <f t="shared" si="60"/>
        <v>179.42599999999999</v>
      </c>
    </row>
    <row r="23" spans="2:81">
      <c r="B23" s="26" t="s">
        <v>246</v>
      </c>
      <c r="C23" s="20">
        <v>-95.841999999999999</v>
      </c>
      <c r="D23" s="20">
        <v>-48.988999999999997</v>
      </c>
      <c r="E23" s="20">
        <v>1.6779999999999999</v>
      </c>
      <c r="F23" s="20">
        <v>-2.819</v>
      </c>
      <c r="G23" s="20">
        <v>-1.0389999999999999</v>
      </c>
      <c r="H23" s="20">
        <v>-7.7060000000000004</v>
      </c>
      <c r="I23" s="20">
        <v>-9.7089999999999996</v>
      </c>
      <c r="J23" s="20">
        <v>-7.7060000000000004</v>
      </c>
      <c r="K23" s="20">
        <v>-9.7089999999999996</v>
      </c>
      <c r="L23" s="20">
        <v>-9.7089999999999996</v>
      </c>
      <c r="M23" s="20">
        <v>0.90300000000000002</v>
      </c>
      <c r="N23" s="20">
        <v>0.90300000000000002</v>
      </c>
      <c r="O23" s="20">
        <v>6.6000000000000003E-2</v>
      </c>
      <c r="P23" s="20">
        <v>6.6000000000000003E-2</v>
      </c>
      <c r="Q23" s="20">
        <v>8.0000000000000002E-3</v>
      </c>
      <c r="R23" s="21">
        <f t="shared" si="48"/>
        <v>0.495</v>
      </c>
      <c r="T23" s="22">
        <v>0</v>
      </c>
      <c r="U23" s="22">
        <v>0.17</v>
      </c>
      <c r="V23" s="22">
        <v>1.0820000000000001</v>
      </c>
      <c r="W23" s="21">
        <f t="shared" si="49"/>
        <v>0.42599999999999982</v>
      </c>
      <c r="X23" s="22">
        <v>-2.2360000000000002</v>
      </c>
      <c r="Y23" s="22">
        <v>-0.58299999999999996</v>
      </c>
      <c r="Z23" s="22">
        <v>0</v>
      </c>
      <c r="AA23" s="21">
        <f t="shared" si="50"/>
        <v>0</v>
      </c>
      <c r="AB23" s="22">
        <v>-1.9359999999999999</v>
      </c>
      <c r="AC23" s="22">
        <v>-2.0369999999999999</v>
      </c>
      <c r="AD23" s="22">
        <v>2.3580000000000001</v>
      </c>
      <c r="AE23" s="21">
        <f t="shared" si="51"/>
        <v>0.57599999999999962</v>
      </c>
      <c r="AF23" s="22">
        <v>-0.188</v>
      </c>
      <c r="AG23" s="22">
        <v>-1.5289999999999999</v>
      </c>
      <c r="AH23" s="22">
        <v>-4.8019999999999996</v>
      </c>
      <c r="AI23" s="21">
        <f t="shared" si="52"/>
        <v>-1.1870000000000009</v>
      </c>
      <c r="AJ23" s="219"/>
      <c r="AK23" s="219"/>
      <c r="AL23" s="219"/>
      <c r="AM23" s="22">
        <v>-1.1870000000000001</v>
      </c>
      <c r="AN23" s="22">
        <v>-1.986</v>
      </c>
      <c r="AO23" s="22">
        <v>-2.3340000000000001</v>
      </c>
      <c r="AP23" s="22">
        <v>-3.621</v>
      </c>
      <c r="AQ23" s="29">
        <f t="shared" si="53"/>
        <v>-1.7679999999999989</v>
      </c>
      <c r="AR23" s="22">
        <v>-1.986</v>
      </c>
      <c r="AS23" s="22">
        <v>-2.3340000000000001</v>
      </c>
      <c r="AT23" s="22">
        <v>-3.621</v>
      </c>
      <c r="AU23" s="21">
        <f t="shared" si="54"/>
        <v>-1.7679999999999993</v>
      </c>
      <c r="AV23" s="22">
        <v>-3.621</v>
      </c>
      <c r="AW23" s="21">
        <f t="shared" si="55"/>
        <v>-1.7679999999999993</v>
      </c>
      <c r="AX23" s="22">
        <v>1.2310000000000001</v>
      </c>
      <c r="AY23" s="22">
        <v>1.2310000000000001</v>
      </c>
      <c r="AZ23" s="22">
        <v>-0.81200000000000006</v>
      </c>
      <c r="BA23" s="22">
        <v>-0.81200000000000006</v>
      </c>
      <c r="BB23" s="22">
        <v>-0.56999999999999995</v>
      </c>
      <c r="BC23" s="22">
        <v>-0.56999999999999995</v>
      </c>
      <c r="BD23" s="21">
        <f t="shared" si="56"/>
        <v>1.0539999999999998</v>
      </c>
      <c r="BE23" s="22">
        <v>0.104</v>
      </c>
      <c r="BF23" s="22">
        <v>0.89</v>
      </c>
      <c r="BG23" s="22">
        <v>-1.2230000000000001</v>
      </c>
      <c r="BH23" s="32">
        <f t="shared" si="18"/>
        <v>0.2950000000000001</v>
      </c>
      <c r="BI23" s="22">
        <v>-0.84799999999999998</v>
      </c>
      <c r="BJ23" s="22">
        <v>0.2</v>
      </c>
      <c r="BK23" s="22">
        <v>-0.191</v>
      </c>
      <c r="BL23" s="32">
        <f t="shared" si="57"/>
        <v>0.84699999999999998</v>
      </c>
      <c r="BM23" s="22">
        <v>-0.36099999999999999</v>
      </c>
      <c r="BO23" s="32">
        <f t="shared" si="58"/>
        <v>1.0539999999999998</v>
      </c>
      <c r="BP23" s="22">
        <v>0.104</v>
      </c>
      <c r="BQ23" s="22">
        <v>0.89</v>
      </c>
      <c r="BR23" s="22">
        <v>-1.2230000000000001</v>
      </c>
      <c r="BS23" s="32">
        <f t="shared" si="59"/>
        <v>0.2950000000000001</v>
      </c>
      <c r="BT23" s="22">
        <v>-0.84799999999999998</v>
      </c>
      <c r="BV23" s="22">
        <v>0.99399999999999999</v>
      </c>
      <c r="BW23" s="22">
        <v>-0.64800000000000002</v>
      </c>
      <c r="BY23" s="22">
        <v>-0.23</v>
      </c>
      <c r="BZ23" s="22">
        <v>-0.83899999999999997</v>
      </c>
      <c r="CB23" s="32">
        <f t="shared" si="60"/>
        <v>0.29600000000000004</v>
      </c>
      <c r="CC23" s="32">
        <f t="shared" si="60"/>
        <v>0.84699999999999998</v>
      </c>
    </row>
    <row r="24" spans="2:81">
      <c r="B24" s="26" t="s">
        <v>247</v>
      </c>
      <c r="C24" s="20">
        <v>131.124</v>
      </c>
      <c r="D24" s="20">
        <v>-352.67</v>
      </c>
      <c r="E24" s="20">
        <v>-26.364000000000001</v>
      </c>
      <c r="F24" s="20">
        <v>-0.64700000000000002</v>
      </c>
      <c r="G24" s="20">
        <v>19.760999999999999</v>
      </c>
      <c r="H24" s="20">
        <v>11.689</v>
      </c>
      <c r="I24" s="20">
        <v>-56.817</v>
      </c>
      <c r="J24" s="20">
        <v>-1.663</v>
      </c>
      <c r="K24" s="20">
        <v>-56.817</v>
      </c>
      <c r="L24" s="20">
        <v>-56.817</v>
      </c>
      <c r="M24" s="20">
        <v>530.74300000000005</v>
      </c>
      <c r="N24" s="20">
        <v>530.74300000000005</v>
      </c>
      <c r="O24" s="20">
        <v>450.86500000000001</v>
      </c>
      <c r="P24" s="20">
        <v>454.17899999999997</v>
      </c>
      <c r="Q24" s="20">
        <v>19.341999999999999</v>
      </c>
      <c r="R24" s="21">
        <f t="shared" si="48"/>
        <v>4.6260000000000048</v>
      </c>
      <c r="T24" s="22">
        <v>-86.073999999999998</v>
      </c>
      <c r="U24" s="22">
        <v>46.569000000000003</v>
      </c>
      <c r="V24" s="22">
        <v>3.069</v>
      </c>
      <c r="W24" s="21">
        <f t="shared" si="49"/>
        <v>10.071999999999989</v>
      </c>
      <c r="X24" s="22">
        <v>1.0820000000000001</v>
      </c>
      <c r="Y24" s="22">
        <v>-2.5150000000000001</v>
      </c>
      <c r="Z24" s="22">
        <v>0.77800000000000002</v>
      </c>
      <c r="AA24" s="21">
        <f t="shared" si="50"/>
        <v>8.0000000000000071E-3</v>
      </c>
      <c r="AB24" s="22">
        <v>7.9029999999999996</v>
      </c>
      <c r="AC24" s="22">
        <v>4.9459999999999997</v>
      </c>
      <c r="AD24" s="22">
        <v>4.7919999999999998</v>
      </c>
      <c r="AE24" s="21">
        <f t="shared" si="51"/>
        <v>2.12</v>
      </c>
      <c r="AF24" s="22">
        <v>1.8839999999999999</v>
      </c>
      <c r="AG24" s="22">
        <v>2.161</v>
      </c>
      <c r="AH24" s="22">
        <v>2.5760000000000001</v>
      </c>
      <c r="AI24" s="21">
        <f t="shared" si="52"/>
        <v>5.0679999999999996</v>
      </c>
      <c r="AJ24" s="219"/>
      <c r="AK24" s="219"/>
      <c r="AL24" s="219"/>
      <c r="AM24" s="22">
        <v>-0.33600000000000002</v>
      </c>
      <c r="AN24" s="22">
        <v>3.1509999999999998</v>
      </c>
      <c r="AO24" s="22">
        <v>-6.6429999999999998</v>
      </c>
      <c r="AP24" s="22">
        <v>5.36</v>
      </c>
      <c r="AQ24" s="29">
        <f t="shared" si="53"/>
        <v>-58.685000000000002</v>
      </c>
      <c r="AR24" s="22">
        <v>-0.79900000000000004</v>
      </c>
      <c r="AS24" s="22">
        <v>-10.78</v>
      </c>
      <c r="AT24" s="22">
        <v>0.08</v>
      </c>
      <c r="AU24" s="21">
        <f t="shared" si="54"/>
        <v>-45.317999999999998</v>
      </c>
      <c r="AV24" s="22">
        <v>0.08</v>
      </c>
      <c r="AW24" s="21">
        <f t="shared" si="55"/>
        <v>-45.317999999999998</v>
      </c>
      <c r="AX24" s="22">
        <v>113.294</v>
      </c>
      <c r="AY24" s="22">
        <v>113.294</v>
      </c>
      <c r="AZ24" s="22">
        <v>107.114</v>
      </c>
      <c r="BA24" s="22">
        <v>107.114</v>
      </c>
      <c r="BB24" s="22">
        <v>143.65799999999999</v>
      </c>
      <c r="BC24" s="22">
        <v>143.65799999999999</v>
      </c>
      <c r="BD24" s="21">
        <f t="shared" si="56"/>
        <v>166.67700000000005</v>
      </c>
      <c r="BE24" s="22">
        <v>106.25</v>
      </c>
      <c r="BF24" s="22">
        <v>144.81299999999999</v>
      </c>
      <c r="BG24" s="22">
        <v>138.666</v>
      </c>
      <c r="BH24" s="32">
        <f t="shared" si="18"/>
        <v>61.136000000000024</v>
      </c>
      <c r="BI24" s="22">
        <v>76.228999999999999</v>
      </c>
      <c r="BJ24" s="22">
        <v>51.363</v>
      </c>
      <c r="BK24" s="22">
        <v>-27.719000000000001</v>
      </c>
      <c r="BL24" s="32">
        <f t="shared" si="57"/>
        <v>-80.530999999999992</v>
      </c>
      <c r="BM24" s="22">
        <v>61.512999999999998</v>
      </c>
      <c r="BO24" s="32">
        <f t="shared" si="58"/>
        <v>166.67700000000002</v>
      </c>
      <c r="BP24" s="22">
        <v>106.25</v>
      </c>
      <c r="BQ24" s="22">
        <v>145.10900000000001</v>
      </c>
      <c r="BR24" s="22">
        <v>140.26300000000001</v>
      </c>
      <c r="BS24" s="32">
        <f t="shared" si="59"/>
        <v>62.55699999999996</v>
      </c>
      <c r="BT24" s="22">
        <v>81.242000000000004</v>
      </c>
      <c r="BV24" s="22">
        <v>255.239</v>
      </c>
      <c r="BW24" s="22">
        <v>132.60499999999999</v>
      </c>
      <c r="BY24" s="22">
        <v>395.50200000000001</v>
      </c>
      <c r="BZ24" s="22">
        <v>104.88500000000001</v>
      </c>
      <c r="CB24" s="32">
        <f t="shared" si="60"/>
        <v>58.676999999999964</v>
      </c>
      <c r="CC24" s="32">
        <f t="shared" si="60"/>
        <v>-85.543000000000006</v>
      </c>
    </row>
    <row r="25" spans="2:81">
      <c r="B25" s="10" t="s">
        <v>248</v>
      </c>
      <c r="C25" s="20">
        <v>-5.3979999999999997</v>
      </c>
      <c r="D25" s="20">
        <v>-2.5950000000000002</v>
      </c>
      <c r="E25" s="20">
        <v>-403.71199999999999</v>
      </c>
      <c r="F25" s="20">
        <v>0</v>
      </c>
      <c r="G25" s="20">
        <v>0</v>
      </c>
      <c r="H25" s="20">
        <v>0</v>
      </c>
      <c r="I25" s="20">
        <v>0</v>
      </c>
      <c r="J25" s="20">
        <v>0</v>
      </c>
      <c r="K25" s="20">
        <v>0</v>
      </c>
      <c r="L25" s="20">
        <v>0</v>
      </c>
      <c r="M25" s="20">
        <v>0.11</v>
      </c>
      <c r="N25" s="20">
        <v>0.11</v>
      </c>
      <c r="O25" s="20">
        <v>0</v>
      </c>
      <c r="P25" s="20">
        <v>0</v>
      </c>
      <c r="Q25" s="20">
        <v>53.177999999999997</v>
      </c>
      <c r="R25" s="21">
        <f t="shared" si="48"/>
        <v>53.177999999999997</v>
      </c>
      <c r="T25" s="22">
        <v>-357.60399999999998</v>
      </c>
      <c r="U25" s="22">
        <v>-45.384</v>
      </c>
      <c r="V25" s="22">
        <v>0</v>
      </c>
      <c r="W25" s="21">
        <f t="shared" si="49"/>
        <v>-0.72399999999998954</v>
      </c>
      <c r="X25" s="22">
        <v>0</v>
      </c>
      <c r="Y25" s="22">
        <v>0</v>
      </c>
      <c r="Z25" s="22">
        <v>0</v>
      </c>
      <c r="AA25" s="21">
        <f t="shared" si="50"/>
        <v>0</v>
      </c>
      <c r="AB25" s="22">
        <v>0</v>
      </c>
      <c r="AC25" s="22">
        <v>0</v>
      </c>
      <c r="AD25" s="22">
        <v>0</v>
      </c>
      <c r="AE25" s="21">
        <f t="shared" si="51"/>
        <v>0</v>
      </c>
      <c r="AF25" s="22">
        <v>0</v>
      </c>
      <c r="AG25" s="22">
        <v>0</v>
      </c>
      <c r="AH25" s="22">
        <v>0</v>
      </c>
      <c r="AI25" s="21">
        <f t="shared" si="52"/>
        <v>0</v>
      </c>
      <c r="AJ25" s="219"/>
      <c r="AK25" s="219"/>
      <c r="AL25" s="219"/>
      <c r="AM25" s="22">
        <v>0</v>
      </c>
      <c r="AN25" s="22">
        <v>0</v>
      </c>
      <c r="AO25" s="22">
        <v>0</v>
      </c>
      <c r="AP25" s="22">
        <v>0</v>
      </c>
      <c r="AQ25" s="29">
        <f t="shared" si="53"/>
        <v>0</v>
      </c>
      <c r="AR25" s="22">
        <v>0</v>
      </c>
      <c r="AS25" s="22">
        <v>0</v>
      </c>
      <c r="AT25" s="22">
        <v>0</v>
      </c>
      <c r="AU25" s="21">
        <f t="shared" si="54"/>
        <v>0</v>
      </c>
      <c r="AV25" s="22">
        <v>0</v>
      </c>
      <c r="AW25" s="21">
        <f t="shared" si="55"/>
        <v>0</v>
      </c>
      <c r="AX25" s="22">
        <v>0</v>
      </c>
      <c r="AY25" s="22">
        <v>0</v>
      </c>
      <c r="AZ25" s="22">
        <v>0</v>
      </c>
      <c r="BA25" s="22">
        <v>0</v>
      </c>
      <c r="BB25" s="22">
        <v>0</v>
      </c>
      <c r="BC25" s="22">
        <v>0</v>
      </c>
      <c r="BD25" s="21">
        <f t="shared" si="56"/>
        <v>0.11</v>
      </c>
      <c r="BE25" s="22">
        <v>0</v>
      </c>
      <c r="BF25" s="22">
        <v>0</v>
      </c>
      <c r="BG25" s="22">
        <v>0</v>
      </c>
      <c r="BH25" s="32">
        <f t="shared" si="18"/>
        <v>0</v>
      </c>
      <c r="BI25" s="22">
        <v>0</v>
      </c>
      <c r="BJ25" s="22">
        <v>0</v>
      </c>
      <c r="BK25" s="22">
        <v>0</v>
      </c>
      <c r="BL25" s="32">
        <f t="shared" si="57"/>
        <v>53.177999999999997</v>
      </c>
      <c r="BM25" s="22">
        <v>0</v>
      </c>
      <c r="BO25" s="32">
        <f t="shared" si="58"/>
        <v>0.11</v>
      </c>
      <c r="BP25" s="22">
        <v>0</v>
      </c>
      <c r="BQ25" s="22">
        <v>0</v>
      </c>
      <c r="BR25" s="22">
        <v>0</v>
      </c>
      <c r="BS25" s="32">
        <f t="shared" si="59"/>
        <v>0</v>
      </c>
      <c r="BT25" s="22">
        <v>0</v>
      </c>
      <c r="BV25" s="22">
        <v>0</v>
      </c>
      <c r="BW25" s="22">
        <v>0</v>
      </c>
      <c r="BY25" s="22">
        <v>0</v>
      </c>
      <c r="BZ25" s="22">
        <v>0</v>
      </c>
      <c r="CB25" s="32">
        <f t="shared" si="60"/>
        <v>0</v>
      </c>
      <c r="CC25" s="32">
        <f t="shared" si="60"/>
        <v>53.177999999999997</v>
      </c>
    </row>
    <row r="26" spans="2:81">
      <c r="B26" s="10" t="s">
        <v>249</v>
      </c>
      <c r="C26" s="20"/>
      <c r="D26" s="20"/>
      <c r="E26" s="20"/>
      <c r="F26" s="20"/>
      <c r="G26" s="20"/>
      <c r="H26" s="20"/>
      <c r="I26" s="20"/>
      <c r="J26" s="20"/>
      <c r="K26" s="20"/>
      <c r="L26" s="20"/>
      <c r="M26" s="20"/>
      <c r="N26" s="20">
        <v>0</v>
      </c>
      <c r="O26" s="20">
        <v>306.101</v>
      </c>
      <c r="P26" s="20">
        <v>306.101</v>
      </c>
      <c r="Q26" s="20">
        <v>175.12899999999999</v>
      </c>
      <c r="R26" s="21">
        <f t="shared" si="48"/>
        <v>175.12899999999999</v>
      </c>
      <c r="T26" s="22"/>
      <c r="U26" s="22"/>
      <c r="V26" s="22"/>
      <c r="W26" s="21"/>
      <c r="X26" s="22"/>
      <c r="Y26" s="22"/>
      <c r="Z26" s="22"/>
      <c r="AA26" s="21"/>
      <c r="AB26" s="22"/>
      <c r="AC26" s="22"/>
      <c r="AD26" s="22"/>
      <c r="AE26" s="21"/>
      <c r="AF26" s="22"/>
      <c r="AG26" s="22"/>
      <c r="AH26" s="22"/>
      <c r="AI26" s="21"/>
      <c r="AJ26" s="219"/>
      <c r="AK26" s="219"/>
      <c r="AL26" s="219"/>
      <c r="AM26" s="22"/>
      <c r="AN26" s="22"/>
      <c r="AO26" s="22"/>
      <c r="AP26" s="22"/>
      <c r="AQ26" s="29"/>
      <c r="AR26" s="22"/>
      <c r="AS26" s="22"/>
      <c r="AT26" s="22"/>
      <c r="AU26" s="21"/>
      <c r="AV26" s="22"/>
      <c r="AW26" s="21"/>
      <c r="AX26" s="22"/>
      <c r="AY26" s="22"/>
      <c r="AZ26" s="22"/>
      <c r="BA26" s="22"/>
      <c r="BB26" s="22"/>
      <c r="BC26" s="22"/>
      <c r="BD26" s="21"/>
      <c r="BE26" s="22">
        <v>0</v>
      </c>
      <c r="BF26" s="22">
        <v>0</v>
      </c>
      <c r="BG26" s="22">
        <v>306.101</v>
      </c>
      <c r="BH26" s="32">
        <f t="shared" si="18"/>
        <v>0</v>
      </c>
      <c r="BI26" s="22">
        <v>0</v>
      </c>
      <c r="BJ26" s="22">
        <v>0</v>
      </c>
      <c r="BK26" s="22">
        <v>175.12899999999999</v>
      </c>
      <c r="BL26" s="32">
        <f t="shared" si="57"/>
        <v>0</v>
      </c>
      <c r="BM26" s="22">
        <v>0</v>
      </c>
      <c r="BO26" s="32">
        <f t="shared" si="58"/>
        <v>0</v>
      </c>
      <c r="BP26" s="22">
        <v>0</v>
      </c>
      <c r="BQ26" s="22">
        <v>0</v>
      </c>
      <c r="BR26" s="22">
        <v>306.101</v>
      </c>
      <c r="BS26" s="32">
        <f t="shared" si="59"/>
        <v>0</v>
      </c>
      <c r="BT26" s="22">
        <v>0</v>
      </c>
      <c r="BV26" s="22">
        <v>0</v>
      </c>
      <c r="BW26" s="22">
        <v>0</v>
      </c>
      <c r="BY26" s="22">
        <v>306.101</v>
      </c>
      <c r="BZ26" s="22">
        <v>175.12899999999999</v>
      </c>
      <c r="CB26" s="32">
        <f t="shared" si="60"/>
        <v>0</v>
      </c>
      <c r="CC26" s="32">
        <f t="shared" si="60"/>
        <v>0</v>
      </c>
    </row>
    <row r="27" spans="2:81" s="6" customFormat="1">
      <c r="B27" s="6" t="s">
        <v>250</v>
      </c>
      <c r="C27" s="24">
        <f t="shared" ref="C27:R27" si="61">SUM(C19,C20,C21,C22,C23,C24,C25,C26)</f>
        <v>1139.5799999999986</v>
      </c>
      <c r="D27" s="24">
        <f t="shared" si="61"/>
        <v>1936.2410000000007</v>
      </c>
      <c r="E27" s="24">
        <f t="shared" si="61"/>
        <v>-4073.1400000000008</v>
      </c>
      <c r="F27" s="24">
        <f t="shared" si="61"/>
        <v>2779.7400000000002</v>
      </c>
      <c r="G27" s="24">
        <f t="shared" si="61"/>
        <v>1171.1169999999981</v>
      </c>
      <c r="H27" s="24">
        <f t="shared" si="61"/>
        <v>2173.6179999999972</v>
      </c>
      <c r="I27" s="24">
        <f t="shared" si="61"/>
        <v>1547.9729999999975</v>
      </c>
      <c r="J27" s="24">
        <f t="shared" si="61"/>
        <v>951.22499999999616</v>
      </c>
      <c r="K27" s="24">
        <f t="shared" si="61"/>
        <v>-4248.2920000000022</v>
      </c>
      <c r="L27" s="24">
        <f t="shared" si="61"/>
        <v>-1809.49</v>
      </c>
      <c r="M27" s="24">
        <f t="shared" si="61"/>
        <v>793.36499999999705</v>
      </c>
      <c r="N27" s="24">
        <f t="shared" si="61"/>
        <v>11.01700000000163</v>
      </c>
      <c r="O27" s="24">
        <f t="shared" si="61"/>
        <v>2564.4750000000022</v>
      </c>
      <c r="P27" s="24">
        <f t="shared" si="61"/>
        <v>1580.5550000000012</v>
      </c>
      <c r="Q27" s="24">
        <f t="shared" si="61"/>
        <v>995.60300000000007</v>
      </c>
      <c r="R27" s="24">
        <f t="shared" si="61"/>
        <v>1057.6049999999975</v>
      </c>
      <c r="S27"/>
      <c r="T27" s="24">
        <f t="shared" ref="T27:AI27" si="62">SUM(T19,T20,T21,T22,T23,T24,T25)</f>
        <v>54.912999999999215</v>
      </c>
      <c r="U27" s="24">
        <f t="shared" si="62"/>
        <v>-3044.6720000000009</v>
      </c>
      <c r="V27" s="24">
        <f t="shared" si="62"/>
        <v>395.4509999999994</v>
      </c>
      <c r="W27" s="24">
        <f t="shared" si="62"/>
        <v>-1478.8319999999974</v>
      </c>
      <c r="X27" s="24">
        <f t="shared" si="62"/>
        <v>992.90399999999931</v>
      </c>
      <c r="Y27" s="24">
        <f t="shared" si="62"/>
        <v>653.93400000000008</v>
      </c>
      <c r="Z27" s="24">
        <f t="shared" si="62"/>
        <v>573.78899999999885</v>
      </c>
      <c r="AA27" s="24">
        <f t="shared" si="62"/>
        <v>559.11300000000199</v>
      </c>
      <c r="AB27" s="24">
        <f t="shared" si="62"/>
        <v>592.69599999999934</v>
      </c>
      <c r="AC27" s="24">
        <f t="shared" si="62"/>
        <v>405.80999999999921</v>
      </c>
      <c r="AD27" s="24">
        <f t="shared" si="62"/>
        <v>724.47300000000121</v>
      </c>
      <c r="AE27" s="24">
        <f t="shared" si="62"/>
        <v>-551.86200000000167</v>
      </c>
      <c r="AF27" s="24">
        <f t="shared" si="62"/>
        <v>361.96800000000007</v>
      </c>
      <c r="AG27" s="24">
        <f t="shared" si="62"/>
        <v>604.5950000000006</v>
      </c>
      <c r="AH27" s="24">
        <f t="shared" si="62"/>
        <v>658.2840000000009</v>
      </c>
      <c r="AI27" s="24">
        <f t="shared" si="62"/>
        <v>548.77099999999905</v>
      </c>
      <c r="AJ27" s="220"/>
      <c r="AK27" s="220"/>
      <c r="AL27" s="220"/>
      <c r="AM27" s="24">
        <f t="shared" ref="AM27:AW27" si="63">SUM(AM19,AM20,AM21,AM22,AM23,AM24,AM25)</f>
        <v>-10.993000000000681</v>
      </c>
      <c r="AN27" s="24">
        <f t="shared" si="63"/>
        <v>253.2199999999992</v>
      </c>
      <c r="AO27" s="24">
        <f t="shared" si="63"/>
        <v>286.74900000000116</v>
      </c>
      <c r="AP27" s="24">
        <f t="shared" si="63"/>
        <v>268.58399999999983</v>
      </c>
      <c r="AQ27" s="24">
        <f t="shared" si="63"/>
        <v>739.42000000000371</v>
      </c>
      <c r="AR27" s="24">
        <f t="shared" si="63"/>
        <v>-123.86199999999958</v>
      </c>
      <c r="AS27" s="24">
        <f t="shared" si="63"/>
        <v>-128.84299999999931</v>
      </c>
      <c r="AT27" s="24">
        <f t="shared" si="63"/>
        <v>114.82300000000004</v>
      </c>
      <c r="AU27" s="24">
        <f t="shared" si="63"/>
        <v>-4110.6500000000005</v>
      </c>
      <c r="AV27" s="24">
        <f t="shared" si="63"/>
        <v>-226.79400000000015</v>
      </c>
      <c r="AW27" s="24">
        <f t="shared" si="63"/>
        <v>-1329.9910000000009</v>
      </c>
      <c r="AX27" s="24">
        <f t="shared" ref="AX27:BL27" si="64">SUM(AX19,AX20,AX21,AX22,AX23,AX24,AX25,AX26)</f>
        <v>269.03500000000162</v>
      </c>
      <c r="AY27" s="24">
        <f t="shared" si="64"/>
        <v>218.71899999999914</v>
      </c>
      <c r="AZ27" s="24">
        <f t="shared" si="64"/>
        <v>-1204.6349999999991</v>
      </c>
      <c r="BA27" s="24">
        <f t="shared" si="64"/>
        <v>-39.819000000000841</v>
      </c>
      <c r="BB27" s="24">
        <f t="shared" si="64"/>
        <v>557.91599999999892</v>
      </c>
      <c r="BC27" s="24">
        <f t="shared" si="64"/>
        <v>243.61299999999909</v>
      </c>
      <c r="BD27" s="24">
        <f t="shared" si="64"/>
        <v>1485.3520000000001</v>
      </c>
      <c r="BE27" s="24">
        <f t="shared" si="64"/>
        <v>302.22000000000003</v>
      </c>
      <c r="BF27" s="24">
        <f t="shared" si="64"/>
        <v>450.78</v>
      </c>
      <c r="BG27" s="24">
        <f t="shared" si="64"/>
        <v>1433.1980000000003</v>
      </c>
      <c r="BH27" s="24">
        <f t="shared" si="64"/>
        <v>378.27700000000067</v>
      </c>
      <c r="BI27" s="24">
        <f t="shared" si="64"/>
        <v>456.53399999999954</v>
      </c>
      <c r="BJ27" s="24">
        <f t="shared" si="64"/>
        <v>225.82399999999978</v>
      </c>
      <c r="BK27" s="24">
        <f t="shared" si="64"/>
        <v>169.23699999999997</v>
      </c>
      <c r="BL27" s="24">
        <f t="shared" si="64"/>
        <v>144.00799999999947</v>
      </c>
      <c r="BM27" s="24">
        <f t="shared" ref="BM27" si="65">SUM(BM19,BM20,BM21,BM22,BM23,BM24,BM25,BM26)</f>
        <v>518.53600000000063</v>
      </c>
      <c r="BO27" s="24">
        <f t="shared" ref="BO27:BT27" si="66">SUM(BO19,BO20,BO21,BO22,BO23,BO24,BO25,BO26)</f>
        <v>-411.49599999999782</v>
      </c>
      <c r="BP27" s="24">
        <f t="shared" si="66"/>
        <v>374.88599999999923</v>
      </c>
      <c r="BQ27" s="24">
        <f t="shared" si="66"/>
        <v>244.24500000000018</v>
      </c>
      <c r="BR27" s="24">
        <f t="shared" si="66"/>
        <v>1268.6850000000004</v>
      </c>
      <c r="BS27" s="24">
        <f t="shared" si="66"/>
        <v>-307.26100000000105</v>
      </c>
      <c r="BT27" s="24">
        <f t="shared" si="66"/>
        <v>240.49299999999982</v>
      </c>
      <c r="BV27" s="24">
        <f>SUM(BV19,BV20,BV21,BV22,BV23,BV24,BV25,BV26)</f>
        <v>334.32699999999915</v>
      </c>
      <c r="BW27" s="24">
        <f>SUM(BW19,BW20,BW21,BW22,BW23,BW24,BW25,BW26)</f>
        <v>466.31800000000032</v>
      </c>
      <c r="BY27" s="24">
        <f>SUM(BY19,BY20,BY21,BY22,BY23,BY24,BY25,BY26)</f>
        <v>1603.0129999999995</v>
      </c>
      <c r="BZ27" s="24">
        <f>SUM(BZ19,BZ20,BZ21,BZ22,BZ23,BZ24,BZ25,BZ26)</f>
        <v>635.5549999999987</v>
      </c>
      <c r="CB27" s="24">
        <f>SUM(CB19,CB20,CB21,CB22,CB23,CB24,CB25,CB26)</f>
        <v>-22.458000000000467</v>
      </c>
      <c r="CC27" s="24">
        <f>SUM(CC19,CC20,CC21,CC22,CC23,CC24,CC25,CC26)</f>
        <v>360.04800000000074</v>
      </c>
    </row>
    <row r="28" spans="2:81" s="27" customFormat="1">
      <c r="B28" s="25" t="s">
        <v>251</v>
      </c>
      <c r="C28" s="20">
        <v>-482.42200000000003</v>
      </c>
      <c r="D28" s="20">
        <v>-773.74900000000002</v>
      </c>
      <c r="E28" s="20">
        <v>-901.55200000000002</v>
      </c>
      <c r="F28" s="20">
        <v>-964.64400000000001</v>
      </c>
      <c r="G28" s="20">
        <v>-547.072</v>
      </c>
      <c r="H28" s="20">
        <v>-896.73699999999997</v>
      </c>
      <c r="I28" s="20">
        <v>-614.66600000000005</v>
      </c>
      <c r="J28" s="20">
        <v>-643.69000000000005</v>
      </c>
      <c r="K28" s="20">
        <v>-614.66600000000005</v>
      </c>
      <c r="L28" s="20">
        <v>-604.86</v>
      </c>
      <c r="M28" s="20">
        <v>-651.16800000000001</v>
      </c>
      <c r="N28" s="20">
        <v>-665.74400000000003</v>
      </c>
      <c r="O28" s="20">
        <v>-965.61599999999999</v>
      </c>
      <c r="P28" s="20">
        <v>-775.56600000000003</v>
      </c>
      <c r="Q28" s="20">
        <v>-656.33</v>
      </c>
      <c r="R28" s="21">
        <f>SUM(BJ28:BM28)</f>
        <v>-639.04000000000008</v>
      </c>
      <c r="S28"/>
      <c r="T28" s="20">
        <v>-136.03200000000001</v>
      </c>
      <c r="U28" s="20">
        <v>-259.47699999999998</v>
      </c>
      <c r="V28" s="20">
        <v>-196.10400000000001</v>
      </c>
      <c r="W28" s="21">
        <f>E28-V28-U28-T28</f>
        <v>-309.93899999999996</v>
      </c>
      <c r="X28" s="20">
        <v>-193.078</v>
      </c>
      <c r="Y28" s="20">
        <v>-349.97199999999998</v>
      </c>
      <c r="Z28" s="20">
        <v>-266.62400000000002</v>
      </c>
      <c r="AA28" s="21">
        <f>F28-Z28-Y28-X28</f>
        <v>-154.97</v>
      </c>
      <c r="AB28" s="20">
        <v>-194.39599999999999</v>
      </c>
      <c r="AC28" s="20">
        <v>-249.32599999999999</v>
      </c>
      <c r="AD28" s="20">
        <v>-256.80399999999997</v>
      </c>
      <c r="AE28" s="21">
        <f>G28-AD28-AC28-AB28</f>
        <v>153.45399999999995</v>
      </c>
      <c r="AF28" s="20">
        <v>-174.578</v>
      </c>
      <c r="AG28" s="20">
        <v>-189.727</v>
      </c>
      <c r="AH28" s="20">
        <v>-195.16200000000001</v>
      </c>
      <c r="AI28" s="21">
        <f>H28-AH28-AG28-AF28</f>
        <v>-337.27</v>
      </c>
      <c r="AJ28" s="219"/>
      <c r="AK28" s="219"/>
      <c r="AL28" s="219"/>
      <c r="AM28" s="20">
        <v>-223.53800000000001</v>
      </c>
      <c r="AN28" s="20">
        <v>-262.51100000000002</v>
      </c>
      <c r="AO28" s="20">
        <v>-300.10000000000002</v>
      </c>
      <c r="AP28" s="20">
        <v>-274.964</v>
      </c>
      <c r="AQ28" s="29">
        <f>I28-SUM(AN28:AP28)</f>
        <v>222.90899999999999</v>
      </c>
      <c r="AR28" s="20">
        <v>-146.15199999999999</v>
      </c>
      <c r="AS28" s="20">
        <v>-178.31100000000001</v>
      </c>
      <c r="AT28" s="20">
        <v>-145.071</v>
      </c>
      <c r="AU28" s="21">
        <f>K28-AR28-AS28-AT28</f>
        <v>-145.13200000000009</v>
      </c>
      <c r="AV28" s="20">
        <v>-145.071</v>
      </c>
      <c r="AW28" s="21">
        <f>L28-AR28-AS28-AV28</f>
        <v>-135.32600000000005</v>
      </c>
      <c r="AX28" s="20">
        <v>-127.101</v>
      </c>
      <c r="AY28" s="20">
        <v>-116.358</v>
      </c>
      <c r="AZ28" s="20">
        <v>80.817999999999998</v>
      </c>
      <c r="BA28" s="20">
        <v>-153.76599999999999</v>
      </c>
      <c r="BB28" s="20">
        <v>-135.62200000000001</v>
      </c>
      <c r="BC28" s="20">
        <v>-135.62200000000001</v>
      </c>
      <c r="BD28" s="21">
        <f>M28-AZ28-AX28-BC28</f>
        <v>-469.26299999999998</v>
      </c>
      <c r="BE28" s="20">
        <v>-167.262</v>
      </c>
      <c r="BF28" s="20">
        <v>-249.26499999999999</v>
      </c>
      <c r="BG28" s="20">
        <v>-289.505</v>
      </c>
      <c r="BH28" s="32">
        <f t="shared" si="18"/>
        <v>-259.58400000000006</v>
      </c>
      <c r="BI28" s="20">
        <v>-148.042</v>
      </c>
      <c r="BJ28" s="20">
        <v>-260.39600000000002</v>
      </c>
      <c r="BK28" s="20">
        <v>-155.68700000000001</v>
      </c>
      <c r="BL28" s="32">
        <f>Q28-SUM(BI28:BK28)</f>
        <v>-92.205000000000041</v>
      </c>
      <c r="BM28" s="20">
        <v>-130.75200000000001</v>
      </c>
      <c r="BO28" s="32">
        <f>N28-SUM(AY28,BA28,BC28)</f>
        <v>-259.99799999999999</v>
      </c>
      <c r="BP28" s="20">
        <v>-173.20699999999999</v>
      </c>
      <c r="BQ28" s="20">
        <v>-195.61</v>
      </c>
      <c r="BR28" s="20">
        <v>-253.15700000000001</v>
      </c>
      <c r="BS28" s="32">
        <f>P28-SUM(BP28:BR28)</f>
        <v>-153.59199999999998</v>
      </c>
      <c r="BT28" s="20">
        <v>-123.277</v>
      </c>
      <c r="BV28" s="20">
        <v>-325.70100000000002</v>
      </c>
      <c r="BW28" s="20">
        <v>-383.673</v>
      </c>
      <c r="BY28" s="20">
        <v>-578.85900000000004</v>
      </c>
      <c r="BZ28" s="20">
        <v>-539.36</v>
      </c>
      <c r="CB28" s="32">
        <f>P28-BY28</f>
        <v>-196.70699999999999</v>
      </c>
      <c r="CC28" s="32">
        <f>Q28-BZ28</f>
        <v>-116.97000000000003</v>
      </c>
    </row>
    <row r="29" spans="2:81" s="6" customFormat="1">
      <c r="B29" s="6" t="s">
        <v>252</v>
      </c>
      <c r="C29" s="24">
        <f t="shared" ref="C29:K29" si="67">+C27+C28</f>
        <v>657.15799999999854</v>
      </c>
      <c r="D29" s="24">
        <f t="shared" si="67"/>
        <v>1162.4920000000006</v>
      </c>
      <c r="E29" s="24">
        <f t="shared" si="67"/>
        <v>-4974.6920000000009</v>
      </c>
      <c r="F29" s="24">
        <f t="shared" si="67"/>
        <v>1815.0960000000002</v>
      </c>
      <c r="G29" s="24">
        <f t="shared" ref="G29" si="68">+G27+G28</f>
        <v>624.04499999999814</v>
      </c>
      <c r="H29" s="24">
        <f t="shared" si="67"/>
        <v>1276.8809999999971</v>
      </c>
      <c r="I29" s="24">
        <f t="shared" ref="I29" si="69">+I27+I28</f>
        <v>933.3069999999974</v>
      </c>
      <c r="J29" s="24">
        <f t="shared" si="67"/>
        <v>307.5349999999961</v>
      </c>
      <c r="K29" s="24">
        <f t="shared" si="67"/>
        <v>-4862.9580000000024</v>
      </c>
      <c r="L29" s="24">
        <f t="shared" ref="L29:M29" si="70">+L27+L28</f>
        <v>-2414.35</v>
      </c>
      <c r="M29" s="24">
        <f t="shared" si="70"/>
        <v>142.19699999999705</v>
      </c>
      <c r="N29" s="24">
        <f t="shared" ref="N29" si="71">+N27+N28</f>
        <v>-654.72699999999838</v>
      </c>
      <c r="O29" s="24">
        <f t="shared" ref="O29:P29" si="72">+O27+O28</f>
        <v>1598.8590000000022</v>
      </c>
      <c r="P29" s="24">
        <f t="shared" si="72"/>
        <v>804.98900000000117</v>
      </c>
      <c r="Q29" s="24">
        <f t="shared" ref="Q29" si="73">+Q27+Q28</f>
        <v>339.27300000000002</v>
      </c>
      <c r="R29" s="24">
        <f t="shared" ref="R29" si="74">+R27+R28</f>
        <v>418.56499999999744</v>
      </c>
      <c r="S29" s="121"/>
      <c r="T29" s="24">
        <f t="shared" ref="T29:V29" si="75">+T27+T28</f>
        <v>-81.119000000000796</v>
      </c>
      <c r="U29" s="24">
        <f t="shared" si="75"/>
        <v>-3304.1490000000008</v>
      </c>
      <c r="V29" s="24">
        <f t="shared" si="75"/>
        <v>199.34699999999938</v>
      </c>
      <c r="W29" s="24">
        <f t="shared" ref="W29:AC29" si="76">+W27+W28</f>
        <v>-1788.7709999999975</v>
      </c>
      <c r="X29" s="24">
        <f t="shared" si="76"/>
        <v>799.82599999999934</v>
      </c>
      <c r="Y29" s="24">
        <f t="shared" si="76"/>
        <v>303.9620000000001</v>
      </c>
      <c r="Z29" s="24">
        <f t="shared" si="76"/>
        <v>307.16499999999883</v>
      </c>
      <c r="AA29" s="24">
        <f t="shared" si="76"/>
        <v>404.14300000000196</v>
      </c>
      <c r="AB29" s="24">
        <f t="shared" si="76"/>
        <v>398.29999999999939</v>
      </c>
      <c r="AC29" s="24">
        <f t="shared" si="76"/>
        <v>156.48399999999921</v>
      </c>
      <c r="AD29" s="24">
        <f t="shared" ref="AD29:AG29" si="77">+AD27+AD28</f>
        <v>467.66900000000123</v>
      </c>
      <c r="AE29" s="24">
        <f t="shared" si="77"/>
        <v>-398.40800000000172</v>
      </c>
      <c r="AF29" s="24">
        <f t="shared" si="77"/>
        <v>187.39000000000007</v>
      </c>
      <c r="AG29" s="24">
        <f t="shared" si="77"/>
        <v>414.86800000000062</v>
      </c>
      <c r="AH29" s="24">
        <f t="shared" ref="AH29:AS29" si="78">+AH27+AH28</f>
        <v>463.12200000000087</v>
      </c>
      <c r="AI29" s="24">
        <f t="shared" si="78"/>
        <v>211.50099999999907</v>
      </c>
      <c r="AJ29" s="220"/>
      <c r="AK29" s="220"/>
      <c r="AL29" s="220"/>
      <c r="AM29" s="24">
        <f t="shared" ref="AM29:AP29" si="79">+AM27+AM28</f>
        <v>-234.53100000000069</v>
      </c>
      <c r="AN29" s="24">
        <f t="shared" si="79"/>
        <v>-9.291000000000821</v>
      </c>
      <c r="AO29" s="24">
        <f t="shared" si="79"/>
        <v>-13.350999999998862</v>
      </c>
      <c r="AP29" s="24">
        <f t="shared" si="79"/>
        <v>-6.380000000000166</v>
      </c>
      <c r="AQ29" s="24">
        <f t="shared" ref="AQ29" si="80">+AQ27+AQ28</f>
        <v>962.3290000000037</v>
      </c>
      <c r="AR29" s="24">
        <f t="shared" si="78"/>
        <v>-270.01399999999956</v>
      </c>
      <c r="AS29" s="24">
        <f t="shared" si="78"/>
        <v>-307.15399999999931</v>
      </c>
      <c r="AT29" s="24">
        <f t="shared" ref="AT29:BA29" si="81">+AT27+AT28</f>
        <v>-30.247999999999962</v>
      </c>
      <c r="AU29" s="24">
        <f t="shared" si="81"/>
        <v>-4255.7820000000011</v>
      </c>
      <c r="AV29" s="24">
        <f t="shared" ref="AV29:AW29" si="82">+AV27+AV28</f>
        <v>-371.86500000000012</v>
      </c>
      <c r="AW29" s="24">
        <f t="shared" si="82"/>
        <v>-1465.3170000000009</v>
      </c>
      <c r="AX29" s="24">
        <f t="shared" si="81"/>
        <v>141.93400000000162</v>
      </c>
      <c r="AY29" s="24">
        <f t="shared" ref="AY29" si="83">+AY27+AY28</f>
        <v>102.36099999999914</v>
      </c>
      <c r="AZ29" s="24">
        <f t="shared" si="81"/>
        <v>-1123.8169999999991</v>
      </c>
      <c r="BA29" s="24">
        <f t="shared" si="81"/>
        <v>-193.58500000000083</v>
      </c>
      <c r="BB29" s="24">
        <f t="shared" ref="BB29:BF29" si="84">+BB27+BB28</f>
        <v>422.2939999999989</v>
      </c>
      <c r="BC29" s="24">
        <f t="shared" si="84"/>
        <v>107.99099999999908</v>
      </c>
      <c r="BD29" s="24">
        <f t="shared" si="84"/>
        <v>1016.0890000000002</v>
      </c>
      <c r="BE29" s="24">
        <f t="shared" si="84"/>
        <v>134.95800000000003</v>
      </c>
      <c r="BF29" s="24">
        <f t="shared" si="84"/>
        <v>201.51499999999999</v>
      </c>
      <c r="BG29" s="24">
        <f t="shared" ref="BG29:BJ29" si="85">+BG27+BG28</f>
        <v>1143.6930000000002</v>
      </c>
      <c r="BH29" s="24">
        <f t="shared" si="85"/>
        <v>118.69300000000061</v>
      </c>
      <c r="BI29" s="24">
        <f t="shared" si="85"/>
        <v>308.49199999999951</v>
      </c>
      <c r="BJ29" s="24">
        <f t="shared" si="85"/>
        <v>-34.57200000000023</v>
      </c>
      <c r="BK29" s="24">
        <f t="shared" ref="BK29:BM29" si="86">+BK27+BK28</f>
        <v>13.549999999999955</v>
      </c>
      <c r="BL29" s="24">
        <f t="shared" si="86"/>
        <v>51.802999999999429</v>
      </c>
      <c r="BM29" s="24">
        <f t="shared" si="86"/>
        <v>387.78400000000062</v>
      </c>
      <c r="BO29" s="24">
        <f t="shared" ref="BO29:BP29" si="87">+BO27+BO28</f>
        <v>-671.49399999999787</v>
      </c>
      <c r="BP29" s="24">
        <f t="shared" si="87"/>
        <v>201.67899999999923</v>
      </c>
      <c r="BQ29" s="24">
        <f t="shared" ref="BQ29:BT29" si="88">+BQ27+BQ28</f>
        <v>48.635000000000161</v>
      </c>
      <c r="BR29" s="24">
        <f t="shared" si="88"/>
        <v>1015.5280000000004</v>
      </c>
      <c r="BS29" s="24">
        <f t="shared" si="88"/>
        <v>-460.85300000000103</v>
      </c>
      <c r="BT29" s="24">
        <f t="shared" si="88"/>
        <v>117.21599999999982</v>
      </c>
      <c r="BV29" s="24">
        <f t="shared" ref="BV29" si="89">+BV27+BV28</f>
        <v>8.6259999999991237</v>
      </c>
      <c r="BW29" s="24">
        <f t="shared" ref="BW29" si="90">+BW27+BW28</f>
        <v>82.645000000000323</v>
      </c>
      <c r="BY29" s="24">
        <f t="shared" ref="BY29:BZ29" si="91">+BY27+BY28</f>
        <v>1024.1539999999995</v>
      </c>
      <c r="BZ29" s="24">
        <f t="shared" si="91"/>
        <v>96.194999999998686</v>
      </c>
      <c r="CB29" s="24">
        <f t="shared" ref="CB29:CC29" si="92">+CB27+CB28</f>
        <v>-219.16500000000048</v>
      </c>
      <c r="CC29" s="24">
        <f t="shared" si="92"/>
        <v>243.07800000000071</v>
      </c>
    </row>
    <row r="30" spans="2:81" s="6" customFormat="1">
      <c r="B30" s="25" t="s">
        <v>253</v>
      </c>
      <c r="C30" s="20"/>
      <c r="D30" s="20"/>
      <c r="E30" s="20"/>
      <c r="F30" s="20"/>
      <c r="G30" s="20"/>
      <c r="H30" s="20"/>
      <c r="I30" s="20"/>
      <c r="J30" s="20"/>
      <c r="K30" s="20">
        <v>13472.081</v>
      </c>
      <c r="L30" s="20">
        <v>0</v>
      </c>
      <c r="M30" s="20">
        <v>0</v>
      </c>
      <c r="N30" s="20">
        <v>0</v>
      </c>
      <c r="O30" s="20">
        <v>0</v>
      </c>
      <c r="P30" s="20">
        <v>0</v>
      </c>
      <c r="Q30" s="20">
        <v>0</v>
      </c>
      <c r="R30" s="21">
        <f>SUM(BJ30:BM30)</f>
        <v>0</v>
      </c>
      <c r="S30"/>
      <c r="T30" s="20"/>
      <c r="U30" s="20"/>
      <c r="V30" s="20"/>
      <c r="W30" s="21"/>
      <c r="X30" s="20"/>
      <c r="Y30" s="20"/>
      <c r="Z30" s="20"/>
      <c r="AA30" s="21"/>
      <c r="AB30" s="20"/>
      <c r="AC30" s="20"/>
      <c r="AD30" s="20"/>
      <c r="AE30" s="21"/>
      <c r="AF30" s="20"/>
      <c r="AG30" s="20"/>
      <c r="AH30" s="20"/>
      <c r="AI30" s="21"/>
      <c r="AJ30" s="219"/>
      <c r="AK30" s="219"/>
      <c r="AL30" s="219"/>
      <c r="AM30" s="20"/>
      <c r="AN30" s="20"/>
      <c r="AO30" s="20"/>
      <c r="AP30" s="20">
        <v>0</v>
      </c>
      <c r="AQ30" s="29">
        <f>I30-SUM(AN30:AP30)</f>
        <v>0</v>
      </c>
      <c r="AR30" s="20">
        <v>0</v>
      </c>
      <c r="AS30" s="20">
        <v>0</v>
      </c>
      <c r="AT30" s="20">
        <v>0</v>
      </c>
      <c r="AU30" s="21">
        <f>K30-AR30-AS30-AT30</f>
        <v>13472.081</v>
      </c>
      <c r="AV30" s="20">
        <v>0</v>
      </c>
      <c r="AW30" s="21">
        <f>L30-AR30-AS30-AV30</f>
        <v>0</v>
      </c>
      <c r="AX30" s="20"/>
      <c r="AY30" s="20"/>
      <c r="AZ30" s="20">
        <v>402</v>
      </c>
      <c r="BA30" s="20">
        <v>0</v>
      </c>
      <c r="BB30" s="20">
        <v>0</v>
      </c>
      <c r="BC30" s="20">
        <v>0</v>
      </c>
      <c r="BD30" s="21">
        <f>M30-AZ30-AX30-BC30</f>
        <v>-402</v>
      </c>
      <c r="BE30" s="20"/>
      <c r="BF30" s="20">
        <v>0</v>
      </c>
      <c r="BG30" s="20">
        <v>0</v>
      </c>
      <c r="BH30" s="32">
        <f t="shared" si="18"/>
        <v>0</v>
      </c>
      <c r="BI30" s="20">
        <v>0</v>
      </c>
      <c r="BJ30" s="20">
        <v>0</v>
      </c>
      <c r="BK30" s="20">
        <v>0</v>
      </c>
      <c r="BL30" s="32">
        <f>Q30-SUM(BI30:BK30)</f>
        <v>0</v>
      </c>
      <c r="BM30" s="20">
        <v>0</v>
      </c>
      <c r="BO30" s="32">
        <f>N30-SUM(AY30,BA30,BC30)</f>
        <v>0</v>
      </c>
      <c r="BP30" s="20">
        <v>0</v>
      </c>
      <c r="BQ30" s="20">
        <v>0</v>
      </c>
      <c r="BR30" s="20">
        <v>0</v>
      </c>
      <c r="BS30" s="32">
        <f>P30-SUM(BP30:BR30)</f>
        <v>0</v>
      </c>
      <c r="BT30" s="20">
        <v>0</v>
      </c>
      <c r="BV30" s="20">
        <v>0</v>
      </c>
      <c r="BW30" s="20">
        <v>0</v>
      </c>
      <c r="BY30" s="20">
        <v>0</v>
      </c>
      <c r="BZ30" s="20">
        <v>0</v>
      </c>
      <c r="CB30" s="32">
        <f>P30-BY30</f>
        <v>0</v>
      </c>
      <c r="CC30" s="32">
        <f>Q30-BZ30</f>
        <v>0</v>
      </c>
    </row>
    <row r="31" spans="2:81">
      <c r="B31" s="25" t="s">
        <v>254</v>
      </c>
      <c r="C31" s="20"/>
      <c r="D31" s="20"/>
      <c r="E31" s="20"/>
      <c r="F31" s="20"/>
      <c r="G31" s="20"/>
      <c r="H31" s="20"/>
      <c r="I31" s="20"/>
      <c r="J31" s="20">
        <v>969.346</v>
      </c>
      <c r="K31" s="20">
        <v>1424.2080000000001</v>
      </c>
      <c r="L31" s="20">
        <v>12433.763999999999</v>
      </c>
      <c r="M31" s="20">
        <v>-2599.355</v>
      </c>
      <c r="N31" s="20">
        <v>-1802.431</v>
      </c>
      <c r="O31" s="20">
        <v>0</v>
      </c>
      <c r="P31" s="20">
        <v>793.87</v>
      </c>
      <c r="Q31" s="20">
        <v>292.33499999999998</v>
      </c>
      <c r="R31" s="21">
        <f>SUM(BJ31:BM31)</f>
        <v>292.33499999999998</v>
      </c>
      <c r="T31" s="20"/>
      <c r="U31" s="20"/>
      <c r="V31" s="20"/>
      <c r="W31" s="21"/>
      <c r="X31" s="20"/>
      <c r="Y31" s="20"/>
      <c r="Z31" s="20"/>
      <c r="AA31" s="21"/>
      <c r="AB31" s="20"/>
      <c r="AC31" s="20"/>
      <c r="AD31" s="20"/>
      <c r="AE31" s="21"/>
      <c r="AF31" s="20"/>
      <c r="AG31" s="20"/>
      <c r="AH31" s="20"/>
      <c r="AI31" s="21"/>
      <c r="AJ31" s="219"/>
      <c r="AK31" s="219"/>
      <c r="AL31" s="219"/>
      <c r="AM31" s="20"/>
      <c r="AN31" s="20">
        <v>0</v>
      </c>
      <c r="AO31" s="20">
        <v>0</v>
      </c>
      <c r="AP31" s="20">
        <v>0</v>
      </c>
      <c r="AQ31" s="29">
        <f>I31-SUM(AN31:AP31)</f>
        <v>0</v>
      </c>
      <c r="AR31" s="20">
        <v>260.72300000000001</v>
      </c>
      <c r="AS31" s="20">
        <v>293.803</v>
      </c>
      <c r="AT31" s="20">
        <v>365.48500000000001</v>
      </c>
      <c r="AU31" s="21">
        <f>K31-AR31-AS31-AT31</f>
        <v>504.19700000000012</v>
      </c>
      <c r="AV31" s="20">
        <v>365.48500000000001</v>
      </c>
      <c r="AW31" s="21">
        <f>L31-AR31-AS31-AV31</f>
        <v>11513.752999999999</v>
      </c>
      <c r="AX31" s="20">
        <v>0</v>
      </c>
      <c r="AY31" s="20">
        <v>39.573</v>
      </c>
      <c r="AZ31" s="20">
        <v>0</v>
      </c>
      <c r="BA31" s="20">
        <v>-528.23199999999997</v>
      </c>
      <c r="BB31" s="20">
        <v>-1022.85</v>
      </c>
      <c r="BC31" s="20">
        <v>-1022.85</v>
      </c>
      <c r="BD31" s="21">
        <f>M31-AZ31-AX31-BC31</f>
        <v>-1576.5050000000001</v>
      </c>
      <c r="BE31" s="20">
        <v>66.721000000000004</v>
      </c>
      <c r="BF31" s="20">
        <v>53.948999999999998</v>
      </c>
      <c r="BG31" s="20">
        <v>44.701999999999998</v>
      </c>
      <c r="BH31" s="32">
        <f t="shared" si="18"/>
        <v>-165.37200000000001</v>
      </c>
      <c r="BI31" s="20">
        <v>0</v>
      </c>
      <c r="BJ31" s="20">
        <v>238.46700000000001</v>
      </c>
      <c r="BK31" s="20">
        <v>6.5190000000000001</v>
      </c>
      <c r="BL31" s="32">
        <f>Q31-SUM(BI31:BK31)</f>
        <v>47.348999999999961</v>
      </c>
      <c r="BM31" s="20">
        <v>0</v>
      </c>
      <c r="BO31" s="32">
        <f>N31-SUM(AY31,BA31,BC31)</f>
        <v>-290.92200000000003</v>
      </c>
      <c r="BP31" s="20">
        <v>0</v>
      </c>
      <c r="BQ31" s="20">
        <v>206.82900000000001</v>
      </c>
      <c r="BR31" s="20">
        <v>172.86699999999999</v>
      </c>
      <c r="BS31" s="32">
        <f>P31-SUM(BP31:BR31)</f>
        <v>414.17399999999998</v>
      </c>
      <c r="BT31" s="20">
        <v>191.27600000000001</v>
      </c>
      <c r="BV31" s="20">
        <v>448.517</v>
      </c>
      <c r="BW31" s="20">
        <v>429.74200000000002</v>
      </c>
      <c r="BY31" s="20">
        <v>621.38400000000001</v>
      </c>
      <c r="BZ31" s="20">
        <v>436.26100000000002</v>
      </c>
      <c r="CB31" s="32">
        <f>P31-BY31</f>
        <v>172.48599999999999</v>
      </c>
      <c r="CC31" s="32">
        <f>Q31-BZ31</f>
        <v>-143.92600000000004</v>
      </c>
    </row>
    <row r="32" spans="2:81" s="6" customFormat="1" ht="12.75">
      <c r="B32" s="24" t="s">
        <v>255</v>
      </c>
      <c r="C32" s="24">
        <f t="shared" ref="C32:AX32" si="93">+C29+C31+C30</f>
        <v>657.15799999999854</v>
      </c>
      <c r="D32" s="24">
        <f t="shared" si="93"/>
        <v>1162.4920000000006</v>
      </c>
      <c r="E32" s="24">
        <f t="shared" si="93"/>
        <v>-4974.6920000000009</v>
      </c>
      <c r="F32" s="24">
        <f t="shared" si="93"/>
        <v>1815.0960000000002</v>
      </c>
      <c r="G32" s="24">
        <f t="shared" si="93"/>
        <v>624.04499999999814</v>
      </c>
      <c r="H32" s="24">
        <f t="shared" si="93"/>
        <v>1276.8809999999971</v>
      </c>
      <c r="I32" s="24">
        <f t="shared" ref="I32" si="94">+I29+I31+I30</f>
        <v>933.3069999999974</v>
      </c>
      <c r="J32" s="24">
        <f t="shared" si="93"/>
        <v>1276.8809999999962</v>
      </c>
      <c r="K32" s="24">
        <f t="shared" si="93"/>
        <v>10033.330999999998</v>
      </c>
      <c r="L32" s="24">
        <f t="shared" ref="L32:M32" si="95">+L29+L31+L30</f>
        <v>10019.413999999999</v>
      </c>
      <c r="M32" s="24">
        <f t="shared" si="95"/>
        <v>-2457.1580000000031</v>
      </c>
      <c r="N32" s="24">
        <f t="shared" ref="N32" si="96">+N29+N31+N30</f>
        <v>-2457.1579999999985</v>
      </c>
      <c r="O32" s="24">
        <f t="shared" ref="O32:P32" si="97">+O29+O31+O30</f>
        <v>1598.8590000000022</v>
      </c>
      <c r="P32" s="24">
        <f t="shared" si="97"/>
        <v>1598.8590000000013</v>
      </c>
      <c r="Q32" s="24">
        <f t="shared" ref="Q32" si="98">+Q29+Q31+Q30</f>
        <v>631.60799999999995</v>
      </c>
      <c r="R32" s="24">
        <f t="shared" ref="R32" si="99">+R29+R31+R30</f>
        <v>710.89999999999736</v>
      </c>
      <c r="S32" s="24"/>
      <c r="T32" s="24">
        <f t="shared" si="93"/>
        <v>-81.119000000000796</v>
      </c>
      <c r="U32" s="24">
        <f t="shared" si="93"/>
        <v>-3304.1490000000008</v>
      </c>
      <c r="V32" s="24">
        <f t="shared" si="93"/>
        <v>199.34699999999938</v>
      </c>
      <c r="W32" s="24">
        <f t="shared" si="93"/>
        <v>-1788.7709999999975</v>
      </c>
      <c r="X32" s="24">
        <f t="shared" si="93"/>
        <v>799.82599999999934</v>
      </c>
      <c r="Y32" s="24">
        <f t="shared" si="93"/>
        <v>303.9620000000001</v>
      </c>
      <c r="Z32" s="24">
        <f t="shared" si="93"/>
        <v>307.16499999999883</v>
      </c>
      <c r="AA32" s="24">
        <f t="shared" si="93"/>
        <v>404.14300000000196</v>
      </c>
      <c r="AB32" s="24">
        <f t="shared" si="93"/>
        <v>398.29999999999939</v>
      </c>
      <c r="AC32" s="24">
        <f t="shared" si="93"/>
        <v>156.48399999999921</v>
      </c>
      <c r="AD32" s="24">
        <f t="shared" si="93"/>
        <v>467.66900000000123</v>
      </c>
      <c r="AE32" s="24">
        <f t="shared" si="93"/>
        <v>-398.40800000000172</v>
      </c>
      <c r="AF32" s="24">
        <f t="shared" si="93"/>
        <v>187.39000000000007</v>
      </c>
      <c r="AG32" s="24">
        <f t="shared" si="93"/>
        <v>414.86800000000062</v>
      </c>
      <c r="AH32" s="24">
        <f t="shared" si="93"/>
        <v>463.12200000000087</v>
      </c>
      <c r="AI32" s="24">
        <f t="shared" si="93"/>
        <v>211.50099999999907</v>
      </c>
      <c r="AJ32" s="220"/>
      <c r="AK32" s="220"/>
      <c r="AL32" s="220"/>
      <c r="AM32" s="24">
        <f t="shared" ref="AM32:AP32" si="100">+AM29+AM31+AM30</f>
        <v>-234.53100000000069</v>
      </c>
      <c r="AN32" s="24">
        <f t="shared" si="100"/>
        <v>-9.291000000000821</v>
      </c>
      <c r="AO32" s="24">
        <f t="shared" si="100"/>
        <v>-13.350999999998862</v>
      </c>
      <c r="AP32" s="24">
        <f t="shared" si="100"/>
        <v>-6.380000000000166</v>
      </c>
      <c r="AQ32" s="24">
        <f t="shared" ref="AQ32" si="101">+AQ29+AQ31+AQ30</f>
        <v>962.3290000000037</v>
      </c>
      <c r="AR32" s="24">
        <f t="shared" si="93"/>
        <v>-9.2909999999995421</v>
      </c>
      <c r="AS32" s="24">
        <f t="shared" si="93"/>
        <v>-13.350999999999317</v>
      </c>
      <c r="AT32" s="24">
        <f t="shared" si="93"/>
        <v>335.23700000000008</v>
      </c>
      <c r="AU32" s="24">
        <f t="shared" si="93"/>
        <v>9720.4959999999992</v>
      </c>
      <c r="AV32" s="24">
        <f t="shared" ref="AV32:AW32" si="102">+AV29+AV31+AV30</f>
        <v>-6.3800000000001091</v>
      </c>
      <c r="AW32" s="24">
        <f t="shared" si="102"/>
        <v>10048.435999999998</v>
      </c>
      <c r="AX32" s="24">
        <f t="shared" si="93"/>
        <v>141.93400000000162</v>
      </c>
      <c r="AY32" s="24">
        <f t="shared" ref="AY32" si="103">+AY29+AY31+AY30</f>
        <v>141.93399999999914</v>
      </c>
      <c r="AZ32" s="24">
        <f>+AZ29+AZ31+AZ30</f>
        <v>-721.8169999999991</v>
      </c>
      <c r="BA32" s="24">
        <f t="shared" ref="BA32" si="104">+BA29+BA31+BA30</f>
        <v>-721.8170000000008</v>
      </c>
      <c r="BB32" s="24">
        <f t="shared" ref="BB32:BE32" si="105">+BB29+BB31+BB30</f>
        <v>-600.55600000000118</v>
      </c>
      <c r="BC32" s="24">
        <f t="shared" si="105"/>
        <v>-914.85900000000095</v>
      </c>
      <c r="BD32" s="24">
        <f t="shared" si="105"/>
        <v>-962.41599999999994</v>
      </c>
      <c r="BE32" s="24">
        <f t="shared" si="105"/>
        <v>201.67900000000003</v>
      </c>
      <c r="BF32" s="24">
        <f>+BF29+BF31+BF30</f>
        <v>255.464</v>
      </c>
      <c r="BG32" s="24">
        <f t="shared" ref="BG32:BI32" si="106">+BG29+BG31+BG30</f>
        <v>1188.3950000000002</v>
      </c>
      <c r="BH32" s="24">
        <f t="shared" si="106"/>
        <v>-46.678999999999405</v>
      </c>
      <c r="BI32" s="24">
        <f t="shared" si="106"/>
        <v>308.49199999999951</v>
      </c>
      <c r="BJ32" s="24">
        <f>+BJ29+BJ31+BJ30</f>
        <v>203.89499999999978</v>
      </c>
      <c r="BK32" s="24">
        <f t="shared" ref="BK32:BM32" si="107">+BK29+BK31+BK30</f>
        <v>20.068999999999953</v>
      </c>
      <c r="BL32" s="24">
        <f t="shared" si="107"/>
        <v>99.15199999999939</v>
      </c>
      <c r="BM32" s="24">
        <f t="shared" si="107"/>
        <v>387.78400000000062</v>
      </c>
      <c r="BO32" s="24">
        <f t="shared" ref="BO32:BP32" si="108">+BO29+BO31+BO30</f>
        <v>-962.41599999999789</v>
      </c>
      <c r="BP32" s="24">
        <f t="shared" si="108"/>
        <v>201.67899999999923</v>
      </c>
      <c r="BQ32" s="24">
        <f t="shared" ref="BQ32:BT32" si="109">+BQ29+BQ31+BQ30</f>
        <v>255.46400000000017</v>
      </c>
      <c r="BR32" s="24">
        <f t="shared" si="109"/>
        <v>1188.3950000000004</v>
      </c>
      <c r="BS32" s="24">
        <f t="shared" si="109"/>
        <v>-46.679000000001054</v>
      </c>
      <c r="BT32" s="24">
        <f t="shared" si="109"/>
        <v>308.49199999999985</v>
      </c>
      <c r="BV32" s="24">
        <f t="shared" ref="BV32" si="110">+BV29+BV31+BV30</f>
        <v>457.14299999999912</v>
      </c>
      <c r="BW32" s="24">
        <f t="shared" ref="BW32" si="111">+BW29+BW31+BW30</f>
        <v>512.3870000000004</v>
      </c>
      <c r="BY32" s="24">
        <f t="shared" ref="BY32:BZ32" si="112">+BY29+BY31+BY30</f>
        <v>1645.5379999999996</v>
      </c>
      <c r="BZ32" s="24">
        <f t="shared" si="112"/>
        <v>532.45599999999877</v>
      </c>
      <c r="CB32" s="24">
        <f t="shared" ref="CB32:CC32" si="113">+CB29+CB31+CB30</f>
        <v>-46.679000000000485</v>
      </c>
      <c r="CC32" s="24">
        <f t="shared" si="113"/>
        <v>99.152000000000669</v>
      </c>
    </row>
    <row r="33" spans="2:81" s="16" customFormat="1" ht="13.5" customHeight="1">
      <c r="B33" s="28"/>
      <c r="C33" s="29"/>
      <c r="D33" s="29"/>
      <c r="E33" s="29"/>
      <c r="F33" s="29"/>
      <c r="G33" s="29"/>
      <c r="H33" s="29"/>
      <c r="I33" s="29"/>
      <c r="J33" s="29"/>
      <c r="K33" s="29"/>
      <c r="L33" s="29"/>
      <c r="M33" s="29"/>
      <c r="N33" s="29"/>
      <c r="O33" s="29"/>
      <c r="P33" s="29"/>
      <c r="Q33" s="29"/>
      <c r="S33" s="24"/>
      <c r="BN33" s="6"/>
    </row>
    <row r="34" spans="2:81" s="6" customFormat="1" ht="13.5" customHeight="1">
      <c r="B34" s="419" t="s">
        <v>256</v>
      </c>
      <c r="C34" s="386"/>
      <c r="D34" s="386"/>
      <c r="E34" s="386"/>
      <c r="F34" s="386"/>
      <c r="G34" s="386"/>
      <c r="H34" s="386"/>
      <c r="I34" s="386"/>
      <c r="J34" s="386"/>
      <c r="K34" s="386"/>
      <c r="L34" s="386"/>
      <c r="M34" s="386"/>
      <c r="N34" s="386"/>
      <c r="O34" s="386"/>
      <c r="P34" s="386"/>
      <c r="Q34" s="386"/>
      <c r="R34" s="386"/>
      <c r="S34" s="24"/>
      <c r="T34" s="386"/>
      <c r="U34" s="386"/>
      <c r="V34" s="386"/>
      <c r="W34" s="386"/>
      <c r="X34" s="386"/>
      <c r="Y34" s="386"/>
      <c r="Z34" s="386"/>
      <c r="AA34" s="386"/>
      <c r="AB34" s="386"/>
      <c r="AC34" s="386"/>
      <c r="AD34" s="386"/>
      <c r="AE34" s="386"/>
      <c r="AF34" s="386"/>
      <c r="AG34" s="386"/>
      <c r="AH34" s="386"/>
      <c r="AI34" s="386"/>
      <c r="AJ34" s="386"/>
      <c r="AK34" s="386"/>
      <c r="AL34" s="386"/>
      <c r="AM34" s="386"/>
      <c r="AN34" s="386"/>
      <c r="AO34" s="386"/>
      <c r="AP34" s="386"/>
      <c r="AQ34" s="386"/>
      <c r="AR34" s="386"/>
      <c r="AS34" s="386"/>
      <c r="AT34" s="386"/>
      <c r="AU34" s="386"/>
      <c r="AV34" s="386"/>
      <c r="AW34" s="386"/>
      <c r="AX34" s="386"/>
      <c r="AY34" s="386"/>
      <c r="AZ34" s="386"/>
      <c r="BA34" s="386"/>
      <c r="BB34" s="386"/>
      <c r="BC34" s="386"/>
      <c r="BD34" s="386"/>
      <c r="BE34" s="386"/>
      <c r="BF34" s="386"/>
      <c r="BG34" s="386"/>
      <c r="BH34" s="386"/>
      <c r="BI34" s="386"/>
      <c r="BJ34" s="386"/>
      <c r="BK34" s="386"/>
      <c r="BL34" s="386"/>
      <c r="BM34" s="386"/>
      <c r="BO34" s="386"/>
      <c r="BP34" s="386"/>
      <c r="BQ34" s="386"/>
      <c r="BR34" s="386"/>
      <c r="BS34" s="386"/>
      <c r="BT34" s="386"/>
      <c r="BV34" s="386"/>
      <c r="BW34" s="386"/>
      <c r="BY34" s="386"/>
      <c r="BZ34" s="386"/>
      <c r="CB34" s="16"/>
      <c r="CC34" s="16"/>
    </row>
    <row r="35" spans="2:81" s="16" customFormat="1" ht="13.5" customHeight="1">
      <c r="B35" s="374" t="str">
        <f>B9</f>
        <v xml:space="preserve">Depreciation, impairment and amortisation </v>
      </c>
      <c r="C35" s="18">
        <f t="shared" ref="C35:R35" si="114">-C9/C7</f>
        <v>0.26275919306266265</v>
      </c>
      <c r="D35" s="18">
        <f t="shared" si="114"/>
        <v>0.24531245921251763</v>
      </c>
      <c r="E35" s="18">
        <f t="shared" si="114"/>
        <v>0.32005719218475626</v>
      </c>
      <c r="F35" s="18">
        <f t="shared" si="114"/>
        <v>0.28817256193957913</v>
      </c>
      <c r="G35" s="18">
        <f t="shared" si="114"/>
        <v>0.35057365003949281</v>
      </c>
      <c r="H35" s="18">
        <f t="shared" si="114"/>
        <v>0.31253518973898003</v>
      </c>
      <c r="I35" s="18">
        <f t="shared" si="114"/>
        <v>0.25691853789695518</v>
      </c>
      <c r="J35" s="18">
        <f t="shared" si="114"/>
        <v>0.31597982992010554</v>
      </c>
      <c r="K35" s="18">
        <f t="shared" si="114"/>
        <v>0.32546249873709682</v>
      </c>
      <c r="L35" s="18">
        <f t="shared" si="114"/>
        <v>0.39350113984419799</v>
      </c>
      <c r="M35" s="18">
        <f t="shared" si="114"/>
        <v>0.32723834073658492</v>
      </c>
      <c r="N35" s="18">
        <f t="shared" si="114"/>
        <v>0.36751779680967106</v>
      </c>
      <c r="O35" s="18">
        <f t="shared" si="114"/>
        <v>0.32869133148779761</v>
      </c>
      <c r="P35" s="18">
        <f t="shared" si="114"/>
        <v>0.29918143301526928</v>
      </c>
      <c r="Q35" s="18">
        <f t="shared" si="114"/>
        <v>0.3311315694331271</v>
      </c>
      <c r="R35" s="18">
        <f t="shared" si="114"/>
        <v>0.31761541736205273</v>
      </c>
      <c r="S35" s="24"/>
      <c r="T35" s="18">
        <f t="shared" ref="T35:AI35" si="115">-T9/T7</f>
        <v>0.24237137256928154</v>
      </c>
      <c r="U35" s="18">
        <f t="shared" si="115"/>
        <v>0.25379606327865811</v>
      </c>
      <c r="V35" s="18">
        <f t="shared" si="115"/>
        <v>0.25176198040067482</v>
      </c>
      <c r="W35" s="18">
        <f t="shared" si="115"/>
        <v>0.51876872408546659</v>
      </c>
      <c r="X35" s="18">
        <f t="shared" si="115"/>
        <v>0.27616730793182614</v>
      </c>
      <c r="Y35" s="18">
        <f t="shared" si="115"/>
        <v>0.27735912587302358</v>
      </c>
      <c r="Z35" s="18">
        <f t="shared" si="115"/>
        <v>0.29711420135085415</v>
      </c>
      <c r="AA35" s="18">
        <f t="shared" si="115"/>
        <v>0.30132230584711317</v>
      </c>
      <c r="AB35" s="18">
        <f t="shared" si="115"/>
        <v>0.30621109554675296</v>
      </c>
      <c r="AC35" s="18">
        <f t="shared" si="115"/>
        <v>0.3180414935810873</v>
      </c>
      <c r="AD35" s="18">
        <f t="shared" si="115"/>
        <v>0.28832475382698997</v>
      </c>
      <c r="AE35" s="18">
        <f t="shared" si="115"/>
        <v>0.48417521009127978</v>
      </c>
      <c r="AF35" s="18">
        <f t="shared" si="115"/>
        <v>0.32568713917288183</v>
      </c>
      <c r="AG35" s="18">
        <f t="shared" si="115"/>
        <v>0.29786743919935699</v>
      </c>
      <c r="AH35" s="18">
        <f t="shared" si="115"/>
        <v>0.30322256139917036</v>
      </c>
      <c r="AI35" s="18">
        <f t="shared" si="115"/>
        <v>0.32338550165384378</v>
      </c>
      <c r="AJ35" s="218"/>
      <c r="AK35" s="218"/>
      <c r="AL35" s="218"/>
      <c r="AM35" s="18">
        <f t="shared" ref="AM35:BL35" si="116">-AM9/AM7</f>
        <v>0.30660128006086423</v>
      </c>
      <c r="AN35" s="18">
        <f t="shared" si="116"/>
        <v>0.28756678373607464</v>
      </c>
      <c r="AO35" s="18">
        <f t="shared" si="116"/>
        <v>0.2803259182934067</v>
      </c>
      <c r="AP35" s="18">
        <f t="shared" si="116"/>
        <v>0.28943856178200461</v>
      </c>
      <c r="AQ35" s="18">
        <f t="shared" si="116"/>
        <v>0.17348578633233783</v>
      </c>
      <c r="AR35" s="18">
        <f t="shared" si="116"/>
        <v>0.32271017217474701</v>
      </c>
      <c r="AS35" s="18">
        <f t="shared" si="116"/>
        <v>0.31292566480138451</v>
      </c>
      <c r="AT35" s="18">
        <f t="shared" si="116"/>
        <v>0.29436083377123839</v>
      </c>
      <c r="AU35" s="18">
        <f t="shared" si="116"/>
        <v>0.36942416452442162</v>
      </c>
      <c r="AV35" s="18">
        <f t="shared" si="116"/>
        <v>0.31309597246926485</v>
      </c>
      <c r="AW35" s="18">
        <f t="shared" si="116"/>
        <v>0.66258435273768712</v>
      </c>
      <c r="AX35" s="18">
        <f t="shared" si="116"/>
        <v>0.33705181682765922</v>
      </c>
      <c r="AY35" s="294">
        <f t="shared" si="116"/>
        <v>0.3274183207170055</v>
      </c>
      <c r="AZ35" s="18">
        <f t="shared" si="116"/>
        <v>0.44992181199981457</v>
      </c>
      <c r="BA35" s="18">
        <f t="shared" si="116"/>
        <v>0.32444857165184326</v>
      </c>
      <c r="BB35" s="18">
        <f t="shared" si="116"/>
        <v>0.30940698835274544</v>
      </c>
      <c r="BC35" s="18">
        <f t="shared" si="116"/>
        <v>0.32648085036826924</v>
      </c>
      <c r="BD35" s="18">
        <f t="shared" si="116"/>
        <v>0.16833984347286715</v>
      </c>
      <c r="BE35" s="18">
        <f t="shared" si="116"/>
        <v>0.33853559925991916</v>
      </c>
      <c r="BF35" s="18">
        <f t="shared" si="116"/>
        <v>0.32646462694974054</v>
      </c>
      <c r="BG35" s="18">
        <f t="shared" si="116"/>
        <v>0.34178429481271105</v>
      </c>
      <c r="BH35" s="18">
        <f t="shared" si="116"/>
        <v>0.30856688788309239</v>
      </c>
      <c r="BI35" s="18">
        <f t="shared" si="116"/>
        <v>0.32589832334983398</v>
      </c>
      <c r="BJ35" s="18">
        <f t="shared" si="116"/>
        <v>0.38206571627271807</v>
      </c>
      <c r="BK35" s="18">
        <f t="shared" si="116"/>
        <v>0.34893681860516079</v>
      </c>
      <c r="BL35" s="18">
        <f t="shared" si="116"/>
        <v>0.10553681214930692</v>
      </c>
      <c r="BM35" s="18">
        <f t="shared" ref="BM35" si="117">-BM9/BM7</f>
        <v>0.27590905405661209</v>
      </c>
      <c r="BO35" s="18">
        <f t="shared" ref="BO35:BT35" si="118">-BO9/BO7</f>
        <v>0.47939300296590109</v>
      </c>
      <c r="BP35" s="18">
        <f t="shared" si="118"/>
        <v>0.33058612733865211</v>
      </c>
      <c r="BQ35" s="18">
        <f t="shared" si="118"/>
        <v>0.29307942196072101</v>
      </c>
      <c r="BR35" s="18">
        <f t="shared" si="118"/>
        <v>0.3082077051926298</v>
      </c>
      <c r="BS35" s="18">
        <f t="shared" si="118"/>
        <v>-0.14946406497689063</v>
      </c>
      <c r="BT35" s="18">
        <f t="shared" si="118"/>
        <v>0.28562096950160398</v>
      </c>
      <c r="BV35" s="18">
        <f>-BV9/BV7</f>
        <v>0.30054200933390529</v>
      </c>
      <c r="BW35" s="18">
        <f>-BW9/BW7</f>
        <v>0.3344569289668155</v>
      </c>
      <c r="BY35" s="18">
        <f>-BY9/BY7</f>
        <v>0.30299632118691339</v>
      </c>
      <c r="BZ35" s="18">
        <f>-BZ9/BZ7</f>
        <v>0.33927403837172376</v>
      </c>
    </row>
    <row r="36" spans="2:81" s="16" customFormat="1" ht="13.5" customHeight="1">
      <c r="B36" s="374" t="str">
        <f>B13</f>
        <v>Marketing, Advertising and promotion</v>
      </c>
      <c r="C36" s="18">
        <f t="shared" ref="C36:R36" si="119">-C13/C7</f>
        <v>8.4283142175203676E-2</v>
      </c>
      <c r="D36" s="18">
        <f t="shared" si="119"/>
        <v>8.6415881781468959E-2</v>
      </c>
      <c r="E36" s="18">
        <f t="shared" si="119"/>
        <v>8.9915334985278483E-2</v>
      </c>
      <c r="F36" s="18">
        <f t="shared" si="119"/>
        <v>8.141579946591411E-2</v>
      </c>
      <c r="G36" s="18">
        <f t="shared" si="119"/>
        <v>7.8182813318139185E-2</v>
      </c>
      <c r="H36" s="18">
        <f t="shared" si="119"/>
        <v>8.4656449501423911E-2</v>
      </c>
      <c r="I36" s="18">
        <f t="shared" si="119"/>
        <v>6.7661325485066495E-2</v>
      </c>
      <c r="J36" s="18">
        <f t="shared" si="119"/>
        <v>9.2969380177457983E-2</v>
      </c>
      <c r="K36" s="18">
        <f t="shared" si="119"/>
        <v>8.5712865410537312E-2</v>
      </c>
      <c r="L36" s="18">
        <f t="shared" si="119"/>
        <v>8.7801469310119534E-2</v>
      </c>
      <c r="M36" s="18">
        <f t="shared" si="119"/>
        <v>8.0642910056231018E-2</v>
      </c>
      <c r="N36" s="18">
        <f t="shared" si="119"/>
        <v>7.9500899843473916E-2</v>
      </c>
      <c r="O36" s="18">
        <f t="shared" si="119"/>
        <v>6.8837356825953183E-2</v>
      </c>
      <c r="P36" s="18">
        <f t="shared" si="119"/>
        <v>8.0323440162820392E-2</v>
      </c>
      <c r="Q36" s="18">
        <f t="shared" si="119"/>
        <v>7.3698777096132956E-2</v>
      </c>
      <c r="R36" s="18">
        <f t="shared" si="119"/>
        <v>8.0226964711334225E-2</v>
      </c>
      <c r="S36"/>
      <c r="T36" s="18">
        <f t="shared" ref="T36:AI36" si="120">-T13/T7</f>
        <v>9.5834401049780554E-2</v>
      </c>
      <c r="U36" s="18">
        <f t="shared" si="120"/>
        <v>9.6444644809627986E-2</v>
      </c>
      <c r="V36" s="18">
        <f t="shared" si="120"/>
        <v>8.441515176551169E-2</v>
      </c>
      <c r="W36" s="18">
        <f t="shared" si="120"/>
        <v>8.3642479370096764E-2</v>
      </c>
      <c r="X36" s="18">
        <f t="shared" si="120"/>
        <v>8.2189121424430578E-2</v>
      </c>
      <c r="Y36" s="18">
        <f t="shared" si="120"/>
        <v>8.3894927436137523E-2</v>
      </c>
      <c r="Z36" s="18">
        <f t="shared" si="120"/>
        <v>7.6604304282425928E-2</v>
      </c>
      <c r="AA36" s="18">
        <f t="shared" si="120"/>
        <v>8.3017619096324616E-2</v>
      </c>
      <c r="AB36" s="18">
        <f t="shared" si="120"/>
        <v>8.2391299450152611E-2</v>
      </c>
      <c r="AC36" s="18">
        <f t="shared" si="120"/>
        <v>7.1187591218445367E-2</v>
      </c>
      <c r="AD36" s="18">
        <f t="shared" si="120"/>
        <v>7.200731323763751E-2</v>
      </c>
      <c r="AE36" s="18">
        <f t="shared" si="120"/>
        <v>8.6623012220647416E-2</v>
      </c>
      <c r="AF36" s="18">
        <f t="shared" si="120"/>
        <v>7.9609908873966254E-2</v>
      </c>
      <c r="AG36" s="18">
        <f t="shared" si="120"/>
        <v>8.8821176125935514E-2</v>
      </c>
      <c r="AH36" s="18">
        <f t="shared" si="120"/>
        <v>8.6508665875078314E-2</v>
      </c>
      <c r="AI36" s="18">
        <f t="shared" si="120"/>
        <v>8.3478873025219391E-2</v>
      </c>
      <c r="AJ36" s="218"/>
      <c r="AK36" s="218"/>
      <c r="AL36" s="218"/>
      <c r="AM36" s="18">
        <f t="shared" ref="AM36:BL36" si="121">-AM13/AM7</f>
        <v>9.4406877961347072E-2</v>
      </c>
      <c r="AN36" s="18">
        <f t="shared" si="121"/>
        <v>8.3052870106744239E-2</v>
      </c>
      <c r="AO36" s="18">
        <f t="shared" si="121"/>
        <v>7.9675346574571954E-2</v>
      </c>
      <c r="AP36" s="18">
        <f t="shared" si="121"/>
        <v>7.2968980146599638E-2</v>
      </c>
      <c r="AQ36" s="18">
        <f t="shared" si="121"/>
        <v>3.6809306108212869E-2</v>
      </c>
      <c r="AR36" s="18">
        <f t="shared" si="121"/>
        <v>9.5598016810162334E-2</v>
      </c>
      <c r="AS36" s="18">
        <f t="shared" si="121"/>
        <v>8.6409028773829499E-2</v>
      </c>
      <c r="AT36" s="18">
        <f t="shared" si="121"/>
        <v>7.2652303380627073E-2</v>
      </c>
      <c r="AU36" s="18">
        <f t="shared" si="121"/>
        <v>8.9431533847472128E-2</v>
      </c>
      <c r="AV36" s="18">
        <f t="shared" si="121"/>
        <v>7.7276393355942732E-2</v>
      </c>
      <c r="AW36" s="18">
        <f t="shared" si="121"/>
        <v>9.3364005294088948E-2</v>
      </c>
      <c r="AX36" s="18">
        <f t="shared" si="121"/>
        <v>7.9278028436526482E-2</v>
      </c>
      <c r="AY36" s="294">
        <f t="shared" si="121"/>
        <v>8.1211223502309679E-2</v>
      </c>
      <c r="AZ36" s="18">
        <f t="shared" si="121"/>
        <v>7.8593370017913014E-2</v>
      </c>
      <c r="BA36" s="18">
        <f t="shared" si="121"/>
        <v>8.0550642426297253E-2</v>
      </c>
      <c r="BB36" s="18">
        <f t="shared" si="121"/>
        <v>7.6851414309484195E-2</v>
      </c>
      <c r="BC36" s="18">
        <f t="shared" si="121"/>
        <v>8.1092270182209478E-2</v>
      </c>
      <c r="BD36" s="18">
        <f t="shared" si="121"/>
        <v>8.4102624393665157E-2</v>
      </c>
      <c r="BE36" s="18">
        <f t="shared" si="121"/>
        <v>7.6222288471877148E-2</v>
      </c>
      <c r="BF36" s="18">
        <f t="shared" si="121"/>
        <v>7.57992941339172E-2</v>
      </c>
      <c r="BG36" s="18">
        <f t="shared" si="121"/>
        <v>6.4368278743989413E-2</v>
      </c>
      <c r="BH36" s="18">
        <f t="shared" si="121"/>
        <v>5.8452860025979755E-2</v>
      </c>
      <c r="BI36" s="18">
        <f t="shared" si="121"/>
        <v>5.9777983323301691E-2</v>
      </c>
      <c r="BJ36" s="18">
        <f t="shared" si="121"/>
        <v>7.2802931750369726E-2</v>
      </c>
      <c r="BK36" s="18">
        <f t="shared" si="121"/>
        <v>7.3284870980112854E-2</v>
      </c>
      <c r="BL36" s="18">
        <f t="shared" si="121"/>
        <v>0.16920842596723881</v>
      </c>
      <c r="BM36" s="18">
        <f t="shared" ref="BM36" si="122">-BM13/BM7</f>
        <v>7.0474927148169136E-2</v>
      </c>
      <c r="BO36" s="18">
        <f t="shared" ref="BO36:BT36" si="123">-BO13/BO7</f>
        <v>7.5608934632491076E-2</v>
      </c>
      <c r="BP36" s="18">
        <f t="shared" si="123"/>
        <v>7.5200168390444189E-2</v>
      </c>
      <c r="BQ36" s="18">
        <f t="shared" si="123"/>
        <v>8.864014006354913E-2</v>
      </c>
      <c r="BR36" s="18">
        <f t="shared" si="123"/>
        <v>7.0347517355639391E-2</v>
      </c>
      <c r="BS36" s="18">
        <f t="shared" si="123"/>
        <v>0.15772007048567699</v>
      </c>
      <c r="BT36" s="18">
        <f t="shared" si="123"/>
        <v>7.3746385108253973E-2</v>
      </c>
      <c r="BV36" s="18">
        <f>-BV13/BV7</f>
        <v>8.969733638317931E-2</v>
      </c>
      <c r="BW36" s="18">
        <f>-BW13/BW7</f>
        <v>7.3268483765531023E-2</v>
      </c>
      <c r="BY36" s="18">
        <f>-BY13/BY7</f>
        <v>8.3502685470881813E-2</v>
      </c>
      <c r="BZ36" s="18">
        <f>-BZ13/BZ7</f>
        <v>7.3273935395857914E-2</v>
      </c>
    </row>
    <row r="37" spans="2:81" s="16" customFormat="1" ht="13.5" customHeight="1">
      <c r="B37" s="374" t="str">
        <f>B14</f>
        <v>Other operating costs</v>
      </c>
      <c r="C37" s="18">
        <f t="shared" ref="C37:R37" si="124">-C14/C7</f>
        <v>0.37441062977199763</v>
      </c>
      <c r="D37" s="18">
        <f t="shared" si="124"/>
        <v>0.34651778732756666</v>
      </c>
      <c r="E37" s="18">
        <f t="shared" si="124"/>
        <v>0.37375788549681505</v>
      </c>
      <c r="F37" s="18">
        <f t="shared" si="124"/>
        <v>0.30129373942778742</v>
      </c>
      <c r="G37" s="18">
        <f t="shared" si="124"/>
        <v>0.30184433271161043</v>
      </c>
      <c r="H37" s="18">
        <f t="shared" si="124"/>
        <v>0.30745288701319246</v>
      </c>
      <c r="I37" s="18">
        <f t="shared" si="124"/>
        <v>0.22995512680764479</v>
      </c>
      <c r="J37" s="18">
        <f t="shared" si="124"/>
        <v>0.28434662200875771</v>
      </c>
      <c r="K37" s="18">
        <f t="shared" si="124"/>
        <v>0.29130544950493042</v>
      </c>
      <c r="L37" s="18">
        <f t="shared" si="124"/>
        <v>0.28705962154375464</v>
      </c>
      <c r="M37" s="18">
        <f t="shared" si="124"/>
        <v>0.27854927144105002</v>
      </c>
      <c r="N37" s="18">
        <f t="shared" si="124"/>
        <v>0.27489839515741454</v>
      </c>
      <c r="O37" s="18">
        <f t="shared" si="124"/>
        <v>0.2667946802042766</v>
      </c>
      <c r="P37" s="18">
        <f t="shared" si="124"/>
        <v>0.2351894662363444</v>
      </c>
      <c r="Q37" s="18">
        <f t="shared" si="124"/>
        <v>0.24538907434659155</v>
      </c>
      <c r="R37" s="18">
        <f t="shared" si="124"/>
        <v>0.21283538922591402</v>
      </c>
      <c r="S37"/>
      <c r="T37" s="18">
        <f t="shared" ref="T37:AI37" si="125">-T14/T7</f>
        <v>0.37281074636815492</v>
      </c>
      <c r="U37" s="18">
        <f t="shared" si="125"/>
        <v>0.36154380427010785</v>
      </c>
      <c r="V37" s="18">
        <f t="shared" si="125"/>
        <v>0.3664930893323064</v>
      </c>
      <c r="W37" s="18">
        <f t="shared" si="125"/>
        <v>0.39302057844309735</v>
      </c>
      <c r="X37" s="18">
        <f t="shared" si="125"/>
        <v>0.33709441750538749</v>
      </c>
      <c r="Y37" s="18">
        <f t="shared" si="125"/>
        <v>0.29775835793405309</v>
      </c>
      <c r="Z37" s="18">
        <f t="shared" si="125"/>
        <v>0.31268961481375135</v>
      </c>
      <c r="AA37" s="18">
        <f t="shared" si="125"/>
        <v>0.25948048246954247</v>
      </c>
      <c r="AB37" s="18">
        <f t="shared" si="125"/>
        <v>0.31351506083573094</v>
      </c>
      <c r="AC37" s="18">
        <f t="shared" si="125"/>
        <v>0.32287781916140662</v>
      </c>
      <c r="AD37" s="18">
        <f t="shared" si="125"/>
        <v>0.30211512197101376</v>
      </c>
      <c r="AE37" s="18">
        <f t="shared" si="125"/>
        <v>0.27087579496802888</v>
      </c>
      <c r="AF37" s="18">
        <f t="shared" si="125"/>
        <v>0.31732255456323599</v>
      </c>
      <c r="AG37" s="18">
        <f t="shared" si="125"/>
        <v>0.30208367240140316</v>
      </c>
      <c r="AH37" s="18">
        <f t="shared" si="125"/>
        <v>0.30241451770398214</v>
      </c>
      <c r="AI37" s="18">
        <f t="shared" si="125"/>
        <v>0.30852850282062377</v>
      </c>
      <c r="AJ37" s="218"/>
      <c r="AK37" s="218"/>
      <c r="AL37" s="218"/>
      <c r="AM37" s="18">
        <f t="shared" ref="AM37:BL37" si="126">-AM14/AM7</f>
        <v>0.29087944922340914</v>
      </c>
      <c r="AN37" s="18">
        <f t="shared" si="126"/>
        <v>0.30657341918045439</v>
      </c>
      <c r="AO37" s="18">
        <f t="shared" si="126"/>
        <v>0.31163259403689325</v>
      </c>
      <c r="AP37" s="18">
        <f t="shared" si="126"/>
        <v>0.306260965428787</v>
      </c>
      <c r="AQ37" s="18">
        <f t="shared" si="126"/>
        <v>4.5845670827151502E-3</v>
      </c>
      <c r="AR37" s="18">
        <f t="shared" si="126"/>
        <v>0.28438408552355687</v>
      </c>
      <c r="AS37" s="18">
        <f t="shared" si="126"/>
        <v>0.29791432784907668</v>
      </c>
      <c r="AT37" s="18">
        <f t="shared" si="126"/>
        <v>0.28432299877386585</v>
      </c>
      <c r="AU37" s="18">
        <f t="shared" si="126"/>
        <v>0.29817395029991434</v>
      </c>
      <c r="AV37" s="18">
        <f t="shared" si="126"/>
        <v>0.3024192609321899</v>
      </c>
      <c r="AW37" s="18">
        <f t="shared" si="126"/>
        <v>0.25898677864347702</v>
      </c>
      <c r="AX37" s="18">
        <f t="shared" si="126"/>
        <v>0.2802979372772238</v>
      </c>
      <c r="AY37" s="294">
        <f t="shared" si="126"/>
        <v>0.28402486338426025</v>
      </c>
      <c r="AZ37" s="18">
        <f t="shared" si="126"/>
        <v>0.27479603891950755</v>
      </c>
      <c r="BA37" s="18">
        <f t="shared" si="126"/>
        <v>0.27368034421052762</v>
      </c>
      <c r="BB37" s="18">
        <f t="shared" si="126"/>
        <v>0.25436405990016642</v>
      </c>
      <c r="BC37" s="18">
        <f t="shared" si="126"/>
        <v>0.26840051358069084</v>
      </c>
      <c r="BD37" s="18">
        <f t="shared" si="126"/>
        <v>0.2929204006218924</v>
      </c>
      <c r="BE37" s="18">
        <f t="shared" si="126"/>
        <v>0.26439611280934722</v>
      </c>
      <c r="BF37" s="18">
        <f t="shared" si="126"/>
        <v>0.26303796922946487</v>
      </c>
      <c r="BG37" s="18">
        <f t="shared" si="126"/>
        <v>0.28336624610106315</v>
      </c>
      <c r="BH37" s="18">
        <f t="shared" si="126"/>
        <v>0.25732494936662698</v>
      </c>
      <c r="BI37" s="18">
        <f t="shared" si="126"/>
        <v>0.29793332425474517</v>
      </c>
      <c r="BJ37" s="18">
        <f t="shared" si="126"/>
        <v>0.21540618503319997</v>
      </c>
      <c r="BK37" s="18">
        <f t="shared" si="126"/>
        <v>0.23530789459266968</v>
      </c>
      <c r="BL37" s="18">
        <f t="shared" si="126"/>
        <v>5.488998352085972E-2</v>
      </c>
      <c r="BM37" s="18">
        <f t="shared" ref="BM37" si="127">-BM14/BM7</f>
        <v>0.23079645739556356</v>
      </c>
      <c r="BO37" s="18">
        <f t="shared" ref="BO37:BT37" si="128">-BO14/BO7</f>
        <v>0.27460244425799579</v>
      </c>
      <c r="BP37" s="18">
        <f t="shared" si="128"/>
        <v>0.26109161405481718</v>
      </c>
      <c r="BQ37" s="18">
        <f t="shared" si="128"/>
        <v>0.23605810998555263</v>
      </c>
      <c r="BR37" s="18">
        <f t="shared" si="128"/>
        <v>0.24350815237073564</v>
      </c>
      <c r="BS37" s="18">
        <f t="shared" si="128"/>
        <v>-0.18809251125547152</v>
      </c>
      <c r="BT37" s="18">
        <f t="shared" si="128"/>
        <v>0.27567580278001297</v>
      </c>
      <c r="BV37" s="18">
        <f>-BV14/BV7</f>
        <v>0.2329152905691175</v>
      </c>
      <c r="BW37" s="18">
        <f>-BW14/BW7</f>
        <v>0.24515761975024736</v>
      </c>
      <c r="BY37" s="18">
        <f>-BY14/BY7</f>
        <v>0.23630660536007875</v>
      </c>
      <c r="BZ37" s="18">
        <f>-BZ14/BZ7</f>
        <v>0.24188096810071955</v>
      </c>
    </row>
    <row r="38" spans="2:81" s="16" customFormat="1" ht="13.5" customHeight="1">
      <c r="B38" s="374" t="str">
        <f>B15</f>
        <v>Staff costs</v>
      </c>
      <c r="C38" s="18">
        <f t="shared" ref="C38:R38" si="129">-C15/C7</f>
        <v>7.2556529461648561E-2</v>
      </c>
      <c r="D38" s="18">
        <f t="shared" si="129"/>
        <v>7.8145548054881969E-2</v>
      </c>
      <c r="E38" s="18">
        <f t="shared" si="129"/>
        <v>8.6584273714977122E-2</v>
      </c>
      <c r="F38" s="18">
        <f t="shared" si="129"/>
        <v>9.0313298712557513E-2</v>
      </c>
      <c r="G38" s="18">
        <f t="shared" si="129"/>
        <v>9.2034717269071906E-2</v>
      </c>
      <c r="H38" s="18">
        <f t="shared" si="129"/>
        <v>7.99595809543239E-2</v>
      </c>
      <c r="I38" s="18">
        <f t="shared" si="129"/>
        <v>6.0405130441101663E-2</v>
      </c>
      <c r="J38" s="18">
        <f t="shared" si="129"/>
        <v>7.6858043224972167E-2</v>
      </c>
      <c r="K38" s="18">
        <f t="shared" si="129"/>
        <v>7.6520771334088356E-2</v>
      </c>
      <c r="L38" s="18">
        <f t="shared" si="129"/>
        <v>7.8452599064548559E-2</v>
      </c>
      <c r="M38" s="18">
        <f t="shared" si="129"/>
        <v>7.8136941240014843E-2</v>
      </c>
      <c r="N38" s="18">
        <f t="shared" si="129"/>
        <v>7.7574456077037321E-2</v>
      </c>
      <c r="O38" s="18">
        <f t="shared" si="129"/>
        <v>7.2282143902445251E-2</v>
      </c>
      <c r="P38" s="18">
        <f t="shared" si="129"/>
        <v>0.10208901062819897</v>
      </c>
      <c r="Q38" s="18">
        <f t="shared" si="129"/>
        <v>0.11101610248752403</v>
      </c>
      <c r="R38" s="18">
        <f t="shared" si="129"/>
        <v>0.12540964103664592</v>
      </c>
      <c r="S38"/>
      <c r="T38" s="18">
        <f t="shared" ref="T38:AI38" si="130">-T15/T7</f>
        <v>7.2290883710848297E-2</v>
      </c>
      <c r="U38" s="18">
        <f t="shared" si="130"/>
        <v>8.9591303317757692E-2</v>
      </c>
      <c r="V38" s="18">
        <f t="shared" si="130"/>
        <v>8.7501365876279602E-2</v>
      </c>
      <c r="W38" s="18">
        <f t="shared" si="130"/>
        <v>9.6000874422270913E-2</v>
      </c>
      <c r="X38" s="18">
        <f t="shared" si="130"/>
        <v>8.446110110923101E-2</v>
      </c>
      <c r="Y38" s="18">
        <f t="shared" si="130"/>
        <v>0.10276838943749154</v>
      </c>
      <c r="Z38" s="18">
        <f t="shared" si="130"/>
        <v>8.7810831490230404E-2</v>
      </c>
      <c r="AA38" s="18">
        <f t="shared" si="130"/>
        <v>8.6120216556324236E-2</v>
      </c>
      <c r="AB38" s="18">
        <f t="shared" si="130"/>
        <v>0.10771207689646992</v>
      </c>
      <c r="AC38" s="18">
        <f t="shared" si="130"/>
        <v>8.7790513592433145E-2</v>
      </c>
      <c r="AD38" s="18">
        <f t="shared" si="130"/>
        <v>8.5821570156833074E-2</v>
      </c>
      <c r="AE38" s="18">
        <f t="shared" si="130"/>
        <v>8.6912033438317812E-2</v>
      </c>
      <c r="AF38" s="18">
        <f t="shared" si="130"/>
        <v>8.5696466320438633E-2</v>
      </c>
      <c r="AG38" s="18">
        <f t="shared" si="130"/>
        <v>8.1422189198731024E-2</v>
      </c>
      <c r="AH38" s="18">
        <f t="shared" si="130"/>
        <v>8.4337783967294327E-2</v>
      </c>
      <c r="AI38" s="18">
        <f t="shared" si="130"/>
        <v>6.9417109731640586E-2</v>
      </c>
      <c r="AJ38" s="218"/>
      <c r="AK38" s="218"/>
      <c r="AL38" s="218"/>
      <c r="AM38" s="18">
        <f t="shared" ref="AM38:BL38" si="131">-AM15/AM7</f>
        <v>6.3923777257041875E-2</v>
      </c>
      <c r="AN38" s="18">
        <f t="shared" si="131"/>
        <v>7.7195020487790394E-2</v>
      </c>
      <c r="AO38" s="18">
        <f t="shared" si="131"/>
        <v>8.1024787683407734E-2</v>
      </c>
      <c r="AP38" s="18">
        <f t="shared" si="131"/>
        <v>8.3790820181705528E-2</v>
      </c>
      <c r="AQ38" s="18">
        <f t="shared" si="131"/>
        <v>1.6173604305285581E-3</v>
      </c>
      <c r="AR38" s="18">
        <f t="shared" si="131"/>
        <v>7.5220359999919731E-2</v>
      </c>
      <c r="AS38" s="18">
        <f t="shared" si="131"/>
        <v>7.6064071817692966E-2</v>
      </c>
      <c r="AT38" s="18">
        <f t="shared" si="131"/>
        <v>7.3596601856717472E-2</v>
      </c>
      <c r="AU38" s="18">
        <f t="shared" si="131"/>
        <v>8.0902485004284472E-2</v>
      </c>
      <c r="AV38" s="18">
        <f t="shared" si="131"/>
        <v>7.8280793451855402E-2</v>
      </c>
      <c r="AW38" s="18">
        <f t="shared" si="131"/>
        <v>8.5037981375863797E-2</v>
      </c>
      <c r="AX38" s="18">
        <f t="shared" si="131"/>
        <v>8.0397626496732669E-2</v>
      </c>
      <c r="AY38" s="294">
        <f t="shared" si="131"/>
        <v>8.2113323626618592E-2</v>
      </c>
      <c r="AZ38" s="18">
        <f t="shared" si="131"/>
        <v>7.9188746533087023E-2</v>
      </c>
      <c r="BA38" s="18">
        <f t="shared" si="131"/>
        <v>8.0569955181889502E-2</v>
      </c>
      <c r="BB38" s="18">
        <f t="shared" si="131"/>
        <v>7.7273710482529123E-2</v>
      </c>
      <c r="BC38" s="18">
        <f t="shared" si="131"/>
        <v>8.153786972867412E-2</v>
      </c>
      <c r="BD38" s="18">
        <f t="shared" si="131"/>
        <v>7.0467615180821078E-2</v>
      </c>
      <c r="BE38" s="18">
        <f t="shared" si="131"/>
        <v>7.2321251327249828E-2</v>
      </c>
      <c r="BF38" s="18">
        <f t="shared" si="131"/>
        <v>7.3565012893157922E-2</v>
      </c>
      <c r="BG38" s="18">
        <f t="shared" si="131"/>
        <v>7.2212660638829029E-2</v>
      </c>
      <c r="BH38" s="18">
        <f t="shared" si="131"/>
        <v>7.0988953953478068E-2</v>
      </c>
      <c r="BI38" s="18">
        <f t="shared" si="131"/>
        <v>7.8921817439024614E-2</v>
      </c>
      <c r="BJ38" s="18">
        <f t="shared" si="131"/>
        <v>0.11320888923648345</v>
      </c>
      <c r="BK38" s="18">
        <f t="shared" si="131"/>
        <v>0.11653974689092203</v>
      </c>
      <c r="BL38" s="18">
        <f t="shared" si="131"/>
        <v>0.29087792012538993</v>
      </c>
      <c r="BM38" s="18">
        <f t="shared" ref="BM38" si="132">-BM15/BM7</f>
        <v>0.10136110328334158</v>
      </c>
      <c r="BO38" s="18">
        <f t="shared" ref="BO38:BT38" si="133">-BO15/BO7</f>
        <v>6.7296819852411011E-2</v>
      </c>
      <c r="BP38" s="18">
        <f t="shared" si="133"/>
        <v>7.1929065525384639E-2</v>
      </c>
      <c r="BQ38" s="18">
        <f t="shared" si="133"/>
        <v>0.1016036095523726</v>
      </c>
      <c r="BR38" s="18">
        <f t="shared" si="133"/>
        <v>0.10096711319224351</v>
      </c>
      <c r="BS38" s="18">
        <f t="shared" si="133"/>
        <v>0.52801375283628393</v>
      </c>
      <c r="BT38" s="18">
        <f t="shared" si="133"/>
        <v>0.10828924113467574</v>
      </c>
      <c r="BV38" s="18">
        <f>-BV15/BV7</f>
        <v>0.10230253333054734</v>
      </c>
      <c r="BW38" s="18">
        <f>-BW15/BW7</f>
        <v>0.11078054362751089</v>
      </c>
      <c r="BY38" s="18">
        <f>-BY15/BY7</f>
        <v>0.10187502480744202</v>
      </c>
      <c r="BZ38" s="18">
        <f>-BZ15/BZ7</f>
        <v>0.11269649139354142</v>
      </c>
    </row>
    <row r="39" spans="2:81" s="16" customFormat="1" ht="13.5" customHeight="1">
      <c r="B39" s="374" t="str">
        <f>B19</f>
        <v>Operating Profit</v>
      </c>
      <c r="C39" s="18">
        <f t="shared" ref="C39:R39" si="134">C19/C7</f>
        <v>0.12646215751607939</v>
      </c>
      <c r="D39" s="18">
        <f t="shared" si="134"/>
        <v>0.12294105813604163</v>
      </c>
      <c r="E39" s="18">
        <f t="shared" si="134"/>
        <v>-9.9855516551876633E-2</v>
      </c>
      <c r="F39" s="18">
        <f t="shared" si="134"/>
        <v>0.17215442736113018</v>
      </c>
      <c r="G39" s="18">
        <f t="shared" si="134"/>
        <v>0.10308087316327263</v>
      </c>
      <c r="H39" s="18">
        <f t="shared" si="134"/>
        <v>0.14741233824109731</v>
      </c>
      <c r="I39" s="18">
        <f t="shared" si="134"/>
        <v>0.13628271927912206</v>
      </c>
      <c r="J39" s="18">
        <f t="shared" si="134"/>
        <v>0.12136982774349238</v>
      </c>
      <c r="K39" s="18">
        <f t="shared" si="134"/>
        <v>-9.4150646686982142E-2</v>
      </c>
      <c r="L39" s="18">
        <f t="shared" si="134"/>
        <v>1.7898800616175197E-2</v>
      </c>
      <c r="M39" s="18">
        <f t="shared" si="134"/>
        <v>0.12083108337599169</v>
      </c>
      <c r="N39" s="18">
        <f t="shared" si="134"/>
        <v>8.2719062352615585E-2</v>
      </c>
      <c r="O39" s="18">
        <f t="shared" si="134"/>
        <v>0.15921835597180833</v>
      </c>
      <c r="P39" s="18">
        <f t="shared" si="134"/>
        <v>0.13815422808536948</v>
      </c>
      <c r="Q39" s="18">
        <f t="shared" si="134"/>
        <v>0.11022506639523721</v>
      </c>
      <c r="R39" s="18">
        <f t="shared" si="134"/>
        <v>0.1124903777721756</v>
      </c>
      <c r="S39"/>
      <c r="T39" s="18">
        <f t="shared" ref="T39:AI39" si="135">T19/T7</f>
        <v>0.10695274334845259</v>
      </c>
      <c r="U39" s="18">
        <f t="shared" si="135"/>
        <v>-0.44016437520293383</v>
      </c>
      <c r="V39" s="18">
        <f t="shared" si="135"/>
        <v>0.13808775988294764</v>
      </c>
      <c r="W39" s="18">
        <f t="shared" si="135"/>
        <v>-0.19889133468273021</v>
      </c>
      <c r="X39" s="18">
        <f t="shared" si="135"/>
        <v>0.2069382363406822</v>
      </c>
      <c r="Y39" s="18">
        <f t="shared" si="135"/>
        <v>0.18116833457542189</v>
      </c>
      <c r="Z39" s="18">
        <f t="shared" si="135"/>
        <v>0.16061986199179992</v>
      </c>
      <c r="AA39" s="18">
        <f t="shared" si="135"/>
        <v>0.14171804818472386</v>
      </c>
      <c r="AB39" s="18">
        <f t="shared" si="135"/>
        <v>0.1882090930897341</v>
      </c>
      <c r="AC39" s="18">
        <f t="shared" si="135"/>
        <v>0.1289417503652189</v>
      </c>
      <c r="AD39" s="18">
        <f t="shared" si="135"/>
        <v>0.16452706688218943</v>
      </c>
      <c r="AE39" s="18">
        <f t="shared" si="135"/>
        <v>-6.2861795482838156E-2</v>
      </c>
      <c r="AF39" s="18">
        <f t="shared" si="135"/>
        <v>0.14426867725843207</v>
      </c>
      <c r="AG39" s="18">
        <f t="shared" si="135"/>
        <v>0.14844092328339753</v>
      </c>
      <c r="AH39" s="18">
        <f t="shared" si="135"/>
        <v>0.16010651443390417</v>
      </c>
      <c r="AI39" s="18">
        <f t="shared" si="135"/>
        <v>0.13719058782970936</v>
      </c>
      <c r="AJ39" s="218"/>
      <c r="AK39" s="218"/>
      <c r="AL39" s="218"/>
      <c r="AM39" s="18">
        <f t="shared" ref="AM39:BL39" si="136">AM19/AM7</f>
        <v>6.5624341207147302E-2</v>
      </c>
      <c r="AN39" s="18">
        <f t="shared" si="136"/>
        <v>0.13203144815161647</v>
      </c>
      <c r="AO39" s="18">
        <f t="shared" si="136"/>
        <v>0.14725196244714384</v>
      </c>
      <c r="AP39" s="18">
        <f t="shared" si="136"/>
        <v>0.15908614471156768</v>
      </c>
      <c r="AQ39" s="18">
        <f t="shared" si="136"/>
        <v>0.10642790365086401</v>
      </c>
      <c r="AR39" s="18">
        <f t="shared" si="136"/>
        <v>8.7970440760129207E-2</v>
      </c>
      <c r="AS39" s="18">
        <f t="shared" si="136"/>
        <v>0.10266728618277086</v>
      </c>
      <c r="AT39" s="18">
        <f t="shared" si="136"/>
        <v>0.16581818181818181</v>
      </c>
      <c r="AU39" s="18">
        <f t="shared" si="136"/>
        <v>-0.67942536418166244</v>
      </c>
      <c r="AV39" s="18">
        <f t="shared" si="136"/>
        <v>0.11272513997976291</v>
      </c>
      <c r="AW39" s="18">
        <f t="shared" si="136"/>
        <v>-0.27256753027350278</v>
      </c>
      <c r="AX39" s="18">
        <f t="shared" si="136"/>
        <v>0.11656294922431332</v>
      </c>
      <c r="AY39" s="294">
        <f t="shared" si="136"/>
        <v>0.11277772397016889</v>
      </c>
      <c r="AZ39" s="18">
        <f t="shared" si="136"/>
        <v>-3.4536842445924705E-2</v>
      </c>
      <c r="BA39" s="18">
        <f t="shared" si="136"/>
        <v>0.15629026284839168</v>
      </c>
      <c r="BB39" s="18">
        <f t="shared" si="136"/>
        <v>0.16760515806988335</v>
      </c>
      <c r="BC39" s="18">
        <f t="shared" si="136"/>
        <v>0.1216715004326949</v>
      </c>
      <c r="BD39" s="18">
        <f t="shared" si="136"/>
        <v>0.31330298196147427</v>
      </c>
      <c r="BE39" s="18">
        <f t="shared" si="136"/>
        <v>0.16540941462542766</v>
      </c>
      <c r="BF39" s="18">
        <f t="shared" si="136"/>
        <v>0.15371854936423754</v>
      </c>
      <c r="BG39" s="18">
        <f t="shared" si="136"/>
        <v>8.6791053063875218E-2</v>
      </c>
      <c r="BH39" s="18">
        <f t="shared" si="136"/>
        <v>0.22749808583330791</v>
      </c>
      <c r="BI39" s="18">
        <f t="shared" si="136"/>
        <v>0.15536844231667482</v>
      </c>
      <c r="BJ39" s="18">
        <f t="shared" si="136"/>
        <v>4.4497759756797609E-2</v>
      </c>
      <c r="BK39" s="18">
        <f t="shared" si="136"/>
        <v>0.10233454774557606</v>
      </c>
      <c r="BL39" s="18">
        <f t="shared" si="136"/>
        <v>9.5253010415480899E-2</v>
      </c>
      <c r="BM39" s="18">
        <f t="shared" ref="BM39" si="137">BM19/BM7</f>
        <v>0.19993671114387485</v>
      </c>
      <c r="BO39" s="18">
        <f t="shared" ref="BO39:BT39" si="138">BO19/BO7</f>
        <v>-4.7143641842975509E-2</v>
      </c>
      <c r="BP39" s="18">
        <f t="shared" si="138"/>
        <v>0.1737737459015378</v>
      </c>
      <c r="BQ39" s="18">
        <f t="shared" si="138"/>
        <v>0.13575825783308776</v>
      </c>
      <c r="BR39" s="18">
        <f t="shared" si="138"/>
        <v>2.7253851389136424E-2</v>
      </c>
      <c r="BS39" s="18">
        <f t="shared" si="138"/>
        <v>0.48111734621904367</v>
      </c>
      <c r="BT39" s="18">
        <f t="shared" si="138"/>
        <v>0.13211787443155032</v>
      </c>
      <c r="BV39" s="18">
        <f>BV19/BV7</f>
        <v>0.14485129542658295</v>
      </c>
      <c r="BW39" s="18">
        <f>BW19/BW7</f>
        <v>8.7750047966330083E-2</v>
      </c>
      <c r="BY39" s="18">
        <f>BY19/BY7</f>
        <v>0.10720334999697083</v>
      </c>
      <c r="BZ39" s="18">
        <f>BZ19/BZ7</f>
        <v>9.260207254877556E-2</v>
      </c>
    </row>
    <row r="40" spans="2:81" s="16" customFormat="1" ht="13.5" customHeight="1">
      <c r="B40" s="374" t="s">
        <v>257</v>
      </c>
      <c r="C40" s="18">
        <f t="shared" ref="C40:R40" si="139">C20/C123</f>
        <v>0.88719571190835567</v>
      </c>
      <c r="D40" s="18">
        <f t="shared" si="139"/>
        <v>3.6282841923625178</v>
      </c>
      <c r="E40" s="18">
        <f t="shared" si="139"/>
        <v>4.3667804540241759E-2</v>
      </c>
      <c r="F40" s="18">
        <f t="shared" si="139"/>
        <v>5.4470008855855186E-2</v>
      </c>
      <c r="G40" s="18">
        <f t="shared" si="139"/>
        <v>2.4628404835303284E-2</v>
      </c>
      <c r="H40" s="18">
        <f t="shared" si="139"/>
        <v>2.1663707041917241E-2</v>
      </c>
      <c r="I40" s="18">
        <f t="shared" si="139"/>
        <v>3.4254657860010453E-2</v>
      </c>
      <c r="J40" s="18">
        <f t="shared" si="139"/>
        <v>2.5782023924175446E-2</v>
      </c>
      <c r="K40" s="18">
        <f t="shared" si="139"/>
        <v>3.4254657860010453E-2</v>
      </c>
      <c r="L40" s="18">
        <f t="shared" si="139"/>
        <v>3.0029882957187708E-2</v>
      </c>
      <c r="M40" s="18">
        <f t="shared" si="139"/>
        <v>5.3849909824822954E-2</v>
      </c>
      <c r="N40" s="18">
        <f t="shared" si="139"/>
        <v>6.2264019215400063E-2</v>
      </c>
      <c r="O40" s="18">
        <f t="shared" si="139"/>
        <v>5.4654722617705404E-2</v>
      </c>
      <c r="P40" s="18">
        <f t="shared" si="139"/>
        <v>3.6277785550279398E-2</v>
      </c>
      <c r="Q40" s="18">
        <f t="shared" si="139"/>
        <v>4.52967493963485E-2</v>
      </c>
      <c r="R40" s="18">
        <f t="shared" si="139"/>
        <v>5.7214147863063322E-2</v>
      </c>
      <c r="S40"/>
      <c r="T40" s="18">
        <f>SUM(T20:T20)/T123</f>
        <v>1.0726252642892026E-2</v>
      </c>
      <c r="U40" s="18">
        <f>SUM(T20:U20)/U123</f>
        <v>1.8399492750798753E-2</v>
      </c>
      <c r="V40" s="18">
        <f>SUM(T20:V20)/V123</f>
        <v>2.7494315147676564E-2</v>
      </c>
      <c r="W40" s="18">
        <f>SUM(T20:W20)/W123</f>
        <v>4.3667804540241759E-2</v>
      </c>
      <c r="X40" s="18">
        <f>SUM(X20:X20)/X123</f>
        <v>8.352520481682113E-3</v>
      </c>
      <c r="Y40" s="18">
        <f>SUM(X20:Y20)/Y123</f>
        <v>2.0561065735869768E-2</v>
      </c>
      <c r="Z40" s="18">
        <f>SUM(X20:Z20)/Z123</f>
        <v>3.5587637938253924E-2</v>
      </c>
      <c r="AA40" s="18">
        <f t="shared" ref="AA40:AI40" si="140">SUM(X20:AA20)/AA123</f>
        <v>5.4470008855855186E-2</v>
      </c>
      <c r="AB40" s="18">
        <f t="shared" si="140"/>
        <v>3.6263691294392927E-2</v>
      </c>
      <c r="AC40" s="18">
        <f t="shared" si="140"/>
        <v>3.5434177961167698E-2</v>
      </c>
      <c r="AD40" s="18">
        <f t="shared" si="140"/>
        <v>1.7243391164325939E-2</v>
      </c>
      <c r="AE40" s="18">
        <f t="shared" si="140"/>
        <v>2.4628404835303284E-2</v>
      </c>
      <c r="AF40" s="18">
        <f t="shared" si="140"/>
        <v>2.5871273492700516E-2</v>
      </c>
      <c r="AG40" s="18">
        <f t="shared" si="140"/>
        <v>2.2625337841890854E-2</v>
      </c>
      <c r="AH40" s="18">
        <f t="shared" si="140"/>
        <v>2.0579075576680324E-2</v>
      </c>
      <c r="AI40" s="18">
        <f t="shared" si="140"/>
        <v>2.1663707041917241E-2</v>
      </c>
      <c r="AJ40" s="218"/>
      <c r="AK40" s="218"/>
      <c r="AL40" s="218"/>
      <c r="AM40" s="18">
        <f>SUM(AJ20:AM20)/AM123</f>
        <v>6.9676492161681609E-3</v>
      </c>
      <c r="AN40" s="18">
        <f t="shared" ref="AN40:AT40" si="141">SUM(AC20:AN20)/AN123</f>
        <v>6.4221567113261102E-2</v>
      </c>
      <c r="AO40" s="18">
        <f t="shared" si="141"/>
        <v>5.571342591777205E-2</v>
      </c>
      <c r="AP40" s="18">
        <f t="shared" si="141"/>
        <v>4.888264764634942E-2</v>
      </c>
      <c r="AQ40" s="18">
        <f t="shared" si="141"/>
        <v>6.1030760944156132E-2</v>
      </c>
      <c r="AR40" s="18">
        <f t="shared" si="141"/>
        <v>8.0454971155700397E-2</v>
      </c>
      <c r="AS40" s="18">
        <f t="shared" si="141"/>
        <v>7.2847083845256413E-2</v>
      </c>
      <c r="AT40" s="18">
        <f t="shared" si="141"/>
        <v>6.4328301988183956E-2</v>
      </c>
      <c r="AU40" s="18">
        <f>SUM(AR20:AU20)/AU123</f>
        <v>3.4254657860010453E-2</v>
      </c>
      <c r="AV40" s="18">
        <f>SUM(AK20:AV20)/AV123</f>
        <v>7.9631861993847058E-2</v>
      </c>
      <c r="AW40" s="18">
        <f>SUM(AT20:AW20)/AW123</f>
        <v>3.8399955559986439E-2</v>
      </c>
      <c r="AX40" s="18">
        <f>SUM(AS20:AX20)/AX123</f>
        <v>7.7294881695847126E-2</v>
      </c>
      <c r="AY40" s="294">
        <f>SUM(AT20:AY20)/AY123</f>
        <v>8.0603772146111752E-2</v>
      </c>
      <c r="AZ40" s="18">
        <f>SUM(AT20:AZ20)/AZ123</f>
        <v>8.2395474675822783E-2</v>
      </c>
      <c r="BA40" s="18">
        <f>SUM(AU20:BA20)/BA123</f>
        <v>8.3198282749832958E-2</v>
      </c>
      <c r="BB40" s="18">
        <f>SUM(AU20:BB20)/BB123</f>
        <v>0.10450888306682457</v>
      </c>
      <c r="BC40" s="18">
        <f>SUM(AV20:BC20)/BC123</f>
        <v>9.8873640877608152E-2</v>
      </c>
      <c r="BD40" s="18">
        <f>SUM(AZ20:BD20)/BD123</f>
        <v>6.4280439380122081E-2</v>
      </c>
      <c r="BE40" s="18">
        <f>SUM(BC20:BE20,BA20)/BE123</f>
        <v>4.7141845999840795E-2</v>
      </c>
      <c r="BF40" s="18">
        <f>SUM(BC20:BF20)/BF123</f>
        <v>3.6142381525300013E-2</v>
      </c>
      <c r="BG40" s="18">
        <f>SUM(BD20:BG20)/BG123</f>
        <v>3.8017366234886829E-2</v>
      </c>
      <c r="BH40" s="18">
        <f>SUM(BE20:BH20)/BH123</f>
        <v>5.4654722617705404E-2</v>
      </c>
      <c r="BI40" s="18">
        <f>SUM(BG20:BI20,BF20)/BI123</f>
        <v>5.5325011961215378E-2</v>
      </c>
      <c r="BJ40" s="18">
        <f>SUM(BG20:BJ20)/BJ123</f>
        <v>5.7902444357493046E-2</v>
      </c>
      <c r="BK40" s="18">
        <f>SUM(BH20:BK20)/BK123</f>
        <v>7.3408084227913076E-2</v>
      </c>
      <c r="BL40" s="18">
        <f>SUM(BI20:BL20)/BL123</f>
        <v>4.52967493963485E-2</v>
      </c>
      <c r="BM40" s="18">
        <f>SUM(BK20:BM20,BJ20)/BM123</f>
        <v>5.7214147863063322E-2</v>
      </c>
      <c r="BO40" s="18"/>
      <c r="BP40" s="18"/>
      <c r="BQ40" s="18"/>
      <c r="BR40" s="18"/>
      <c r="BS40" s="18">
        <f>SUM(BP20:BS20)/BS123</f>
        <v>3.6277785550279398E-2</v>
      </c>
      <c r="BT40" s="18"/>
      <c r="BV40" s="18"/>
      <c r="BW40" s="18"/>
      <c r="BY40" s="18"/>
      <c r="BZ40" s="18"/>
    </row>
    <row r="41" spans="2:81" s="16" customFormat="1" ht="13.5" customHeight="1">
      <c r="B41" s="374" t="s">
        <v>258</v>
      </c>
      <c r="C41" s="18">
        <f t="shared" ref="C41:R41" si="142">-C21/C116</f>
        <v>5.3961833848078518E-2</v>
      </c>
      <c r="D41" s="18">
        <f t="shared" si="142"/>
        <v>6.533411794596003E-2</v>
      </c>
      <c r="E41" s="18">
        <f t="shared" si="142"/>
        <v>6.65438244678314E-2</v>
      </c>
      <c r="F41" s="18">
        <f t="shared" si="142"/>
        <v>6.773299577348893E-2</v>
      </c>
      <c r="G41" s="18">
        <f t="shared" si="142"/>
        <v>6.1849376608161706E-2</v>
      </c>
      <c r="H41" s="18">
        <f t="shared" si="142"/>
        <v>5.3558836322172489E-2</v>
      </c>
      <c r="I41" s="18">
        <f t="shared" si="142"/>
        <v>5.0922893922908399E-2</v>
      </c>
      <c r="J41" s="18">
        <f t="shared" si="142"/>
        <v>4.8301712198796164E-2</v>
      </c>
      <c r="K41" s="18">
        <f t="shared" si="142"/>
        <v>5.0920827459161037E-2</v>
      </c>
      <c r="L41" s="18">
        <f t="shared" si="142"/>
        <v>4.7442910542595564E-2</v>
      </c>
      <c r="M41" s="18">
        <f t="shared" si="142"/>
        <v>6.1927763028941228E-2</v>
      </c>
      <c r="N41" s="18">
        <f t="shared" si="142"/>
        <v>6.2164554523860285E-2</v>
      </c>
      <c r="O41" s="18">
        <f t="shared" si="142"/>
        <v>6.851583353133113E-2</v>
      </c>
      <c r="P41" s="18">
        <f t="shared" si="142"/>
        <v>4.1476484583111338E-2</v>
      </c>
      <c r="Q41" s="18">
        <f t="shared" si="142"/>
        <v>7.4094475187520423E-2</v>
      </c>
      <c r="R41" s="18">
        <f t="shared" si="142"/>
        <v>5.8335960439393403E-2</v>
      </c>
      <c r="S41"/>
      <c r="T41" s="18">
        <f>-SUM(T21:T21)/T116</f>
        <v>1.6663456315753555E-2</v>
      </c>
      <c r="U41" s="18">
        <f>-SUM(T21:U21)/U116</f>
        <v>3.3068803470710631E-2</v>
      </c>
      <c r="V41" s="18">
        <f>-SUM(T21:V21)/V116</f>
        <v>4.833651491480917E-2</v>
      </c>
      <c r="W41" s="18">
        <f>-SUM(T21:W21)/W116</f>
        <v>6.65438244678314E-2</v>
      </c>
      <c r="X41" s="18">
        <f>-SUM(X21:X21)/X116</f>
        <v>1.5470523579626786E-2</v>
      </c>
      <c r="Y41" s="18">
        <f>-SUM(X21:Y21)/Y116</f>
        <v>3.4107766638444226E-2</v>
      </c>
      <c r="Z41" s="18">
        <f>-SUM(X21:Z21)/Z116</f>
        <v>5.0928559185032231E-2</v>
      </c>
      <c r="AA41" s="18">
        <f t="shared" ref="AA41:AI41" si="143">-SUM(X21:AA21)/AA116</f>
        <v>6.773299577348893E-2</v>
      </c>
      <c r="AB41" s="18">
        <f t="shared" si="143"/>
        <v>6.6390319202420486E-2</v>
      </c>
      <c r="AC41" s="18">
        <f t="shared" si="143"/>
        <v>6.4025303585193719E-2</v>
      </c>
      <c r="AD41" s="18">
        <f t="shared" si="143"/>
        <v>5.5986810170480877E-2</v>
      </c>
      <c r="AE41" s="18">
        <f t="shared" si="143"/>
        <v>6.1849376608161706E-2</v>
      </c>
      <c r="AF41" s="18">
        <f t="shared" si="143"/>
        <v>6.040071908080806E-2</v>
      </c>
      <c r="AG41" s="18">
        <f t="shared" si="143"/>
        <v>5.7787877520176029E-2</v>
      </c>
      <c r="AH41" s="18">
        <f t="shared" si="143"/>
        <v>5.5168036189161683E-2</v>
      </c>
      <c r="AI41" s="18">
        <f t="shared" si="143"/>
        <v>5.3558836322172475E-2</v>
      </c>
      <c r="AJ41" s="218"/>
      <c r="AK41" s="218"/>
      <c r="AL41" s="218"/>
      <c r="AM41" s="18">
        <f>-SUM(AJ21:AM21)/AM116</f>
        <v>1.4115912638267249E-2</v>
      </c>
      <c r="AN41" s="18">
        <f t="shared" ref="AN41:AT41" si="144">-SUM(AC21:AN21)/AN116</f>
        <v>0.12646823273767002</v>
      </c>
      <c r="AO41" s="18">
        <f t="shared" si="144"/>
        <v>0.10195929401152658</v>
      </c>
      <c r="AP41" s="18">
        <f t="shared" si="144"/>
        <v>9.5661442221621859E-2</v>
      </c>
      <c r="AQ41" s="18">
        <f t="shared" si="144"/>
        <v>0.10604172181293939</v>
      </c>
      <c r="AR41" s="18">
        <f t="shared" si="144"/>
        <v>0.13213020699759068</v>
      </c>
      <c r="AS41" s="18">
        <f t="shared" si="144"/>
        <v>0.10696061748191417</v>
      </c>
      <c r="AT41" s="18">
        <f t="shared" si="144"/>
        <v>9.9967710705890195E-2</v>
      </c>
      <c r="AU41" s="18">
        <f>-SUM(AR21:AU21)/AU116</f>
        <v>5.092082745916103E-2</v>
      </c>
      <c r="AV41" s="18">
        <f>-SUM(AK21:AV21)/AV116</f>
        <v>0.11555430648156859</v>
      </c>
      <c r="AW41" s="18">
        <f>-SUM(AT21:AW21)/AW116</f>
        <v>5.5475765382945581E-2</v>
      </c>
      <c r="AX41" s="18">
        <f>-SUM(AS21:AX21)/AX116</f>
        <v>7.985717367169555E-2</v>
      </c>
      <c r="AY41" s="294">
        <f>-SUM(AT21:AY21)/AY116</f>
        <v>8.2828099410715797E-2</v>
      </c>
      <c r="AZ41" s="18">
        <f>-SUM(AT21:AZ21)/AZ116</f>
        <v>9.9519752313088239E-2</v>
      </c>
      <c r="BA41" s="18">
        <f>-SUM(AU21:BA21)/BA116</f>
        <v>0.10379330162433585</v>
      </c>
      <c r="BB41" s="18">
        <f>-SUM(AU21:BB21)/BB116</f>
        <v>0.12264684684532673</v>
      </c>
      <c r="BC41" s="18">
        <f>-SUM(AV21:BC21)/BC116</f>
        <v>0.12239924785206238</v>
      </c>
      <c r="BD41" s="18">
        <f>-SUM(AZ21:BD21)/BD116</f>
        <v>8.0144175437539419E-2</v>
      </c>
      <c r="BE41" s="18">
        <f>-SUM(BC21:BE21,BA21)/BE116</f>
        <v>6.0374751322639676E-2</v>
      </c>
      <c r="BF41" s="18">
        <f>-SUM(BC21:BF21)/BF116</f>
        <v>6.0006762841302061E-2</v>
      </c>
      <c r="BG41" s="18">
        <f>-SUM(BD21:BG21)/BG116</f>
        <v>6.7376156377373764E-2</v>
      </c>
      <c r="BH41" s="18">
        <f>-SUM(BE21:BH21)/BH116</f>
        <v>6.851583353133113E-2</v>
      </c>
      <c r="BI41" s="18">
        <f>-SUM(BG21:BI21,BF21)/BI116</f>
        <v>6.8653311332725703E-2</v>
      </c>
      <c r="BJ41" s="18">
        <f>-SUM(BG21:BJ21)/BJ116</f>
        <v>0.10214487854462846</v>
      </c>
      <c r="BK41" s="18">
        <f>-SUM(BH21:BK21)/BK116</f>
        <v>9.9105269062612425E-2</v>
      </c>
      <c r="BL41" s="18">
        <f>-SUM(BI21:BL21)/BL116</f>
        <v>7.4094475187520423E-2</v>
      </c>
      <c r="BM41" s="18">
        <f>-SUM(BK21:BM21,BJ21)/BM116</f>
        <v>5.833596043939341E-2</v>
      </c>
      <c r="BO41" s="18"/>
      <c r="BP41" s="18"/>
      <c r="BQ41" s="18"/>
      <c r="BR41" s="18"/>
      <c r="BS41" s="18">
        <f>-SUM(BP21:BS21)/BS116</f>
        <v>4.1476484583111338E-2</v>
      </c>
      <c r="BT41" s="18"/>
      <c r="BV41" s="18"/>
      <c r="BW41" s="18"/>
      <c r="BY41" s="18"/>
      <c r="BZ41" s="18"/>
    </row>
    <row r="42" spans="2:81" s="16" customFormat="1" ht="13.5" customHeight="1">
      <c r="B42" s="374" t="str">
        <f>B27</f>
        <v>Profit before tax</v>
      </c>
      <c r="C42" s="18">
        <f t="shared" ref="C42:R42" si="145">C27/C7</f>
        <v>5.284299956151961E-2</v>
      </c>
      <c r="D42" s="18">
        <f t="shared" si="145"/>
        <v>7.9346331535163309E-2</v>
      </c>
      <c r="E42" s="18">
        <f t="shared" si="145"/>
        <v>-0.17052571988330634</v>
      </c>
      <c r="F42" s="18">
        <f t="shared" si="145"/>
        <v>0.11307426761699156</v>
      </c>
      <c r="G42" s="18">
        <f t="shared" si="145"/>
        <v>4.8386924176175024E-2</v>
      </c>
      <c r="H42" s="18">
        <f t="shared" si="145"/>
        <v>8.3921333127366798E-2</v>
      </c>
      <c r="I42" s="18">
        <f t="shared" si="145"/>
        <v>5.6244931327665046E-2</v>
      </c>
      <c r="J42" s="18">
        <f t="shared" si="145"/>
        <v>4.757464702060081E-2</v>
      </c>
      <c r="K42" s="18">
        <f t="shared" si="145"/>
        <v>-0.1955419229775196</v>
      </c>
      <c r="L42" s="18">
        <f t="shared" si="145"/>
        <v>-9.0382851788286686E-2</v>
      </c>
      <c r="M42" s="18">
        <f t="shared" si="145"/>
        <v>3.605832652986822E-2</v>
      </c>
      <c r="N42" s="18">
        <f t="shared" si="145"/>
        <v>4.9363021223014795E-4</v>
      </c>
      <c r="O42" s="18">
        <f t="shared" si="145"/>
        <v>0.11482063918982817</v>
      </c>
      <c r="P42" s="18">
        <f t="shared" si="145"/>
        <v>0.12602179347688297</v>
      </c>
      <c r="Q42" s="18">
        <f t="shared" si="145"/>
        <v>8.4674541080423826E-2</v>
      </c>
      <c r="R42" s="18">
        <f t="shared" si="145"/>
        <v>0.11169176850554116</v>
      </c>
      <c r="S42"/>
      <c r="T42" s="18">
        <f t="shared" ref="T42:AI42" si="146">T27/T7</f>
        <v>9.5529960514931095E-3</v>
      </c>
      <c r="U42" s="18">
        <f t="shared" si="146"/>
        <v>-0.51894294677151198</v>
      </c>
      <c r="V42" s="18">
        <f t="shared" si="146"/>
        <v>6.5870383005034325E-2</v>
      </c>
      <c r="W42" s="18">
        <f t="shared" si="146"/>
        <v>-0.23597146638859562</v>
      </c>
      <c r="X42" s="18">
        <f t="shared" si="146"/>
        <v>0.16689041332818538</v>
      </c>
      <c r="Y42" s="18">
        <f t="shared" si="146"/>
        <v>0.10626828397101283</v>
      </c>
      <c r="Z42" s="18">
        <f t="shared" si="146"/>
        <v>9.2349194158165573E-2</v>
      </c>
      <c r="AA42" s="18">
        <f t="shared" si="146"/>
        <v>8.921531442361591E-2</v>
      </c>
      <c r="AB42" s="18">
        <f t="shared" si="146"/>
        <v>9.8184006053754797E-2</v>
      </c>
      <c r="AC42" s="18">
        <f t="shared" si="146"/>
        <v>7.0058873554272746E-2</v>
      </c>
      <c r="AD42" s="18">
        <f t="shared" si="146"/>
        <v>0.11853953845904656</v>
      </c>
      <c r="AE42" s="18">
        <f t="shared" si="146"/>
        <v>-8.8121451506072285E-2</v>
      </c>
      <c r="AF42" s="18">
        <f t="shared" si="146"/>
        <v>5.9691105849107674E-2</v>
      </c>
      <c r="AG42" s="18">
        <f t="shared" si="146"/>
        <v>9.4614858317538061E-2</v>
      </c>
      <c r="AH42" s="18">
        <f t="shared" si="146"/>
        <v>0.10060946393858576</v>
      </c>
      <c r="AI42" s="18">
        <f t="shared" si="146"/>
        <v>7.9490382937055307E-2</v>
      </c>
      <c r="AJ42" s="218"/>
      <c r="AK42" s="218"/>
      <c r="AL42" s="218"/>
      <c r="AM42" s="18">
        <f t="shared" ref="AM42:BL42" si="147">AM27/AM7</f>
        <v>-2.0599779067230236E-3</v>
      </c>
      <c r="AN42" s="18">
        <f t="shared" si="147"/>
        <v>3.9137854367057683E-2</v>
      </c>
      <c r="AO42" s="18">
        <f t="shared" si="147"/>
        <v>4.2771182548640541E-2</v>
      </c>
      <c r="AP42" s="18">
        <f t="shared" si="147"/>
        <v>3.6993420949330294E-2</v>
      </c>
      <c r="AQ42" s="18">
        <f t="shared" si="147"/>
        <v>0.10432771957964199</v>
      </c>
      <c r="AR42" s="18">
        <f t="shared" si="147"/>
        <v>-2.4852474673397601E-2</v>
      </c>
      <c r="AS42" s="18">
        <f t="shared" si="147"/>
        <v>-2.4788917203211733E-2</v>
      </c>
      <c r="AT42" s="18">
        <f t="shared" si="147"/>
        <v>2.0112629181993351E-2</v>
      </c>
      <c r="AU42" s="18">
        <f t="shared" si="147"/>
        <v>-0.70448157669237366</v>
      </c>
      <c r="AV42" s="18">
        <f t="shared" si="147"/>
        <v>-4.2254111547471114E-2</v>
      </c>
      <c r="AW42" s="18">
        <f t="shared" si="147"/>
        <v>-0.2974438442349851</v>
      </c>
      <c r="AX42" s="18">
        <f t="shared" si="147"/>
        <v>5.0018443063363373E-2</v>
      </c>
      <c r="AY42" s="294">
        <f t="shared" si="147"/>
        <v>4.376806501524428E-2</v>
      </c>
      <c r="AZ42" s="18">
        <f t="shared" si="147"/>
        <v>-0.2009558387101831</v>
      </c>
      <c r="BA42" s="18">
        <f t="shared" si="147"/>
        <v>-7.1205056937760254E-3</v>
      </c>
      <c r="BB42" s="18">
        <f t="shared" si="147"/>
        <v>9.2831281198003143E-2</v>
      </c>
      <c r="BC42" s="18">
        <f t="shared" si="147"/>
        <v>4.2771411470799638E-2</v>
      </c>
      <c r="BD42" s="18">
        <f t="shared" si="147"/>
        <v>0.30108506830072185</v>
      </c>
      <c r="BE42" s="18">
        <f t="shared" si="147"/>
        <v>5.3376106747974779E-2</v>
      </c>
      <c r="BF42" s="18">
        <f t="shared" si="147"/>
        <v>7.831798582499705E-2</v>
      </c>
      <c r="BG42" s="18">
        <f t="shared" si="147"/>
        <v>0.269314946530611</v>
      </c>
      <c r="BH42" s="18">
        <f t="shared" si="147"/>
        <v>6.7608331826068679E-2</v>
      </c>
      <c r="BI42" s="18">
        <f t="shared" si="147"/>
        <v>8.9711778406990655E-2</v>
      </c>
      <c r="BJ42" s="18">
        <f t="shared" si="147"/>
        <v>7.6126804743362211E-2</v>
      </c>
      <c r="BK42" s="18">
        <f t="shared" si="147"/>
        <v>5.794835095600722E-2</v>
      </c>
      <c r="BL42" s="18">
        <f t="shared" si="147"/>
        <v>0.18410613128850467</v>
      </c>
      <c r="BM42" s="18">
        <f t="shared" ref="BM42" si="148">BM27/BM7</f>
        <v>0.18520062245947233</v>
      </c>
      <c r="BO42" s="18">
        <f t="shared" ref="BO42:BT42" si="149">BO27/BO7</f>
        <v>-6.8204789398468968E-2</v>
      </c>
      <c r="BP42" s="18">
        <f t="shared" si="149"/>
        <v>6.5322040625936981E-2</v>
      </c>
      <c r="BQ42" s="18">
        <f t="shared" si="149"/>
        <v>7.3575837832822691E-2</v>
      </c>
      <c r="BR42" s="18">
        <f t="shared" si="149"/>
        <v>0.41392686063742956</v>
      </c>
      <c r="BS42" s="18">
        <f t="shared" si="149"/>
        <v>-0.73465059618736817</v>
      </c>
      <c r="BT42" s="18">
        <f t="shared" si="149"/>
        <v>8.316213422724561E-2</v>
      </c>
      <c r="BV42" s="18">
        <f>BV27/BV7</f>
        <v>5.1365824189736016E-2</v>
      </c>
      <c r="BW42" s="18">
        <f>BW27/BW7</f>
        <v>7.9599868630293336E-2</v>
      </c>
      <c r="BY42" s="18">
        <f>BY27/BY7</f>
        <v>0.16743853499259428</v>
      </c>
      <c r="BZ42" s="18">
        <f>BZ27/BZ7</f>
        <v>7.2396931865972666E-2</v>
      </c>
    </row>
    <row r="43" spans="2:81" s="16" customFormat="1" ht="13.5" customHeight="1">
      <c r="B43" s="422" t="s">
        <v>259</v>
      </c>
      <c r="C43" s="18">
        <f t="shared" ref="C43:J43" si="150">-C28/C27</f>
        <v>0.4233331578300783</v>
      </c>
      <c r="D43" s="18">
        <f t="shared" si="150"/>
        <v>0.39961399433231698</v>
      </c>
      <c r="E43" s="18">
        <f t="shared" si="150"/>
        <v>-0.22134078376878769</v>
      </c>
      <c r="F43" s="18">
        <f t="shared" si="150"/>
        <v>0.34702670033888061</v>
      </c>
      <c r="G43" s="18">
        <f t="shared" ref="G43" si="151">-G28/G27</f>
        <v>0.46713692995661482</v>
      </c>
      <c r="H43" s="18">
        <f t="shared" si="150"/>
        <v>0.41255501196622457</v>
      </c>
      <c r="I43" s="18">
        <f t="shared" ref="I43:K43" si="152">-I28/I27</f>
        <v>0.39707798521033705</v>
      </c>
      <c r="J43" s="18">
        <f t="shared" si="150"/>
        <v>0.67669583957528734</v>
      </c>
      <c r="K43" s="18">
        <f t="shared" si="152"/>
        <v>-0.14468544064296893</v>
      </c>
      <c r="L43" s="18">
        <f t="shared" ref="L43" si="153">-L28/L27</f>
        <v>-0.33427098243151387</v>
      </c>
      <c r="M43" s="18">
        <f>-M28/M27</f>
        <v>0.82076723828250864</v>
      </c>
      <c r="N43" s="18">
        <f t="shared" ref="N43" si="154">-N28/N27</f>
        <v>60.428791867105524</v>
      </c>
      <c r="O43" s="18">
        <f t="shared" ref="O43:P43" si="155">-O28/O27</f>
        <v>0.37653554821162194</v>
      </c>
      <c r="P43" s="18">
        <f t="shared" si="155"/>
        <v>0.49069219356491828</v>
      </c>
      <c r="Q43" s="18">
        <f t="shared" ref="Q43" si="156">-Q28/Q27</f>
        <v>0.65922862827854078</v>
      </c>
      <c r="R43" s="18">
        <f t="shared" ref="R43" si="157">-R28/R27</f>
        <v>0.60423314942724515</v>
      </c>
      <c r="S43"/>
      <c r="T43" s="18">
        <f t="shared" ref="T43:AC43" si="158">-T28/T27</f>
        <v>2.4772276145903875</v>
      </c>
      <c r="U43" s="18">
        <f t="shared" si="158"/>
        <v>-8.5223301557606171E-2</v>
      </c>
      <c r="V43" s="18">
        <f t="shared" si="158"/>
        <v>0.49589961841037272</v>
      </c>
      <c r="W43" s="18">
        <f t="shared" si="158"/>
        <v>-0.20958364438962676</v>
      </c>
      <c r="X43" s="18">
        <f t="shared" si="158"/>
        <v>0.1944578730672856</v>
      </c>
      <c r="Y43" s="18">
        <f t="shared" si="158"/>
        <v>0.53517939119238322</v>
      </c>
      <c r="Z43" s="18">
        <f t="shared" si="158"/>
        <v>0.46467255384819256</v>
      </c>
      <c r="AA43" s="18">
        <f t="shared" si="158"/>
        <v>0.27717116218009497</v>
      </c>
      <c r="AB43" s="18">
        <f t="shared" si="158"/>
        <v>0.32798601644013153</v>
      </c>
      <c r="AC43" s="18">
        <f t="shared" si="158"/>
        <v>0.61439097114413266</v>
      </c>
      <c r="AD43" s="18">
        <f t="shared" ref="AD43:AG43" si="159">-AD28/AD27</f>
        <v>0.35447007686966875</v>
      </c>
      <c r="AE43" s="18">
        <f t="shared" si="159"/>
        <v>0.27806589328491449</v>
      </c>
      <c r="AF43" s="18">
        <f t="shared" si="159"/>
        <v>0.48230230296600796</v>
      </c>
      <c r="AG43" s="18">
        <f t="shared" si="159"/>
        <v>0.31380841720490549</v>
      </c>
      <c r="AH43" s="18">
        <f t="shared" ref="AH43:AS43" si="160">-AH28/AH27</f>
        <v>0.29647082414277082</v>
      </c>
      <c r="AI43" s="18">
        <f t="shared" si="160"/>
        <v>0.61459151449329608</v>
      </c>
      <c r="AJ43" s="218"/>
      <c r="AK43" s="218"/>
      <c r="AL43" s="218"/>
      <c r="AM43" s="18">
        <f t="shared" ref="AM43:AP43" si="161">-AM28/AM27</f>
        <v>-20.33457654871156</v>
      </c>
      <c r="AN43" s="18">
        <f t="shared" si="161"/>
        <v>1.0366914145802102</v>
      </c>
      <c r="AO43" s="18">
        <f t="shared" si="161"/>
        <v>1.0465598833823266</v>
      </c>
      <c r="AP43" s="18">
        <f t="shared" si="161"/>
        <v>1.023754207249874</v>
      </c>
      <c r="AQ43" s="18">
        <f t="shared" ref="AQ43" si="162">-AQ28/AQ27</f>
        <v>-0.30146466149143769</v>
      </c>
      <c r="AR43" s="18">
        <f t="shared" si="160"/>
        <v>-1.1799583407340466</v>
      </c>
      <c r="AS43" s="18">
        <f t="shared" si="160"/>
        <v>-1.3839401442065224</v>
      </c>
      <c r="AT43" s="18">
        <f t="shared" ref="AT43:AZ43" si="163">-AT28/AT27</f>
        <v>1.2634315424610048</v>
      </c>
      <c r="AU43" s="18">
        <f t="shared" si="163"/>
        <v>-3.5306338413632898E-2</v>
      </c>
      <c r="AV43" s="18">
        <f t="shared" ref="AV43:AW43" si="164">-AV28/AV27</f>
        <v>-0.6396597793592419</v>
      </c>
      <c r="AW43" s="18">
        <f t="shared" si="164"/>
        <v>-0.10174956071131305</v>
      </c>
      <c r="AX43" s="18">
        <f t="shared" si="163"/>
        <v>0.47243295482000197</v>
      </c>
      <c r="AY43" s="294">
        <f t="shared" ref="AY43" si="165">-AY28/AY27</f>
        <v>0.53199767738514014</v>
      </c>
      <c r="AZ43" s="18">
        <f t="shared" si="163"/>
        <v>6.7089201293337869E-2</v>
      </c>
      <c r="BA43" s="18">
        <f t="shared" ref="BA43" si="166">-BA28/BA27</f>
        <v>-3.8616238479117193</v>
      </c>
      <c r="BB43" s="18">
        <f t="shared" ref="BB43:BF43" si="167">-BB28/BB27</f>
        <v>0.24308677291922132</v>
      </c>
      <c r="BC43" s="18">
        <f t="shared" si="167"/>
        <v>0.5567108487642306</v>
      </c>
      <c r="BD43" s="18">
        <f t="shared" si="167"/>
        <v>0.31592713377031167</v>
      </c>
      <c r="BE43" s="18">
        <f t="shared" si="167"/>
        <v>0.55344451062140154</v>
      </c>
      <c r="BF43" s="18">
        <f t="shared" si="167"/>
        <v>0.55296375171924217</v>
      </c>
      <c r="BG43" s="18">
        <f t="shared" ref="BG43:BJ43" si="168">-BG28/BG27</f>
        <v>0.20199930505066288</v>
      </c>
      <c r="BH43" s="18">
        <f t="shared" si="168"/>
        <v>0.68622728846850223</v>
      </c>
      <c r="BI43" s="18">
        <f t="shared" si="168"/>
        <v>0.32427376712358807</v>
      </c>
      <c r="BJ43" s="18">
        <f t="shared" si="168"/>
        <v>1.1530926739407692</v>
      </c>
      <c r="BK43" s="18">
        <f t="shared" ref="BK43:BM43" si="169">-BK28/BK27</f>
        <v>0.91993476603815971</v>
      </c>
      <c r="BL43" s="18">
        <f t="shared" si="169"/>
        <v>0.64027692905949929</v>
      </c>
      <c r="BM43" s="18">
        <f t="shared" si="169"/>
        <v>0.25215607016677694</v>
      </c>
      <c r="BO43" s="18">
        <f t="shared" ref="BO43:BP43" si="170">-BO28/BO27</f>
        <v>-0.63183603242802211</v>
      </c>
      <c r="BP43" s="18">
        <f t="shared" si="170"/>
        <v>0.46202578917324294</v>
      </c>
      <c r="BQ43" s="18">
        <f t="shared" ref="BQ43:BT43" si="171">-BQ28/BQ27</f>
        <v>0.80087616942004902</v>
      </c>
      <c r="BR43" s="18">
        <f t="shared" si="171"/>
        <v>0.1995428337215305</v>
      </c>
      <c r="BS43" s="18">
        <f t="shared" si="171"/>
        <v>-0.49987469935982587</v>
      </c>
      <c r="BT43" s="18">
        <f t="shared" si="171"/>
        <v>0.5126011983716785</v>
      </c>
      <c r="BV43" s="18">
        <f t="shared" ref="BV43" si="172">-BV28/BV27</f>
        <v>0.97419891304022965</v>
      </c>
      <c r="BW43" s="18">
        <f t="shared" ref="BW43" si="173">-BW28/BW27</f>
        <v>0.82277115616381902</v>
      </c>
      <c r="BY43" s="18">
        <f t="shared" ref="BY43:BZ43" si="174">-BY28/BY27</f>
        <v>0.3611068656336538</v>
      </c>
      <c r="BZ43" s="18">
        <f t="shared" si="174"/>
        <v>0.84864409846512279</v>
      </c>
    </row>
    <row r="44" spans="2:81" s="16" customFormat="1" ht="13.5" customHeight="1">
      <c r="B44" s="10"/>
      <c r="C44" s="30"/>
      <c r="D44" s="30"/>
      <c r="E44" s="30"/>
      <c r="F44" s="30"/>
      <c r="G44" s="30"/>
      <c r="H44" s="30"/>
      <c r="I44" s="30"/>
      <c r="J44" s="30"/>
      <c r="K44" s="30"/>
      <c r="L44" s="30"/>
      <c r="M44" s="30"/>
      <c r="N44" s="30"/>
      <c r="O44" s="30"/>
      <c r="P44" s="30"/>
      <c r="Q44" s="30"/>
      <c r="R44" s="30"/>
      <c r="S44"/>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295"/>
      <c r="AZ44" s="30"/>
      <c r="BA44" s="30"/>
      <c r="BB44" s="30"/>
      <c r="BC44" s="30"/>
      <c r="BD44" s="30"/>
      <c r="BE44" s="30"/>
      <c r="BF44" s="30"/>
      <c r="BG44" s="30"/>
      <c r="BH44" s="30"/>
      <c r="BI44" s="30"/>
      <c r="BJ44" s="30"/>
      <c r="BK44" s="30"/>
      <c r="BL44" s="30"/>
      <c r="BM44" s="30"/>
      <c r="BO44" s="30"/>
      <c r="BP44" s="30"/>
      <c r="BQ44" s="30"/>
      <c r="BR44" s="30"/>
      <c r="BS44" s="30"/>
      <c r="BT44" s="30"/>
      <c r="BV44" s="30"/>
      <c r="BW44" s="30"/>
      <c r="BY44" s="30"/>
      <c r="BZ44" s="30"/>
    </row>
    <row r="45" spans="2:81" s="16" customFormat="1" ht="13.5" customHeight="1">
      <c r="B45" s="60" t="s">
        <v>260</v>
      </c>
      <c r="C45" s="18">
        <f t="shared" ref="C45:R45" si="175">-C69/C7</f>
        <v>0.25425283250125941</v>
      </c>
      <c r="D45" s="18">
        <f t="shared" si="175"/>
        <v>0.20018956331387228</v>
      </c>
      <c r="E45" s="18">
        <f t="shared" si="175"/>
        <v>0.27786928968326385</v>
      </c>
      <c r="F45" s="18">
        <f t="shared" si="175"/>
        <v>0.27542000850007514</v>
      </c>
      <c r="G45" s="18">
        <f t="shared" si="175"/>
        <v>0.18670966709279538</v>
      </c>
      <c r="H45" s="18">
        <f t="shared" si="175"/>
        <v>0.24590106020846342</v>
      </c>
      <c r="I45" s="18">
        <f t="shared" si="175"/>
        <v>0.35070136617978348</v>
      </c>
      <c r="J45" s="18">
        <f t="shared" si="175"/>
        <v>0.3124977493662216</v>
      </c>
      <c r="K45" s="18">
        <f t="shared" si="175"/>
        <v>0.44426589019888169</v>
      </c>
      <c r="L45" s="18">
        <f t="shared" si="175"/>
        <v>0.48602092478227077</v>
      </c>
      <c r="M45" s="18">
        <f t="shared" si="175"/>
        <v>0.31584987893748595</v>
      </c>
      <c r="N45" s="18">
        <f t="shared" si="175"/>
        <v>0.31841142565979186</v>
      </c>
      <c r="O45" s="18">
        <f t="shared" si="175"/>
        <v>0.22580091702490354</v>
      </c>
      <c r="P45" s="18">
        <f t="shared" si="175"/>
        <v>0.40873445353414045</v>
      </c>
      <c r="Q45" s="18">
        <f t="shared" si="175"/>
        <v>0.17250021410959707</v>
      </c>
      <c r="R45" s="18">
        <f t="shared" si="175"/>
        <v>0.17358187450555557</v>
      </c>
      <c r="S45"/>
      <c r="T45" s="18">
        <f t="shared" ref="T45:AI45" si="176">-T69/T7</f>
        <v>0.22896624693885043</v>
      </c>
      <c r="U45" s="18">
        <f t="shared" si="176"/>
        <v>0.3146361937357095</v>
      </c>
      <c r="V45" s="18">
        <f t="shared" si="176"/>
        <v>0.30079943739222909</v>
      </c>
      <c r="W45" s="18">
        <f t="shared" si="176"/>
        <v>0.26633785410711186</v>
      </c>
      <c r="X45" s="18">
        <f t="shared" si="176"/>
        <v>0.28288945659900261</v>
      </c>
      <c r="Y45" s="18">
        <f t="shared" si="176"/>
        <v>0.22972110372863819</v>
      </c>
      <c r="Z45" s="18">
        <f t="shared" si="176"/>
        <v>0.23083830147616682</v>
      </c>
      <c r="AA45" s="18">
        <f t="shared" si="176"/>
        <v>0.35740043054044773</v>
      </c>
      <c r="AB45" s="18">
        <f t="shared" si="176"/>
        <v>0.12099574858893705</v>
      </c>
      <c r="AC45" s="18">
        <f t="shared" si="176"/>
        <v>0.29499617948578954</v>
      </c>
      <c r="AD45" s="18">
        <f t="shared" si="176"/>
        <v>0.17051235041495291</v>
      </c>
      <c r="AE45" s="18">
        <f t="shared" si="176"/>
        <v>0.16570209161940661</v>
      </c>
      <c r="AF45" s="18">
        <f t="shared" si="176"/>
        <v>0.21350180466123206</v>
      </c>
      <c r="AG45" s="18">
        <f t="shared" si="176"/>
        <v>0.2954829560392509</v>
      </c>
      <c r="AH45" s="18">
        <f t="shared" si="176"/>
        <v>0.23431830502480303</v>
      </c>
      <c r="AI45" s="18">
        <f t="shared" si="176"/>
        <v>0.23944411732114262</v>
      </c>
      <c r="AJ45" s="18"/>
      <c r="AK45" s="18"/>
      <c r="AL45" s="18"/>
      <c r="AM45" s="18">
        <f t="shared" ref="AM45:BL45" si="177">-AM69/AM7</f>
        <v>0</v>
      </c>
      <c r="AN45" s="18">
        <f t="shared" si="177"/>
        <v>0.26457171004849961</v>
      </c>
      <c r="AO45" s="18">
        <f t="shared" si="177"/>
        <v>0.51441927121827213</v>
      </c>
      <c r="AP45" s="18">
        <f t="shared" si="177"/>
        <v>0.35986302528346564</v>
      </c>
      <c r="AQ45" s="18">
        <f t="shared" si="177"/>
        <v>0.26507582250037182</v>
      </c>
      <c r="AR45" s="18">
        <f t="shared" si="177"/>
        <v>0.34345982756441251</v>
      </c>
      <c r="AS45" s="18">
        <f t="shared" si="177"/>
        <v>0.66353618637814915</v>
      </c>
      <c r="AT45" s="18">
        <f t="shared" si="177"/>
        <v>0.45764932562620436</v>
      </c>
      <c r="AU45" s="18">
        <f t="shared" si="177"/>
        <v>0.32197395029991449</v>
      </c>
      <c r="AV45" s="18">
        <f t="shared" si="177"/>
        <v>0.48677726184250331</v>
      </c>
      <c r="AW45" s="18">
        <f t="shared" si="177"/>
        <v>0.43766809604683277</v>
      </c>
      <c r="AX45" s="18">
        <f t="shared" si="177"/>
        <v>0.3416748532549404</v>
      </c>
      <c r="AY45" s="294">
        <f t="shared" si="177"/>
        <v>0.36775828519331122</v>
      </c>
      <c r="AZ45" s="18">
        <f t="shared" si="177"/>
        <v>0.33108956404559753</v>
      </c>
      <c r="BA45" s="18">
        <f t="shared" si="177"/>
        <v>0.35491211891507374</v>
      </c>
      <c r="BB45" s="18">
        <f t="shared" si="177"/>
        <v>0.28830016638935124</v>
      </c>
      <c r="BC45" s="18">
        <f t="shared" si="177"/>
        <v>0.30420930045962785</v>
      </c>
      <c r="BD45" s="18">
        <f t="shared" si="177"/>
        <v>0.28261498825337034</v>
      </c>
      <c r="BE45" s="18">
        <f t="shared" si="177"/>
        <v>0.27092745356656667</v>
      </c>
      <c r="BF45" s="18">
        <f t="shared" si="177"/>
        <v>0.24835391153844691</v>
      </c>
      <c r="BG45" s="18">
        <f t="shared" si="177"/>
        <v>0.18160594387861029</v>
      </c>
      <c r="BH45" s="18">
        <f t="shared" si="177"/>
        <v>0.19896860194698096</v>
      </c>
      <c r="BI45" s="18">
        <f t="shared" si="177"/>
        <v>0.16902582229508673</v>
      </c>
      <c r="BJ45" s="18">
        <f t="shared" si="177"/>
        <v>0.13402287404442864</v>
      </c>
      <c r="BK45" s="18">
        <f t="shared" si="177"/>
        <v>0.14461629595135045</v>
      </c>
      <c r="BL45" s="18">
        <f t="shared" si="177"/>
        <v>0.44513494613277194</v>
      </c>
      <c r="BM45" s="18">
        <f t="shared" ref="BM45" si="178">-BM69/BM7</f>
        <v>0.16984343151320727</v>
      </c>
      <c r="BO45" s="18">
        <f t="shared" ref="BO45:BT45" si="179">-BO69/BO7</f>
        <v>0.25711367122353102</v>
      </c>
      <c r="BP45" s="18">
        <f t="shared" si="179"/>
        <v>0.26729439037135633</v>
      </c>
      <c r="BQ45" s="18">
        <f t="shared" si="179"/>
        <v>0.43060956080726931</v>
      </c>
      <c r="BR45" s="18">
        <f t="shared" si="179"/>
        <v>0.31531570330551589</v>
      </c>
      <c r="BS45" s="18">
        <f t="shared" si="179"/>
        <v>2.8605301727951087</v>
      </c>
      <c r="BT45" s="18">
        <f t="shared" si="179"/>
        <v>0.29744036444402333</v>
      </c>
      <c r="BV45" s="18">
        <f>-BV69/BV7</f>
        <v>0.45530765997249245</v>
      </c>
      <c r="BW45" s="18">
        <f>-BW69/BW7</f>
        <v>0.21469166014028701</v>
      </c>
      <c r="BY45" s="18">
        <f>-BY69/BY7</f>
        <v>0.41048983991627097</v>
      </c>
      <c r="BZ45" s="18">
        <f>-BZ69/BZ7</f>
        <v>0.19137927970660079</v>
      </c>
    </row>
    <row r="46" spans="2:81" s="16" customFormat="1" ht="13.5" customHeight="1">
      <c r="B46" s="60" t="s">
        <v>261</v>
      </c>
      <c r="C46" s="18">
        <f t="shared" ref="C46:R46" si="180">C50/C7</f>
        <v>0.26275919306266265</v>
      </c>
      <c r="D46" s="18">
        <f t="shared" si="180"/>
        <v>0.24531245921251763</v>
      </c>
      <c r="E46" s="18">
        <f t="shared" si="180"/>
        <v>0.32005719218475626</v>
      </c>
      <c r="F46" s="18">
        <f t="shared" si="180"/>
        <v>0.28817256193957913</v>
      </c>
      <c r="G46" s="18">
        <f t="shared" si="180"/>
        <v>0.35057365003949281</v>
      </c>
      <c r="H46" s="18">
        <f t="shared" si="180"/>
        <v>0.31253518973898003</v>
      </c>
      <c r="I46" s="18">
        <f t="shared" si="180"/>
        <v>0.25691853789695518</v>
      </c>
      <c r="J46" s="18">
        <f t="shared" si="180"/>
        <v>0.31597982992010554</v>
      </c>
      <c r="K46" s="18">
        <f t="shared" si="180"/>
        <v>0.32546249873709682</v>
      </c>
      <c r="L46" s="18">
        <f t="shared" si="180"/>
        <v>0.39350113984419799</v>
      </c>
      <c r="M46" s="18">
        <f t="shared" si="180"/>
        <v>0.32723834073658492</v>
      </c>
      <c r="N46" s="18">
        <f t="shared" si="180"/>
        <v>0.36751779680967106</v>
      </c>
      <c r="O46" s="18">
        <f t="shared" si="180"/>
        <v>0.32869133148779761</v>
      </c>
      <c r="P46" s="18">
        <f t="shared" si="180"/>
        <v>0.29918143301526928</v>
      </c>
      <c r="Q46" s="18">
        <f t="shared" si="180"/>
        <v>0.3311315694331271</v>
      </c>
      <c r="R46" s="18">
        <f t="shared" si="180"/>
        <v>0.31761541736205273</v>
      </c>
      <c r="S46"/>
      <c r="T46" s="18">
        <f t="shared" ref="T46:AI46" si="181">T50/T7</f>
        <v>0.24237137256928154</v>
      </c>
      <c r="U46" s="18">
        <f t="shared" si="181"/>
        <v>0.25379606327865811</v>
      </c>
      <c r="V46" s="18">
        <f t="shared" si="181"/>
        <v>0.25176198040067482</v>
      </c>
      <c r="W46" s="18">
        <f t="shared" si="181"/>
        <v>0.51876872408546659</v>
      </c>
      <c r="X46" s="18">
        <f t="shared" si="181"/>
        <v>0.27616730793182614</v>
      </c>
      <c r="Y46" s="18">
        <f t="shared" si="181"/>
        <v>0.27735912587302358</v>
      </c>
      <c r="Z46" s="18">
        <f t="shared" si="181"/>
        <v>0.29711420135085415</v>
      </c>
      <c r="AA46" s="18">
        <f t="shared" si="181"/>
        <v>0.30132230584711317</v>
      </c>
      <c r="AB46" s="18">
        <f t="shared" si="181"/>
        <v>0.30621109554675296</v>
      </c>
      <c r="AC46" s="18">
        <f t="shared" si="181"/>
        <v>0.3180414935810873</v>
      </c>
      <c r="AD46" s="18">
        <f t="shared" si="181"/>
        <v>0.28832475382698997</v>
      </c>
      <c r="AE46" s="18">
        <f t="shared" si="181"/>
        <v>0.48417521009127978</v>
      </c>
      <c r="AF46" s="18">
        <f t="shared" si="181"/>
        <v>0.32568713917288183</v>
      </c>
      <c r="AG46" s="18">
        <f t="shared" si="181"/>
        <v>0.29786743919935699</v>
      </c>
      <c r="AH46" s="18">
        <f t="shared" si="181"/>
        <v>0.30322256139917036</v>
      </c>
      <c r="AI46" s="18">
        <f t="shared" si="181"/>
        <v>0.32338550165384378</v>
      </c>
      <c r="AJ46" s="18"/>
      <c r="AK46" s="18"/>
      <c r="AL46" s="18"/>
      <c r="AM46" s="18">
        <f t="shared" ref="AM46:BL46" si="182">AM50/AM7</f>
        <v>0.30660128006086423</v>
      </c>
      <c r="AN46" s="18">
        <f t="shared" si="182"/>
        <v>0.28756678373607464</v>
      </c>
      <c r="AO46" s="18">
        <f t="shared" si="182"/>
        <v>0.2803259182934067</v>
      </c>
      <c r="AP46" s="18">
        <f t="shared" si="182"/>
        <v>0.28943856178200461</v>
      </c>
      <c r="AQ46" s="18">
        <f t="shared" si="182"/>
        <v>0.17348578633233783</v>
      </c>
      <c r="AR46" s="18">
        <f t="shared" si="182"/>
        <v>0.32271017217474701</v>
      </c>
      <c r="AS46" s="18">
        <f t="shared" si="182"/>
        <v>0.31292566480138451</v>
      </c>
      <c r="AT46" s="18">
        <f t="shared" si="182"/>
        <v>0.29436083377123839</v>
      </c>
      <c r="AU46" s="18">
        <f t="shared" si="182"/>
        <v>0.36942416452442162</v>
      </c>
      <c r="AV46" s="18">
        <f t="shared" si="182"/>
        <v>0.31309597246926485</v>
      </c>
      <c r="AW46" s="18">
        <f t="shared" si="182"/>
        <v>0.66258435273768712</v>
      </c>
      <c r="AX46" s="18">
        <f t="shared" si="182"/>
        <v>0.33705181682765922</v>
      </c>
      <c r="AY46" s="294">
        <f t="shared" si="182"/>
        <v>0.3274183207170055</v>
      </c>
      <c r="AZ46" s="18">
        <f t="shared" si="182"/>
        <v>0.44992181199981457</v>
      </c>
      <c r="BA46" s="18">
        <f t="shared" si="182"/>
        <v>0.32444857165184326</v>
      </c>
      <c r="BB46" s="18">
        <f t="shared" si="182"/>
        <v>0.30940698835274544</v>
      </c>
      <c r="BC46" s="18">
        <f t="shared" si="182"/>
        <v>0.32648085036826924</v>
      </c>
      <c r="BD46" s="18">
        <f t="shared" si="182"/>
        <v>0.16833984347286715</v>
      </c>
      <c r="BE46" s="18">
        <f t="shared" si="182"/>
        <v>0.33853559925991916</v>
      </c>
      <c r="BF46" s="18">
        <f t="shared" si="182"/>
        <v>0.32646462694974054</v>
      </c>
      <c r="BG46" s="18">
        <f t="shared" si="182"/>
        <v>0.34178429481271105</v>
      </c>
      <c r="BH46" s="18">
        <f t="shared" si="182"/>
        <v>0.30856688788309239</v>
      </c>
      <c r="BI46" s="18">
        <f t="shared" si="182"/>
        <v>0.32589832334983398</v>
      </c>
      <c r="BJ46" s="18">
        <f t="shared" si="182"/>
        <v>0.38206571627271807</v>
      </c>
      <c r="BK46" s="18">
        <f t="shared" si="182"/>
        <v>0.34893681860516079</v>
      </c>
      <c r="BL46" s="18">
        <f t="shared" si="182"/>
        <v>0.10553681214930692</v>
      </c>
      <c r="BM46" s="18">
        <f t="shared" ref="BM46" si="183">BM50/BM7</f>
        <v>0.27590905405661209</v>
      </c>
      <c r="BO46" s="18">
        <f t="shared" ref="BO46:BT46" si="184">BO50/BO7</f>
        <v>0.47939300296590109</v>
      </c>
      <c r="BP46" s="18">
        <f t="shared" si="184"/>
        <v>0.33058612733865211</v>
      </c>
      <c r="BQ46" s="18">
        <f t="shared" si="184"/>
        <v>0.29307942196072101</v>
      </c>
      <c r="BR46" s="18">
        <f t="shared" si="184"/>
        <v>0.3082077051926298</v>
      </c>
      <c r="BS46" s="18">
        <f t="shared" si="184"/>
        <v>-0.14946406497689063</v>
      </c>
      <c r="BT46" s="18">
        <f t="shared" si="184"/>
        <v>0.28562096950160398</v>
      </c>
      <c r="BV46" s="18">
        <f>BV50/BV7</f>
        <v>0.30054200933390529</v>
      </c>
      <c r="BW46" s="18">
        <f>BW50/BW7</f>
        <v>0.3344569289668155</v>
      </c>
      <c r="BY46" s="18">
        <f>BY50/BY7</f>
        <v>0.30299632118691339</v>
      </c>
      <c r="BZ46" s="18">
        <f>BZ50/BZ7</f>
        <v>0.33927403837172376</v>
      </c>
    </row>
    <row r="47" spans="2:81" s="16" customFormat="1" ht="13.5" customHeight="1">
      <c r="C47" s="30"/>
      <c r="D47" s="30"/>
      <c r="E47" s="30"/>
      <c r="F47" s="30"/>
      <c r="G47" s="30"/>
      <c r="H47" s="30"/>
      <c r="I47" s="30"/>
      <c r="J47" s="30"/>
      <c r="K47" s="30"/>
      <c r="L47" s="30"/>
      <c r="M47" s="30"/>
      <c r="N47" s="30"/>
      <c r="O47" s="30"/>
      <c r="S47"/>
      <c r="BV47" s="30"/>
      <c r="BW47" s="30"/>
      <c r="BY47" s="30"/>
      <c r="BZ47" s="30"/>
    </row>
    <row r="48" spans="2:81" ht="13.5" customHeight="1">
      <c r="B48" s="11" t="s">
        <v>262</v>
      </c>
      <c r="C48" s="31">
        <f>+C3</f>
        <v>42707</v>
      </c>
      <c r="D48" s="31">
        <f>+D3</f>
        <v>43073</v>
      </c>
      <c r="E48" s="31">
        <f>E3</f>
        <v>43438</v>
      </c>
      <c r="F48" s="31">
        <f>F3</f>
        <v>43803</v>
      </c>
      <c r="G48" s="31">
        <f>G3</f>
        <v>44169</v>
      </c>
      <c r="H48" s="31">
        <f>H3</f>
        <v>44561</v>
      </c>
      <c r="I48" s="31">
        <f>I3</f>
        <v>44926</v>
      </c>
      <c r="J48" s="31">
        <f>+J3</f>
        <v>44561</v>
      </c>
      <c r="K48" s="31">
        <f t="shared" ref="K48:Q48" si="185">K3</f>
        <v>44926</v>
      </c>
      <c r="L48" s="31">
        <f t="shared" si="185"/>
        <v>44926</v>
      </c>
      <c r="M48" s="31">
        <f t="shared" si="185"/>
        <v>45291</v>
      </c>
      <c r="N48" s="31">
        <f t="shared" si="185"/>
        <v>45291</v>
      </c>
      <c r="O48" s="31">
        <f t="shared" si="185"/>
        <v>45657</v>
      </c>
      <c r="P48" s="31">
        <f t="shared" si="185"/>
        <v>45657</v>
      </c>
      <c r="Q48" s="31">
        <f t="shared" si="185"/>
        <v>46022</v>
      </c>
      <c r="R48" s="31">
        <f>+R3</f>
        <v>46112</v>
      </c>
      <c r="T48" s="31">
        <f t="shared" ref="T48:BL48" si="186">+T3</f>
        <v>43190</v>
      </c>
      <c r="U48" s="31">
        <f t="shared" si="186"/>
        <v>43281</v>
      </c>
      <c r="V48" s="31">
        <f t="shared" si="186"/>
        <v>43373</v>
      </c>
      <c r="W48" s="31">
        <f t="shared" si="186"/>
        <v>43465</v>
      </c>
      <c r="X48" s="31">
        <f t="shared" si="186"/>
        <v>43555</v>
      </c>
      <c r="Y48" s="31">
        <f t="shared" si="186"/>
        <v>43646</v>
      </c>
      <c r="Z48" s="31">
        <f t="shared" si="186"/>
        <v>43738</v>
      </c>
      <c r="AA48" s="31">
        <f t="shared" si="186"/>
        <v>43830</v>
      </c>
      <c r="AB48" s="31">
        <f t="shared" si="186"/>
        <v>43921</v>
      </c>
      <c r="AC48" s="31">
        <f t="shared" si="186"/>
        <v>44012</v>
      </c>
      <c r="AD48" s="31">
        <f t="shared" si="186"/>
        <v>44104</v>
      </c>
      <c r="AE48" s="31">
        <f t="shared" si="186"/>
        <v>44196</v>
      </c>
      <c r="AF48" s="31">
        <f t="shared" si="186"/>
        <v>44286</v>
      </c>
      <c r="AG48" s="31">
        <f t="shared" si="186"/>
        <v>44377</v>
      </c>
      <c r="AH48" s="31">
        <f t="shared" si="186"/>
        <v>44469</v>
      </c>
      <c r="AI48" s="31">
        <f t="shared" si="186"/>
        <v>44561</v>
      </c>
      <c r="AJ48" s="222">
        <f t="shared" si="186"/>
        <v>44286</v>
      </c>
      <c r="AK48" s="222">
        <f t="shared" si="186"/>
        <v>44377</v>
      </c>
      <c r="AL48" s="222">
        <f t="shared" si="186"/>
        <v>44469</v>
      </c>
      <c r="AM48" s="31">
        <f t="shared" si="186"/>
        <v>44561</v>
      </c>
      <c r="AN48" s="31">
        <f t="shared" si="186"/>
        <v>44651</v>
      </c>
      <c r="AO48" s="31">
        <f t="shared" si="186"/>
        <v>44742</v>
      </c>
      <c r="AP48" s="31">
        <f t="shared" si="186"/>
        <v>44834</v>
      </c>
      <c r="AQ48" s="31">
        <f t="shared" si="186"/>
        <v>44926</v>
      </c>
      <c r="AR48" s="31">
        <f t="shared" si="186"/>
        <v>44651</v>
      </c>
      <c r="AS48" s="31">
        <f t="shared" si="186"/>
        <v>44742</v>
      </c>
      <c r="AT48" s="31">
        <f t="shared" si="186"/>
        <v>44834</v>
      </c>
      <c r="AU48" s="31">
        <f t="shared" si="186"/>
        <v>44926</v>
      </c>
      <c r="AV48" s="31">
        <f t="shared" si="186"/>
        <v>44834</v>
      </c>
      <c r="AW48" s="31">
        <f t="shared" si="186"/>
        <v>44926</v>
      </c>
      <c r="AX48" s="31">
        <f t="shared" si="186"/>
        <v>45016</v>
      </c>
      <c r="AY48" s="31">
        <f t="shared" si="186"/>
        <v>45016</v>
      </c>
      <c r="AZ48" s="31">
        <f t="shared" si="186"/>
        <v>45107</v>
      </c>
      <c r="BA48" s="31">
        <f t="shared" si="186"/>
        <v>45107</v>
      </c>
      <c r="BB48" s="31">
        <f t="shared" si="186"/>
        <v>45199</v>
      </c>
      <c r="BC48" s="31">
        <f t="shared" si="186"/>
        <v>45199</v>
      </c>
      <c r="BD48" s="31">
        <f t="shared" si="186"/>
        <v>45291</v>
      </c>
      <c r="BE48" s="31">
        <f t="shared" si="186"/>
        <v>45382</v>
      </c>
      <c r="BF48" s="31">
        <f t="shared" si="186"/>
        <v>45473</v>
      </c>
      <c r="BG48" s="31">
        <f t="shared" si="186"/>
        <v>45565</v>
      </c>
      <c r="BH48" s="31">
        <f t="shared" si="186"/>
        <v>45657</v>
      </c>
      <c r="BI48" s="31">
        <f t="shared" si="186"/>
        <v>45747</v>
      </c>
      <c r="BJ48" s="31">
        <f t="shared" si="186"/>
        <v>45838</v>
      </c>
      <c r="BK48" s="31">
        <f t="shared" si="186"/>
        <v>45930</v>
      </c>
      <c r="BL48" s="31">
        <f t="shared" si="186"/>
        <v>46022</v>
      </c>
      <c r="BM48" s="31">
        <f t="shared" ref="BM48" si="187">+BM3</f>
        <v>46112</v>
      </c>
      <c r="BO48" s="31">
        <f t="shared" ref="BO48:BT48" si="188">+BO3</f>
        <v>45291</v>
      </c>
      <c r="BP48" s="31">
        <f t="shared" si="188"/>
        <v>45382</v>
      </c>
      <c r="BQ48" s="31">
        <f t="shared" si="188"/>
        <v>45473</v>
      </c>
      <c r="BR48" s="31">
        <f t="shared" si="188"/>
        <v>45565</v>
      </c>
      <c r="BS48" s="31">
        <f t="shared" si="188"/>
        <v>45657</v>
      </c>
      <c r="BT48" s="31">
        <f t="shared" si="188"/>
        <v>45747</v>
      </c>
      <c r="BU48" s="16"/>
      <c r="BV48" s="31">
        <f>+BV3</f>
        <v>45473</v>
      </c>
      <c r="BW48" s="31">
        <f>+BW3</f>
        <v>45838</v>
      </c>
      <c r="BY48" s="31">
        <f>+BY3</f>
        <v>45565</v>
      </c>
      <c r="BZ48" s="31">
        <f>+BZ3</f>
        <v>45930</v>
      </c>
      <c r="CB48" s="16"/>
      <c r="CC48" s="16"/>
    </row>
    <row r="49" spans="2:81" s="6" customFormat="1" ht="13.5" customHeight="1">
      <c r="B49" s="23" t="s">
        <v>263</v>
      </c>
      <c r="C49" s="24">
        <f t="shared" ref="C49:R49" si="189">C19</f>
        <v>2727.2059999999983</v>
      </c>
      <c r="D49" s="24">
        <f t="shared" si="189"/>
        <v>3000.0570000000007</v>
      </c>
      <c r="E49" s="24">
        <f t="shared" si="189"/>
        <v>-2385.1270000000004</v>
      </c>
      <c r="F49" s="24">
        <f t="shared" si="189"/>
        <v>4232.1260000000002</v>
      </c>
      <c r="G49" s="24">
        <f t="shared" si="189"/>
        <v>2494.8839999999982</v>
      </c>
      <c r="H49" s="24">
        <f t="shared" si="189"/>
        <v>3818.0769999999975</v>
      </c>
      <c r="I49" s="24">
        <f t="shared" si="189"/>
        <v>3750.7729999999974</v>
      </c>
      <c r="J49" s="24">
        <f t="shared" si="189"/>
        <v>2426.7129999999961</v>
      </c>
      <c r="K49" s="24">
        <f t="shared" si="189"/>
        <v>-2045.492000000002</v>
      </c>
      <c r="L49" s="24">
        <f t="shared" si="189"/>
        <v>358.33899999999994</v>
      </c>
      <c r="M49" s="24">
        <f t="shared" si="189"/>
        <v>2658.5579999999973</v>
      </c>
      <c r="N49" s="24">
        <f t="shared" si="189"/>
        <v>1846.1510000000017</v>
      </c>
      <c r="O49" s="24">
        <f t="shared" si="189"/>
        <v>3556.0810000000019</v>
      </c>
      <c r="P49" s="24">
        <f t="shared" si="189"/>
        <v>1732.719000000001</v>
      </c>
      <c r="Q49" s="24">
        <f t="shared" si="189"/>
        <v>1296.0259999999998</v>
      </c>
      <c r="R49" s="14">
        <f t="shared" si="189"/>
        <v>1065.1669999999976</v>
      </c>
      <c r="S49" s="86"/>
      <c r="T49" s="24">
        <f t="shared" ref="T49:AI49" si="190">T19</f>
        <v>614.79099999999926</v>
      </c>
      <c r="U49" s="24">
        <f t="shared" si="190"/>
        <v>-2582.4730000000009</v>
      </c>
      <c r="V49" s="24">
        <f t="shared" si="190"/>
        <v>829.0059999999994</v>
      </c>
      <c r="W49" s="24">
        <f t="shared" si="190"/>
        <v>-1246.4509999999973</v>
      </c>
      <c r="X49" s="24">
        <f t="shared" si="190"/>
        <v>1231.1659999999993</v>
      </c>
      <c r="Y49" s="24">
        <f t="shared" si="190"/>
        <v>1114.8400000000001</v>
      </c>
      <c r="Z49" s="24">
        <f t="shared" si="190"/>
        <v>997.97199999999884</v>
      </c>
      <c r="AA49" s="24">
        <f t="shared" si="190"/>
        <v>888.14800000000196</v>
      </c>
      <c r="AB49" s="24">
        <f t="shared" si="190"/>
        <v>1136.1399999999994</v>
      </c>
      <c r="AC49" s="24">
        <f t="shared" si="190"/>
        <v>746.88399999999911</v>
      </c>
      <c r="AD49" s="24">
        <f t="shared" si="190"/>
        <v>1005.5330000000013</v>
      </c>
      <c r="AE49" s="24">
        <f t="shared" si="190"/>
        <v>-393.67300000000159</v>
      </c>
      <c r="AF49" s="24">
        <f t="shared" si="190"/>
        <v>874.84799999999996</v>
      </c>
      <c r="AG49" s="24">
        <f t="shared" si="190"/>
        <v>948.54700000000048</v>
      </c>
      <c r="AH49" s="24">
        <f t="shared" si="190"/>
        <v>1047.5710000000008</v>
      </c>
      <c r="AI49" s="24">
        <f t="shared" si="190"/>
        <v>947.11099999999897</v>
      </c>
      <c r="AJ49" s="220"/>
      <c r="AK49" s="220"/>
      <c r="AL49" s="220"/>
      <c r="AM49" s="24">
        <f t="shared" ref="AM49:BL49" si="191">AM19</f>
        <v>350.20199999999932</v>
      </c>
      <c r="AN49" s="24">
        <f t="shared" si="191"/>
        <v>854.23699999999917</v>
      </c>
      <c r="AO49" s="24">
        <f t="shared" si="191"/>
        <v>987.21500000000106</v>
      </c>
      <c r="AP49" s="24">
        <f t="shared" si="191"/>
        <v>1155.0159999999996</v>
      </c>
      <c r="AQ49" s="24">
        <f t="shared" si="191"/>
        <v>754.30500000000393</v>
      </c>
      <c r="AR49" s="24">
        <f t="shared" si="191"/>
        <v>438.4350000000004</v>
      </c>
      <c r="AS49" s="24">
        <f t="shared" si="191"/>
        <v>533.62400000000071</v>
      </c>
      <c r="AT49" s="24">
        <f t="shared" si="191"/>
        <v>946.65599999999995</v>
      </c>
      <c r="AU49" s="24">
        <f t="shared" si="191"/>
        <v>-3964.4470000000001</v>
      </c>
      <c r="AV49" s="24">
        <f t="shared" si="191"/>
        <v>605.03899999999976</v>
      </c>
      <c r="AW49" s="24">
        <f t="shared" si="191"/>
        <v>-1218.7590000000009</v>
      </c>
      <c r="AX49" s="24">
        <f t="shared" si="191"/>
        <v>626.95900000000165</v>
      </c>
      <c r="AY49" s="24">
        <f t="shared" si="191"/>
        <v>563.57599999999911</v>
      </c>
      <c r="AZ49" s="24">
        <f t="shared" si="191"/>
        <v>-207.03199999999924</v>
      </c>
      <c r="BA49" s="24">
        <f t="shared" si="191"/>
        <v>873.99999999999909</v>
      </c>
      <c r="BB49" s="24">
        <f t="shared" si="191"/>
        <v>1007.3069999999989</v>
      </c>
      <c r="BC49" s="24">
        <f t="shared" si="191"/>
        <v>693.003999999999</v>
      </c>
      <c r="BD49" s="24">
        <f t="shared" si="191"/>
        <v>1545.627</v>
      </c>
      <c r="BE49" s="24">
        <f t="shared" si="191"/>
        <v>936.5619999999999</v>
      </c>
      <c r="BF49" s="24">
        <f t="shared" si="191"/>
        <v>884.76800000000003</v>
      </c>
      <c r="BG49" s="24">
        <f t="shared" si="191"/>
        <v>461.87100000000009</v>
      </c>
      <c r="BH49" s="24">
        <f t="shared" si="191"/>
        <v>1272.880000000001</v>
      </c>
      <c r="BI49" s="24">
        <f t="shared" si="191"/>
        <v>790.65399999999954</v>
      </c>
      <c r="BJ49" s="24">
        <f t="shared" si="191"/>
        <v>131.9989999999998</v>
      </c>
      <c r="BK49" s="24">
        <f t="shared" si="191"/>
        <v>298.86599999999999</v>
      </c>
      <c r="BL49" s="24">
        <f t="shared" si="191"/>
        <v>74.506999999999493</v>
      </c>
      <c r="BM49" s="24">
        <f t="shared" ref="BM49" si="192">BM19</f>
        <v>559.79500000000053</v>
      </c>
      <c r="BO49" s="24">
        <f t="shared" ref="BO49:BT49" si="193">BO19</f>
        <v>-284.42899999999736</v>
      </c>
      <c r="BP49" s="24">
        <f t="shared" si="193"/>
        <v>997.29499999999916</v>
      </c>
      <c r="BQ49" s="24">
        <f t="shared" si="193"/>
        <v>450.66800000000012</v>
      </c>
      <c r="BR49" s="24">
        <f t="shared" si="193"/>
        <v>83.533000000000357</v>
      </c>
      <c r="BS49" s="24">
        <f t="shared" si="193"/>
        <v>201.22299999999905</v>
      </c>
      <c r="BT49" s="24">
        <f t="shared" si="193"/>
        <v>382.0659999999998</v>
      </c>
      <c r="BU49" s="16"/>
      <c r="BV49" s="24">
        <f>BV19</f>
        <v>942.79999999999927</v>
      </c>
      <c r="BW49" s="24">
        <f>BW19</f>
        <v>514.06400000000031</v>
      </c>
      <c r="BY49" s="24">
        <f>BY19</f>
        <v>1026.3369999999995</v>
      </c>
      <c r="BZ49" s="24">
        <f>BZ19</f>
        <v>812.93099999999868</v>
      </c>
      <c r="CB49" s="16"/>
      <c r="CC49" s="16"/>
    </row>
    <row r="50" spans="2:81" ht="13.5" customHeight="1">
      <c r="B50" s="25" t="s">
        <v>264</v>
      </c>
      <c r="C50" s="32">
        <f t="shared" ref="C50:Q50" si="194">-C9</f>
        <v>5666.5050000000001</v>
      </c>
      <c r="D50" s="32">
        <f t="shared" si="194"/>
        <v>5986.2129999999997</v>
      </c>
      <c r="E50" s="32">
        <f t="shared" si="194"/>
        <v>7644.8159999999998</v>
      </c>
      <c r="F50" s="32">
        <f t="shared" si="194"/>
        <v>7084.2359999999999</v>
      </c>
      <c r="G50" s="32">
        <f t="shared" si="194"/>
        <v>8484.9940000000006</v>
      </c>
      <c r="H50" s="32">
        <f t="shared" si="194"/>
        <v>8094.8680000000004</v>
      </c>
      <c r="I50" s="32">
        <f t="shared" si="194"/>
        <v>7070.9120000000003</v>
      </c>
      <c r="J50" s="32">
        <f t="shared" si="194"/>
        <v>6317.817</v>
      </c>
      <c r="K50" s="32">
        <f t="shared" si="194"/>
        <v>7070.9120000000003</v>
      </c>
      <c r="L50" s="32">
        <f t="shared" si="194"/>
        <v>7878.0029999999997</v>
      </c>
      <c r="M50" s="32">
        <f t="shared" si="194"/>
        <v>7199.9859999999999</v>
      </c>
      <c r="N50" s="32">
        <f t="shared" si="194"/>
        <v>8202.3819999999996</v>
      </c>
      <c r="O50" s="32">
        <f t="shared" si="194"/>
        <v>7341.1949999999997</v>
      </c>
      <c r="P50" s="32">
        <f t="shared" si="194"/>
        <v>3752.3090000000002</v>
      </c>
      <c r="Q50" s="32">
        <f t="shared" si="194"/>
        <v>3893.444</v>
      </c>
      <c r="R50" s="32">
        <f>-R9</f>
        <v>3007.4879999999998</v>
      </c>
      <c r="T50" s="32">
        <f t="shared" ref="T50:AI50" si="195">-T9</f>
        <v>1393.211</v>
      </c>
      <c r="U50" s="32">
        <f t="shared" si="195"/>
        <v>1489.038</v>
      </c>
      <c r="V50" s="32">
        <f t="shared" si="195"/>
        <v>1511.4459999999999</v>
      </c>
      <c r="W50" s="32">
        <f t="shared" si="195"/>
        <v>3251.1210000000001</v>
      </c>
      <c r="X50" s="32">
        <f t="shared" si="195"/>
        <v>1643.04</v>
      </c>
      <c r="Y50" s="32">
        <f t="shared" si="195"/>
        <v>1706.761</v>
      </c>
      <c r="Z50" s="32">
        <f t="shared" si="195"/>
        <v>1846.046</v>
      </c>
      <c r="AA50" s="32">
        <f t="shared" si="195"/>
        <v>1888.3889999999997</v>
      </c>
      <c r="AB50" s="32">
        <f t="shared" si="195"/>
        <v>1848.4690000000001</v>
      </c>
      <c r="AC50" s="32">
        <f t="shared" si="195"/>
        <v>1842.2280000000001</v>
      </c>
      <c r="AD50" s="32">
        <f t="shared" si="195"/>
        <v>1762.1420000000001</v>
      </c>
      <c r="AE50" s="32">
        <f t="shared" si="195"/>
        <v>3032.1550000000007</v>
      </c>
      <c r="AF50" s="32">
        <f t="shared" si="195"/>
        <v>1974.973</v>
      </c>
      <c r="AG50" s="32">
        <f t="shared" si="195"/>
        <v>1903.3920000000001</v>
      </c>
      <c r="AH50" s="32">
        <f t="shared" si="195"/>
        <v>1983.9739999999999</v>
      </c>
      <c r="AI50" s="32">
        <f t="shared" si="195"/>
        <v>2232.5290000000005</v>
      </c>
      <c r="AJ50" s="223"/>
      <c r="AK50" s="223"/>
      <c r="AL50" s="223"/>
      <c r="AM50" s="32">
        <f t="shared" ref="AM50:BL50" si="196">-AM9</f>
        <v>1636.1669999999999</v>
      </c>
      <c r="AN50" s="32">
        <f t="shared" si="196"/>
        <v>1860.5429999999999</v>
      </c>
      <c r="AO50" s="32">
        <f t="shared" si="196"/>
        <v>1879.377</v>
      </c>
      <c r="AP50" s="32">
        <f t="shared" si="196"/>
        <v>2101.4160000000002</v>
      </c>
      <c r="AQ50" s="32">
        <f t="shared" si="196"/>
        <v>1229.576</v>
      </c>
      <c r="AR50" s="32">
        <f t="shared" si="196"/>
        <v>1608.3520000000001</v>
      </c>
      <c r="AS50" s="32">
        <f t="shared" si="196"/>
        <v>1626.4639999999999</v>
      </c>
      <c r="AT50" s="32">
        <f t="shared" si="196"/>
        <v>1680.5060000000001</v>
      </c>
      <c r="AU50" s="32">
        <f t="shared" si="196"/>
        <v>2155.59</v>
      </c>
      <c r="AV50" s="32">
        <f t="shared" si="196"/>
        <v>1680.5060000000001</v>
      </c>
      <c r="AW50" s="32">
        <f t="shared" si="196"/>
        <v>2962.6809999999996</v>
      </c>
      <c r="AX50" s="32">
        <f t="shared" si="196"/>
        <v>1812.9059999999999</v>
      </c>
      <c r="AY50" s="32">
        <f t="shared" si="196"/>
        <v>1636.184</v>
      </c>
      <c r="AZ50" s="32">
        <f t="shared" si="196"/>
        <v>2697.0680000000002</v>
      </c>
      <c r="BA50" s="32">
        <f t="shared" si="196"/>
        <v>1814.3679999999999</v>
      </c>
      <c r="BB50" s="32">
        <f t="shared" si="196"/>
        <v>1859.5360000000001</v>
      </c>
      <c r="BC50" s="32">
        <f t="shared" si="196"/>
        <v>1859.5360000000001</v>
      </c>
      <c r="BD50" s="32">
        <f t="shared" si="196"/>
        <v>830.47599999999966</v>
      </c>
      <c r="BE50" s="32">
        <f t="shared" si="196"/>
        <v>1916.817</v>
      </c>
      <c r="BF50" s="32">
        <f t="shared" si="196"/>
        <v>1879.0540000000001</v>
      </c>
      <c r="BG50" s="32">
        <f t="shared" si="196"/>
        <v>1818.854</v>
      </c>
      <c r="BH50" s="32">
        <f t="shared" si="196"/>
        <v>1726.4699999999993</v>
      </c>
      <c r="BI50" s="32">
        <f t="shared" si="196"/>
        <v>1658.463</v>
      </c>
      <c r="BJ50" s="32">
        <f t="shared" si="196"/>
        <v>1133.367</v>
      </c>
      <c r="BK50" s="32">
        <f t="shared" si="196"/>
        <v>1019.063</v>
      </c>
      <c r="BL50" s="32">
        <f t="shared" si="196"/>
        <v>82.550999999999931</v>
      </c>
      <c r="BM50" s="32">
        <f t="shared" ref="BM50" si="197">-BM9</f>
        <v>772.50699999999995</v>
      </c>
      <c r="BO50" s="32">
        <f t="shared" ref="BO50:BT50" si="198">-BO9</f>
        <v>2892.2939999999999</v>
      </c>
      <c r="BP50" s="32">
        <f t="shared" si="198"/>
        <v>1897.248</v>
      </c>
      <c r="BQ50" s="32">
        <f t="shared" si="198"/>
        <v>972.91700000000003</v>
      </c>
      <c r="BR50" s="32">
        <f t="shared" si="198"/>
        <v>944.65599999999995</v>
      </c>
      <c r="BS50" s="32">
        <f t="shared" si="198"/>
        <v>-62.511999999999716</v>
      </c>
      <c r="BT50" s="32">
        <f t="shared" si="198"/>
        <v>825.97500000000002</v>
      </c>
      <c r="BV50" s="32">
        <f>-BV9</f>
        <v>1956.1510000000001</v>
      </c>
      <c r="BW50" s="32">
        <f>-BW9</f>
        <v>1959.3409999999999</v>
      </c>
      <c r="BY50" s="32">
        <f>-BY9</f>
        <v>2900.808</v>
      </c>
      <c r="BZ50" s="32">
        <f>-BZ9</f>
        <v>2978.404</v>
      </c>
      <c r="CB50" s="16"/>
      <c r="CC50" s="16"/>
    </row>
    <row r="51" spans="2:81" s="6" customFormat="1" ht="13.5" customHeight="1">
      <c r="B51" s="6" t="s">
        <v>262</v>
      </c>
      <c r="C51" s="24">
        <f t="shared" ref="C51:AA51" si="199">SUM(C49:C50)</f>
        <v>8393.7109999999993</v>
      </c>
      <c r="D51" s="24">
        <f t="shared" si="199"/>
        <v>8986.27</v>
      </c>
      <c r="E51" s="24">
        <f t="shared" si="199"/>
        <v>5259.6889999999994</v>
      </c>
      <c r="F51" s="24">
        <f t="shared" ref="F51:J51" si="200">SUM(F49:F50)</f>
        <v>11316.362000000001</v>
      </c>
      <c r="G51" s="24">
        <f t="shared" si="200"/>
        <v>10979.877999999999</v>
      </c>
      <c r="H51" s="24">
        <f t="shared" si="200"/>
        <v>11912.944999999998</v>
      </c>
      <c r="I51" s="24">
        <f t="shared" ref="I51:K51" si="201">SUM(I49:I50)</f>
        <v>10821.684999999998</v>
      </c>
      <c r="J51" s="24">
        <f t="shared" si="200"/>
        <v>8744.5299999999952</v>
      </c>
      <c r="K51" s="24">
        <f t="shared" si="201"/>
        <v>5025.4199999999983</v>
      </c>
      <c r="L51" s="24">
        <f t="shared" ref="L51:M51" si="202">SUM(L49:L50)</f>
        <v>8236.3420000000006</v>
      </c>
      <c r="M51" s="24">
        <f t="shared" si="202"/>
        <v>9858.5439999999981</v>
      </c>
      <c r="N51" s="24">
        <f t="shared" ref="N51" si="203">SUM(N49:N50)</f>
        <v>10048.533000000001</v>
      </c>
      <c r="O51" s="24">
        <f t="shared" ref="O51:P51" si="204">SUM(O49:O50)</f>
        <v>10897.276000000002</v>
      </c>
      <c r="P51" s="24">
        <f t="shared" si="204"/>
        <v>5485.0280000000012</v>
      </c>
      <c r="Q51" s="24">
        <f t="shared" ref="Q51" si="205">SUM(Q49:Q50)</f>
        <v>5189.4699999999993</v>
      </c>
      <c r="R51" s="14">
        <f t="shared" ref="R51" si="206">SUM(R49:R50)</f>
        <v>4072.6549999999975</v>
      </c>
      <c r="S51"/>
      <c r="T51" s="24">
        <f t="shared" ref="T51:W51" si="207">SUM(T49:T50)</f>
        <v>2008.0019999999993</v>
      </c>
      <c r="U51" s="24">
        <f t="shared" si="207"/>
        <v>-1093.4350000000009</v>
      </c>
      <c r="V51" s="24">
        <f t="shared" si="207"/>
        <v>2340.4519999999993</v>
      </c>
      <c r="W51" s="24">
        <f t="shared" si="207"/>
        <v>2004.6700000000028</v>
      </c>
      <c r="X51" s="24">
        <f t="shared" si="199"/>
        <v>2874.2059999999992</v>
      </c>
      <c r="Y51" s="24">
        <f t="shared" si="199"/>
        <v>2821.6010000000001</v>
      </c>
      <c r="Z51" s="24">
        <f t="shared" si="199"/>
        <v>2844.0179999999991</v>
      </c>
      <c r="AA51" s="24">
        <f t="shared" si="199"/>
        <v>2776.5370000000016</v>
      </c>
      <c r="AB51" s="24">
        <f>SUM(AB49:AB50)</f>
        <v>2984.6089999999995</v>
      </c>
      <c r="AC51" s="24">
        <f t="shared" ref="AC51" si="208">SUM(AC49:AC50)</f>
        <v>2589.1119999999992</v>
      </c>
      <c r="AD51" s="24">
        <f t="shared" ref="AD51:AE51" si="209">SUM(AD49:AD50)</f>
        <v>2767.6750000000011</v>
      </c>
      <c r="AE51" s="24">
        <f t="shared" si="209"/>
        <v>2638.4819999999991</v>
      </c>
      <c r="AF51" s="24">
        <f>SUM(AF49:AF50)</f>
        <v>2849.8209999999999</v>
      </c>
      <c r="AG51" s="24">
        <f t="shared" ref="AG51:AI51" si="210">SUM(AG49:AG50)</f>
        <v>2851.9390000000003</v>
      </c>
      <c r="AH51" s="24">
        <f t="shared" si="210"/>
        <v>3031.545000000001</v>
      </c>
      <c r="AI51" s="24">
        <f t="shared" si="210"/>
        <v>3179.6399999999994</v>
      </c>
      <c r="AJ51" s="220"/>
      <c r="AK51" s="220"/>
      <c r="AL51" s="220"/>
      <c r="AM51" s="24">
        <f t="shared" ref="AM51" si="211">SUM(AM49:AM50)</f>
        <v>1986.3689999999992</v>
      </c>
      <c r="AN51" s="24">
        <f>SUM(AN49:AN50)</f>
        <v>2714.7799999999988</v>
      </c>
      <c r="AO51" s="24">
        <f t="shared" ref="AO51:AP51" si="212">SUM(AO49:AO50)</f>
        <v>2866.592000000001</v>
      </c>
      <c r="AP51" s="24">
        <f t="shared" si="212"/>
        <v>3256.4319999999998</v>
      </c>
      <c r="AQ51" s="24">
        <f t="shared" ref="AQ51" si="213">SUM(AQ49:AQ50)</f>
        <v>1983.881000000004</v>
      </c>
      <c r="AR51" s="24">
        <f>SUM(AR49:AR50)</f>
        <v>2046.7870000000005</v>
      </c>
      <c r="AS51" s="24">
        <f t="shared" ref="AS51:AT51" si="214">SUM(AS49:AS50)</f>
        <v>2160.0880000000006</v>
      </c>
      <c r="AT51" s="24">
        <f t="shared" si="214"/>
        <v>2627.1620000000003</v>
      </c>
      <c r="AU51" s="24">
        <f t="shared" ref="AU51:AV51" si="215">SUM(AU49:AU50)</f>
        <v>-1808.857</v>
      </c>
      <c r="AV51" s="24">
        <f t="shared" si="215"/>
        <v>2285.5450000000001</v>
      </c>
      <c r="AW51" s="24">
        <f t="shared" ref="AW51" si="216">SUM(AW49:AW50)</f>
        <v>1743.9219999999987</v>
      </c>
      <c r="AX51" s="24">
        <f>SUM(AX49:AX50)</f>
        <v>2439.8650000000016</v>
      </c>
      <c r="AY51" s="24">
        <f>SUM(AY49:AY50)</f>
        <v>2199.7599999999993</v>
      </c>
      <c r="AZ51" s="24">
        <f>SUM(AZ49:AZ50)</f>
        <v>2490.036000000001</v>
      </c>
      <c r="BA51" s="24">
        <f>SUM(BA49:BA50)</f>
        <v>2688.367999999999</v>
      </c>
      <c r="BB51" s="24">
        <f t="shared" ref="BB51:BD51" si="217">SUM(BB49:BB50)</f>
        <v>2866.8429999999989</v>
      </c>
      <c r="BC51" s="24">
        <f t="shared" si="217"/>
        <v>2552.5399999999991</v>
      </c>
      <c r="BD51" s="24">
        <f t="shared" si="217"/>
        <v>2376.1029999999996</v>
      </c>
      <c r="BE51" s="24">
        <f>SUM(BE49:BE50)</f>
        <v>2853.3789999999999</v>
      </c>
      <c r="BF51" s="24">
        <f>SUM(BF49:BF50)</f>
        <v>2763.8220000000001</v>
      </c>
      <c r="BG51" s="24">
        <f t="shared" ref="BG51:BH51" si="218">SUM(BG49:BG50)</f>
        <v>2280.7250000000004</v>
      </c>
      <c r="BH51" s="24">
        <f t="shared" si="218"/>
        <v>2999.3500000000004</v>
      </c>
      <c r="BI51" s="24">
        <f>SUM(BI49:BI50)</f>
        <v>2449.1169999999993</v>
      </c>
      <c r="BJ51" s="24">
        <f>SUM(BJ49:BJ50)</f>
        <v>1265.3659999999998</v>
      </c>
      <c r="BK51" s="24">
        <f t="shared" ref="BK51:BL51" si="219">SUM(BK49:BK50)</f>
        <v>1317.9290000000001</v>
      </c>
      <c r="BL51" s="24">
        <f t="shared" si="219"/>
        <v>157.05799999999942</v>
      </c>
      <c r="BM51" s="24">
        <f>SUM(BM49:BM50)</f>
        <v>1332.3020000000006</v>
      </c>
      <c r="BO51" s="24">
        <f t="shared" ref="BO51" si="220">SUM(BO49:BO50)</f>
        <v>2607.8650000000025</v>
      </c>
      <c r="BP51" s="24">
        <f>SUM(BP49:BP50)</f>
        <v>2894.5429999999992</v>
      </c>
      <c r="BQ51" s="24">
        <f>SUM(BQ49:BQ50)</f>
        <v>1423.585</v>
      </c>
      <c r="BR51" s="24">
        <f>SUM(BR49:BR50)</f>
        <v>1028.1890000000003</v>
      </c>
      <c r="BS51" s="24">
        <f t="shared" ref="BS51" si="221">SUM(BS49:BS50)</f>
        <v>138.71099999999933</v>
      </c>
      <c r="BT51" s="24">
        <f>SUM(BT49:BT50)</f>
        <v>1208.0409999999997</v>
      </c>
      <c r="BV51" s="24">
        <f>SUM(BV49:BV50)</f>
        <v>2898.9509999999991</v>
      </c>
      <c r="BW51" s="24">
        <f>SUM(BW49:BW50)</f>
        <v>2473.4050000000002</v>
      </c>
      <c r="BY51" s="24">
        <f>SUM(BY49:BY50)</f>
        <v>3927.1449999999995</v>
      </c>
      <c r="BZ51" s="24">
        <f>SUM(BZ49:BZ50)</f>
        <v>3791.3349999999987</v>
      </c>
      <c r="CB51" s="16"/>
      <c r="CC51" s="16"/>
    </row>
    <row r="52" spans="2:81" s="16" customFormat="1" ht="13.5" customHeight="1">
      <c r="B52" s="17" t="s">
        <v>265</v>
      </c>
      <c r="C52" s="33"/>
      <c r="D52" s="33">
        <f t="shared" ref="D52:M52" si="222">+D51/C51-1</f>
        <v>7.0595592342886482E-2</v>
      </c>
      <c r="E52" s="33">
        <f t="shared" si="222"/>
        <v>-0.41469719917162529</v>
      </c>
      <c r="F52" s="33">
        <f t="shared" si="222"/>
        <v>1.1515268298182653</v>
      </c>
      <c r="G52" s="33">
        <f t="shared" si="222"/>
        <v>-2.9734290932015295E-2</v>
      </c>
      <c r="H52" s="33">
        <f t="shared" si="222"/>
        <v>8.497972381842489E-2</v>
      </c>
      <c r="I52" s="33">
        <f t="shared" si="222"/>
        <v>-9.1602874016458613E-2</v>
      </c>
      <c r="J52" s="33">
        <f>+J51/G51-1</f>
        <v>-0.20358586862258432</v>
      </c>
      <c r="K52" s="33">
        <f t="shared" si="222"/>
        <v>-0.42530702050310298</v>
      </c>
      <c r="L52" s="33">
        <f>+L51/J51-1</f>
        <v>-5.811495872276673E-2</v>
      </c>
      <c r="M52" s="33">
        <f t="shared" si="222"/>
        <v>0.1969566101067679</v>
      </c>
      <c r="N52" s="33">
        <f>+N51/L51-1</f>
        <v>0.22002376783285604</v>
      </c>
      <c r="O52" s="33">
        <f>+O51/N51-1</f>
        <v>8.4464369077555945E-2</v>
      </c>
      <c r="P52" s="33">
        <f>+P51/N51-1</f>
        <v>-0.45414639131901136</v>
      </c>
      <c r="Q52" s="33">
        <f>+Q51/P51-1</f>
        <v>-5.3884501592334932E-2</v>
      </c>
      <c r="R52" s="19"/>
      <c r="S52"/>
      <c r="T52" s="33"/>
      <c r="U52" s="33"/>
      <c r="V52" s="33"/>
      <c r="W52" s="33"/>
      <c r="X52" s="33"/>
      <c r="Y52" s="33"/>
      <c r="Z52" s="33"/>
      <c r="AA52" s="33"/>
      <c r="AB52" s="33">
        <f t="shared" ref="AB52:AI52" si="223">+AB51/X51-1</f>
        <v>3.8411651774437949E-2</v>
      </c>
      <c r="AC52" s="33">
        <f t="shared" si="223"/>
        <v>-8.2396129006192198E-2</v>
      </c>
      <c r="AD52" s="33">
        <f t="shared" si="223"/>
        <v>-2.6843360344413481E-2</v>
      </c>
      <c r="AE52" s="33">
        <f t="shared" si="223"/>
        <v>-4.9722009827350533E-2</v>
      </c>
      <c r="AF52" s="33">
        <f t="shared" si="223"/>
        <v>-4.5161024442397557E-2</v>
      </c>
      <c r="AG52" s="33">
        <f t="shared" si="223"/>
        <v>0.10151241043261217</v>
      </c>
      <c r="AH52" s="33">
        <f t="shared" si="223"/>
        <v>9.5339951403253576E-2</v>
      </c>
      <c r="AI52" s="33">
        <f t="shared" si="223"/>
        <v>0.20510202457322069</v>
      </c>
      <c r="AJ52" s="224"/>
      <c r="AK52" s="224"/>
      <c r="AL52" s="224"/>
      <c r="AM52" s="18">
        <f>AM51/AE51-1</f>
        <v>-0.2471546139029942</v>
      </c>
      <c r="AN52" s="18">
        <f>AN51/AF51-1</f>
        <v>-4.7385783177259611E-2</v>
      </c>
      <c r="AO52" s="18">
        <f>AO51/AG51-1</f>
        <v>5.1379079286060225E-3</v>
      </c>
      <c r="AP52" s="18">
        <f>AP51/AH51-1</f>
        <v>7.4182306381729068E-2</v>
      </c>
      <c r="AQ52" s="18">
        <f>AQ51/AI51-1</f>
        <v>-0.37606741643707953</v>
      </c>
      <c r="AR52" s="18">
        <f>AR51/AF51-1</f>
        <v>-0.28178401380297202</v>
      </c>
      <c r="AS52" s="18">
        <f>AS51/AG51-1</f>
        <v>-0.24258969073321679</v>
      </c>
      <c r="AT52" s="18">
        <f>AT51/AH51-1</f>
        <v>-0.13339171940380257</v>
      </c>
      <c r="AU52" s="18">
        <f>AU51/AM51-1</f>
        <v>-1.9106349323816474</v>
      </c>
      <c r="AV52" s="18">
        <f>AV51/AH51-1</f>
        <v>-0.24607914446264223</v>
      </c>
      <c r="AW52" s="18">
        <f>AW51/AM51-1</f>
        <v>-0.12205536836307884</v>
      </c>
      <c r="AX52" s="18">
        <f>AX51/AR51-1</f>
        <v>0.19204636339785286</v>
      </c>
      <c r="AY52" s="294">
        <f>AY51/AS51-1</f>
        <v>1.8365918425544914E-2</v>
      </c>
      <c r="AZ52" s="18">
        <f>AZ51/AS51-1</f>
        <v>0.15274748065819543</v>
      </c>
      <c r="BA52" s="18">
        <f>BA51/AT51-1</f>
        <v>2.3297383259958337E-2</v>
      </c>
      <c r="BB52" s="18">
        <f>BB51/AT51-1</f>
        <v>9.1231907282458558E-2</v>
      </c>
      <c r="BC52" s="18">
        <f>BC51/AV51-1</f>
        <v>0.11681896440455075</v>
      </c>
      <c r="BD52" s="18">
        <f>BD51/AW51-1</f>
        <v>0.36250531847181322</v>
      </c>
      <c r="BE52" s="18">
        <f>BE51/AW51-1</f>
        <v>0.63618498992500938</v>
      </c>
      <c r="BF52" s="18">
        <f>BF51/AZ51-1</f>
        <v>0.10995262719093168</v>
      </c>
      <c r="BG52" s="18">
        <f>BG51/AY51-1</f>
        <v>3.680628795868679E-2</v>
      </c>
      <c r="BH52" s="18">
        <f t="shared" ref="BH52:BM52" si="224">BH51/BO51-1</f>
        <v>0.15011704977059681</v>
      </c>
      <c r="BI52" s="18">
        <f t="shared" si="224"/>
        <v>-0.15388474104547767</v>
      </c>
      <c r="BJ52" s="18">
        <f t="shared" si="224"/>
        <v>-0.11114123849295987</v>
      </c>
      <c r="BK52" s="18">
        <f t="shared" si="224"/>
        <v>0.28179644014864946</v>
      </c>
      <c r="BL52" s="18">
        <f t="shared" si="224"/>
        <v>0.13226780860926812</v>
      </c>
      <c r="BM52" s="18">
        <f t="shared" si="224"/>
        <v>0.10286157506243665</v>
      </c>
      <c r="BO52" s="18">
        <f>BO51/AW51-1</f>
        <v>0.49540231730547846</v>
      </c>
      <c r="BP52" s="18">
        <f>BP51/AY51-1</f>
        <v>0.31584491035385676</v>
      </c>
      <c r="BQ52" s="18">
        <f>BQ51/BA51-1</f>
        <v>-0.47046498098474598</v>
      </c>
      <c r="BR52" s="18">
        <f>BR51/BC51-1</f>
        <v>-0.59718985794541879</v>
      </c>
      <c r="BS52" s="18">
        <f>BS51/BO51-1</f>
        <v>-0.94681051358103308</v>
      </c>
      <c r="BT52" s="18">
        <f>BT51/BP51-1</f>
        <v>-0.58264879810042558</v>
      </c>
      <c r="BV52" s="18"/>
      <c r="BW52" s="18">
        <f>BW51/BV51-1</f>
        <v>-0.14679309860704748</v>
      </c>
      <c r="BY52" s="18"/>
      <c r="BZ52" s="18">
        <f>BZ51/BY51-1</f>
        <v>-3.4582374727696763E-2</v>
      </c>
    </row>
    <row r="53" spans="2:81" s="16" customFormat="1" ht="13.5" customHeight="1">
      <c r="B53" s="17" t="s">
        <v>266</v>
      </c>
      <c r="C53" s="33">
        <f t="shared" ref="C53:R53" si="225">C51/C7</f>
        <v>0.38922135057874208</v>
      </c>
      <c r="D53" s="33">
        <f t="shared" si="225"/>
        <v>0.36825351734855927</v>
      </c>
      <c r="E53" s="33">
        <f t="shared" si="225"/>
        <v>0.22020167563287965</v>
      </c>
      <c r="F53" s="33">
        <f t="shared" si="225"/>
        <v>0.46032698930070937</v>
      </c>
      <c r="G53" s="33">
        <f t="shared" si="225"/>
        <v>0.45365452320276545</v>
      </c>
      <c r="H53" s="33">
        <f t="shared" si="225"/>
        <v>0.45994752798007732</v>
      </c>
      <c r="I53" s="33">
        <f t="shared" si="225"/>
        <v>0.39320125717607723</v>
      </c>
      <c r="J53" s="33">
        <f t="shared" si="225"/>
        <v>0.43734965766359785</v>
      </c>
      <c r="K53" s="33">
        <f t="shared" si="225"/>
        <v>0.23131185205011467</v>
      </c>
      <c r="L53" s="33">
        <f t="shared" si="225"/>
        <v>0.41139994046037326</v>
      </c>
      <c r="M53" s="33">
        <f t="shared" si="225"/>
        <v>0.44806942411257666</v>
      </c>
      <c r="N53" s="33">
        <f t="shared" si="225"/>
        <v>0.45023685916228667</v>
      </c>
      <c r="O53" s="33">
        <f t="shared" si="225"/>
        <v>0.487909687459606</v>
      </c>
      <c r="P53" s="33">
        <f t="shared" si="225"/>
        <v>0.43733566110063876</v>
      </c>
      <c r="Q53" s="33">
        <f t="shared" si="225"/>
        <v>0.44135663582836426</v>
      </c>
      <c r="R53" s="19">
        <f t="shared" si="225"/>
        <v>0.43010579513422831</v>
      </c>
      <c r="S53"/>
      <c r="T53" s="33">
        <f t="shared" ref="T53:AI53" si="226">T51/T7</f>
        <v>0.34932411591773416</v>
      </c>
      <c r="U53" s="33">
        <f t="shared" si="226"/>
        <v>-0.18636831192427575</v>
      </c>
      <c r="V53" s="33">
        <f t="shared" si="226"/>
        <v>0.38984974028362246</v>
      </c>
      <c r="W53" s="33">
        <f t="shared" si="226"/>
        <v>0.31987738940273641</v>
      </c>
      <c r="X53" s="33">
        <f t="shared" si="226"/>
        <v>0.48310554427250835</v>
      </c>
      <c r="Y53" s="33">
        <f t="shared" si="226"/>
        <v>0.45852746044844545</v>
      </c>
      <c r="Z53" s="33">
        <f t="shared" si="226"/>
        <v>0.45773406334265415</v>
      </c>
      <c r="AA53" s="33">
        <f t="shared" si="226"/>
        <v>0.44304035403183706</v>
      </c>
      <c r="AB53" s="33">
        <f t="shared" si="226"/>
        <v>0.49442018863648707</v>
      </c>
      <c r="AC53" s="33">
        <f t="shared" si="226"/>
        <v>0.44698324394630617</v>
      </c>
      <c r="AD53" s="33">
        <f t="shared" si="226"/>
        <v>0.45285182070917934</v>
      </c>
      <c r="AE53" s="33">
        <f t="shared" si="226"/>
        <v>0.42131341460844168</v>
      </c>
      <c r="AF53" s="33">
        <f t="shared" si="226"/>
        <v>0.4699558164313139</v>
      </c>
      <c r="AG53" s="33">
        <f t="shared" si="226"/>
        <v>0.44630836248275452</v>
      </c>
      <c r="AH53" s="33">
        <f t="shared" si="226"/>
        <v>0.46332907583307459</v>
      </c>
      <c r="AI53" s="33">
        <f t="shared" si="226"/>
        <v>0.46057608948355311</v>
      </c>
      <c r="AJ53" s="224"/>
      <c r="AK53" s="224"/>
      <c r="AL53" s="224"/>
      <c r="AM53" s="33">
        <f t="shared" ref="AM53:BL53" si="227">AM51/AM7</f>
        <v>0.37222562126801151</v>
      </c>
      <c r="AN53" s="33">
        <f t="shared" si="227"/>
        <v>0.41959823188769108</v>
      </c>
      <c r="AO53" s="33">
        <f t="shared" si="227"/>
        <v>0.42757788074055053</v>
      </c>
      <c r="AP53" s="33">
        <f t="shared" si="227"/>
        <v>0.44852470649357229</v>
      </c>
      <c r="AQ53" s="33">
        <f t="shared" si="227"/>
        <v>0.27991368998320182</v>
      </c>
      <c r="AR53" s="33">
        <f t="shared" si="227"/>
        <v>0.41068061293487623</v>
      </c>
      <c r="AS53" s="33">
        <f t="shared" si="227"/>
        <v>0.41559295098415538</v>
      </c>
      <c r="AT53" s="33">
        <f t="shared" si="227"/>
        <v>0.46017901558942026</v>
      </c>
      <c r="AU53" s="33">
        <f t="shared" si="227"/>
        <v>-0.31000119965724077</v>
      </c>
      <c r="AV53" s="33">
        <f t="shared" si="227"/>
        <v>0.42582111244902782</v>
      </c>
      <c r="AW53" s="33">
        <f t="shared" si="227"/>
        <v>0.39001682246418429</v>
      </c>
      <c r="AX53" s="33">
        <f t="shared" si="227"/>
        <v>0.45361476605197254</v>
      </c>
      <c r="AY53" s="296">
        <f t="shared" si="227"/>
        <v>0.44019604468717444</v>
      </c>
      <c r="AZ53" s="33">
        <f t="shared" si="227"/>
        <v>0.41538496955388982</v>
      </c>
      <c r="BA53" s="33">
        <f t="shared" si="227"/>
        <v>0.48073883450023491</v>
      </c>
      <c r="BB53" s="33">
        <f t="shared" si="227"/>
        <v>0.47701214642262879</v>
      </c>
      <c r="BC53" s="33">
        <f t="shared" si="227"/>
        <v>0.44815235080096411</v>
      </c>
      <c r="BD53" s="33">
        <f t="shared" si="227"/>
        <v>0.48164282543434145</v>
      </c>
      <c r="BE53" s="33">
        <f t="shared" si="227"/>
        <v>0.50394501388534685</v>
      </c>
      <c r="BF53" s="33">
        <f t="shared" si="227"/>
        <v>0.48018317631397806</v>
      </c>
      <c r="BG53" s="33">
        <f t="shared" si="227"/>
        <v>0.4285753478765863</v>
      </c>
      <c r="BH53" s="33">
        <f t="shared" si="227"/>
        <v>0.53606497371640027</v>
      </c>
      <c r="BI53" s="33">
        <f t="shared" si="227"/>
        <v>0.48126676566650872</v>
      </c>
      <c r="BJ53" s="33">
        <f t="shared" si="227"/>
        <v>0.42656347602951566</v>
      </c>
      <c r="BK53" s="33">
        <f t="shared" si="227"/>
        <v>0.45127136635073689</v>
      </c>
      <c r="BL53" s="33">
        <f t="shared" si="227"/>
        <v>0.20078982256478783</v>
      </c>
      <c r="BM53" s="33">
        <f t="shared" ref="BM53" si="228">BM51/BM7</f>
        <v>0.47584576520048699</v>
      </c>
      <c r="BO53" s="33">
        <f t="shared" ref="BO53:BT53" si="229">BO51/BO7</f>
        <v>0.43224936112292556</v>
      </c>
      <c r="BP53" s="33">
        <f t="shared" si="229"/>
        <v>0.50435987324018994</v>
      </c>
      <c r="BQ53" s="33">
        <f t="shared" si="229"/>
        <v>0.42883767979380871</v>
      </c>
      <c r="BR53" s="33">
        <f t="shared" si="229"/>
        <v>0.33546155658176624</v>
      </c>
      <c r="BS53" s="33">
        <f t="shared" si="229"/>
        <v>0.33165328124215304</v>
      </c>
      <c r="BT53" s="33">
        <f t="shared" si="229"/>
        <v>0.4177388439331543</v>
      </c>
      <c r="BV53" s="33">
        <f>BV51/BV7</f>
        <v>0.44539330476048822</v>
      </c>
      <c r="BW53" s="33">
        <f>BW51/BW7</f>
        <v>0.42220697693314557</v>
      </c>
      <c r="BY53" s="33">
        <f>BY51/BY7</f>
        <v>0.41019967118388423</v>
      </c>
      <c r="BZ53" s="33">
        <f>BZ51/BZ7</f>
        <v>0.43187611092049932</v>
      </c>
    </row>
    <row r="54" spans="2:81" s="16" customFormat="1" ht="13.5" customHeight="1">
      <c r="B54" s="28"/>
      <c r="C54" s="423"/>
      <c r="D54" s="423"/>
      <c r="E54" s="423"/>
      <c r="F54" s="423"/>
      <c r="G54" s="423"/>
      <c r="H54" s="423"/>
      <c r="I54" s="423"/>
      <c r="J54" s="423"/>
      <c r="K54" s="423"/>
      <c r="L54" s="423"/>
      <c r="M54" s="423"/>
      <c r="N54" s="423"/>
      <c r="O54" s="423"/>
      <c r="P54" s="423"/>
      <c r="Q54" s="423"/>
      <c r="R54" s="424"/>
      <c r="S54"/>
      <c r="T54" s="423"/>
      <c r="U54" s="423"/>
      <c r="V54" s="423"/>
      <c r="W54" s="423"/>
      <c r="X54" s="423"/>
      <c r="Y54" s="423"/>
      <c r="Z54" s="423"/>
      <c r="AA54" s="423"/>
      <c r="AB54" s="423"/>
      <c r="AC54" s="423"/>
      <c r="AD54" s="423"/>
      <c r="AE54" s="423"/>
      <c r="AF54" s="423"/>
      <c r="AG54" s="423"/>
      <c r="AH54" s="423"/>
      <c r="AI54" s="423"/>
      <c r="AJ54" s="423"/>
      <c r="AK54" s="423"/>
      <c r="AL54" s="423"/>
      <c r="AM54" s="423"/>
      <c r="AN54" s="423"/>
      <c r="AO54" s="423"/>
      <c r="AP54" s="423"/>
      <c r="AQ54" s="423"/>
      <c r="AR54" s="423"/>
      <c r="AS54" s="423"/>
      <c r="AT54" s="423"/>
      <c r="AU54" s="423"/>
      <c r="AV54" s="423"/>
      <c r="AW54" s="423"/>
      <c r="AX54" s="423"/>
      <c r="AY54" s="425"/>
      <c r="AZ54" s="423"/>
      <c r="BA54" s="423"/>
      <c r="BB54" s="423"/>
      <c r="BC54" s="423"/>
      <c r="BD54" s="423"/>
      <c r="BE54" s="423"/>
      <c r="BF54" s="423"/>
      <c r="BG54" s="423"/>
      <c r="BH54" s="423"/>
      <c r="BI54" s="423"/>
      <c r="BJ54" s="423"/>
      <c r="BK54" s="423"/>
      <c r="BL54" s="423"/>
      <c r="BM54" s="423"/>
      <c r="BO54" s="423"/>
      <c r="BP54" s="423"/>
      <c r="BQ54" s="423"/>
      <c r="BR54" s="423"/>
      <c r="BS54" s="423"/>
      <c r="BT54" s="423"/>
      <c r="BV54" s="423"/>
      <c r="BW54" s="423"/>
      <c r="BY54" s="423"/>
      <c r="BZ54" s="423"/>
    </row>
    <row r="55" spans="2:81" ht="13.5" customHeight="1">
      <c r="B55" s="387" t="s">
        <v>267</v>
      </c>
      <c r="C55" s="388">
        <f t="shared" ref="C55:X55" si="230">C59-C51</f>
        <v>-381.06299999999919</v>
      </c>
      <c r="D55" s="388">
        <f t="shared" si="230"/>
        <v>243.84799999999996</v>
      </c>
      <c r="E55" s="388">
        <f t="shared" ref="E55:J55" si="231">E59-E51</f>
        <v>3074.4450000000006</v>
      </c>
      <c r="F55" s="388">
        <f t="shared" si="231"/>
        <v>-697.21200000000135</v>
      </c>
      <c r="G55" s="388">
        <f t="shared" si="231"/>
        <v>-323.00299999999879</v>
      </c>
      <c r="H55" s="388">
        <f t="shared" si="231"/>
        <v>-508.92799999999806</v>
      </c>
      <c r="I55" s="388">
        <f t="shared" ref="I55:K55" si="232">I59-I51</f>
        <v>1612.3150000000023</v>
      </c>
      <c r="J55" s="388">
        <f t="shared" si="231"/>
        <v>157.72900000000482</v>
      </c>
      <c r="K55" s="388">
        <f t="shared" si="232"/>
        <v>4571.2250000000022</v>
      </c>
      <c r="L55" s="388">
        <f t="shared" ref="L55:M55" si="233">L59-L51</f>
        <v>383.57200000000012</v>
      </c>
      <c r="M55" s="388">
        <f t="shared" si="233"/>
        <v>-229.67199999999866</v>
      </c>
      <c r="N55" s="388">
        <f t="shared" ref="N55" si="234">N59-N51</f>
        <v>-139.23300000000199</v>
      </c>
      <c r="O55" s="388">
        <f t="shared" ref="O55:P55" si="235">O59-O51</f>
        <v>231.92399999999907</v>
      </c>
      <c r="P55" s="388">
        <f t="shared" si="235"/>
        <v>203.28899999999885</v>
      </c>
      <c r="Q55" s="388">
        <f t="shared" ref="Q55" si="236">Q59-Q51</f>
        <v>270.97300000000087</v>
      </c>
      <c r="R55" s="389">
        <f t="shared" ref="R55" si="237">R59-R51</f>
        <v>289.43600000000288</v>
      </c>
      <c r="T55" s="388">
        <f t="shared" ref="T55" si="238">T59-T51</f>
        <v>-2008.0019999999993</v>
      </c>
      <c r="U55" s="388">
        <f>U59-U51</f>
        <v>1093.4350000000009</v>
      </c>
      <c r="V55" s="388">
        <f>V59-V51</f>
        <v>-2340.4519999999993</v>
      </c>
      <c r="W55" s="388">
        <f>W59-W51</f>
        <v>6329.4639999999972</v>
      </c>
      <c r="X55" s="388">
        <f t="shared" si="230"/>
        <v>-452.43799999999919</v>
      </c>
      <c r="Y55" s="388">
        <f t="shared" ref="Y55:AD55" si="239">Y59-Y51</f>
        <v>-151.07400000000007</v>
      </c>
      <c r="Z55" s="388">
        <f t="shared" si="239"/>
        <v>-42.34099999999944</v>
      </c>
      <c r="AA55" s="388">
        <f t="shared" si="239"/>
        <v>-51.359000000001743</v>
      </c>
      <c r="AB55" s="388">
        <f t="shared" si="239"/>
        <v>-480.71599999999944</v>
      </c>
      <c r="AC55" s="388">
        <f>AC59-AC51</f>
        <v>-5.3619999999991705</v>
      </c>
      <c r="AD55" s="388">
        <f t="shared" si="239"/>
        <v>71.962999999998829</v>
      </c>
      <c r="AE55" s="388">
        <f t="shared" ref="AE55:AF55" si="240">AE59-AE51</f>
        <v>91.11200000000099</v>
      </c>
      <c r="AF55" s="388">
        <f t="shared" si="240"/>
        <v>-157.96599999999989</v>
      </c>
      <c r="AG55" s="388">
        <f>AG59-AG51</f>
        <v>-41.071000000000367</v>
      </c>
      <c r="AH55" s="388">
        <f t="shared" ref="AH55:AR55" si="241">AH59-AH51</f>
        <v>-172.15900000000011</v>
      </c>
      <c r="AI55" s="388">
        <f t="shared" si="241"/>
        <v>-137.73200000000043</v>
      </c>
      <c r="AJ55" s="388"/>
      <c r="AK55" s="388"/>
      <c r="AL55" s="388"/>
      <c r="AM55" s="388">
        <f t="shared" ref="AM55:AN55" si="242">AM59-AM51</f>
        <v>335.53100000000086</v>
      </c>
      <c r="AN55" s="388">
        <f t="shared" si="242"/>
        <v>183.68300000000136</v>
      </c>
      <c r="AO55" s="388">
        <f>AO59-AO51</f>
        <v>144.0079999999989</v>
      </c>
      <c r="AP55" s="388">
        <f t="shared" ref="AP55:AQ55" si="243">AP59-AP51</f>
        <v>-52.83199999999988</v>
      </c>
      <c r="AQ55" s="388">
        <f t="shared" si="243"/>
        <v>1337.4559999999956</v>
      </c>
      <c r="AR55" s="388">
        <f t="shared" si="241"/>
        <v>199.21299999999951</v>
      </c>
      <c r="AS55" s="388">
        <f>AS59-AS51</f>
        <v>169.86399999999958</v>
      </c>
      <c r="AT55" s="388">
        <f t="shared" ref="AT55:AX55" si="244">AT59-AT51</f>
        <v>-155.16200000000026</v>
      </c>
      <c r="AU55" s="388">
        <f t="shared" si="244"/>
        <v>4357.55</v>
      </c>
      <c r="AV55" s="388">
        <f t="shared" ref="AV55:AW55" si="245">AV59-AV51</f>
        <v>22.255000000000109</v>
      </c>
      <c r="AW55" s="388">
        <f t="shared" si="245"/>
        <v>-7.7599999999983993</v>
      </c>
      <c r="AX55" s="388">
        <f t="shared" si="244"/>
        <v>-23.134000000001379</v>
      </c>
      <c r="AY55" s="388">
        <f t="shared" ref="AY55" si="246">AY59-AY51</f>
        <v>-16.459999999999127</v>
      </c>
      <c r="AZ55" s="388">
        <f>AZ59-AZ51</f>
        <v>238.73699999999872</v>
      </c>
      <c r="BA55" s="388">
        <f>BA59-BA51</f>
        <v>-185.20899999999938</v>
      </c>
      <c r="BB55" s="388">
        <f t="shared" ref="BB55:BE55" si="247">BB59-BB51</f>
        <v>-152.84299999999894</v>
      </c>
      <c r="BC55" s="388">
        <f t="shared" si="247"/>
        <v>-14.539999999999054</v>
      </c>
      <c r="BD55" s="388">
        <f t="shared" si="247"/>
        <v>-430.73500000000013</v>
      </c>
      <c r="BE55" s="388">
        <f t="shared" si="247"/>
        <v>-116.50999999999976</v>
      </c>
      <c r="BF55" s="388">
        <f>BF59-BF51</f>
        <v>61.375999999999749</v>
      </c>
      <c r="BG55" s="388">
        <f t="shared" ref="BG55:BI55" si="248">BG59-BG51</f>
        <v>354.07499999999982</v>
      </c>
      <c r="BH55" s="388">
        <f t="shared" si="248"/>
        <v>-67.016999999999825</v>
      </c>
      <c r="BI55" s="388">
        <f t="shared" si="248"/>
        <v>5.0990000000006148</v>
      </c>
      <c r="BJ55" s="388">
        <f>BJ59-BJ51</f>
        <v>174.63400000000024</v>
      </c>
      <c r="BK55" s="388">
        <f>BK59-BK51</f>
        <v>44.471000000000004</v>
      </c>
      <c r="BL55" s="388">
        <f>BL59-BL51</f>
        <v>46.769000000000801</v>
      </c>
      <c r="BM55" s="388">
        <f>BM59-BM51</f>
        <v>23.561999999999443</v>
      </c>
      <c r="BN55" s="16"/>
      <c r="BO55" s="388">
        <f t="shared" ref="BO55:BP55" si="249">BO59-BO51</f>
        <v>76.97599999999693</v>
      </c>
      <c r="BP55" s="388">
        <f t="shared" si="249"/>
        <v>-90.996999999999389</v>
      </c>
      <c r="BQ55" s="388">
        <f t="shared" ref="BQ55:BT55" si="250">BQ59-BQ51</f>
        <v>89.414999999999964</v>
      </c>
      <c r="BR55" s="388">
        <f t="shared" si="250"/>
        <v>385.71099999999979</v>
      </c>
      <c r="BS55" s="388">
        <f t="shared" si="250"/>
        <v>-180.83999999999924</v>
      </c>
      <c r="BT55" s="388">
        <f t="shared" si="250"/>
        <v>11.128000000000384</v>
      </c>
      <c r="BU55" s="16"/>
      <c r="BV55" s="388">
        <f t="shared" ref="BV55" si="251">BV59-BV51</f>
        <v>6.7990000000008877</v>
      </c>
      <c r="BW55" s="388">
        <f t="shared" ref="BW55" si="252">BW59-BW51</f>
        <v>185.80999999999995</v>
      </c>
      <c r="BY55" s="388">
        <f t="shared" ref="BY55:BZ55" si="253">BY59-BY51</f>
        <v>392.45500000000084</v>
      </c>
      <c r="BZ55" s="388">
        <f t="shared" si="253"/>
        <v>230.30000000000155</v>
      </c>
      <c r="CB55" s="16"/>
      <c r="CC55" s="16"/>
    </row>
    <row r="56" spans="2:81" s="6" customFormat="1" ht="13.5" hidden="1" customHeight="1" outlineLevel="1">
      <c r="B56" s="6" t="s">
        <v>268</v>
      </c>
      <c r="C56" s="15">
        <v>8012.6480000000001</v>
      </c>
      <c r="D56" s="15">
        <v>9230.1180000000004</v>
      </c>
      <c r="E56" s="15">
        <v>8334.134</v>
      </c>
      <c r="F56" s="15">
        <v>9311.2999999999993</v>
      </c>
      <c r="G56" s="15">
        <v>10656.875</v>
      </c>
      <c r="H56" s="15">
        <v>11404.017</v>
      </c>
      <c r="I56" s="15">
        <v>9596.6450000000004</v>
      </c>
      <c r="J56" s="15">
        <v>8902.259</v>
      </c>
      <c r="K56" s="15">
        <v>9596.6450000000004</v>
      </c>
      <c r="L56" s="15">
        <v>8619.9140000000007</v>
      </c>
      <c r="M56" s="15">
        <v>9628.8719999999994</v>
      </c>
      <c r="N56" s="15">
        <v>9909.2999999999993</v>
      </c>
      <c r="O56" s="15">
        <v>11129.2</v>
      </c>
      <c r="P56" s="15">
        <v>5688.317</v>
      </c>
      <c r="Q56" s="15">
        <v>5460.4430000000002</v>
      </c>
      <c r="R56" s="14"/>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s="16"/>
      <c r="BO56"/>
      <c r="BP56"/>
      <c r="BQ56"/>
      <c r="BR56"/>
      <c r="BS56"/>
      <c r="BT56"/>
      <c r="BU56" s="16"/>
      <c r="BV56"/>
      <c r="BW56"/>
      <c r="BY56"/>
      <c r="BZ56"/>
      <c r="CB56" s="16"/>
      <c r="CC56" s="16"/>
    </row>
    <row r="57" spans="2:81" s="16" customFormat="1" ht="13.5" hidden="1" customHeight="1" outlineLevel="1">
      <c r="B57" s="17" t="s">
        <v>265</v>
      </c>
      <c r="C57" s="33"/>
      <c r="D57" s="33">
        <f t="shared" ref="D57:H57" si="254">+D56/C56-1</f>
        <v>0.15194352728336513</v>
      </c>
      <c r="E57" s="33">
        <f t="shared" si="254"/>
        <v>-9.7071781747535613E-2</v>
      </c>
      <c r="F57" s="33">
        <f t="shared" si="254"/>
        <v>0.1172486547492515</v>
      </c>
      <c r="G57" s="33">
        <f t="shared" si="254"/>
        <v>0.14450989657727709</v>
      </c>
      <c r="H57" s="33">
        <f t="shared" si="254"/>
        <v>7.01089202979297E-2</v>
      </c>
      <c r="I57" s="33">
        <f>+I56/H56-1</f>
        <v>-0.15848555820286825</v>
      </c>
      <c r="J57" s="33">
        <f>+J56/G56-1</f>
        <v>-0.16464639024104155</v>
      </c>
      <c r="K57" s="33">
        <f>+K56/J56-1</f>
        <v>7.8001100619516928E-2</v>
      </c>
      <c r="L57" s="33">
        <f>+L56/J56-1</f>
        <v>-3.1716107113935799E-2</v>
      </c>
      <c r="M57" s="33">
        <f>+M56/L56-1</f>
        <v>0.11704965966017733</v>
      </c>
      <c r="N57" s="33">
        <f>+N56/L56-1</f>
        <v>0.14958223481115929</v>
      </c>
      <c r="O57" s="33">
        <f>+O56/N56-1</f>
        <v>0.12310657665021774</v>
      </c>
      <c r="P57" s="33">
        <f>+P56/N56-1</f>
        <v>-0.42596177328368301</v>
      </c>
      <c r="Q57" s="33">
        <f>+Q56/P56-1</f>
        <v>-4.0060003688261347E-2</v>
      </c>
      <c r="R57" s="33"/>
      <c r="S57"/>
      <c r="T57" s="33"/>
      <c r="U57" s="33"/>
      <c r="V57" s="33"/>
      <c r="W57" s="33"/>
      <c r="X57" s="33"/>
      <c r="Y57" s="33"/>
      <c r="Z57" s="33"/>
      <c r="AA57" s="33"/>
      <c r="AB57" s="169"/>
      <c r="AC57" s="169"/>
      <c r="AD57" s="169"/>
      <c r="AE57" s="168"/>
      <c r="AF57" s="169"/>
      <c r="AG57" s="169"/>
      <c r="AH57" s="169"/>
      <c r="AI57" s="168"/>
      <c r="AJ57" s="225"/>
      <c r="AK57" s="225"/>
      <c r="AL57" s="225"/>
      <c r="AM57" s="169"/>
      <c r="AN57" s="169"/>
      <c r="AO57" s="169"/>
      <c r="AP57" s="169"/>
      <c r="AQ57" s="169"/>
      <c r="AR57" s="169"/>
      <c r="AS57" s="169"/>
      <c r="AT57" s="169"/>
      <c r="AU57" s="168"/>
      <c r="AV57" s="169"/>
      <c r="AW57" s="168"/>
      <c r="AX57" s="169"/>
      <c r="AY57" s="297"/>
      <c r="AZ57" s="169"/>
      <c r="BA57" s="169"/>
      <c r="BB57" s="169"/>
      <c r="BC57" s="169"/>
      <c r="BD57" s="168"/>
      <c r="BE57" s="33"/>
      <c r="BF57" s="33"/>
      <c r="BG57" s="33"/>
      <c r="BH57" s="355"/>
      <c r="BI57" s="33"/>
      <c r="BJ57" s="33"/>
      <c r="BK57" s="33"/>
      <c r="BL57" s="355"/>
      <c r="BM57" s="33"/>
      <c r="BO57" s="355"/>
      <c r="BP57" s="33"/>
      <c r="BQ57" s="33"/>
      <c r="BR57" s="33"/>
      <c r="BS57" s="355"/>
      <c r="BT57" s="33"/>
      <c r="BV57" s="33"/>
      <c r="BW57" s="33"/>
      <c r="BY57" s="33"/>
      <c r="BZ57" s="33"/>
    </row>
    <row r="58" spans="2:81" s="16" customFormat="1" ht="13.5" hidden="1" customHeight="1" outlineLevel="1">
      <c r="B58" s="17" t="s">
        <v>266</v>
      </c>
      <c r="C58" s="33">
        <f t="shared" ref="C58:Q58" si="255">C56/C7</f>
        <v>0.37155123356904435</v>
      </c>
      <c r="D58" s="33">
        <f t="shared" si="255"/>
        <v>0.37824630453372188</v>
      </c>
      <c r="E58" s="33">
        <f t="shared" si="255"/>
        <v>0.34891611875701284</v>
      </c>
      <c r="F58" s="33">
        <f t="shared" si="255"/>
        <v>0.37876507445375945</v>
      </c>
      <c r="G58" s="33">
        <f t="shared" si="255"/>
        <v>0.4403090404972142</v>
      </c>
      <c r="H58" s="33">
        <f t="shared" si="255"/>
        <v>0.44029829972292983</v>
      </c>
      <c r="I58" s="33">
        <f t="shared" si="255"/>
        <v>0.34868995712520895</v>
      </c>
      <c r="J58" s="33">
        <f t="shared" si="255"/>
        <v>0.44523832911347838</v>
      </c>
      <c r="K58" s="33">
        <f t="shared" si="255"/>
        <v>0.44171785212329984</v>
      </c>
      <c r="L58" s="33">
        <f t="shared" si="255"/>
        <v>0.43055911305935785</v>
      </c>
      <c r="M58" s="33">
        <f t="shared" si="255"/>
        <v>0.43763086434403647</v>
      </c>
      <c r="N58" s="33">
        <f t="shared" si="255"/>
        <v>0.44399835363996382</v>
      </c>
      <c r="O58" s="33">
        <f t="shared" si="255"/>
        <v>0.49829374732506054</v>
      </c>
      <c r="P58" s="33">
        <f t="shared" si="255"/>
        <v>0.45354442598014116</v>
      </c>
      <c r="Q58" s="33">
        <f t="shared" si="255"/>
        <v>0.46440248283785074</v>
      </c>
      <c r="R58" s="33"/>
      <c r="S58"/>
      <c r="T58" s="33">
        <f t="shared" ref="T58:AA58" si="256">T56/T7</f>
        <v>0</v>
      </c>
      <c r="U58" s="33">
        <f t="shared" si="256"/>
        <v>0</v>
      </c>
      <c r="V58" s="33">
        <f t="shared" si="256"/>
        <v>0</v>
      </c>
      <c r="W58" s="33">
        <f t="shared" si="256"/>
        <v>0</v>
      </c>
      <c r="X58" s="33">
        <f t="shared" si="256"/>
        <v>0</v>
      </c>
      <c r="Y58" s="33">
        <f t="shared" si="256"/>
        <v>0</v>
      </c>
      <c r="Z58" s="33">
        <f t="shared" si="256"/>
        <v>0</v>
      </c>
      <c r="AA58" s="33">
        <f t="shared" si="256"/>
        <v>0</v>
      </c>
      <c r="AB58" s="169"/>
      <c r="AC58" s="169"/>
      <c r="AD58" s="169"/>
      <c r="AE58" s="168"/>
      <c r="AF58" s="169"/>
      <c r="AG58" s="169"/>
      <c r="AH58" s="169"/>
      <c r="AI58" s="168"/>
      <c r="AJ58" s="225"/>
      <c r="AK58" s="225"/>
      <c r="AL58" s="225"/>
      <c r="AM58" s="169"/>
      <c r="AN58" s="169"/>
      <c r="AO58" s="169"/>
      <c r="AP58" s="169"/>
      <c r="AQ58" s="169"/>
      <c r="AR58" s="169"/>
      <c r="AS58" s="169"/>
      <c r="AT58" s="169"/>
      <c r="AU58" s="168"/>
      <c r="AV58" s="169"/>
      <c r="AW58" s="168"/>
      <c r="AX58" s="169"/>
      <c r="AY58" s="297"/>
      <c r="AZ58" s="169"/>
      <c r="BA58" s="169"/>
      <c r="BB58" s="169"/>
      <c r="BC58" s="169"/>
      <c r="BD58" s="168"/>
      <c r="BE58" s="33"/>
      <c r="BF58" s="33"/>
      <c r="BG58" s="33"/>
      <c r="BH58" s="355"/>
      <c r="BI58" s="33"/>
      <c r="BJ58" s="33"/>
      <c r="BK58" s="33"/>
      <c r="BL58" s="355"/>
      <c r="BM58" s="33"/>
      <c r="BO58" s="355"/>
      <c r="BP58" s="33"/>
      <c r="BQ58" s="33"/>
      <c r="BR58" s="33"/>
      <c r="BS58" s="355"/>
      <c r="BT58" s="33"/>
      <c r="BV58" s="33"/>
      <c r="BW58" s="33"/>
      <c r="BY58" s="33"/>
      <c r="BZ58" s="33"/>
    </row>
    <row r="59" spans="2:81" s="6" customFormat="1" ht="13.5" customHeight="1" collapsed="1">
      <c r="B59" s="6" t="s">
        <v>269</v>
      </c>
      <c r="C59" s="24">
        <f>+C56</f>
        <v>8012.6480000000001</v>
      </c>
      <c r="D59" s="24">
        <f>+D56</f>
        <v>9230.1180000000004</v>
      </c>
      <c r="E59" s="24">
        <f>+E56</f>
        <v>8334.134</v>
      </c>
      <c r="F59" s="15">
        <v>10619.15</v>
      </c>
      <c r="G59" s="15">
        <v>10656.875</v>
      </c>
      <c r="H59" s="15">
        <v>11404.017</v>
      </c>
      <c r="I59" s="15">
        <v>12434</v>
      </c>
      <c r="J59" s="15">
        <v>8902.259</v>
      </c>
      <c r="K59" s="15">
        <v>9596.6450000000004</v>
      </c>
      <c r="L59" s="15">
        <v>8619.9140000000007</v>
      </c>
      <c r="M59" s="15">
        <v>9628.8719999999994</v>
      </c>
      <c r="N59" s="15">
        <v>9909.2999999999993</v>
      </c>
      <c r="O59" s="15">
        <f>O56</f>
        <v>11129.2</v>
      </c>
      <c r="P59" s="15">
        <f>P56</f>
        <v>5688.317</v>
      </c>
      <c r="Q59" s="15">
        <f>Q56</f>
        <v>5460.4430000000002</v>
      </c>
      <c r="R59" s="14">
        <f>SUM(BJ59:BM59)</f>
        <v>4362.0910000000003</v>
      </c>
      <c r="S59"/>
      <c r="T59" s="35">
        <f>+T56</f>
        <v>0</v>
      </c>
      <c r="U59" s="35">
        <f t="shared" ref="U59:V59" si="257">+U56</f>
        <v>0</v>
      </c>
      <c r="V59" s="35">
        <f t="shared" si="257"/>
        <v>0</v>
      </c>
      <c r="W59" s="14">
        <f>E59-V59-U59-T59</f>
        <v>8334.134</v>
      </c>
      <c r="X59" s="34">
        <v>2421.768</v>
      </c>
      <c r="Y59" s="34">
        <f>5092.295-X59</f>
        <v>2670.527</v>
      </c>
      <c r="Z59" s="34">
        <f>7893.972-X59-Y59</f>
        <v>2801.6769999999997</v>
      </c>
      <c r="AA59" s="14">
        <f>F59-Z59-Y59-X59</f>
        <v>2725.1779999999999</v>
      </c>
      <c r="AB59" s="34">
        <v>2503.893</v>
      </c>
      <c r="AC59" s="34">
        <f>5087.643-AB59</f>
        <v>2583.75</v>
      </c>
      <c r="AD59" s="34">
        <f>7927.281-AB59-AC59</f>
        <v>2839.6379999999999</v>
      </c>
      <c r="AE59" s="14">
        <f>G59-AD59-AC59-AB59</f>
        <v>2729.5940000000001</v>
      </c>
      <c r="AF59" s="34">
        <v>2691.855</v>
      </c>
      <c r="AG59" s="34">
        <f>5502.723-AF59</f>
        <v>2810.8679999999999</v>
      </c>
      <c r="AH59" s="34">
        <f>8362.109-AF59-AG59</f>
        <v>2859.3860000000009</v>
      </c>
      <c r="AI59" s="14">
        <f>H59-AH59-AG59-AF59</f>
        <v>3041.907999999999</v>
      </c>
      <c r="AJ59" s="217"/>
      <c r="AK59" s="217"/>
      <c r="AL59" s="217"/>
      <c r="AM59" s="34">
        <v>2321.9</v>
      </c>
      <c r="AN59" s="34">
        <v>2898.4630000000002</v>
      </c>
      <c r="AO59" s="34">
        <v>3010.6</v>
      </c>
      <c r="AP59" s="34">
        <v>3203.6</v>
      </c>
      <c r="AQ59" s="34">
        <f>I59-SUM(AN59:AP59)</f>
        <v>3321.3369999999995</v>
      </c>
      <c r="AR59" s="34">
        <v>2246</v>
      </c>
      <c r="AS59" s="34">
        <f>4575.952-AR59</f>
        <v>2329.9520000000002</v>
      </c>
      <c r="AT59" s="34">
        <v>2472</v>
      </c>
      <c r="AU59" s="34">
        <f>K59-SUM(AR59:AT59)</f>
        <v>2548.6930000000002</v>
      </c>
      <c r="AV59" s="34">
        <v>2307.8000000000002</v>
      </c>
      <c r="AW59" s="34">
        <f>L59-AR59-AS59-AV59</f>
        <v>1736.1620000000003</v>
      </c>
      <c r="AX59" s="34">
        <v>2416.7310000000002</v>
      </c>
      <c r="AY59" s="298">
        <v>2183.3000000000002</v>
      </c>
      <c r="AZ59" s="34">
        <f>5145.504-AX59</f>
        <v>2728.7729999999997</v>
      </c>
      <c r="BA59" s="34">
        <f>4686.459-AY59</f>
        <v>2503.1589999999997</v>
      </c>
      <c r="BB59" s="34">
        <v>2714</v>
      </c>
      <c r="BC59" s="34">
        <v>2538</v>
      </c>
      <c r="BD59" s="265">
        <f>M59-SUM(AX59,AZ59,BC59)</f>
        <v>1945.3679999999995</v>
      </c>
      <c r="BE59" s="34">
        <v>2736.8690000000001</v>
      </c>
      <c r="BF59" s="34">
        <f>5562.067-BE59</f>
        <v>2825.1979999999999</v>
      </c>
      <c r="BG59" s="34">
        <v>2634.8</v>
      </c>
      <c r="BH59" s="265">
        <f>O59-SUM(BE59,BF59,BG59)</f>
        <v>2932.3330000000005</v>
      </c>
      <c r="BI59" s="34">
        <v>2454.2159999999999</v>
      </c>
      <c r="BJ59" s="34">
        <v>1440</v>
      </c>
      <c r="BK59" s="34">
        <v>1362.4</v>
      </c>
      <c r="BL59" s="390">
        <f>Q59-SUM(BI59,BJ59,BK59)</f>
        <v>203.82700000000023</v>
      </c>
      <c r="BM59" s="34">
        <v>1355.864</v>
      </c>
      <c r="BN59" s="16"/>
      <c r="BO59" s="24">
        <f>N59-SUM(AY59,BA59,BC59)</f>
        <v>2684.8409999999994</v>
      </c>
      <c r="BP59" s="34">
        <v>2803.5459999999998</v>
      </c>
      <c r="BQ59" s="34">
        <v>1513</v>
      </c>
      <c r="BR59" s="34">
        <v>1413.9</v>
      </c>
      <c r="BS59" s="24">
        <f>P59-SUM(BP59:BR59)</f>
        <v>-42.128999999999905</v>
      </c>
      <c r="BT59" s="34">
        <v>1219.1690000000001</v>
      </c>
      <c r="BU59" s="16"/>
      <c r="BV59" s="34">
        <v>2905.75</v>
      </c>
      <c r="BW59" s="34">
        <v>2659.2150000000001</v>
      </c>
      <c r="BX59" s="352"/>
      <c r="BY59" s="34">
        <v>4319.6000000000004</v>
      </c>
      <c r="BZ59" s="34">
        <v>4021.6350000000002</v>
      </c>
      <c r="CB59" s="16"/>
      <c r="CC59" s="16"/>
    </row>
    <row r="60" spans="2:81" s="16" customFormat="1" ht="13.5" customHeight="1">
      <c r="B60" s="17" t="s">
        <v>265</v>
      </c>
      <c r="C60" s="33"/>
      <c r="D60" s="33">
        <f>+D59/C59-1</f>
        <v>0.15194352728336513</v>
      </c>
      <c r="E60" s="33">
        <f>+E59/D59-1</f>
        <v>-9.7071781747535613E-2</v>
      </c>
      <c r="F60" s="33">
        <f>+F59/E59-1</f>
        <v>0.27417557721054164</v>
      </c>
      <c r="G60" s="33">
        <f>+G59/F59-1</f>
        <v>3.5525442243493632E-3</v>
      </c>
      <c r="H60" s="33">
        <f t="shared" ref="H60" si="258">+H59/G59-1</f>
        <v>7.01089202979297E-2</v>
      </c>
      <c r="I60" s="33">
        <f>+I59/H59-1</f>
        <v>9.0317560908581562E-2</v>
      </c>
      <c r="J60" s="33">
        <f>+J59/G59-1</f>
        <v>-0.16464639024104155</v>
      </c>
      <c r="K60" s="33">
        <f>+K59/J59-1</f>
        <v>7.8001100619516928E-2</v>
      </c>
      <c r="L60" s="33">
        <f>+L59/J59-1</f>
        <v>-3.1716107113935799E-2</v>
      </c>
      <c r="M60" s="33">
        <f>+M59/L59-1</f>
        <v>0.11704965966017733</v>
      </c>
      <c r="N60" s="33">
        <f>+N59/L59-1</f>
        <v>0.14958223481115929</v>
      </c>
      <c r="O60" s="33">
        <f>+O59/N59-1</f>
        <v>0.12310657665021774</v>
      </c>
      <c r="P60" s="33">
        <f>+P59/N59-1</f>
        <v>-0.42596177328368301</v>
      </c>
      <c r="Q60" s="33">
        <f>+Q59/P59-1</f>
        <v>-4.0060003688261347E-2</v>
      </c>
      <c r="R60" s="33"/>
      <c r="S60"/>
      <c r="T60" s="33"/>
      <c r="U60" s="33"/>
      <c r="V60" s="33"/>
      <c r="W60" s="33"/>
      <c r="X60" s="33"/>
      <c r="Y60" s="33"/>
      <c r="Z60" s="33"/>
      <c r="AA60" s="33"/>
      <c r="AB60" s="33">
        <f>+AB59/X59-1</f>
        <v>3.3911175636972768E-2</v>
      </c>
      <c r="AC60" s="33">
        <f t="shared" ref="AC60:AI60" si="259">+AC59/Y59-1</f>
        <v>-3.2494335387734385E-2</v>
      </c>
      <c r="AD60" s="33">
        <f t="shared" si="259"/>
        <v>1.3549384886266447E-2</v>
      </c>
      <c r="AE60" s="33">
        <f t="shared" si="259"/>
        <v>1.6204446094898461E-3</v>
      </c>
      <c r="AF60" s="33">
        <f>+AF59/AB59-1</f>
        <v>7.5067904259487062E-2</v>
      </c>
      <c r="AG60" s="33">
        <f>+AG59/AC59-1</f>
        <v>8.7902467343976776E-2</v>
      </c>
      <c r="AH60" s="33">
        <f t="shared" si="259"/>
        <v>6.9544075688523499E-3</v>
      </c>
      <c r="AI60" s="33">
        <f t="shared" si="259"/>
        <v>0.1144177485735971</v>
      </c>
      <c r="AJ60" s="224"/>
      <c r="AK60" s="224"/>
      <c r="AL60" s="224"/>
      <c r="AM60" s="18">
        <f>AM59/AE59-1</f>
        <v>-0.14936067415154042</v>
      </c>
      <c r="AN60" s="18">
        <f>AN59/AF59-1</f>
        <v>7.675301975775084E-2</v>
      </c>
      <c r="AO60" s="18">
        <f>AO59/AG59-1</f>
        <v>7.1057054262242181E-2</v>
      </c>
      <c r="AP60" s="18">
        <f>AP59/AH59-1</f>
        <v>0.12038038935631601</v>
      </c>
      <c r="AQ60" s="18">
        <f>AQ59/AI59-1</f>
        <v>9.1859780111693157E-2</v>
      </c>
      <c r="AR60" s="18">
        <f>AR59/AF59-1</f>
        <v>-0.16563113540662477</v>
      </c>
      <c r="AS60" s="18">
        <f>AS59/AG59-1</f>
        <v>-0.17109163432790142</v>
      </c>
      <c r="AT60" s="18">
        <f>AT59/AH59-1</f>
        <v>-0.13547873564464563</v>
      </c>
      <c r="AU60" s="18">
        <f>AU59/AM59-1</f>
        <v>9.7675610491408049E-2</v>
      </c>
      <c r="AV60" s="18">
        <f>AV59/AH59-1</f>
        <v>-0.19290365134333054</v>
      </c>
      <c r="AW60" s="18">
        <f>AW59/AM59-1</f>
        <v>-0.25226667815151371</v>
      </c>
      <c r="AX60" s="18">
        <f>AX59/AR59-1</f>
        <v>7.6015583259127384E-2</v>
      </c>
      <c r="AY60" s="294">
        <f>AY59/AS59-1</f>
        <v>-6.2942069192841732E-2</v>
      </c>
      <c r="AZ60" s="18">
        <f>AZ59/AS59-1</f>
        <v>0.17117133743527746</v>
      </c>
      <c r="BA60" s="18">
        <f>BA59/AT59-1</f>
        <v>1.2604773462782992E-2</v>
      </c>
      <c r="BB60" s="18">
        <f>BB59/AT59-1</f>
        <v>9.7896440129449758E-2</v>
      </c>
      <c r="BC60" s="18">
        <f>BC59/AV59-1</f>
        <v>9.9748678395008117E-2</v>
      </c>
      <c r="BD60" s="18">
        <f>BD59/AW59-1</f>
        <v>0.12049912392967888</v>
      </c>
      <c r="BE60" s="18">
        <f>BE59/AW59-1</f>
        <v>0.57639033684644625</v>
      </c>
      <c r="BF60" s="18">
        <f>BF59/AZ59-1</f>
        <v>3.5336394782563563E-2</v>
      </c>
      <c r="BG60" s="18">
        <f>BG59/AY59-1</f>
        <v>0.2067970503366463</v>
      </c>
      <c r="BH60" s="18">
        <f t="shared" ref="BH60:BM60" si="260">BH59/BO59-1</f>
        <v>9.2181250211837984E-2</v>
      </c>
      <c r="BI60" s="18">
        <f t="shared" si="260"/>
        <v>-0.12460291359585318</v>
      </c>
      <c r="BJ60" s="18">
        <f t="shared" si="260"/>
        <v>-4.8248512888301343E-2</v>
      </c>
      <c r="BK60" s="18">
        <f t="shared" si="260"/>
        <v>-3.6424075252846744E-2</v>
      </c>
      <c r="BL60" s="18">
        <f t="shared" si="260"/>
        <v>-5.8381637351943008</v>
      </c>
      <c r="BM60" s="18">
        <f t="shared" si="260"/>
        <v>0.11212145321936484</v>
      </c>
      <c r="BO60" s="18">
        <f>BO59/AW59-1</f>
        <v>0.54642308724646615</v>
      </c>
      <c r="BP60" s="18">
        <f>BP59/AY59-1</f>
        <v>0.28408647460266545</v>
      </c>
      <c r="BQ60" s="18">
        <f>BQ59/BA59-1</f>
        <v>-0.39556376562575524</v>
      </c>
      <c r="BR60" s="18">
        <f>BR59/BC59-1</f>
        <v>-0.44290780141843966</v>
      </c>
      <c r="BS60" s="18">
        <f>BS59/BO59-1</f>
        <v>-1.0156914320065882</v>
      </c>
      <c r="BT60" s="18">
        <f>BT59/BP59-1</f>
        <v>-0.56513322770519903</v>
      </c>
      <c r="BV60" s="18"/>
      <c r="BW60" s="18">
        <f>BW59/BV59-1</f>
        <v>-8.484384410221113E-2</v>
      </c>
      <c r="BY60" s="18"/>
      <c r="BZ60" s="18">
        <f>BZ59/BY59-1</f>
        <v>-6.8979766645059781E-2</v>
      </c>
    </row>
    <row r="61" spans="2:81" s="16" customFormat="1" ht="13.5" customHeight="1">
      <c r="B61" s="17" t="s">
        <v>266</v>
      </c>
      <c r="C61" s="33">
        <f t="shared" ref="C61:R61" si="261">C59/C7</f>
        <v>0.37155123356904435</v>
      </c>
      <c r="D61" s="33">
        <f t="shared" si="261"/>
        <v>0.37824630453372188</v>
      </c>
      <c r="E61" s="33">
        <f t="shared" si="261"/>
        <v>0.34891611875701284</v>
      </c>
      <c r="F61" s="33">
        <f t="shared" si="261"/>
        <v>0.43196579858726925</v>
      </c>
      <c r="G61" s="33">
        <f t="shared" si="261"/>
        <v>0.4403090404972142</v>
      </c>
      <c r="H61" s="33">
        <f t="shared" si="261"/>
        <v>0.44029829972292983</v>
      </c>
      <c r="I61" s="33">
        <f t="shared" si="261"/>
        <v>0.45178402732359568</v>
      </c>
      <c r="J61" s="33">
        <f t="shared" si="261"/>
        <v>0.44523832911347838</v>
      </c>
      <c r="K61" s="33">
        <f t="shared" si="261"/>
        <v>0.44171785212329984</v>
      </c>
      <c r="L61" s="33">
        <f t="shared" si="261"/>
        <v>0.43055911305935785</v>
      </c>
      <c r="M61" s="33">
        <f t="shared" si="261"/>
        <v>0.43763086434403647</v>
      </c>
      <c r="N61" s="33">
        <f t="shared" si="261"/>
        <v>0.44399835363996382</v>
      </c>
      <c r="O61" s="33">
        <f t="shared" si="261"/>
        <v>0.49829374732506054</v>
      </c>
      <c r="P61" s="33">
        <f t="shared" si="261"/>
        <v>0.45354442598014116</v>
      </c>
      <c r="Q61" s="33">
        <f t="shared" si="261"/>
        <v>0.46440248283785074</v>
      </c>
      <c r="R61" s="33">
        <f t="shared" si="261"/>
        <v>0.46067261233835483</v>
      </c>
      <c r="S61"/>
      <c r="T61" s="33">
        <f t="shared" ref="T61:AI61" si="262">T59/T7</f>
        <v>0</v>
      </c>
      <c r="U61" s="33">
        <f t="shared" si="262"/>
        <v>0</v>
      </c>
      <c r="V61" s="33">
        <f t="shared" si="262"/>
        <v>0</v>
      </c>
      <c r="W61" s="33">
        <f t="shared" si="262"/>
        <v>1.3298453245933652</v>
      </c>
      <c r="X61" s="33">
        <f t="shared" si="262"/>
        <v>0.40705834854625739</v>
      </c>
      <c r="Y61" s="33">
        <f t="shared" si="262"/>
        <v>0.43397700928267524</v>
      </c>
      <c r="Z61" s="33">
        <f t="shared" si="262"/>
        <v>0.45091943770526677</v>
      </c>
      <c r="AA61" s="33">
        <f t="shared" si="262"/>
        <v>0.43484521399130388</v>
      </c>
      <c r="AB61" s="33">
        <f t="shared" si="262"/>
        <v>0.41478640900217739</v>
      </c>
      <c r="AC61" s="33">
        <f t="shared" si="262"/>
        <v>0.44605755044442613</v>
      </c>
      <c r="AD61" s="33">
        <f t="shared" si="262"/>
        <v>0.46462653254264757</v>
      </c>
      <c r="AE61" s="33">
        <f t="shared" si="262"/>
        <v>0.43586219979318225</v>
      </c>
      <c r="AF61" s="33">
        <f t="shared" si="262"/>
        <v>0.44390609594066244</v>
      </c>
      <c r="AG61" s="33">
        <f t="shared" si="262"/>
        <v>0.43988104031508912</v>
      </c>
      <c r="AH61" s="33">
        <f t="shared" si="262"/>
        <v>0.43701699062030475</v>
      </c>
      <c r="AI61" s="33">
        <f t="shared" si="262"/>
        <v>0.44062538249887906</v>
      </c>
      <c r="AJ61" s="224"/>
      <c r="AK61" s="224"/>
      <c r="AL61" s="224"/>
      <c r="AM61" s="33">
        <f t="shared" ref="AM61:BL61" si="263">AM59/AM7</f>
        <v>0.43510076426998023</v>
      </c>
      <c r="AN61" s="33">
        <f t="shared" si="263"/>
        <v>0.44798840053039046</v>
      </c>
      <c r="AO61" s="33">
        <f t="shared" si="263"/>
        <v>0.44905796421587063</v>
      </c>
      <c r="AP61" s="33">
        <f t="shared" si="263"/>
        <v>0.44124789024392591</v>
      </c>
      <c r="AQ61" s="33">
        <f t="shared" si="263"/>
        <v>0.46862069617468771</v>
      </c>
      <c r="AR61" s="33">
        <f t="shared" si="263"/>
        <v>0.45065200074640488</v>
      </c>
      <c r="AS61" s="33">
        <f t="shared" si="263"/>
        <v>0.44827415703963658</v>
      </c>
      <c r="AT61" s="33">
        <f t="shared" si="263"/>
        <v>0.43300052548607459</v>
      </c>
      <c r="AU61" s="33">
        <f t="shared" si="263"/>
        <v>0.43679400171379612</v>
      </c>
      <c r="AV61" s="33">
        <f t="shared" si="263"/>
        <v>0.42996745341258491</v>
      </c>
      <c r="AW61" s="33">
        <f t="shared" si="263"/>
        <v>0.38828134889236088</v>
      </c>
      <c r="AX61" s="33">
        <f t="shared" si="263"/>
        <v>0.44931373956163517</v>
      </c>
      <c r="AY61" s="296">
        <f t="shared" si="263"/>
        <v>0.43690221858998635</v>
      </c>
      <c r="AZ61" s="33">
        <f t="shared" si="263"/>
        <v>0.45521080399017366</v>
      </c>
      <c r="BA61" s="33">
        <f t="shared" si="263"/>
        <v>0.44761942569944807</v>
      </c>
      <c r="BB61" s="33">
        <f t="shared" si="263"/>
        <v>0.45158069883527452</v>
      </c>
      <c r="BC61" s="33">
        <f t="shared" si="263"/>
        <v>0.44559954646463812</v>
      </c>
      <c r="BD61" s="33">
        <f t="shared" si="263"/>
        <v>0.39433161779163356</v>
      </c>
      <c r="BE61" s="33">
        <f t="shared" si="263"/>
        <v>0.48336778472378727</v>
      </c>
      <c r="BF61" s="33">
        <f t="shared" si="263"/>
        <v>0.49084657020455663</v>
      </c>
      <c r="BG61" s="33">
        <f t="shared" si="263"/>
        <v>0.49511025072519899</v>
      </c>
      <c r="BH61" s="33">
        <f t="shared" si="263"/>
        <v>0.52408722308924716</v>
      </c>
      <c r="BI61" s="33">
        <f t="shared" si="263"/>
        <v>0.48226875096902139</v>
      </c>
      <c r="BJ61" s="33">
        <f t="shared" si="263"/>
        <v>0.48543378396645925</v>
      </c>
      <c r="BK61" s="33">
        <f t="shared" si="263"/>
        <v>0.46649865775488963</v>
      </c>
      <c r="BL61" s="33">
        <f t="shared" si="263"/>
        <v>0.2605813595226808</v>
      </c>
      <c r="BM61" s="33">
        <f t="shared" ref="BM61" si="264">BM59/BM7</f>
        <v>0.48426118296586868</v>
      </c>
      <c r="BO61" s="33">
        <f t="shared" ref="BO61:BT61" si="265">BO59/BO7</f>
        <v>0.44500800730353574</v>
      </c>
      <c r="BP61" s="33">
        <f t="shared" si="265"/>
        <v>0.48850409380100479</v>
      </c>
      <c r="BQ61" s="33">
        <f t="shared" si="265"/>
        <v>0.45577286184388893</v>
      </c>
      <c r="BR61" s="33">
        <f t="shared" si="265"/>
        <v>0.46130535811116358</v>
      </c>
      <c r="BS61" s="33">
        <f t="shared" si="265"/>
        <v>-0.10072900552552215</v>
      </c>
      <c r="BT61" s="33">
        <f t="shared" si="265"/>
        <v>0.42158689036145292</v>
      </c>
      <c r="BV61" s="33">
        <f>BV59/BV7</f>
        <v>0.44643789953945034</v>
      </c>
      <c r="BW61" s="33">
        <f>BW59/BW7</f>
        <v>0.45392449928955214</v>
      </c>
      <c r="BY61" s="33">
        <f>BY59/BY7</f>
        <v>0.45119253290772471</v>
      </c>
      <c r="BZ61" s="33">
        <f>BZ59/BZ7</f>
        <v>0.45810989620852893</v>
      </c>
    </row>
    <row r="62" spans="2:81" ht="13.5" customHeight="1">
      <c r="C62" s="36"/>
      <c r="D62" s="36"/>
      <c r="E62" s="36"/>
      <c r="F62" s="36"/>
      <c r="G62" s="36"/>
      <c r="H62" s="36"/>
      <c r="I62" s="36"/>
      <c r="J62" s="36"/>
      <c r="K62" s="36"/>
      <c r="L62" s="36"/>
      <c r="M62" s="36"/>
      <c r="N62" s="36"/>
      <c r="O62" s="36"/>
      <c r="BU62" s="16"/>
      <c r="BV62" s="29"/>
      <c r="BW62" s="29"/>
      <c r="BX62" s="16"/>
      <c r="BY62" s="16"/>
      <c r="BZ62" s="16"/>
      <c r="CB62" s="16"/>
      <c r="CC62" s="16"/>
    </row>
    <row r="63" spans="2:81" ht="13.5" customHeight="1">
      <c r="B63" s="11" t="s">
        <v>270</v>
      </c>
      <c r="C63" s="31">
        <f>+C48</f>
        <v>42707</v>
      </c>
      <c r="D63" s="37">
        <f>+D48</f>
        <v>43073</v>
      </c>
      <c r="E63" s="37">
        <f>E3</f>
        <v>43438</v>
      </c>
      <c r="F63" s="37">
        <f>F3</f>
        <v>43803</v>
      </c>
      <c r="G63" s="37">
        <f>G3</f>
        <v>44169</v>
      </c>
      <c r="H63" s="37">
        <f>H3</f>
        <v>44561</v>
      </c>
      <c r="I63" s="37">
        <f>I3</f>
        <v>44926</v>
      </c>
      <c r="J63" s="31">
        <f>+J48</f>
        <v>44561</v>
      </c>
      <c r="K63" s="37">
        <f t="shared" ref="K63:Q63" si="266">K3</f>
        <v>44926</v>
      </c>
      <c r="L63" s="37">
        <f t="shared" si="266"/>
        <v>44926</v>
      </c>
      <c r="M63" s="37">
        <f t="shared" si="266"/>
        <v>45291</v>
      </c>
      <c r="N63" s="37">
        <f t="shared" si="266"/>
        <v>45291</v>
      </c>
      <c r="O63" s="37">
        <f t="shared" si="266"/>
        <v>45657</v>
      </c>
      <c r="P63" s="37">
        <f t="shared" si="266"/>
        <v>45657</v>
      </c>
      <c r="Q63" s="37">
        <f t="shared" si="266"/>
        <v>46022</v>
      </c>
      <c r="R63" s="31">
        <f>+R48</f>
        <v>46112</v>
      </c>
      <c r="T63" s="31">
        <f t="shared" ref="T63:BL63" si="267">+T48</f>
        <v>43190</v>
      </c>
      <c r="U63" s="31">
        <f t="shared" si="267"/>
        <v>43281</v>
      </c>
      <c r="V63" s="31">
        <f t="shared" si="267"/>
        <v>43373</v>
      </c>
      <c r="W63" s="31">
        <f t="shared" si="267"/>
        <v>43465</v>
      </c>
      <c r="X63" s="31">
        <f t="shared" si="267"/>
        <v>43555</v>
      </c>
      <c r="Y63" s="31">
        <f t="shared" si="267"/>
        <v>43646</v>
      </c>
      <c r="Z63" s="31">
        <f t="shared" si="267"/>
        <v>43738</v>
      </c>
      <c r="AA63" s="31">
        <f t="shared" si="267"/>
        <v>43830</v>
      </c>
      <c r="AB63" s="31">
        <f t="shared" si="267"/>
        <v>43921</v>
      </c>
      <c r="AC63" s="31">
        <f t="shared" si="267"/>
        <v>44012</v>
      </c>
      <c r="AD63" s="31">
        <f t="shared" si="267"/>
        <v>44104</v>
      </c>
      <c r="AE63" s="31">
        <f t="shared" si="267"/>
        <v>44196</v>
      </c>
      <c r="AF63" s="31">
        <f t="shared" si="267"/>
        <v>44286</v>
      </c>
      <c r="AG63" s="31">
        <f t="shared" si="267"/>
        <v>44377</v>
      </c>
      <c r="AH63" s="31">
        <f t="shared" si="267"/>
        <v>44469</v>
      </c>
      <c r="AI63" s="31">
        <f t="shared" si="267"/>
        <v>44561</v>
      </c>
      <c r="AJ63" s="222">
        <f t="shared" si="267"/>
        <v>44286</v>
      </c>
      <c r="AK63" s="222">
        <f t="shared" si="267"/>
        <v>44377</v>
      </c>
      <c r="AL63" s="222">
        <f t="shared" si="267"/>
        <v>44469</v>
      </c>
      <c r="AM63" s="222">
        <f t="shared" si="267"/>
        <v>44561</v>
      </c>
      <c r="AN63" s="31">
        <f t="shared" si="267"/>
        <v>44651</v>
      </c>
      <c r="AO63" s="31">
        <f t="shared" si="267"/>
        <v>44742</v>
      </c>
      <c r="AP63" s="31">
        <f t="shared" si="267"/>
        <v>44834</v>
      </c>
      <c r="AQ63" s="31">
        <f t="shared" si="267"/>
        <v>44926</v>
      </c>
      <c r="AR63" s="31">
        <f t="shared" si="267"/>
        <v>44651</v>
      </c>
      <c r="AS63" s="31">
        <f t="shared" si="267"/>
        <v>44742</v>
      </c>
      <c r="AT63" s="31">
        <f t="shared" si="267"/>
        <v>44834</v>
      </c>
      <c r="AU63" s="31">
        <f t="shared" si="267"/>
        <v>44926</v>
      </c>
      <c r="AV63" s="31">
        <f t="shared" si="267"/>
        <v>44834</v>
      </c>
      <c r="AW63" s="31">
        <f t="shared" si="267"/>
        <v>44926</v>
      </c>
      <c r="AX63" s="31">
        <f t="shared" si="267"/>
        <v>45016</v>
      </c>
      <c r="AY63" s="31">
        <f t="shared" si="267"/>
        <v>45016</v>
      </c>
      <c r="AZ63" s="31">
        <f t="shared" si="267"/>
        <v>45107</v>
      </c>
      <c r="BA63" s="31">
        <f t="shared" si="267"/>
        <v>45107</v>
      </c>
      <c r="BB63" s="31">
        <f t="shared" si="267"/>
        <v>45199</v>
      </c>
      <c r="BC63" s="31">
        <f t="shared" si="267"/>
        <v>45199</v>
      </c>
      <c r="BD63" s="31">
        <f t="shared" si="267"/>
        <v>45291</v>
      </c>
      <c r="BE63" s="31">
        <f t="shared" si="267"/>
        <v>45382</v>
      </c>
      <c r="BF63" s="31">
        <f t="shared" si="267"/>
        <v>45473</v>
      </c>
      <c r="BG63" s="31">
        <f t="shared" si="267"/>
        <v>45565</v>
      </c>
      <c r="BH63" s="31">
        <f t="shared" si="267"/>
        <v>45657</v>
      </c>
      <c r="BI63" s="31">
        <f t="shared" si="267"/>
        <v>45747</v>
      </c>
      <c r="BJ63" s="31">
        <f t="shared" si="267"/>
        <v>45838</v>
      </c>
      <c r="BK63" s="31">
        <f t="shared" si="267"/>
        <v>45930</v>
      </c>
      <c r="BL63" s="31">
        <f t="shared" si="267"/>
        <v>46022</v>
      </c>
      <c r="BM63" s="31">
        <f t="shared" ref="BM63" si="268">+BM48</f>
        <v>46112</v>
      </c>
      <c r="BO63" s="31">
        <f t="shared" ref="BO63:BT63" si="269">+BO48</f>
        <v>45291</v>
      </c>
      <c r="BP63" s="31">
        <f t="shared" si="269"/>
        <v>45382</v>
      </c>
      <c r="BQ63" s="31">
        <f t="shared" si="269"/>
        <v>45473</v>
      </c>
      <c r="BR63" s="31">
        <f t="shared" si="269"/>
        <v>45565</v>
      </c>
      <c r="BS63" s="31">
        <f t="shared" si="269"/>
        <v>45657</v>
      </c>
      <c r="BT63" s="31">
        <f t="shared" si="269"/>
        <v>45747</v>
      </c>
      <c r="BV63" s="31">
        <f>+BV48</f>
        <v>45473</v>
      </c>
      <c r="BW63" s="31">
        <f>+BW48</f>
        <v>45838</v>
      </c>
      <c r="BY63" s="31">
        <f>+BY48</f>
        <v>45565</v>
      </c>
      <c r="BZ63" s="31">
        <f>+BZ48</f>
        <v>45930</v>
      </c>
      <c r="CB63" s="16"/>
      <c r="CC63" s="16"/>
    </row>
    <row r="64" spans="2:81" s="6" customFormat="1" ht="13.5" customHeight="1">
      <c r="B64" s="6" t="s">
        <v>271</v>
      </c>
      <c r="C64" s="24">
        <f t="shared" ref="C64:R64" si="270">C59</f>
        <v>8012.6480000000001</v>
      </c>
      <c r="D64" s="24">
        <f t="shared" si="270"/>
        <v>9230.1180000000004</v>
      </c>
      <c r="E64" s="24">
        <f t="shared" si="270"/>
        <v>8334.134</v>
      </c>
      <c r="F64" s="24">
        <f t="shared" si="270"/>
        <v>10619.15</v>
      </c>
      <c r="G64" s="24">
        <f t="shared" si="270"/>
        <v>10656.875</v>
      </c>
      <c r="H64" s="24">
        <f t="shared" si="270"/>
        <v>11404.017</v>
      </c>
      <c r="I64" s="24">
        <f t="shared" si="270"/>
        <v>12434</v>
      </c>
      <c r="J64" s="24">
        <f t="shared" si="270"/>
        <v>8902.259</v>
      </c>
      <c r="K64" s="24">
        <f t="shared" si="270"/>
        <v>9596.6450000000004</v>
      </c>
      <c r="L64" s="24">
        <f t="shared" si="270"/>
        <v>8619.9140000000007</v>
      </c>
      <c r="M64" s="24">
        <f t="shared" si="270"/>
        <v>9628.8719999999994</v>
      </c>
      <c r="N64" s="24">
        <f t="shared" si="270"/>
        <v>9909.2999999999993</v>
      </c>
      <c r="O64" s="24">
        <f t="shared" si="270"/>
        <v>11129.2</v>
      </c>
      <c r="P64" s="24">
        <f t="shared" si="270"/>
        <v>5688.317</v>
      </c>
      <c r="Q64" s="24">
        <f t="shared" si="270"/>
        <v>5460.4430000000002</v>
      </c>
      <c r="R64" s="24">
        <f t="shared" si="270"/>
        <v>4362.0910000000003</v>
      </c>
      <c r="S64" s="24"/>
      <c r="T64" s="24">
        <f t="shared" ref="T64:AI64" si="271">T59</f>
        <v>0</v>
      </c>
      <c r="U64" s="24">
        <f t="shared" si="271"/>
        <v>0</v>
      </c>
      <c r="V64" s="24">
        <f t="shared" si="271"/>
        <v>0</v>
      </c>
      <c r="W64" s="24">
        <f t="shared" si="271"/>
        <v>8334.134</v>
      </c>
      <c r="X64" s="24">
        <f t="shared" si="271"/>
        <v>2421.768</v>
      </c>
      <c r="Y64" s="24">
        <f t="shared" si="271"/>
        <v>2670.527</v>
      </c>
      <c r="Z64" s="24">
        <f t="shared" si="271"/>
        <v>2801.6769999999997</v>
      </c>
      <c r="AA64" s="24">
        <f t="shared" si="271"/>
        <v>2725.1779999999999</v>
      </c>
      <c r="AB64" s="24">
        <f t="shared" si="271"/>
        <v>2503.893</v>
      </c>
      <c r="AC64" s="24">
        <f t="shared" si="271"/>
        <v>2583.75</v>
      </c>
      <c r="AD64" s="24">
        <f t="shared" si="271"/>
        <v>2839.6379999999999</v>
      </c>
      <c r="AE64" s="24">
        <f t="shared" si="271"/>
        <v>2729.5940000000001</v>
      </c>
      <c r="AF64" s="24">
        <f t="shared" si="271"/>
        <v>2691.855</v>
      </c>
      <c r="AG64" s="24">
        <f t="shared" si="271"/>
        <v>2810.8679999999999</v>
      </c>
      <c r="AH64" s="24">
        <f t="shared" si="271"/>
        <v>2859.3860000000009</v>
      </c>
      <c r="AI64" s="24">
        <f t="shared" si="271"/>
        <v>3041.907999999999</v>
      </c>
      <c r="AJ64" s="220"/>
      <c r="AK64" s="220"/>
      <c r="AL64" s="220"/>
      <c r="AM64" s="220"/>
      <c r="AN64" s="24">
        <f t="shared" ref="AN64:BL64" si="272">AN59</f>
        <v>2898.4630000000002</v>
      </c>
      <c r="AO64" s="24">
        <f t="shared" si="272"/>
        <v>3010.6</v>
      </c>
      <c r="AP64" s="24">
        <f t="shared" si="272"/>
        <v>3203.6</v>
      </c>
      <c r="AQ64" s="24">
        <f t="shared" si="272"/>
        <v>3321.3369999999995</v>
      </c>
      <c r="AR64" s="24">
        <f t="shared" si="272"/>
        <v>2246</v>
      </c>
      <c r="AS64" s="24">
        <f t="shared" si="272"/>
        <v>2329.9520000000002</v>
      </c>
      <c r="AT64" s="24">
        <f t="shared" si="272"/>
        <v>2472</v>
      </c>
      <c r="AU64" s="24">
        <f t="shared" si="272"/>
        <v>2548.6930000000002</v>
      </c>
      <c r="AV64" s="24">
        <f t="shared" si="272"/>
        <v>2307.8000000000002</v>
      </c>
      <c r="AW64" s="24">
        <f t="shared" si="272"/>
        <v>1736.1620000000003</v>
      </c>
      <c r="AX64" s="24">
        <f t="shared" si="272"/>
        <v>2416.7310000000002</v>
      </c>
      <c r="AY64" s="24">
        <f t="shared" si="272"/>
        <v>2183.3000000000002</v>
      </c>
      <c r="AZ64" s="24">
        <f t="shared" si="272"/>
        <v>2728.7729999999997</v>
      </c>
      <c r="BA64" s="24">
        <f t="shared" si="272"/>
        <v>2503.1589999999997</v>
      </c>
      <c r="BB64" s="24">
        <f t="shared" si="272"/>
        <v>2714</v>
      </c>
      <c r="BC64" s="24">
        <f t="shared" si="272"/>
        <v>2538</v>
      </c>
      <c r="BD64" s="24">
        <f t="shared" si="272"/>
        <v>1945.3679999999995</v>
      </c>
      <c r="BE64" s="24">
        <f t="shared" si="272"/>
        <v>2736.8690000000001</v>
      </c>
      <c r="BF64" s="24">
        <f t="shared" si="272"/>
        <v>2825.1979999999999</v>
      </c>
      <c r="BG64" s="24">
        <f t="shared" si="272"/>
        <v>2634.8</v>
      </c>
      <c r="BH64" s="24">
        <f t="shared" si="272"/>
        <v>2932.3330000000005</v>
      </c>
      <c r="BI64" s="24">
        <f t="shared" si="272"/>
        <v>2454.2159999999999</v>
      </c>
      <c r="BJ64" s="24">
        <f t="shared" si="272"/>
        <v>1440</v>
      </c>
      <c r="BK64" s="24">
        <f t="shared" si="272"/>
        <v>1362.4</v>
      </c>
      <c r="BL64" s="24">
        <f t="shared" si="272"/>
        <v>203.82700000000023</v>
      </c>
      <c r="BM64" s="24">
        <f t="shared" ref="BM64" si="273">BM59</f>
        <v>1355.864</v>
      </c>
      <c r="BO64" s="24">
        <f t="shared" ref="BO64:BT64" si="274">BO59</f>
        <v>2684.8409999999994</v>
      </c>
      <c r="BP64" s="24">
        <f t="shared" si="274"/>
        <v>2803.5459999999998</v>
      </c>
      <c r="BQ64" s="24">
        <f t="shared" si="274"/>
        <v>1513</v>
      </c>
      <c r="BR64" s="24">
        <f t="shared" si="274"/>
        <v>1413.9</v>
      </c>
      <c r="BS64" s="24">
        <f t="shared" si="274"/>
        <v>-42.128999999999905</v>
      </c>
      <c r="BT64" s="24">
        <f t="shared" si="274"/>
        <v>1219.1690000000001</v>
      </c>
      <c r="BV64" s="24">
        <f>BV59</f>
        <v>2905.75</v>
      </c>
      <c r="BW64" s="24">
        <f>BW59</f>
        <v>2659.2150000000001</v>
      </c>
      <c r="BY64" s="24">
        <f>BY59</f>
        <v>4319.6000000000004</v>
      </c>
      <c r="BZ64" s="24">
        <f>BZ59</f>
        <v>4021.6350000000002</v>
      </c>
      <c r="CA64" s="10"/>
      <c r="CB64" s="16"/>
      <c r="CC64" s="16"/>
    </row>
    <row r="65" spans="2:81" ht="13.5" customHeight="1">
      <c r="B65" s="25" t="s">
        <v>272</v>
      </c>
      <c r="C65" s="22">
        <f>21480.09-12804.218</f>
        <v>8675.8719999999994</v>
      </c>
      <c r="D65" s="22">
        <f>23648.914-15884.795</f>
        <v>7764.1190000000006</v>
      </c>
      <c r="E65" s="22">
        <f>24430.358-16116.096</f>
        <v>8314.2620000000006</v>
      </c>
      <c r="F65" s="22">
        <f>24875.636-13413.645</f>
        <v>11461.990999999998</v>
      </c>
      <c r="G65" s="22">
        <f>24167.782-15053.69</f>
        <v>9114.0919999999987</v>
      </c>
      <c r="H65" s="22">
        <f>25321.996-14459.604</f>
        <v>10862.392</v>
      </c>
      <c r="I65" s="22">
        <f>24059.934-12769.56</f>
        <v>11290.374000000002</v>
      </c>
      <c r="J65" s="22">
        <f>25250.051-14438.737</f>
        <v>10811.314</v>
      </c>
      <c r="K65" s="22">
        <f>24059.934-12769.56</f>
        <v>11290.374000000002</v>
      </c>
      <c r="L65" s="22">
        <f>23956.521-12524.399</f>
        <v>11432.122000000001</v>
      </c>
      <c r="M65" s="22">
        <f>21975.889-11319.163</f>
        <v>10656.725999999999</v>
      </c>
      <c r="N65" s="22">
        <f>21978.081-11142.145</f>
        <v>10835.935999999998</v>
      </c>
      <c r="O65" s="22">
        <f>21486.096-9786.369</f>
        <v>11699.727000000001</v>
      </c>
      <c r="P65" s="22">
        <f>21720.526-9879.624</f>
        <v>11840.902000000002</v>
      </c>
      <c r="Q65" s="22">
        <f>12752.577-6840.741</f>
        <v>5911.8359999999993</v>
      </c>
      <c r="R65" s="21">
        <f>BJ65+BK65+BL65+BM65</f>
        <v>4343.4719999999998</v>
      </c>
      <c r="S65" s="32"/>
      <c r="T65" s="22">
        <f>5831.317-4373.928</f>
        <v>1457.3890000000001</v>
      </c>
      <c r="U65" s="22">
        <f>11153.032-6911.632-T65</f>
        <v>2784.0109999999995</v>
      </c>
      <c r="V65" s="22">
        <f>16960.672-10418.513-T65-U65</f>
        <v>2300.7589999999982</v>
      </c>
      <c r="W65" s="21">
        <f>+E65-T65-U65-V65</f>
        <v>1772.1030000000028</v>
      </c>
      <c r="X65" s="22">
        <f>5905.106-3548.173</f>
        <v>2356.933</v>
      </c>
      <c r="Y65" s="22">
        <f>12162.747-7467.935-X65</f>
        <v>2337.878999999999</v>
      </c>
      <c r="Z65" s="22">
        <f>18633.972-10442.32-X65-Y65</f>
        <v>3496.8400000000029</v>
      </c>
      <c r="AA65" s="21">
        <f>+F65-X65-Y65-Z65</f>
        <v>3270.3389999999954</v>
      </c>
      <c r="AB65" s="22">
        <f>5973.926-3540.341</f>
        <v>2433.5850000000005</v>
      </c>
      <c r="AC65" s="22">
        <f>11043.202-5262.221-AB65</f>
        <v>3347.3959999999993</v>
      </c>
      <c r="AD65" s="22">
        <f>18092.279-10347.167-AB65-AC65</f>
        <v>1964.1309999999989</v>
      </c>
      <c r="AE65" s="21">
        <f>+G65-AB65-AC65-AD65</f>
        <v>1368.9799999999996</v>
      </c>
      <c r="AF65" s="22">
        <f>5784.876-3687.727</f>
        <v>2097.1490000000003</v>
      </c>
      <c r="AG65" s="22">
        <f>12151.134-6739.762-AF65</f>
        <v>3314.223</v>
      </c>
      <c r="AH65" s="22">
        <f>18615.589-9720.797-AF65-AG65</f>
        <v>3483.4199999999992</v>
      </c>
      <c r="AI65" s="21">
        <f>+H65-AF65-AG65-AH65</f>
        <v>1967.5999999999995</v>
      </c>
      <c r="AJ65" s="219"/>
      <c r="AK65" s="219"/>
      <c r="AL65" s="219"/>
      <c r="AM65" s="221"/>
      <c r="AN65" s="22">
        <f>6629.055-3766.079</f>
        <v>2862.9760000000001</v>
      </c>
      <c r="AO65" s="22">
        <f>13412.632-7521.492-AN65</f>
        <v>3028.1639999999993</v>
      </c>
      <c r="AP65" s="22">
        <f>20501.119-11570.153-AN65-AO65</f>
        <v>3039.8259999999987</v>
      </c>
      <c r="AQ65" s="22">
        <f>I65-SUM(AN65:AP65)</f>
        <v>2359.4080000000031</v>
      </c>
      <c r="AR65" s="22">
        <f>6629.055-3766.079</f>
        <v>2862.9760000000001</v>
      </c>
      <c r="AS65" s="22">
        <f>13412.632-7521.492-AR65</f>
        <v>3028.1639999999993</v>
      </c>
      <c r="AT65" s="22">
        <f>20501.119-11570.153-AR65-AS65</f>
        <v>3039.8259999999987</v>
      </c>
      <c r="AU65" s="21">
        <f>K65-AR65-AS65-AT65</f>
        <v>2359.4080000000035</v>
      </c>
      <c r="AV65" s="22">
        <f>20501.119-11570.153-AR65-AS65</f>
        <v>3039.8259999999987</v>
      </c>
      <c r="AW65" s="21">
        <f>L65-AR65-AS65-AV65</f>
        <v>2501.1560000000031</v>
      </c>
      <c r="AX65" s="22">
        <f>5213.016-3022.465</f>
        <v>2190.5509999999995</v>
      </c>
      <c r="AY65" s="22">
        <f>5213.016-3022.465</f>
        <v>2190.5509999999995</v>
      </c>
      <c r="AZ65" s="22">
        <f>10862.801-6222.873-AX65</f>
        <v>2449.3770000000004</v>
      </c>
      <c r="BA65" s="22">
        <f>10862.801-6222.873-AY65</f>
        <v>2449.3770000000004</v>
      </c>
      <c r="BB65" s="22">
        <f>17000.952-9032.179-AX65-AZ65</f>
        <v>3328.8450000000012</v>
      </c>
      <c r="BC65" s="22">
        <f>17000.952-9032.179-AX65-AZ65</f>
        <v>3328.8450000000012</v>
      </c>
      <c r="BD65" s="21">
        <f>M65-AZ65-AX65-BC65</f>
        <v>2687.9529999999977</v>
      </c>
      <c r="BE65" s="293">
        <f>5436.013-2567.969</f>
        <v>2868.0439999999999</v>
      </c>
      <c r="BF65" s="22">
        <f>11389.042-5326.859-BE65</f>
        <v>3194.1389999999992</v>
      </c>
      <c r="BG65" s="22">
        <f>16943.202-8065.736-BF65-BE65</f>
        <v>2815.2830000000013</v>
      </c>
      <c r="BH65" s="32">
        <f t="shared" ref="BH65:BH80" si="275">O65-SUM(BE65:BG65)</f>
        <v>2822.2610000000004</v>
      </c>
      <c r="BI65" s="293">
        <f>(5120244-2629715)/1000</f>
        <v>2490.529</v>
      </c>
      <c r="BJ65" s="32">
        <f>BW65-BI65</f>
        <v>776.22200000000021</v>
      </c>
      <c r="BK65" s="32">
        <f>BZ65-BW65</f>
        <v>1401.3119999999999</v>
      </c>
      <c r="BL65" s="32">
        <f>Q65-SUM(BI65:BK65)</f>
        <v>1243.7729999999992</v>
      </c>
      <c r="BM65" s="293">
        <f>2508.788-1586.623</f>
        <v>922.16499999999996</v>
      </c>
      <c r="BO65" s="32">
        <f>N65-SUM(AY65,BA65,BC65)</f>
        <v>2867.1629999999968</v>
      </c>
      <c r="BP65" s="293">
        <f>5436.013-2567.969</f>
        <v>2868.0439999999999</v>
      </c>
      <c r="BQ65" s="32">
        <f>BV65-BP65</f>
        <v>3194.1390000000001</v>
      </c>
      <c r="BR65" s="32">
        <f>BY65-BV65</f>
        <v>2815.2830000000004</v>
      </c>
      <c r="BS65" s="32">
        <f>P65-BR65-BQ65-BP65</f>
        <v>2963.4360000000024</v>
      </c>
      <c r="BT65" s="293">
        <f>(5120244-2629715)/1000</f>
        <v>2490.529</v>
      </c>
      <c r="BV65" s="293">
        <f>(11389042-5326859)/1000</f>
        <v>6062.183</v>
      </c>
      <c r="BW65" s="293">
        <f>(6769035-3502284)/1000</f>
        <v>3266.7510000000002</v>
      </c>
      <c r="BY65" s="293">
        <f>(16943202-8065736)/1000</f>
        <v>8877.4660000000003</v>
      </c>
      <c r="BZ65" s="293">
        <f>(9446520-4778457)/1000</f>
        <v>4668.0630000000001</v>
      </c>
      <c r="CB65" s="16"/>
      <c r="CC65" s="16"/>
    </row>
    <row r="66" spans="2:81" ht="13.5" customHeight="1">
      <c r="B66" s="25" t="s">
        <v>273</v>
      </c>
      <c r="C66" s="22">
        <v>-744.90300000000002</v>
      </c>
      <c r="D66" s="22">
        <v>-730.61400000000003</v>
      </c>
      <c r="E66" s="22">
        <v>-1107.816</v>
      </c>
      <c r="F66" s="22">
        <v>-1233.788</v>
      </c>
      <c r="G66" s="22">
        <v>-576.98599999999999</v>
      </c>
      <c r="H66" s="22">
        <v>-576.24</v>
      </c>
      <c r="I66" s="22">
        <v>-875.46400000000006</v>
      </c>
      <c r="J66" s="22">
        <v>-576.24</v>
      </c>
      <c r="K66" s="22">
        <v>-875.46400000000006</v>
      </c>
      <c r="L66" s="22">
        <v>-908.21900000000005</v>
      </c>
      <c r="M66" s="22">
        <v>-675.48099999999999</v>
      </c>
      <c r="N66" s="22">
        <v>-676.56</v>
      </c>
      <c r="O66" s="22">
        <v>-639.60699999999997</v>
      </c>
      <c r="P66" s="22">
        <v>-693.65099999999995</v>
      </c>
      <c r="Q66" s="22">
        <v>-662.74</v>
      </c>
      <c r="R66" s="21">
        <f t="shared" ref="R66:R67" si="276">BJ66+BK66+BL66+BM66</f>
        <v>-722.99099999999999</v>
      </c>
      <c r="S66" s="32"/>
      <c r="T66" s="22">
        <v>-394.52699999999999</v>
      </c>
      <c r="U66" s="22">
        <f>-541.591-T66</f>
        <v>-147.06400000000002</v>
      </c>
      <c r="V66" s="22">
        <f>-881.492-T66-U66</f>
        <v>-339.90099999999995</v>
      </c>
      <c r="W66" s="21">
        <f>+E66-T66-U66-V66</f>
        <v>-226.32399999999996</v>
      </c>
      <c r="X66" s="22">
        <v>-289.27800000000002</v>
      </c>
      <c r="Y66" s="22">
        <f>-455.777-X66</f>
        <v>-166.49899999999997</v>
      </c>
      <c r="Z66" s="22">
        <f>-807.9-X66-Y66</f>
        <v>-352.12299999999999</v>
      </c>
      <c r="AA66" s="21">
        <f>F66-Z66-Y66-X66</f>
        <v>-425.88799999999992</v>
      </c>
      <c r="AB66" s="22">
        <v>-407.22300000000001</v>
      </c>
      <c r="AC66" s="22">
        <f>-746.768-AB66</f>
        <v>-339.54500000000002</v>
      </c>
      <c r="AD66" s="22">
        <f>-809.825-AB66-AC66</f>
        <v>-63.057000000000016</v>
      </c>
      <c r="AE66" s="21">
        <f>+G66-AB66-AC66-AD66</f>
        <v>232.83900000000006</v>
      </c>
      <c r="AF66" s="22">
        <v>-191.94399999999999</v>
      </c>
      <c r="AG66" s="22">
        <f>-321.681-AF66</f>
        <v>-129.73699999999999</v>
      </c>
      <c r="AH66" s="22">
        <f>-455.088-AF66-AG66</f>
        <v>-133.40700000000001</v>
      </c>
      <c r="AI66" s="21">
        <f>+H66-AF66-AG66-AH66</f>
        <v>-121.15200000000004</v>
      </c>
      <c r="AJ66" s="219"/>
      <c r="AK66" s="219"/>
      <c r="AL66" s="219"/>
      <c r="AM66" s="221"/>
      <c r="AN66" s="22">
        <v>-223.88499999999999</v>
      </c>
      <c r="AO66" s="22">
        <f>-383.481-AN66</f>
        <v>-159.596</v>
      </c>
      <c r="AP66" s="22">
        <f>-691.825-AN66-AO66</f>
        <v>-308.34400000000005</v>
      </c>
      <c r="AQ66" s="22">
        <f>I66-SUM(AN66:AP66)</f>
        <v>-183.63900000000001</v>
      </c>
      <c r="AR66" s="22">
        <v>-223.88499999999999</v>
      </c>
      <c r="AS66" s="22">
        <f>-383.481-AR66</f>
        <v>-159.596</v>
      </c>
      <c r="AT66" s="22">
        <f>-691.825-AR66-AS66</f>
        <v>-308.34400000000005</v>
      </c>
      <c r="AU66" s="21">
        <f>K66-AR66-AS66-AT66</f>
        <v>-183.63900000000001</v>
      </c>
      <c r="AV66" s="22">
        <f>-691.825-AR66-AS66</f>
        <v>-308.34400000000005</v>
      </c>
      <c r="AW66" s="21">
        <f>L66-AR66-AS66-AV66</f>
        <v>-216.39400000000001</v>
      </c>
      <c r="AX66" s="22">
        <v>-211.65600000000001</v>
      </c>
      <c r="AY66" s="22">
        <v>-211.65600000000001</v>
      </c>
      <c r="AZ66" s="22">
        <f>-349.048-AX66</f>
        <v>-137.392</v>
      </c>
      <c r="BA66" s="22">
        <f>-349.048-AY66</f>
        <v>-137.392</v>
      </c>
      <c r="BB66" s="22">
        <f>-514.829-AX66-AZ66</f>
        <v>-165.78099999999995</v>
      </c>
      <c r="BC66" s="22">
        <f>-514.829-AX66-AZ66</f>
        <v>-165.78099999999995</v>
      </c>
      <c r="BD66" s="21">
        <f>M66-AZ66-AX66-BC66</f>
        <v>-160.65199999999999</v>
      </c>
      <c r="BE66" s="22">
        <v>-204.76499999999999</v>
      </c>
      <c r="BF66" s="22">
        <f>-330.513-BE66</f>
        <v>-125.74799999999999</v>
      </c>
      <c r="BG66" s="22">
        <f>-405.389-BF66-BE66</f>
        <v>-74.876000000000033</v>
      </c>
      <c r="BH66" s="32">
        <f t="shared" si="275"/>
        <v>-234.21799999999996</v>
      </c>
      <c r="BI66" s="22">
        <v>-284.53199999999998</v>
      </c>
      <c r="BJ66" s="32">
        <f>BW66-BI66</f>
        <v>-163.45300000000003</v>
      </c>
      <c r="BK66" s="32">
        <f t="shared" ref="BK66:BK67" si="277">BZ66-BW66</f>
        <v>-88.977999999999952</v>
      </c>
      <c r="BL66" s="32">
        <f t="shared" ref="BL66:BL67" si="278">Q66-SUM(BI66:BK66)</f>
        <v>-125.77700000000004</v>
      </c>
      <c r="BM66" s="22">
        <v>-344.78300000000002</v>
      </c>
      <c r="BO66" s="32">
        <f>N66-SUM(AY66,BA66,BC66)</f>
        <v>-161.73099999999999</v>
      </c>
      <c r="BP66" s="22">
        <v>-204.76499999999999</v>
      </c>
      <c r="BQ66" s="32">
        <f>BV66-BP66</f>
        <v>-125.74799999999999</v>
      </c>
      <c r="BR66" s="32">
        <f t="shared" ref="BR66:BR67" si="279">BY66-BV66</f>
        <v>-74.876000000000033</v>
      </c>
      <c r="BS66" s="32">
        <f>P66-BR66-BQ66-BP66</f>
        <v>-288.26199999999989</v>
      </c>
      <c r="BT66" s="22">
        <v>-284.75200000000001</v>
      </c>
      <c r="BV66" s="22">
        <v>-330.51299999999998</v>
      </c>
      <c r="BW66" s="22">
        <v>-447.98500000000001</v>
      </c>
      <c r="BY66" s="22">
        <v>-405.38900000000001</v>
      </c>
      <c r="BZ66" s="22">
        <v>-536.96299999999997</v>
      </c>
      <c r="CB66" s="16"/>
      <c r="CC66" s="16"/>
    </row>
    <row r="67" spans="2:81" ht="13.5" customHeight="1">
      <c r="B67" s="25" t="s">
        <v>274</v>
      </c>
      <c r="C67" s="22">
        <v>-1153.8679999999999</v>
      </c>
      <c r="D67" s="22">
        <v>-1297.431</v>
      </c>
      <c r="E67" s="22">
        <v>-1102.2139999999999</v>
      </c>
      <c r="F67" s="22">
        <v>-1689.5889999999999</v>
      </c>
      <c r="G67" s="22">
        <v>-1400.405</v>
      </c>
      <c r="H67" s="22">
        <v>-1398.06</v>
      </c>
      <c r="I67" s="22">
        <v>-1590.874</v>
      </c>
      <c r="J67" s="22">
        <v>-1398.06</v>
      </c>
      <c r="K67" s="22">
        <v>-1590.874</v>
      </c>
      <c r="L67" s="22">
        <v>-1589.069</v>
      </c>
      <c r="M67" s="22">
        <v>-2303.0030000000002</v>
      </c>
      <c r="N67" s="22">
        <v>-2296.3389999999999</v>
      </c>
      <c r="O67" s="22">
        <v>-2157.1909999999998</v>
      </c>
      <c r="P67" s="22">
        <v>-2157.1909999999998</v>
      </c>
      <c r="Q67" s="22">
        <v>-1543.5119999999999</v>
      </c>
      <c r="R67" s="21">
        <f t="shared" si="276"/>
        <v>-1207.1669999999999</v>
      </c>
      <c r="S67" s="32"/>
      <c r="T67" s="22">
        <v>-348.10700000000003</v>
      </c>
      <c r="U67" s="22">
        <f>-612.9-T67</f>
        <v>-264.79299999999995</v>
      </c>
      <c r="V67" s="22">
        <f>957.485-T67-U67</f>
        <v>1570.385</v>
      </c>
      <c r="W67" s="21">
        <f>+E67-T67-U67-V67</f>
        <v>-2059.6990000000001</v>
      </c>
      <c r="X67" s="22">
        <v>-297.38</v>
      </c>
      <c r="Y67" s="22">
        <f>-340.578-X67</f>
        <v>-43.197999999999979</v>
      </c>
      <c r="Z67" s="22">
        <f>-1315.472-X67-Y67</f>
        <v>-974.89400000000001</v>
      </c>
      <c r="AA67" s="21">
        <f>F67-Z67-Y67-X67</f>
        <v>-374.11699999999996</v>
      </c>
      <c r="AB67" s="22">
        <v>-506.67599999999999</v>
      </c>
      <c r="AC67" s="22">
        <f>-1278.07-AB67</f>
        <v>-771.39400000000001</v>
      </c>
      <c r="AD67" s="22">
        <f>-1183.179-AB67-AC67</f>
        <v>94.890999999999849</v>
      </c>
      <c r="AE67" s="21">
        <f>+G67-AB67-AC67-AD67</f>
        <v>-217.22599999999989</v>
      </c>
      <c r="AF67" s="22">
        <v>-486.56099999999998</v>
      </c>
      <c r="AG67" s="22">
        <f>-738.536-AF67</f>
        <v>-251.97499999999997</v>
      </c>
      <c r="AH67" s="22">
        <f>-1170.116-AF67-AG67</f>
        <v>-431.5800000000001</v>
      </c>
      <c r="AI67" s="21">
        <f>+H67-AF67-AG67-AH67</f>
        <v>-227.94400000000002</v>
      </c>
      <c r="AJ67" s="219"/>
      <c r="AK67" s="219"/>
      <c r="AL67" s="219"/>
      <c r="AM67" s="221"/>
      <c r="AN67" s="22">
        <v>-530.64400000000001</v>
      </c>
      <c r="AO67" s="22">
        <f>-783.551-AN67</f>
        <v>-252.90700000000004</v>
      </c>
      <c r="AP67" s="22">
        <f>-1252.843-AN67-AO67</f>
        <v>-469.29200000000003</v>
      </c>
      <c r="AQ67" s="22">
        <f>I67-SUM(AN67:AP67)</f>
        <v>-338.03099999999995</v>
      </c>
      <c r="AR67" s="22">
        <v>-530.64400000000001</v>
      </c>
      <c r="AS67" s="22">
        <f>-783.551-AR67</f>
        <v>-252.90700000000004</v>
      </c>
      <c r="AT67" s="22">
        <f>-1252.843-AR67-AS67</f>
        <v>-469.29200000000003</v>
      </c>
      <c r="AU67" s="21">
        <f>K67-AR67-AS67-AT67</f>
        <v>-338.03099999999995</v>
      </c>
      <c r="AV67" s="22">
        <f>-1252.843-AR67-AS67</f>
        <v>-469.29200000000003</v>
      </c>
      <c r="AW67" s="21">
        <f>L67-AR67-AS67-AV67</f>
        <v>-336.22599999999989</v>
      </c>
      <c r="AX67" s="22">
        <v>-552.78399999999999</v>
      </c>
      <c r="AY67" s="22">
        <v>-552.78399999999999</v>
      </c>
      <c r="AZ67" s="22">
        <f>-1215.876-AX67</f>
        <v>-663.09199999999998</v>
      </c>
      <c r="BA67" s="22">
        <f>-1215.876-AY67</f>
        <v>-663.09199999999998</v>
      </c>
      <c r="BB67" s="22">
        <f>-1919.34-AX67-AZ67</f>
        <v>-703.46400000000006</v>
      </c>
      <c r="BC67" s="22">
        <f>-1919.34-AX67-AZ67</f>
        <v>-703.46400000000006</v>
      </c>
      <c r="BD67" s="21">
        <f>M67-AZ67-AX67-BC67</f>
        <v>-383.6629999999999</v>
      </c>
      <c r="BE67" s="22">
        <v>-766.61099999999999</v>
      </c>
      <c r="BF67" s="22">
        <f>-1235.924-BE67</f>
        <v>-469.31299999999999</v>
      </c>
      <c r="BG67" s="22">
        <f>-1801.317-BF67-BE67</f>
        <v>-565.39299999999992</v>
      </c>
      <c r="BH67" s="32">
        <f t="shared" si="275"/>
        <v>-355.8739999999998</v>
      </c>
      <c r="BI67" s="22">
        <v>-655.17600000000004</v>
      </c>
      <c r="BJ67" s="32">
        <f>BW67-BI67</f>
        <v>-422.75699999999995</v>
      </c>
      <c r="BK67" s="32">
        <f t="shared" si="277"/>
        <v>-345.27</v>
      </c>
      <c r="BL67" s="32">
        <f t="shared" si="278"/>
        <v>-120.30899999999997</v>
      </c>
      <c r="BM67" s="22">
        <v>-318.83100000000002</v>
      </c>
      <c r="BO67" s="32">
        <f>N67-SUM(AY67,BA67,BC67)</f>
        <v>-376.9989999999998</v>
      </c>
      <c r="BP67" s="22">
        <v>-766.61099999999999</v>
      </c>
      <c r="BQ67" s="32">
        <f>BV67-BP67</f>
        <v>-469.31299999999999</v>
      </c>
      <c r="BR67" s="32">
        <f t="shared" si="279"/>
        <v>-565.39300000000003</v>
      </c>
      <c r="BS67" s="32">
        <f>P67-BR67-BQ67-BP67</f>
        <v>-355.87399999999968</v>
      </c>
      <c r="BT67" s="22">
        <v>-655.17600000000004</v>
      </c>
      <c r="BV67" s="22">
        <v>-1235.924</v>
      </c>
      <c r="BW67" s="22">
        <v>-1077.933</v>
      </c>
      <c r="BY67" s="22">
        <v>-1801.317</v>
      </c>
      <c r="BZ67" s="22">
        <v>-1423.203</v>
      </c>
      <c r="CB67" s="16"/>
      <c r="CC67" s="16"/>
    </row>
    <row r="68" spans="2:81" s="6" customFormat="1" ht="13.5" customHeight="1">
      <c r="B68" s="6" t="s">
        <v>275</v>
      </c>
      <c r="C68" s="38">
        <f t="shared" ref="C68:J68" si="280">SUM(C64:C67)</f>
        <v>14789.749</v>
      </c>
      <c r="D68" s="38">
        <f t="shared" si="280"/>
        <v>14966.192000000001</v>
      </c>
      <c r="E68" s="38">
        <f t="shared" si="280"/>
        <v>14438.366</v>
      </c>
      <c r="F68" s="38">
        <f t="shared" si="280"/>
        <v>19157.763999999996</v>
      </c>
      <c r="G68" s="38">
        <f t="shared" ref="G68" si="281">SUM(G64:G67)</f>
        <v>17793.575999999997</v>
      </c>
      <c r="H68" s="38">
        <f t="shared" si="280"/>
        <v>20292.108999999997</v>
      </c>
      <c r="I68" s="38">
        <f t="shared" ref="I68:K68" si="282">SUM(I64:I67)</f>
        <v>21258.036000000004</v>
      </c>
      <c r="J68" s="38">
        <f t="shared" si="280"/>
        <v>17739.272999999997</v>
      </c>
      <c r="K68" s="38">
        <f t="shared" si="282"/>
        <v>18420.681</v>
      </c>
      <c r="L68" s="38">
        <f t="shared" ref="L68:M68" si="283">SUM(L64:L67)</f>
        <v>17554.748</v>
      </c>
      <c r="M68" s="38">
        <f t="shared" si="283"/>
        <v>17307.113999999998</v>
      </c>
      <c r="N68" s="38">
        <f t="shared" ref="N68" si="284">SUM(N64:N67)</f>
        <v>17772.336999999996</v>
      </c>
      <c r="O68" s="38">
        <f t="shared" ref="O68:P68" si="285">SUM(O64:O67)</f>
        <v>20032.129000000004</v>
      </c>
      <c r="P68" s="38">
        <f t="shared" si="285"/>
        <v>14678.377</v>
      </c>
      <c r="Q68" s="38">
        <f t="shared" ref="Q68" si="286">SUM(Q64:Q67)</f>
        <v>9166.0269999999982</v>
      </c>
      <c r="R68" s="38">
        <f>SUM(R64:R67)</f>
        <v>6775.4050000000007</v>
      </c>
      <c r="S68" s="32"/>
      <c r="T68" s="38">
        <f t="shared" ref="T68:V68" si="287">SUM(T64:T67)</f>
        <v>714.75500000000011</v>
      </c>
      <c r="U68" s="38">
        <f t="shared" si="287"/>
        <v>2372.1539999999995</v>
      </c>
      <c r="V68" s="38">
        <f t="shared" si="287"/>
        <v>3531.2429999999986</v>
      </c>
      <c r="W68" s="38">
        <f t="shared" ref="W68:AB68" si="288">SUM(W64:W67)</f>
        <v>7820.2140000000018</v>
      </c>
      <c r="X68" s="38">
        <f t="shared" si="288"/>
        <v>4192.0429999999997</v>
      </c>
      <c r="Y68" s="38">
        <f t="shared" si="288"/>
        <v>4798.7089999999989</v>
      </c>
      <c r="Z68" s="38">
        <f t="shared" si="288"/>
        <v>4971.5000000000027</v>
      </c>
      <c r="AA68" s="38">
        <f t="shared" si="288"/>
        <v>5195.5119999999952</v>
      </c>
      <c r="AB68" s="38">
        <f t="shared" si="288"/>
        <v>4023.5790000000011</v>
      </c>
      <c r="AC68" s="38">
        <f>SUM(AC64:AC67)</f>
        <v>4820.2069999999985</v>
      </c>
      <c r="AD68" s="38">
        <f t="shared" ref="AD68:AF68" si="289">SUM(AD64:AD67)</f>
        <v>4835.6029999999982</v>
      </c>
      <c r="AE68" s="38">
        <f t="shared" si="289"/>
        <v>4114.1869999999999</v>
      </c>
      <c r="AF68" s="38">
        <f t="shared" si="289"/>
        <v>4110.4990000000007</v>
      </c>
      <c r="AG68" s="38">
        <f>SUM(AG64:AG67)</f>
        <v>5743.3789999999999</v>
      </c>
      <c r="AH68" s="38">
        <f t="shared" ref="AH68:AR68" si="290">SUM(AH64:AH67)</f>
        <v>5777.8190000000004</v>
      </c>
      <c r="AI68" s="38">
        <f t="shared" si="290"/>
        <v>4660.4119999999975</v>
      </c>
      <c r="AJ68" s="227"/>
      <c r="AK68" s="227"/>
      <c r="AL68" s="227"/>
      <c r="AM68" s="227"/>
      <c r="AN68" s="38">
        <f t="shared" ref="AN68" si="291">SUM(AN64:AN67)</f>
        <v>5006.91</v>
      </c>
      <c r="AO68" s="38">
        <f>SUM(AO64:AO67)</f>
        <v>5626.2609999999995</v>
      </c>
      <c r="AP68" s="38">
        <f t="shared" ref="AP68:AQ68" si="292">SUM(AP64:AP67)</f>
        <v>5465.7899999999981</v>
      </c>
      <c r="AQ68" s="38">
        <f t="shared" si="292"/>
        <v>5159.0750000000025</v>
      </c>
      <c r="AR68" s="38">
        <f t="shared" si="290"/>
        <v>4354.4470000000001</v>
      </c>
      <c r="AS68" s="38">
        <f>SUM(AS64:AS67)</f>
        <v>4945.6130000000003</v>
      </c>
      <c r="AT68" s="38">
        <f t="shared" ref="AT68:AX68" si="293">SUM(AT64:AT67)</f>
        <v>4734.1899999999987</v>
      </c>
      <c r="AU68" s="38">
        <f t="shared" si="293"/>
        <v>4386.4310000000041</v>
      </c>
      <c r="AV68" s="38">
        <f t="shared" ref="AV68:AW68" si="294">SUM(AV64:AV67)</f>
        <v>4569.989999999998</v>
      </c>
      <c r="AW68" s="38">
        <f t="shared" si="294"/>
        <v>3684.698000000003</v>
      </c>
      <c r="AX68" s="38">
        <f t="shared" si="293"/>
        <v>3842.8419999999992</v>
      </c>
      <c r="AY68" s="38">
        <f t="shared" ref="AY68" si="295">SUM(AY64:AY67)</f>
        <v>3609.4109999999996</v>
      </c>
      <c r="AZ68" s="38">
        <f>SUM(AZ64:AZ67)</f>
        <v>4377.6660000000002</v>
      </c>
      <c r="BA68" s="38">
        <f t="shared" ref="BA68" si="296">SUM(BA64:BA67)</f>
        <v>4152.0520000000006</v>
      </c>
      <c r="BB68" s="38">
        <f t="shared" ref="BB68:BE68" si="297">SUM(BB64:BB67)</f>
        <v>5173.6000000000013</v>
      </c>
      <c r="BC68" s="38">
        <f t="shared" si="297"/>
        <v>4997.6000000000013</v>
      </c>
      <c r="BD68" s="38">
        <f t="shared" si="297"/>
        <v>4089.0059999999971</v>
      </c>
      <c r="BE68" s="38">
        <f t="shared" si="297"/>
        <v>4633.5370000000003</v>
      </c>
      <c r="BF68" s="38">
        <f>SUM(BF64:BF67)</f>
        <v>5424.2759999999998</v>
      </c>
      <c r="BG68" s="38">
        <f t="shared" ref="BG68:BI68" si="298">SUM(BG64:BG67)</f>
        <v>4809.8140000000012</v>
      </c>
      <c r="BH68" s="38">
        <f t="shared" si="298"/>
        <v>5164.5020000000013</v>
      </c>
      <c r="BI68" s="38">
        <f t="shared" si="298"/>
        <v>4005.0369999999998</v>
      </c>
      <c r="BJ68" s="38">
        <f>SUM(BJ64:BJ67)</f>
        <v>1630.0120000000002</v>
      </c>
      <c r="BK68" s="38">
        <f t="shared" ref="BK68:BM68" si="299">SUM(BK64:BK67)</f>
        <v>2329.4639999999999</v>
      </c>
      <c r="BL68" s="38">
        <f t="shared" si="299"/>
        <v>1201.5139999999994</v>
      </c>
      <c r="BM68" s="38">
        <f t="shared" si="299"/>
        <v>1614.415</v>
      </c>
      <c r="BO68" s="38">
        <f t="shared" ref="BO68:BP68" si="300">SUM(BO64:BO67)</f>
        <v>5013.2739999999967</v>
      </c>
      <c r="BP68" s="38">
        <f t="shared" si="300"/>
        <v>4700.2139999999999</v>
      </c>
      <c r="BQ68" s="38">
        <f t="shared" ref="BQ68:BT68" si="301">SUM(BQ64:BQ67)</f>
        <v>4112.0780000000004</v>
      </c>
      <c r="BR68" s="38">
        <f t="shared" si="301"/>
        <v>3588.9140000000007</v>
      </c>
      <c r="BS68" s="38">
        <f t="shared" si="301"/>
        <v>2277.171000000003</v>
      </c>
      <c r="BT68" s="38">
        <f t="shared" si="301"/>
        <v>2769.7700000000004</v>
      </c>
      <c r="BV68" s="38">
        <f t="shared" ref="BV68" si="302">SUM(BV64:BV67)</f>
        <v>7401.4960000000001</v>
      </c>
      <c r="BW68" s="38">
        <f t="shared" ref="BW68" si="303">SUM(BW64:BW67)</f>
        <v>4400.0480000000007</v>
      </c>
      <c r="BY68" s="38">
        <f t="shared" ref="BY68:BZ68" si="304">SUM(BY64:BY67)</f>
        <v>10990.36</v>
      </c>
      <c r="BZ68" s="38">
        <f t="shared" si="304"/>
        <v>6729.5320000000011</v>
      </c>
      <c r="CB68" s="16"/>
      <c r="CC68" s="16"/>
    </row>
    <row r="69" spans="2:81" ht="13.5" customHeight="1">
      <c r="B69" s="25" t="s">
        <v>276</v>
      </c>
      <c r="C69" s="22">
        <f>81.187-5564.249</f>
        <v>-5483.0619999999999</v>
      </c>
      <c r="D69" s="22">
        <f>28.945-4914.051</f>
        <v>-4885.1060000000007</v>
      </c>
      <c r="E69" s="22">
        <f>57.412-6694.537</f>
        <v>-6637.125</v>
      </c>
      <c r="F69" s="22">
        <f>28.485-6799.221</f>
        <v>-6770.7359999999999</v>
      </c>
      <c r="G69" s="22">
        <f>64.877-4583.843</f>
        <v>-4518.9659999999994</v>
      </c>
      <c r="H69" s="22">
        <f>118.545-6487.545</f>
        <v>-6369</v>
      </c>
      <c r="I69" s="22">
        <f>30.588-9682.591</f>
        <v>-9652.0030000000006</v>
      </c>
      <c r="J69" s="22">
        <f>-6366.742+118.547</f>
        <v>-6248.1950000000006</v>
      </c>
      <c r="K69" s="22">
        <f>30.588-9682.591</f>
        <v>-9652.0030000000006</v>
      </c>
      <c r="L69" s="22">
        <f>30.713-9760.988</f>
        <v>-9730.2749999999996</v>
      </c>
      <c r="M69" s="22">
        <f>20.25-6969.664</f>
        <v>-6949.4139999999998</v>
      </c>
      <c r="N69" s="22">
        <f>20.251-7126.661</f>
        <v>-7106.41</v>
      </c>
      <c r="O69" s="22">
        <f>-5055.192+12.015</f>
        <v>-5043.1769999999997</v>
      </c>
      <c r="P69" s="22">
        <f>14.89-5141.204</f>
        <v>-5126.3139999999994</v>
      </c>
      <c r="Q69" s="22">
        <f>12.382-2040.639</f>
        <v>-2028.2569999999998</v>
      </c>
      <c r="R69" s="21">
        <f t="shared" ref="R69:R70" si="305">BJ69+BK69+BL69+BM69</f>
        <v>-1643.6399999999999</v>
      </c>
      <c r="S69" s="32"/>
      <c r="T69" s="22">
        <f>0.998-1317.153</f>
        <v>-1316.155</v>
      </c>
      <c r="U69" s="22">
        <f>6.89-3169.036-T69</f>
        <v>-1845.9910000000002</v>
      </c>
      <c r="V69" s="22">
        <f>24.272-4992.259-T69-U69</f>
        <v>-1805.8410000000001</v>
      </c>
      <c r="W69" s="21">
        <f>+E69-T69-U69-V69</f>
        <v>-1669.1380000000001</v>
      </c>
      <c r="X69" s="22">
        <f>5.206-1688.239</f>
        <v>-1683.0330000000001</v>
      </c>
      <c r="Y69" s="22">
        <f>9.866-3106.514-X69</f>
        <v>-1413.615</v>
      </c>
      <c r="Z69" s="22">
        <f>16.053-4546.958-X69-Y69</f>
        <v>-1434.2569999999994</v>
      </c>
      <c r="AA69" s="21">
        <f>F69-Z69-Y69-X69</f>
        <v>-2239.8310000000001</v>
      </c>
      <c r="AB69" s="22">
        <f>20.134-998.89+248.355</f>
        <v>-730.40099999999995</v>
      </c>
      <c r="AC69" s="22">
        <f>26.49-2465.631-AB69</f>
        <v>-1708.7400000000002</v>
      </c>
      <c r="AD69" s="22">
        <f>15.215-3496.469-AB69-AC69</f>
        <v>-1042.1129999999998</v>
      </c>
      <c r="AE69" s="21">
        <f>+G69-AB69-AC69-AD69</f>
        <v>-1037.7119999999995</v>
      </c>
      <c r="AF69" s="22">
        <f>52.814-1347.493+0</f>
        <v>-1294.6789999999999</v>
      </c>
      <c r="AG69" s="22">
        <f>83.018-3265.852-AF69</f>
        <v>-1888.155</v>
      </c>
      <c r="AH69" s="22">
        <f>95.498-4811.468-AF69-AG69</f>
        <v>-1533.1360000000002</v>
      </c>
      <c r="AI69" s="21">
        <f>+H69-AF69-AG69-AH69</f>
        <v>-1653.03</v>
      </c>
      <c r="AJ69" s="219"/>
      <c r="AK69" s="219"/>
      <c r="AL69" s="219"/>
      <c r="AM69" s="221"/>
      <c r="AN69" s="22">
        <f>1.932-1713.698</f>
        <v>-1711.7660000000001</v>
      </c>
      <c r="AO69" s="22">
        <f>11.371-5171.936-AN69</f>
        <v>-3448.7989999999995</v>
      </c>
      <c r="AP69" s="22">
        <f>13.488-7786.773-AN69-AO69</f>
        <v>-2612.7200000000007</v>
      </c>
      <c r="AQ69" s="22">
        <f>I69-SUM(AN69:AP69)</f>
        <v>-1878.7180000000008</v>
      </c>
      <c r="AR69" s="22">
        <f>1.932-1713.698</f>
        <v>-1711.7660000000001</v>
      </c>
      <c r="AS69" s="22">
        <f>11.371-5171.936-AR69</f>
        <v>-3448.7989999999995</v>
      </c>
      <c r="AT69" s="22">
        <f>13.488-7786.773-AR69-AS69</f>
        <v>-2612.7200000000007</v>
      </c>
      <c r="AU69" s="21">
        <f>K69-AR69-AS69-AT69</f>
        <v>-1878.7180000000012</v>
      </c>
      <c r="AV69" s="22">
        <f>13.488-7786.773-AR69-AS69</f>
        <v>-2612.7200000000007</v>
      </c>
      <c r="AW69" s="21">
        <f>L69-AR69-AS69-AV69</f>
        <v>-1956.9900000000002</v>
      </c>
      <c r="AX69" s="22">
        <f>5.215-1842.987</f>
        <v>-1837.7720000000002</v>
      </c>
      <c r="AY69" s="22">
        <f>5.215-1842.987</f>
        <v>-1837.7720000000002</v>
      </c>
      <c r="AZ69" s="22">
        <f>10.275-3832.772-AX69</f>
        <v>-1984.7249999999997</v>
      </c>
      <c r="BA69" s="22">
        <f>10.275-3832.772-AY69</f>
        <v>-1984.7249999999997</v>
      </c>
      <c r="BB69" s="22">
        <f>15.999-5571.18-AX69-AZ69</f>
        <v>-1732.6840000000009</v>
      </c>
      <c r="BC69" s="22">
        <f>15.999-5571.18-AX69-AZ69</f>
        <v>-1732.6840000000009</v>
      </c>
      <c r="BD69" s="21">
        <f>M69-AZ69-AX69-BC69</f>
        <v>-1394.2329999999995</v>
      </c>
      <c r="BE69" s="22">
        <f>1.882-1535.896</f>
        <v>-1534.0139999999999</v>
      </c>
      <c r="BF69" s="22">
        <f>3.133-2966.614-BE69</f>
        <v>-1429.4670000000003</v>
      </c>
      <c r="BG69" s="22">
        <f>-3934.703+4.78-BF69-BE69</f>
        <v>-966.44199999999933</v>
      </c>
      <c r="BH69" s="32">
        <f t="shared" si="275"/>
        <v>-1113.2539999999999</v>
      </c>
      <c r="BI69" s="22">
        <f>(-866011+5856)/1000</f>
        <v>-860.15499999999997</v>
      </c>
      <c r="BJ69" s="32">
        <f>BW69-BI69</f>
        <v>-397.56799999999998</v>
      </c>
      <c r="BK69" s="32">
        <f t="shared" ref="BK69:BK71" si="306">BZ69-BW69</f>
        <v>-422.34899999999993</v>
      </c>
      <c r="BL69" s="32">
        <f t="shared" ref="BL69:BL71" si="307">Q69-SUM(BI69:BK69)</f>
        <v>-348.18499999999995</v>
      </c>
      <c r="BM69" s="22">
        <f>-477.051+1.513</f>
        <v>-475.53800000000001</v>
      </c>
      <c r="BO69" s="32">
        <f>N69-SUM(AY69,BA69,BC69)</f>
        <v>-1551.2289999999994</v>
      </c>
      <c r="BP69" s="22">
        <f>1.882-1535.896</f>
        <v>-1534.0139999999999</v>
      </c>
      <c r="BQ69" s="32">
        <f>BV69-BP69</f>
        <v>-1429.4670000000003</v>
      </c>
      <c r="BR69" s="32">
        <f t="shared" ref="BR69:BR71" si="308">BY69-BV69</f>
        <v>-966.44199999999955</v>
      </c>
      <c r="BS69" s="32">
        <f>P69-BR69-BQ69-BP69</f>
        <v>-1196.3909999999989</v>
      </c>
      <c r="BT69" s="22">
        <f>5.856-866.011</f>
        <v>-860.15499999999997</v>
      </c>
      <c r="BV69" s="22">
        <f>(3133-2966614)/1000</f>
        <v>-2963.4810000000002</v>
      </c>
      <c r="BW69" s="22">
        <f>(8235-1265958)/1000</f>
        <v>-1257.723</v>
      </c>
      <c r="BY69" s="22">
        <f>(4780-3934703)/1000</f>
        <v>-3929.9229999999998</v>
      </c>
      <c r="BZ69" s="22">
        <f>(8325-1688397)/1000</f>
        <v>-1680.0719999999999</v>
      </c>
      <c r="CB69" s="16"/>
      <c r="CC69" s="16"/>
    </row>
    <row r="70" spans="2:81" ht="13.5" customHeight="1">
      <c r="B70" s="25" t="s">
        <v>277</v>
      </c>
      <c r="C70" s="22">
        <f>-1003.074</f>
        <v>-1003.074</v>
      </c>
      <c r="D70" s="22">
        <v>-99.372</v>
      </c>
      <c r="E70" s="22">
        <v>-540.64</v>
      </c>
      <c r="F70" s="22">
        <v>-429.62799999999999</v>
      </c>
      <c r="G70" s="22">
        <v>-596.72299999999996</v>
      </c>
      <c r="H70" s="22">
        <f>-573.915+3.568</f>
        <v>-570.34699999999998</v>
      </c>
      <c r="I70" s="22">
        <f>-446.079+1.556</f>
        <v>-444.52300000000002</v>
      </c>
      <c r="J70" s="22">
        <f>-573.915+3.568</f>
        <v>-570.34699999999998</v>
      </c>
      <c r="K70" s="22">
        <f>-446.079+1.556</f>
        <v>-444.52300000000002</v>
      </c>
      <c r="L70" s="22">
        <f>1.556-448.614</f>
        <v>-447.05799999999999</v>
      </c>
      <c r="M70" s="22">
        <v>-732.99900000000002</v>
      </c>
      <c r="N70" s="22">
        <v>-732.99900000000002</v>
      </c>
      <c r="O70" s="22">
        <v>-799.28399999999999</v>
      </c>
      <c r="P70" s="22">
        <f>-799.485</f>
        <v>-799.48500000000001</v>
      </c>
      <c r="Q70" s="22">
        <f>-331.672</f>
        <v>-331.67200000000003</v>
      </c>
      <c r="R70" s="21">
        <f t="shared" si="305"/>
        <v>-304.21900000000005</v>
      </c>
      <c r="S70" s="32"/>
      <c r="T70" s="22">
        <v>-389.55599999999998</v>
      </c>
      <c r="U70" s="22">
        <f>-494.806-T70</f>
        <v>-105.25</v>
      </c>
      <c r="V70" s="22">
        <f>-622.209-T70-U70</f>
        <v>-127.40299999999996</v>
      </c>
      <c r="W70" s="21">
        <f>+E70-T70-U70-V70</f>
        <v>81.56899999999996</v>
      </c>
      <c r="X70" s="22">
        <v>-0.68899999999999995</v>
      </c>
      <c r="Y70" s="22">
        <f>-11.116-X70</f>
        <v>-10.427</v>
      </c>
      <c r="Z70" s="22">
        <f>-331.006-X70-Y70</f>
        <v>-319.88999999999993</v>
      </c>
      <c r="AA70" s="21">
        <f>F70-Z70-Y70-X70</f>
        <v>-98.622000000000071</v>
      </c>
      <c r="AB70" s="22">
        <v>-42.802</v>
      </c>
      <c r="AC70" s="22">
        <f>-65.49-AB70</f>
        <v>-22.687999999999995</v>
      </c>
      <c r="AD70" s="22">
        <f>-243.385-AB70-AC70</f>
        <v>-177.89500000000001</v>
      </c>
      <c r="AE70" s="21">
        <f>+G70-AB70-AC70-AD70</f>
        <v>-353.33799999999997</v>
      </c>
      <c r="AF70" s="22">
        <v>-25.56</v>
      </c>
      <c r="AG70" s="22">
        <f>-174.804-AF70</f>
        <v>-149.244</v>
      </c>
      <c r="AH70" s="22">
        <f>-441.861-AF70-AG70</f>
        <v>-267.05700000000002</v>
      </c>
      <c r="AI70" s="21">
        <f>+H70-AF70-AG70-AH70</f>
        <v>-128.48599999999999</v>
      </c>
      <c r="AJ70" s="219"/>
      <c r="AK70" s="219"/>
      <c r="AL70" s="219"/>
      <c r="AM70" s="221"/>
      <c r="AN70" s="22">
        <v>-62.011000000000003</v>
      </c>
      <c r="AO70" s="22">
        <f>-147.477-AN70</f>
        <v>-85.466000000000008</v>
      </c>
      <c r="AP70" s="22">
        <f>-327.082-AN70-AO70</f>
        <v>-179.60499999999996</v>
      </c>
      <c r="AQ70" s="22">
        <f>I70-SUM(AN70:AP70)</f>
        <v>-117.44100000000003</v>
      </c>
      <c r="AR70" s="22">
        <v>-62.011000000000003</v>
      </c>
      <c r="AS70" s="22">
        <f>-147.477-AR70</f>
        <v>-85.466000000000008</v>
      </c>
      <c r="AT70" s="22">
        <f>-327.082-AR70-AS70</f>
        <v>-179.60499999999996</v>
      </c>
      <c r="AU70" s="21">
        <f>K70-AR70-AS70-AT70</f>
        <v>-117.44100000000003</v>
      </c>
      <c r="AV70" s="22">
        <f>-327.082-AR70-AS70</f>
        <v>-179.60499999999996</v>
      </c>
      <c r="AW70" s="21">
        <f>L70-AR70-AS70-AV70</f>
        <v>-119.976</v>
      </c>
      <c r="AX70" s="22">
        <v>-158.654</v>
      </c>
      <c r="AY70" s="22">
        <v>-158.654</v>
      </c>
      <c r="AZ70" s="22">
        <f>-279.505-AX70</f>
        <v>-120.851</v>
      </c>
      <c r="BA70" s="22">
        <f>-279.505-AY70</f>
        <v>-120.851</v>
      </c>
      <c r="BB70" s="22">
        <f>-476.577-AX70-AZ70</f>
        <v>-197.072</v>
      </c>
      <c r="BC70" s="22">
        <f>-476.577-AX70-AZ70</f>
        <v>-197.072</v>
      </c>
      <c r="BD70" s="21">
        <f>M70-AZ70-AX70-BC70</f>
        <v>-256.42200000000003</v>
      </c>
      <c r="BE70" s="22">
        <v>-140.893</v>
      </c>
      <c r="BF70" s="22">
        <f>-335.924-BE70</f>
        <v>-195.03099999999998</v>
      </c>
      <c r="BG70" s="22">
        <f>-579.111-BF70-BE70</f>
        <v>-243.18700000000004</v>
      </c>
      <c r="BH70" s="32">
        <f t="shared" si="275"/>
        <v>-220.173</v>
      </c>
      <c r="BI70" s="22">
        <v>-195.49799999999999</v>
      </c>
      <c r="BJ70" s="32">
        <f>BW70-BI70</f>
        <v>-131.67000000000002</v>
      </c>
      <c r="BK70" s="32">
        <f t="shared" si="306"/>
        <v>-64.456999999999994</v>
      </c>
      <c r="BL70" s="32">
        <f t="shared" si="307"/>
        <v>59.952999999999975</v>
      </c>
      <c r="BM70" s="22">
        <v>-168.04499999999999</v>
      </c>
      <c r="BO70" s="32">
        <f>N70-SUM(AY70,BA70,BC70)</f>
        <v>-256.42200000000003</v>
      </c>
      <c r="BP70" s="22">
        <v>-140.893</v>
      </c>
      <c r="BQ70" s="32">
        <f>BV70-BP70</f>
        <v>-195.03099999999998</v>
      </c>
      <c r="BR70" s="32">
        <f t="shared" si="308"/>
        <v>-243.18700000000001</v>
      </c>
      <c r="BS70" s="32">
        <f>P70-BR70-BQ70-BP70</f>
        <v>-220.37400000000005</v>
      </c>
      <c r="BT70" s="22">
        <v>-195.49799999999999</v>
      </c>
      <c r="BV70" s="22">
        <v>-335.92399999999998</v>
      </c>
      <c r="BW70" s="22">
        <v>-327.16800000000001</v>
      </c>
      <c r="BY70" s="22">
        <f>(-579111)/1000</f>
        <v>-579.11099999999999</v>
      </c>
      <c r="BZ70" s="22">
        <f>(-391625)/1000</f>
        <v>-391.625</v>
      </c>
      <c r="CB70" s="16"/>
      <c r="CC70" s="16"/>
    </row>
    <row r="71" spans="2:81" ht="13.5" customHeight="1">
      <c r="B71" s="25" t="s">
        <v>278</v>
      </c>
      <c r="C71" s="22">
        <f>-57.421-83.471+118.229</f>
        <v>-22.662999999999997</v>
      </c>
      <c r="D71" s="22">
        <f>-110.047-20.149+92.587</f>
        <v>-37.608999999999995</v>
      </c>
      <c r="E71" s="22">
        <f>-18.398-57.003-83.435</f>
        <v>-158.83600000000001</v>
      </c>
      <c r="F71" s="22">
        <f>1649.256+21.451-8.57-6.094</f>
        <v>1656.0430000000001</v>
      </c>
      <c r="G71" s="22">
        <f>-6.054-10.743-11.169-1.953</f>
        <v>-29.919</v>
      </c>
      <c r="H71" s="22">
        <f>-2.421-12.672</f>
        <v>-15.093</v>
      </c>
      <c r="I71" s="22">
        <f>-4.504-2780.487</f>
        <v>-2784.991</v>
      </c>
      <c r="J71" s="22">
        <f>-2.421-12.672</f>
        <v>-15.093</v>
      </c>
      <c r="K71" s="22">
        <f>-4.504-2780.487</f>
        <v>-2784.991</v>
      </c>
      <c r="L71" s="22">
        <f>-3.773-2780.487-0.731</f>
        <v>-2784.9910000000004</v>
      </c>
      <c r="M71" s="22">
        <f>-53.691-0.64</f>
        <v>-54.331000000000003</v>
      </c>
      <c r="N71" s="22">
        <f>-53.691-0.64</f>
        <v>-54.331000000000003</v>
      </c>
      <c r="O71" s="22">
        <f>-5.908-0.554</f>
        <v>-6.4620000000000006</v>
      </c>
      <c r="P71" s="22">
        <f>-5.908+23.538</f>
        <v>17.63</v>
      </c>
      <c r="Q71" s="22">
        <f>1340.823</f>
        <v>1340.8230000000001</v>
      </c>
      <c r="R71" s="21">
        <f>BJ71+BK71+BL71+BM71</f>
        <v>1340.8230000000001</v>
      </c>
      <c r="S71" s="32"/>
      <c r="T71" s="22">
        <v>-3.7309999999999999</v>
      </c>
      <c r="U71" s="22">
        <f>-49.328-T71</f>
        <v>-45.597000000000001</v>
      </c>
      <c r="V71" s="22">
        <f>-49.328-20.71-T71-U71</f>
        <v>-20.710000000000015</v>
      </c>
      <c r="W71" s="21">
        <f>+E71-T71-U71-V71</f>
        <v>-88.798000000000002</v>
      </c>
      <c r="X71" s="22">
        <f>1649.256-2.706-3.233</f>
        <v>1643.3170000000002</v>
      </c>
      <c r="Y71" s="22">
        <f>1649.256-6.561-X71</f>
        <v>-0.62200000000007094</v>
      </c>
      <c r="Z71" s="22">
        <f>1649.256-6.69-8.792-X71-Y71</f>
        <v>-8.9210000000000491</v>
      </c>
      <c r="AA71" s="21">
        <f>F71-Z71-Y71-X71</f>
        <v>22.269000000000005</v>
      </c>
      <c r="AB71" s="22">
        <v>-8.3650000000000002</v>
      </c>
      <c r="AC71" s="22">
        <f>0-1.542-1.182-AB71</f>
        <v>5.641</v>
      </c>
      <c r="AD71" s="22">
        <f>0-14.131-5.489-AB71-AC71</f>
        <v>-16.896000000000001</v>
      </c>
      <c r="AE71" s="21">
        <f>+G71-AB71-AC71-AD71</f>
        <v>-10.298999999999999</v>
      </c>
      <c r="AF71" s="22">
        <v>-0.215</v>
      </c>
      <c r="AG71" s="22">
        <f>3.027-0-0.381-AF71</f>
        <v>2.8609999999999998</v>
      </c>
      <c r="AH71" s="22">
        <f>3.591-2.302-AF71-AG71</f>
        <v>-1.3569999999999995</v>
      </c>
      <c r="AI71" s="21">
        <f>+H71-AF71-AG71-AH71</f>
        <v>-16.382000000000001</v>
      </c>
      <c r="AJ71" s="219"/>
      <c r="AK71" s="219"/>
      <c r="AL71" s="219"/>
      <c r="AM71" s="221"/>
      <c r="AN71" s="22">
        <v>-0.80800000000000005</v>
      </c>
      <c r="AO71" s="22">
        <f>-3.921-2784.89-AN71</f>
        <v>-2788.0029999999997</v>
      </c>
      <c r="AP71" s="22">
        <f>-2788.061-4.015-AN71-AO71</f>
        <v>-3.2650000000003274</v>
      </c>
      <c r="AQ71" s="22">
        <f>I71-SUM(AN71:AP71)</f>
        <v>7.0850000000000364</v>
      </c>
      <c r="AR71" s="22">
        <v>-0.80800000000000005</v>
      </c>
      <c r="AS71" s="22">
        <f>-3.921-2784.89-AR71</f>
        <v>-2788.0029999999997</v>
      </c>
      <c r="AT71" s="22">
        <f>-2788.061-4.015-AR71-AS71</f>
        <v>-3.2650000000003274</v>
      </c>
      <c r="AU71" s="21">
        <f>K71-AR71-AS71-AT71</f>
        <v>7.0850000000000364</v>
      </c>
      <c r="AV71" s="22">
        <f>-2788.061-4.015-AR71-AS71</f>
        <v>-3.2650000000003274</v>
      </c>
      <c r="AW71" s="21">
        <f>L71-AR71-AS71-AV71</f>
        <v>7.0849999999995816</v>
      </c>
      <c r="AX71" s="22">
        <v>-0.46</v>
      </c>
      <c r="AY71" s="22">
        <v>-0.46</v>
      </c>
      <c r="AZ71" s="22">
        <f>-51.786-0.46-AX71</f>
        <v>-51.786000000000001</v>
      </c>
      <c r="BA71" s="22">
        <f>-51.786-0.46-AY71</f>
        <v>-51.786000000000001</v>
      </c>
      <c r="BB71" s="22">
        <f>-51.768-0.46-AX71-AZ71</f>
        <v>1.8000000000000682E-2</v>
      </c>
      <c r="BC71" s="22">
        <f>-51.768-0.46-AX71-AZ71</f>
        <v>1.8000000000000682E-2</v>
      </c>
      <c r="BD71" s="21">
        <f>M71-AZ71-AX71-BC71</f>
        <v>-2.1030000000000024</v>
      </c>
      <c r="BE71" s="22">
        <v>0</v>
      </c>
      <c r="BF71" s="22">
        <f>5.283+0.091-BE71</f>
        <v>5.3740000000000006</v>
      </c>
      <c r="BG71" s="22">
        <f>2.485-0.554-BF71-BE71</f>
        <v>-3.4430000000000005</v>
      </c>
      <c r="BH71" s="32">
        <f t="shared" si="275"/>
        <v>-8.3930000000000007</v>
      </c>
      <c r="BI71" s="22">
        <v>0</v>
      </c>
      <c r="BJ71" s="32">
        <f>BW71-BI71</f>
        <v>1352.4159999999999</v>
      </c>
      <c r="BK71" s="32">
        <f t="shared" si="306"/>
        <v>-1.1209999999998672</v>
      </c>
      <c r="BL71" s="32">
        <f t="shared" si="307"/>
        <v>-10.47199999999998</v>
      </c>
      <c r="BM71" s="22">
        <v>0</v>
      </c>
      <c r="BO71" s="32">
        <f>N71-SUM(AY71,BA71,BC71)</f>
        <v>-2.1030000000000015</v>
      </c>
      <c r="BP71" s="22">
        <v>0</v>
      </c>
      <c r="BQ71" s="32">
        <f>BV71-BP71</f>
        <v>28.821000000000002</v>
      </c>
      <c r="BR71" s="32">
        <f t="shared" si="308"/>
        <v>-2.7980000000000018</v>
      </c>
      <c r="BS71" s="32">
        <f>P71-BR71-BQ71-BP71</f>
        <v>-8.3930000000000007</v>
      </c>
      <c r="BT71" s="22">
        <v>0</v>
      </c>
      <c r="BV71" s="22">
        <f>(5283+23538)/1000</f>
        <v>28.821000000000002</v>
      </c>
      <c r="BW71" s="22">
        <f>(1352416)/1000</f>
        <v>1352.4159999999999</v>
      </c>
      <c r="BY71" s="22">
        <f>(2485+23538)/1000</f>
        <v>26.023</v>
      </c>
      <c r="BZ71" s="22">
        <f>(1351295)/1000</f>
        <v>1351.2950000000001</v>
      </c>
      <c r="CB71" s="16"/>
      <c r="CC71" s="16"/>
    </row>
    <row r="72" spans="2:81" s="6" customFormat="1" ht="13.5" customHeight="1">
      <c r="B72" s="23" t="s">
        <v>279</v>
      </c>
      <c r="C72" s="24">
        <f t="shared" ref="C72:D72" si="309">SUM(C68:C71)</f>
        <v>8280.9499999999989</v>
      </c>
      <c r="D72" s="24">
        <f t="shared" si="309"/>
        <v>9944.1049999999996</v>
      </c>
      <c r="E72" s="24">
        <f t="shared" ref="E72" si="310">SUM(E68:E71)</f>
        <v>7101.7649999999994</v>
      </c>
      <c r="F72" s="24">
        <f t="shared" ref="F72:J72" si="311">SUM(F68:F71)</f>
        <v>13613.442999999994</v>
      </c>
      <c r="G72" s="24">
        <f t="shared" si="311"/>
        <v>12647.967999999997</v>
      </c>
      <c r="H72" s="24">
        <f t="shared" si="311"/>
        <v>13337.668999999996</v>
      </c>
      <c r="I72" s="24">
        <f t="shared" ref="I72:K72" si="312">SUM(I68:I71)</f>
        <v>8376.5190000000039</v>
      </c>
      <c r="J72" s="24">
        <f t="shared" si="311"/>
        <v>10905.637999999997</v>
      </c>
      <c r="K72" s="24">
        <f t="shared" si="312"/>
        <v>5539.1640000000007</v>
      </c>
      <c r="L72" s="24">
        <f t="shared" ref="L72:M72" si="313">SUM(L68:L71)</f>
        <v>4592.4239999999991</v>
      </c>
      <c r="M72" s="24">
        <f t="shared" si="313"/>
        <v>9570.3699999999972</v>
      </c>
      <c r="N72" s="24">
        <f t="shared" ref="N72" si="314">SUM(N68:N71)</f>
        <v>9878.5969999999961</v>
      </c>
      <c r="O72" s="24">
        <f t="shared" ref="O72:P72" si="315">SUM(O68:O71)</f>
        <v>14183.206000000006</v>
      </c>
      <c r="P72" s="24">
        <f t="shared" si="315"/>
        <v>8770.2080000000005</v>
      </c>
      <c r="Q72" s="24">
        <f t="shared" ref="Q72" si="316">SUM(Q68:Q71)</f>
        <v>8146.9209999999985</v>
      </c>
      <c r="R72" s="24">
        <f t="shared" ref="R72" si="317">SUM(R68:R71)</f>
        <v>6168.3690000000015</v>
      </c>
      <c r="S72" s="32"/>
      <c r="T72" s="24">
        <f t="shared" ref="T72:V72" si="318">SUM(T68:T71)</f>
        <v>-994.6869999999999</v>
      </c>
      <c r="U72" s="24">
        <f t="shared" si="318"/>
        <v>375.31599999999935</v>
      </c>
      <c r="V72" s="24">
        <f t="shared" si="318"/>
        <v>1577.2889999999984</v>
      </c>
      <c r="W72" s="24">
        <f t="shared" ref="W72" si="319">SUM(W68:W71)</f>
        <v>6143.8470000000025</v>
      </c>
      <c r="X72" s="24">
        <f t="shared" ref="X72:AB72" si="320">SUM(X68:X71)</f>
        <v>4151.6379999999999</v>
      </c>
      <c r="Y72" s="24">
        <f t="shared" si="320"/>
        <v>3374.0449999999992</v>
      </c>
      <c r="Z72" s="24">
        <f t="shared" si="320"/>
        <v>3208.4320000000034</v>
      </c>
      <c r="AA72" s="24">
        <f t="shared" si="320"/>
        <v>2879.327999999995</v>
      </c>
      <c r="AB72" s="24">
        <f t="shared" si="320"/>
        <v>3242.0110000000013</v>
      </c>
      <c r="AC72" s="24">
        <f t="shared" ref="AC72" si="321">SUM(AC68:AC71)</f>
        <v>3094.4199999999983</v>
      </c>
      <c r="AD72" s="24">
        <f t="shared" ref="AD72:AG72" si="322">SUM(AD68:AD71)</f>
        <v>3598.6989999999983</v>
      </c>
      <c r="AE72" s="24">
        <f t="shared" si="322"/>
        <v>2712.8380000000006</v>
      </c>
      <c r="AF72" s="24">
        <f t="shared" si="322"/>
        <v>2790.0450000000005</v>
      </c>
      <c r="AG72" s="24">
        <f t="shared" si="322"/>
        <v>3708.8409999999999</v>
      </c>
      <c r="AH72" s="24">
        <f t="shared" ref="AH72:AS72" si="323">SUM(AH68:AH71)</f>
        <v>3976.2690000000002</v>
      </c>
      <c r="AI72" s="24">
        <f t="shared" si="323"/>
        <v>2862.5139999999978</v>
      </c>
      <c r="AJ72" s="220"/>
      <c r="AK72" s="220"/>
      <c r="AL72" s="220"/>
      <c r="AM72" s="220"/>
      <c r="AN72" s="24">
        <f t="shared" ref="AN72:AP72" si="324">SUM(AN68:AN71)</f>
        <v>3232.3249999999998</v>
      </c>
      <c r="AO72" s="24">
        <f t="shared" si="324"/>
        <v>-696.00699999999961</v>
      </c>
      <c r="AP72" s="24">
        <f t="shared" si="324"/>
        <v>2670.1999999999971</v>
      </c>
      <c r="AQ72" s="24">
        <f t="shared" ref="AQ72" si="325">SUM(AQ68:AQ71)</f>
        <v>3170.001000000002</v>
      </c>
      <c r="AR72" s="24">
        <f t="shared" si="323"/>
        <v>2579.8620000000001</v>
      </c>
      <c r="AS72" s="24">
        <f t="shared" si="323"/>
        <v>-1376.6549999999988</v>
      </c>
      <c r="AT72" s="24">
        <f t="shared" ref="AT72:BA72" si="326">SUM(AT68:AT71)</f>
        <v>1938.5999999999976</v>
      </c>
      <c r="AU72" s="24">
        <f t="shared" si="326"/>
        <v>2397.3570000000027</v>
      </c>
      <c r="AV72" s="24">
        <f t="shared" ref="AV72:AW72" si="327">SUM(AV68:AV71)</f>
        <v>1774.3999999999969</v>
      </c>
      <c r="AW72" s="24">
        <f t="shared" si="327"/>
        <v>1614.8170000000023</v>
      </c>
      <c r="AX72" s="24">
        <f t="shared" si="326"/>
        <v>1845.955999999999</v>
      </c>
      <c r="AY72" s="24">
        <f t="shared" ref="AY72" si="328">SUM(AY68:AY71)</f>
        <v>1612.5249999999994</v>
      </c>
      <c r="AZ72" s="24">
        <f t="shared" si="326"/>
        <v>2220.3040000000005</v>
      </c>
      <c r="BA72" s="24">
        <f t="shared" si="326"/>
        <v>1994.690000000001</v>
      </c>
      <c r="BB72" s="24">
        <f t="shared" ref="BB72:BF72" si="329">SUM(BB68:BB71)</f>
        <v>3243.8620000000001</v>
      </c>
      <c r="BC72" s="24">
        <f t="shared" si="329"/>
        <v>3067.8620000000001</v>
      </c>
      <c r="BD72" s="24">
        <f t="shared" si="329"/>
        <v>2436.2479999999973</v>
      </c>
      <c r="BE72" s="24">
        <f t="shared" si="329"/>
        <v>2958.63</v>
      </c>
      <c r="BF72" s="24">
        <f t="shared" si="329"/>
        <v>3805.1519999999991</v>
      </c>
      <c r="BG72" s="24">
        <f t="shared" ref="BG72:BP72" si="330">SUM(BG68:BG71)</f>
        <v>3596.742000000002</v>
      </c>
      <c r="BH72" s="24">
        <f t="shared" si="330"/>
        <v>3822.6820000000016</v>
      </c>
      <c r="BI72" s="24">
        <f t="shared" si="330"/>
        <v>2949.3839999999996</v>
      </c>
      <c r="BJ72" s="24">
        <f t="shared" si="330"/>
        <v>2453.19</v>
      </c>
      <c r="BK72" s="24">
        <f t="shared" ref="BK72:BM72" si="331">SUM(BK68:BK71)</f>
        <v>1841.537</v>
      </c>
      <c r="BL72" s="24">
        <f t="shared" si="331"/>
        <v>902.80999999999949</v>
      </c>
      <c r="BM72" s="24">
        <f t="shared" si="331"/>
        <v>970.83199999999999</v>
      </c>
      <c r="BO72" s="24">
        <f t="shared" si="330"/>
        <v>3203.5199999999973</v>
      </c>
      <c r="BP72" s="24">
        <f t="shared" si="330"/>
        <v>3025.3069999999998</v>
      </c>
      <c r="BQ72" s="24">
        <f t="shared" ref="BQ72:BT72" si="332">SUM(BQ68:BQ71)</f>
        <v>2516.4009999999998</v>
      </c>
      <c r="BR72" s="24">
        <f t="shared" si="332"/>
        <v>2376.487000000001</v>
      </c>
      <c r="BS72" s="24">
        <f t="shared" si="332"/>
        <v>852.01300000000401</v>
      </c>
      <c r="BT72" s="24">
        <f t="shared" si="332"/>
        <v>1714.1170000000004</v>
      </c>
      <c r="BV72" s="24">
        <f t="shared" ref="BV72" si="333">SUM(BV68:BV71)</f>
        <v>4130.9119999999994</v>
      </c>
      <c r="BW72" s="24">
        <f t="shared" ref="BW72" si="334">SUM(BW68:BW71)</f>
        <v>4167.5730000000003</v>
      </c>
      <c r="BY72" s="24">
        <f t="shared" ref="BY72:BZ72" si="335">SUM(BY68:BY71)</f>
        <v>6507.3490000000011</v>
      </c>
      <c r="BZ72" s="24">
        <f t="shared" si="335"/>
        <v>6009.130000000001</v>
      </c>
      <c r="CB72" s="16"/>
      <c r="CC72" s="16"/>
    </row>
    <row r="73" spans="2:81" s="6" customFormat="1" ht="13.5" customHeight="1">
      <c r="B73" s="25" t="s">
        <v>280</v>
      </c>
      <c r="C73" s="22">
        <f>479.338+0-1.622+186.804</f>
        <v>664.52</v>
      </c>
      <c r="D73" s="22">
        <f>140.068-0.649+0.025+239.343</f>
        <v>378.78700000000003</v>
      </c>
      <c r="E73" s="22">
        <f>-0.191+90.187-0.397+223.962</f>
        <v>313.56099999999998</v>
      </c>
      <c r="F73" s="22">
        <f>133.618-33.03+97.5+96.149+0.241+230.232-41.336-38.712</f>
        <v>444.66199999999992</v>
      </c>
      <c r="G73" s="22">
        <f>580.79+601.802+150.582-22.495-0.647+4.884+192.101</f>
        <v>1507.0170000000003</v>
      </c>
      <c r="H73" s="22">
        <f>150.263-1400.993+0.559-29.794-0.282+5.262+149.82+5.837</f>
        <v>-1119.3280000000002</v>
      </c>
      <c r="I73" s="22">
        <f>-569.293-7.556+1753.04-95.703+1.094+16.524+228.644</f>
        <v>1326.7499999999998</v>
      </c>
      <c r="J73" s="22">
        <f>80.4-1400.993+0.559-123.866-0.282+5.262+149.82+5.837</f>
        <v>-1283.2629999999999</v>
      </c>
      <c r="K73" s="22">
        <f>-569.293-7.556+1753.04-95.703+1.094+16.524+228.644</f>
        <v>1326.7499999999998</v>
      </c>
      <c r="L73" s="22">
        <f>-11584.996-SUM(L69,L70,L71)</f>
        <v>1377.3279999999995</v>
      </c>
      <c r="M73" s="22">
        <f>-4700.105-SUM(M69,M70,M71)</f>
        <v>3036.6390000000001</v>
      </c>
      <c r="N73" s="22">
        <f>-4914.237-SUM(N69,N70,N71)</f>
        <v>2979.5029999999997</v>
      </c>
      <c r="O73" s="22">
        <f>-5576.479-SUM(O69,O70,O71)</f>
        <v>272.44399999999951</v>
      </c>
      <c r="P73" s="22">
        <f>-1090.492+845.987-0.554-209.409+23.768-65.454+0.476+547.612+263.341</f>
        <v>315.27500000000003</v>
      </c>
      <c r="Q73" s="22">
        <f>-820.665+778.085-0.7+12.35-27.127+1.191+843.557+212.422</f>
        <v>999.11300000000006</v>
      </c>
      <c r="R73" s="21">
        <f t="shared" ref="R73:R77" si="336">BJ73+BK73+BL73+BM73</f>
        <v>1893.758347</v>
      </c>
      <c r="S73" s="32"/>
      <c r="T73" s="22">
        <f>31.252+0.209+65.802</f>
        <v>97.263000000000005</v>
      </c>
      <c r="U73" s="22">
        <f>-48.53+49.017+0.057+118.368-T73</f>
        <v>21.648999999999987</v>
      </c>
      <c r="V73" s="22">
        <f>36.394+90.187+0.064+168.292-U73-T73</f>
        <v>176.02500000000001</v>
      </c>
      <c r="W73" s="21">
        <f>+E73-T73-U73-V73</f>
        <v>18.623999999999995</v>
      </c>
      <c r="X73" s="22">
        <f>-4.08-21.933+0-0.522+55.239</f>
        <v>28.704000000000001</v>
      </c>
      <c r="Y73" s="22">
        <f>-212.808-27.544+96.149+0.092+107.769-X73</f>
        <v>-65.045999999999992</v>
      </c>
      <c r="Z73" s="22">
        <f>-96.888-12.45+96.149+0.139+173.529-Y73-X73</f>
        <v>196.82099999999997</v>
      </c>
      <c r="AA73" s="21">
        <f>F73-Z73-Y73-X73</f>
        <v>284.18299999999994</v>
      </c>
      <c r="AB73" s="22">
        <f>320.872+73.725+0.564+42.985</f>
        <v>438.14600000000002</v>
      </c>
      <c r="AC73" s="22">
        <f>310.388-9.235+149.85+0.662+90.247+577.709-AB73</f>
        <v>681.47499999999991</v>
      </c>
      <c r="AD73" s="22">
        <f>383.407-2.025+0.027+130.304+580.79-1.899+150.506+6.783-AC73-AB73</f>
        <v>128.27200000000011</v>
      </c>
      <c r="AE73" s="21">
        <f>+G73-AB73-AC73-AD73</f>
        <v>259.12400000000031</v>
      </c>
      <c r="AF73" s="22">
        <f>-355.748+0.316-7.97+0.564+0.056+33.237</f>
        <v>-329.54500000000002</v>
      </c>
      <c r="AG73" s="22">
        <f>-366.386-29.511-7.97+0.515-14.822+0.065+5.262+69.329-AF73</f>
        <v>-13.97300000000007</v>
      </c>
      <c r="AH73" s="22">
        <f>-1.678-42.817+5.262-0.112+107.338-8.012+0.083-22.147-AF73-AG73</f>
        <v>381.43500000000006</v>
      </c>
      <c r="AI73" s="21">
        <f>+H73-AF73-AG73-AH73</f>
        <v>-1157.2450000000001</v>
      </c>
      <c r="AJ73" s="219"/>
      <c r="AK73" s="219"/>
      <c r="AL73" s="219"/>
      <c r="AM73" s="221"/>
      <c r="AN73" s="22">
        <f>-1798.861-AN71-AN70-AN69</f>
        <v>-24.276000000000067</v>
      </c>
      <c r="AO73" s="22">
        <f>-46.432-8.165+0.224-87.182+0.935+78.807-AN73</f>
        <v>-37.536999999999935</v>
      </c>
      <c r="AP73" s="22">
        <f>-4.441-9.796+0.232-98.055+0.171+132.967-AN73-AO73</f>
        <v>82.89100000000002</v>
      </c>
      <c r="AQ73" s="22">
        <f>I73-SUM(AN73:AP73)</f>
        <v>1305.6719999999998</v>
      </c>
      <c r="AR73" s="22">
        <f>-1798.861-AR71-AR70-AR69</f>
        <v>-24.276000000000067</v>
      </c>
      <c r="AS73" s="22">
        <f>-46.432-8.165+0.224-87.182+0.935+78.807-AR73</f>
        <v>-37.536999999999935</v>
      </c>
      <c r="AT73" s="22">
        <f>-4.441-9.796+0.232-98.055+0.171+132.967-AR73-AS73</f>
        <v>82.89100000000002</v>
      </c>
      <c r="AU73" s="21">
        <f>K73-AR73-AS73-AT73</f>
        <v>1305.6719999999998</v>
      </c>
      <c r="AV73" s="22">
        <f>-4.441-9.796+0.232-98.055+0.171+132.967-AR73-AS73</f>
        <v>82.89100000000002</v>
      </c>
      <c r="AW73" s="21">
        <f>L73-AR73-AS73-AV73</f>
        <v>1356.2499999999995</v>
      </c>
      <c r="AX73" s="22">
        <f>-1332.048-AX71-AX70-AX69</f>
        <v>664.83800000000019</v>
      </c>
      <c r="AY73" s="22">
        <f>-1332.048-AY71-AY70-AY69</f>
        <v>664.83800000000019</v>
      </c>
      <c r="AZ73" s="22">
        <f>448.015+244.637-0.294+161.805-7.818+2431.867-77.338-AX73</f>
        <v>2536.0360000000001</v>
      </c>
      <c r="BA73" s="22">
        <f>448.015+244.637-0.294+161.805-7.818+2431.867-77.338-AY73</f>
        <v>2536.0360000000001</v>
      </c>
      <c r="BB73" s="22">
        <f>380.667-7.818+402-109.234+2431.867+0.111+0.443-95.118-0.932+368.897+233.232-AX73-AZ73</f>
        <v>403.24099999999999</v>
      </c>
      <c r="BC73" s="22">
        <f>380.667-7.818+402-109.234+2431.867+0.111+0.443-95.118-0.932+368.897+233.232-AX73-AZ73</f>
        <v>403.24099999999999</v>
      </c>
      <c r="BD73" s="21">
        <f>M73-AZ73-AX73-BC73</f>
        <v>-567.47600000000011</v>
      </c>
      <c r="BE73" s="22">
        <f>-1359.606-BE71-BE70-BE69</f>
        <v>315.30099999999993</v>
      </c>
      <c r="BF73" s="22">
        <f>55.236+271.819+0.271+134.763-42.393+23.768-14.431-BE73</f>
        <v>113.73200000000014</v>
      </c>
      <c r="BG73" s="22">
        <f>-50.729-123.918+23.538-28.925+0.148+23.768+407.821+202.285-BF73-BE73</f>
        <v>24.954999999999984</v>
      </c>
      <c r="BH73" s="32">
        <f t="shared" si="275"/>
        <v>-181.54400000000055</v>
      </c>
      <c r="BI73" s="22">
        <f>(-891346-BI71-BI70-BI69)/1000</f>
        <v>-890.290347</v>
      </c>
      <c r="BJ73" s="32">
        <f>BW73-BI73</f>
        <v>1325.2533470000001</v>
      </c>
      <c r="BK73" s="32">
        <f t="shared" ref="BK73:BK77" si="337">BZ73-BW73</f>
        <v>12.230999999999995</v>
      </c>
      <c r="BL73" s="32">
        <f t="shared" ref="BL73:BL77" si="338">Q73-SUM(BI73:BK73)</f>
        <v>551.91899999999998</v>
      </c>
      <c r="BM73" s="22">
        <f>-222.367+63.342-7.683-0.8+0.07+139.793+32</f>
        <v>4.3550000000000182</v>
      </c>
      <c r="BO73" s="32">
        <f>N73-SUM(AY73,BA73,BC73)</f>
        <v>-624.61200000000053</v>
      </c>
      <c r="BP73" s="22">
        <f>-1359.606-BP71-BP70-BP69</f>
        <v>315.30099999999993</v>
      </c>
      <c r="BQ73" s="32">
        <f>BV73-BP73</f>
        <v>113.82300000000009</v>
      </c>
      <c r="BR73" s="32">
        <f t="shared" ref="BR73:BR77" si="339">BY73-BV73</f>
        <v>0.77199999999999136</v>
      </c>
      <c r="BS73" s="32">
        <f>P73-BR73-BQ73-BP73</f>
        <v>-114.62099999999998</v>
      </c>
      <c r="BT73" s="22">
        <f>-311.164+230.742-1.254+32.138-22.046+0.394+165.459+70.038</f>
        <v>164.30700000000002</v>
      </c>
      <c r="BV73" s="22">
        <f>(55236-42393+23768-14431+271+271910+134763)/1000</f>
        <v>429.12400000000002</v>
      </c>
      <c r="BW73" s="22">
        <f>(17063-1208+24306-44814+1188+308105+130323)/1000</f>
        <v>434.96300000000002</v>
      </c>
      <c r="BY73" s="22">
        <f>(-50729-554-123918+23768-28925+148+407821+202285)/1000</f>
        <v>429.89600000000002</v>
      </c>
      <c r="BZ73" s="22">
        <f>(-182106-1202+41158-32759+1622+455617+164864)/1000</f>
        <v>447.19400000000002</v>
      </c>
      <c r="CB73" s="16"/>
      <c r="CC73" s="16"/>
    </row>
    <row r="74" spans="2:81" ht="13.5" customHeight="1">
      <c r="B74" s="25" t="s">
        <v>281</v>
      </c>
      <c r="C74" s="22">
        <f>10.477-0.171</f>
        <v>10.306000000000001</v>
      </c>
      <c r="D74" s="22">
        <f>7.65+0</f>
        <v>7.65</v>
      </c>
      <c r="E74" s="22">
        <v>10.962999999999999</v>
      </c>
      <c r="F74" s="22">
        <v>16.388999999999999</v>
      </c>
      <c r="G74" s="22">
        <f>-40.469</f>
        <v>-40.469000000000001</v>
      </c>
      <c r="H74" s="22">
        <v>-0.309</v>
      </c>
      <c r="I74" s="22">
        <v>0</v>
      </c>
      <c r="J74" s="22">
        <v>-0.309</v>
      </c>
      <c r="K74" s="22">
        <v>0</v>
      </c>
      <c r="L74" s="22">
        <v>0</v>
      </c>
      <c r="M74" s="22">
        <v>0</v>
      </c>
      <c r="N74" s="22">
        <v>0</v>
      </c>
      <c r="O74" s="22">
        <v>0</v>
      </c>
      <c r="P74" s="22">
        <v>0</v>
      </c>
      <c r="Q74" s="22">
        <v>0</v>
      </c>
      <c r="R74" s="21">
        <f t="shared" si="336"/>
        <v>1.8280000000000001</v>
      </c>
      <c r="S74" s="32"/>
      <c r="T74" s="22">
        <v>3.306</v>
      </c>
      <c r="U74" s="22">
        <f>6.497-T74</f>
        <v>3.1909999999999998</v>
      </c>
      <c r="V74" s="22">
        <f>6.678-T74-U74</f>
        <v>0.18100000000000005</v>
      </c>
      <c r="W74" s="21">
        <f>+E74-T74-U74-V74</f>
        <v>4.2849999999999993</v>
      </c>
      <c r="X74" s="22">
        <v>4.1580000000000004</v>
      </c>
      <c r="Y74" s="22">
        <f>16.389-X74</f>
        <v>12.230999999999998</v>
      </c>
      <c r="Z74" s="22">
        <f>16.389-Y74-X74</f>
        <v>0</v>
      </c>
      <c r="AA74" s="21">
        <f>F74-Z74-Y74-X74</f>
        <v>0</v>
      </c>
      <c r="AB74" s="22">
        <v>0</v>
      </c>
      <c r="AC74" s="22">
        <f>0-AB74</f>
        <v>0</v>
      </c>
      <c r="AD74" s="22">
        <f>0-40.469-AC74-AB74</f>
        <v>-40.469000000000001</v>
      </c>
      <c r="AE74" s="21">
        <f>+G74-AB74-AC74-AD74</f>
        <v>0</v>
      </c>
      <c r="AF74" s="22">
        <v>0</v>
      </c>
      <c r="AG74" s="22">
        <f>0-AF74</f>
        <v>0</v>
      </c>
      <c r="AH74" s="22">
        <f>0-AG74-AF74</f>
        <v>0</v>
      </c>
      <c r="AI74" s="21">
        <f>+H74-AF74-AG74-AH74</f>
        <v>-0.309</v>
      </c>
      <c r="AJ74" s="219"/>
      <c r="AK74" s="219"/>
      <c r="AL74" s="219"/>
      <c r="AM74" s="221"/>
      <c r="AN74" s="22">
        <v>0</v>
      </c>
      <c r="AO74" s="22">
        <f>0-AN74</f>
        <v>0</v>
      </c>
      <c r="AP74" s="22">
        <f>31.122-AO74-AN74</f>
        <v>31.122</v>
      </c>
      <c r="AQ74" s="22">
        <f>I74-SUM(AN74:AP74)</f>
        <v>-31.122</v>
      </c>
      <c r="AR74" s="22">
        <v>0</v>
      </c>
      <c r="AS74" s="22">
        <f>0-AR74</f>
        <v>0</v>
      </c>
      <c r="AT74" s="22">
        <f>31.122-AS74-AR74</f>
        <v>31.122</v>
      </c>
      <c r="AU74" s="21">
        <f>K74-AR74-AS74-AT74</f>
        <v>-31.122</v>
      </c>
      <c r="AV74" s="22">
        <f>31.122-AS74-AR74</f>
        <v>31.122</v>
      </c>
      <c r="AW74" s="21">
        <f>L74-AR74-AS74-AV74</f>
        <v>-31.122</v>
      </c>
      <c r="AX74" s="22">
        <v>0</v>
      </c>
      <c r="AY74" s="22">
        <v>0</v>
      </c>
      <c r="AZ74" s="22">
        <f>0-AX74</f>
        <v>0</v>
      </c>
      <c r="BA74" s="22">
        <f>0-AY74</f>
        <v>0</v>
      </c>
      <c r="BB74" s="22">
        <f>25.764-AZ74-AX74</f>
        <v>25.763999999999999</v>
      </c>
      <c r="BC74" s="22">
        <f>25.764-AZ74-AX74</f>
        <v>25.763999999999999</v>
      </c>
      <c r="BD74" s="21">
        <f>M74-AZ74-AX74-BC74</f>
        <v>-25.763999999999999</v>
      </c>
      <c r="BE74" s="22">
        <v>0</v>
      </c>
      <c r="BF74" s="22">
        <f>0-BE74</f>
        <v>0</v>
      </c>
      <c r="BG74" s="22">
        <f>0-BF74-BE74</f>
        <v>0</v>
      </c>
      <c r="BH74" s="32">
        <f t="shared" si="275"/>
        <v>0</v>
      </c>
      <c r="BI74" s="22">
        <v>0</v>
      </c>
      <c r="BJ74" s="32">
        <f>BW74-BI74</f>
        <v>-0.123</v>
      </c>
      <c r="BK74" s="32">
        <f t="shared" si="337"/>
        <v>0.123</v>
      </c>
      <c r="BL74" s="32">
        <f t="shared" si="338"/>
        <v>0</v>
      </c>
      <c r="BM74" s="22">
        <v>1.8280000000000001</v>
      </c>
      <c r="BO74" s="32">
        <f>N74-SUM(AY74,BA74,BC74)</f>
        <v>-25.763999999999999</v>
      </c>
      <c r="BP74" s="22">
        <v>0</v>
      </c>
      <c r="BQ74" s="32">
        <f>BV74-BP74</f>
        <v>0</v>
      </c>
      <c r="BR74" s="32">
        <f t="shared" si="339"/>
        <v>0</v>
      </c>
      <c r="BS74" s="32">
        <f>P74-BR74-BQ74-BP74</f>
        <v>0</v>
      </c>
      <c r="BT74" s="22">
        <v>0</v>
      </c>
      <c r="BV74" s="22">
        <v>0</v>
      </c>
      <c r="BW74" s="22">
        <f>(-123)/1000</f>
        <v>-0.123</v>
      </c>
      <c r="BY74" s="22">
        <v>0</v>
      </c>
      <c r="BZ74" s="22">
        <v>0</v>
      </c>
      <c r="CB74" s="16"/>
      <c r="CC74" s="16"/>
    </row>
    <row r="75" spans="2:81" ht="13.5" customHeight="1">
      <c r="B75" s="25" t="s">
        <v>282</v>
      </c>
      <c r="C75" s="22">
        <f>-790.477-112.241</f>
        <v>-902.71799999999996</v>
      </c>
      <c r="D75" s="22">
        <f>-379.252-115.136</f>
        <v>-494.38800000000003</v>
      </c>
      <c r="E75" s="22">
        <f>-691.114-164.331</f>
        <v>-855.44500000000005</v>
      </c>
      <c r="F75" s="22">
        <f>-538.283-75.386</f>
        <v>-613.66899999999998</v>
      </c>
      <c r="G75" s="22">
        <f>-595.993-256.739</f>
        <v>-852.73199999999997</v>
      </c>
      <c r="H75" s="22">
        <f>-825.539-204.776</f>
        <v>-1030.3150000000001</v>
      </c>
      <c r="I75" s="22">
        <f>-504.724-192.565</f>
        <v>-697.28899999999999</v>
      </c>
      <c r="J75" s="22">
        <f>-825.539-204.776</f>
        <v>-1030.3150000000001</v>
      </c>
      <c r="K75" s="22">
        <f>-504.724-192.565</f>
        <v>-697.28899999999999</v>
      </c>
      <c r="L75" s="22">
        <f>-504.724-190.865</f>
        <v>-695.58899999999994</v>
      </c>
      <c r="M75" s="22">
        <f>-1743.854-304.461</f>
        <v>-2048.3150000000001</v>
      </c>
      <c r="N75" s="22">
        <f>-1743.854-304.461</f>
        <v>-2048.3150000000001</v>
      </c>
      <c r="O75" s="22">
        <f>-918.192-343.718</f>
        <v>-1261.9100000000001</v>
      </c>
      <c r="P75" s="22">
        <f>-918.192-344.389</f>
        <v>-1262.5810000000001</v>
      </c>
      <c r="Q75" s="22">
        <f>-918.586-427.852</f>
        <v>-1346.4380000000001</v>
      </c>
      <c r="R75" s="21">
        <f t="shared" si="336"/>
        <v>-1354.489</v>
      </c>
      <c r="S75" s="32"/>
      <c r="T75" s="22">
        <v>-5.6050000000000004</v>
      </c>
      <c r="U75" s="22">
        <f>-21.603-T75</f>
        <v>-15.998000000000001</v>
      </c>
      <c r="V75" s="22">
        <f>-267.116-237.627-T75-U75</f>
        <v>-483.14</v>
      </c>
      <c r="W75" s="21">
        <f>+E75-T75-U75-V75</f>
        <v>-350.702</v>
      </c>
      <c r="X75" s="22">
        <v>0</v>
      </c>
      <c r="Y75" s="22">
        <f>-48.051-218.307-X75</f>
        <v>-266.358</v>
      </c>
      <c r="Z75" s="22">
        <f>-74.41-218.307-X75-Y75</f>
        <v>-26.35899999999998</v>
      </c>
      <c r="AA75" s="21">
        <f>F75-Z75-Y75-X75</f>
        <v>-320.95199999999994</v>
      </c>
      <c r="AB75" s="22">
        <v>-3.78</v>
      </c>
      <c r="AC75" s="22">
        <f>-78.423-412.603-AB75</f>
        <v>-487.24600000000004</v>
      </c>
      <c r="AD75" s="22">
        <f>-412.603-144.888-AB75-AC75</f>
        <v>-66.464999999999975</v>
      </c>
      <c r="AE75" s="21">
        <f>+G75-AB75-AC75-AD75</f>
        <v>-295.24099999999999</v>
      </c>
      <c r="AF75" s="22">
        <v>-44.115000000000002</v>
      </c>
      <c r="AG75" s="22">
        <f>-107.294-458.631-AF75</f>
        <v>-521.80999999999995</v>
      </c>
      <c r="AH75" s="22">
        <f>-141.672-825.539-AF75-AG75</f>
        <v>-401.28600000000006</v>
      </c>
      <c r="AI75" s="21">
        <f>+H75-AF75-AG75-AH75</f>
        <v>-63.104000000000042</v>
      </c>
      <c r="AJ75" s="219"/>
      <c r="AK75" s="219"/>
      <c r="AL75" s="219"/>
      <c r="AM75" s="221"/>
      <c r="AN75" s="22">
        <f>-504.724-36.683</f>
        <v>-541.40700000000004</v>
      </c>
      <c r="AO75" s="22">
        <f>-504.724-127.276-AN75</f>
        <v>-90.592999999999961</v>
      </c>
      <c r="AP75" s="22">
        <f>-504.724-131.014-AN75-AO75</f>
        <v>-3.7380000000000564</v>
      </c>
      <c r="AQ75" s="22">
        <f>I75-SUM(AN75:AP75)</f>
        <v>-61.550999999999931</v>
      </c>
      <c r="AR75" s="22">
        <f>-504.724-36.683</f>
        <v>-541.40700000000004</v>
      </c>
      <c r="AS75" s="22">
        <f>-504.724-127.276-AR75</f>
        <v>-90.592999999999961</v>
      </c>
      <c r="AT75" s="22">
        <f>-504.724-131.014-AR75-AS75</f>
        <v>-3.7380000000000564</v>
      </c>
      <c r="AU75" s="21">
        <f>K75-AR75-AS75-AT75</f>
        <v>-61.550999999999931</v>
      </c>
      <c r="AV75" s="22">
        <f>-504.724-131.014-AR75-AS75</f>
        <v>-3.7380000000000564</v>
      </c>
      <c r="AW75" s="21">
        <f>L75-AR75-AS75-AV75</f>
        <v>-59.850999999999885</v>
      </c>
      <c r="AX75" s="22">
        <f>-1284.9-54.086</f>
        <v>-1338.9860000000001</v>
      </c>
      <c r="AY75" s="22">
        <f>-1284.9-54.086</f>
        <v>-1338.9860000000001</v>
      </c>
      <c r="AZ75" s="22">
        <f>-141.901-1284.9-AX75</f>
        <v>-87.815000000000055</v>
      </c>
      <c r="BA75" s="22">
        <f>-141.901-1284.9-AY75</f>
        <v>-87.815000000000055</v>
      </c>
      <c r="BB75" s="22">
        <f>-1284.9-237.5-AX75-AZ75</f>
        <v>-95.598999999999933</v>
      </c>
      <c r="BC75" s="22">
        <f>-1284.9-237.5-AX75-AZ75</f>
        <v>-95.598999999999933</v>
      </c>
      <c r="BD75" s="21">
        <f>M75-AZ75-AX75-BC75</f>
        <v>-525.91499999999996</v>
      </c>
      <c r="BE75" s="22">
        <v>-1.9E-2</v>
      </c>
      <c r="BF75" s="22">
        <f>-155.408-459.096-BE75</f>
        <v>-614.48500000000001</v>
      </c>
      <c r="BG75" s="22">
        <f>-459.096-279.024-BF75-BE75</f>
        <v>-123.61599999999999</v>
      </c>
      <c r="BH75" s="32">
        <f t="shared" si="275"/>
        <v>-523.79000000000008</v>
      </c>
      <c r="BI75" s="22">
        <v>-7.24</v>
      </c>
      <c r="BJ75" s="32">
        <f>BW75-BI75</f>
        <v>-721.95600000000002</v>
      </c>
      <c r="BK75" s="32">
        <f t="shared" si="337"/>
        <v>-72.697999999999979</v>
      </c>
      <c r="BL75" s="32">
        <f t="shared" si="338"/>
        <v>-544.5440000000001</v>
      </c>
      <c r="BM75" s="22">
        <v>-15.291</v>
      </c>
      <c r="BO75" s="32">
        <f>N75-SUM(AY75,BA75,BC75)</f>
        <v>-525.91499999999996</v>
      </c>
      <c r="BP75" s="22">
        <v>-1.9E-2</v>
      </c>
      <c r="BQ75" s="32">
        <f>BV75-BP75</f>
        <v>-614.48500000000001</v>
      </c>
      <c r="BR75" s="32">
        <f t="shared" si="339"/>
        <v>-123.61599999999999</v>
      </c>
      <c r="BS75" s="32">
        <f>P75-BR75-BQ75-BP75</f>
        <v>-524.46100000000013</v>
      </c>
      <c r="BT75" s="22">
        <v>-7.24</v>
      </c>
      <c r="BV75" s="22">
        <f>(-459096-155408)/1000</f>
        <v>-614.50400000000002</v>
      </c>
      <c r="BW75" s="22">
        <f>(-459274-269922)/1000</f>
        <v>-729.19600000000003</v>
      </c>
      <c r="BY75" s="22">
        <f>(-459096-279024)/1000</f>
        <v>-738.12</v>
      </c>
      <c r="BZ75" s="22">
        <f>(-459274-342620)/1000</f>
        <v>-801.89400000000001</v>
      </c>
      <c r="CB75" s="16"/>
      <c r="CC75" s="16"/>
    </row>
    <row r="76" spans="2:81" ht="13.5" customHeight="1">
      <c r="B76" s="25" t="s">
        <v>283</v>
      </c>
      <c r="C76" s="22">
        <f>6532.358-4672.168+2489.687-164.502-122.145</f>
        <v>4063.23</v>
      </c>
      <c r="D76" s="22">
        <f>5090.384-7250.018+1712.86-1000-153.693</f>
        <v>-1600.4670000000001</v>
      </c>
      <c r="E76" s="22">
        <f>6779.461-7041.24-334.77</f>
        <v>-596.54899999999952</v>
      </c>
      <c r="F76" s="22">
        <f>3513.881+188.8-4448.26-1606.684-1207.992</f>
        <v>-3560.2550000000001</v>
      </c>
      <c r="G76" s="22">
        <f>11295.628+2091.25-8411.387-3582.091-1328.392</f>
        <v>65.008000000000038</v>
      </c>
      <c r="H76" s="22">
        <f>5095.669-3760.522-666.907-1522.063</f>
        <v>-853.82300000000021</v>
      </c>
      <c r="I76" s="22">
        <f>17209.88+1823-11212.645-790.914-1705.311</f>
        <v>5324.0100000000011</v>
      </c>
      <c r="J76" s="22">
        <f>4557.752-3222.604-666.907-1522.063</f>
        <v>-853.82199999999955</v>
      </c>
      <c r="K76" s="22">
        <f>17209.88+1823-11212.645-790.914-1705.311</f>
        <v>5324.0100000000011</v>
      </c>
      <c r="L76" s="22">
        <f>17281.03+1823-11319.031-790.914-1705.311</f>
        <v>5288.7739999999985</v>
      </c>
      <c r="M76" s="22">
        <f>8874.102-10417.708-37.738-1737.383</f>
        <v>-3318.7269999999999</v>
      </c>
      <c r="N76" s="22">
        <f>8874.102-10417.708-44.402-1759.069</f>
        <v>-3347.0769999999998</v>
      </c>
      <c r="O76" s="22">
        <f>4100.067-4436.072-110.246-1715.226</f>
        <v>-2161.4770000000003</v>
      </c>
      <c r="P76" s="22">
        <f>4100.067-4436.072-1731.173</f>
        <v>-2067.1779999999999</v>
      </c>
      <c r="Q76" s="22">
        <f>4566.904-6606.241-736.707</f>
        <v>-2776.0439999999994</v>
      </c>
      <c r="R76" s="21">
        <f t="shared" si="336"/>
        <v>40.414999999999964</v>
      </c>
      <c r="S76" s="32"/>
      <c r="T76" s="22">
        <f>2294.018-2692.489-57.63</f>
        <v>-456.101</v>
      </c>
      <c r="U76" s="22">
        <f>3564.972-3787.28-87.195-T76</f>
        <v>146.59800000000001</v>
      </c>
      <c r="V76" s="22">
        <f>5237.339-4960.409-109.443-T76-U76</f>
        <v>476.99000000000029</v>
      </c>
      <c r="W76" s="21">
        <f>+E76-T76-U76-V76</f>
        <v>-764.03599999999983</v>
      </c>
      <c r="X76" s="22">
        <f>1181.515-736.436+0-561.298</f>
        <v>-116.21899999999994</v>
      </c>
      <c r="Y76" s="22">
        <f>2025.827-3309.622-823.395-X76</f>
        <v>-1990.9709999999995</v>
      </c>
      <c r="Z76" s="22">
        <f>3772.259-5692.689-1557.349-X76-Y76</f>
        <v>-1370.5890000000009</v>
      </c>
      <c r="AA76" s="21">
        <f>F76-Z76-Y76-X76</f>
        <v>-82.475999999999772</v>
      </c>
      <c r="AB76" s="22">
        <f>1769.347-547.36-106.704-518.262</f>
        <v>597.02100000000019</v>
      </c>
      <c r="AC76" s="22">
        <f>3740.531-2897.986-220.47-1030.442-AB76</f>
        <v>-1005.3880000000001</v>
      </c>
      <c r="AD76" s="22">
        <f>9826.895-5575.704-1113.622-AB76-AC76</f>
        <v>3545.9360000000006</v>
      </c>
      <c r="AE76" s="21">
        <f>+G76-AB76-AC76-AD76</f>
        <v>-3072.5610000000006</v>
      </c>
      <c r="AF76" s="22">
        <f>388.109-735.693-0-494.101</f>
        <v>-841.68499999999995</v>
      </c>
      <c r="AG76" s="22">
        <f>2097.224-2251.299-944.455-AF76</f>
        <v>-256.8449999999998</v>
      </c>
      <c r="AH76" s="22">
        <f>2878.56-2845.516-1238.777-AF76-AG76</f>
        <v>-107.20300000000043</v>
      </c>
      <c r="AI76" s="21">
        <f>+H76-AF76-AG76-AH76</f>
        <v>351.90999999999997</v>
      </c>
      <c r="AJ76" s="219"/>
      <c r="AK76" s="219"/>
      <c r="AL76" s="219"/>
      <c r="AM76" s="221"/>
      <c r="AN76" s="22">
        <f>513.277-588.473-32.23-568.058</f>
        <v>-675.48399999999992</v>
      </c>
      <c r="AO76" s="22">
        <f>6431.065-1332.422-1007.298-AN76</f>
        <v>4766.8289999999997</v>
      </c>
      <c r="AP76" s="22">
        <f>9786.573+1857.5-4146.805-676.86-1404.921-AO76-AN76</f>
        <v>1324.1420000000003</v>
      </c>
      <c r="AQ76" s="22">
        <f>I76-SUM(AN76:AP76)</f>
        <v>-91.476999999998952</v>
      </c>
      <c r="AR76" s="22">
        <f>513.277-588.473-32.23-568.058</f>
        <v>-675.48399999999992</v>
      </c>
      <c r="AS76" s="22">
        <f>6431.065-1332.422-1007.298-AR76</f>
        <v>4766.8289999999997</v>
      </c>
      <c r="AT76" s="22">
        <f>9786.573+1857.5-4146.805-676.86-1404.921-AS76-AR76</f>
        <v>1324.1420000000003</v>
      </c>
      <c r="AU76" s="21">
        <f>K76-AR76-AS76-AT76</f>
        <v>-91.476999999999407</v>
      </c>
      <c r="AV76" s="22">
        <f>9786.573+1857.5-4146.805-676.86-1404.921-AS76-AR76</f>
        <v>1324.1420000000003</v>
      </c>
      <c r="AW76" s="21">
        <f>L76-AR76-AS76-AV76</f>
        <v>-126.71300000000201</v>
      </c>
      <c r="AX76" s="22">
        <f>1800.739-1948.202-548.428</f>
        <v>-695.89099999999996</v>
      </c>
      <c r="AY76" s="22">
        <f>1800.739-1948.202-548.428</f>
        <v>-695.89099999999996</v>
      </c>
      <c r="AZ76" s="22">
        <f>6663.12-8220.891-1133.873-AX76</f>
        <v>-1995.7529999999997</v>
      </c>
      <c r="BA76" s="22">
        <f>6663.12-8220.891-1133.873-AY76</f>
        <v>-1995.7529999999997</v>
      </c>
      <c r="BB76" s="22">
        <f>7791.036+0-9678.936-0-1424.884-AZ76-AX76</f>
        <v>-621.14</v>
      </c>
      <c r="BC76" s="22">
        <f>7791.036+0-9678.936-0-1424.884-AZ76-AX76</f>
        <v>-621.14</v>
      </c>
      <c r="BD76" s="21">
        <f>M76-AZ76-AX76-BC76</f>
        <v>-5.943000000000211</v>
      </c>
      <c r="BE76" s="22">
        <f>1032.209-802.088-41.124-750.266</f>
        <v>-561.26899999999989</v>
      </c>
      <c r="BF76" s="22">
        <f>2914.59-2165.113-114.624+267.57+29.96-1076.887-BE76</f>
        <v>416.76500000000021</v>
      </c>
      <c r="BG76" s="22">
        <f>3754.806-3669.098-108.256-1323.438-BF76-BE76</f>
        <v>-1201.4820000000004</v>
      </c>
      <c r="BH76" s="32">
        <f t="shared" si="275"/>
        <v>-815.49100000000021</v>
      </c>
      <c r="BI76" s="22">
        <f>(1394831-1299977-610461)/1000</f>
        <v>-515.60699999999997</v>
      </c>
      <c r="BJ76" s="32">
        <f>BW76-BI76</f>
        <v>-485.51400000000001</v>
      </c>
      <c r="BK76" s="32">
        <f t="shared" si="337"/>
        <v>-1429.299</v>
      </c>
      <c r="BL76" s="32">
        <f t="shared" si="338"/>
        <v>-345.62399999999934</v>
      </c>
      <c r="BM76" s="22">
        <f>5015.726-2597.36-117.514</f>
        <v>2300.8519999999994</v>
      </c>
      <c r="BO76" s="32">
        <f>N76-SUM(AY76,BA76,BC76)</f>
        <v>-34.29300000000012</v>
      </c>
      <c r="BP76" s="22">
        <f>1032.209-802.088-41.124-750.266</f>
        <v>-561.26899999999989</v>
      </c>
      <c r="BQ76" s="32">
        <f>BV76-BP76</f>
        <v>233.85899999999987</v>
      </c>
      <c r="BR76" s="32">
        <f t="shared" si="339"/>
        <v>-910.31999999999994</v>
      </c>
      <c r="BS76" s="32">
        <f>P76-BR76-BQ76-BP76</f>
        <v>-829.44799999999998</v>
      </c>
      <c r="BT76" s="22">
        <f>1394.831-1299.977-610.461</f>
        <v>-515.6070000000002</v>
      </c>
      <c r="BV76" s="22">
        <f>(2914590-2165113-1076887)/1000</f>
        <v>-327.41000000000003</v>
      </c>
      <c r="BW76" s="22">
        <f>(2765658-3240353-526426)/1000</f>
        <v>-1001.121</v>
      </c>
      <c r="BY76" s="22">
        <f>(3754806-3669098-1323438)/1000</f>
        <v>-1237.73</v>
      </c>
      <c r="BZ76" s="22">
        <f>(4397110-6179895-647635)/1000</f>
        <v>-2430.42</v>
      </c>
      <c r="CB76" s="16"/>
      <c r="CC76" s="16"/>
    </row>
    <row r="77" spans="2:81" ht="13.5" customHeight="1">
      <c r="B77" s="25" t="s">
        <v>284</v>
      </c>
      <c r="C77" s="22">
        <f>667.614+531.235+900-79.835</f>
        <v>2019.0140000000001</v>
      </c>
      <c r="D77" s="22">
        <f>2178.986+1162.44-6.555</f>
        <v>3334.8710000000001</v>
      </c>
      <c r="E77" s="22">
        <f>367.434-1.289+396.456</f>
        <v>762.60100000000011</v>
      </c>
      <c r="F77" s="22">
        <f>82.444-90.704</f>
        <v>-8.2599999999999909</v>
      </c>
      <c r="G77" s="22">
        <f>561.908+9.596+184.092+7.897+294</f>
        <v>1057.4929999999999</v>
      </c>
      <c r="H77" s="22">
        <f>247.237+420.667</f>
        <v>667.904</v>
      </c>
      <c r="I77" s="22">
        <f>167.997-1349.081+0.231</f>
        <v>-1180.8529999999998</v>
      </c>
      <c r="J77" s="22">
        <f>247.237+420.667</f>
        <v>667.904</v>
      </c>
      <c r="K77" s="22">
        <f>167.997-1349.081+0.231</f>
        <v>-1180.8529999999998</v>
      </c>
      <c r="L77" s="22">
        <f>167.997-1349.081+0.106+0.123</f>
        <v>-1180.8549999999998</v>
      </c>
      <c r="M77" s="22">
        <f>25.733+74</f>
        <v>99.733000000000004</v>
      </c>
      <c r="N77" s="22">
        <f>25.733+74</f>
        <v>99.733000000000004</v>
      </c>
      <c r="O77" s="22">
        <f>267.57+44.246</f>
        <v>311.81599999999997</v>
      </c>
      <c r="P77" s="22">
        <f>-110.246+267.57+44.246</f>
        <v>201.57000000000002</v>
      </c>
      <c r="Q77" s="22">
        <f>-100+35.142</f>
        <v>-64.858000000000004</v>
      </c>
      <c r="R77" s="21">
        <f t="shared" si="336"/>
        <v>-2141.1290000000004</v>
      </c>
      <c r="S77" s="32"/>
      <c r="T77" s="22">
        <v>0.62</v>
      </c>
      <c r="U77" s="22">
        <f>367.433+0.62+0.848-T77</f>
        <v>368.28100000000001</v>
      </c>
      <c r="V77" s="22">
        <f>367.434+82.262-T77-U77</f>
        <v>80.795000000000016</v>
      </c>
      <c r="W77" s="21">
        <f>+E77-T77-U77-V77</f>
        <v>312.90500000000009</v>
      </c>
      <c r="X77" s="22">
        <f>-0.064+0.228-2.016</f>
        <v>-1.8520000000000001</v>
      </c>
      <c r="Y77" s="22">
        <f>80.986-89.167-X77</f>
        <v>-6.3289999999999971</v>
      </c>
      <c r="Z77" s="22">
        <f>-0.112+82.153-90.674-X77-Y77</f>
        <v>-0.45199999999999818</v>
      </c>
      <c r="AA77" s="21">
        <f>F77-Z77-Y77-X77</f>
        <v>0.37300000000000444</v>
      </c>
      <c r="AB77" s="22">
        <f>264.965+0.222</f>
        <v>265.18699999999995</v>
      </c>
      <c r="AC77" s="22">
        <f>3.76-40.468+558.652-AB77</f>
        <v>256.75700000000012</v>
      </c>
      <c r="AD77" s="22">
        <f>2056.933-1410.087+561.908+8.864+33.2-AB77-AC77</f>
        <v>728.87400000000002</v>
      </c>
      <c r="AE77" s="21">
        <f>+G77-AB77-AC77-AD77</f>
        <v>-193.32500000000005</v>
      </c>
      <c r="AF77" s="22">
        <f>0+0.136-0.319</f>
        <v>-0.183</v>
      </c>
      <c r="AG77" s="22">
        <f>246.591-0.319-AF77</f>
        <v>246.45500000000001</v>
      </c>
      <c r="AH77" s="22">
        <f>-400+246.519-0.319-AF77-AG77</f>
        <v>-400.072</v>
      </c>
      <c r="AI77" s="21">
        <f>+H77-AF77-AG77-AH77</f>
        <v>821.70399999999995</v>
      </c>
      <c r="AJ77" s="219"/>
      <c r="AK77" s="219"/>
      <c r="AL77" s="219"/>
      <c r="AM77" s="221"/>
      <c r="AN77" s="22">
        <f>-1185.767-AN76-AN75</f>
        <v>31.12399999999991</v>
      </c>
      <c r="AO77" s="22">
        <f>-74.592+31.117+0.026-AN77</f>
        <v>-74.572999999999894</v>
      </c>
      <c r="AP77" s="22">
        <f>0.07-AO77-AN77</f>
        <v>43.518999999999977</v>
      </c>
      <c r="AQ77" s="22">
        <f>I77-SUM(AN77:AP77)</f>
        <v>-1180.9229999999998</v>
      </c>
      <c r="AR77" s="22">
        <f>-1185.767-AR76-AR75</f>
        <v>31.12399999999991</v>
      </c>
      <c r="AS77" s="22">
        <f>-74.592+31.117+0.026-AR77</f>
        <v>-74.572999999999894</v>
      </c>
      <c r="AT77" s="22">
        <f>0.07-AS77-AR77</f>
        <v>43.518999999999977</v>
      </c>
      <c r="AU77" s="21">
        <f>K77-AR77-AS77-AT77</f>
        <v>-1180.923</v>
      </c>
      <c r="AV77" s="22">
        <f>0.07-AS77-AR77</f>
        <v>43.518999999999977</v>
      </c>
      <c r="AW77" s="21">
        <f>L77-AR77-AS77-AV77</f>
        <v>-1180.925</v>
      </c>
      <c r="AX77" s="22">
        <f>-1994.877-AX76-AX75</f>
        <v>40.000000000000227</v>
      </c>
      <c r="AY77" s="22">
        <f>-1994.877-AY76-AY75</f>
        <v>40.000000000000227</v>
      </c>
      <c r="AZ77" s="22">
        <f>25.764+40-AX77</f>
        <v>25.763999999999768</v>
      </c>
      <c r="BA77" s="22">
        <f>25.764+40-AY77</f>
        <v>25.763999999999768</v>
      </c>
      <c r="BB77" s="22">
        <f>40-AZ77-AX77</f>
        <v>-25.763999999999996</v>
      </c>
      <c r="BC77" s="22">
        <f>40-AZ77-AX77</f>
        <v>-25.763999999999996</v>
      </c>
      <c r="BD77" s="21">
        <f>M77-AZ77-AX77-BC77</f>
        <v>59.733000000000004</v>
      </c>
      <c r="BE77" s="22">
        <f>-543.328-BE76-BE75</f>
        <v>17.959999999999916</v>
      </c>
      <c r="BF77" s="22">
        <f>0-BD77</f>
        <v>-59.733000000000004</v>
      </c>
      <c r="BG77" s="22">
        <f>267.57+44.246-BF77-BE77</f>
        <v>353.58900000000006</v>
      </c>
      <c r="BH77" s="32">
        <f t="shared" si="275"/>
        <v>0</v>
      </c>
      <c r="BI77" s="22">
        <f>(30000)/1000</f>
        <v>30</v>
      </c>
      <c r="BJ77" s="32">
        <f>BW77-BI77</f>
        <v>0</v>
      </c>
      <c r="BK77" s="32">
        <f t="shared" si="337"/>
        <v>-100.122</v>
      </c>
      <c r="BL77" s="32">
        <f t="shared" si="338"/>
        <v>5.2639999999999958</v>
      </c>
      <c r="BM77" s="22">
        <f>-2066.271+20</f>
        <v>-2046.2710000000002</v>
      </c>
      <c r="BO77" s="32">
        <f>N77-SUM(AY77,BA77,BC77)</f>
        <v>59.733000000000004</v>
      </c>
      <c r="BP77" s="22">
        <f>-543.328-BP76-BP75</f>
        <v>17.959999999999916</v>
      </c>
      <c r="BQ77" s="32">
        <f>BV77-BP77</f>
        <v>164.94600000000008</v>
      </c>
      <c r="BR77" s="32">
        <f t="shared" si="339"/>
        <v>20.653999999999996</v>
      </c>
      <c r="BS77" s="32">
        <f>P77-BR77-BQ77-BP77</f>
        <v>-1.9899999999999736</v>
      </c>
      <c r="BT77" s="22">
        <f>30</f>
        <v>30</v>
      </c>
      <c r="BV77" s="22">
        <f>(-114624+267570+29960)/1000</f>
        <v>182.90600000000001</v>
      </c>
      <c r="BW77" s="22">
        <f>(30000)/1000</f>
        <v>30</v>
      </c>
      <c r="BY77" s="22">
        <f>(-108256+267570+44246)/1000</f>
        <v>203.56</v>
      </c>
      <c r="BZ77" s="22">
        <f>(-100000+30000-122)/1000</f>
        <v>-70.122</v>
      </c>
      <c r="CB77" s="16"/>
      <c r="CC77" s="16"/>
    </row>
    <row r="78" spans="2:81" s="6" customFormat="1" ht="13.5" customHeight="1">
      <c r="B78" s="23" t="s">
        <v>285</v>
      </c>
      <c r="C78" s="24">
        <f t="shared" ref="C78:D78" si="340">SUM(C72:C77)</f>
        <v>14135.302</v>
      </c>
      <c r="D78" s="24">
        <f t="shared" si="340"/>
        <v>11570.557999999997</v>
      </c>
      <c r="E78" s="24">
        <f t="shared" ref="E78" si="341">SUM(E72:E77)</f>
        <v>6736.8960000000006</v>
      </c>
      <c r="F78" s="24">
        <f t="shared" ref="F78:K78" si="342">SUM(F72:F77)</f>
        <v>9892.3099999999922</v>
      </c>
      <c r="G78" s="24">
        <f t="shared" si="342"/>
        <v>14384.284999999998</v>
      </c>
      <c r="H78" s="24">
        <f t="shared" si="342"/>
        <v>11001.797999999997</v>
      </c>
      <c r="I78" s="24">
        <f t="shared" si="342"/>
        <v>13149.137000000006</v>
      </c>
      <c r="J78" s="24">
        <f t="shared" si="342"/>
        <v>8405.8329999999969</v>
      </c>
      <c r="K78" s="24">
        <f t="shared" si="342"/>
        <v>10311.782000000003</v>
      </c>
      <c r="L78" s="24">
        <f t="shared" ref="L78:M78" si="343">SUM(L72:L77)</f>
        <v>9382.0819999999985</v>
      </c>
      <c r="M78" s="24">
        <f t="shared" si="343"/>
        <v>7339.699999999998</v>
      </c>
      <c r="N78" s="24">
        <f t="shared" ref="N78" si="344">SUM(N72:N77)</f>
        <v>7562.4409999999953</v>
      </c>
      <c r="O78" s="24">
        <f t="shared" ref="O78:P78" si="345">SUM(O72:O77)</f>
        <v>11344.079000000005</v>
      </c>
      <c r="P78" s="24">
        <f t="shared" si="345"/>
        <v>5957.2939999999999</v>
      </c>
      <c r="Q78" s="24">
        <f t="shared" ref="Q78" si="346">SUM(Q72:Q77)</f>
        <v>4958.6939999999977</v>
      </c>
      <c r="R78" s="24">
        <f t="shared" ref="R78" si="347">SUM(R72:R77)</f>
        <v>4608.7523470000015</v>
      </c>
      <c r="S78" s="32"/>
      <c r="T78" s="24">
        <f t="shared" ref="T78:V78" si="348">SUM(T72:T77)</f>
        <v>-1355.204</v>
      </c>
      <c r="U78" s="24">
        <f t="shared" si="348"/>
        <v>899.03699999999935</v>
      </c>
      <c r="V78" s="24">
        <f t="shared" si="348"/>
        <v>1828.139999999999</v>
      </c>
      <c r="W78" s="24">
        <f t="shared" ref="W78" si="349">SUM(W72:W77)</f>
        <v>5364.9230000000016</v>
      </c>
      <c r="X78" s="24">
        <f t="shared" ref="X78:AC78" si="350">SUM(X72:X77)</f>
        <v>4066.4290000000001</v>
      </c>
      <c r="Y78" s="24">
        <f t="shared" ref="Y78:Z78" si="351">SUM(Y72:Y77)</f>
        <v>1057.5719999999999</v>
      </c>
      <c r="Z78" s="24">
        <f t="shared" si="351"/>
        <v>2007.8530000000026</v>
      </c>
      <c r="AA78" s="24">
        <f t="shared" si="350"/>
        <v>2760.4559999999956</v>
      </c>
      <c r="AB78" s="24">
        <f t="shared" si="350"/>
        <v>4538.5850000000009</v>
      </c>
      <c r="AC78" s="24">
        <f t="shared" si="350"/>
        <v>2540.0179999999978</v>
      </c>
      <c r="AD78" s="24">
        <f t="shared" ref="AD78:AG78" si="352">SUM(AD72:AD77)</f>
        <v>7894.8469999999979</v>
      </c>
      <c r="AE78" s="24">
        <f t="shared" si="352"/>
        <v>-589.16499999999974</v>
      </c>
      <c r="AF78" s="24">
        <f t="shared" si="352"/>
        <v>1574.5170000000007</v>
      </c>
      <c r="AG78" s="24">
        <f t="shared" si="352"/>
        <v>3162.6680000000001</v>
      </c>
      <c r="AH78" s="24">
        <f t="shared" ref="AH78:AS78" si="353">SUM(AH72:AH77)</f>
        <v>3449.143</v>
      </c>
      <c r="AI78" s="24">
        <f t="shared" si="353"/>
        <v>2815.4699999999975</v>
      </c>
      <c r="AJ78" s="220"/>
      <c r="AK78" s="220"/>
      <c r="AL78" s="220"/>
      <c r="AM78" s="220"/>
      <c r="AN78" s="24">
        <f t="shared" ref="AN78:AP78" si="354">SUM(AN72:AN77)</f>
        <v>2022.2819999999997</v>
      </c>
      <c r="AO78" s="24">
        <f t="shared" si="354"/>
        <v>3868.1190000000001</v>
      </c>
      <c r="AP78" s="24">
        <f t="shared" si="354"/>
        <v>4148.1359999999968</v>
      </c>
      <c r="AQ78" s="24">
        <f t="shared" ref="AQ78" si="355">SUM(AQ72:AQ77)</f>
        <v>3110.6000000000031</v>
      </c>
      <c r="AR78" s="24">
        <f t="shared" si="353"/>
        <v>1369.819</v>
      </c>
      <c r="AS78" s="24">
        <f t="shared" si="353"/>
        <v>3187.4710000000009</v>
      </c>
      <c r="AT78" s="24">
        <f t="shared" ref="AT78:BA78" si="356">SUM(AT72:AT77)</f>
        <v>3416.5359999999973</v>
      </c>
      <c r="AU78" s="24">
        <f t="shared" si="356"/>
        <v>2337.9560000000029</v>
      </c>
      <c r="AV78" s="24">
        <f t="shared" ref="AV78:AW78" si="357">SUM(AV72:AV77)</f>
        <v>3252.3359999999971</v>
      </c>
      <c r="AW78" s="24">
        <f t="shared" si="357"/>
        <v>1572.4559999999999</v>
      </c>
      <c r="AX78" s="24">
        <f t="shared" si="356"/>
        <v>515.91699999999912</v>
      </c>
      <c r="AY78" s="24">
        <f t="shared" ref="AY78" si="358">SUM(AY72:AY77)</f>
        <v>282.48599999999954</v>
      </c>
      <c r="AZ78" s="24">
        <f t="shared" si="356"/>
        <v>2698.5359999999996</v>
      </c>
      <c r="BA78" s="24">
        <f t="shared" si="356"/>
        <v>2472.922</v>
      </c>
      <c r="BB78" s="24">
        <f t="shared" ref="BB78:BF78" si="359">SUM(BB72:BB77)</f>
        <v>2930.364</v>
      </c>
      <c r="BC78" s="24">
        <f t="shared" si="359"/>
        <v>2754.364</v>
      </c>
      <c r="BD78" s="24">
        <f t="shared" si="359"/>
        <v>1370.8829999999971</v>
      </c>
      <c r="BE78" s="24">
        <f t="shared" si="359"/>
        <v>2730.6030000000005</v>
      </c>
      <c r="BF78" s="24">
        <f t="shared" si="359"/>
        <v>3661.4309999999991</v>
      </c>
      <c r="BG78" s="24">
        <f t="shared" ref="BG78:BJ78" si="360">SUM(BG72:BG77)</f>
        <v>2650.1880000000015</v>
      </c>
      <c r="BH78" s="24">
        <f t="shared" si="360"/>
        <v>2301.8570000000009</v>
      </c>
      <c r="BI78" s="24">
        <f t="shared" si="360"/>
        <v>1566.2466529999997</v>
      </c>
      <c r="BJ78" s="24">
        <f t="shared" si="360"/>
        <v>2570.8503470000001</v>
      </c>
      <c r="BK78" s="24">
        <f t="shared" ref="BK78:BM78" si="361">SUM(BK72:BK77)</f>
        <v>251.77200000000022</v>
      </c>
      <c r="BL78" s="24">
        <f t="shared" si="361"/>
        <v>569.82499999999993</v>
      </c>
      <c r="BM78" s="24">
        <f t="shared" si="361"/>
        <v>1216.3049999999989</v>
      </c>
      <c r="BO78" s="24">
        <f t="shared" ref="BO78:BP78" si="362">SUM(BO72:BO77)</f>
        <v>2052.6689999999967</v>
      </c>
      <c r="BP78" s="24">
        <f t="shared" si="362"/>
        <v>2797.28</v>
      </c>
      <c r="BQ78" s="24">
        <f t="shared" ref="BQ78:BT78" si="363">SUM(BQ72:BQ77)</f>
        <v>2414.5439999999999</v>
      </c>
      <c r="BR78" s="24">
        <f t="shared" si="363"/>
        <v>1363.977000000001</v>
      </c>
      <c r="BS78" s="24">
        <f t="shared" si="363"/>
        <v>-618.50699999999608</v>
      </c>
      <c r="BT78" s="24">
        <f t="shared" si="363"/>
        <v>1385.5770000000002</v>
      </c>
      <c r="BV78" s="24">
        <f t="shared" ref="BV78" si="364">SUM(BV72:BV77)</f>
        <v>3801.0279999999993</v>
      </c>
      <c r="BW78" s="24">
        <f t="shared" ref="BW78" si="365">SUM(BW72:BW77)</f>
        <v>2902.0960000000005</v>
      </c>
      <c r="BY78" s="24">
        <f t="shared" ref="BY78:BZ78" si="366">SUM(BY72:BY77)</f>
        <v>5164.9550000000008</v>
      </c>
      <c r="BZ78" s="24">
        <f t="shared" si="366"/>
        <v>3153.8880000000013</v>
      </c>
      <c r="CB78" s="16"/>
      <c r="CC78" s="16"/>
    </row>
    <row r="79" spans="2:81" s="39" customFormat="1" ht="13.5" customHeight="1">
      <c r="B79" s="25" t="s">
        <v>286</v>
      </c>
      <c r="C79" s="83">
        <v>98.103999999999999</v>
      </c>
      <c r="D79" s="83">
        <v>-216.18899999999999</v>
      </c>
      <c r="E79" s="83">
        <v>-162.023</v>
      </c>
      <c r="F79" s="83">
        <v>49.343000000000004</v>
      </c>
      <c r="G79" s="83">
        <v>-66.881</v>
      </c>
      <c r="H79" s="83">
        <v>92.438999999999993</v>
      </c>
      <c r="I79" s="83">
        <f>-733.245</f>
        <v>-733.245</v>
      </c>
      <c r="J79" s="83">
        <v>-30.19</v>
      </c>
      <c r="K79" s="83">
        <f>-733.245</f>
        <v>-733.245</v>
      </c>
      <c r="L79" s="83">
        <f>-18.701</f>
        <v>-18.701000000000001</v>
      </c>
      <c r="M79" s="83">
        <f>-266.718</f>
        <v>-266.71800000000002</v>
      </c>
      <c r="N79" s="83">
        <v>-266.16699999999997</v>
      </c>
      <c r="O79" s="83">
        <v>-514.52700000000004</v>
      </c>
      <c r="P79" s="83">
        <v>-514.45699999999999</v>
      </c>
      <c r="Q79" s="83">
        <v>-470.10500000000002</v>
      </c>
      <c r="R79" s="21">
        <f>BJ79+BK79+BL79+BM79</f>
        <v>-426.82200000000006</v>
      </c>
      <c r="S79" s="32"/>
      <c r="T79" s="83">
        <v>199.93700000000001</v>
      </c>
      <c r="U79" s="83">
        <f>-167.924-T79</f>
        <v>-367.86099999999999</v>
      </c>
      <c r="V79" s="83">
        <f>-230.606-T79-U79</f>
        <v>-62.682000000000016</v>
      </c>
      <c r="W79" s="21">
        <f>+E79-T79-U79-V79</f>
        <v>68.58299999999997</v>
      </c>
      <c r="X79" s="83">
        <v>64.147999999999996</v>
      </c>
      <c r="Y79" s="83">
        <f>85.504-X79</f>
        <v>21.356000000000009</v>
      </c>
      <c r="Z79" s="83">
        <f>82.179-X79-Y79</f>
        <v>-3.3250000000000028</v>
      </c>
      <c r="AA79" s="21">
        <f>F79-Z79-Y79-X79</f>
        <v>-32.835999999999999</v>
      </c>
      <c r="AB79" s="83">
        <v>-16.869</v>
      </c>
      <c r="AC79" s="83">
        <f>28.105-AB79</f>
        <v>44.974000000000004</v>
      </c>
      <c r="AD79" s="83">
        <f>-36.197-AB79-AC79</f>
        <v>-64.302000000000007</v>
      </c>
      <c r="AE79" s="21">
        <f>+G79-AB79-AC79-AD79</f>
        <v>-30.683999999999997</v>
      </c>
      <c r="AF79" s="83">
        <v>-2.044</v>
      </c>
      <c r="AG79" s="83">
        <f>17.972-AF79</f>
        <v>20.016000000000002</v>
      </c>
      <c r="AH79" s="83">
        <f>149.8-AF79-AG79</f>
        <v>131.82800000000003</v>
      </c>
      <c r="AI79" s="21">
        <f>+H79-AF79-AG79-AH79</f>
        <v>-57.361000000000047</v>
      </c>
      <c r="AJ79" s="219"/>
      <c r="AK79" s="219"/>
      <c r="AL79" s="219"/>
      <c r="AM79" s="261"/>
      <c r="AN79" s="83">
        <v>-198.01900000000001</v>
      </c>
      <c r="AO79" s="83">
        <f>-265.218-AN79</f>
        <v>-67.199000000000012</v>
      </c>
      <c r="AP79" s="83">
        <f>-41.229-AN79-AO79</f>
        <v>223.98900000000003</v>
      </c>
      <c r="AQ79" s="22">
        <f>I79-SUM(AN79:AP79)</f>
        <v>-692.01600000000008</v>
      </c>
      <c r="AR79" s="83">
        <v>-198.01900000000001</v>
      </c>
      <c r="AS79" s="83">
        <f>-265.218-AR79</f>
        <v>-67.199000000000012</v>
      </c>
      <c r="AT79" s="83">
        <f>-41.229-AR79-AS79</f>
        <v>223.98900000000003</v>
      </c>
      <c r="AU79" s="21">
        <f>K79-AR79-AS79-AT79</f>
        <v>-692.01600000000008</v>
      </c>
      <c r="AV79" s="83">
        <f>-41.229-AR79-AS79</f>
        <v>223.98900000000003</v>
      </c>
      <c r="AW79" s="21">
        <f>L79-AR79-AS79-AV79</f>
        <v>22.527999999999992</v>
      </c>
      <c r="AX79" s="83">
        <v>133.80500000000001</v>
      </c>
      <c r="AY79" s="83">
        <v>133.80500000000001</v>
      </c>
      <c r="AZ79" s="83">
        <f>790.23-AX79</f>
        <v>656.42499999999995</v>
      </c>
      <c r="BA79" s="83">
        <f>790.23-AY79</f>
        <v>656.42499999999995</v>
      </c>
      <c r="BB79" s="83">
        <f>516.151-AX79-AZ79</f>
        <v>-274.07900000000001</v>
      </c>
      <c r="BC79" s="83">
        <f>516.151-AX79-AZ79</f>
        <v>-274.07900000000001</v>
      </c>
      <c r="BD79" s="21">
        <f>M79-AZ79-AX79-BC79</f>
        <v>-782.86900000000014</v>
      </c>
      <c r="BE79" s="83">
        <v>-74.331000000000003</v>
      </c>
      <c r="BF79" s="83">
        <f>-231.139-BE79</f>
        <v>-156.80799999999999</v>
      </c>
      <c r="BG79" s="22">
        <f>-829.085-BF79-BE79</f>
        <v>-597.94600000000003</v>
      </c>
      <c r="BH79" s="32">
        <f t="shared" si="275"/>
        <v>314.55799999999999</v>
      </c>
      <c r="BI79" s="83">
        <v>-55.597000000000001</v>
      </c>
      <c r="BJ79" s="32">
        <f>BW79-BI79</f>
        <v>-101.791</v>
      </c>
      <c r="BK79" s="32">
        <f>BZ79-BW79</f>
        <v>-101.886</v>
      </c>
      <c r="BL79" s="32">
        <f>Q79-SUM(BI79:BK79)</f>
        <v>-210.83100000000002</v>
      </c>
      <c r="BM79" s="83">
        <v>-12.314</v>
      </c>
      <c r="BO79" s="32">
        <f>N79-SUM(AY79,BA79,BC79)</f>
        <v>-782.31799999999998</v>
      </c>
      <c r="BP79" s="83">
        <v>-74.331000000000003</v>
      </c>
      <c r="BQ79" s="32">
        <f>BV79-BP79</f>
        <v>-156.80799999999999</v>
      </c>
      <c r="BR79" s="32">
        <f>BY79-BV79</f>
        <v>-597.94600000000003</v>
      </c>
      <c r="BS79" s="32">
        <f>P79-BR79-BQ79-BP79</f>
        <v>314.62800000000004</v>
      </c>
      <c r="BT79" s="83">
        <v>-55.597000000000001</v>
      </c>
      <c r="BV79" s="83">
        <v>-231.13900000000001</v>
      </c>
      <c r="BW79" s="83">
        <v>-157.38800000000001</v>
      </c>
      <c r="BY79" s="83">
        <v>-829.08500000000004</v>
      </c>
      <c r="BZ79" s="83">
        <v>-259.274</v>
      </c>
      <c r="CB79" s="16"/>
      <c r="CC79" s="16"/>
    </row>
    <row r="80" spans="2:81" ht="13.5" customHeight="1">
      <c r="B80" s="25" t="s">
        <v>287</v>
      </c>
      <c r="C80" s="22">
        <f>230.796-240.143-C78</f>
        <v>-14144.648999999999</v>
      </c>
      <c r="D80" s="22">
        <f>1814.078+224.347-D78</f>
        <v>-9532.132999999998</v>
      </c>
      <c r="E80" s="22">
        <f>-2550.819+28.936-E78</f>
        <v>-9258.7790000000005</v>
      </c>
      <c r="F80" s="22">
        <f>-726.84-95.146-F78</f>
        <v>-10714.295999999993</v>
      </c>
      <c r="G80" s="22">
        <f>3727.41+46.528-G78</f>
        <v>-10610.346999999998</v>
      </c>
      <c r="H80" s="22">
        <f>-402.219-49.707-H78</f>
        <v>-11453.723999999997</v>
      </c>
      <c r="I80" s="22">
        <f>715.137+43.213-I78</f>
        <v>-12390.787000000006</v>
      </c>
      <c r="J80" s="22">
        <f>-496.426+116.784-J78</f>
        <v>-8785.4749999999967</v>
      </c>
      <c r="K80" s="22">
        <f>715.137+43.213-K78</f>
        <v>-9553.4320000000025</v>
      </c>
      <c r="L80" s="22">
        <f>762.168-729.603-L78</f>
        <v>-9349.516999999998</v>
      </c>
      <c r="M80" s="22">
        <f>-2289.172+65.681-390.27-M78</f>
        <v>-9953.4609999999975</v>
      </c>
      <c r="N80" s="22">
        <f>-2346.859+65.681-390.27-N78</f>
        <v>-10233.888999999996</v>
      </c>
      <c r="O80" s="22">
        <f>214.879+11.411+441.327-O78</f>
        <v>-10676.462000000005</v>
      </c>
      <c r="P80" s="22">
        <f>268.977+8.3+390.27-P78</f>
        <v>-5289.7469999999994</v>
      </c>
      <c r="Q80" s="22">
        <f>-501.749+3.615 -Q78</f>
        <v>-5456.8279999999977</v>
      </c>
      <c r="R80" s="21">
        <f>BJ80+BK80+BL80+BM80</f>
        <v>-5412.498346999997</v>
      </c>
      <c r="S80" s="32"/>
      <c r="T80" s="22">
        <f>-1355.204+62.564-T78</f>
        <v>62.564000000000078</v>
      </c>
      <c r="U80" s="22">
        <f>-456.167+34.189+9.12-U78-T80-T78</f>
        <v>-19.254999999999427</v>
      </c>
      <c r="V80" s="22">
        <f>-542.997+147.971+5.3299-V78-U80-T80-U78-T78</f>
        <v>-1804.9780999999991</v>
      </c>
      <c r="W80" s="21">
        <f>+E80-T80-U80-V80</f>
        <v>-7497.1099000000022</v>
      </c>
      <c r="X80" s="22">
        <f>1644.661+43.038-X78</f>
        <v>-2378.73</v>
      </c>
      <c r="Y80" s="22">
        <f>31.706+39.601-Y78-X80-X78</f>
        <v>-2673.9639999999999</v>
      </c>
      <c r="Z80" s="22">
        <f>-298.934+39.168-Z78-Y80-Y78-X80-X78</f>
        <v>-2338.9260000000022</v>
      </c>
      <c r="AA80" s="21">
        <f>F80-Z80-Y80-X80</f>
        <v>-3322.6759999999917</v>
      </c>
      <c r="AB80" s="22">
        <f>2034.692-27.784-AB78</f>
        <v>-2531.677000000001</v>
      </c>
      <c r="AC80" s="22">
        <f>1990.96-25.462-AC78-AB80-AB78</f>
        <v>-2581.4279999999976</v>
      </c>
      <c r="AD80" s="22">
        <f>7046.17-13.348-AC80-AC78-AB80-AB78-AD78</f>
        <v>-2827.5229999999974</v>
      </c>
      <c r="AE80" s="21">
        <f>+G80-AB80-AC80-AD80</f>
        <v>-2669.719000000001</v>
      </c>
      <c r="AF80" s="22">
        <f>-1125.726+28.173-AF78</f>
        <v>-2672.0700000000006</v>
      </c>
      <c r="AG80" s="22">
        <f>-765.538-16.126-AG78-AF80-AF78</f>
        <v>-2846.7790000000005</v>
      </c>
      <c r="AH80" s="22">
        <f>-175.781-21.953-AG80-AG78-AF80-AF78-AH78</f>
        <v>-2865.2129999999997</v>
      </c>
      <c r="AI80" s="21">
        <f>+H80-AF80-AG80-AH80</f>
        <v>-3069.6619999999948</v>
      </c>
      <c r="AJ80" s="219"/>
      <c r="AK80" s="219"/>
      <c r="AL80" s="219"/>
      <c r="AM80" s="221"/>
      <c r="AN80" s="22">
        <f>-876.181+12.947-AN78</f>
        <v>-2885.5159999999996</v>
      </c>
      <c r="AO80" s="22">
        <f>-18.662+18.904-AO78-AN80-AN78</f>
        <v>-3004.643</v>
      </c>
      <c r="AP80" s="22">
        <f>925.874-114.213-AO80-AO78-AN80-AN78-AP78</f>
        <v>-3336.7169999999969</v>
      </c>
      <c r="AQ80" s="22">
        <f>I80-SUM(AN80:AP80)</f>
        <v>-3163.9110000000092</v>
      </c>
      <c r="AR80" s="22">
        <f>-876.181+12.947-AR78</f>
        <v>-2233.0529999999999</v>
      </c>
      <c r="AS80" s="22">
        <f>-18.662+18.904-AS78-AR80-AR78</f>
        <v>-2323.9950000000008</v>
      </c>
      <c r="AT80" s="22">
        <f>925.874-114.213-AS80-AS78-AR80-AR78-AT78</f>
        <v>-2605.1169999999975</v>
      </c>
      <c r="AU80" s="21">
        <f>K80-AR80-AS80-AT80</f>
        <v>-2391.2670000000044</v>
      </c>
      <c r="AV80" s="22">
        <f>925.874-114.213-AS80-AS78-AR80-AR78-AV78</f>
        <v>-2440.9169999999972</v>
      </c>
      <c r="AW80" s="21">
        <f>L80-AR80-AS80-AV80</f>
        <v>-2351.5520000000001</v>
      </c>
      <c r="AX80" s="22">
        <f>-1900.814-1.845-AX78</f>
        <v>-2418.5759999999991</v>
      </c>
      <c r="AY80" s="22">
        <f>-1900.814-1.845-AY78</f>
        <v>-2185.1449999999995</v>
      </c>
      <c r="AZ80" s="22">
        <f>-1931.051-13.34-AZ78-AX80-AX78</f>
        <v>-2740.2679999999996</v>
      </c>
      <c r="BA80" s="22">
        <f>-1931.051-13.34-BA78-AY80-AY78</f>
        <v>-2514.654</v>
      </c>
      <c r="BB80" s="22">
        <f>-1714.705+48.522-AZ80-AZ78-AX80-AX78-BB78-505.725</f>
        <v>-3157.8809999999999</v>
      </c>
      <c r="BC80" s="22">
        <f>-1714.705+48.522-AX80-AX78-AZ80-AZ78-BC78-505.725</f>
        <v>-2981.8809999999999</v>
      </c>
      <c r="BD80" s="21">
        <f>M80-AZ80-AX80-BC80</f>
        <v>-1812.7359999999985</v>
      </c>
      <c r="BE80" s="22">
        <f>-6.266-15.692-BE78</f>
        <v>-2752.5610000000006</v>
      </c>
      <c r="BF80" s="22">
        <f>895.278-14.561-BF78-BE80-BE78</f>
        <v>-2758.7559999999989</v>
      </c>
      <c r="BG80" s="22">
        <f>845.355-37.068-BE80-BE78-BF80-BF78-BG78</f>
        <v>-2722.6180000000013</v>
      </c>
      <c r="BH80" s="32">
        <f t="shared" si="275"/>
        <v>-2442.5270000000037</v>
      </c>
      <c r="BI80" s="22">
        <f>166.628-6.92-BI78</f>
        <v>-1406.5386529999996</v>
      </c>
      <c r="BJ80" s="22">
        <f>242.881-15.243-BJ78-BI80-BI78</f>
        <v>-2502.9203470000002</v>
      </c>
      <c r="BK80" s="22">
        <f>-867.747-3.372-BI80-BI78-BJ80-BJ78-BK78</f>
        <v>-1350.529</v>
      </c>
      <c r="BL80" s="32">
        <f>Q80-SUM(BI80:BK80)</f>
        <v>-196.83999999999833</v>
      </c>
      <c r="BM80" s="22">
        <f>-138.585-7.319-BM78</f>
        <v>-1362.2089999999989</v>
      </c>
      <c r="BO80" s="32">
        <f>N80-SUM(AY80,BA80,BC80)</f>
        <v>-2552.2089999999971</v>
      </c>
      <c r="BP80" s="22">
        <f>-6.266-15.692-BP78</f>
        <v>-2819.2380000000003</v>
      </c>
      <c r="BQ80" s="22">
        <f>895.278-14.561-BQ78-BP80-BP78</f>
        <v>-1511.8689999999997</v>
      </c>
      <c r="BR80" s="22">
        <f>845.355-37.068-BR78-BQ80-BQ78-BP78-BP80</f>
        <v>-1436.4070000000011</v>
      </c>
      <c r="BS80" s="32">
        <f>P80-BR80-BQ80-BP80</f>
        <v>477.76700000000164</v>
      </c>
      <c r="BT80" s="22">
        <f>166.628-6.92-BT78</f>
        <v>-1225.8690000000001</v>
      </c>
      <c r="BV80" s="22">
        <f>895.278-14.561-BV78</f>
        <v>-2920.3109999999992</v>
      </c>
      <c r="BW80" s="22">
        <f>242.881-15.243-BW78</f>
        <v>-2674.4580000000005</v>
      </c>
      <c r="BY80" s="22">
        <f>845.355-37.068-BY78</f>
        <v>-4356.6680000000006</v>
      </c>
      <c r="BZ80" s="22">
        <f>-867.747-3.372-BZ78</f>
        <v>-4025.0070000000014</v>
      </c>
      <c r="CB80" s="16"/>
      <c r="CC80" s="16"/>
    </row>
    <row r="81" spans="2:81" ht="13.5" customHeight="1">
      <c r="B81" s="23" t="s">
        <v>288</v>
      </c>
      <c r="C81" s="24">
        <f t="shared" ref="C81:H81" si="367">SUM(C78:C80)</f>
        <v>88.756999999999607</v>
      </c>
      <c r="D81" s="24">
        <f t="shared" si="367"/>
        <v>1822.235999999999</v>
      </c>
      <c r="E81" s="24">
        <f t="shared" si="367"/>
        <v>-2683.9059999999999</v>
      </c>
      <c r="F81" s="24">
        <f t="shared" si="367"/>
        <v>-772.64300000000003</v>
      </c>
      <c r="G81" s="24">
        <f t="shared" ref="G81" si="368">SUM(G78:G80)</f>
        <v>3707.0570000000007</v>
      </c>
      <c r="H81" s="24">
        <f t="shared" si="367"/>
        <v>-359.48699999999917</v>
      </c>
      <c r="I81" s="24">
        <f t="shared" ref="I81:M81" si="369">SUM(I78:I80)</f>
        <v>25.104999999999563</v>
      </c>
      <c r="J81" s="24">
        <f t="shared" si="369"/>
        <v>-409.83200000000033</v>
      </c>
      <c r="K81" s="24">
        <f t="shared" si="369"/>
        <v>25.104999999999563</v>
      </c>
      <c r="L81" s="24">
        <f t="shared" si="369"/>
        <v>13.864000000001397</v>
      </c>
      <c r="M81" s="24">
        <f t="shared" si="369"/>
        <v>-2880.4789999999994</v>
      </c>
      <c r="N81" s="24">
        <f t="shared" ref="N81" si="370">SUM(N78:N80)</f>
        <v>-2937.6150000000007</v>
      </c>
      <c r="O81" s="24">
        <f t="shared" ref="O81:R81" si="371">SUM(O78:O80)</f>
        <v>153.09000000000015</v>
      </c>
      <c r="P81" s="24">
        <f t="shared" ref="P81:Q81" si="372">SUM(P78:P80)</f>
        <v>153.09000000000015</v>
      </c>
      <c r="Q81" s="24">
        <f t="shared" si="372"/>
        <v>-968.23899999999958</v>
      </c>
      <c r="R81" s="24">
        <f t="shared" si="371"/>
        <v>-1230.5679999999957</v>
      </c>
      <c r="S81" s="32"/>
      <c r="T81" s="24">
        <f t="shared" ref="T81:V81" si="373">SUM(T78:T80)</f>
        <v>-1092.7029999999997</v>
      </c>
      <c r="U81" s="24">
        <f t="shared" si="373"/>
        <v>511.92099999999994</v>
      </c>
      <c r="V81" s="24">
        <f t="shared" si="373"/>
        <v>-39.520100000000184</v>
      </c>
      <c r="W81" s="24">
        <f>SUM(W78:W80)</f>
        <v>-2063.603900000001</v>
      </c>
      <c r="X81" s="24">
        <f t="shared" ref="X81:Z81" si="374">SUM(X78:X80)</f>
        <v>1751.8470000000002</v>
      </c>
      <c r="Y81" s="24">
        <f t="shared" si="374"/>
        <v>-1595.0360000000001</v>
      </c>
      <c r="Z81" s="24">
        <f t="shared" si="374"/>
        <v>-334.39799999999968</v>
      </c>
      <c r="AA81" s="24">
        <f>SUM(AA78:AA80)</f>
        <v>-595.05599999999595</v>
      </c>
      <c r="AB81" s="24">
        <f>SUM(AB78:AB80)</f>
        <v>1990.0390000000002</v>
      </c>
      <c r="AC81" s="24">
        <f>SUM(AC78:AC80)</f>
        <v>3.5640000000003056</v>
      </c>
      <c r="AD81" s="24">
        <f t="shared" ref="AD81" si="375">SUM(AD78:AD80)</f>
        <v>5003.0220000000008</v>
      </c>
      <c r="AE81" s="24">
        <f>SUM(AE78:AE80)</f>
        <v>-3289.5680000000007</v>
      </c>
      <c r="AF81" s="24">
        <f>SUM(AF78:AF80)</f>
        <v>-1099.597</v>
      </c>
      <c r="AG81" s="24">
        <f>SUM(AG78:AG80)</f>
        <v>335.90499999999975</v>
      </c>
      <c r="AH81" s="24">
        <f t="shared" ref="AH81" si="376">SUM(AH78:AH80)</f>
        <v>715.75800000000027</v>
      </c>
      <c r="AI81" s="24">
        <f>SUM(AI78:AI80)</f>
        <v>-311.55299999999716</v>
      </c>
      <c r="AJ81" s="220"/>
      <c r="AK81" s="220"/>
      <c r="AL81" s="220"/>
      <c r="AM81" s="220"/>
      <c r="AN81" s="24">
        <f>SUM(AN78:AN80)</f>
        <v>-1061.2529999999999</v>
      </c>
      <c r="AO81" s="24">
        <f>SUM(AO78:AO80)</f>
        <v>796.27700000000004</v>
      </c>
      <c r="AP81" s="24">
        <f t="shared" ref="AP81:AQ81" si="377">SUM(AP78:AP80)</f>
        <v>1035.4079999999994</v>
      </c>
      <c r="AQ81" s="24">
        <f t="shared" si="377"/>
        <v>-745.32700000000614</v>
      </c>
      <c r="AR81" s="24">
        <f>SUM(AR78:AR80)</f>
        <v>-1061.2529999999999</v>
      </c>
      <c r="AS81" s="24">
        <f>SUM(AS78:AS80)</f>
        <v>796.27700000000004</v>
      </c>
      <c r="AT81" s="24">
        <f t="shared" ref="AT81:AU81" si="378">SUM(AT78:AT80)</f>
        <v>1035.4079999999999</v>
      </c>
      <c r="AU81" s="24">
        <f t="shared" si="378"/>
        <v>-745.32700000000159</v>
      </c>
      <c r="AV81" s="24">
        <f t="shared" ref="AV81:AW81" si="379">SUM(AV78:AV80)</f>
        <v>1035.4079999999999</v>
      </c>
      <c r="AW81" s="24">
        <f t="shared" si="379"/>
        <v>-756.56800000000021</v>
      </c>
      <c r="AX81" s="24">
        <f>SUM(AX78:AX80)</f>
        <v>-1768.854</v>
      </c>
      <c r="AY81" s="24">
        <f>SUM(AY78:AY80)</f>
        <v>-1768.854</v>
      </c>
      <c r="AZ81" s="24">
        <f>SUM(AZ78:AZ80)</f>
        <v>614.69299999999976</v>
      </c>
      <c r="BA81" s="24">
        <f>SUM(BA78:BA80)</f>
        <v>614.69299999999976</v>
      </c>
      <c r="BB81" s="24">
        <f t="shared" ref="BB81:BD81" si="380">SUM(BB78:BB80)</f>
        <v>-501.596</v>
      </c>
      <c r="BC81" s="24">
        <f t="shared" si="380"/>
        <v>-501.596</v>
      </c>
      <c r="BD81" s="24">
        <f t="shared" si="380"/>
        <v>-1224.7220000000016</v>
      </c>
      <c r="BE81" s="24">
        <f>SUM(BE78:BE80)</f>
        <v>-96.289000000000215</v>
      </c>
      <c r="BF81" s="24">
        <f>SUM(BF78:BF80)</f>
        <v>745.86700000000019</v>
      </c>
      <c r="BG81" s="24">
        <f t="shared" ref="BG81:BH81" si="381">SUM(BG78:BG80)</f>
        <v>-670.37599999999975</v>
      </c>
      <c r="BH81" s="24">
        <f t="shared" si="381"/>
        <v>173.88799999999719</v>
      </c>
      <c r="BI81" s="24">
        <f>SUM(BI78:BI80)</f>
        <v>104.1110000000001</v>
      </c>
      <c r="BJ81" s="24">
        <f>SUM(BJ78:BJ80)</f>
        <v>-33.861000000000331</v>
      </c>
      <c r="BK81" s="24">
        <f t="shared" ref="BK81:BL81" si="382">SUM(BK78:BK80)</f>
        <v>-1200.6429999999998</v>
      </c>
      <c r="BL81" s="24">
        <f t="shared" si="382"/>
        <v>162.15400000000159</v>
      </c>
      <c r="BM81" s="24">
        <f>SUM(BM78:BM80)</f>
        <v>-158.21800000000007</v>
      </c>
      <c r="BO81" s="24">
        <f t="shared" ref="BO81" si="383">SUM(BO78:BO80)</f>
        <v>-1281.8580000000004</v>
      </c>
      <c r="BP81" s="24">
        <f>SUM(BP78:BP80)</f>
        <v>-96.289000000000215</v>
      </c>
      <c r="BQ81" s="24">
        <f>SUM(BQ78:BQ80)</f>
        <v>745.86700000000019</v>
      </c>
      <c r="BR81" s="24">
        <f>SUM(BR78:BR80)</f>
        <v>-670.37600000000009</v>
      </c>
      <c r="BS81" s="24">
        <f t="shared" ref="BS81" si="384">SUM(BS78:BS80)</f>
        <v>173.8880000000056</v>
      </c>
      <c r="BT81" s="24">
        <f>SUM(BT78:BT80)</f>
        <v>104.1110000000001</v>
      </c>
      <c r="BV81" s="24">
        <f>SUM(BV78:BV80)</f>
        <v>649.57799999999997</v>
      </c>
      <c r="BW81" s="24">
        <f>SUM(BW78:BW80)</f>
        <v>70.25</v>
      </c>
      <c r="BY81" s="24">
        <f>SUM(BY78:BY80)</f>
        <v>-20.797999999999774</v>
      </c>
      <c r="BZ81" s="24">
        <f>SUM(BZ78:BZ80)</f>
        <v>-1130.393</v>
      </c>
      <c r="CB81" s="16"/>
      <c r="CC81" s="16"/>
    </row>
    <row r="82" spans="2:81" s="6" customFormat="1" ht="13.5" customHeight="1">
      <c r="B82" s="23" t="s">
        <v>47</v>
      </c>
      <c r="C82" s="331">
        <v>4649.4219999999996</v>
      </c>
      <c r="D82" s="331">
        <f>+C82+D81</f>
        <v>6471.6579999999985</v>
      </c>
      <c r="E82" s="331">
        <f>6471.658+E81</f>
        <v>3787.7520000000004</v>
      </c>
      <c r="F82" s="331">
        <f>+E82+F81</f>
        <v>3015.1090000000004</v>
      </c>
      <c r="G82" s="331">
        <f>+F82+G81</f>
        <v>6722.1660000000011</v>
      </c>
      <c r="H82" s="331">
        <f>+G82+H81</f>
        <v>6362.6790000000019</v>
      </c>
      <c r="I82" s="331">
        <f>+H82+I81</f>
        <v>6387.7840000000015</v>
      </c>
      <c r="J82" s="24">
        <f>G82+J81</f>
        <v>6312.3340000000007</v>
      </c>
      <c r="K82" s="331">
        <f>+J82+K81</f>
        <v>6337.4390000000003</v>
      </c>
      <c r="L82" s="331">
        <f>+J82+L81</f>
        <v>6326.1980000000021</v>
      </c>
      <c r="M82" s="331">
        <f>+L82+M81</f>
        <v>3445.7190000000028</v>
      </c>
      <c r="N82" s="331">
        <f>L82+N81</f>
        <v>3388.5830000000014</v>
      </c>
      <c r="O82" s="331">
        <f>+N82+O81</f>
        <v>3541.6730000000016</v>
      </c>
      <c r="P82" s="331">
        <f>3388.579+P81</f>
        <v>3541.6690000000003</v>
      </c>
      <c r="Q82" s="331">
        <f>+P82+Q81</f>
        <v>2573.4300000000007</v>
      </c>
      <c r="R82" s="14">
        <f>BM82</f>
        <v>2413.0569999999998</v>
      </c>
      <c r="S82" s="24"/>
      <c r="T82" s="24">
        <f>6471.658+T81</f>
        <v>5378.9550000000008</v>
      </c>
      <c r="U82" s="330">
        <f t="shared" ref="U82:Z82" si="385">T82+U81</f>
        <v>5890.8760000000011</v>
      </c>
      <c r="V82" s="24">
        <f t="shared" si="385"/>
        <v>5851.3559000000005</v>
      </c>
      <c r="W82" s="24">
        <f t="shared" si="385"/>
        <v>3787.7519999999995</v>
      </c>
      <c r="X82" s="24">
        <f>W82+X81</f>
        <v>5539.5990000000002</v>
      </c>
      <c r="Y82" s="24">
        <f t="shared" si="385"/>
        <v>3944.5630000000001</v>
      </c>
      <c r="Z82" s="24">
        <f t="shared" si="385"/>
        <v>3610.1650000000004</v>
      </c>
      <c r="AA82" s="24">
        <f>Z82+AA81</f>
        <v>3015.1090000000045</v>
      </c>
      <c r="AB82" s="24">
        <f>3015.105+AB81</f>
        <v>5005.1440000000002</v>
      </c>
      <c r="AC82" s="24">
        <f>AB82+AC81</f>
        <v>5008.7080000000005</v>
      </c>
      <c r="AD82" s="24">
        <f>AC82+AD81</f>
        <v>10011.730000000001</v>
      </c>
      <c r="AE82" s="24">
        <f>AD82+AE81</f>
        <v>6722.1620000000003</v>
      </c>
      <c r="AF82" s="24">
        <f>AF81+6722.163</f>
        <v>5622.5659999999998</v>
      </c>
      <c r="AG82" s="24">
        <f>AF82+AG81</f>
        <v>5958.4709999999995</v>
      </c>
      <c r="AH82" s="24">
        <f>AG82+AH81</f>
        <v>6674.2289999999994</v>
      </c>
      <c r="AI82" s="24">
        <f>AH82+AI81</f>
        <v>6362.6760000000022</v>
      </c>
      <c r="AJ82" s="220"/>
      <c r="AK82" s="220"/>
      <c r="AL82" s="220"/>
      <c r="AM82" s="220"/>
      <c r="AN82" s="24">
        <f>AN81+6312.33</f>
        <v>5251.0770000000002</v>
      </c>
      <c r="AO82" s="24">
        <f>AN82+AO81</f>
        <v>6047.3540000000003</v>
      </c>
      <c r="AP82" s="24">
        <f>AO82+AP81</f>
        <v>7082.7619999999997</v>
      </c>
      <c r="AQ82" s="24">
        <f>AP82+AQ81</f>
        <v>6337.434999999994</v>
      </c>
      <c r="AR82" s="24">
        <f>AR81+6312.33</f>
        <v>5251.0770000000002</v>
      </c>
      <c r="AS82" s="24">
        <f>AR82+AS81</f>
        <v>6047.3540000000003</v>
      </c>
      <c r="AT82" s="24">
        <f>AS82+AT81</f>
        <v>7082.7620000000006</v>
      </c>
      <c r="AU82" s="24">
        <f>AT82+AU81</f>
        <v>6337.4349999999995</v>
      </c>
      <c r="AV82" s="24">
        <f>AS82+AV81</f>
        <v>7082.7620000000006</v>
      </c>
      <c r="AW82" s="24">
        <f>AV82+AW81</f>
        <v>6326.1940000000004</v>
      </c>
      <c r="AX82" s="24">
        <f>AX81+6326.194</f>
        <v>4557.34</v>
      </c>
      <c r="AY82" s="24">
        <f>AY81+6326.194</f>
        <v>4557.34</v>
      </c>
      <c r="AZ82" s="24">
        <f>AX82+AZ81</f>
        <v>5172.0329999999994</v>
      </c>
      <c r="BA82" s="24">
        <f>AY82+BA81</f>
        <v>5172.0329999999994</v>
      </c>
      <c r="BB82" s="24">
        <f>AZ82+BB81</f>
        <v>4670.4369999999999</v>
      </c>
      <c r="BC82" s="24">
        <f>AZ82+BC81</f>
        <v>4670.4369999999999</v>
      </c>
      <c r="BD82" s="24">
        <f>BC82+BD81</f>
        <v>3445.7149999999983</v>
      </c>
      <c r="BE82" s="24">
        <f>BE81+3388.578</f>
        <v>3292.2889999999998</v>
      </c>
      <c r="BF82" s="24">
        <f>BE82+BF81</f>
        <v>4038.1559999999999</v>
      </c>
      <c r="BG82" s="24">
        <f>BF82+BG81</f>
        <v>3367.78</v>
      </c>
      <c r="BH82" s="24">
        <f>BG82+BH81</f>
        <v>3541.6679999999974</v>
      </c>
      <c r="BI82" s="24">
        <f>BI81+BH82</f>
        <v>3645.7789999999977</v>
      </c>
      <c r="BJ82" s="24">
        <f>BI82+BJ81</f>
        <v>3611.9179999999974</v>
      </c>
      <c r="BK82" s="24">
        <f>BJ82+BK81</f>
        <v>2411.2749999999978</v>
      </c>
      <c r="BL82" s="24">
        <f>BK82+BL81</f>
        <v>2573.4289999999992</v>
      </c>
      <c r="BM82" s="24">
        <f>BM81+2571.275</f>
        <v>2413.0569999999998</v>
      </c>
      <c r="BO82" s="24">
        <f>BC82+BO81</f>
        <v>3388.5789999999997</v>
      </c>
      <c r="BP82" s="24">
        <f>BP81+3388.578</f>
        <v>3292.2889999999998</v>
      </c>
      <c r="BQ82" s="24">
        <f>BQ81+BP82</f>
        <v>4038.1559999999999</v>
      </c>
      <c r="BR82" s="24">
        <f>BR81+BQ82</f>
        <v>3367.7799999999997</v>
      </c>
      <c r="BS82" s="24">
        <f>P82</f>
        <v>3541.6690000000003</v>
      </c>
      <c r="BT82" s="24">
        <f>BT81+3541.669</f>
        <v>3645.7799999999997</v>
      </c>
      <c r="BV82" s="24">
        <f>BV81+3388.578</f>
        <v>4038.1559999999999</v>
      </c>
      <c r="BW82" s="24">
        <f>BW81+BH82</f>
        <v>3611.9179999999974</v>
      </c>
      <c r="BY82" s="24">
        <f>BY81+3388.578</f>
        <v>3367.78</v>
      </c>
      <c r="BZ82" s="24">
        <f>BZ81+BH82</f>
        <v>2411.2749999999974</v>
      </c>
      <c r="CB82" s="16"/>
      <c r="CC82" s="16"/>
    </row>
    <row r="83" spans="2:81" ht="11.25" customHeight="1">
      <c r="C83" s="40"/>
      <c r="D83" s="40"/>
      <c r="E83" s="40"/>
      <c r="F83" s="40"/>
      <c r="G83" s="40"/>
      <c r="H83" s="40"/>
      <c r="I83" s="40"/>
      <c r="J83" s="40"/>
      <c r="K83" s="40"/>
      <c r="L83" s="40"/>
      <c r="M83" s="40"/>
      <c r="N83" s="40"/>
      <c r="O83" s="40"/>
      <c r="P83" s="40"/>
      <c r="Q83" s="40"/>
      <c r="R83" s="40"/>
      <c r="T83" s="40"/>
      <c r="U83" s="40"/>
      <c r="V83" s="40"/>
      <c r="W83" s="40"/>
      <c r="X83" s="40"/>
      <c r="Y83" s="40"/>
      <c r="Z83" s="40"/>
      <c r="AA83" s="40"/>
      <c r="AB83" s="40"/>
      <c r="AC83" s="40"/>
      <c r="AD83" s="40"/>
      <c r="AE83" s="40"/>
      <c r="AF83" s="40"/>
      <c r="AG83" s="40"/>
      <c r="AH83" s="40"/>
      <c r="AI83" s="40"/>
      <c r="AJ83" s="226"/>
      <c r="AK83" s="226"/>
      <c r="AL83" s="226"/>
      <c r="AM83" s="226"/>
      <c r="AN83" s="40"/>
      <c r="AO83" s="40"/>
      <c r="AP83" s="40"/>
      <c r="AQ83" s="40"/>
      <c r="AR83" s="40"/>
      <c r="AS83" s="40"/>
      <c r="AT83" s="40"/>
      <c r="AU83" s="40"/>
      <c r="AV83" s="40"/>
      <c r="AW83" s="40"/>
      <c r="AX83" s="40"/>
      <c r="AY83" s="299"/>
      <c r="AZ83" s="40"/>
      <c r="BA83" s="40"/>
      <c r="BB83" s="40"/>
      <c r="BC83" s="40"/>
      <c r="BD83" s="40"/>
      <c r="BE83" s="40"/>
      <c r="BF83" s="40"/>
      <c r="BG83" s="40"/>
      <c r="BH83" s="40"/>
      <c r="BI83" s="40"/>
      <c r="BJ83" s="40"/>
      <c r="BK83" s="40"/>
      <c r="BL83" s="40"/>
      <c r="BM83" s="40"/>
      <c r="BO83" s="40"/>
      <c r="BP83" s="40"/>
      <c r="BQ83" s="40"/>
      <c r="BR83" s="40"/>
      <c r="BS83" s="40"/>
      <c r="BT83" s="40"/>
      <c r="BV83" s="40"/>
      <c r="BW83" s="40"/>
      <c r="BY83" s="40"/>
      <c r="BZ83" s="40"/>
      <c r="CB83" s="16"/>
      <c r="CC83" s="16"/>
    </row>
    <row r="84" spans="2:81" s="392" customFormat="1" ht="11.25" customHeight="1">
      <c r="B84" s="41" t="s">
        <v>24</v>
      </c>
      <c r="C84" s="391">
        <f t="shared" ref="C84:E84" si="386">C82-C118</f>
        <v>0</v>
      </c>
      <c r="D84" s="391">
        <f t="shared" si="386"/>
        <v>0</v>
      </c>
      <c r="E84" s="391">
        <f t="shared" si="386"/>
        <v>4.0000000003601599E-3</v>
      </c>
      <c r="F84" s="391">
        <f>F82-F118</f>
        <v>4.0000000003601599E-3</v>
      </c>
      <c r="G84" s="391">
        <f t="shared" ref="G84:H84" si="387">G82-G118</f>
        <v>4.0000000008149073E-3</v>
      </c>
      <c r="H84" s="391">
        <f t="shared" si="387"/>
        <v>4.000000001724402E-3</v>
      </c>
      <c r="I84" s="391">
        <f>I82-I118-50</f>
        <v>0.34900000000106957</v>
      </c>
      <c r="J84" s="391">
        <f t="shared" ref="J84:K84" si="388">J82-J118</f>
        <v>4.0000000008149073E-3</v>
      </c>
      <c r="K84" s="391">
        <f t="shared" si="388"/>
        <v>3.9999999999054126E-3</v>
      </c>
      <c r="L84" s="391">
        <f>L82-L118</f>
        <v>-0.9959999999982756</v>
      </c>
      <c r="M84" s="391">
        <f t="shared" ref="M84:O84" si="389">M82-M118</f>
        <v>4.0000000026338967E-3</v>
      </c>
      <c r="N84" s="391">
        <f t="shared" ref="N84" si="390">N82-N118</f>
        <v>4.0000000012696546E-3</v>
      </c>
      <c r="O84" s="391">
        <f t="shared" si="389"/>
        <v>4.000000001724402E-3</v>
      </c>
      <c r="P84" s="391">
        <f t="shared" ref="P84:Q84" si="391">P82-P118</f>
        <v>0</v>
      </c>
      <c r="Q84" s="391">
        <f t="shared" si="391"/>
        <v>0</v>
      </c>
      <c r="R84" s="391">
        <f>R82-R123</f>
        <v>0</v>
      </c>
      <c r="S84"/>
      <c r="T84" s="391">
        <f t="shared" ref="T84:AA84" si="392">T82-T118</f>
        <v>0</v>
      </c>
      <c r="U84" s="391">
        <f t="shared" si="392"/>
        <v>1.0000000011132215E-3</v>
      </c>
      <c r="V84" s="391">
        <f t="shared" si="392"/>
        <v>9.0000000091094989E-4</v>
      </c>
      <c r="W84" s="391">
        <f t="shared" si="392"/>
        <v>3.9999999994506652E-3</v>
      </c>
      <c r="X84" s="391">
        <f t="shared" si="392"/>
        <v>3.9999999999054126E-3</v>
      </c>
      <c r="Y84" s="391">
        <f t="shared" si="392"/>
        <v>3.9999999999054126E-3</v>
      </c>
      <c r="Z84" s="391">
        <f t="shared" si="392"/>
        <v>4.0000000003601599E-3</v>
      </c>
      <c r="AA84" s="391">
        <f t="shared" si="392"/>
        <v>4.0000000044528861E-3</v>
      </c>
      <c r="AB84" s="391">
        <f>AB82-AB118</f>
        <v>0</v>
      </c>
      <c r="AC84" s="391">
        <f t="shared" ref="AC84" si="393">AC82-AC118</f>
        <v>0</v>
      </c>
      <c r="AD84" s="391">
        <f t="shared" ref="AD84:AE84" si="394">AD82-AD118</f>
        <v>0</v>
      </c>
      <c r="AE84" s="391">
        <f t="shared" si="394"/>
        <v>0</v>
      </c>
      <c r="AF84" s="391">
        <f>AF82-AF118</f>
        <v>0</v>
      </c>
      <c r="AG84" s="391">
        <f>AG82-AG118</f>
        <v>0</v>
      </c>
      <c r="AH84" s="391">
        <f t="shared" ref="AH84:AI84" si="395">AH82-AH118</f>
        <v>3.9999999989959178E-3</v>
      </c>
      <c r="AI84" s="391">
        <f t="shared" si="395"/>
        <v>1.0000000020227162E-3</v>
      </c>
      <c r="AJ84" s="391"/>
      <c r="AK84" s="391"/>
      <c r="AL84" s="391"/>
      <c r="AM84" s="391"/>
      <c r="AN84" s="391">
        <f>AN82-AN118</f>
        <v>0</v>
      </c>
      <c r="AO84" s="391">
        <f>AO82-AO118</f>
        <v>0</v>
      </c>
      <c r="AP84" s="391">
        <f t="shared" ref="AP84:AQ84" si="396">AP82-AP118</f>
        <v>0</v>
      </c>
      <c r="AQ84" s="391">
        <f t="shared" si="396"/>
        <v>0</v>
      </c>
      <c r="AR84" s="391">
        <f>AR82-AR118</f>
        <v>0</v>
      </c>
      <c r="AS84" s="391">
        <f>AS82-AS118</f>
        <v>0</v>
      </c>
      <c r="AT84" s="391">
        <f t="shared" ref="AT84:AU84" si="397">AT82-AT118</f>
        <v>0</v>
      </c>
      <c r="AU84" s="391">
        <f t="shared" si="397"/>
        <v>0</v>
      </c>
      <c r="AV84" s="391">
        <f t="shared" ref="AV84" si="398">AV82-AV118</f>
        <v>0</v>
      </c>
      <c r="AW84" s="391">
        <f>AW82-AW118</f>
        <v>-1</v>
      </c>
      <c r="AX84" s="391">
        <f>AX82-AX118</f>
        <v>0</v>
      </c>
      <c r="AY84" s="440">
        <f>AY82-AY118</f>
        <v>0</v>
      </c>
      <c r="AZ84" s="391">
        <f>AZ82-AZ118</f>
        <v>0</v>
      </c>
      <c r="BA84" s="391">
        <f>BA82-BA118</f>
        <v>0</v>
      </c>
      <c r="BB84" s="441">
        <f t="shared" ref="BB84:BD84" si="399">BB82-BB118</f>
        <v>0</v>
      </c>
      <c r="BC84" s="441">
        <f t="shared" si="399"/>
        <v>0</v>
      </c>
      <c r="BD84" s="391">
        <f t="shared" si="399"/>
        <v>0</v>
      </c>
      <c r="BE84" s="391">
        <f>BE82-BE118</f>
        <v>0</v>
      </c>
      <c r="BF84" s="391">
        <f>BF82-BF118</f>
        <v>0</v>
      </c>
      <c r="BG84" s="441">
        <f t="shared" ref="BG84:BH84" si="400">BG82-BG118</f>
        <v>0</v>
      </c>
      <c r="BH84" s="391">
        <f t="shared" si="400"/>
        <v>-1.0000000024774636E-3</v>
      </c>
      <c r="BI84" s="391">
        <f>BI82-BI118</f>
        <v>-1.0000000024774636E-3</v>
      </c>
      <c r="BJ84" s="391">
        <f>BJ82-BJ118</f>
        <v>-1.0000000024774636E-3</v>
      </c>
      <c r="BK84" s="391">
        <f t="shared" ref="BK84:BL84" si="401">BK82-BK118</f>
        <v>-1.0000000020227162E-3</v>
      </c>
      <c r="BL84" s="391">
        <f t="shared" si="401"/>
        <v>-1.0000000006584742E-3</v>
      </c>
      <c r="BM84" s="391">
        <f>BM82-BM123</f>
        <v>0</v>
      </c>
      <c r="BO84" s="391">
        <f t="shared" ref="BO84" si="402">BO82-BO118</f>
        <v>0</v>
      </c>
      <c r="BP84" s="391">
        <f>BP82-BP118</f>
        <v>0</v>
      </c>
      <c r="BQ84" s="391">
        <f>BQ82-BQ118</f>
        <v>0</v>
      </c>
      <c r="BR84" s="391">
        <f>BR82-BR118</f>
        <v>0</v>
      </c>
      <c r="BS84" s="391">
        <f t="shared" ref="BS84" si="403">BS82-BS118</f>
        <v>0</v>
      </c>
      <c r="BT84" s="391">
        <f>BT82-BT118</f>
        <v>0</v>
      </c>
      <c r="BV84" s="391"/>
      <c r="BW84" s="391"/>
      <c r="BY84" s="391"/>
      <c r="BZ84" s="391"/>
    </row>
    <row r="85" spans="2:81" ht="11.25" customHeight="1">
      <c r="C85" s="40"/>
      <c r="D85" s="40"/>
      <c r="E85" s="40"/>
      <c r="F85" s="40"/>
      <c r="G85" s="40"/>
      <c r="H85" s="40"/>
      <c r="I85" s="40"/>
      <c r="J85" s="40"/>
      <c r="K85" s="40"/>
      <c r="L85" s="40"/>
      <c r="M85" s="40"/>
      <c r="N85" s="40"/>
      <c r="O85" s="40"/>
      <c r="BV85" s="40"/>
      <c r="BW85" s="40"/>
      <c r="BY85" s="40"/>
      <c r="BZ85" s="40"/>
      <c r="CB85" s="16"/>
      <c r="CC85" s="16"/>
    </row>
    <row r="86" spans="2:81" ht="13.5" customHeight="1">
      <c r="B86" s="11" t="s">
        <v>289</v>
      </c>
      <c r="C86" s="31">
        <f>+C63</f>
        <v>42707</v>
      </c>
      <c r="D86" s="37">
        <f>+D63</f>
        <v>43073</v>
      </c>
      <c r="E86" s="37">
        <f t="shared" ref="E86:Q86" si="404">E3</f>
        <v>43438</v>
      </c>
      <c r="F86" s="37">
        <f t="shared" si="404"/>
        <v>43803</v>
      </c>
      <c r="G86" s="37">
        <f t="shared" si="404"/>
        <v>44169</v>
      </c>
      <c r="H86" s="37">
        <f t="shared" si="404"/>
        <v>44561</v>
      </c>
      <c r="I86" s="37">
        <f t="shared" si="404"/>
        <v>44926</v>
      </c>
      <c r="J86" s="37">
        <f t="shared" si="404"/>
        <v>44561</v>
      </c>
      <c r="K86" s="37">
        <f t="shared" si="404"/>
        <v>44926</v>
      </c>
      <c r="L86" s="37">
        <f t="shared" si="404"/>
        <v>44926</v>
      </c>
      <c r="M86" s="37">
        <f t="shared" si="404"/>
        <v>45291</v>
      </c>
      <c r="N86" s="37">
        <f t="shared" si="404"/>
        <v>45291</v>
      </c>
      <c r="O86" s="37">
        <f t="shared" si="404"/>
        <v>45657</v>
      </c>
      <c r="P86" s="37">
        <f t="shared" si="404"/>
        <v>45657</v>
      </c>
      <c r="Q86" s="37">
        <f t="shared" si="404"/>
        <v>46022</v>
      </c>
      <c r="R86" s="31">
        <f>+R63</f>
        <v>46112</v>
      </c>
      <c r="T86" s="31">
        <f t="shared" ref="T86:AC86" si="405">+T63</f>
        <v>43190</v>
      </c>
      <c r="U86" s="31">
        <f t="shared" si="405"/>
        <v>43281</v>
      </c>
      <c r="V86" s="31">
        <f t="shared" si="405"/>
        <v>43373</v>
      </c>
      <c r="W86" s="31">
        <f t="shared" si="405"/>
        <v>43465</v>
      </c>
      <c r="X86" s="31">
        <f t="shared" si="405"/>
        <v>43555</v>
      </c>
      <c r="Y86" s="31">
        <f t="shared" si="405"/>
        <v>43646</v>
      </c>
      <c r="Z86" s="31">
        <f t="shared" si="405"/>
        <v>43738</v>
      </c>
      <c r="AA86" s="31">
        <f t="shared" si="405"/>
        <v>43830</v>
      </c>
      <c r="AB86" s="31">
        <f t="shared" si="405"/>
        <v>43921</v>
      </c>
      <c r="AC86" s="31">
        <f t="shared" si="405"/>
        <v>44012</v>
      </c>
      <c r="AD86" s="31">
        <f t="shared" ref="AD86:AG86" si="406">+AD63</f>
        <v>44104</v>
      </c>
      <c r="AE86" s="31">
        <f t="shared" si="406"/>
        <v>44196</v>
      </c>
      <c r="AF86" s="31">
        <f t="shared" si="406"/>
        <v>44286</v>
      </c>
      <c r="AG86" s="31">
        <f t="shared" si="406"/>
        <v>44377</v>
      </c>
      <c r="AH86" s="31">
        <f t="shared" ref="AH86:AS86" si="407">+AH63</f>
        <v>44469</v>
      </c>
      <c r="AI86" s="31">
        <f t="shared" si="407"/>
        <v>44561</v>
      </c>
      <c r="AJ86" s="222"/>
      <c r="AK86" s="222"/>
      <c r="AL86" s="222"/>
      <c r="AM86" s="31">
        <f t="shared" ref="AM86:AP86" si="408">+AM63</f>
        <v>44561</v>
      </c>
      <c r="AN86" s="31">
        <f t="shared" si="408"/>
        <v>44651</v>
      </c>
      <c r="AO86" s="31">
        <f t="shared" si="408"/>
        <v>44742</v>
      </c>
      <c r="AP86" s="31">
        <f t="shared" si="408"/>
        <v>44834</v>
      </c>
      <c r="AQ86" s="31">
        <f t="shared" ref="AQ86" si="409">+AQ63</f>
        <v>44926</v>
      </c>
      <c r="AR86" s="31">
        <f t="shared" si="407"/>
        <v>44651</v>
      </c>
      <c r="AS86" s="31">
        <f t="shared" si="407"/>
        <v>44742</v>
      </c>
      <c r="AT86" s="31">
        <f t="shared" ref="AT86:AZ86" si="410">+AT63</f>
        <v>44834</v>
      </c>
      <c r="AU86" s="31">
        <f t="shared" si="410"/>
        <v>44926</v>
      </c>
      <c r="AV86" s="31">
        <f t="shared" ref="AV86:AW86" si="411">+AV63</f>
        <v>44834</v>
      </c>
      <c r="AW86" s="31">
        <f t="shared" si="411"/>
        <v>44926</v>
      </c>
      <c r="AX86" s="31">
        <f t="shared" si="410"/>
        <v>45016</v>
      </c>
      <c r="AY86" s="31">
        <f t="shared" ref="AY86" si="412">+AY63</f>
        <v>45016</v>
      </c>
      <c r="AZ86" s="31">
        <f t="shared" si="410"/>
        <v>45107</v>
      </c>
      <c r="BA86" s="31">
        <f t="shared" ref="BA86" si="413">+BA63</f>
        <v>45107</v>
      </c>
      <c r="BB86" s="31">
        <f t="shared" ref="BB86" si="414">+BB63</f>
        <v>45199</v>
      </c>
      <c r="BC86" s="31">
        <f t="shared" ref="BC86:BG86" si="415">+BC63</f>
        <v>45199</v>
      </c>
      <c r="BD86" s="31">
        <f t="shared" si="415"/>
        <v>45291</v>
      </c>
      <c r="BE86" s="31">
        <f t="shared" si="415"/>
        <v>45382</v>
      </c>
      <c r="BF86" s="31">
        <f t="shared" si="415"/>
        <v>45473</v>
      </c>
      <c r="BG86" s="31">
        <f t="shared" si="415"/>
        <v>45565</v>
      </c>
      <c r="BH86" s="31">
        <f t="shared" ref="BH86:BK86" si="416">+BH63</f>
        <v>45657</v>
      </c>
      <c r="BI86" s="31">
        <f t="shared" si="416"/>
        <v>45747</v>
      </c>
      <c r="BJ86" s="31">
        <f t="shared" si="416"/>
        <v>45838</v>
      </c>
      <c r="BK86" s="31">
        <f t="shared" si="416"/>
        <v>45930</v>
      </c>
      <c r="BL86" s="31">
        <f t="shared" ref="BL86:BM86" si="417">+BL63</f>
        <v>46022</v>
      </c>
      <c r="BM86" s="31">
        <f t="shared" si="417"/>
        <v>46112</v>
      </c>
      <c r="BO86" s="31">
        <f t="shared" ref="BO86:BP86" si="418">+BO63</f>
        <v>45291</v>
      </c>
      <c r="BP86" s="31">
        <f t="shared" si="418"/>
        <v>45382</v>
      </c>
      <c r="BQ86" s="31">
        <f t="shared" ref="BQ86:BT86" si="419">+BQ63</f>
        <v>45473</v>
      </c>
      <c r="BR86" s="31">
        <f t="shared" si="419"/>
        <v>45565</v>
      </c>
      <c r="BS86" s="31">
        <f t="shared" si="419"/>
        <v>45657</v>
      </c>
      <c r="BT86" s="31">
        <f t="shared" si="419"/>
        <v>45747</v>
      </c>
      <c r="BV86" s="40"/>
      <c r="BW86" s="40"/>
      <c r="BY86" s="40"/>
      <c r="BZ86" s="40"/>
      <c r="CB86" s="16"/>
      <c r="CC86" s="16"/>
    </row>
    <row r="87" spans="2:81" ht="13.5" customHeight="1">
      <c r="B87" s="10" t="str">
        <f t="shared" ref="B87:R87" si="420">+B7</f>
        <v>Operating revenue</v>
      </c>
      <c r="C87" s="32">
        <f t="shared" si="420"/>
        <v>21565.392</v>
      </c>
      <c r="D87" s="32">
        <f t="shared" si="420"/>
        <v>24402.401000000002</v>
      </c>
      <c r="E87" s="32">
        <f t="shared" si="420"/>
        <v>23885.780999999999</v>
      </c>
      <c r="F87" s="32">
        <f t="shared" si="420"/>
        <v>24583.312000000002</v>
      </c>
      <c r="G87" s="32">
        <f t="shared" si="420"/>
        <v>24203.170999999998</v>
      </c>
      <c r="H87" s="32">
        <f t="shared" si="420"/>
        <v>25900.661</v>
      </c>
      <c r="I87" s="32">
        <f t="shared" si="420"/>
        <v>27522</v>
      </c>
      <c r="J87" s="32">
        <f t="shared" si="420"/>
        <v>19994.367999999999</v>
      </c>
      <c r="K87" s="32">
        <f t="shared" si="420"/>
        <v>21725.735000000001</v>
      </c>
      <c r="L87" s="32">
        <f t="shared" si="420"/>
        <v>20020.28</v>
      </c>
      <c r="M87" s="32">
        <f t="shared" si="420"/>
        <v>22002.269</v>
      </c>
      <c r="N87" s="32">
        <f t="shared" si="420"/>
        <v>22318.326000000001</v>
      </c>
      <c r="O87" s="32">
        <f t="shared" si="420"/>
        <v>22334.616999999998</v>
      </c>
      <c r="P87" s="32">
        <f t="shared" si="420"/>
        <v>12541.918</v>
      </c>
      <c r="Q87" s="32">
        <f t="shared" si="420"/>
        <v>11757.996999999999</v>
      </c>
      <c r="R87" s="32">
        <f t="shared" si="420"/>
        <v>9468.9609999999993</v>
      </c>
      <c r="T87" s="173"/>
      <c r="U87" s="173"/>
      <c r="V87" s="173"/>
      <c r="W87" s="32">
        <f t="shared" ref="W87:AI87" si="421">+W7+V7+U7+T7</f>
        <v>23885.781000000003</v>
      </c>
      <c r="X87" s="32">
        <f t="shared" si="421"/>
        <v>24086.969000000001</v>
      </c>
      <c r="Y87" s="32">
        <f t="shared" si="421"/>
        <v>24373.518000000004</v>
      </c>
      <c r="Z87" s="32">
        <f t="shared" si="421"/>
        <v>24583.300000000003</v>
      </c>
      <c r="AA87" s="32">
        <f t="shared" si="421"/>
        <v>24583.311999999998</v>
      </c>
      <c r="AB87" s="32">
        <f t="shared" si="421"/>
        <v>24670.459000000003</v>
      </c>
      <c r="AC87" s="32">
        <f t="shared" si="421"/>
        <v>24309.259000000002</v>
      </c>
      <c r="AD87" s="32">
        <f t="shared" si="421"/>
        <v>24207.662</v>
      </c>
      <c r="AE87" s="32">
        <f t="shared" si="421"/>
        <v>24203.170999999998</v>
      </c>
      <c r="AF87" s="32">
        <f t="shared" si="421"/>
        <v>24230.606</v>
      </c>
      <c r="AG87" s="32">
        <f t="shared" si="421"/>
        <v>24828.255999999998</v>
      </c>
      <c r="AH87" s="32">
        <f t="shared" si="421"/>
        <v>25259.562000000002</v>
      </c>
      <c r="AI87" s="32">
        <f t="shared" si="421"/>
        <v>25900.661</v>
      </c>
      <c r="AJ87" s="223"/>
      <c r="AK87" s="223"/>
      <c r="AL87" s="223"/>
      <c r="AM87" s="223"/>
      <c r="AN87" s="32">
        <f>+AN7+AM7+AH7+AG7</f>
        <v>24739.442999999999</v>
      </c>
      <c r="AO87" s="32">
        <f>+AO7+AN7+AM7+AH7</f>
        <v>25053.635999999999</v>
      </c>
      <c r="AP87" s="32">
        <f>+AP7+AO7+AN7+AM7</f>
        <v>25770.991000000002</v>
      </c>
      <c r="AQ87" s="32">
        <f>+AQ7+AP7+AO7+AN7</f>
        <v>27522</v>
      </c>
      <c r="AR87" s="32">
        <f>+AR7+AM7+AH7+AG7</f>
        <v>23253.381999999998</v>
      </c>
      <c r="AS87" s="32">
        <f>+AS7+AR7+AM7+AH7</f>
        <v>22060.922999999999</v>
      </c>
      <c r="AT87" s="32">
        <f>+AT7+AS7+AR7+AM7</f>
        <v>21226.959999999999</v>
      </c>
      <c r="AU87" s="32">
        <f>+AU7+AT7+AS7+AR7</f>
        <v>21725.494999999999</v>
      </c>
      <c r="AV87" s="32">
        <f>+AV7+AS7+AR7+AM7</f>
        <v>20885.343000000001</v>
      </c>
      <c r="AW87" s="32">
        <f>+AW7+AV7+AR7+AS7</f>
        <v>20020.28</v>
      </c>
      <c r="AX87" s="32">
        <f>+AX7+AU7+AV7+AS7</f>
        <v>21778.704000000002</v>
      </c>
      <c r="AY87" s="32">
        <f>+AY7+AV7+AW7+AT7</f>
        <v>20545.012999999999</v>
      </c>
      <c r="AZ87" s="32">
        <f>+AZ7+AX7+AU7+AV7</f>
        <v>22575.625</v>
      </c>
      <c r="BA87" s="32">
        <f>+BA7+AY7+AV7+AW7</f>
        <v>20428.171999999999</v>
      </c>
      <c r="BB87" s="32">
        <f>+BB7+AZ7+AX7+AU7</f>
        <v>23218.241999999998</v>
      </c>
      <c r="BC87" s="32">
        <f>+BC7+BA7+AY7+AU7</f>
        <v>22120.083999999999</v>
      </c>
      <c r="BD87" s="32">
        <f>+BD7+BB7+AX7+AZ7</f>
        <v>22316.572</v>
      </c>
      <c r="BE87" s="32">
        <f>+BE7+BD7+BC7+BA7</f>
        <v>21883.27</v>
      </c>
      <c r="BF87" s="32">
        <f>+BF7+BE7+BD7+BC7</f>
        <v>22046.877</v>
      </c>
      <c r="BG87" s="32">
        <f>+BG7+BE7+BF7+BD7</f>
        <v>21672.822999999997</v>
      </c>
      <c r="BH87" s="32">
        <f>+BH7+BF7+BG7+BE7</f>
        <v>22334.616999999998</v>
      </c>
      <c r="BI87" s="32">
        <f>+BI7+BH7+BG7+BF7</f>
        <v>21761.43</v>
      </c>
      <c r="BJ87" s="32">
        <f>+BJ7+BI7+BH7+BG7</f>
        <v>18972.082999999999</v>
      </c>
      <c r="BK87" s="32">
        <f>+BK7+BI7+BJ7+BH7</f>
        <v>16570.919999999998</v>
      </c>
      <c r="BL87" s="32">
        <f>+BL7+BJ7+BK7+BI7</f>
        <v>11757.996999999999</v>
      </c>
      <c r="BM87" s="32">
        <f>+BM7+BL7+BK7+BJ7</f>
        <v>9468.9609999999993</v>
      </c>
      <c r="BO87" s="32">
        <f>SUM(AY7,BA7,BC7,BO7)</f>
        <v>22318.326000000001</v>
      </c>
      <c r="BP87" s="32">
        <f>+BP7+BO7+BC7+BA7</f>
        <v>23060.141000000003</v>
      </c>
      <c r="BQ87" s="32">
        <f>+BQ7+BP7+BO7+BC7</f>
        <v>20787.618000000002</v>
      </c>
      <c r="BR87" s="32">
        <f>+BR7+BQ7+BP7+BO7</f>
        <v>18156.919000000002</v>
      </c>
      <c r="BS87" s="32">
        <f>+BS7+BR7+BQ7+BP7</f>
        <v>12541.918</v>
      </c>
      <c r="BT87" s="32">
        <f>+BT7+BS7+BR7+BQ7</f>
        <v>9694.732</v>
      </c>
      <c r="BV87" s="40"/>
      <c r="BW87" s="40"/>
      <c r="BY87" s="40"/>
      <c r="BZ87" s="40"/>
      <c r="CB87" s="16"/>
      <c r="CC87" s="16"/>
    </row>
    <row r="88" spans="2:81" ht="13.5" customHeight="1">
      <c r="B88" s="10" t="s">
        <v>263</v>
      </c>
      <c r="C88" s="32">
        <f t="shared" ref="C88:R88" si="422">C19</f>
        <v>2727.2059999999983</v>
      </c>
      <c r="D88" s="32">
        <f t="shared" si="422"/>
        <v>3000.0570000000007</v>
      </c>
      <c r="E88" s="32">
        <f t="shared" si="422"/>
        <v>-2385.1270000000004</v>
      </c>
      <c r="F88" s="32">
        <f t="shared" si="422"/>
        <v>4232.1260000000002</v>
      </c>
      <c r="G88" s="32">
        <f t="shared" si="422"/>
        <v>2494.8839999999982</v>
      </c>
      <c r="H88" s="32">
        <f t="shared" si="422"/>
        <v>3818.0769999999975</v>
      </c>
      <c r="I88" s="32">
        <f t="shared" si="422"/>
        <v>3750.7729999999974</v>
      </c>
      <c r="J88" s="32">
        <f t="shared" si="422"/>
        <v>2426.7129999999961</v>
      </c>
      <c r="K88" s="32">
        <f t="shared" si="422"/>
        <v>-2045.492000000002</v>
      </c>
      <c r="L88" s="32">
        <f t="shared" si="422"/>
        <v>358.33899999999994</v>
      </c>
      <c r="M88" s="32">
        <f t="shared" si="422"/>
        <v>2658.5579999999973</v>
      </c>
      <c r="N88" s="32">
        <f t="shared" si="422"/>
        <v>1846.1510000000017</v>
      </c>
      <c r="O88" s="32">
        <f t="shared" si="422"/>
        <v>3556.0810000000019</v>
      </c>
      <c r="P88" s="32">
        <f t="shared" si="422"/>
        <v>1732.719000000001</v>
      </c>
      <c r="Q88" s="32">
        <f t="shared" si="422"/>
        <v>1296.0259999999998</v>
      </c>
      <c r="R88" s="32">
        <f t="shared" si="422"/>
        <v>1065.1669999999976</v>
      </c>
      <c r="T88" s="173"/>
      <c r="U88" s="173"/>
      <c r="V88" s="173"/>
      <c r="W88" s="32">
        <f t="shared" ref="W88:AI88" si="423">W19+V19+U19+T19</f>
        <v>-2385.1269999999995</v>
      </c>
      <c r="X88" s="32">
        <f t="shared" si="423"/>
        <v>-1768.7519999999995</v>
      </c>
      <c r="Y88" s="32">
        <f t="shared" si="423"/>
        <v>1928.5610000000015</v>
      </c>
      <c r="Z88" s="32">
        <f t="shared" si="423"/>
        <v>2097.527000000001</v>
      </c>
      <c r="AA88" s="32">
        <f t="shared" si="423"/>
        <v>4232.1260000000002</v>
      </c>
      <c r="AB88" s="32">
        <f t="shared" si="423"/>
        <v>4137.1000000000004</v>
      </c>
      <c r="AC88" s="32">
        <f t="shared" si="423"/>
        <v>3769.1439999999993</v>
      </c>
      <c r="AD88" s="32">
        <f t="shared" si="423"/>
        <v>3776.7050000000017</v>
      </c>
      <c r="AE88" s="32">
        <f t="shared" si="423"/>
        <v>2494.8839999999982</v>
      </c>
      <c r="AF88" s="32">
        <f t="shared" si="423"/>
        <v>2233.5919999999987</v>
      </c>
      <c r="AG88" s="32">
        <f t="shared" si="423"/>
        <v>2435.2550000000001</v>
      </c>
      <c r="AH88" s="32">
        <f t="shared" si="423"/>
        <v>2477.2929999999997</v>
      </c>
      <c r="AI88" s="32">
        <f t="shared" si="423"/>
        <v>3818.0770000000002</v>
      </c>
      <c r="AJ88" s="223"/>
      <c r="AK88" s="223"/>
      <c r="AL88" s="223"/>
      <c r="AM88" s="223"/>
      <c r="AN88" s="32">
        <f>AN19+AM19+AH19+AG19</f>
        <v>3200.5569999999998</v>
      </c>
      <c r="AO88" s="32">
        <f>AO19+AN19+AM19+AH19</f>
        <v>3239.2250000000004</v>
      </c>
      <c r="AP88" s="32">
        <f>AP19+AO19+AN19+AM19</f>
        <v>3346.6699999999992</v>
      </c>
      <c r="AQ88" s="32">
        <f>AQ19+AP19+AO19+AN19</f>
        <v>3750.7730000000038</v>
      </c>
      <c r="AR88" s="32">
        <f>AR19+AM19+AH19+AG19</f>
        <v>2784.755000000001</v>
      </c>
      <c r="AS88" s="32">
        <f>AS19+AR19+AM19+AH19</f>
        <v>2369.8320000000012</v>
      </c>
      <c r="AT88" s="32">
        <f>AT19+AS19+AR19+AM19</f>
        <v>2268.9170000000004</v>
      </c>
      <c r="AU88" s="32">
        <f>AU19+AT19+AS19+AR19</f>
        <v>-2045.7319999999991</v>
      </c>
      <c r="AV88" s="32">
        <f>AV19+AS19+AR19+AM19</f>
        <v>1927.3000000000002</v>
      </c>
      <c r="AW88" s="32">
        <f>AW19+AV19+AR19+AS19</f>
        <v>358.33899999999994</v>
      </c>
      <c r="AX88" s="32">
        <f>AX19+AU19+AV19+AS19</f>
        <v>-2198.824999999998</v>
      </c>
      <c r="AY88" s="32">
        <f>AY19+AV19+AW19+AT19</f>
        <v>896.5119999999979</v>
      </c>
      <c r="AZ88" s="32">
        <f>AZ19+AX19+AU19+AV19</f>
        <v>-2939.4809999999979</v>
      </c>
      <c r="BA88" s="32">
        <f>BA19+AY19+AV19+AW19</f>
        <v>823.85599999999704</v>
      </c>
      <c r="BB88" s="32">
        <f>BB19+AZ19+AX19+AU19</f>
        <v>-2537.2129999999988</v>
      </c>
      <c r="BC88" s="32">
        <f>BC19+AZ19+AX19+AU19</f>
        <v>-2851.5159999999987</v>
      </c>
      <c r="BD88" s="32">
        <f>BD19+BB19+AX19+AZ19</f>
        <v>2972.8610000000012</v>
      </c>
      <c r="BE88" s="32">
        <f>BE19+BD19+BC19+BA19</f>
        <v>4049.1929999999979</v>
      </c>
      <c r="BF88" s="32">
        <f>BF19+BE19+BD19+BC19</f>
        <v>4059.9609999999989</v>
      </c>
      <c r="BG88" s="32">
        <f>BG19+BE19+BD19+BF19</f>
        <v>3828.828</v>
      </c>
      <c r="BH88" s="32">
        <f>BH19+BF19+BE19+BG19</f>
        <v>3556.081000000001</v>
      </c>
      <c r="BI88" s="32">
        <f>BI19+BH19+BG19+BF19</f>
        <v>3410.1730000000007</v>
      </c>
      <c r="BJ88" s="32">
        <f>BJ19+BI19+BH19+BG19</f>
        <v>2657.4040000000005</v>
      </c>
      <c r="BK88" s="32">
        <f>BK19+BI19+BH19+BJ19</f>
        <v>2494.3990000000003</v>
      </c>
      <c r="BL88" s="32">
        <f>BL19+BJ19+BI19+BK19</f>
        <v>1296.0259999999989</v>
      </c>
      <c r="BM88" s="32">
        <f>BM19+BL19+BK19+BJ19</f>
        <v>1065.1669999999999</v>
      </c>
      <c r="BO88" s="32">
        <f>SUM(AY19,BA19,BC19,BO19)</f>
        <v>1846.1509999999998</v>
      </c>
      <c r="BP88" s="32">
        <f>BP19+BO19+BC19+BA19</f>
        <v>2279.87</v>
      </c>
      <c r="BQ88" s="32">
        <f>BQ19+BP19+BO19+BC19</f>
        <v>1856.5380000000009</v>
      </c>
      <c r="BR88" s="32">
        <f>BR19+BQ19+BP19+BO19</f>
        <v>1247.0670000000023</v>
      </c>
      <c r="BS88" s="32">
        <f>BS19+BR19+BQ19+BP19</f>
        <v>1732.7189999999987</v>
      </c>
      <c r="BT88" s="32">
        <f>BT19+BS19+BR19+BQ19</f>
        <v>1117.4899999999993</v>
      </c>
      <c r="BV88" s="40"/>
      <c r="BW88" s="40"/>
      <c r="BY88" s="40"/>
      <c r="BZ88" s="40"/>
      <c r="CB88" s="16"/>
      <c r="CC88" s="16"/>
    </row>
    <row r="89" spans="2:81" ht="13.5" customHeight="1">
      <c r="B89" s="10" t="s">
        <v>290</v>
      </c>
      <c r="C89" s="32">
        <f t="shared" ref="C89:R89" si="424">C51</f>
        <v>8393.7109999999993</v>
      </c>
      <c r="D89" s="32">
        <f t="shared" si="424"/>
        <v>8986.27</v>
      </c>
      <c r="E89" s="32">
        <f t="shared" si="424"/>
        <v>5259.6889999999994</v>
      </c>
      <c r="F89" s="32">
        <f t="shared" si="424"/>
        <v>11316.362000000001</v>
      </c>
      <c r="G89" s="32">
        <f t="shared" si="424"/>
        <v>10979.877999999999</v>
      </c>
      <c r="H89" s="32">
        <f t="shared" si="424"/>
        <v>11912.944999999998</v>
      </c>
      <c r="I89" s="32">
        <f t="shared" si="424"/>
        <v>10821.684999999998</v>
      </c>
      <c r="J89" s="32">
        <f t="shared" si="424"/>
        <v>8744.5299999999952</v>
      </c>
      <c r="K89" s="32">
        <f t="shared" si="424"/>
        <v>5025.4199999999983</v>
      </c>
      <c r="L89" s="32">
        <f t="shared" si="424"/>
        <v>8236.3420000000006</v>
      </c>
      <c r="M89" s="32">
        <f t="shared" si="424"/>
        <v>9858.5439999999981</v>
      </c>
      <c r="N89" s="32">
        <f t="shared" si="424"/>
        <v>10048.533000000001</v>
      </c>
      <c r="O89" s="32">
        <f t="shared" si="424"/>
        <v>10897.276000000002</v>
      </c>
      <c r="P89" s="32">
        <f t="shared" si="424"/>
        <v>5485.0280000000012</v>
      </c>
      <c r="Q89" s="32">
        <f t="shared" si="424"/>
        <v>5189.4699999999993</v>
      </c>
      <c r="R89" s="32">
        <f t="shared" si="424"/>
        <v>4072.6549999999975</v>
      </c>
      <c r="T89" s="173"/>
      <c r="U89" s="173"/>
      <c r="V89" s="173"/>
      <c r="W89" s="32">
        <f t="shared" ref="W89:AI89" si="425">W51+V51+U51+T51</f>
        <v>5259.6890000000003</v>
      </c>
      <c r="X89" s="32">
        <f t="shared" si="425"/>
        <v>6125.893</v>
      </c>
      <c r="Y89" s="32">
        <f t="shared" si="425"/>
        <v>10040.929</v>
      </c>
      <c r="Z89" s="32">
        <f t="shared" si="425"/>
        <v>10544.494999999999</v>
      </c>
      <c r="AA89" s="32">
        <f t="shared" si="425"/>
        <v>11316.362000000001</v>
      </c>
      <c r="AB89" s="32">
        <f t="shared" si="425"/>
        <v>11426.765000000001</v>
      </c>
      <c r="AC89" s="32">
        <f t="shared" si="425"/>
        <v>11194.275999999998</v>
      </c>
      <c r="AD89" s="32">
        <f t="shared" si="425"/>
        <v>11117.933000000003</v>
      </c>
      <c r="AE89" s="32">
        <f t="shared" si="425"/>
        <v>10979.877999999999</v>
      </c>
      <c r="AF89" s="32">
        <f t="shared" si="425"/>
        <v>10845.089999999998</v>
      </c>
      <c r="AG89" s="32">
        <f t="shared" si="425"/>
        <v>11107.916999999999</v>
      </c>
      <c r="AH89" s="32">
        <f t="shared" si="425"/>
        <v>11371.787</v>
      </c>
      <c r="AI89" s="32">
        <f t="shared" si="425"/>
        <v>11912.945</v>
      </c>
      <c r="AJ89" s="223"/>
      <c r="AK89" s="223"/>
      <c r="AL89" s="223"/>
      <c r="AM89" s="223"/>
      <c r="AN89" s="32">
        <f>AN51+AM51+AH51+AG51</f>
        <v>10584.632999999998</v>
      </c>
      <c r="AO89" s="32">
        <f>AO51+AN51+AM51+AH51</f>
        <v>10599.286</v>
      </c>
      <c r="AP89" s="32">
        <f>AP51+AO51+AN51+AM51</f>
        <v>10824.172999999999</v>
      </c>
      <c r="AQ89" s="32">
        <f>AQ51+AP51+AO51+AN51</f>
        <v>10821.685000000003</v>
      </c>
      <c r="AR89" s="32">
        <f>AR51+AM51+AH51+AG51</f>
        <v>9916.6400000000012</v>
      </c>
      <c r="AS89" s="32">
        <f>AS51+AR51+AM51+AH51</f>
        <v>9224.7890000000007</v>
      </c>
      <c r="AT89" s="32">
        <f>AT51+AS51+AR51+AM51</f>
        <v>8820.4060000000009</v>
      </c>
      <c r="AU89" s="32">
        <f>AU51+AT51+AS51+AR51</f>
        <v>5025.1800000000012</v>
      </c>
      <c r="AV89" s="32">
        <f>AV51+AS51+AR51+AM51</f>
        <v>8478.7890000000007</v>
      </c>
      <c r="AW89" s="32">
        <f>AW51+AV51+AR51+AS51</f>
        <v>8236.3420000000006</v>
      </c>
      <c r="AX89" s="32">
        <f>AX51+AU51+AV51+AS51</f>
        <v>5076.6410000000024</v>
      </c>
      <c r="AY89" s="32">
        <f>AY51+AV51+AW51+AT51</f>
        <v>8856.3889999999992</v>
      </c>
      <c r="AZ89" s="32">
        <f>AZ51+AX51+AU51+AV51</f>
        <v>5406.5890000000027</v>
      </c>
      <c r="BA89" s="32">
        <f>BA51+AY51+AV51+AW51</f>
        <v>8917.5949999999975</v>
      </c>
      <c r="BB89" s="32">
        <f>BB51+AZ51+AX51+AU51</f>
        <v>5987.8870000000015</v>
      </c>
      <c r="BC89" s="32">
        <f>BC51+AZ51+AX51+AU51</f>
        <v>5673.5840000000017</v>
      </c>
      <c r="BD89" s="32">
        <f>BD51+BB51+AX51+AZ51</f>
        <v>10172.847000000002</v>
      </c>
      <c r="BE89" s="32">
        <f>BE51+BD51+BC51+BA51</f>
        <v>10470.389999999998</v>
      </c>
      <c r="BF89" s="32">
        <f>BF51+BE51+BD51+BC51</f>
        <v>10545.843999999999</v>
      </c>
      <c r="BG89" s="32">
        <f>BG51+BE51+BF51+BD51</f>
        <v>10274.029</v>
      </c>
      <c r="BH89" s="32">
        <f>BH51+BF51+BG51+BE51</f>
        <v>10897.276000000002</v>
      </c>
      <c r="BI89" s="32">
        <f>BI51+BH51+BG51+BF51</f>
        <v>10493.013999999999</v>
      </c>
      <c r="BJ89" s="32">
        <f>BJ51+BI51+BH51+BG51</f>
        <v>8994.5580000000009</v>
      </c>
      <c r="BK89" s="32">
        <f>BK51+BI51+BJ51+BH51</f>
        <v>8031.7619999999997</v>
      </c>
      <c r="BL89" s="32">
        <f>BL51+BJ51+BK51+BI51</f>
        <v>5189.4699999999984</v>
      </c>
      <c r="BM89" s="32">
        <f>BM51+BL51+BK51+BJ51</f>
        <v>4072.6549999999997</v>
      </c>
      <c r="BO89" s="32">
        <f>SUM(AY51,BA51,BC51,BO51)</f>
        <v>10048.532999999999</v>
      </c>
      <c r="BP89" s="32">
        <f>BP51+BO51+BC51+BA51</f>
        <v>10743.315999999999</v>
      </c>
      <c r="BQ89" s="32">
        <f>BQ51+BP51+BO51+BC51</f>
        <v>9478.5329999999994</v>
      </c>
      <c r="BR89" s="32">
        <f>BR51+BQ51+BP51+BO51</f>
        <v>7954.1820000000016</v>
      </c>
      <c r="BS89" s="32">
        <f>BS51+BR51+BQ51+BP51</f>
        <v>5485.0279999999984</v>
      </c>
      <c r="BT89" s="32">
        <f>BT51+BS51+BR51+BQ51</f>
        <v>3798.5259999999994</v>
      </c>
      <c r="BV89" s="40"/>
      <c r="BW89" s="40"/>
      <c r="BY89" s="40"/>
      <c r="BZ89" s="40"/>
      <c r="CB89" s="16"/>
      <c r="CC89" s="16"/>
    </row>
    <row r="90" spans="2:81" s="6" customFormat="1" ht="13.5" customHeight="1">
      <c r="B90" s="10" t="s">
        <v>291</v>
      </c>
      <c r="C90" s="32">
        <f t="shared" ref="C90:R90" si="426">+C59</f>
        <v>8012.6480000000001</v>
      </c>
      <c r="D90" s="32">
        <f t="shared" si="426"/>
        <v>9230.1180000000004</v>
      </c>
      <c r="E90" s="32">
        <f t="shared" si="426"/>
        <v>8334.134</v>
      </c>
      <c r="F90" s="32">
        <f t="shared" si="426"/>
        <v>10619.15</v>
      </c>
      <c r="G90" s="32">
        <f t="shared" si="426"/>
        <v>10656.875</v>
      </c>
      <c r="H90" s="32">
        <f t="shared" si="426"/>
        <v>11404.017</v>
      </c>
      <c r="I90" s="32">
        <f t="shared" si="426"/>
        <v>12434</v>
      </c>
      <c r="J90" s="32">
        <f t="shared" si="426"/>
        <v>8902.259</v>
      </c>
      <c r="K90" s="32">
        <f t="shared" si="426"/>
        <v>9596.6450000000004</v>
      </c>
      <c r="L90" s="32">
        <f t="shared" si="426"/>
        <v>8619.9140000000007</v>
      </c>
      <c r="M90" s="32">
        <f t="shared" si="426"/>
        <v>9628.8719999999994</v>
      </c>
      <c r="N90" s="32">
        <f t="shared" si="426"/>
        <v>9909.2999999999993</v>
      </c>
      <c r="O90" s="32">
        <f t="shared" si="426"/>
        <v>11129.2</v>
      </c>
      <c r="P90" s="32">
        <f t="shared" si="426"/>
        <v>5688.317</v>
      </c>
      <c r="Q90" s="32">
        <f t="shared" si="426"/>
        <v>5460.4430000000002</v>
      </c>
      <c r="R90" s="32">
        <f t="shared" si="426"/>
        <v>4362.0910000000003</v>
      </c>
      <c r="S90"/>
      <c r="T90" s="173"/>
      <c r="U90" s="173"/>
      <c r="V90" s="173"/>
      <c r="W90" s="32">
        <f t="shared" ref="W90:AI90" si="427">+W59+V59+U59+T59</f>
        <v>8334.134</v>
      </c>
      <c r="X90" s="32">
        <f t="shared" si="427"/>
        <v>10755.902</v>
      </c>
      <c r="Y90" s="32">
        <f t="shared" si="427"/>
        <v>13426.429</v>
      </c>
      <c r="Z90" s="32">
        <f t="shared" si="427"/>
        <v>16228.106</v>
      </c>
      <c r="AA90" s="32">
        <f t="shared" si="427"/>
        <v>10619.15</v>
      </c>
      <c r="AB90" s="32">
        <f t="shared" si="427"/>
        <v>10701.275</v>
      </c>
      <c r="AC90" s="32">
        <f t="shared" si="427"/>
        <v>10614.498</v>
      </c>
      <c r="AD90" s="32">
        <f t="shared" si="427"/>
        <v>10652.458999999999</v>
      </c>
      <c r="AE90" s="32">
        <f t="shared" si="427"/>
        <v>10656.875</v>
      </c>
      <c r="AF90" s="32">
        <f t="shared" si="427"/>
        <v>10844.837</v>
      </c>
      <c r="AG90" s="32">
        <f t="shared" si="427"/>
        <v>11071.954999999998</v>
      </c>
      <c r="AH90" s="32">
        <f t="shared" si="427"/>
        <v>11091.703000000001</v>
      </c>
      <c r="AI90" s="32">
        <f t="shared" si="427"/>
        <v>11404.017</v>
      </c>
      <c r="AJ90" s="223"/>
      <c r="AK90" s="223"/>
      <c r="AL90" s="223"/>
      <c r="AM90" s="223"/>
      <c r="AN90" s="32">
        <f>+AN59+AM59+AH59+AG59</f>
        <v>10890.617000000002</v>
      </c>
      <c r="AO90" s="32">
        <f>+AO59+AN59+AM59+AH59</f>
        <v>11090.349</v>
      </c>
      <c r="AP90" s="32">
        <f>+AP59+AO59+AN59+AM59</f>
        <v>11434.563</v>
      </c>
      <c r="AQ90" s="32">
        <f>+AQ59+AP59+AO59+AN59</f>
        <v>12434</v>
      </c>
      <c r="AR90" s="32">
        <f>+AR59+AM59+AH59+AG59</f>
        <v>10238.154</v>
      </c>
      <c r="AS90" s="32">
        <f>+AS59+AR59+AM59+AH59</f>
        <v>9757.2380000000012</v>
      </c>
      <c r="AT90" s="32">
        <f>+AT59+AS59+AR59+AM59</f>
        <v>9369.8520000000008</v>
      </c>
      <c r="AU90" s="32">
        <f>+AU59+AT59+AS59+AR59</f>
        <v>9596.6450000000004</v>
      </c>
      <c r="AV90" s="32">
        <f>AV59+AS59+AR59+AM59</f>
        <v>9205.652</v>
      </c>
      <c r="AW90" s="32">
        <f>+AW59+AV59+AR59+AS59</f>
        <v>8619.9140000000007</v>
      </c>
      <c r="AX90" s="32">
        <f>+AX59+AU59+AV59+AS59</f>
        <v>9603.1760000000013</v>
      </c>
      <c r="AY90" s="32">
        <f>+AY59+AV59+AW59+AT59</f>
        <v>8699.2620000000006</v>
      </c>
      <c r="AZ90" s="32">
        <f>+AZ59+AX59+AU59+AV59</f>
        <v>10001.996999999999</v>
      </c>
      <c r="BA90" s="32">
        <f>+BA59+AY59+AV59+AW59</f>
        <v>8730.4210000000003</v>
      </c>
      <c r="BB90" s="32">
        <f>+BB59+AZ59+AX59+AU59</f>
        <v>10408.197</v>
      </c>
      <c r="BC90" s="32">
        <f>+BC59+AZ59+AX59+AU59</f>
        <v>10232.197</v>
      </c>
      <c r="BD90" s="32">
        <f>+BD59+BB59+AX59+AZ59</f>
        <v>9804.8719999999994</v>
      </c>
      <c r="BE90" s="32">
        <f>+BE59+BD59+BC59+BA59</f>
        <v>9723.3959999999988</v>
      </c>
      <c r="BF90" s="32">
        <f>+BF59+BE59+BD59+BC59</f>
        <v>10045.434999999999</v>
      </c>
      <c r="BG90" s="32">
        <f>+BG59+BE59+BF59+BD59</f>
        <v>10142.235000000001</v>
      </c>
      <c r="BH90" s="32">
        <f>+BH59+BF59+BG59+BE59</f>
        <v>11129.200000000003</v>
      </c>
      <c r="BI90" s="32">
        <f>+BI59+BH59+BG59+BF59</f>
        <v>10846.547</v>
      </c>
      <c r="BJ90" s="32">
        <f>+BJ59+BI59+BH59+BG59</f>
        <v>9461.349000000002</v>
      </c>
      <c r="BK90" s="32">
        <f>+BK59+BI59+BJ59+BH59</f>
        <v>8188.9490000000005</v>
      </c>
      <c r="BL90" s="32">
        <f>+BL59+BJ59+BK59+BI59</f>
        <v>5460.4430000000002</v>
      </c>
      <c r="BM90" s="32">
        <f>+BM59+BL59+BK59+BJ59</f>
        <v>4362.0910000000003</v>
      </c>
      <c r="BO90" s="32">
        <f>SUM(AY59,BA59,BC59,BO59)</f>
        <v>9909.2999999999993</v>
      </c>
      <c r="BP90" s="32">
        <f>+BP59+BO59+BA59+BC59</f>
        <v>10529.545999999998</v>
      </c>
      <c r="BQ90" s="32">
        <f>+BQ59+BP59+BC59+BO59</f>
        <v>9539.3869999999988</v>
      </c>
      <c r="BR90" s="32">
        <f>+BR59+BQ59+BO59+BP59</f>
        <v>8415.2870000000003</v>
      </c>
      <c r="BS90" s="32">
        <f>+BS59+BR59+BP59+BQ59</f>
        <v>5688.317</v>
      </c>
      <c r="BT90" s="32">
        <f>+BT59+BS59+BQ59+BR59</f>
        <v>4103.9400000000005</v>
      </c>
      <c r="BV90" s="40"/>
      <c r="BW90" s="40"/>
      <c r="BY90" s="40"/>
      <c r="BZ90" s="40"/>
      <c r="CB90" s="16"/>
      <c r="CC90" s="16"/>
    </row>
    <row r="91" spans="2:81" ht="13.5" customHeight="1">
      <c r="B91" s="10" t="s">
        <v>274</v>
      </c>
      <c r="C91" s="32">
        <f t="shared" ref="C91:H91" si="428">-C67</f>
        <v>1153.8679999999999</v>
      </c>
      <c r="D91" s="32">
        <f t="shared" si="428"/>
        <v>1297.431</v>
      </c>
      <c r="E91" s="32">
        <f t="shared" si="428"/>
        <v>1102.2139999999999</v>
      </c>
      <c r="F91" s="32">
        <f t="shared" si="428"/>
        <v>1689.5889999999999</v>
      </c>
      <c r="G91" s="32">
        <f t="shared" ref="G91" si="429">-G67</f>
        <v>1400.405</v>
      </c>
      <c r="H91" s="32">
        <f t="shared" si="428"/>
        <v>1398.06</v>
      </c>
      <c r="I91" s="32">
        <f t="shared" ref="I91:K91" si="430">-I67</f>
        <v>1590.874</v>
      </c>
      <c r="J91" s="32">
        <f t="shared" ref="J91" si="431">-J67</f>
        <v>1398.06</v>
      </c>
      <c r="K91" s="32">
        <f t="shared" si="430"/>
        <v>1590.874</v>
      </c>
      <c r="L91" s="32">
        <f t="shared" ref="L91:M91" si="432">-L67</f>
        <v>1589.069</v>
      </c>
      <c r="M91" s="32">
        <f t="shared" si="432"/>
        <v>2303.0030000000002</v>
      </c>
      <c r="N91" s="32">
        <f t="shared" ref="N91" si="433">-N67</f>
        <v>2296.3389999999999</v>
      </c>
      <c r="O91" s="32">
        <f t="shared" ref="O91:P91" si="434">-O67</f>
        <v>2157.1909999999998</v>
      </c>
      <c r="P91" s="32">
        <f t="shared" si="434"/>
        <v>2157.1909999999998</v>
      </c>
      <c r="Q91" s="32">
        <f t="shared" ref="Q91" si="435">-Q67</f>
        <v>1543.5119999999999</v>
      </c>
      <c r="R91" s="32">
        <f t="shared" ref="R91" si="436">-R67</f>
        <v>1207.1669999999999</v>
      </c>
      <c r="T91" s="173"/>
      <c r="U91" s="173"/>
      <c r="V91" s="173"/>
      <c r="W91" s="32">
        <f t="shared" ref="W91:Z91" si="437">-W67-V67-U67-T67</f>
        <v>1102.2139999999999</v>
      </c>
      <c r="X91" s="32">
        <f t="shared" si="437"/>
        <v>1051.4870000000001</v>
      </c>
      <c r="Y91" s="32">
        <f t="shared" si="437"/>
        <v>829.89200000000005</v>
      </c>
      <c r="Z91" s="32">
        <f t="shared" si="437"/>
        <v>3375.1710000000003</v>
      </c>
      <c r="AA91" s="32">
        <f>-AA67-Z67-Y67-X67</f>
        <v>1689.5889999999999</v>
      </c>
      <c r="AB91" s="32">
        <f>-AB67-AA67-Z67-Y67</f>
        <v>1898.8849999999998</v>
      </c>
      <c r="AC91" s="32">
        <f t="shared" ref="AC91" si="438">-AC67-AB67-AA67-Z67</f>
        <v>2627.0810000000001</v>
      </c>
      <c r="AD91" s="32">
        <f t="shared" ref="AD91" si="439">-AD67-AC67-AB67-AA67</f>
        <v>1557.296</v>
      </c>
      <c r="AE91" s="32">
        <f>-AE67-AD67-AC67-AB67</f>
        <v>1400.405</v>
      </c>
      <c r="AF91" s="32">
        <f>-AF67-AE67-AD67-AC67</f>
        <v>1380.29</v>
      </c>
      <c r="AG91" s="32">
        <f t="shared" ref="AG91:AH91" si="440">-AG67-AF67-AE67-AD67</f>
        <v>860.87099999999998</v>
      </c>
      <c r="AH91" s="32">
        <f t="shared" si="440"/>
        <v>1387.3419999999999</v>
      </c>
      <c r="AI91" s="32">
        <f>-AI67-AH67-AG67-AF67</f>
        <v>1398.06</v>
      </c>
      <c r="AJ91" s="223"/>
      <c r="AK91" s="223"/>
      <c r="AL91" s="223"/>
      <c r="AM91" s="223"/>
      <c r="AN91" s="32">
        <f>-AN67-AI67-AH67-AG67</f>
        <v>1442.143</v>
      </c>
      <c r="AO91" s="32">
        <f>-AO67-AN67-AI67-AH67</f>
        <v>1443.0750000000003</v>
      </c>
      <c r="AP91" s="32">
        <f>-AP67-AO67-AN67-AI67</f>
        <v>1480.787</v>
      </c>
      <c r="AQ91" s="32">
        <f>-AQ67-AP67-AO67-AN67</f>
        <v>1590.874</v>
      </c>
      <c r="AR91" s="32">
        <f>-AR67-AI67-AH67-AG67</f>
        <v>1442.143</v>
      </c>
      <c r="AS91" s="32">
        <f>-AS67-AR67-AI67-AH67</f>
        <v>1443.0750000000003</v>
      </c>
      <c r="AT91" s="32">
        <f>-AT67-AS67-AR67-AI67</f>
        <v>1480.787</v>
      </c>
      <c r="AU91" s="32">
        <f t="shared" ref="AU91" si="441">-AU67-AT67-AS67-AR67</f>
        <v>1590.874</v>
      </c>
      <c r="AV91" s="32">
        <f>-AV67-AS67-AR67-AI67</f>
        <v>1480.787</v>
      </c>
      <c r="AW91" s="32">
        <f>-AW67-AV67-AS67-AR67</f>
        <v>1589.069</v>
      </c>
      <c r="AX91" s="32">
        <f>-AX67-AU67-AV67-AS67</f>
        <v>1613.0140000000001</v>
      </c>
      <c r="AY91" s="32">
        <f>-AY67-AV67-AW67-AT67</f>
        <v>1827.5940000000001</v>
      </c>
      <c r="AZ91" s="32">
        <f>-AZ67-AX67-AU67-AV67</f>
        <v>2023.1990000000001</v>
      </c>
      <c r="BA91" s="32">
        <f>-BA67-AY67-AV67-AW67</f>
        <v>2021.394</v>
      </c>
      <c r="BB91" s="32">
        <f>-BB67-AZ67-AX67-AU67</f>
        <v>2257.3710000000001</v>
      </c>
      <c r="BC91" s="32">
        <f>-BC67-AZ67-AX67-AU67</f>
        <v>2257.3710000000001</v>
      </c>
      <c r="BD91" s="32">
        <f>-BD67-BB67-AX67-AZ67</f>
        <v>2303.0030000000002</v>
      </c>
      <c r="BE91" s="32">
        <f>-BE67-BD67-BC67-BA67</f>
        <v>2516.83</v>
      </c>
      <c r="BF91" s="32">
        <f t="shared" ref="BF91:BM91" si="442">-BF67-BE67-BD67-BC67</f>
        <v>2323.0509999999999</v>
      </c>
      <c r="BG91" s="32">
        <f t="shared" si="442"/>
        <v>2184.98</v>
      </c>
      <c r="BH91" s="32">
        <f t="shared" si="442"/>
        <v>2157.1909999999998</v>
      </c>
      <c r="BI91" s="32">
        <f t="shared" si="442"/>
        <v>2045.7559999999999</v>
      </c>
      <c r="BJ91" s="32">
        <f t="shared" si="442"/>
        <v>1999.1999999999998</v>
      </c>
      <c r="BK91" s="32">
        <f t="shared" si="442"/>
        <v>1779.0769999999998</v>
      </c>
      <c r="BL91" s="32">
        <f t="shared" si="442"/>
        <v>1543.5119999999999</v>
      </c>
      <c r="BM91" s="32">
        <f t="shared" si="442"/>
        <v>1207.1669999999999</v>
      </c>
      <c r="BO91" s="32">
        <f>-SUM(AY67,BA67,BC67,BO67)</f>
        <v>2296.3389999999999</v>
      </c>
      <c r="BP91" s="32">
        <f>-BP67-BO67-BC67-BA67</f>
        <v>2510.1659999999997</v>
      </c>
      <c r="BQ91" s="32">
        <f>-BQ67-BP67-BO67-BC67</f>
        <v>2316.3869999999997</v>
      </c>
      <c r="BR91" s="32">
        <f>-BR67-BQ67-BP67-BO67</f>
        <v>2178.3159999999998</v>
      </c>
      <c r="BS91" s="32">
        <f>-BS67-BR67-BQ67-BP67</f>
        <v>2157.1909999999998</v>
      </c>
      <c r="BT91" s="32">
        <f>-BT67-BS67-BR67-BQ67</f>
        <v>2045.7559999999999</v>
      </c>
      <c r="BV91" s="40"/>
      <c r="BW91" s="40"/>
      <c r="BY91" s="40"/>
      <c r="BZ91" s="40"/>
      <c r="CB91" s="16"/>
      <c r="CC91" s="16"/>
    </row>
    <row r="92" spans="2:81" ht="13.5" customHeight="1">
      <c r="B92" s="10" t="s">
        <v>292</v>
      </c>
      <c r="C92" s="32">
        <f t="shared" ref="C92:R92" si="443">+C29</f>
        <v>657.15799999999854</v>
      </c>
      <c r="D92" s="32">
        <f t="shared" si="443"/>
        <v>1162.4920000000006</v>
      </c>
      <c r="E92" s="32">
        <f t="shared" si="443"/>
        <v>-4974.6920000000009</v>
      </c>
      <c r="F92" s="32">
        <f t="shared" si="443"/>
        <v>1815.0960000000002</v>
      </c>
      <c r="G92" s="32">
        <f t="shared" si="443"/>
        <v>624.04499999999814</v>
      </c>
      <c r="H92" s="32">
        <f t="shared" si="443"/>
        <v>1276.8809999999971</v>
      </c>
      <c r="I92" s="32">
        <f t="shared" si="443"/>
        <v>933.3069999999974</v>
      </c>
      <c r="J92" s="32">
        <f t="shared" si="443"/>
        <v>307.5349999999961</v>
      </c>
      <c r="K92" s="32">
        <f t="shared" si="443"/>
        <v>-4862.9580000000024</v>
      </c>
      <c r="L92" s="32">
        <f t="shared" si="443"/>
        <v>-2414.35</v>
      </c>
      <c r="M92" s="32">
        <f t="shared" si="443"/>
        <v>142.19699999999705</v>
      </c>
      <c r="N92" s="32">
        <f t="shared" si="443"/>
        <v>-654.72699999999838</v>
      </c>
      <c r="O92" s="32">
        <f t="shared" si="443"/>
        <v>1598.8590000000022</v>
      </c>
      <c r="P92" s="32">
        <f t="shared" si="443"/>
        <v>804.98900000000117</v>
      </c>
      <c r="Q92" s="32">
        <f t="shared" si="443"/>
        <v>339.27300000000002</v>
      </c>
      <c r="R92" s="32">
        <f t="shared" si="443"/>
        <v>418.56499999999744</v>
      </c>
      <c r="T92" s="173"/>
      <c r="U92" s="173"/>
      <c r="V92" s="173"/>
      <c r="W92" s="32">
        <f t="shared" ref="W92:AI92" si="444">+W29+V29+U29+T29</f>
        <v>-4974.6919999999991</v>
      </c>
      <c r="X92" s="32">
        <f t="shared" si="444"/>
        <v>-4093.7469999999994</v>
      </c>
      <c r="Y92" s="32">
        <f t="shared" si="444"/>
        <v>-485.63599999999849</v>
      </c>
      <c r="Z92" s="32">
        <f t="shared" si="444"/>
        <v>-377.8179999999993</v>
      </c>
      <c r="AA92" s="32">
        <f t="shared" si="444"/>
        <v>1815.0960000000002</v>
      </c>
      <c r="AB92" s="32">
        <f t="shared" si="444"/>
        <v>1413.5700000000002</v>
      </c>
      <c r="AC92" s="32">
        <f t="shared" si="444"/>
        <v>1266.0919999999994</v>
      </c>
      <c r="AD92" s="32">
        <f t="shared" si="444"/>
        <v>1426.5960000000018</v>
      </c>
      <c r="AE92" s="32">
        <f t="shared" si="444"/>
        <v>624.04499999999814</v>
      </c>
      <c r="AF92" s="32">
        <f t="shared" si="444"/>
        <v>413.13499999999885</v>
      </c>
      <c r="AG92" s="32">
        <f t="shared" si="444"/>
        <v>671.51900000000023</v>
      </c>
      <c r="AH92" s="32">
        <f t="shared" si="444"/>
        <v>666.97199999999975</v>
      </c>
      <c r="AI92" s="32">
        <f t="shared" si="444"/>
        <v>1276.8810000000005</v>
      </c>
      <c r="AJ92" s="223"/>
      <c r="AK92" s="223"/>
      <c r="AL92" s="223"/>
      <c r="AM92" s="223"/>
      <c r="AN92" s="32">
        <f>+AN29+AM29+AH29+AG29</f>
        <v>634.16800000000001</v>
      </c>
      <c r="AO92" s="32">
        <f>+AO29+AN29+AM29+AH29</f>
        <v>205.94900000000052</v>
      </c>
      <c r="AP92" s="32">
        <f>+AP29+AO29+AN29+AM29</f>
        <v>-263.55300000000057</v>
      </c>
      <c r="AQ92" s="32">
        <f>+AQ29+AP29+AO29+AN29</f>
        <v>933.30700000000377</v>
      </c>
      <c r="AR92" s="32">
        <f>+AR29+AM29+AH29+AG29</f>
        <v>373.44500000000124</v>
      </c>
      <c r="AS92" s="32">
        <f>+AS29+AR29+AM29+AH29</f>
        <v>-348.57699999999875</v>
      </c>
      <c r="AT92" s="32">
        <f>+AT29+AS29+AR29+AM29</f>
        <v>-841.94699999999943</v>
      </c>
      <c r="AU92" s="32">
        <f>+AU29+AT29+AS29+AR29</f>
        <v>-4863.1979999999994</v>
      </c>
      <c r="AV92" s="32">
        <f>+AV29+AR29+AS29+AM29</f>
        <v>-1183.5639999999996</v>
      </c>
      <c r="AW92" s="32">
        <f>+AW29+AV29+AR29+AS29</f>
        <v>-2414.3500000000004</v>
      </c>
      <c r="AX92" s="32">
        <f>+AX29+AU29+AV29+AS29</f>
        <v>-4792.8669999999984</v>
      </c>
      <c r="AY92" s="32">
        <f>+AY29+AV29+AW29+AT29</f>
        <v>-1765.069000000002</v>
      </c>
      <c r="AZ92" s="32">
        <f>+AZ29+AX29+AU29+AV29</f>
        <v>-5609.5299999999988</v>
      </c>
      <c r="BA92" s="32">
        <f>+BA29+AY29+AV29+AW29</f>
        <v>-1928.4060000000027</v>
      </c>
      <c r="BB92" s="32">
        <f>+BB29+AZ29+AX29+AU29</f>
        <v>-4815.3709999999992</v>
      </c>
      <c r="BC92" s="32">
        <f>+BC29+AZ29+AX29+AU29</f>
        <v>-5129.6739999999991</v>
      </c>
      <c r="BD92" s="32">
        <f>+BD29+BB29+AX29+AZ29</f>
        <v>456.50000000000159</v>
      </c>
      <c r="BE92" s="32">
        <f>+BE29+BD29+BC29+BA29</f>
        <v>1065.4529999999986</v>
      </c>
      <c r="BF92" s="32">
        <f t="shared" ref="BF92:BM92" si="445">+BF29+BE29+BD29+BC29</f>
        <v>1460.5529999999992</v>
      </c>
      <c r="BG92" s="32">
        <f t="shared" si="445"/>
        <v>2496.2550000000001</v>
      </c>
      <c r="BH92" s="32">
        <f t="shared" si="445"/>
        <v>1598.8590000000008</v>
      </c>
      <c r="BI92" s="32">
        <f t="shared" si="445"/>
        <v>1772.3930000000005</v>
      </c>
      <c r="BJ92" s="32">
        <f t="shared" si="445"/>
        <v>1536.306</v>
      </c>
      <c r="BK92" s="32">
        <f t="shared" si="445"/>
        <v>406.16299999999984</v>
      </c>
      <c r="BL92" s="32">
        <f t="shared" si="445"/>
        <v>339.27299999999866</v>
      </c>
      <c r="BM92" s="32">
        <f t="shared" si="445"/>
        <v>418.56499999999977</v>
      </c>
      <c r="BO92" s="32">
        <f>+SUM(AY29,BA29,BC29,BO29)</f>
        <v>-654.72700000000054</v>
      </c>
      <c r="BP92" s="32">
        <f>+BP29+BO29+BA29+BC29</f>
        <v>-555.40900000000033</v>
      </c>
      <c r="BQ92" s="32">
        <f>+BQ29+BP29+BC29+BO29</f>
        <v>-313.1889999999994</v>
      </c>
      <c r="BR92" s="32">
        <f>+BR29+BQ29+BO29+BP29</f>
        <v>594.34800000000178</v>
      </c>
      <c r="BS92" s="32">
        <f>+BS29+BR29+BP29+BQ29</f>
        <v>804.98899999999867</v>
      </c>
      <c r="BT92" s="32">
        <f>+BT29+BS29+BQ29+BR29</f>
        <v>720.52599999999939</v>
      </c>
      <c r="BV92" s="40"/>
      <c r="BW92" s="40"/>
      <c r="BY92" s="40"/>
      <c r="BZ92" s="40"/>
      <c r="CB92" s="16"/>
      <c r="CC92" s="16"/>
    </row>
    <row r="93" spans="2:81" ht="13.5" customHeight="1">
      <c r="B93" s="10" t="s">
        <v>293</v>
      </c>
      <c r="C93" s="32">
        <f t="shared" ref="C93:H93" si="446">-C69</f>
        <v>5483.0619999999999</v>
      </c>
      <c r="D93" s="32">
        <f t="shared" si="446"/>
        <v>4885.1060000000007</v>
      </c>
      <c r="E93" s="32">
        <f t="shared" si="446"/>
        <v>6637.125</v>
      </c>
      <c r="F93" s="32">
        <f t="shared" si="446"/>
        <v>6770.7359999999999</v>
      </c>
      <c r="G93" s="32">
        <f t="shared" ref="G93" si="447">-G69</f>
        <v>4518.9659999999994</v>
      </c>
      <c r="H93" s="32">
        <f t="shared" si="446"/>
        <v>6369</v>
      </c>
      <c r="I93" s="32">
        <f t="shared" ref="I93:K93" si="448">-I69</f>
        <v>9652.0030000000006</v>
      </c>
      <c r="J93" s="32">
        <f t="shared" ref="J93" si="449">-J69</f>
        <v>6248.1950000000006</v>
      </c>
      <c r="K93" s="32">
        <f t="shared" si="448"/>
        <v>9652.0030000000006</v>
      </c>
      <c r="L93" s="32">
        <f t="shared" ref="L93:M93" si="450">-L69</f>
        <v>9730.2749999999996</v>
      </c>
      <c r="M93" s="32">
        <f t="shared" si="450"/>
        <v>6949.4139999999998</v>
      </c>
      <c r="N93" s="32">
        <f t="shared" ref="N93" si="451">-N69</f>
        <v>7106.41</v>
      </c>
      <c r="O93" s="32">
        <f t="shared" ref="O93:P93" si="452">-O69</f>
        <v>5043.1769999999997</v>
      </c>
      <c r="P93" s="32">
        <f t="shared" si="452"/>
        <v>5126.3139999999994</v>
      </c>
      <c r="Q93" s="32">
        <f t="shared" ref="Q93" si="453">-Q69</f>
        <v>2028.2569999999998</v>
      </c>
      <c r="R93" s="32">
        <f t="shared" ref="R93" si="454">-R69</f>
        <v>1643.6399999999999</v>
      </c>
      <c r="T93" s="173"/>
      <c r="U93" s="173"/>
      <c r="V93" s="173"/>
      <c r="W93" s="32">
        <f t="shared" ref="W93:Z93" si="455">-W69-V69-U69-T69</f>
        <v>6637.125</v>
      </c>
      <c r="X93" s="32">
        <f t="shared" si="455"/>
        <v>7004.0030000000006</v>
      </c>
      <c r="Y93" s="32">
        <f t="shared" si="455"/>
        <v>6571.6270000000004</v>
      </c>
      <c r="Z93" s="32">
        <f t="shared" si="455"/>
        <v>6200.0429999999997</v>
      </c>
      <c r="AA93" s="32">
        <f>-AA69-Z69-Y69-X69</f>
        <v>6770.7359999999999</v>
      </c>
      <c r="AB93" s="32">
        <f>-AB69-AA69-Z69-Y69</f>
        <v>5818.1039999999994</v>
      </c>
      <c r="AC93" s="32">
        <f t="shared" ref="AC93" si="456">-AC69-AB69-AA69-Z69</f>
        <v>6113.2289999999994</v>
      </c>
      <c r="AD93" s="32">
        <f t="shared" ref="AD93" si="457">-AD69-AC69-AB69-AA69</f>
        <v>5721.085</v>
      </c>
      <c r="AE93" s="32">
        <f>-AE69-AD69-AC69-AB69</f>
        <v>4518.9659999999994</v>
      </c>
      <c r="AF93" s="32">
        <f>-AF69-AE69-AD69-AC69</f>
        <v>5083.2439999999997</v>
      </c>
      <c r="AG93" s="32">
        <f t="shared" ref="AG93:AH93" si="458">-AG69-AF69-AE69-AD69</f>
        <v>5262.6589999999997</v>
      </c>
      <c r="AH93" s="32">
        <f t="shared" si="458"/>
        <v>5753.6819999999998</v>
      </c>
      <c r="AI93" s="32">
        <f>-AI69-AH69-AG69-AF69</f>
        <v>6369</v>
      </c>
      <c r="AJ93" s="223"/>
      <c r="AK93" s="223"/>
      <c r="AL93" s="223"/>
      <c r="AM93" s="223"/>
      <c r="AN93" s="32">
        <f>-AN69-AI69-AH69-AG69</f>
        <v>6786.0870000000004</v>
      </c>
      <c r="AO93" s="32">
        <f>-AO69-AN69-AI69-AH69</f>
        <v>8346.7309999999998</v>
      </c>
      <c r="AP93" s="32">
        <f>-AP69-AO69-AN69-AI69</f>
        <v>9426.3150000000005</v>
      </c>
      <c r="AQ93" s="32">
        <f>-AQ69-AP69-AO69-AN69</f>
        <v>9652.0030000000006</v>
      </c>
      <c r="AR93" s="32">
        <f>-AR69-AI69-AH69-AG69</f>
        <v>6786.0870000000004</v>
      </c>
      <c r="AS93" s="32">
        <f>-AS69-AR69-AI69-AH69</f>
        <v>8346.7309999999998</v>
      </c>
      <c r="AT93" s="32">
        <f>-AT69-AS69-AR69-AI69</f>
        <v>9426.3150000000005</v>
      </c>
      <c r="AU93" s="32">
        <f t="shared" ref="AU93" si="459">-AU69-AT69-AS69-AR69</f>
        <v>9652.0030000000006</v>
      </c>
      <c r="AV93" s="32">
        <f>-AV69-AS69-AR69-AI69</f>
        <v>9426.3150000000005</v>
      </c>
      <c r="AW93" s="32">
        <f>-AW69-AV69-AS69-AR69</f>
        <v>9730.2749999999996</v>
      </c>
      <c r="AX93" s="32">
        <f>-AX69-AU69-AV69-AS69</f>
        <v>9778.0090000000018</v>
      </c>
      <c r="AY93" s="32">
        <f>-AY69-AV69-AW69-AT69</f>
        <v>9020.202000000003</v>
      </c>
      <c r="AZ93" s="32">
        <f>-AZ69-AX69-AU69-AV69</f>
        <v>8313.9350000000013</v>
      </c>
      <c r="BA93" s="32">
        <f>-BA69-AY69-AV69-AW69</f>
        <v>8392.2070000000003</v>
      </c>
      <c r="BB93" s="32">
        <f>-BB69-AZ69-AX69-AU69</f>
        <v>7433.8990000000013</v>
      </c>
      <c r="BC93" s="32">
        <f>-BC69-AZ69-AX69-AU69</f>
        <v>7433.8990000000013</v>
      </c>
      <c r="BD93" s="32">
        <f>-BD69-BB69-AX69-AZ69</f>
        <v>6949.4139999999998</v>
      </c>
      <c r="BE93" s="32">
        <f>-BE69-BD69-BC69-BA69</f>
        <v>6645.6559999999999</v>
      </c>
      <c r="BF93" s="32">
        <f t="shared" ref="BF93:BM93" si="460">-BF69-BE69-BD69-BC69</f>
        <v>6090.398000000001</v>
      </c>
      <c r="BG93" s="32">
        <f t="shared" si="460"/>
        <v>5324.155999999999</v>
      </c>
      <c r="BH93" s="32">
        <f t="shared" si="460"/>
        <v>5043.1769999999997</v>
      </c>
      <c r="BI93" s="32">
        <f t="shared" si="460"/>
        <v>4369.3179999999993</v>
      </c>
      <c r="BJ93" s="32">
        <f t="shared" si="460"/>
        <v>3337.418999999999</v>
      </c>
      <c r="BK93" s="32">
        <f t="shared" si="460"/>
        <v>2793.326</v>
      </c>
      <c r="BL93" s="32">
        <f t="shared" si="460"/>
        <v>2028.2569999999998</v>
      </c>
      <c r="BM93" s="32">
        <f t="shared" si="460"/>
        <v>1643.6399999999999</v>
      </c>
      <c r="BO93" s="32">
        <f>-SUM(AY69,BA69,BC69,BO69)</f>
        <v>7106.41</v>
      </c>
      <c r="BP93" s="32">
        <f>-BP69-BO69-BC69-BA69</f>
        <v>6802.652</v>
      </c>
      <c r="BQ93" s="32">
        <f>-BQ69-BP69-BO69-BC69</f>
        <v>6247.3940000000002</v>
      </c>
      <c r="BR93" s="32">
        <f>-BR69-BQ69-BP69-BO69</f>
        <v>5481.1519999999991</v>
      </c>
      <c r="BS93" s="32">
        <f>-BS69-BR69-BQ69-BP69</f>
        <v>5126.3139999999994</v>
      </c>
      <c r="BT93" s="32">
        <f>-BT69-BS69-BR69-BQ69</f>
        <v>4452.454999999999</v>
      </c>
      <c r="BV93" s="40"/>
      <c r="BW93" s="40"/>
      <c r="BY93" s="40"/>
      <c r="BZ93" s="40"/>
      <c r="CB93" s="16"/>
      <c r="CC93" s="16"/>
    </row>
    <row r="94" spans="2:81" ht="13.5" customHeight="1">
      <c r="B94" s="10" t="s">
        <v>279</v>
      </c>
      <c r="C94" s="32">
        <f t="shared" ref="C94:H94" si="461">+C72</f>
        <v>8280.9499999999989</v>
      </c>
      <c r="D94" s="32">
        <f t="shared" si="461"/>
        <v>9944.1049999999996</v>
      </c>
      <c r="E94" s="32">
        <f t="shared" si="461"/>
        <v>7101.7649999999994</v>
      </c>
      <c r="F94" s="32">
        <f t="shared" si="461"/>
        <v>13613.442999999994</v>
      </c>
      <c r="G94" s="32">
        <f t="shared" ref="G94" si="462">+G72</f>
        <v>12647.967999999997</v>
      </c>
      <c r="H94" s="32">
        <f t="shared" si="461"/>
        <v>13337.668999999996</v>
      </c>
      <c r="I94" s="32">
        <f t="shared" ref="I94:K94" si="463">+I72</f>
        <v>8376.5190000000039</v>
      </c>
      <c r="J94" s="32">
        <f t="shared" ref="J94" si="464">+J72</f>
        <v>10905.637999999997</v>
      </c>
      <c r="K94" s="32">
        <f t="shared" si="463"/>
        <v>5539.1640000000007</v>
      </c>
      <c r="L94" s="32">
        <f t="shared" ref="L94:M94" si="465">+L72</f>
        <v>4592.4239999999991</v>
      </c>
      <c r="M94" s="32">
        <f t="shared" si="465"/>
        <v>9570.3699999999972</v>
      </c>
      <c r="N94" s="32">
        <f t="shared" ref="N94" si="466">+N72</f>
        <v>9878.5969999999961</v>
      </c>
      <c r="O94" s="32">
        <f t="shared" ref="O94:P94" si="467">+O72</f>
        <v>14183.206000000006</v>
      </c>
      <c r="P94" s="32">
        <f t="shared" si="467"/>
        <v>8770.2080000000005</v>
      </c>
      <c r="Q94" s="32">
        <f t="shared" ref="Q94" si="468">+Q72</f>
        <v>8146.9209999999985</v>
      </c>
      <c r="R94" s="32">
        <f t="shared" ref="R94" si="469">+R72</f>
        <v>6168.3690000000015</v>
      </c>
      <c r="T94" s="173"/>
      <c r="U94" s="173"/>
      <c r="V94" s="173"/>
      <c r="W94" s="32">
        <f t="shared" ref="W94:Z94" si="470">+W72+V72+U72+T72</f>
        <v>7101.7649999999994</v>
      </c>
      <c r="X94" s="32">
        <f t="shared" si="470"/>
        <v>12248.09</v>
      </c>
      <c r="Y94" s="32">
        <f t="shared" si="470"/>
        <v>15246.819000000001</v>
      </c>
      <c r="Z94" s="32">
        <f t="shared" si="470"/>
        <v>16877.962000000003</v>
      </c>
      <c r="AA94" s="32">
        <f>+AA72+Z72+Y72+X72</f>
        <v>13613.442999999996</v>
      </c>
      <c r="AB94" s="32">
        <f>+AB72+AA72+Z72+Y72</f>
        <v>12703.815999999999</v>
      </c>
      <c r="AC94" s="32">
        <f t="shared" ref="AC94" si="471">+AC72+AB72+AA72+Z72</f>
        <v>12424.190999999999</v>
      </c>
      <c r="AD94" s="32">
        <f t="shared" ref="AD94" si="472">+AD72+AC72+AB72+AA72</f>
        <v>12814.457999999991</v>
      </c>
      <c r="AE94" s="32">
        <f>+AE72+AD72+AC72+AB72</f>
        <v>12647.967999999997</v>
      </c>
      <c r="AF94" s="32">
        <f>+AF72+AE72+AD72+AC72</f>
        <v>12196.001999999999</v>
      </c>
      <c r="AG94" s="32">
        <f t="shared" ref="AG94:AH94" si="473">+AG72+AF72+AE72+AD72</f>
        <v>12810.423000000001</v>
      </c>
      <c r="AH94" s="32">
        <f t="shared" si="473"/>
        <v>13187.993000000002</v>
      </c>
      <c r="AI94" s="32">
        <f>+AI72+AH72+AG72+AF72</f>
        <v>13337.668999999998</v>
      </c>
      <c r="AJ94" s="223"/>
      <c r="AK94" s="223"/>
      <c r="AL94" s="223"/>
      <c r="AM94" s="223"/>
      <c r="AN94" s="32">
        <f>+AN72+AI72+AH72+AG72</f>
        <v>13779.948999999999</v>
      </c>
      <c r="AO94" s="32">
        <f>+AO72+AN72+AI72+AH72</f>
        <v>9375.1009999999987</v>
      </c>
      <c r="AP94" s="32">
        <f>+AP72+AO72+AN72+AI72</f>
        <v>8069.0319999999956</v>
      </c>
      <c r="AQ94" s="32">
        <f>+AQ72+AP72+AO72+AN72</f>
        <v>8376.5190000000002</v>
      </c>
      <c r="AR94" s="32">
        <f>+AR72+AI72+AH72+AG72</f>
        <v>13127.485999999999</v>
      </c>
      <c r="AS94" s="32">
        <f>+AS72+AR72+AI72+AH72</f>
        <v>8041.99</v>
      </c>
      <c r="AT94" s="32">
        <f>+AT72+AS72+AR72+AI72</f>
        <v>6004.3209999999963</v>
      </c>
      <c r="AU94" s="32">
        <f t="shared" ref="AU94" si="474">+AU72+AT72+AS72+AR72</f>
        <v>5539.1640000000016</v>
      </c>
      <c r="AV94" s="32">
        <f>+AV72+AS72+AR72+AI72</f>
        <v>5840.1209999999955</v>
      </c>
      <c r="AW94" s="32">
        <f>+AW72+AV72+AR72+AS72</f>
        <v>4592.4240000000009</v>
      </c>
      <c r="AX94" s="32">
        <f>+AX72+AU72+AV72+AS72</f>
        <v>4641.058</v>
      </c>
      <c r="AY94" s="32">
        <f>+AY72+AV72+AW72+AT72</f>
        <v>6940.341999999996</v>
      </c>
      <c r="AZ94" s="32">
        <f>+AZ72+AX72+AU72+AV72</f>
        <v>8238.0169999999998</v>
      </c>
      <c r="BA94" s="32">
        <f>+BA72+AY72+AV72+AW72</f>
        <v>6996.4319999999989</v>
      </c>
      <c r="BB94" s="32">
        <f>+BB72+AZ72+AX72+AU72</f>
        <v>9707.479000000003</v>
      </c>
      <c r="BC94" s="32">
        <f>+BC72+AZ72+AX72+AU72</f>
        <v>9531.479000000003</v>
      </c>
      <c r="BD94" s="32">
        <f>+BD72+BB72+AX72+AZ72</f>
        <v>9746.3699999999972</v>
      </c>
      <c r="BE94" s="32">
        <f>+BE72+BD72+BC72+BA72</f>
        <v>10457.429999999998</v>
      </c>
      <c r="BF94" s="32">
        <f t="shared" ref="BF94:BM94" si="475">+BF72+BE72+BD72+BC72</f>
        <v>12267.891999999996</v>
      </c>
      <c r="BG94" s="32">
        <f t="shared" si="475"/>
        <v>12796.771999999999</v>
      </c>
      <c r="BH94" s="32">
        <f t="shared" si="475"/>
        <v>14183.206000000002</v>
      </c>
      <c r="BI94" s="32">
        <f t="shared" si="475"/>
        <v>14173.960000000003</v>
      </c>
      <c r="BJ94" s="32">
        <f t="shared" si="475"/>
        <v>12821.998000000003</v>
      </c>
      <c r="BK94" s="32">
        <f t="shared" si="475"/>
        <v>11066.793000000001</v>
      </c>
      <c r="BL94" s="32">
        <f t="shared" si="475"/>
        <v>8146.9210000000003</v>
      </c>
      <c r="BM94" s="32">
        <f t="shared" si="475"/>
        <v>6168.3689999999988</v>
      </c>
      <c r="BO94" s="32">
        <f>SUM(AY72,BA72,BC72,BO72)</f>
        <v>9878.5969999999979</v>
      </c>
      <c r="BP94" s="32">
        <f>+BP72+BO72+BA72+BC72</f>
        <v>11291.378999999997</v>
      </c>
      <c r="BQ94" s="32">
        <f>+BQ72+BP72+BC72+BO72</f>
        <v>11813.089999999997</v>
      </c>
      <c r="BR94" s="32">
        <f>+BR72+BQ72+BO72+BP72</f>
        <v>11121.714999999997</v>
      </c>
      <c r="BS94" s="32">
        <f>+BS72+BR72+BP72+BQ72</f>
        <v>8770.2080000000042</v>
      </c>
      <c r="BT94" s="32">
        <f>+BT72+BS72+BQ72+BR72</f>
        <v>7459.0180000000055</v>
      </c>
      <c r="BV94" s="40"/>
      <c r="BW94" s="40"/>
      <c r="BY94" s="40"/>
      <c r="BZ94" s="40"/>
      <c r="CB94" s="16"/>
      <c r="CC94" s="16"/>
    </row>
    <row r="95" spans="2:81" ht="13.5" customHeight="1">
      <c r="C95" s="32"/>
      <c r="D95" s="32"/>
      <c r="E95" s="32"/>
      <c r="F95" s="32"/>
      <c r="G95" s="32"/>
      <c r="H95" s="32"/>
      <c r="I95" s="32"/>
      <c r="K95" s="32"/>
      <c r="L95" s="32"/>
      <c r="M95" s="32"/>
      <c r="N95" s="32"/>
      <c r="O95" s="32"/>
      <c r="P95" s="32"/>
      <c r="Q95" s="32"/>
      <c r="R95" s="32"/>
      <c r="AJ95" s="228"/>
      <c r="AK95" s="228"/>
      <c r="AL95" s="228"/>
      <c r="BV95" s="40"/>
      <c r="BW95" s="40"/>
      <c r="BY95" s="40"/>
      <c r="BZ95" s="40"/>
      <c r="CB95" s="16"/>
      <c r="CC95" s="16"/>
    </row>
    <row r="96" spans="2:81" ht="13.5" customHeight="1">
      <c r="B96" s="11" t="s">
        <v>294</v>
      </c>
      <c r="C96" s="31">
        <f>+C86</f>
        <v>42707</v>
      </c>
      <c r="D96" s="37">
        <f>+D86</f>
        <v>43073</v>
      </c>
      <c r="E96" s="37">
        <f t="shared" ref="E96:Q96" si="476">E3</f>
        <v>43438</v>
      </c>
      <c r="F96" s="37">
        <f t="shared" si="476"/>
        <v>43803</v>
      </c>
      <c r="G96" s="37">
        <f t="shared" si="476"/>
        <v>44169</v>
      </c>
      <c r="H96" s="37">
        <f t="shared" si="476"/>
        <v>44561</v>
      </c>
      <c r="I96" s="37">
        <f t="shared" si="476"/>
        <v>44926</v>
      </c>
      <c r="J96" s="37">
        <f t="shared" si="476"/>
        <v>44561</v>
      </c>
      <c r="K96" s="37">
        <f t="shared" si="476"/>
        <v>44926</v>
      </c>
      <c r="L96" s="37">
        <f t="shared" si="476"/>
        <v>44926</v>
      </c>
      <c r="M96" s="37">
        <f t="shared" si="476"/>
        <v>45291</v>
      </c>
      <c r="N96" s="37">
        <f t="shared" si="476"/>
        <v>45291</v>
      </c>
      <c r="O96" s="37">
        <f t="shared" si="476"/>
        <v>45657</v>
      </c>
      <c r="P96" s="37">
        <f t="shared" si="476"/>
        <v>45657</v>
      </c>
      <c r="Q96" s="37">
        <f t="shared" si="476"/>
        <v>46022</v>
      </c>
      <c r="R96" s="31">
        <f>+R86</f>
        <v>46112</v>
      </c>
      <c r="T96" s="31">
        <f t="shared" ref="T96:AC96" si="477">+T86</f>
        <v>43190</v>
      </c>
      <c r="U96" s="31">
        <f t="shared" si="477"/>
        <v>43281</v>
      </c>
      <c r="V96" s="31">
        <f t="shared" si="477"/>
        <v>43373</v>
      </c>
      <c r="W96" s="31">
        <f t="shared" si="477"/>
        <v>43465</v>
      </c>
      <c r="X96" s="31">
        <f t="shared" si="477"/>
        <v>43555</v>
      </c>
      <c r="Y96" s="31">
        <f t="shared" si="477"/>
        <v>43646</v>
      </c>
      <c r="Z96" s="31">
        <f t="shared" si="477"/>
        <v>43738</v>
      </c>
      <c r="AA96" s="31">
        <f t="shared" si="477"/>
        <v>43830</v>
      </c>
      <c r="AB96" s="31">
        <f t="shared" si="477"/>
        <v>43921</v>
      </c>
      <c r="AC96" s="31">
        <f t="shared" si="477"/>
        <v>44012</v>
      </c>
      <c r="AD96" s="31">
        <f t="shared" ref="AD96:AG96" si="478">+AD86</f>
        <v>44104</v>
      </c>
      <c r="AE96" s="31">
        <f t="shared" si="478"/>
        <v>44196</v>
      </c>
      <c r="AF96" s="31">
        <f t="shared" si="478"/>
        <v>44286</v>
      </c>
      <c r="AG96" s="31">
        <f t="shared" si="478"/>
        <v>44377</v>
      </c>
      <c r="AH96" s="31">
        <f t="shared" ref="AH96:AS96" si="479">+AH86</f>
        <v>44469</v>
      </c>
      <c r="AI96" s="31">
        <f t="shared" si="479"/>
        <v>44561</v>
      </c>
      <c r="AJ96" s="222"/>
      <c r="AK96" s="222"/>
      <c r="AL96" s="222"/>
      <c r="AM96" s="31">
        <f t="shared" ref="AM96:AP96" si="480">+AM86</f>
        <v>44561</v>
      </c>
      <c r="AN96" s="31">
        <f t="shared" si="480"/>
        <v>44651</v>
      </c>
      <c r="AO96" s="31">
        <f t="shared" si="480"/>
        <v>44742</v>
      </c>
      <c r="AP96" s="31">
        <f t="shared" si="480"/>
        <v>44834</v>
      </c>
      <c r="AQ96" s="31">
        <f t="shared" ref="AQ96" si="481">+AQ86</f>
        <v>44926</v>
      </c>
      <c r="AR96" s="31">
        <f t="shared" si="479"/>
        <v>44651</v>
      </c>
      <c r="AS96" s="31">
        <f t="shared" si="479"/>
        <v>44742</v>
      </c>
      <c r="AT96" s="31">
        <f t="shared" ref="AT96:AZ96" si="482">+AT86</f>
        <v>44834</v>
      </c>
      <c r="AU96" s="31">
        <f t="shared" si="482"/>
        <v>44926</v>
      </c>
      <c r="AV96" s="31">
        <f t="shared" ref="AV96:AW96" si="483">+AV86</f>
        <v>44834</v>
      </c>
      <c r="AW96" s="31">
        <f t="shared" si="483"/>
        <v>44926</v>
      </c>
      <c r="AX96" s="31">
        <f t="shared" si="482"/>
        <v>45016</v>
      </c>
      <c r="AY96" s="31">
        <f t="shared" ref="AY96" si="484">+AY86</f>
        <v>45016</v>
      </c>
      <c r="AZ96" s="31">
        <f t="shared" si="482"/>
        <v>45107</v>
      </c>
      <c r="BA96" s="31">
        <f t="shared" ref="BA96" si="485">+BA86</f>
        <v>45107</v>
      </c>
      <c r="BB96" s="31">
        <f t="shared" ref="BB96" si="486">+BB86</f>
        <v>45199</v>
      </c>
      <c r="BC96" s="31">
        <f t="shared" ref="BC96:BG96" si="487">+BC86</f>
        <v>45199</v>
      </c>
      <c r="BD96" s="31">
        <f t="shared" si="487"/>
        <v>45291</v>
      </c>
      <c r="BE96" s="31">
        <f t="shared" si="487"/>
        <v>45382</v>
      </c>
      <c r="BF96" s="31">
        <f t="shared" si="487"/>
        <v>45473</v>
      </c>
      <c r="BG96" s="31">
        <f t="shared" si="487"/>
        <v>45565</v>
      </c>
      <c r="BH96" s="31">
        <f t="shared" ref="BH96:BK96" si="488">+BH86</f>
        <v>45657</v>
      </c>
      <c r="BI96" s="31">
        <f t="shared" si="488"/>
        <v>45747</v>
      </c>
      <c r="BJ96" s="31">
        <f t="shared" si="488"/>
        <v>45838</v>
      </c>
      <c r="BK96" s="31">
        <f t="shared" si="488"/>
        <v>45930</v>
      </c>
      <c r="BL96" s="31">
        <f t="shared" ref="BL96:BM96" si="489">+BL86</f>
        <v>46022</v>
      </c>
      <c r="BM96" s="31">
        <f t="shared" si="489"/>
        <v>46112</v>
      </c>
      <c r="BO96" s="31">
        <f t="shared" ref="BO96:BP96" si="490">+BO86</f>
        <v>45291</v>
      </c>
      <c r="BP96" s="31">
        <f t="shared" si="490"/>
        <v>45382</v>
      </c>
      <c r="BQ96" s="31">
        <f t="shared" ref="BQ96:BT96" si="491">+BQ86</f>
        <v>45473</v>
      </c>
      <c r="BR96" s="31">
        <f t="shared" si="491"/>
        <v>45565</v>
      </c>
      <c r="BS96" s="31">
        <f t="shared" si="491"/>
        <v>45657</v>
      </c>
      <c r="BT96" s="31">
        <f t="shared" si="491"/>
        <v>45747</v>
      </c>
      <c r="BV96" s="40"/>
      <c r="BW96" s="40"/>
      <c r="BY96" s="40"/>
      <c r="BZ96" s="40"/>
      <c r="CB96" s="16"/>
      <c r="CC96" s="16"/>
    </row>
    <row r="97" spans="2:81" ht="13.5" customHeight="1">
      <c r="C97" s="42"/>
      <c r="D97" s="42"/>
      <c r="E97" s="42"/>
      <c r="F97" s="42"/>
      <c r="G97" s="42"/>
      <c r="H97" s="42"/>
      <c r="I97" s="42"/>
      <c r="K97" s="42"/>
      <c r="L97" s="42"/>
      <c r="M97" s="42"/>
      <c r="N97" s="42"/>
      <c r="O97" s="42"/>
      <c r="BV97" s="40"/>
      <c r="BW97" s="40"/>
      <c r="BY97" s="40"/>
      <c r="BZ97" s="40"/>
      <c r="CB97" s="16"/>
      <c r="CC97" s="16"/>
    </row>
    <row r="98" spans="2:81" s="6" customFormat="1" ht="13.5" customHeight="1">
      <c r="B98" s="10" t="s">
        <v>295</v>
      </c>
      <c r="C98" s="22">
        <f>27481.605</f>
        <v>27481.605</v>
      </c>
      <c r="D98" s="22">
        <v>26909.97</v>
      </c>
      <c r="E98" s="22">
        <v>27290.457999999999</v>
      </c>
      <c r="F98" s="22">
        <v>25633.223000000002</v>
      </c>
      <c r="G98" s="22">
        <f>24495.647+8518.895</f>
        <v>33014.542000000001</v>
      </c>
      <c r="H98" s="22">
        <f>26975.288+8983.213</f>
        <v>35958.501000000004</v>
      </c>
      <c r="I98" s="22">
        <f>27201.035+9313.782</f>
        <v>36514.816999999995</v>
      </c>
      <c r="J98" s="22">
        <f>26975.288+8983.213</f>
        <v>35958.501000000004</v>
      </c>
      <c r="K98" s="22">
        <f>27200.975+9313.782</f>
        <v>36514.756999999998</v>
      </c>
      <c r="L98" s="22">
        <f>27200.975+9313.782</f>
        <v>36514.756999999998</v>
      </c>
      <c r="M98" s="22">
        <f>27439.783+10942.472</f>
        <v>38382.254999999997</v>
      </c>
      <c r="N98" s="22">
        <f>27439.783+10942.472</f>
        <v>38382.254999999997</v>
      </c>
      <c r="O98" s="22">
        <f>25521.642+9775.813</f>
        <v>35297.455000000002</v>
      </c>
      <c r="P98" s="22">
        <f>25521.642+9775.813</f>
        <v>35297.455000000002</v>
      </c>
      <c r="Q98" s="22">
        <f>14457.059+1917.208</f>
        <v>16374.267</v>
      </c>
      <c r="R98" s="32">
        <f>BM98</f>
        <v>16014.306</v>
      </c>
      <c r="S98"/>
      <c r="T98" s="43">
        <v>25841.812000000002</v>
      </c>
      <c r="U98" s="43">
        <v>26808.566999999999</v>
      </c>
      <c r="V98" s="43">
        <v>27449.633999999998</v>
      </c>
      <c r="W98" s="44">
        <f>+E98</f>
        <v>27290.457999999999</v>
      </c>
      <c r="X98" s="43">
        <v>32359.526999999998</v>
      </c>
      <c r="Y98" s="43">
        <v>33305.025000000001</v>
      </c>
      <c r="Z98" s="43">
        <v>34279.601000000002</v>
      </c>
      <c r="AA98" s="44">
        <f>F98</f>
        <v>25633.223000000002</v>
      </c>
      <c r="AB98" s="43">
        <f>25210.673+8188.318</f>
        <v>33398.991000000002</v>
      </c>
      <c r="AC98" s="43">
        <v>26256.254000000001</v>
      </c>
      <c r="AD98" s="43">
        <f>25390.808+8294.771</f>
        <v>33685.578999999998</v>
      </c>
      <c r="AE98" s="44">
        <f>G98</f>
        <v>33014.542000000001</v>
      </c>
      <c r="AF98" s="43">
        <f>24434.257+8370.734</f>
        <v>32804.991000000002</v>
      </c>
      <c r="AG98" s="43">
        <f>24946.702+8495.423</f>
        <v>33442.125</v>
      </c>
      <c r="AH98" s="43">
        <f>25447.568+8851.014</f>
        <v>34298.581999999995</v>
      </c>
      <c r="AI98" s="44">
        <f>H98</f>
        <v>35958.501000000004</v>
      </c>
      <c r="AJ98" s="229"/>
      <c r="AK98" s="229"/>
      <c r="AL98" s="229"/>
      <c r="AM98" s="43">
        <f>J98</f>
        <v>35958.501000000004</v>
      </c>
      <c r="AN98" s="43">
        <f>26060.724+9210.735</f>
        <v>35271.459000000003</v>
      </c>
      <c r="AO98" s="43">
        <f>30940.863+9753.279</f>
        <v>40694.142</v>
      </c>
      <c r="AP98" s="43">
        <f>32606.909+10265.168</f>
        <v>42872.076999999997</v>
      </c>
      <c r="AQ98" s="43">
        <f>I98</f>
        <v>36514.816999999995</v>
      </c>
      <c r="AR98" s="43">
        <f>26060.724+9210.735</f>
        <v>35271.459000000003</v>
      </c>
      <c r="AS98" s="43">
        <f>30940.863+9753.279</f>
        <v>40694.142</v>
      </c>
      <c r="AT98" s="43">
        <f>32606.909+10265.168</f>
        <v>42872.076999999997</v>
      </c>
      <c r="AU98" s="44">
        <f>K98</f>
        <v>36514.756999999998</v>
      </c>
      <c r="AV98" s="43">
        <f>32606.909+10265.168</f>
        <v>42872.076999999997</v>
      </c>
      <c r="AW98" s="44">
        <f>L98</f>
        <v>36514.756999999998</v>
      </c>
      <c r="AX98" s="43">
        <f>27933.612+9760.248</f>
        <v>37693.86</v>
      </c>
      <c r="AY98" s="43">
        <f>27933.612+9760.248</f>
        <v>37693.86</v>
      </c>
      <c r="AZ98" s="43">
        <f>29846.974+10811.667</f>
        <v>40658.640999999996</v>
      </c>
      <c r="BA98" s="43">
        <f>29846.974+10811.667</f>
        <v>40658.640999999996</v>
      </c>
      <c r="BB98" s="43">
        <f>28201.89+10945.909</f>
        <v>39147.798999999999</v>
      </c>
      <c r="BC98" s="43">
        <f>28201.89+10945.909</f>
        <v>39147.798999999999</v>
      </c>
      <c r="BD98" s="44">
        <f>M98</f>
        <v>38382.254999999997</v>
      </c>
      <c r="BE98" s="43">
        <f>27968.329+10987.8</f>
        <v>38956.129000000001</v>
      </c>
      <c r="BF98" s="43">
        <f>27189.215+10507.114</f>
        <v>37696.328999999998</v>
      </c>
      <c r="BG98" s="43">
        <f>(24455.585+9594.449)</f>
        <v>34050.034</v>
      </c>
      <c r="BH98" s="44">
        <f>O98</f>
        <v>35297.455000000002</v>
      </c>
      <c r="BI98" s="43">
        <f>24470.524+9232.594</f>
        <v>33703.118000000002</v>
      </c>
      <c r="BJ98" s="43">
        <f>15172.085+1815.685</f>
        <v>16987.77</v>
      </c>
      <c r="BK98" s="43">
        <f>14900.375+1839.849</f>
        <v>16740.223999999998</v>
      </c>
      <c r="BL98" s="44">
        <f>Q98</f>
        <v>16374.267</v>
      </c>
      <c r="BM98" s="43">
        <f>14105.643+1908.663</f>
        <v>16014.306</v>
      </c>
      <c r="BO98" s="44">
        <f>N98</f>
        <v>38382.254999999997</v>
      </c>
      <c r="BP98" s="44">
        <f t="shared" ref="BP98:BR101" si="492">BE98</f>
        <v>38956.129000000001</v>
      </c>
      <c r="BQ98" s="44">
        <f t="shared" si="492"/>
        <v>37696.328999999998</v>
      </c>
      <c r="BR98" s="44">
        <f t="shared" si="492"/>
        <v>34050.034</v>
      </c>
      <c r="BS98" s="44">
        <f>P98</f>
        <v>35297.455000000002</v>
      </c>
      <c r="BT98" s="44">
        <f>BI98</f>
        <v>33703.118000000002</v>
      </c>
      <c r="BV98" s="40"/>
      <c r="BW98" s="40"/>
      <c r="BY98" s="40"/>
      <c r="BZ98" s="40"/>
      <c r="CB98" s="16"/>
      <c r="CC98" s="16"/>
    </row>
    <row r="99" spans="2:81" s="6" customFormat="1" ht="13.5" customHeight="1">
      <c r="B99" s="25" t="s">
        <v>296</v>
      </c>
      <c r="C99" s="22">
        <v>174.74700000000001</v>
      </c>
      <c r="D99" s="22">
        <v>174.279</v>
      </c>
      <c r="E99" s="22">
        <v>219.13</v>
      </c>
      <c r="F99" s="22">
        <v>154.328</v>
      </c>
      <c r="G99" s="22">
        <v>141.66300000000001</v>
      </c>
      <c r="H99" s="22">
        <v>222.74700000000001</v>
      </c>
      <c r="I99" s="22">
        <v>221.56200000000001</v>
      </c>
      <c r="J99" s="22">
        <v>222.74700000000001</v>
      </c>
      <c r="K99" s="22">
        <v>216.351</v>
      </c>
      <c r="L99" s="22">
        <v>216.351</v>
      </c>
      <c r="M99" s="22">
        <v>218.88900000000001</v>
      </c>
      <c r="N99" s="22">
        <v>218.88900000000001</v>
      </c>
      <c r="O99" s="22">
        <v>122.663</v>
      </c>
      <c r="P99" s="22">
        <v>122.663</v>
      </c>
      <c r="Q99" s="22">
        <v>71.840999999999994</v>
      </c>
      <c r="R99" s="32">
        <f t="shared" ref="R99:R101" si="493">BM99</f>
        <v>71.802999999999997</v>
      </c>
      <c r="S99"/>
      <c r="T99" s="43">
        <v>198.71899999999999</v>
      </c>
      <c r="U99" s="43">
        <v>153.63499999999999</v>
      </c>
      <c r="V99" s="43">
        <v>181.09899999999999</v>
      </c>
      <c r="W99" s="44">
        <f>+E99</f>
        <v>219.13</v>
      </c>
      <c r="X99" s="43">
        <v>208.02600000000001</v>
      </c>
      <c r="Y99" s="43">
        <v>146.893</v>
      </c>
      <c r="Z99" s="43">
        <v>153.732</v>
      </c>
      <c r="AA99" s="44">
        <f>F99</f>
        <v>154.328</v>
      </c>
      <c r="AB99" s="43">
        <v>141.49100000000001</v>
      </c>
      <c r="AC99" s="43">
        <v>140.352</v>
      </c>
      <c r="AD99" s="43">
        <v>151.12100000000001</v>
      </c>
      <c r="AE99" s="44">
        <f>G99</f>
        <v>141.66300000000001</v>
      </c>
      <c r="AF99" s="43">
        <v>222.25899999999999</v>
      </c>
      <c r="AG99" s="43">
        <v>227.09299999999999</v>
      </c>
      <c r="AH99" s="43">
        <v>183.715</v>
      </c>
      <c r="AI99" s="44">
        <f>H99</f>
        <v>222.74700000000001</v>
      </c>
      <c r="AJ99" s="229"/>
      <c r="AK99" s="229"/>
      <c r="AL99" s="229"/>
      <c r="AM99" s="43">
        <f>J99</f>
        <v>222.74700000000001</v>
      </c>
      <c r="AN99" s="43">
        <v>195.62799999999999</v>
      </c>
      <c r="AO99" s="43">
        <v>208.572</v>
      </c>
      <c r="AP99" s="43">
        <v>258.18299999999999</v>
      </c>
      <c r="AQ99" s="43">
        <f>I99</f>
        <v>221.56200000000001</v>
      </c>
      <c r="AR99" s="43">
        <v>195.62799999999999</v>
      </c>
      <c r="AS99" s="43">
        <v>208.572</v>
      </c>
      <c r="AT99" s="43">
        <v>258.18299999999999</v>
      </c>
      <c r="AU99" s="44">
        <f>K99</f>
        <v>216.351</v>
      </c>
      <c r="AV99" s="43">
        <v>258.18299999999999</v>
      </c>
      <c r="AW99" s="44">
        <f>L99</f>
        <v>216.351</v>
      </c>
      <c r="AX99" s="43">
        <v>206.209</v>
      </c>
      <c r="AY99" s="43">
        <v>206.209</v>
      </c>
      <c r="AZ99" s="43">
        <v>237.60499999999999</v>
      </c>
      <c r="BA99" s="43">
        <v>237.60499999999999</v>
      </c>
      <c r="BB99" s="43">
        <v>203.608</v>
      </c>
      <c r="BC99" s="43">
        <v>203.608</v>
      </c>
      <c r="BD99" s="44">
        <f>M99</f>
        <v>218.88900000000001</v>
      </c>
      <c r="BE99" s="43">
        <v>156.131</v>
      </c>
      <c r="BF99" s="43">
        <v>127.65300000000001</v>
      </c>
      <c r="BG99" s="43">
        <v>115.29900000000001</v>
      </c>
      <c r="BH99" s="44">
        <f t="shared" ref="BH99:BH101" si="494">O99</f>
        <v>122.663</v>
      </c>
      <c r="BI99" s="43">
        <v>125.917</v>
      </c>
      <c r="BJ99" s="43">
        <v>65.78</v>
      </c>
      <c r="BK99" s="43">
        <v>74.52</v>
      </c>
      <c r="BL99" s="44">
        <f t="shared" ref="BL99:BL101" si="495">Q99</f>
        <v>71.840999999999994</v>
      </c>
      <c r="BM99" s="43">
        <v>71.802999999999997</v>
      </c>
      <c r="BO99" s="44">
        <f>N99</f>
        <v>218.88900000000001</v>
      </c>
      <c r="BP99" s="44">
        <f t="shared" si="492"/>
        <v>156.131</v>
      </c>
      <c r="BQ99" s="44">
        <f t="shared" si="492"/>
        <v>127.65300000000001</v>
      </c>
      <c r="BR99" s="44">
        <f t="shared" si="492"/>
        <v>115.29900000000001</v>
      </c>
      <c r="BS99" s="44">
        <f>P99</f>
        <v>122.663</v>
      </c>
      <c r="BT99" s="44">
        <f t="shared" ref="BT99:BT101" si="496">BI99</f>
        <v>125.917</v>
      </c>
      <c r="BV99" s="40"/>
      <c r="BW99" s="40"/>
      <c r="BY99" s="40"/>
      <c r="BZ99" s="40"/>
      <c r="CB99" s="16"/>
      <c r="CC99" s="16"/>
    </row>
    <row r="100" spans="2:81" s="6" customFormat="1" ht="13.5" customHeight="1">
      <c r="B100" s="25" t="s">
        <v>297</v>
      </c>
      <c r="C100" s="22">
        <v>4775.3040000000001</v>
      </c>
      <c r="D100" s="22">
        <v>4496.6369999999997</v>
      </c>
      <c r="E100" s="22">
        <v>5115.2299999999996</v>
      </c>
      <c r="F100" s="22">
        <v>4721.973</v>
      </c>
      <c r="G100" s="22">
        <v>4362.3950000000004</v>
      </c>
      <c r="H100" s="22">
        <v>5060.933</v>
      </c>
      <c r="I100" s="22">
        <v>6863.366</v>
      </c>
      <c r="J100" s="22">
        <v>5060.933</v>
      </c>
      <c r="K100" s="22">
        <v>6943.5919999999996</v>
      </c>
      <c r="L100" s="22">
        <v>6943.5919999999996</v>
      </c>
      <c r="M100" s="22">
        <v>4808.6809999999996</v>
      </c>
      <c r="N100" s="22">
        <v>4784.46</v>
      </c>
      <c r="O100" s="22">
        <v>5349.4620000000004</v>
      </c>
      <c r="P100" s="22">
        <v>5349.4620000000004</v>
      </c>
      <c r="Q100" s="22">
        <v>3590.424</v>
      </c>
      <c r="R100" s="32">
        <f t="shared" si="493"/>
        <v>4181.6400000000003</v>
      </c>
      <c r="S100"/>
      <c r="T100" s="43">
        <v>3670.0659999999998</v>
      </c>
      <c r="U100" s="43">
        <v>4079.6669999999999</v>
      </c>
      <c r="V100" s="43">
        <v>4474.5420000000004</v>
      </c>
      <c r="W100" s="44">
        <f>+E100</f>
        <v>5115.2299999999996</v>
      </c>
      <c r="X100" s="43">
        <v>4573.3770000000004</v>
      </c>
      <c r="Y100" s="43">
        <v>4640.2269999999999</v>
      </c>
      <c r="Z100" s="43">
        <v>4783.8689999999997</v>
      </c>
      <c r="AA100" s="44">
        <f>F100</f>
        <v>4721.973</v>
      </c>
      <c r="AB100" s="43">
        <v>5509.1719999999996</v>
      </c>
      <c r="AC100" s="43">
        <v>4393.9110000000001</v>
      </c>
      <c r="AD100" s="43">
        <v>3811.239</v>
      </c>
      <c r="AE100" s="44">
        <f>G100</f>
        <v>4362.3950000000004</v>
      </c>
      <c r="AF100" s="43">
        <v>4514.1390000000001</v>
      </c>
      <c r="AG100" s="43">
        <v>4296.2809999999999</v>
      </c>
      <c r="AH100" s="43">
        <v>4295.5619999999999</v>
      </c>
      <c r="AI100" s="44">
        <f>H100</f>
        <v>5060.933</v>
      </c>
      <c r="AJ100" s="229"/>
      <c r="AK100" s="229"/>
      <c r="AL100" s="229"/>
      <c r="AM100" s="43">
        <f>J100</f>
        <v>5060.933</v>
      </c>
      <c r="AN100" s="43">
        <v>5046.0410000000002</v>
      </c>
      <c r="AO100" s="43">
        <v>5368.6019999999999</v>
      </c>
      <c r="AP100" s="43">
        <v>5477.9269999999997</v>
      </c>
      <c r="AQ100" s="43">
        <f>I100</f>
        <v>6863.366</v>
      </c>
      <c r="AR100" s="43">
        <v>5046.0410000000002</v>
      </c>
      <c r="AS100" s="43">
        <v>5368.6019999999999</v>
      </c>
      <c r="AT100" s="43">
        <v>5477.9269999999997</v>
      </c>
      <c r="AU100" s="44">
        <f>K100</f>
        <v>6943.5919999999996</v>
      </c>
      <c r="AV100" s="43">
        <v>5477.9269999999997</v>
      </c>
      <c r="AW100" s="44">
        <f>L100</f>
        <v>6943.5919999999996</v>
      </c>
      <c r="AX100" s="43">
        <v>7066.5339999999997</v>
      </c>
      <c r="AY100" s="43">
        <v>7066.5339999999997</v>
      </c>
      <c r="AZ100" s="43">
        <v>5330.5309999999999</v>
      </c>
      <c r="BA100" s="43">
        <v>5330.5309999999999</v>
      </c>
      <c r="BB100" s="43">
        <v>4440.5540000000001</v>
      </c>
      <c r="BC100" s="43">
        <v>4440.5540000000001</v>
      </c>
      <c r="BD100" s="44">
        <f>M100</f>
        <v>4808.6809999999996</v>
      </c>
      <c r="BE100" s="43">
        <v>5061.8999999999996</v>
      </c>
      <c r="BF100" s="43">
        <v>4733.59</v>
      </c>
      <c r="BG100" s="43">
        <v>4241.5479999999998</v>
      </c>
      <c r="BH100" s="44">
        <f t="shared" si="494"/>
        <v>5349.4620000000004</v>
      </c>
      <c r="BI100" s="43">
        <v>5253.8310000000001</v>
      </c>
      <c r="BJ100" s="43">
        <v>4269.2730000000001</v>
      </c>
      <c r="BK100" s="43">
        <v>4087.096</v>
      </c>
      <c r="BL100" s="44">
        <f t="shared" si="495"/>
        <v>3590.424</v>
      </c>
      <c r="BM100" s="43">
        <v>4181.6400000000003</v>
      </c>
      <c r="BO100" s="44">
        <f>N100</f>
        <v>4784.46</v>
      </c>
      <c r="BP100" s="44">
        <f t="shared" si="492"/>
        <v>5061.8999999999996</v>
      </c>
      <c r="BQ100" s="44">
        <f t="shared" si="492"/>
        <v>4733.59</v>
      </c>
      <c r="BR100" s="44">
        <f t="shared" si="492"/>
        <v>4241.5479999999998</v>
      </c>
      <c r="BS100" s="44">
        <f>P100</f>
        <v>5349.4620000000004</v>
      </c>
      <c r="BT100" s="44">
        <f t="shared" si="496"/>
        <v>5253.8310000000001</v>
      </c>
      <c r="BV100" s="40"/>
      <c r="BW100" s="40"/>
      <c r="BY100" s="40"/>
      <c r="BZ100" s="40"/>
      <c r="CB100" s="16"/>
      <c r="CC100" s="16"/>
    </row>
    <row r="101" spans="2:81" s="6" customFormat="1" ht="13.5" customHeight="1">
      <c r="B101" s="25" t="s">
        <v>298</v>
      </c>
      <c r="C101" s="22">
        <v>12282.898999999999</v>
      </c>
      <c r="D101" s="22">
        <v>12616.963</v>
      </c>
      <c r="E101" s="22">
        <v>12484.444</v>
      </c>
      <c r="F101" s="22">
        <v>12178.262000000001</v>
      </c>
      <c r="G101" s="22">
        <v>12001.948</v>
      </c>
      <c r="H101" s="22">
        <v>13555.061</v>
      </c>
      <c r="I101" s="22">
        <v>10534.267</v>
      </c>
      <c r="J101" s="22">
        <v>13555.061</v>
      </c>
      <c r="K101" s="22">
        <v>10579.565000000001</v>
      </c>
      <c r="L101" s="22">
        <v>10579.565000000001</v>
      </c>
      <c r="M101" s="22">
        <v>9317.3850000000002</v>
      </c>
      <c r="N101" s="22">
        <v>9293.1640000000007</v>
      </c>
      <c r="O101" s="22">
        <v>8979.8860000000004</v>
      </c>
      <c r="P101" s="22">
        <v>8979.8860000000004</v>
      </c>
      <c r="Q101" s="22">
        <v>5905.5290000000005</v>
      </c>
      <c r="R101" s="32">
        <f t="shared" si="493"/>
        <v>5615.442</v>
      </c>
      <c r="S101"/>
      <c r="T101" s="43">
        <v>11524.581</v>
      </c>
      <c r="U101" s="43">
        <v>11838.221</v>
      </c>
      <c r="V101" s="43">
        <v>10812.664000000001</v>
      </c>
      <c r="W101" s="44">
        <f>+E101</f>
        <v>12484.444</v>
      </c>
      <c r="X101" s="43">
        <v>11696.522000000001</v>
      </c>
      <c r="Y101" s="43">
        <v>11697.698</v>
      </c>
      <c r="Z101" s="43">
        <v>12382.116</v>
      </c>
      <c r="AA101" s="44">
        <f>F101</f>
        <v>12178.262000000001</v>
      </c>
      <c r="AB101" s="43">
        <v>12400.392</v>
      </c>
      <c r="AC101" s="43">
        <v>12642.009</v>
      </c>
      <c r="AD101" s="43">
        <v>11983.599</v>
      </c>
      <c r="AE101" s="44">
        <f>G101</f>
        <v>12001.948</v>
      </c>
      <c r="AF101" s="43">
        <v>11384.960999999999</v>
      </c>
      <c r="AG101" s="43">
        <v>11870.698</v>
      </c>
      <c r="AH101" s="43">
        <v>12641.237999999999</v>
      </c>
      <c r="AI101" s="44">
        <f>H101</f>
        <v>13555.061</v>
      </c>
      <c r="AJ101" s="229"/>
      <c r="AK101" s="229"/>
      <c r="AL101" s="229"/>
      <c r="AM101" s="43">
        <f>J101</f>
        <v>13555.061</v>
      </c>
      <c r="AN101" s="43">
        <v>12629.671</v>
      </c>
      <c r="AO101" s="43">
        <v>13213.951999999999</v>
      </c>
      <c r="AP101" s="43">
        <v>13377.058000000001</v>
      </c>
      <c r="AQ101" s="43">
        <f>I101</f>
        <v>10534.267</v>
      </c>
      <c r="AR101" s="43">
        <v>12629.671</v>
      </c>
      <c r="AS101" s="43">
        <v>13213.951999999999</v>
      </c>
      <c r="AT101" s="43">
        <v>13377.058000000001</v>
      </c>
      <c r="AU101" s="44">
        <f>K101</f>
        <v>10579.565000000001</v>
      </c>
      <c r="AV101" s="43">
        <v>13377.058000000001</v>
      </c>
      <c r="AW101" s="44">
        <f>L101</f>
        <v>10579.565000000001</v>
      </c>
      <c r="AX101" s="43">
        <v>10060.58</v>
      </c>
      <c r="AY101" s="43">
        <v>10060.58</v>
      </c>
      <c r="AZ101" s="43">
        <v>10436.017</v>
      </c>
      <c r="BA101" s="43">
        <v>10436.017</v>
      </c>
      <c r="BB101" s="43">
        <v>9383.2919999999995</v>
      </c>
      <c r="BC101" s="43">
        <v>9383.2919999999995</v>
      </c>
      <c r="BD101" s="44">
        <f>M101</f>
        <v>9317.3850000000002</v>
      </c>
      <c r="BE101" s="43">
        <v>8990.86</v>
      </c>
      <c r="BF101" s="43">
        <v>8960.9840000000004</v>
      </c>
      <c r="BG101" s="43">
        <v>7859.6949999999997</v>
      </c>
      <c r="BH101" s="44">
        <f t="shared" si="494"/>
        <v>8979.8860000000004</v>
      </c>
      <c r="BI101" s="43">
        <v>8659.6450000000004</v>
      </c>
      <c r="BJ101" s="43">
        <v>5915.5150000000003</v>
      </c>
      <c r="BK101" s="43">
        <v>6007.5320000000002</v>
      </c>
      <c r="BL101" s="44">
        <f t="shared" si="495"/>
        <v>5905.5290000000005</v>
      </c>
      <c r="BM101" s="43">
        <v>5615.442</v>
      </c>
      <c r="BO101" s="44">
        <f>N101</f>
        <v>9293.1640000000007</v>
      </c>
      <c r="BP101" s="44">
        <f t="shared" si="492"/>
        <v>8990.86</v>
      </c>
      <c r="BQ101" s="44">
        <f t="shared" si="492"/>
        <v>8960.9840000000004</v>
      </c>
      <c r="BR101" s="44">
        <f t="shared" si="492"/>
        <v>7859.6949999999997</v>
      </c>
      <c r="BS101" s="44">
        <f>P101</f>
        <v>8979.8860000000004</v>
      </c>
      <c r="BT101" s="44">
        <f t="shared" si="496"/>
        <v>8659.6450000000004</v>
      </c>
      <c r="BV101" s="40"/>
      <c r="BW101" s="40"/>
      <c r="BY101" s="40"/>
      <c r="BZ101" s="40"/>
      <c r="CB101" s="16"/>
      <c r="CC101" s="16"/>
    </row>
    <row r="102" spans="2:81" s="6" customFormat="1" ht="13.5" customHeight="1">
      <c r="B102" s="356" t="s">
        <v>299</v>
      </c>
      <c r="C102" s="357">
        <f t="shared" ref="C102:AC102" si="497">C99+C100-C101</f>
        <v>-7332.847999999999</v>
      </c>
      <c r="D102" s="358">
        <f t="shared" si="497"/>
        <v>-7946.0470000000005</v>
      </c>
      <c r="E102" s="358">
        <f t="shared" ref="E102:J102" si="498">E99+E100-E101</f>
        <v>-7150.0839999999998</v>
      </c>
      <c r="F102" s="358">
        <f t="shared" si="498"/>
        <v>-7301.9610000000002</v>
      </c>
      <c r="G102" s="358">
        <f t="shared" si="498"/>
        <v>-7497.8899999999994</v>
      </c>
      <c r="H102" s="358">
        <f t="shared" si="498"/>
        <v>-8271.3809999999994</v>
      </c>
      <c r="I102" s="358">
        <f t="shared" ref="I102:K102" si="499">I99+I100-I101</f>
        <v>-3449.3389999999999</v>
      </c>
      <c r="J102" s="358">
        <f t="shared" si="498"/>
        <v>-8271.3809999999994</v>
      </c>
      <c r="K102" s="358">
        <f t="shared" si="499"/>
        <v>-3419.6220000000012</v>
      </c>
      <c r="L102" s="358">
        <f t="shared" ref="L102:M102" si="500">L99+L100-L101</f>
        <v>-3419.6220000000012</v>
      </c>
      <c r="M102" s="358">
        <f t="shared" si="500"/>
        <v>-4289.8150000000005</v>
      </c>
      <c r="N102" s="358">
        <f t="shared" ref="N102" si="501">N99+N100-N101</f>
        <v>-4289.8150000000005</v>
      </c>
      <c r="O102" s="358">
        <f t="shared" ref="O102:P102" si="502">O99+O100-O101</f>
        <v>-3507.7610000000004</v>
      </c>
      <c r="P102" s="358">
        <f t="shared" si="502"/>
        <v>-3507.7610000000004</v>
      </c>
      <c r="Q102" s="358">
        <f t="shared" ref="Q102" si="503">Q99+Q100-Q101</f>
        <v>-2243.2640000000006</v>
      </c>
      <c r="R102" s="358">
        <f t="shared" ref="R102" si="504">R99+R100-R101</f>
        <v>-1361.9989999999998</v>
      </c>
      <c r="S102"/>
      <c r="T102" s="358">
        <f t="shared" ref="T102:W102" si="505">T99+T100-T101</f>
        <v>-7655.7960000000003</v>
      </c>
      <c r="U102" s="358">
        <f t="shared" si="505"/>
        <v>-7604.9189999999999</v>
      </c>
      <c r="V102" s="358">
        <f t="shared" si="505"/>
        <v>-6157.0230000000001</v>
      </c>
      <c r="W102" s="358">
        <f t="shared" si="505"/>
        <v>-7150.0839999999998</v>
      </c>
      <c r="X102" s="358">
        <f t="shared" si="497"/>
        <v>-6915.1190000000006</v>
      </c>
      <c r="Y102" s="358">
        <f t="shared" si="497"/>
        <v>-6910.5780000000004</v>
      </c>
      <c r="Z102" s="358">
        <f t="shared" si="497"/>
        <v>-7444.5150000000003</v>
      </c>
      <c r="AA102" s="358">
        <f t="shared" si="497"/>
        <v>-7301.9610000000002</v>
      </c>
      <c r="AB102" s="358">
        <f t="shared" si="497"/>
        <v>-6749.7290000000003</v>
      </c>
      <c r="AC102" s="358">
        <f t="shared" si="497"/>
        <v>-8107.7460000000001</v>
      </c>
      <c r="AD102" s="358">
        <f t="shared" ref="AD102:AE102" si="506">AD99+AD100-AD101</f>
        <v>-8021.2389999999996</v>
      </c>
      <c r="AE102" s="358">
        <f t="shared" si="506"/>
        <v>-7497.8899999999994</v>
      </c>
      <c r="AF102" s="358">
        <f>AF99+AF100-AF101</f>
        <v>-6648.5629999999992</v>
      </c>
      <c r="AG102" s="358">
        <f t="shared" ref="AG102:AI102" si="507">AG99+AG100-AG101</f>
        <v>-7347.3240000000005</v>
      </c>
      <c r="AH102" s="358">
        <f t="shared" si="507"/>
        <v>-8161.9609999999993</v>
      </c>
      <c r="AI102" s="358">
        <f t="shared" si="507"/>
        <v>-8271.3809999999994</v>
      </c>
      <c r="AJ102" s="358"/>
      <c r="AK102" s="358"/>
      <c r="AL102" s="358"/>
      <c r="AM102" s="358">
        <f t="shared" ref="AM102" si="508">AM99+AM100-AM101</f>
        <v>-8271.3809999999994</v>
      </c>
      <c r="AN102" s="358">
        <f>AN99+AN100-AN101</f>
        <v>-7388.0020000000004</v>
      </c>
      <c r="AO102" s="358">
        <f t="shared" ref="AO102:AP102" si="509">AO99+AO100-AO101</f>
        <v>-7636.7779999999993</v>
      </c>
      <c r="AP102" s="358">
        <f t="shared" si="509"/>
        <v>-7640.9480000000012</v>
      </c>
      <c r="AQ102" s="358">
        <f t="shared" ref="AQ102" si="510">AQ99+AQ100-AQ101</f>
        <v>-3449.3389999999999</v>
      </c>
      <c r="AR102" s="358">
        <f>AR99+AR100-AR101</f>
        <v>-7388.0020000000004</v>
      </c>
      <c r="AS102" s="358">
        <f t="shared" ref="AS102:AT102" si="511">AS99+AS100-AS101</f>
        <v>-7636.7779999999993</v>
      </c>
      <c r="AT102" s="358">
        <f t="shared" si="511"/>
        <v>-7640.9480000000012</v>
      </c>
      <c r="AU102" s="358">
        <f t="shared" ref="AU102:AV102" si="512">AU99+AU100-AU101</f>
        <v>-3419.6220000000012</v>
      </c>
      <c r="AV102" s="358">
        <f t="shared" si="512"/>
        <v>-7640.9480000000012</v>
      </c>
      <c r="AW102" s="358">
        <f t="shared" ref="AW102" si="513">AW99+AW100-AW101</f>
        <v>-3419.6220000000012</v>
      </c>
      <c r="AX102" s="358">
        <f>AX99+AX100-AX101</f>
        <v>-2787.8370000000004</v>
      </c>
      <c r="AY102" s="358">
        <f>AY99+AY100-AY101</f>
        <v>-2787.8370000000004</v>
      </c>
      <c r="AZ102" s="358">
        <f>AZ99+AZ100-AZ101</f>
        <v>-4867.8810000000003</v>
      </c>
      <c r="BA102" s="358">
        <f>BA99+BA100-BA101</f>
        <v>-4867.8810000000003</v>
      </c>
      <c r="BB102" s="358">
        <f t="shared" ref="BB102:BD102" si="514">BB99+BB100-BB101</f>
        <v>-4739.1299999999992</v>
      </c>
      <c r="BC102" s="358">
        <f t="shared" si="514"/>
        <v>-4739.1299999999992</v>
      </c>
      <c r="BD102" s="358">
        <f t="shared" si="514"/>
        <v>-4289.8150000000005</v>
      </c>
      <c r="BE102" s="358">
        <f>BE99+BE100-BE101</f>
        <v>-3772.8290000000006</v>
      </c>
      <c r="BF102" s="358">
        <f>BF99+BF100-BF101</f>
        <v>-4099.741</v>
      </c>
      <c r="BG102" s="358">
        <f t="shared" ref="BG102:BH102" si="515">BG99+BG100-BG101</f>
        <v>-3502.848</v>
      </c>
      <c r="BH102" s="358">
        <f t="shared" si="515"/>
        <v>-3507.7610000000004</v>
      </c>
      <c r="BI102" s="358">
        <f>BI99+BI100-BI101</f>
        <v>-3279.8969999999999</v>
      </c>
      <c r="BJ102" s="358">
        <f>BJ99+BJ100-BJ101</f>
        <v>-1580.4620000000004</v>
      </c>
      <c r="BK102" s="358">
        <f t="shared" ref="BK102:BL102" si="516">BK99+BK100-BK101</f>
        <v>-1845.9160000000002</v>
      </c>
      <c r="BL102" s="358">
        <f t="shared" si="516"/>
        <v>-2243.2640000000006</v>
      </c>
      <c r="BM102" s="358">
        <f>BM99+BM100-BM101</f>
        <v>-1361.9989999999998</v>
      </c>
      <c r="BO102" s="358">
        <f t="shared" ref="BO102:BR102" si="517">BO99+BO100-BO101</f>
        <v>-4289.8150000000005</v>
      </c>
      <c r="BP102" s="358">
        <f t="shared" si="517"/>
        <v>-3772.8290000000006</v>
      </c>
      <c r="BQ102" s="358">
        <f t="shared" si="517"/>
        <v>-4099.741</v>
      </c>
      <c r="BR102" s="358">
        <f t="shared" si="517"/>
        <v>-3502.848</v>
      </c>
      <c r="BS102" s="358">
        <f t="shared" ref="BS102:BT102" si="518">BS99+BS100-BS101</f>
        <v>-3507.7610000000004</v>
      </c>
      <c r="BT102" s="358">
        <f t="shared" si="518"/>
        <v>-3279.8969999999999</v>
      </c>
      <c r="BV102" s="40"/>
      <c r="BW102" s="40"/>
      <c r="BY102" s="40"/>
      <c r="BZ102" s="40"/>
      <c r="CB102" s="16"/>
      <c r="CC102" s="16"/>
    </row>
    <row r="103" spans="2:81" s="16" customFormat="1" ht="13.5" customHeight="1">
      <c r="B103" s="45" t="s">
        <v>300</v>
      </c>
      <c r="C103" s="46">
        <f t="shared" ref="C103:H103" si="519">+C102/C87</f>
        <v>-0.3400285049304923</v>
      </c>
      <c r="D103" s="46">
        <f t="shared" si="519"/>
        <v>-0.32562562183942473</v>
      </c>
      <c r="E103" s="46">
        <f t="shared" si="519"/>
        <v>-0.29934478592096275</v>
      </c>
      <c r="F103" s="46">
        <f t="shared" si="519"/>
        <v>-0.29702917979481364</v>
      </c>
      <c r="G103" s="46">
        <f t="shared" ref="G103" si="520">+G102/G87</f>
        <v>-0.3097895726142661</v>
      </c>
      <c r="H103" s="46">
        <f t="shared" si="519"/>
        <v>-0.31935018955693834</v>
      </c>
      <c r="I103" s="46">
        <f t="shared" ref="I103:O103" si="521">+I102/I87</f>
        <v>-0.12533024489499309</v>
      </c>
      <c r="J103" s="46">
        <f t="shared" si="521"/>
        <v>-0.41368554384914791</v>
      </c>
      <c r="K103" s="46">
        <f t="shared" si="521"/>
        <v>-0.15739960005956075</v>
      </c>
      <c r="L103" s="46">
        <f t="shared" si="521"/>
        <v>-0.17080790078860042</v>
      </c>
      <c r="M103" s="46">
        <f t="shared" si="521"/>
        <v>-0.19497148225939789</v>
      </c>
      <c r="N103" s="46">
        <f t="shared" ref="N103" si="522">+N102/N87</f>
        <v>-0.19221042832692739</v>
      </c>
      <c r="O103" s="46">
        <f t="shared" si="521"/>
        <v>-0.15705489823264043</v>
      </c>
      <c r="P103" s="46">
        <f t="shared" ref="P103:Q103" si="523">+P102/P87</f>
        <v>-0.27968297990785784</v>
      </c>
      <c r="Q103" s="46">
        <f t="shared" si="523"/>
        <v>-0.19078623680546955</v>
      </c>
      <c r="R103" s="46">
        <f t="shared" ref="R103" si="524">+R102/R87</f>
        <v>-0.14383827328045812</v>
      </c>
      <c r="S103"/>
      <c r="T103" s="46"/>
      <c r="U103" s="46"/>
      <c r="V103" s="46"/>
      <c r="W103" s="46">
        <f t="shared" ref="W103:AC103" si="525">+W102/W87</f>
        <v>-0.29934478592096275</v>
      </c>
      <c r="X103" s="46">
        <f t="shared" si="525"/>
        <v>-0.28708962925140147</v>
      </c>
      <c r="Y103" s="46">
        <f t="shared" si="525"/>
        <v>-0.28352813081804601</v>
      </c>
      <c r="Z103" s="46">
        <f t="shared" si="525"/>
        <v>-0.30282813942798564</v>
      </c>
      <c r="AA103" s="46">
        <f t="shared" si="525"/>
        <v>-0.29702917979481369</v>
      </c>
      <c r="AB103" s="46">
        <f t="shared" si="525"/>
        <v>-0.27359559868748284</v>
      </c>
      <c r="AC103" s="46">
        <f t="shared" si="525"/>
        <v>-0.33352501612657132</v>
      </c>
      <c r="AD103" s="46">
        <f t="shared" ref="AD103:AG103" si="526">+AD102/AD87</f>
        <v>-0.33135124738605487</v>
      </c>
      <c r="AE103" s="46">
        <f t="shared" si="526"/>
        <v>-0.3097895726142661</v>
      </c>
      <c r="AF103" s="46">
        <f t="shared" si="526"/>
        <v>-0.2743869880926626</v>
      </c>
      <c r="AG103" s="46">
        <f t="shared" si="526"/>
        <v>-0.29592589991016693</v>
      </c>
      <c r="AH103" s="46">
        <f t="shared" ref="AH103:AS103" si="527">+AH102/AH87</f>
        <v>-0.32312361552429131</v>
      </c>
      <c r="AI103" s="46">
        <f t="shared" si="527"/>
        <v>-0.31935018955693834</v>
      </c>
      <c r="AJ103" s="231"/>
      <c r="AK103" s="231"/>
      <c r="AL103" s="231"/>
      <c r="AM103" s="46"/>
      <c r="AN103" s="46">
        <f t="shared" ref="AN103:AP103" si="528">+AN102/AN87</f>
        <v>-0.29863251165355664</v>
      </c>
      <c r="AO103" s="46">
        <f t="shared" si="528"/>
        <v>-0.30481715308708085</v>
      </c>
      <c r="AP103" s="46">
        <f t="shared" si="528"/>
        <v>-0.29649414723710082</v>
      </c>
      <c r="AQ103" s="46">
        <f t="shared" ref="AQ103" si="529">+AQ102/AQ87</f>
        <v>-0.12533024489499309</v>
      </c>
      <c r="AR103" s="46">
        <f t="shared" si="527"/>
        <v>-0.31771731097007744</v>
      </c>
      <c r="AS103" s="46">
        <f t="shared" si="527"/>
        <v>-0.34616765581385689</v>
      </c>
      <c r="AT103" s="46">
        <f t="shared" ref="AT103:BA103" si="530">+AT102/AT87</f>
        <v>-0.35996430953843611</v>
      </c>
      <c r="AU103" s="46">
        <f t="shared" si="530"/>
        <v>-0.15740133884176177</v>
      </c>
      <c r="AV103" s="46">
        <f t="shared" ref="AV103:AW103" si="531">+AV102/AV87</f>
        <v>-0.36585216723517544</v>
      </c>
      <c r="AW103" s="46">
        <f t="shared" si="531"/>
        <v>-0.17080790078860042</v>
      </c>
      <c r="AX103" s="46">
        <f t="shared" si="530"/>
        <v>-0.12800747923292408</v>
      </c>
      <c r="AY103" s="46">
        <f t="shared" ref="AY103" si="532">+AY102/AY87</f>
        <v>-0.13569409763819573</v>
      </c>
      <c r="AZ103" s="46">
        <f t="shared" si="530"/>
        <v>-0.21562552531768225</v>
      </c>
      <c r="BA103" s="46">
        <f t="shared" si="530"/>
        <v>-0.23829254032127792</v>
      </c>
      <c r="BB103" s="46">
        <f t="shared" ref="BB103:BF103" si="533">+BB102/BB87</f>
        <v>-0.2041123526923356</v>
      </c>
      <c r="BC103" s="46">
        <f t="shared" si="533"/>
        <v>-0.21424556977270065</v>
      </c>
      <c r="BD103" s="46">
        <f t="shared" si="533"/>
        <v>-0.19222553535551967</v>
      </c>
      <c r="BE103" s="46">
        <f t="shared" si="533"/>
        <v>-0.17240700315812035</v>
      </c>
      <c r="BF103" s="46">
        <f t="shared" si="533"/>
        <v>-0.18595563444201191</v>
      </c>
      <c r="BG103" s="46">
        <f t="shared" ref="BG103:BJ103" si="534">+BG102/BG87</f>
        <v>-0.16162398410211723</v>
      </c>
      <c r="BH103" s="46">
        <f t="shared" si="534"/>
        <v>-0.15705489823264043</v>
      </c>
      <c r="BI103" s="46">
        <f t="shared" si="534"/>
        <v>-0.15072065576572863</v>
      </c>
      <c r="BJ103" s="46">
        <f t="shared" si="534"/>
        <v>-8.3304611307045223E-2</v>
      </c>
      <c r="BK103" s="18">
        <f>BK102/BR102-1</f>
        <v>-0.4730242362785938</v>
      </c>
      <c r="BL103" s="46">
        <f t="shared" ref="BL103:BM103" si="535">+BL102/BL87</f>
        <v>-0.19078623680546955</v>
      </c>
      <c r="BM103" s="46">
        <f t="shared" si="535"/>
        <v>-0.14383827328045812</v>
      </c>
      <c r="BO103" s="18">
        <f>BO102/AW102-1</f>
        <v>0.25447052335024134</v>
      </c>
      <c r="BP103" s="18">
        <f>BP102/AY102-1</f>
        <v>0.35331764375033403</v>
      </c>
      <c r="BQ103" s="18">
        <f>BQ102/BA102-1</f>
        <v>-0.15779761255462088</v>
      </c>
      <c r="BR103" s="18">
        <f>BR102/BC102-1</f>
        <v>-0.26086686796943737</v>
      </c>
      <c r="BS103" s="18">
        <f>BS102/BA102-1</f>
        <v>-0.27940699454238915</v>
      </c>
      <c r="BT103" s="18">
        <f>BT102/BC102-1</f>
        <v>-0.3079115787074842</v>
      </c>
      <c r="BV103" s="40"/>
      <c r="BW103" s="40"/>
      <c r="BY103" s="40"/>
      <c r="BZ103" s="40"/>
    </row>
    <row r="104" spans="2:81" ht="13.5" customHeight="1">
      <c r="C104" s="47"/>
      <c r="D104" s="47"/>
      <c r="E104" s="47"/>
      <c r="F104" s="47"/>
      <c r="G104" s="47"/>
      <c r="H104" s="47"/>
      <c r="I104" s="47"/>
      <c r="K104" s="47"/>
      <c r="L104" s="47"/>
      <c r="M104" s="47"/>
      <c r="N104" s="47"/>
      <c r="O104" s="47"/>
      <c r="P104" s="47"/>
      <c r="Q104" s="47"/>
      <c r="R104" s="47"/>
      <c r="T104" s="47"/>
      <c r="U104" s="47"/>
      <c r="V104" s="47"/>
      <c r="W104" s="47"/>
      <c r="X104" s="47"/>
      <c r="Y104" s="47"/>
      <c r="Z104" s="47"/>
      <c r="AA104" s="47"/>
      <c r="AB104" s="47"/>
      <c r="AC104" s="47"/>
      <c r="AD104" s="47"/>
      <c r="AE104" s="47"/>
      <c r="AF104" s="47"/>
      <c r="AG104" s="47"/>
      <c r="AH104" s="47"/>
      <c r="AI104" s="47"/>
      <c r="AJ104" s="232"/>
      <c r="AK104" s="232"/>
      <c r="AL104" s="232"/>
      <c r="AM104" s="47"/>
      <c r="AN104" s="47"/>
      <c r="AO104" s="47"/>
      <c r="AP104" s="47"/>
      <c r="AQ104" s="47"/>
      <c r="AR104" s="47"/>
      <c r="AS104" s="47"/>
      <c r="AT104" s="47"/>
      <c r="AU104" s="47"/>
      <c r="AV104" s="47"/>
      <c r="AW104" s="47"/>
      <c r="AX104" s="47"/>
      <c r="AY104" s="47"/>
      <c r="AZ104" s="47"/>
      <c r="BA104" s="47"/>
      <c r="BB104" s="47"/>
      <c r="BC104" s="47"/>
      <c r="BD104" s="47"/>
      <c r="BE104" s="47"/>
      <c r="BF104" s="47"/>
      <c r="BG104" s="47"/>
      <c r="BH104" s="47"/>
      <c r="BI104" s="47"/>
      <c r="BJ104" s="47"/>
      <c r="BK104" s="47"/>
      <c r="BL104" s="47"/>
      <c r="BM104" s="47"/>
      <c r="BO104" s="47"/>
      <c r="BP104" s="47"/>
      <c r="BQ104" s="47"/>
      <c r="BR104" s="47"/>
      <c r="BS104" s="47"/>
      <c r="BT104" s="47"/>
      <c r="BV104" s="40"/>
      <c r="BW104" s="40"/>
      <c r="BY104" s="40"/>
      <c r="BZ104" s="40"/>
      <c r="CB104" s="16"/>
      <c r="CC104" s="16"/>
    </row>
    <row r="105" spans="2:81" ht="13.5" customHeight="1">
      <c r="B105" s="6" t="s">
        <v>301</v>
      </c>
      <c r="C105" s="47"/>
      <c r="D105" s="47"/>
      <c r="E105" s="47"/>
      <c r="F105" s="47"/>
      <c r="G105" s="47"/>
      <c r="H105" s="47"/>
      <c r="I105" s="47"/>
      <c r="K105" s="47"/>
      <c r="L105" s="47"/>
      <c r="M105" s="47"/>
      <c r="N105" s="47"/>
      <c r="O105" s="47"/>
      <c r="P105" s="47"/>
      <c r="Q105" s="47"/>
      <c r="BV105" s="40"/>
      <c r="BW105" s="40"/>
      <c r="BY105" s="40"/>
      <c r="BZ105" s="40"/>
      <c r="CB105" s="16"/>
      <c r="CC105" s="16"/>
    </row>
    <row r="106" spans="2:81" s="6" customFormat="1" ht="13.5" customHeight="1">
      <c r="B106" s="6" t="s">
        <v>10</v>
      </c>
      <c r="C106" s="24">
        <f t="shared" ref="C106" si="536">+C107+C110</f>
        <v>7124.4089999999997</v>
      </c>
      <c r="D106" s="24">
        <f t="shared" ref="D106" si="537">+D107+D110</f>
        <v>4387.67</v>
      </c>
      <c r="E106" s="24">
        <f t="shared" ref="E106" si="538">+E107+E110</f>
        <v>4474.4549999999999</v>
      </c>
      <c r="F106" s="24">
        <f t="shared" ref="F106:H106" si="539">+F107+F110</f>
        <v>9074.4529999999995</v>
      </c>
      <c r="G106" s="24">
        <f t="shared" ref="G106" si="540">+G107+G110</f>
        <v>4705.8639999999996</v>
      </c>
      <c r="H106" s="24">
        <f t="shared" si="539"/>
        <v>5990.2620000000006</v>
      </c>
      <c r="I106" s="24">
        <f t="shared" ref="I106:K106" si="541">+I107+I110</f>
        <v>8935.6209999999992</v>
      </c>
      <c r="J106" s="24">
        <f t="shared" ref="J106" si="542">+J107+J110</f>
        <v>5990.2620000000006</v>
      </c>
      <c r="K106" s="24">
        <f t="shared" si="541"/>
        <v>8927.744999999999</v>
      </c>
      <c r="L106" s="24">
        <f t="shared" ref="L106:M106" si="543">+L107+L110</f>
        <v>8927.744999999999</v>
      </c>
      <c r="M106" s="24">
        <f t="shared" si="543"/>
        <v>4752.4549999999999</v>
      </c>
      <c r="N106" s="24">
        <f t="shared" ref="N106" si="544">+N107+N110</f>
        <v>4756.6559999999999</v>
      </c>
      <c r="O106" s="24">
        <f t="shared" ref="O106:P106" si="545">+O107+O110</f>
        <v>6515.9130000000005</v>
      </c>
      <c r="P106" s="24">
        <f t="shared" si="545"/>
        <v>6515.9129999999996</v>
      </c>
      <c r="Q106" s="24">
        <f t="shared" ref="Q106" si="546">+Q107+Q110</f>
        <v>6981.1710000000003</v>
      </c>
      <c r="R106" s="24">
        <f t="shared" ref="R106" si="547">+R107+R110</f>
        <v>5037.7159999999994</v>
      </c>
      <c r="S106"/>
      <c r="T106" s="24">
        <f t="shared" ref="T106:AA106" si="548">+T107+T110</f>
        <v>3506.8309999999997</v>
      </c>
      <c r="U106" s="24">
        <f t="shared" si="548"/>
        <v>3261.2640000000001</v>
      </c>
      <c r="V106" s="24">
        <f t="shared" si="548"/>
        <v>4966.5020000000004</v>
      </c>
      <c r="W106" s="24">
        <f t="shared" si="548"/>
        <v>4474.4549999999999</v>
      </c>
      <c r="X106" s="24">
        <f t="shared" si="548"/>
        <v>5290.3029999999999</v>
      </c>
      <c r="Y106" s="24">
        <f t="shared" si="548"/>
        <v>5058.4950000000008</v>
      </c>
      <c r="Z106" s="24">
        <f t="shared" si="548"/>
        <v>5615.7089999999998</v>
      </c>
      <c r="AA106" s="24">
        <f t="shared" si="548"/>
        <v>9074.4529999999995</v>
      </c>
      <c r="AB106" s="24">
        <f>+AB107+AB110</f>
        <v>10628.922</v>
      </c>
      <c r="AC106" s="24">
        <f t="shared" ref="AC106" si="549">+AC107+AC110</f>
        <v>9135.2860000000001</v>
      </c>
      <c r="AD106" s="24">
        <f t="shared" ref="AD106:AE106" si="550">+AD107+AD110</f>
        <v>6876.6319999999996</v>
      </c>
      <c r="AE106" s="24">
        <f t="shared" si="550"/>
        <v>4705.8639999999996</v>
      </c>
      <c r="AF106" s="24">
        <f>+AF107+AF110</f>
        <v>4812.0810000000001</v>
      </c>
      <c r="AG106" s="24">
        <f t="shared" ref="AG106:AI106" si="551">+AG107+AG110</f>
        <v>4359.5200000000004</v>
      </c>
      <c r="AH106" s="24">
        <f t="shared" si="551"/>
        <v>4728.5460000000003</v>
      </c>
      <c r="AI106" s="24">
        <f t="shared" si="551"/>
        <v>5990.2620000000006</v>
      </c>
      <c r="AJ106" s="220"/>
      <c r="AK106" s="220"/>
      <c r="AL106" s="220"/>
      <c r="AM106" s="24">
        <f t="shared" ref="AM106" si="552">+AM107+AM110</f>
        <v>5990.2620000000006</v>
      </c>
      <c r="AN106" s="24">
        <f>+AN107+AN110</f>
        <v>6148.8910000000005</v>
      </c>
      <c r="AO106" s="24">
        <f t="shared" ref="AO106:AP106" si="553">+AO107+AO110</f>
        <v>9324.2160000000003</v>
      </c>
      <c r="AP106" s="24">
        <f t="shared" si="553"/>
        <v>9029.5259999999998</v>
      </c>
      <c r="AQ106" s="24">
        <f t="shared" ref="AQ106" si="554">+AQ107+AQ110</f>
        <v>8935.6209999999992</v>
      </c>
      <c r="AR106" s="24">
        <f>+AR107+AR110</f>
        <v>6148.8910000000005</v>
      </c>
      <c r="AS106" s="24">
        <f t="shared" ref="AS106:AT106" si="555">+AS107+AS110</f>
        <v>9324.2160000000003</v>
      </c>
      <c r="AT106" s="24">
        <f t="shared" si="555"/>
        <v>9029.5259999999998</v>
      </c>
      <c r="AU106" s="24">
        <f t="shared" ref="AU106:AV106" si="556">+AU107+AU110</f>
        <v>8927.744999999999</v>
      </c>
      <c r="AV106" s="24">
        <f t="shared" si="556"/>
        <v>9029.5259999999998</v>
      </c>
      <c r="AW106" s="24">
        <f t="shared" ref="AW106" si="557">+AW107+AW110</f>
        <v>8927.744999999999</v>
      </c>
      <c r="AX106" s="24">
        <f>+AX107+AX110</f>
        <v>9632.1219999999994</v>
      </c>
      <c r="AY106" s="24">
        <f>+AY107+AY110</f>
        <v>9632.1219999999994</v>
      </c>
      <c r="AZ106" s="24">
        <f t="shared" ref="AZ106:BB106" si="558">+AZ107+AZ110</f>
        <v>6004.6830000000009</v>
      </c>
      <c r="BA106" s="24">
        <f>+BA107+BA110</f>
        <v>6004.6830000000009</v>
      </c>
      <c r="BB106" s="24">
        <f t="shared" si="558"/>
        <v>4879.0259999999998</v>
      </c>
      <c r="BC106" s="24">
        <f t="shared" ref="BC106:BD106" si="559">+BC107+BC110</f>
        <v>4879.0259999999998</v>
      </c>
      <c r="BD106" s="24">
        <f t="shared" si="559"/>
        <v>4752.4549999999999</v>
      </c>
      <c r="BE106" s="24">
        <f>+BE107+BE110</f>
        <v>5325.5280000000002</v>
      </c>
      <c r="BF106" s="24">
        <f t="shared" ref="BF106:BH106" si="560">+BF107+BF110</f>
        <v>5546.9989999999998</v>
      </c>
      <c r="BG106" s="24">
        <f t="shared" si="560"/>
        <v>6378.3279999999995</v>
      </c>
      <c r="BH106" s="24">
        <f t="shared" si="560"/>
        <v>6515.9130000000005</v>
      </c>
      <c r="BI106" s="24">
        <f>+BI107+BI110</f>
        <v>7199.509</v>
      </c>
      <c r="BJ106" s="24">
        <f t="shared" ref="BJ106:BL106" si="561">+BJ107+BJ110</f>
        <v>7551.366</v>
      </c>
      <c r="BK106" s="24">
        <f t="shared" si="561"/>
        <v>5173.3869999999997</v>
      </c>
      <c r="BL106" s="24">
        <f t="shared" si="561"/>
        <v>6981.1710000000003</v>
      </c>
      <c r="BM106" s="24">
        <f>+BM107+BM110</f>
        <v>5037.7159999999994</v>
      </c>
      <c r="BO106" s="24">
        <f t="shared" ref="BO106" si="562">+BO107+BO110</f>
        <v>4756.6559999999999</v>
      </c>
      <c r="BP106" s="24">
        <f t="shared" ref="BP106:BP115" si="563">BE106</f>
        <v>5325.5280000000002</v>
      </c>
      <c r="BQ106" s="24">
        <f t="shared" ref="BQ106:BQ115" si="564">BF106</f>
        <v>5546.9989999999998</v>
      </c>
      <c r="BR106" s="24">
        <f t="shared" ref="BR106:BR115" si="565">BG106</f>
        <v>6378.3279999999995</v>
      </c>
      <c r="BS106" s="24">
        <f t="shared" ref="BS106:BT106" si="566">+BS107+BS110</f>
        <v>6515.9129999999996</v>
      </c>
      <c r="BT106" s="24">
        <f t="shared" si="566"/>
        <v>7199.509</v>
      </c>
      <c r="BV106" s="40"/>
      <c r="BW106" s="40"/>
      <c r="BY106" s="40"/>
      <c r="BZ106" s="40"/>
      <c r="CB106" s="16"/>
      <c r="CC106" s="16"/>
    </row>
    <row r="107" spans="2:81" ht="13.5" customHeight="1">
      <c r="B107" s="10" t="s">
        <v>302</v>
      </c>
      <c r="C107" s="32">
        <f t="shared" ref="C107:D107" si="567">+C108+C109</f>
        <v>7124.4089999999997</v>
      </c>
      <c r="D107" s="32">
        <f t="shared" si="567"/>
        <v>4387.67</v>
      </c>
      <c r="E107" s="32">
        <f t="shared" ref="E107:J107" si="568">+E108+E109</f>
        <v>4474.4549999999999</v>
      </c>
      <c r="F107" s="32">
        <f t="shared" si="568"/>
        <v>7631.7529999999997</v>
      </c>
      <c r="G107" s="32">
        <f t="shared" si="568"/>
        <v>2971.5439999999999</v>
      </c>
      <c r="H107" s="32">
        <f t="shared" si="568"/>
        <v>4231.4160000000002</v>
      </c>
      <c r="I107" s="32">
        <f t="shared" ref="I107:K107" si="569">+I108+I109</f>
        <v>7096.0039999999999</v>
      </c>
      <c r="J107" s="32">
        <f t="shared" si="568"/>
        <v>4231.4160000000002</v>
      </c>
      <c r="K107" s="32">
        <f t="shared" si="569"/>
        <v>7088.1279999999997</v>
      </c>
      <c r="L107" s="32">
        <f t="shared" ref="L107:M107" si="570">+L108+L109</f>
        <v>7088.1279999999997</v>
      </c>
      <c r="M107" s="32">
        <f t="shared" si="570"/>
        <v>2665.96</v>
      </c>
      <c r="N107" s="32">
        <f t="shared" ref="N107" si="571">+N108+N109</f>
        <v>2670.1610000000001</v>
      </c>
      <c r="O107" s="32">
        <f t="shared" ref="O107:R107" si="572">+O108+O109</f>
        <v>4682.7430000000004</v>
      </c>
      <c r="P107" s="32">
        <f t="shared" ref="P107:Q107" si="573">+P108+P109</f>
        <v>4682.7429999999995</v>
      </c>
      <c r="Q107" s="32">
        <f t="shared" si="573"/>
        <v>6650.6450000000004</v>
      </c>
      <c r="R107" s="32">
        <f t="shared" si="572"/>
        <v>4712.4109999999991</v>
      </c>
      <c r="T107" s="32">
        <f t="shared" ref="T107" si="574">+T108+T109</f>
        <v>3506.8309999999997</v>
      </c>
      <c r="U107" s="32">
        <f t="shared" ref="U107" si="575">+U108+U109</f>
        <v>3261.2640000000001</v>
      </c>
      <c r="V107" s="32">
        <f t="shared" ref="V107" si="576">+V108+V109</f>
        <v>4966.5020000000004</v>
      </c>
      <c r="W107" s="32">
        <f t="shared" ref="W107" si="577">+W108+W109</f>
        <v>4474.4549999999999</v>
      </c>
      <c r="X107" s="32">
        <f t="shared" ref="X107:AA107" si="578">+X108+X109</f>
        <v>4480.2089999999998</v>
      </c>
      <c r="Y107" s="32">
        <f t="shared" si="578"/>
        <v>3729.9680000000003</v>
      </c>
      <c r="Z107" s="32">
        <f t="shared" si="578"/>
        <v>4069.8539999999998</v>
      </c>
      <c r="AA107" s="32">
        <f t="shared" si="578"/>
        <v>7631.7529999999997</v>
      </c>
      <c r="AB107" s="32">
        <f>+AB108+AB109</f>
        <v>9046.4030000000002</v>
      </c>
      <c r="AC107" s="32">
        <f t="shared" ref="AC107" si="579">+AC108+AC109</f>
        <v>7539.04</v>
      </c>
      <c r="AD107" s="32">
        <f t="shared" ref="AD107:AE107" si="580">+AD108+AD109</f>
        <v>5215.78</v>
      </c>
      <c r="AE107" s="32">
        <f t="shared" si="580"/>
        <v>2971.5439999999999</v>
      </c>
      <c r="AF107" s="32">
        <f>+AF108+AF109</f>
        <v>2835.7069999999999</v>
      </c>
      <c r="AG107" s="32">
        <f t="shared" ref="AG107:AI107" si="581">+AG108+AG109</f>
        <v>2568.645</v>
      </c>
      <c r="AH107" s="32">
        <f t="shared" si="581"/>
        <v>2945.7429999999999</v>
      </c>
      <c r="AI107" s="32">
        <f t="shared" si="581"/>
        <v>4231.4160000000002</v>
      </c>
      <c r="AJ107" s="223"/>
      <c r="AK107" s="223"/>
      <c r="AL107" s="223"/>
      <c r="AM107" s="32">
        <f t="shared" ref="AM107" si="582">+AM108+AM109</f>
        <v>4231.4160000000002</v>
      </c>
      <c r="AN107" s="32">
        <f>+AN108+AN109</f>
        <v>4266.9350000000004</v>
      </c>
      <c r="AO107" s="32">
        <f t="shared" ref="AO107:AP107" si="583">+AO108+AO109</f>
        <v>7310.0519999999997</v>
      </c>
      <c r="AP107" s="32">
        <f t="shared" si="583"/>
        <v>6890.6530000000002</v>
      </c>
      <c r="AQ107" s="32">
        <f t="shared" ref="AQ107" si="584">+AQ108+AQ109</f>
        <v>7096.0039999999999</v>
      </c>
      <c r="AR107" s="32">
        <f>+AR108+AR109</f>
        <v>4266.9350000000004</v>
      </c>
      <c r="AS107" s="32">
        <f t="shared" ref="AS107:AT107" si="585">+AS108+AS109</f>
        <v>7310.0519999999997</v>
      </c>
      <c r="AT107" s="32">
        <f t="shared" si="585"/>
        <v>6890.6530000000002</v>
      </c>
      <c r="AU107" s="32">
        <f t="shared" ref="AU107:AV107" si="586">+AU108+AU109</f>
        <v>7088.1279999999997</v>
      </c>
      <c r="AV107" s="32">
        <f t="shared" si="586"/>
        <v>6890.6530000000002</v>
      </c>
      <c r="AW107" s="32">
        <f t="shared" ref="AW107" si="587">+AW108+AW109</f>
        <v>7088.1279999999997</v>
      </c>
      <c r="AX107" s="32">
        <f>+AX108+AX109</f>
        <v>7273.4830000000002</v>
      </c>
      <c r="AY107" s="32">
        <f>+AY108+AY109</f>
        <v>7273.4830000000002</v>
      </c>
      <c r="AZ107" s="32">
        <f t="shared" ref="AZ107:BB107" si="588">+AZ108+AZ109</f>
        <v>3775.2070000000003</v>
      </c>
      <c r="BA107" s="32">
        <f>+BA108+BA109</f>
        <v>3775.2070000000003</v>
      </c>
      <c r="BB107" s="32">
        <f t="shared" si="588"/>
        <v>2735.732</v>
      </c>
      <c r="BC107" s="32">
        <f t="shared" ref="BC107:BD107" si="589">+BC108+BC109</f>
        <v>2735.732</v>
      </c>
      <c r="BD107" s="32">
        <f t="shared" si="589"/>
        <v>2665.96</v>
      </c>
      <c r="BE107" s="32">
        <f>+BE108+BE109</f>
        <v>3259.873</v>
      </c>
      <c r="BF107" s="32">
        <f t="shared" ref="BF107:BH107" si="590">+BF108+BF109</f>
        <v>3535.81</v>
      </c>
      <c r="BG107" s="32">
        <f t="shared" si="590"/>
        <v>4541.3620000000001</v>
      </c>
      <c r="BH107" s="32">
        <f t="shared" si="590"/>
        <v>4682.7430000000004</v>
      </c>
      <c r="BI107" s="32">
        <f>+BI108+BI109</f>
        <v>5077.2759999999998</v>
      </c>
      <c r="BJ107" s="32">
        <f t="shared" ref="BJ107:BL107" si="591">+BJ108+BJ109</f>
        <v>7223.9970000000003</v>
      </c>
      <c r="BK107" s="32">
        <f t="shared" si="591"/>
        <v>4847.375</v>
      </c>
      <c r="BL107" s="32">
        <f t="shared" si="591"/>
        <v>6650.6450000000004</v>
      </c>
      <c r="BM107" s="32">
        <f>+BM108+BM109</f>
        <v>4712.4109999999991</v>
      </c>
      <c r="BO107" s="32">
        <f t="shared" ref="BO107" si="592">+BO108+BO109</f>
        <v>2670.1610000000001</v>
      </c>
      <c r="BP107" s="32">
        <f t="shared" si="563"/>
        <v>3259.873</v>
      </c>
      <c r="BQ107" s="32">
        <f t="shared" si="564"/>
        <v>3535.81</v>
      </c>
      <c r="BR107" s="32">
        <f t="shared" si="565"/>
        <v>4541.3620000000001</v>
      </c>
      <c r="BS107" s="32">
        <f t="shared" ref="BS107" si="593">+BS108+BS109</f>
        <v>4682.7429999999995</v>
      </c>
      <c r="BT107" s="44">
        <f t="shared" ref="BT107:BT110" si="594">BI107</f>
        <v>5077.2759999999998</v>
      </c>
      <c r="BV107" s="40"/>
      <c r="BW107" s="40"/>
      <c r="BY107" s="40"/>
      <c r="BZ107" s="40"/>
      <c r="CB107" s="16"/>
      <c r="CC107" s="16"/>
    </row>
    <row r="108" spans="2:81" ht="13.5" customHeight="1">
      <c r="B108" s="48" t="s">
        <v>12</v>
      </c>
      <c r="C108" s="29">
        <v>333.78800000000001</v>
      </c>
      <c r="D108" s="29">
        <v>93.501999999999995</v>
      </c>
      <c r="E108" s="29">
        <v>912.25400000000002</v>
      </c>
      <c r="F108" s="29">
        <v>79.203999999999994</v>
      </c>
      <c r="G108" s="29">
        <v>278.39100000000002</v>
      </c>
      <c r="H108" s="29">
        <v>280.12400000000002</v>
      </c>
      <c r="I108" s="29">
        <v>361.94200000000001</v>
      </c>
      <c r="J108" s="29">
        <v>280.12299999999999</v>
      </c>
      <c r="K108" s="29">
        <v>361.94200000000001</v>
      </c>
      <c r="L108" s="29">
        <v>361.94200000000001</v>
      </c>
      <c r="M108" s="29">
        <v>189.863</v>
      </c>
      <c r="N108" s="29">
        <v>190.04900000000001</v>
      </c>
      <c r="O108" s="29">
        <v>115.036</v>
      </c>
      <c r="P108" s="29">
        <v>115.20399999999999</v>
      </c>
      <c r="Q108" s="29">
        <v>1752.3820000000001</v>
      </c>
      <c r="R108" s="32">
        <f t="shared" ref="R108:R110" si="595">BM108</f>
        <v>91.314999999999998</v>
      </c>
      <c r="T108" s="29">
        <v>99.418999999999997</v>
      </c>
      <c r="U108" s="29">
        <v>117.684</v>
      </c>
      <c r="V108" s="29">
        <v>667.13900000000001</v>
      </c>
      <c r="W108" s="44">
        <f>+E108</f>
        <v>912.25400000000002</v>
      </c>
      <c r="X108" s="29">
        <v>960.399</v>
      </c>
      <c r="Y108" s="29">
        <v>87.457999999999998</v>
      </c>
      <c r="Z108" s="29">
        <v>96.682000000000002</v>
      </c>
      <c r="AA108" s="44">
        <f>F108</f>
        <v>79.203999999999994</v>
      </c>
      <c r="AB108" s="29">
        <v>105.852</v>
      </c>
      <c r="AC108" s="29">
        <v>147.12200000000001</v>
      </c>
      <c r="AD108" s="29">
        <v>132.66900000000001</v>
      </c>
      <c r="AE108" s="44">
        <f>G108</f>
        <v>278.39100000000002</v>
      </c>
      <c r="AF108" s="29">
        <v>178.77199999999999</v>
      </c>
      <c r="AG108" s="29">
        <v>214.66200000000001</v>
      </c>
      <c r="AH108" s="29">
        <v>169.697</v>
      </c>
      <c r="AI108" s="44">
        <f>H108</f>
        <v>280.12400000000002</v>
      </c>
      <c r="AJ108" s="229"/>
      <c r="AK108" s="229"/>
      <c r="AL108" s="229"/>
      <c r="AM108" s="29">
        <f>J108</f>
        <v>280.12299999999999</v>
      </c>
      <c r="AN108" s="29">
        <v>280.57499999999999</v>
      </c>
      <c r="AO108" s="43">
        <v>388.73</v>
      </c>
      <c r="AP108" s="29">
        <v>411.25099999999998</v>
      </c>
      <c r="AQ108" s="43">
        <f>I108</f>
        <v>361.94200000000001</v>
      </c>
      <c r="AR108" s="29">
        <v>280.57499999999999</v>
      </c>
      <c r="AS108" s="43">
        <v>388.73</v>
      </c>
      <c r="AT108" s="29">
        <v>411.25099999999998</v>
      </c>
      <c r="AU108" s="44">
        <f>K108</f>
        <v>361.94200000000001</v>
      </c>
      <c r="AV108" s="29">
        <v>411.25099999999998</v>
      </c>
      <c r="AW108" s="44">
        <f>L108</f>
        <v>361.94200000000001</v>
      </c>
      <c r="AX108" s="29">
        <v>401.42399999999998</v>
      </c>
      <c r="AY108" s="29">
        <v>401.42399999999998</v>
      </c>
      <c r="AZ108" s="43">
        <v>314.10599999999999</v>
      </c>
      <c r="BA108" s="43">
        <v>314.10599999999999</v>
      </c>
      <c r="BB108" s="29">
        <v>179.12799999999999</v>
      </c>
      <c r="BC108" s="29">
        <v>179.12799999999999</v>
      </c>
      <c r="BD108" s="44">
        <f>M108</f>
        <v>189.863</v>
      </c>
      <c r="BE108" s="29">
        <v>181.09700000000001</v>
      </c>
      <c r="BF108" s="43">
        <v>139.786</v>
      </c>
      <c r="BG108" s="29">
        <v>131.18</v>
      </c>
      <c r="BH108" s="44">
        <f t="shared" ref="BH108:BH110" si="596">O108</f>
        <v>115.036</v>
      </c>
      <c r="BI108" s="29">
        <v>75.638999999999996</v>
      </c>
      <c r="BJ108" s="43">
        <v>2096.41</v>
      </c>
      <c r="BK108" s="29">
        <v>1724.973</v>
      </c>
      <c r="BL108" s="44">
        <f>Q108</f>
        <v>1752.3820000000001</v>
      </c>
      <c r="BM108" s="29">
        <v>91.314999999999998</v>
      </c>
      <c r="BO108" s="44">
        <f>N108</f>
        <v>190.04900000000001</v>
      </c>
      <c r="BP108" s="44">
        <f t="shared" si="563"/>
        <v>181.09700000000001</v>
      </c>
      <c r="BQ108" s="44">
        <f t="shared" si="564"/>
        <v>139.786</v>
      </c>
      <c r="BR108" s="44">
        <f t="shared" si="565"/>
        <v>131.18</v>
      </c>
      <c r="BS108" s="44">
        <f>P108</f>
        <v>115.20399999999999</v>
      </c>
      <c r="BT108" s="44">
        <f t="shared" si="594"/>
        <v>75.638999999999996</v>
      </c>
      <c r="BV108" s="40"/>
      <c r="BW108" s="40"/>
      <c r="BY108" s="40"/>
      <c r="BZ108" s="40"/>
      <c r="CB108" s="16"/>
      <c r="CC108" s="16"/>
    </row>
    <row r="109" spans="2:81" ht="13.5" customHeight="1">
      <c r="B109" s="48" t="s">
        <v>15</v>
      </c>
      <c r="C109" s="29">
        <v>6790.6210000000001</v>
      </c>
      <c r="D109" s="29">
        <v>4294.1679999999997</v>
      </c>
      <c r="E109" s="29">
        <v>3562.201</v>
      </c>
      <c r="F109" s="29">
        <v>7552.549</v>
      </c>
      <c r="G109" s="29">
        <v>2693.1529999999998</v>
      </c>
      <c r="H109" s="29">
        <v>3951.2919999999999</v>
      </c>
      <c r="I109" s="29">
        <v>6734.0619999999999</v>
      </c>
      <c r="J109" s="29">
        <v>3951.2930000000001</v>
      </c>
      <c r="K109" s="29">
        <v>6726.1859999999997</v>
      </c>
      <c r="L109" s="29">
        <v>6726.1859999999997</v>
      </c>
      <c r="M109" s="29">
        <v>2476.0970000000002</v>
      </c>
      <c r="N109" s="29">
        <v>2480.1120000000001</v>
      </c>
      <c r="O109" s="29">
        <v>4567.7070000000003</v>
      </c>
      <c r="P109" s="29">
        <v>4567.5389999999998</v>
      </c>
      <c r="Q109" s="29">
        <v>4898.2629999999999</v>
      </c>
      <c r="R109" s="32">
        <f t="shared" si="595"/>
        <v>4621.0959999999995</v>
      </c>
      <c r="T109" s="29">
        <v>3407.4119999999998</v>
      </c>
      <c r="U109" s="29">
        <v>3143.58</v>
      </c>
      <c r="V109" s="29">
        <v>4299.3630000000003</v>
      </c>
      <c r="W109" s="44">
        <f>+E109</f>
        <v>3562.201</v>
      </c>
      <c r="X109" s="29">
        <v>3519.81</v>
      </c>
      <c r="Y109" s="29">
        <v>3642.51</v>
      </c>
      <c r="Z109" s="29">
        <v>3973.172</v>
      </c>
      <c r="AA109" s="44">
        <f>F109</f>
        <v>7552.549</v>
      </c>
      <c r="AB109" s="29">
        <v>8940.5509999999995</v>
      </c>
      <c r="AC109" s="29">
        <v>7391.9179999999997</v>
      </c>
      <c r="AD109" s="29">
        <v>5083.1109999999999</v>
      </c>
      <c r="AE109" s="44">
        <f>G109</f>
        <v>2693.1529999999998</v>
      </c>
      <c r="AF109" s="29">
        <v>2656.9349999999999</v>
      </c>
      <c r="AG109" s="29">
        <v>2353.9830000000002</v>
      </c>
      <c r="AH109" s="29">
        <v>2776.0459999999998</v>
      </c>
      <c r="AI109" s="44">
        <f>H109</f>
        <v>3951.2919999999999</v>
      </c>
      <c r="AJ109" s="229"/>
      <c r="AK109" s="229"/>
      <c r="AL109" s="229"/>
      <c r="AM109" s="29">
        <f>J109</f>
        <v>3951.2930000000001</v>
      </c>
      <c r="AN109" s="29">
        <v>3986.36</v>
      </c>
      <c r="AO109" s="43">
        <v>6921.3220000000001</v>
      </c>
      <c r="AP109" s="29">
        <v>6479.402</v>
      </c>
      <c r="AQ109" s="43">
        <f>I109</f>
        <v>6734.0619999999999</v>
      </c>
      <c r="AR109" s="29">
        <v>3986.36</v>
      </c>
      <c r="AS109" s="43">
        <v>6921.3220000000001</v>
      </c>
      <c r="AT109" s="29">
        <v>6479.402</v>
      </c>
      <c r="AU109" s="44">
        <f>K109</f>
        <v>6726.1859999999997</v>
      </c>
      <c r="AV109" s="29">
        <v>6479.402</v>
      </c>
      <c r="AW109" s="44">
        <f>L109</f>
        <v>6726.1859999999997</v>
      </c>
      <c r="AX109" s="29">
        <v>6872.0590000000002</v>
      </c>
      <c r="AY109" s="29">
        <v>6872.0590000000002</v>
      </c>
      <c r="AZ109" s="43">
        <v>3461.1010000000001</v>
      </c>
      <c r="BA109" s="43">
        <v>3461.1010000000001</v>
      </c>
      <c r="BB109" s="29">
        <v>2556.6039999999998</v>
      </c>
      <c r="BC109" s="29">
        <v>2556.6039999999998</v>
      </c>
      <c r="BD109" s="44">
        <f>M109</f>
        <v>2476.0970000000002</v>
      </c>
      <c r="BE109" s="29">
        <v>3078.7759999999998</v>
      </c>
      <c r="BF109" s="43">
        <v>3396.0239999999999</v>
      </c>
      <c r="BG109" s="29">
        <v>4410.1819999999998</v>
      </c>
      <c r="BH109" s="44">
        <f t="shared" si="596"/>
        <v>4567.7070000000003</v>
      </c>
      <c r="BI109" s="29">
        <v>5001.6369999999997</v>
      </c>
      <c r="BJ109" s="43">
        <v>5127.5870000000004</v>
      </c>
      <c r="BK109" s="29">
        <v>3122.402</v>
      </c>
      <c r="BL109" s="44">
        <f t="shared" ref="BL109:BL110" si="597">Q109</f>
        <v>4898.2629999999999</v>
      </c>
      <c r="BM109" s="29">
        <v>4621.0959999999995</v>
      </c>
      <c r="BO109" s="44">
        <f>N109</f>
        <v>2480.1120000000001</v>
      </c>
      <c r="BP109" s="44">
        <f t="shared" si="563"/>
        <v>3078.7759999999998</v>
      </c>
      <c r="BQ109" s="44">
        <f t="shared" si="564"/>
        <v>3396.0239999999999</v>
      </c>
      <c r="BR109" s="44">
        <f t="shared" si="565"/>
        <v>4410.1819999999998</v>
      </c>
      <c r="BS109" s="44">
        <f>P109</f>
        <v>4567.5389999999998</v>
      </c>
      <c r="BT109" s="44">
        <f t="shared" si="594"/>
        <v>5001.6369999999997</v>
      </c>
      <c r="BV109" s="40"/>
      <c r="BW109" s="40"/>
      <c r="BY109" s="40"/>
      <c r="BZ109" s="40"/>
      <c r="CB109" s="16"/>
      <c r="CC109" s="16"/>
    </row>
    <row r="110" spans="2:81" ht="13.5" customHeight="1">
      <c r="B110" s="10" t="s">
        <v>303</v>
      </c>
      <c r="C110" s="29"/>
      <c r="D110" s="29"/>
      <c r="E110" s="29">
        <v>0</v>
      </c>
      <c r="F110" s="29">
        <v>1442.7</v>
      </c>
      <c r="G110" s="29">
        <v>1734.32</v>
      </c>
      <c r="H110" s="29">
        <v>1758.846</v>
      </c>
      <c r="I110" s="29">
        <v>1839.617</v>
      </c>
      <c r="J110" s="29">
        <v>1758.846</v>
      </c>
      <c r="K110" s="29">
        <v>1839.617</v>
      </c>
      <c r="L110" s="29">
        <v>1839.617</v>
      </c>
      <c r="M110" s="29">
        <v>2086.4949999999999</v>
      </c>
      <c r="N110" s="29">
        <v>2086.4949999999999</v>
      </c>
      <c r="O110" s="29">
        <v>1833.17</v>
      </c>
      <c r="P110" s="29">
        <v>1833.17</v>
      </c>
      <c r="Q110" s="29">
        <v>330.52600000000001</v>
      </c>
      <c r="R110" s="32">
        <f t="shared" si="595"/>
        <v>325.30500000000001</v>
      </c>
      <c r="T110" s="29">
        <v>0</v>
      </c>
      <c r="U110" s="29">
        <v>0</v>
      </c>
      <c r="V110" s="29">
        <v>0</v>
      </c>
      <c r="W110" s="44">
        <f>+E110</f>
        <v>0</v>
      </c>
      <c r="X110" s="29">
        <v>810.09400000000005</v>
      </c>
      <c r="Y110" s="29">
        <v>1328.527</v>
      </c>
      <c r="Z110" s="29">
        <v>1545.855</v>
      </c>
      <c r="AA110" s="44">
        <f>F110</f>
        <v>1442.7</v>
      </c>
      <c r="AB110" s="29">
        <v>1582.519</v>
      </c>
      <c r="AC110" s="29">
        <v>1596.2460000000001</v>
      </c>
      <c r="AD110" s="29">
        <v>1660.8520000000001</v>
      </c>
      <c r="AE110" s="44">
        <f>G110</f>
        <v>1734.32</v>
      </c>
      <c r="AF110" s="29">
        <v>1976.374</v>
      </c>
      <c r="AG110" s="29">
        <v>1790.875</v>
      </c>
      <c r="AH110" s="29">
        <v>1782.8030000000001</v>
      </c>
      <c r="AI110" s="44">
        <f>H110</f>
        <v>1758.846</v>
      </c>
      <c r="AJ110" s="229"/>
      <c r="AK110" s="229"/>
      <c r="AL110" s="229"/>
      <c r="AM110" s="29">
        <f>J110</f>
        <v>1758.846</v>
      </c>
      <c r="AN110" s="29">
        <v>1881.9559999999999</v>
      </c>
      <c r="AO110" s="43">
        <v>2014.164</v>
      </c>
      <c r="AP110" s="29">
        <v>2138.873</v>
      </c>
      <c r="AQ110" s="43">
        <f>I110</f>
        <v>1839.617</v>
      </c>
      <c r="AR110" s="29">
        <v>1881.9559999999999</v>
      </c>
      <c r="AS110" s="43">
        <v>2014.164</v>
      </c>
      <c r="AT110" s="29">
        <v>2138.873</v>
      </c>
      <c r="AU110" s="44">
        <f>K110</f>
        <v>1839.617</v>
      </c>
      <c r="AV110" s="29">
        <v>2138.873</v>
      </c>
      <c r="AW110" s="44">
        <f>L110</f>
        <v>1839.617</v>
      </c>
      <c r="AX110" s="29">
        <v>2358.6390000000001</v>
      </c>
      <c r="AY110" s="29">
        <v>2358.6390000000001</v>
      </c>
      <c r="AZ110" s="43">
        <v>2229.4760000000001</v>
      </c>
      <c r="BA110" s="43">
        <v>2229.4760000000001</v>
      </c>
      <c r="BB110" s="29">
        <v>2143.2939999999999</v>
      </c>
      <c r="BC110" s="29">
        <v>2143.2939999999999</v>
      </c>
      <c r="BD110" s="44">
        <f>M110</f>
        <v>2086.4949999999999</v>
      </c>
      <c r="BE110" s="29">
        <v>2065.6550000000002</v>
      </c>
      <c r="BF110" s="43">
        <v>2011.1890000000001</v>
      </c>
      <c r="BG110" s="29">
        <v>1836.9659999999999</v>
      </c>
      <c r="BH110" s="44">
        <f t="shared" si="596"/>
        <v>1833.17</v>
      </c>
      <c r="BI110" s="29">
        <v>2122.2330000000002</v>
      </c>
      <c r="BJ110" s="43">
        <v>327.36900000000003</v>
      </c>
      <c r="BK110" s="29">
        <v>326.012</v>
      </c>
      <c r="BL110" s="44">
        <f t="shared" si="597"/>
        <v>330.52600000000001</v>
      </c>
      <c r="BM110" s="29">
        <v>325.30500000000001</v>
      </c>
      <c r="BO110" s="44">
        <f>N110</f>
        <v>2086.4949999999999</v>
      </c>
      <c r="BP110" s="44">
        <f t="shared" si="563"/>
        <v>2065.6550000000002</v>
      </c>
      <c r="BQ110" s="44">
        <f t="shared" si="564"/>
        <v>2011.1890000000001</v>
      </c>
      <c r="BR110" s="44">
        <f t="shared" si="565"/>
        <v>1836.9659999999999</v>
      </c>
      <c r="BS110" s="44">
        <f>P110</f>
        <v>1833.17</v>
      </c>
      <c r="BT110" s="44">
        <f t="shared" si="594"/>
        <v>2122.2330000000002</v>
      </c>
      <c r="BV110" s="40"/>
      <c r="BW110" s="40"/>
      <c r="BY110" s="40"/>
      <c r="BZ110" s="40"/>
      <c r="CB110" s="16"/>
      <c r="CC110" s="16"/>
    </row>
    <row r="111" spans="2:81" s="6" customFormat="1" ht="13.5" customHeight="1">
      <c r="B111" s="6" t="s">
        <v>17</v>
      </c>
      <c r="C111" s="24">
        <f t="shared" ref="C111" si="598">+C112+C115</f>
        <v>15135.472</v>
      </c>
      <c r="D111" s="24">
        <f t="shared" ref="D111" si="599">+D112+D115</f>
        <v>14796.319</v>
      </c>
      <c r="E111" s="24">
        <f t="shared" ref="E111" si="600">+E112+E115</f>
        <v>14646.553</v>
      </c>
      <c r="F111" s="24">
        <f t="shared" ref="F111:H111" si="601">+F112+F115</f>
        <v>16592.107</v>
      </c>
      <c r="G111" s="24">
        <f t="shared" ref="G111" si="602">+G112+G115</f>
        <v>22668.171000000002</v>
      </c>
      <c r="H111" s="24">
        <f t="shared" si="601"/>
        <v>23231.227999999999</v>
      </c>
      <c r="I111" s="24">
        <f t="shared" ref="I111:K111" si="603">+I112+I115</f>
        <v>26942.445999999996</v>
      </c>
      <c r="J111" s="24">
        <f t="shared" ref="J111" si="604">+J112+J115</f>
        <v>23231.227999999999</v>
      </c>
      <c r="K111" s="24">
        <f t="shared" si="603"/>
        <v>26951.777999999998</v>
      </c>
      <c r="L111" s="24">
        <f t="shared" ref="L111:M111" si="605">+L112+L115</f>
        <v>26951.777999999998</v>
      </c>
      <c r="M111" s="24">
        <f t="shared" si="605"/>
        <v>32191.701999999997</v>
      </c>
      <c r="N111" s="24">
        <f t="shared" ref="N111" si="606">+N112+N115</f>
        <v>32187.5</v>
      </c>
      <c r="O111" s="24">
        <f t="shared" ref="O111:P111" si="607">+O112+O115</f>
        <v>27710.058999999997</v>
      </c>
      <c r="P111" s="24">
        <f t="shared" si="607"/>
        <v>27710.058999999997</v>
      </c>
      <c r="Q111" s="24">
        <f t="shared" ref="Q111" si="608">+Q112+Q115</f>
        <v>9873.3919999999998</v>
      </c>
      <c r="R111" s="24">
        <f t="shared" ref="R111" si="609">+R112+R115</f>
        <v>11856.666000000001</v>
      </c>
      <c r="S111"/>
      <c r="T111" s="24">
        <f t="shared" ref="T111:AA111" si="610">+T112+T115</f>
        <v>14647.986000000001</v>
      </c>
      <c r="U111" s="24">
        <f t="shared" si="610"/>
        <v>15411.108</v>
      </c>
      <c r="V111" s="24">
        <f t="shared" si="610"/>
        <v>14503.375</v>
      </c>
      <c r="W111" s="24">
        <f t="shared" si="610"/>
        <v>14646.553</v>
      </c>
      <c r="X111" s="24">
        <f t="shared" si="610"/>
        <v>21142.027999999998</v>
      </c>
      <c r="Y111" s="24">
        <f t="shared" si="610"/>
        <v>20551.156000000003</v>
      </c>
      <c r="Z111" s="24">
        <f t="shared" si="610"/>
        <v>20082.976000000002</v>
      </c>
      <c r="AA111" s="24">
        <f t="shared" si="610"/>
        <v>16592.107</v>
      </c>
      <c r="AB111" s="24">
        <f>+AB112+AB115</f>
        <v>15817.493999999999</v>
      </c>
      <c r="AC111" s="24">
        <f t="shared" ref="AC111" si="611">+AC112+AC115</f>
        <v>17702.650000000001</v>
      </c>
      <c r="AD111" s="24">
        <f t="shared" ref="AD111:AE111" si="612">+AD112+AD115</f>
        <v>23709.965</v>
      </c>
      <c r="AE111" s="24">
        <f t="shared" si="612"/>
        <v>22668.171000000002</v>
      </c>
      <c r="AF111" s="24">
        <f>+AF112+AF115</f>
        <v>22160.131000000001</v>
      </c>
      <c r="AG111" s="24">
        <f t="shared" ref="AG111:AI111" si="613">+AG112+AG115</f>
        <v>22962.629000000001</v>
      </c>
      <c r="AH111" s="24">
        <f t="shared" si="613"/>
        <v>22978.313000000002</v>
      </c>
      <c r="AI111" s="24">
        <f t="shared" si="613"/>
        <v>23231.227999999999</v>
      </c>
      <c r="AJ111" s="220"/>
      <c r="AK111" s="220"/>
      <c r="AL111" s="220"/>
      <c r="AM111" s="24">
        <f t="shared" ref="AM111" si="614">+AM112+AM115</f>
        <v>23231.227999999999</v>
      </c>
      <c r="AN111" s="24">
        <f>+AN112+AN115</f>
        <v>22693.521999999997</v>
      </c>
      <c r="AO111" s="24">
        <f t="shared" ref="AO111:AP111" si="615">+AO112+AO115</f>
        <v>26528.494000000002</v>
      </c>
      <c r="AP111" s="24">
        <f t="shared" si="615"/>
        <v>30156.837</v>
      </c>
      <c r="AQ111" s="24">
        <f t="shared" ref="AQ111" si="616">+AQ112+AQ115</f>
        <v>26942.445999999996</v>
      </c>
      <c r="AR111" s="24">
        <f>+AR112+AR115</f>
        <v>22693.521999999997</v>
      </c>
      <c r="AS111" s="24">
        <f t="shared" ref="AS111:AT111" si="617">+AS112+AS115</f>
        <v>26528.494000000002</v>
      </c>
      <c r="AT111" s="24">
        <f t="shared" si="617"/>
        <v>30156.837</v>
      </c>
      <c r="AU111" s="24">
        <f t="shared" ref="AU111:AV111" si="618">+AU112+AU115</f>
        <v>26951.777999999998</v>
      </c>
      <c r="AV111" s="24">
        <f t="shared" si="618"/>
        <v>30156.837</v>
      </c>
      <c r="AW111" s="24">
        <f t="shared" ref="AW111" si="619">+AW112+AW115</f>
        <v>26951.777999999998</v>
      </c>
      <c r="AX111" s="24">
        <f>+AX112+AX115</f>
        <v>27034.226999999999</v>
      </c>
      <c r="AY111" s="24">
        <f>+AY112+AY115</f>
        <v>27034.226999999999</v>
      </c>
      <c r="AZ111" s="24">
        <f t="shared" ref="AZ111:BB111" si="620">+AZ112+AZ115</f>
        <v>31760.413</v>
      </c>
      <c r="BA111" s="24">
        <f>+BA112+BA115</f>
        <v>31760.413</v>
      </c>
      <c r="BB111" s="24">
        <f t="shared" si="620"/>
        <v>31865.873000000003</v>
      </c>
      <c r="BC111" s="24">
        <f t="shared" ref="BC111:BD111" si="621">+BC112+BC115</f>
        <v>31865.873000000003</v>
      </c>
      <c r="BD111" s="24">
        <f t="shared" si="621"/>
        <v>32191.701999999997</v>
      </c>
      <c r="BE111" s="24">
        <f>+BE112+BE115</f>
        <v>32018.542999999998</v>
      </c>
      <c r="BF111" s="24">
        <f t="shared" ref="BF111:BH111" si="622">+BF112+BF115</f>
        <v>31691.787000000004</v>
      </c>
      <c r="BG111" s="24">
        <f t="shared" si="622"/>
        <v>26421.302</v>
      </c>
      <c r="BH111" s="24">
        <f t="shared" si="622"/>
        <v>27710.058999999997</v>
      </c>
      <c r="BI111" s="24">
        <f>+BI112+BI115</f>
        <v>25860.79</v>
      </c>
      <c r="BJ111" s="24">
        <f t="shared" ref="BJ111:BL111" si="623">+BJ112+BJ115</f>
        <v>11837.937</v>
      </c>
      <c r="BK111" s="24">
        <f t="shared" si="623"/>
        <v>12305.946</v>
      </c>
      <c r="BL111" s="24">
        <f t="shared" si="623"/>
        <v>9873.3919999999998</v>
      </c>
      <c r="BM111" s="24">
        <f>+BM112+BM115</f>
        <v>11856.666000000001</v>
      </c>
      <c r="BO111" s="24">
        <f t="shared" ref="BO111" si="624">+BO112+BO115</f>
        <v>32187.5</v>
      </c>
      <c r="BP111" s="24">
        <f t="shared" si="563"/>
        <v>32018.542999999998</v>
      </c>
      <c r="BQ111" s="24">
        <f t="shared" si="564"/>
        <v>31691.787000000004</v>
      </c>
      <c r="BR111" s="24">
        <f t="shared" si="565"/>
        <v>26421.302</v>
      </c>
      <c r="BS111" s="24">
        <f t="shared" ref="BS111" si="625">+BS112+BS115</f>
        <v>27710.058999999997</v>
      </c>
      <c r="BT111" s="24">
        <f>BI111</f>
        <v>25860.79</v>
      </c>
      <c r="BV111" s="40"/>
      <c r="BW111" s="40"/>
      <c r="BY111" s="40"/>
      <c r="BZ111" s="40"/>
      <c r="CB111" s="16"/>
      <c r="CC111" s="16"/>
    </row>
    <row r="112" spans="2:81" ht="13.5" customHeight="1">
      <c r="B112" s="10" t="s">
        <v>302</v>
      </c>
      <c r="C112" s="32">
        <f t="shared" ref="C112:D112" si="626">+C113+C114</f>
        <v>15135.472</v>
      </c>
      <c r="D112" s="32">
        <f t="shared" si="626"/>
        <v>14796.319</v>
      </c>
      <c r="E112" s="32">
        <f t="shared" ref="E112:J112" si="627">+E113+E114</f>
        <v>14646.553</v>
      </c>
      <c r="F112" s="32">
        <f t="shared" si="627"/>
        <v>9194.49</v>
      </c>
      <c r="G112" s="32">
        <f t="shared" si="627"/>
        <v>14773.895</v>
      </c>
      <c r="H112" s="32">
        <f t="shared" si="627"/>
        <v>14819.079</v>
      </c>
      <c r="I112" s="32">
        <f t="shared" ref="I112:K112" si="628">+I113+I114</f>
        <v>18338.171999999999</v>
      </c>
      <c r="J112" s="32">
        <f t="shared" si="627"/>
        <v>14819.079</v>
      </c>
      <c r="K112" s="32">
        <f t="shared" si="628"/>
        <v>18347.504000000001</v>
      </c>
      <c r="L112" s="32">
        <f t="shared" ref="L112:M112" si="629">+L113+L114</f>
        <v>18347.504000000001</v>
      </c>
      <c r="M112" s="32">
        <f t="shared" si="629"/>
        <v>22176.188999999998</v>
      </c>
      <c r="N112" s="32">
        <f t="shared" ref="N112" si="630">+N113+N114</f>
        <v>22171.987000000001</v>
      </c>
      <c r="O112" s="32">
        <f t="shared" ref="O112:P112" si="631">+O113+O114</f>
        <v>18508.241999999998</v>
      </c>
      <c r="P112" s="32">
        <f t="shared" si="631"/>
        <v>18508.241999999998</v>
      </c>
      <c r="Q112" s="32">
        <f t="shared" ref="Q112" si="632">+Q113+Q114</f>
        <v>8401.8130000000001</v>
      </c>
      <c r="R112" s="32">
        <f t="shared" ref="R112" si="633">+R113+R114</f>
        <v>10385.395</v>
      </c>
      <c r="T112" s="32">
        <f t="shared" ref="T112:Z112" si="634">+T113+T114</f>
        <v>14647.986000000001</v>
      </c>
      <c r="U112" s="32">
        <f t="shared" si="634"/>
        <v>15411.108</v>
      </c>
      <c r="V112" s="32">
        <f t="shared" si="634"/>
        <v>14503.375</v>
      </c>
      <c r="W112" s="32">
        <f t="shared" si="634"/>
        <v>14646.553</v>
      </c>
      <c r="X112" s="32">
        <f t="shared" si="634"/>
        <v>14721.24</v>
      </c>
      <c r="Y112" s="32">
        <f t="shared" si="634"/>
        <v>14019.891000000001</v>
      </c>
      <c r="Z112" s="32">
        <f t="shared" si="634"/>
        <v>13166.993</v>
      </c>
      <c r="AA112" s="32">
        <f t="shared" ref="AA112" si="635">+AA113+AA114</f>
        <v>9194.49</v>
      </c>
      <c r="AB112" s="32">
        <f>+AB113+AB114</f>
        <v>8867.607</v>
      </c>
      <c r="AC112" s="32">
        <f t="shared" ref="AC112" si="636">+AC113+AC114</f>
        <v>10227.559000000001</v>
      </c>
      <c r="AD112" s="32">
        <f t="shared" ref="AD112:AE112" si="637">+AD113+AD114</f>
        <v>16194.682999999999</v>
      </c>
      <c r="AE112" s="32">
        <f t="shared" si="637"/>
        <v>14773.895</v>
      </c>
      <c r="AF112" s="32">
        <f>+AF113+AF114</f>
        <v>14818.234</v>
      </c>
      <c r="AG112" s="32">
        <f t="shared" ref="AG112:AI112" si="638">+AG113+AG114</f>
        <v>15403.53</v>
      </c>
      <c r="AH112" s="32">
        <f t="shared" si="638"/>
        <v>14837.463</v>
      </c>
      <c r="AI112" s="32">
        <f t="shared" si="638"/>
        <v>14819.079</v>
      </c>
      <c r="AJ112" s="223"/>
      <c r="AK112" s="223"/>
      <c r="AL112" s="223"/>
      <c r="AM112" s="32">
        <f t="shared" ref="AM112" si="639">+AM113+AM114</f>
        <v>14819.079</v>
      </c>
      <c r="AN112" s="32">
        <f>+AN113+AN114</f>
        <v>14395.775</v>
      </c>
      <c r="AO112" s="32">
        <f t="shared" ref="AO112:AP112" si="640">+AO113+AO114</f>
        <v>17892.315000000002</v>
      </c>
      <c r="AP112" s="32">
        <f t="shared" si="640"/>
        <v>20954.289000000001</v>
      </c>
      <c r="AQ112" s="32">
        <f t="shared" ref="AQ112" si="641">+AQ113+AQ114</f>
        <v>18338.171999999999</v>
      </c>
      <c r="AR112" s="32">
        <f>+AR113+AR114</f>
        <v>14395.775</v>
      </c>
      <c r="AS112" s="32">
        <f t="shared" ref="AS112:AT112" si="642">+AS113+AS114</f>
        <v>17892.315000000002</v>
      </c>
      <c r="AT112" s="32">
        <f t="shared" si="642"/>
        <v>20954.289000000001</v>
      </c>
      <c r="AU112" s="32">
        <f t="shared" ref="AU112:AV112" si="643">+AU113+AU114</f>
        <v>18347.504000000001</v>
      </c>
      <c r="AV112" s="32">
        <f t="shared" si="643"/>
        <v>20954.289000000001</v>
      </c>
      <c r="AW112" s="32">
        <f t="shared" ref="AW112" si="644">+AW113+AW114</f>
        <v>18347.504000000001</v>
      </c>
      <c r="AX112" s="32">
        <f>+AX113+AX114</f>
        <v>18581.523999999998</v>
      </c>
      <c r="AY112" s="32">
        <f>+AY113+AY114</f>
        <v>18581.523999999998</v>
      </c>
      <c r="AZ112" s="32">
        <f t="shared" ref="AZ112:BB112" si="645">+AZ113+AZ114</f>
        <v>22266.36</v>
      </c>
      <c r="BA112" s="32">
        <f t="shared" si="645"/>
        <v>22266.36</v>
      </c>
      <c r="BB112" s="32">
        <f t="shared" si="645"/>
        <v>22083.800000000003</v>
      </c>
      <c r="BC112" s="32">
        <f t="shared" ref="BC112:BD112" si="646">+BC113+BC114</f>
        <v>22083.800000000003</v>
      </c>
      <c r="BD112" s="32">
        <f t="shared" si="646"/>
        <v>22176.188999999998</v>
      </c>
      <c r="BE112" s="32">
        <f>+BE113+BE114</f>
        <v>22269.453999999998</v>
      </c>
      <c r="BF112" s="32">
        <f t="shared" ref="BF112:BH112" si="647">+BF113+BF114</f>
        <v>22271.133000000002</v>
      </c>
      <c r="BG112" s="32">
        <f t="shared" si="647"/>
        <v>17676.662</v>
      </c>
      <c r="BH112" s="32">
        <f t="shared" si="647"/>
        <v>18508.241999999998</v>
      </c>
      <c r="BI112" s="32">
        <f>+BI113+BI114</f>
        <v>17769.478999999999</v>
      </c>
      <c r="BJ112" s="32">
        <f t="shared" ref="BJ112:BL112" si="648">+BJ113+BJ114</f>
        <v>10486.375</v>
      </c>
      <c r="BK112" s="32">
        <f t="shared" si="648"/>
        <v>10914.572</v>
      </c>
      <c r="BL112" s="32">
        <f t="shared" si="648"/>
        <v>8401.8130000000001</v>
      </c>
      <c r="BM112" s="32">
        <f>+BM113+BM114</f>
        <v>10385.395</v>
      </c>
      <c r="BO112" s="44">
        <f>N112</f>
        <v>22171.987000000001</v>
      </c>
      <c r="BP112" s="44">
        <f t="shared" si="563"/>
        <v>22269.453999999998</v>
      </c>
      <c r="BQ112" s="44">
        <f t="shared" si="564"/>
        <v>22271.133000000002</v>
      </c>
      <c r="BR112" s="44">
        <f t="shared" si="565"/>
        <v>17676.662</v>
      </c>
      <c r="BS112" s="44">
        <f>P112</f>
        <v>18508.241999999998</v>
      </c>
      <c r="BT112" s="44">
        <f t="shared" ref="BT112:BT115" si="649">BI112</f>
        <v>17769.478999999999</v>
      </c>
      <c r="BV112" s="40"/>
      <c r="BW112" s="40"/>
      <c r="BY112" s="40"/>
      <c r="BZ112" s="40"/>
      <c r="CB112" s="16"/>
      <c r="CC112" s="16"/>
    </row>
    <row r="113" spans="2:81" ht="13.5" customHeight="1">
      <c r="B113" s="48" t="s">
        <v>12</v>
      </c>
      <c r="C113" s="29">
        <v>880.20399999999995</v>
      </c>
      <c r="D113" s="29">
        <v>299.35599999999999</v>
      </c>
      <c r="E113" s="29">
        <v>55.622</v>
      </c>
      <c r="F113" s="29">
        <v>391.24</v>
      </c>
      <c r="G113" s="29">
        <v>1031.905</v>
      </c>
      <c r="H113" s="29">
        <v>1024.9169999999999</v>
      </c>
      <c r="I113" s="29">
        <v>2677.5479999999998</v>
      </c>
      <c r="J113" s="29">
        <v>1024.9169999999999</v>
      </c>
      <c r="K113" s="29">
        <v>2677.5479999999998</v>
      </c>
      <c r="L113" s="29">
        <v>2677.5479999999998</v>
      </c>
      <c r="M113" s="29">
        <v>4396.7290000000003</v>
      </c>
      <c r="N113" s="29">
        <v>4396.8580000000002</v>
      </c>
      <c r="O113" s="29">
        <v>4600.9030000000002</v>
      </c>
      <c r="P113" s="29">
        <v>4600.9030000000002</v>
      </c>
      <c r="Q113" s="29">
        <v>2021.4590000000001</v>
      </c>
      <c r="R113" s="32">
        <f t="shared" ref="R113:R115" si="650">BM113</f>
        <v>3653.2649999999999</v>
      </c>
      <c r="T113" s="29">
        <v>340.19</v>
      </c>
      <c r="U113" s="29">
        <v>326.20600000000002</v>
      </c>
      <c r="V113" s="29">
        <v>333.64299999999997</v>
      </c>
      <c r="W113" s="44">
        <f>+E113</f>
        <v>55.622</v>
      </c>
      <c r="X113" s="29">
        <v>1054.8900000000001</v>
      </c>
      <c r="Y113" s="29">
        <v>1137.941</v>
      </c>
      <c r="Z113" s="29">
        <v>1156.865</v>
      </c>
      <c r="AA113" s="44">
        <f>F113</f>
        <v>391.24</v>
      </c>
      <c r="AB113" s="29">
        <v>485.28100000000001</v>
      </c>
      <c r="AC113" s="29">
        <v>995.476</v>
      </c>
      <c r="AD113" s="29">
        <v>1102.723</v>
      </c>
      <c r="AE113" s="44">
        <f>G113</f>
        <v>1031.905</v>
      </c>
      <c r="AF113" s="29">
        <v>914.21</v>
      </c>
      <c r="AG113" s="29">
        <v>875.01099999999997</v>
      </c>
      <c r="AH113" s="29">
        <v>907.55100000000004</v>
      </c>
      <c r="AI113" s="44">
        <f>H113</f>
        <v>1024.9169999999999</v>
      </c>
      <c r="AJ113" s="229"/>
      <c r="AK113" s="229"/>
      <c r="AL113" s="229"/>
      <c r="AM113" s="29">
        <f>J113</f>
        <v>1024.9169999999999</v>
      </c>
      <c r="AN113" s="29">
        <v>1025.0440000000001</v>
      </c>
      <c r="AO113" s="43">
        <v>2244.25</v>
      </c>
      <c r="AP113" s="29">
        <v>2644.3180000000002</v>
      </c>
      <c r="AQ113" s="43">
        <f>I113</f>
        <v>2677.5479999999998</v>
      </c>
      <c r="AR113" s="29">
        <v>1025.0440000000001</v>
      </c>
      <c r="AS113" s="43">
        <v>2244.25</v>
      </c>
      <c r="AT113" s="29">
        <v>2644.3180000000002</v>
      </c>
      <c r="AU113" s="44">
        <f>K113</f>
        <v>2677.5479999999998</v>
      </c>
      <c r="AV113" s="29">
        <v>2644.3180000000002</v>
      </c>
      <c r="AW113" s="44">
        <f>L113</f>
        <v>2677.5479999999998</v>
      </c>
      <c r="AX113" s="29">
        <v>2706.9549999999999</v>
      </c>
      <c r="AY113" s="29">
        <v>2706.9549999999999</v>
      </c>
      <c r="AZ113" s="43">
        <v>4592.2539999999999</v>
      </c>
      <c r="BA113" s="43">
        <v>4592.2539999999999</v>
      </c>
      <c r="BB113" s="29">
        <v>4215.2250000000004</v>
      </c>
      <c r="BC113" s="29">
        <v>4215.2250000000004</v>
      </c>
      <c r="BD113" s="44">
        <f>M113</f>
        <v>4396.7290000000003</v>
      </c>
      <c r="BE113" s="29">
        <v>4518.1499999999996</v>
      </c>
      <c r="BF113" s="43">
        <v>4872.7430000000004</v>
      </c>
      <c r="BG113" s="29">
        <v>4338.393</v>
      </c>
      <c r="BH113" s="44">
        <f t="shared" ref="BH113:BH115" si="651">O113</f>
        <v>4600.9030000000002</v>
      </c>
      <c r="BI113" s="29">
        <v>4586.0309999999999</v>
      </c>
      <c r="BJ113" s="43">
        <v>2303.6889999999999</v>
      </c>
      <c r="BK113" s="29">
        <v>2238.6419999999998</v>
      </c>
      <c r="BL113" s="44">
        <f t="shared" ref="BL113:BL115" si="652">Q113</f>
        <v>2021.4590000000001</v>
      </c>
      <c r="BM113" s="29">
        <v>3653.2649999999999</v>
      </c>
      <c r="BO113" s="44">
        <f>N113</f>
        <v>4396.8580000000002</v>
      </c>
      <c r="BP113" s="44">
        <f t="shared" si="563"/>
        <v>4518.1499999999996</v>
      </c>
      <c r="BQ113" s="44">
        <f t="shared" si="564"/>
        <v>4872.7430000000004</v>
      </c>
      <c r="BR113" s="44">
        <f t="shared" si="565"/>
        <v>4338.393</v>
      </c>
      <c r="BS113" s="44">
        <f>P113</f>
        <v>4600.9030000000002</v>
      </c>
      <c r="BT113" s="44">
        <f t="shared" si="649"/>
        <v>4586.0309999999999</v>
      </c>
      <c r="BV113" s="40"/>
      <c r="BW113" s="40"/>
      <c r="BY113" s="40"/>
      <c r="BZ113" s="40"/>
      <c r="CB113" s="16"/>
      <c r="CC113" s="16"/>
    </row>
    <row r="114" spans="2:81" ht="13.5" customHeight="1">
      <c r="B114" s="48" t="s">
        <v>15</v>
      </c>
      <c r="C114" s="29">
        <v>14255.268</v>
      </c>
      <c r="D114" s="29">
        <v>14496.963</v>
      </c>
      <c r="E114" s="29">
        <v>14590.931</v>
      </c>
      <c r="F114" s="29">
        <v>8803.25</v>
      </c>
      <c r="G114" s="29">
        <v>13741.99</v>
      </c>
      <c r="H114" s="29">
        <v>13794.162</v>
      </c>
      <c r="I114" s="29">
        <v>15660.624</v>
      </c>
      <c r="J114" s="29">
        <v>13794.162</v>
      </c>
      <c r="K114" s="29">
        <v>15669.956</v>
      </c>
      <c r="L114" s="29">
        <v>15669.956</v>
      </c>
      <c r="M114" s="29">
        <v>17779.46</v>
      </c>
      <c r="N114" s="29">
        <v>17775.129000000001</v>
      </c>
      <c r="O114" s="29">
        <v>13907.339</v>
      </c>
      <c r="P114" s="29">
        <v>13907.339</v>
      </c>
      <c r="Q114" s="29">
        <v>6380.3540000000003</v>
      </c>
      <c r="R114" s="32">
        <f t="shared" si="650"/>
        <v>6732.13</v>
      </c>
      <c r="T114" s="29">
        <v>14307.796</v>
      </c>
      <c r="U114" s="29">
        <v>15084.902</v>
      </c>
      <c r="V114" s="29">
        <v>14169.732</v>
      </c>
      <c r="W114" s="44">
        <f>+E114</f>
        <v>14590.931</v>
      </c>
      <c r="X114" s="29">
        <v>13666.35</v>
      </c>
      <c r="Y114" s="29">
        <v>12881.95</v>
      </c>
      <c r="Z114" s="29">
        <v>12010.128000000001</v>
      </c>
      <c r="AA114" s="44">
        <f>F114</f>
        <v>8803.25</v>
      </c>
      <c r="AB114" s="29">
        <v>8382.3259999999991</v>
      </c>
      <c r="AC114" s="29">
        <v>9232.0830000000005</v>
      </c>
      <c r="AD114" s="29">
        <v>15091.96</v>
      </c>
      <c r="AE114" s="44">
        <f>G114</f>
        <v>13741.99</v>
      </c>
      <c r="AF114" s="29">
        <v>13904.023999999999</v>
      </c>
      <c r="AG114" s="29">
        <v>14528.519</v>
      </c>
      <c r="AH114" s="29">
        <v>13929.912</v>
      </c>
      <c r="AI114" s="44">
        <f>H114</f>
        <v>13794.162</v>
      </c>
      <c r="AJ114" s="229"/>
      <c r="AK114" s="229"/>
      <c r="AL114" s="229"/>
      <c r="AM114" s="29">
        <f>J114</f>
        <v>13794.162</v>
      </c>
      <c r="AN114" s="29">
        <v>13370.731</v>
      </c>
      <c r="AO114" s="43">
        <v>15648.065000000001</v>
      </c>
      <c r="AP114" s="29">
        <v>18309.971000000001</v>
      </c>
      <c r="AQ114" s="43">
        <f>I114</f>
        <v>15660.624</v>
      </c>
      <c r="AR114" s="29">
        <v>13370.731</v>
      </c>
      <c r="AS114" s="43">
        <v>15648.065000000001</v>
      </c>
      <c r="AT114" s="29">
        <v>18309.971000000001</v>
      </c>
      <c r="AU114" s="44">
        <f>K114</f>
        <v>15669.956</v>
      </c>
      <c r="AV114" s="29">
        <v>18309.971000000001</v>
      </c>
      <c r="AW114" s="44">
        <f>L114</f>
        <v>15669.956</v>
      </c>
      <c r="AX114" s="29">
        <v>15874.569</v>
      </c>
      <c r="AY114" s="29">
        <v>15874.569</v>
      </c>
      <c r="AZ114" s="43">
        <v>17674.106</v>
      </c>
      <c r="BA114" s="43">
        <v>17674.106</v>
      </c>
      <c r="BB114" s="29">
        <v>17868.575000000001</v>
      </c>
      <c r="BC114" s="29">
        <v>17868.575000000001</v>
      </c>
      <c r="BD114" s="44">
        <f>M114</f>
        <v>17779.46</v>
      </c>
      <c r="BE114" s="29">
        <v>17751.304</v>
      </c>
      <c r="BF114" s="43">
        <v>17398.39</v>
      </c>
      <c r="BG114" s="29">
        <v>13338.269</v>
      </c>
      <c r="BH114" s="44">
        <f t="shared" si="651"/>
        <v>13907.339</v>
      </c>
      <c r="BI114" s="29">
        <v>13183.448</v>
      </c>
      <c r="BJ114" s="43">
        <v>8182.6859999999997</v>
      </c>
      <c r="BK114" s="29">
        <v>8675.93</v>
      </c>
      <c r="BL114" s="44">
        <f t="shared" si="652"/>
        <v>6380.3540000000003</v>
      </c>
      <c r="BM114" s="29">
        <v>6732.13</v>
      </c>
      <c r="BO114" s="44">
        <f>N114</f>
        <v>17775.129000000001</v>
      </c>
      <c r="BP114" s="44">
        <f t="shared" si="563"/>
        <v>17751.304</v>
      </c>
      <c r="BQ114" s="44">
        <f t="shared" si="564"/>
        <v>17398.39</v>
      </c>
      <c r="BR114" s="44">
        <f t="shared" si="565"/>
        <v>13338.269</v>
      </c>
      <c r="BS114" s="44">
        <f>P114</f>
        <v>13907.339</v>
      </c>
      <c r="BT114" s="44">
        <f t="shared" si="649"/>
        <v>13183.448</v>
      </c>
      <c r="BV114" s="40"/>
      <c r="BW114" s="40"/>
      <c r="BY114" s="40"/>
      <c r="BZ114" s="40"/>
      <c r="CB114" s="16"/>
      <c r="CC114" s="16"/>
    </row>
    <row r="115" spans="2:81" ht="13.5" customHeight="1">
      <c r="B115" s="10" t="s">
        <v>303</v>
      </c>
      <c r="C115" s="29">
        <v>0</v>
      </c>
      <c r="D115" s="29">
        <v>0</v>
      </c>
      <c r="E115" s="29">
        <v>0</v>
      </c>
      <c r="F115" s="29">
        <v>7397.6170000000002</v>
      </c>
      <c r="G115" s="29">
        <v>7894.2759999999998</v>
      </c>
      <c r="H115" s="29">
        <v>8412.1489999999994</v>
      </c>
      <c r="I115" s="29">
        <v>8604.2739999999994</v>
      </c>
      <c r="J115" s="29">
        <v>8412.1489999999994</v>
      </c>
      <c r="K115" s="29">
        <v>8604.2739999999994</v>
      </c>
      <c r="L115" s="29">
        <v>8604.2739999999994</v>
      </c>
      <c r="M115" s="29">
        <v>10015.513000000001</v>
      </c>
      <c r="N115" s="29">
        <v>10015.513000000001</v>
      </c>
      <c r="O115" s="29">
        <v>9201.8169999999991</v>
      </c>
      <c r="P115" s="29">
        <v>9201.8169999999991</v>
      </c>
      <c r="Q115" s="29">
        <v>1471.579</v>
      </c>
      <c r="R115" s="32">
        <f t="shared" si="650"/>
        <v>1471.271</v>
      </c>
      <c r="T115" s="29">
        <v>0</v>
      </c>
      <c r="U115" s="29">
        <v>0</v>
      </c>
      <c r="V115" s="29">
        <v>0</v>
      </c>
      <c r="W115" s="44">
        <f>+E115</f>
        <v>0</v>
      </c>
      <c r="X115" s="29">
        <v>6420.7879999999996</v>
      </c>
      <c r="Y115" s="29">
        <v>6531.2650000000003</v>
      </c>
      <c r="Z115" s="29">
        <v>6915.9830000000002</v>
      </c>
      <c r="AA115" s="44">
        <f>F115</f>
        <v>7397.6170000000002</v>
      </c>
      <c r="AB115" s="29">
        <v>6949.8869999999997</v>
      </c>
      <c r="AC115" s="29">
        <v>7475.0910000000003</v>
      </c>
      <c r="AD115" s="29">
        <v>7515.2820000000002</v>
      </c>
      <c r="AE115" s="44">
        <f>G115</f>
        <v>7894.2759999999998</v>
      </c>
      <c r="AF115" s="29">
        <v>7341.8969999999999</v>
      </c>
      <c r="AG115" s="29">
        <v>7559.0990000000002</v>
      </c>
      <c r="AH115" s="29">
        <v>8140.85</v>
      </c>
      <c r="AI115" s="44">
        <f>H115</f>
        <v>8412.1489999999994</v>
      </c>
      <c r="AJ115" s="229"/>
      <c r="AK115" s="229"/>
      <c r="AL115" s="229"/>
      <c r="AM115" s="29">
        <f>J115</f>
        <v>8412.1489999999994</v>
      </c>
      <c r="AN115" s="29">
        <v>8297.7469999999994</v>
      </c>
      <c r="AO115" s="43">
        <v>8636.1790000000001</v>
      </c>
      <c r="AP115" s="29">
        <v>9202.5480000000007</v>
      </c>
      <c r="AQ115" s="43">
        <f>I115</f>
        <v>8604.2739999999994</v>
      </c>
      <c r="AR115" s="29">
        <v>8297.7469999999994</v>
      </c>
      <c r="AS115" s="43">
        <v>8636.1790000000001</v>
      </c>
      <c r="AT115" s="29">
        <v>9202.5480000000007</v>
      </c>
      <c r="AU115" s="44">
        <f>K115</f>
        <v>8604.2739999999994</v>
      </c>
      <c r="AV115" s="29">
        <v>9202.5480000000007</v>
      </c>
      <c r="AW115" s="44">
        <f>L115</f>
        <v>8604.2739999999994</v>
      </c>
      <c r="AX115" s="29">
        <v>8452.7029999999995</v>
      </c>
      <c r="AY115" s="29">
        <v>8452.7029999999995</v>
      </c>
      <c r="AZ115" s="43">
        <v>9494.0529999999999</v>
      </c>
      <c r="BA115" s="43">
        <v>9494.0529999999999</v>
      </c>
      <c r="BB115" s="29">
        <v>9782.0730000000003</v>
      </c>
      <c r="BC115" s="29">
        <v>9782.0730000000003</v>
      </c>
      <c r="BD115" s="44">
        <f>M115</f>
        <v>10015.513000000001</v>
      </c>
      <c r="BE115" s="29">
        <v>9749.0889999999999</v>
      </c>
      <c r="BF115" s="43">
        <v>9420.6540000000005</v>
      </c>
      <c r="BG115" s="29">
        <v>8744.64</v>
      </c>
      <c r="BH115" s="44">
        <f t="shared" si="651"/>
        <v>9201.8169999999991</v>
      </c>
      <c r="BI115" s="29">
        <v>8091.3109999999997</v>
      </c>
      <c r="BJ115" s="43">
        <v>1351.5619999999999</v>
      </c>
      <c r="BK115" s="29">
        <v>1391.374</v>
      </c>
      <c r="BL115" s="44">
        <f t="shared" si="652"/>
        <v>1471.579</v>
      </c>
      <c r="BM115" s="29">
        <v>1471.271</v>
      </c>
      <c r="BO115" s="44">
        <f>N115</f>
        <v>10015.513000000001</v>
      </c>
      <c r="BP115" s="44">
        <f t="shared" si="563"/>
        <v>9749.0889999999999</v>
      </c>
      <c r="BQ115" s="44">
        <f t="shared" si="564"/>
        <v>9420.6540000000005</v>
      </c>
      <c r="BR115" s="44">
        <f t="shared" si="565"/>
        <v>8744.64</v>
      </c>
      <c r="BS115" s="44">
        <f>P115</f>
        <v>9201.8169999999991</v>
      </c>
      <c r="BT115" s="44">
        <f t="shared" si="649"/>
        <v>8091.3109999999997</v>
      </c>
      <c r="BV115" s="40"/>
      <c r="BW115" s="40"/>
      <c r="BY115" s="40"/>
      <c r="BZ115" s="40"/>
      <c r="CB115" s="16"/>
      <c r="CC115" s="16"/>
    </row>
    <row r="116" spans="2:81" ht="13.5" customHeight="1">
      <c r="B116" s="6" t="s">
        <v>304</v>
      </c>
      <c r="C116" s="24">
        <f t="shared" ref="C116:AC116" si="653">+C106+C111</f>
        <v>22259.881000000001</v>
      </c>
      <c r="D116" s="24">
        <f t="shared" si="653"/>
        <v>19183.989000000001</v>
      </c>
      <c r="E116" s="24">
        <f t="shared" si="653"/>
        <v>19121.008000000002</v>
      </c>
      <c r="F116" s="24">
        <f t="shared" ref="F116:K116" si="654">+F106+F111</f>
        <v>25666.559999999998</v>
      </c>
      <c r="G116" s="24">
        <f t="shared" si="654"/>
        <v>27374.035000000003</v>
      </c>
      <c r="H116" s="24">
        <f t="shared" si="654"/>
        <v>29221.489999999998</v>
      </c>
      <c r="I116" s="24">
        <f t="shared" si="654"/>
        <v>35878.066999999995</v>
      </c>
      <c r="J116" s="24">
        <f t="shared" si="654"/>
        <v>29221.489999999998</v>
      </c>
      <c r="K116" s="24">
        <f t="shared" si="654"/>
        <v>35879.523000000001</v>
      </c>
      <c r="L116" s="24">
        <f t="shared" ref="L116:M116" si="655">+L106+L111</f>
        <v>35879.523000000001</v>
      </c>
      <c r="M116" s="24">
        <f t="shared" si="655"/>
        <v>36944.156999999999</v>
      </c>
      <c r="N116" s="24">
        <f t="shared" ref="N116" si="656">+N106+N111</f>
        <v>36944.156000000003</v>
      </c>
      <c r="O116" s="24">
        <f t="shared" ref="O116:P116" si="657">+O106+O111</f>
        <v>34225.971999999994</v>
      </c>
      <c r="P116" s="24">
        <f t="shared" si="657"/>
        <v>34225.971999999994</v>
      </c>
      <c r="Q116" s="24">
        <f t="shared" ref="Q116" si="658">+Q106+Q111</f>
        <v>16854.563000000002</v>
      </c>
      <c r="R116" s="24">
        <f t="shared" ref="R116" si="659">+R106+R111</f>
        <v>16894.382000000001</v>
      </c>
      <c r="T116" s="24">
        <f t="shared" ref="T116:Z116" si="660">+T106+T111</f>
        <v>18154.816999999999</v>
      </c>
      <c r="U116" s="24">
        <f t="shared" si="660"/>
        <v>18672.371999999999</v>
      </c>
      <c r="V116" s="24">
        <f t="shared" si="660"/>
        <v>19469.877</v>
      </c>
      <c r="W116" s="24">
        <f t="shared" si="660"/>
        <v>19121.008000000002</v>
      </c>
      <c r="X116" s="24">
        <f t="shared" si="660"/>
        <v>26432.330999999998</v>
      </c>
      <c r="Y116" s="24">
        <f t="shared" si="660"/>
        <v>25609.651000000005</v>
      </c>
      <c r="Z116" s="24">
        <f t="shared" si="660"/>
        <v>25698.685000000001</v>
      </c>
      <c r="AA116" s="24">
        <f t="shared" si="653"/>
        <v>25666.559999999998</v>
      </c>
      <c r="AB116" s="24">
        <f t="shared" si="653"/>
        <v>26446.415999999997</v>
      </c>
      <c r="AC116" s="24">
        <f t="shared" si="653"/>
        <v>26837.936000000002</v>
      </c>
      <c r="AD116" s="24">
        <f t="shared" ref="AD116:AG116" si="661">+AD106+AD111</f>
        <v>30586.597000000002</v>
      </c>
      <c r="AE116" s="24">
        <f t="shared" si="661"/>
        <v>27374.035000000003</v>
      </c>
      <c r="AF116" s="24">
        <f t="shared" si="661"/>
        <v>26972.212</v>
      </c>
      <c r="AG116" s="24">
        <f t="shared" si="661"/>
        <v>27322.149000000001</v>
      </c>
      <c r="AH116" s="24">
        <f t="shared" ref="AH116:AS116" si="662">+AH106+AH111</f>
        <v>27706.859000000004</v>
      </c>
      <c r="AI116" s="24">
        <f t="shared" si="662"/>
        <v>29221.489999999998</v>
      </c>
      <c r="AJ116" s="220"/>
      <c r="AK116" s="220"/>
      <c r="AL116" s="220"/>
      <c r="AM116" s="24">
        <f t="shared" ref="AM116:AP116" si="663">+AM106+AM111</f>
        <v>29221.489999999998</v>
      </c>
      <c r="AN116" s="24">
        <f t="shared" si="663"/>
        <v>28842.412999999997</v>
      </c>
      <c r="AO116" s="24">
        <f t="shared" si="663"/>
        <v>35852.710000000006</v>
      </c>
      <c r="AP116" s="24">
        <f t="shared" si="663"/>
        <v>39186.362999999998</v>
      </c>
      <c r="AQ116" s="24">
        <f t="shared" ref="AQ116" si="664">+AQ106+AQ111</f>
        <v>35878.066999999995</v>
      </c>
      <c r="AR116" s="24">
        <f t="shared" si="662"/>
        <v>28842.412999999997</v>
      </c>
      <c r="AS116" s="24">
        <f t="shared" si="662"/>
        <v>35852.710000000006</v>
      </c>
      <c r="AT116" s="24">
        <f t="shared" ref="AT116:BA116" si="665">+AT106+AT111</f>
        <v>39186.362999999998</v>
      </c>
      <c r="AU116" s="24">
        <f t="shared" si="665"/>
        <v>35879.523000000001</v>
      </c>
      <c r="AV116" s="24">
        <f t="shared" ref="AV116:AW116" si="666">+AV106+AV111</f>
        <v>39186.362999999998</v>
      </c>
      <c r="AW116" s="24">
        <f t="shared" si="666"/>
        <v>35879.523000000001</v>
      </c>
      <c r="AX116" s="24">
        <f t="shared" si="665"/>
        <v>36666.349000000002</v>
      </c>
      <c r="AY116" s="24">
        <f t="shared" ref="AY116" si="667">+AY106+AY111</f>
        <v>36666.349000000002</v>
      </c>
      <c r="AZ116" s="24">
        <f t="shared" si="665"/>
        <v>37765.096000000005</v>
      </c>
      <c r="BA116" s="24">
        <f t="shared" si="665"/>
        <v>37765.096000000005</v>
      </c>
      <c r="BB116" s="24">
        <f t="shared" ref="BB116:BF116" si="668">+BB106+BB111</f>
        <v>36744.899000000005</v>
      </c>
      <c r="BC116" s="24">
        <f t="shared" si="668"/>
        <v>36744.899000000005</v>
      </c>
      <c r="BD116" s="24">
        <f t="shared" si="668"/>
        <v>36944.156999999999</v>
      </c>
      <c r="BE116" s="24">
        <f t="shared" si="668"/>
        <v>37344.070999999996</v>
      </c>
      <c r="BF116" s="24">
        <f t="shared" si="668"/>
        <v>37238.786000000007</v>
      </c>
      <c r="BG116" s="24">
        <f t="shared" ref="BG116:BJ116" si="669">+BG106+BG111</f>
        <v>32799.629999999997</v>
      </c>
      <c r="BH116" s="24">
        <f t="shared" si="669"/>
        <v>34225.971999999994</v>
      </c>
      <c r="BI116" s="24">
        <f t="shared" si="669"/>
        <v>33060.298999999999</v>
      </c>
      <c r="BJ116" s="24">
        <f t="shared" si="669"/>
        <v>19389.303</v>
      </c>
      <c r="BK116" s="24">
        <f t="shared" ref="BK116:BM116" si="670">+BK106+BK111</f>
        <v>17479.332999999999</v>
      </c>
      <c r="BL116" s="24">
        <f t="shared" si="670"/>
        <v>16854.563000000002</v>
      </c>
      <c r="BM116" s="24">
        <f t="shared" si="670"/>
        <v>16894.382000000001</v>
      </c>
      <c r="BO116" s="24">
        <f t="shared" ref="BO116:BR116" si="671">+BO106+BO111</f>
        <v>36944.156000000003</v>
      </c>
      <c r="BP116" s="24">
        <f t="shared" si="671"/>
        <v>37344.070999999996</v>
      </c>
      <c r="BQ116" s="24">
        <f t="shared" si="671"/>
        <v>37238.786000000007</v>
      </c>
      <c r="BR116" s="24">
        <f t="shared" si="671"/>
        <v>32799.629999999997</v>
      </c>
      <c r="BS116" s="24">
        <f t="shared" ref="BS116:BT116" si="672">+BS106+BS111</f>
        <v>34225.971999999994</v>
      </c>
      <c r="BT116" s="24">
        <f t="shared" si="672"/>
        <v>33060.298999999999</v>
      </c>
      <c r="BV116" s="40"/>
      <c r="BW116" s="40"/>
      <c r="BY116" s="40"/>
      <c r="BZ116" s="40"/>
      <c r="CB116" s="16"/>
      <c r="CC116" s="16"/>
    </row>
    <row r="117" spans="2:81" ht="13.5" customHeight="1">
      <c r="B117" s="6"/>
      <c r="C117" s="24"/>
      <c r="D117" s="24"/>
      <c r="E117" s="24"/>
      <c r="F117" s="24"/>
      <c r="G117" s="24"/>
      <c r="H117" s="24"/>
      <c r="I117" s="24"/>
      <c r="K117" s="24"/>
      <c r="L117" s="24"/>
      <c r="M117" s="24"/>
      <c r="N117" s="24"/>
      <c r="O117" s="24"/>
      <c r="P117" s="24"/>
      <c r="Q117" s="24"/>
      <c r="R117" s="24"/>
      <c r="T117" s="24"/>
      <c r="U117" s="24"/>
      <c r="V117" s="24"/>
      <c r="W117" s="24"/>
      <c r="X117" s="24"/>
      <c r="Y117" s="24"/>
      <c r="Z117" s="24"/>
      <c r="AA117" s="24"/>
      <c r="AB117" s="24"/>
      <c r="AC117" s="24"/>
      <c r="AD117" s="24"/>
      <c r="AE117" s="24"/>
      <c r="AF117" s="24"/>
      <c r="AG117" s="24"/>
      <c r="AH117" s="24"/>
      <c r="AI117" s="24"/>
      <c r="AJ117" s="220"/>
      <c r="AK117" s="220"/>
      <c r="AL117" s="220"/>
      <c r="AM117" s="24"/>
      <c r="AN117" s="24"/>
      <c r="AO117" s="24"/>
      <c r="AP117" s="24"/>
      <c r="AQ117" s="24"/>
      <c r="AR117" s="24"/>
      <c r="AS117" s="24"/>
      <c r="AT117" s="24"/>
      <c r="AU117" s="24"/>
      <c r="AV117" s="24"/>
      <c r="AW117" s="24"/>
      <c r="AX117" s="24"/>
      <c r="AY117" s="24"/>
      <c r="AZ117" s="24"/>
      <c r="BA117" s="43"/>
      <c r="BB117" s="24"/>
      <c r="BC117" s="24"/>
      <c r="BD117" s="24"/>
      <c r="BE117" s="24"/>
      <c r="BF117" s="24"/>
      <c r="BG117" s="24"/>
      <c r="BH117" s="24"/>
      <c r="BI117" s="24"/>
      <c r="BJ117" s="24"/>
      <c r="BK117" s="24"/>
      <c r="BL117" s="24"/>
      <c r="BM117" s="24"/>
      <c r="BO117" s="24"/>
      <c r="BP117" s="24"/>
      <c r="BQ117" s="24"/>
      <c r="BR117" s="24"/>
      <c r="BS117" s="24"/>
      <c r="BT117" s="24"/>
      <c r="BV117" s="40"/>
      <c r="BW117" s="40"/>
      <c r="BY117" s="40"/>
      <c r="BZ117" s="40"/>
      <c r="CB117" s="16"/>
      <c r="CC117" s="16"/>
    </row>
    <row r="118" spans="2:81" ht="13.5" customHeight="1">
      <c r="B118" s="48" t="s">
        <v>305</v>
      </c>
      <c r="C118" s="29">
        <v>4649.4219999999996</v>
      </c>
      <c r="D118" s="29">
        <v>6471.6580000000004</v>
      </c>
      <c r="E118" s="29">
        <v>3787.748</v>
      </c>
      <c r="F118" s="29">
        <v>3015.105</v>
      </c>
      <c r="G118" s="29">
        <v>6722.1620000000003</v>
      </c>
      <c r="H118" s="29">
        <v>6362.6750000000002</v>
      </c>
      <c r="I118" s="29">
        <v>6337.4350000000004</v>
      </c>
      <c r="J118" s="29">
        <v>6312.33</v>
      </c>
      <c r="K118" s="29">
        <v>6337.4350000000004</v>
      </c>
      <c r="L118" s="29">
        <v>6327.1940000000004</v>
      </c>
      <c r="M118" s="29">
        <v>3445.7150000000001</v>
      </c>
      <c r="N118" s="29">
        <v>3388.5790000000002</v>
      </c>
      <c r="O118" s="29">
        <v>3541.6689999999999</v>
      </c>
      <c r="P118" s="29">
        <v>3541.6689999999999</v>
      </c>
      <c r="Q118" s="29">
        <v>2573.4299999999998</v>
      </c>
      <c r="R118" s="32">
        <f t="shared" ref="R118:R122" si="673">BM118</f>
        <v>3623.942</v>
      </c>
      <c r="T118" s="29">
        <v>5378.9549999999999</v>
      </c>
      <c r="U118" s="29">
        <v>5890.875</v>
      </c>
      <c r="V118" s="29">
        <v>5851.3549999999996</v>
      </c>
      <c r="W118" s="44">
        <f>+E118</f>
        <v>3787.748</v>
      </c>
      <c r="X118" s="29">
        <v>5539.5950000000003</v>
      </c>
      <c r="Y118" s="29">
        <v>3944.5590000000002</v>
      </c>
      <c r="Z118" s="29">
        <v>3610.1610000000001</v>
      </c>
      <c r="AA118" s="44">
        <f>F118</f>
        <v>3015.105</v>
      </c>
      <c r="AB118" s="29">
        <v>5005.1440000000002</v>
      </c>
      <c r="AC118" s="29">
        <v>5008.7079999999996</v>
      </c>
      <c r="AD118" s="29">
        <v>10011.73</v>
      </c>
      <c r="AE118" s="44">
        <f>G118</f>
        <v>6722.1620000000003</v>
      </c>
      <c r="AF118" s="29">
        <v>5622.5659999999998</v>
      </c>
      <c r="AG118" s="29">
        <v>5958.4709999999995</v>
      </c>
      <c r="AH118" s="29">
        <v>6674.2250000000004</v>
      </c>
      <c r="AI118" s="44">
        <f>H118</f>
        <v>6362.6750000000002</v>
      </c>
      <c r="AJ118" s="229"/>
      <c r="AK118" s="229"/>
      <c r="AL118" s="229"/>
      <c r="AM118" s="29">
        <f>J118</f>
        <v>6312.33</v>
      </c>
      <c r="AN118" s="29">
        <v>5251.0770000000002</v>
      </c>
      <c r="AO118" s="43">
        <v>6047.3540000000003</v>
      </c>
      <c r="AP118" s="29">
        <v>7082.7619999999997</v>
      </c>
      <c r="AQ118" s="43">
        <f>I118</f>
        <v>6337.4350000000004</v>
      </c>
      <c r="AR118" s="29">
        <v>5251.0770000000002</v>
      </c>
      <c r="AS118" s="43">
        <v>6047.3540000000003</v>
      </c>
      <c r="AT118" s="29">
        <v>7082.7619999999997</v>
      </c>
      <c r="AU118" s="44">
        <f>K118</f>
        <v>6337.4350000000004</v>
      </c>
      <c r="AV118" s="29">
        <v>7082.7619999999997</v>
      </c>
      <c r="AW118" s="44">
        <f>L118</f>
        <v>6327.1940000000004</v>
      </c>
      <c r="AX118" s="29">
        <v>4557.34</v>
      </c>
      <c r="AY118" s="29">
        <v>4557.34</v>
      </c>
      <c r="AZ118" s="43">
        <v>5172.0330000000004</v>
      </c>
      <c r="BA118" s="43">
        <v>5172.0330000000004</v>
      </c>
      <c r="BB118" s="29">
        <v>4670.4369999999999</v>
      </c>
      <c r="BC118" s="29">
        <v>4670.4369999999999</v>
      </c>
      <c r="BD118" s="44">
        <f>M118</f>
        <v>3445.7150000000001</v>
      </c>
      <c r="BE118" s="29">
        <v>3292.2890000000002</v>
      </c>
      <c r="BF118" s="43">
        <v>4038.1559999999999</v>
      </c>
      <c r="BG118" s="29">
        <v>3367.78</v>
      </c>
      <c r="BH118" s="44">
        <f t="shared" ref="BH118:BH122" si="674">O118</f>
        <v>3541.6689999999999</v>
      </c>
      <c r="BI118" s="29">
        <v>3645.78</v>
      </c>
      <c r="BJ118" s="43">
        <v>3611.9189999999999</v>
      </c>
      <c r="BK118" s="29">
        <v>2411.2759999999998</v>
      </c>
      <c r="BL118" s="44">
        <f t="shared" ref="BL118:BL122" si="675">Q118</f>
        <v>2573.4299999999998</v>
      </c>
      <c r="BM118" s="29">
        <v>3623.942</v>
      </c>
      <c r="BO118" s="44">
        <f>N118</f>
        <v>3388.5790000000002</v>
      </c>
      <c r="BP118" s="44">
        <f t="shared" ref="BP118:BR122" si="676">BE118</f>
        <v>3292.2890000000002</v>
      </c>
      <c r="BQ118" s="44">
        <f t="shared" si="676"/>
        <v>4038.1559999999999</v>
      </c>
      <c r="BR118" s="44">
        <f t="shared" si="676"/>
        <v>3367.78</v>
      </c>
      <c r="BS118" s="44">
        <f>P118</f>
        <v>3541.6689999999999</v>
      </c>
      <c r="BT118" s="44">
        <f t="shared" ref="BT118" si="677">BI118</f>
        <v>3645.78</v>
      </c>
      <c r="BV118" s="40"/>
      <c r="BW118" s="40"/>
      <c r="BY118" s="40"/>
      <c r="BZ118" s="40"/>
      <c r="CB118" s="16"/>
      <c r="CC118" s="16"/>
    </row>
    <row r="119" spans="2:81" ht="13.5" customHeight="1">
      <c r="B119" s="48" t="s">
        <v>306</v>
      </c>
      <c r="C119" s="29">
        <v>0</v>
      </c>
      <c r="D119" s="29">
        <v>0</v>
      </c>
      <c r="E119" s="29">
        <v>0</v>
      </c>
      <c r="F119" s="29">
        <v>-60.375999999999998</v>
      </c>
      <c r="G119" s="29">
        <v>-138.06299999999999</v>
      </c>
      <c r="H119" s="29">
        <v>0</v>
      </c>
      <c r="I119" s="29">
        <v>0</v>
      </c>
      <c r="J119" s="29">
        <v>0</v>
      </c>
      <c r="K119" s="29">
        <v>0</v>
      </c>
      <c r="L119" s="29">
        <v>0</v>
      </c>
      <c r="M119" s="29">
        <v>0</v>
      </c>
      <c r="N119" s="29">
        <v>0</v>
      </c>
      <c r="O119" s="29">
        <v>0</v>
      </c>
      <c r="P119" s="29">
        <v>0</v>
      </c>
      <c r="Q119" s="29">
        <v>0</v>
      </c>
      <c r="R119" s="32">
        <f t="shared" si="673"/>
        <v>0</v>
      </c>
      <c r="T119" s="29">
        <v>0</v>
      </c>
      <c r="U119" s="29">
        <v>0</v>
      </c>
      <c r="V119" s="29">
        <v>0</v>
      </c>
      <c r="W119" s="44">
        <f>+E119</f>
        <v>0</v>
      </c>
      <c r="X119" s="29">
        <v>0</v>
      </c>
      <c r="Y119" s="29">
        <v>0</v>
      </c>
      <c r="Z119" s="29">
        <v>0</v>
      </c>
      <c r="AA119" s="44">
        <f>F119</f>
        <v>-60.375999999999998</v>
      </c>
      <c r="AB119" s="29">
        <v>-65.956000000000003</v>
      </c>
      <c r="AC119" s="29">
        <v>-76.593000000000004</v>
      </c>
      <c r="AD119" s="29">
        <v>162.333</v>
      </c>
      <c r="AE119" s="44">
        <f>G119</f>
        <v>-138.06299999999999</v>
      </c>
      <c r="AF119" s="29">
        <v>0</v>
      </c>
      <c r="AG119" s="29">
        <v>0</v>
      </c>
      <c r="AH119" s="29">
        <v>0</v>
      </c>
      <c r="AI119" s="44">
        <f>H119</f>
        <v>0</v>
      </c>
      <c r="AJ119" s="229"/>
      <c r="AK119" s="229"/>
      <c r="AL119" s="229"/>
      <c r="AM119" s="29">
        <f>J119</f>
        <v>0</v>
      </c>
      <c r="AN119" s="29">
        <v>4.2000000000000003E-2</v>
      </c>
      <c r="AO119" s="43">
        <v>0</v>
      </c>
      <c r="AP119" s="29">
        <v>0</v>
      </c>
      <c r="AQ119" s="43">
        <f>I119</f>
        <v>0</v>
      </c>
      <c r="AR119" s="29">
        <v>4.2000000000000003E-2</v>
      </c>
      <c r="AS119" s="43">
        <v>0</v>
      </c>
      <c r="AT119" s="29">
        <v>0</v>
      </c>
      <c r="AU119" s="44">
        <f>K119</f>
        <v>0</v>
      </c>
      <c r="AV119" s="29">
        <v>0</v>
      </c>
      <c r="AW119" s="44">
        <f>L119</f>
        <v>0</v>
      </c>
      <c r="AX119" s="29"/>
      <c r="AY119" s="29"/>
      <c r="AZ119" s="43">
        <v>0</v>
      </c>
      <c r="BA119" s="29"/>
      <c r="BB119" s="29">
        <v>0</v>
      </c>
      <c r="BC119" s="29">
        <v>0</v>
      </c>
      <c r="BD119" s="44">
        <f>M119</f>
        <v>0</v>
      </c>
      <c r="BE119" s="29"/>
      <c r="BF119" s="43">
        <v>0</v>
      </c>
      <c r="BG119" s="29">
        <v>0</v>
      </c>
      <c r="BH119" s="44">
        <f t="shared" si="674"/>
        <v>0</v>
      </c>
      <c r="BI119" s="29"/>
      <c r="BJ119" s="43">
        <v>0</v>
      </c>
      <c r="BK119" s="29">
        <v>0</v>
      </c>
      <c r="BL119" s="44">
        <f t="shared" si="675"/>
        <v>0</v>
      </c>
      <c r="BM119" s="29"/>
      <c r="BO119" s="44">
        <f>N119</f>
        <v>0</v>
      </c>
      <c r="BP119" s="44">
        <f t="shared" si="676"/>
        <v>0</v>
      </c>
      <c r="BQ119" s="44">
        <f t="shared" si="676"/>
        <v>0</v>
      </c>
      <c r="BR119" s="44">
        <f t="shared" si="676"/>
        <v>0</v>
      </c>
      <c r="BS119" s="44">
        <f>P119</f>
        <v>0</v>
      </c>
      <c r="BT119" s="44">
        <f>BI119</f>
        <v>0</v>
      </c>
      <c r="BV119" s="40"/>
      <c r="BW119" s="40"/>
      <c r="BY119" s="40"/>
      <c r="BZ119" s="40"/>
      <c r="CB119" s="16"/>
      <c r="CC119" s="16"/>
    </row>
    <row r="120" spans="2:81" ht="13.5" customHeight="1">
      <c r="B120" s="48" t="s">
        <v>307</v>
      </c>
      <c r="C120" s="29">
        <v>0</v>
      </c>
      <c r="D120" s="29">
        <v>9.0790000000000006</v>
      </c>
      <c r="E120" s="29">
        <v>143.726</v>
      </c>
      <c r="F120" s="29">
        <v>238.87200000000001</v>
      </c>
      <c r="G120" s="29">
        <v>192.346</v>
      </c>
      <c r="H120" s="29">
        <f>242.054</f>
        <v>242.054</v>
      </c>
      <c r="I120" s="29">
        <v>179.32400000000001</v>
      </c>
      <c r="J120" s="29">
        <v>222.536</v>
      </c>
      <c r="K120" s="29">
        <v>179.32400000000001</v>
      </c>
      <c r="L120" s="29">
        <v>241.23699999999999</v>
      </c>
      <c r="M120" s="29">
        <v>175.55600000000001</v>
      </c>
      <c r="N120" s="29">
        <v>175.55600000000001</v>
      </c>
      <c r="O120" s="29">
        <v>164.14500000000001</v>
      </c>
      <c r="P120" s="29">
        <v>164.14500000000001</v>
      </c>
      <c r="Q120" s="29">
        <v>163.64099999999999</v>
      </c>
      <c r="R120" s="32">
        <f t="shared" si="673"/>
        <v>-173.11500000000001</v>
      </c>
      <c r="T120" s="29">
        <f>42.619+67.481</f>
        <v>110.1</v>
      </c>
      <c r="U120" s="29">
        <f>71.437+67.037</f>
        <v>138.47399999999999</v>
      </c>
      <c r="V120" s="29">
        <v>24.692</v>
      </c>
      <c r="W120" s="44">
        <f>+E120</f>
        <v>143.726</v>
      </c>
      <c r="X120" s="29">
        <v>100.687</v>
      </c>
      <c r="Y120" s="29">
        <v>104.123</v>
      </c>
      <c r="Z120" s="29">
        <v>104.554</v>
      </c>
      <c r="AA120" s="44">
        <f>F120</f>
        <v>238.87200000000001</v>
      </c>
      <c r="AB120" s="29">
        <v>266.65600000000001</v>
      </c>
      <c r="AC120" s="29">
        <v>264.33300000000003</v>
      </c>
      <c r="AD120" s="29">
        <v>252.22200000000001</v>
      </c>
      <c r="AE120" s="44">
        <f>G120</f>
        <v>192.346</v>
      </c>
      <c r="AF120" s="29">
        <v>164.17400000000001</v>
      </c>
      <c r="AG120" s="29">
        <v>208.47200000000001</v>
      </c>
      <c r="AH120" s="29">
        <v>214.29900000000001</v>
      </c>
      <c r="AI120" s="44">
        <f>H120</f>
        <v>242.054</v>
      </c>
      <c r="AJ120" s="229"/>
      <c r="AK120" s="229"/>
      <c r="AL120" s="229"/>
      <c r="AM120" s="29">
        <f>J120</f>
        <v>222.536</v>
      </c>
      <c r="AN120" s="29">
        <v>209.58799999999999</v>
      </c>
      <c r="AO120" s="43">
        <v>203.63200000000001</v>
      </c>
      <c r="AP120" s="29">
        <v>336.74900000000002</v>
      </c>
      <c r="AQ120" s="43">
        <f>I120</f>
        <v>179.32400000000001</v>
      </c>
      <c r="AR120" s="29">
        <v>209.58799999999999</v>
      </c>
      <c r="AS120" s="43">
        <v>203.63200000000001</v>
      </c>
      <c r="AT120" s="29">
        <v>336.74900000000002</v>
      </c>
      <c r="AU120" s="44">
        <f>K120</f>
        <v>179.32400000000001</v>
      </c>
      <c r="AV120" s="29">
        <v>336.74900000000002</v>
      </c>
      <c r="AW120" s="44">
        <f>L120</f>
        <v>241.23699999999999</v>
      </c>
      <c r="AX120" s="29">
        <v>243.08199999999999</v>
      </c>
      <c r="AY120" s="29">
        <v>243.08199999999999</v>
      </c>
      <c r="AZ120" s="43">
        <v>254.58199999999999</v>
      </c>
      <c r="BA120" s="43">
        <v>254.58199999999999</v>
      </c>
      <c r="BB120" s="29">
        <v>192.71899999999999</v>
      </c>
      <c r="BC120" s="29">
        <v>192.71899999999999</v>
      </c>
      <c r="BD120" s="44">
        <f>M120</f>
        <v>175.55600000000001</v>
      </c>
      <c r="BE120" s="29">
        <v>191.249</v>
      </c>
      <c r="BF120" s="43">
        <v>190.11699999999999</v>
      </c>
      <c r="BG120" s="29">
        <v>212.625</v>
      </c>
      <c r="BH120" s="44">
        <f t="shared" si="674"/>
        <v>164.14500000000001</v>
      </c>
      <c r="BI120" s="29">
        <v>174.17699999999999</v>
      </c>
      <c r="BJ120" s="43">
        <v>182.49799999999999</v>
      </c>
      <c r="BK120" s="29">
        <v>170.62899999999999</v>
      </c>
      <c r="BL120" s="44">
        <f t="shared" si="675"/>
        <v>163.64099999999999</v>
      </c>
      <c r="BM120" s="29">
        <v>-173.11500000000001</v>
      </c>
      <c r="BO120" s="44">
        <f>N120</f>
        <v>175.55600000000001</v>
      </c>
      <c r="BP120" s="44">
        <f t="shared" si="676"/>
        <v>191.249</v>
      </c>
      <c r="BQ120" s="44">
        <f t="shared" si="676"/>
        <v>190.11699999999999</v>
      </c>
      <c r="BR120" s="44">
        <f t="shared" si="676"/>
        <v>212.625</v>
      </c>
      <c r="BS120" s="44">
        <f>P120</f>
        <v>164.14500000000001</v>
      </c>
      <c r="BT120" s="44">
        <f>BI120</f>
        <v>174.17699999999999</v>
      </c>
      <c r="BV120" s="40"/>
      <c r="BW120" s="40"/>
      <c r="BY120" s="40"/>
      <c r="BZ120" s="40"/>
      <c r="CB120" s="16"/>
      <c r="CC120" s="16"/>
    </row>
    <row r="121" spans="2:81" ht="13.5" customHeight="1">
      <c r="B121" s="48" t="s">
        <v>29</v>
      </c>
      <c r="C121" s="29">
        <v>320.71699999999998</v>
      </c>
      <c r="D121" s="29">
        <v>86.825999999999993</v>
      </c>
      <c r="E121" s="29">
        <v>1036.674</v>
      </c>
      <c r="F121" s="29">
        <v>903.05600000000004</v>
      </c>
      <c r="G121" s="29">
        <v>301.25400000000002</v>
      </c>
      <c r="H121" s="29">
        <v>150.99100000000001</v>
      </c>
      <c r="I121" s="29">
        <v>793.00199999999995</v>
      </c>
      <c r="J121" s="29">
        <v>220.85400000000001</v>
      </c>
      <c r="K121" s="29">
        <v>793.00199999999995</v>
      </c>
      <c r="L121" s="29">
        <v>741.83100000000002</v>
      </c>
      <c r="M121" s="29">
        <v>507.286</v>
      </c>
      <c r="N121" s="29">
        <v>564.42200000000003</v>
      </c>
      <c r="O121" s="29">
        <v>798.17200000000003</v>
      </c>
      <c r="P121" s="29">
        <v>798.17200000000003</v>
      </c>
      <c r="Q121" s="29">
        <v>762.70399999999995</v>
      </c>
      <c r="R121" s="32">
        <f t="shared" si="673"/>
        <v>-918.25199999999995</v>
      </c>
      <c r="T121" s="29">
        <v>35.393000000000001</v>
      </c>
      <c r="U121" s="29">
        <v>115.175</v>
      </c>
      <c r="V121" s="29">
        <v>30.251000000000001</v>
      </c>
      <c r="W121" s="44">
        <f>+E121</f>
        <v>1036.674</v>
      </c>
      <c r="X121" s="29">
        <v>1040.7539999999999</v>
      </c>
      <c r="Y121" s="29">
        <v>1249.482</v>
      </c>
      <c r="Z121" s="29">
        <v>1133.5619999999999</v>
      </c>
      <c r="AA121" s="44">
        <f>F121</f>
        <v>903.05600000000004</v>
      </c>
      <c r="AB121" s="29">
        <v>582.18499999999995</v>
      </c>
      <c r="AC121" s="29">
        <v>592.66800000000001</v>
      </c>
      <c r="AD121" s="29">
        <v>519.649</v>
      </c>
      <c r="AE121" s="44">
        <f>G121</f>
        <v>301.25400000000002</v>
      </c>
      <c r="AF121" s="29">
        <v>657.00199999999995</v>
      </c>
      <c r="AG121" s="29">
        <v>667.64</v>
      </c>
      <c r="AH121" s="29">
        <v>302.93200000000002</v>
      </c>
      <c r="AI121" s="44">
        <f>H121</f>
        <v>150.99100000000001</v>
      </c>
      <c r="AJ121" s="229"/>
      <c r="AK121" s="229"/>
      <c r="AL121" s="229"/>
      <c r="AM121" s="29">
        <f>J121</f>
        <v>220.85400000000001</v>
      </c>
      <c r="AN121" s="29">
        <v>246.69200000000001</v>
      </c>
      <c r="AO121" s="43">
        <v>269.85399999999998</v>
      </c>
      <c r="AP121" s="29">
        <v>228.15</v>
      </c>
      <c r="AQ121" s="43">
        <f>I121</f>
        <v>793.00199999999995</v>
      </c>
      <c r="AR121" s="29">
        <v>246.69200000000001</v>
      </c>
      <c r="AS121" s="43">
        <v>269.85399999999998</v>
      </c>
      <c r="AT121" s="29">
        <v>228.15</v>
      </c>
      <c r="AU121" s="44">
        <f>K121</f>
        <v>793.00199999999995</v>
      </c>
      <c r="AV121" s="29">
        <v>228.15</v>
      </c>
      <c r="AW121" s="44">
        <f>L121</f>
        <v>741.83100000000002</v>
      </c>
      <c r="AX121" s="29">
        <v>279.73700000000002</v>
      </c>
      <c r="AY121" s="29">
        <v>279.73700000000002</v>
      </c>
      <c r="AZ121" s="43">
        <v>293.815</v>
      </c>
      <c r="BA121" s="43">
        <v>293.815</v>
      </c>
      <c r="BB121" s="29">
        <v>361.16399999999999</v>
      </c>
      <c r="BC121" s="29">
        <v>361.16399999999999</v>
      </c>
      <c r="BD121" s="44">
        <f>M121</f>
        <v>507.286</v>
      </c>
      <c r="BE121" s="29">
        <v>442.67700000000002</v>
      </c>
      <c r="BF121" s="43">
        <v>509.18599999999998</v>
      </c>
      <c r="BG121" s="29">
        <v>615.15099999999995</v>
      </c>
      <c r="BH121" s="44">
        <f t="shared" si="674"/>
        <v>798.17200000000003</v>
      </c>
      <c r="BI121" s="29">
        <v>864.93700000000001</v>
      </c>
      <c r="BJ121" s="43">
        <v>733.35299999999995</v>
      </c>
      <c r="BK121" s="29">
        <v>930.60400000000004</v>
      </c>
      <c r="BL121" s="44">
        <f t="shared" si="675"/>
        <v>762.70399999999995</v>
      </c>
      <c r="BM121" s="29">
        <v>-918.25199999999995</v>
      </c>
      <c r="BO121" s="44">
        <f>N121</f>
        <v>564.42200000000003</v>
      </c>
      <c r="BP121" s="44">
        <f t="shared" si="676"/>
        <v>442.67700000000002</v>
      </c>
      <c r="BQ121" s="44">
        <f t="shared" si="676"/>
        <v>509.18599999999998</v>
      </c>
      <c r="BR121" s="44">
        <f t="shared" si="676"/>
        <v>615.15099999999995</v>
      </c>
      <c r="BS121" s="44">
        <f>P121</f>
        <v>798.17200000000003</v>
      </c>
      <c r="BT121" s="44">
        <f>BI121</f>
        <v>864.93700000000001</v>
      </c>
      <c r="BV121" s="40"/>
      <c r="BW121" s="40"/>
      <c r="BY121" s="40"/>
      <c r="BZ121" s="40"/>
      <c r="CB121" s="16"/>
      <c r="CC121" s="16"/>
    </row>
    <row r="122" spans="2:81" ht="13.5" customHeight="1">
      <c r="B122" s="48" t="s">
        <v>308</v>
      </c>
      <c r="C122" s="29">
        <v>93.495999999999995</v>
      </c>
      <c r="D122" s="29">
        <v>85.835999999999999</v>
      </c>
      <c r="E122" s="29">
        <v>103.3</v>
      </c>
      <c r="F122" s="29">
        <v>134.44200000000001</v>
      </c>
      <c r="G122" s="29">
        <v>116.55500000000001</v>
      </c>
      <c r="H122" s="29">
        <v>213.63200000000001</v>
      </c>
      <c r="I122" s="29">
        <v>142.48099999999999</v>
      </c>
      <c r="J122" s="29">
        <v>213.63200000000001</v>
      </c>
      <c r="K122" s="29">
        <v>142.48099999999999</v>
      </c>
      <c r="L122" s="29">
        <v>142.48099999999999</v>
      </c>
      <c r="M122" s="29">
        <v>483.577</v>
      </c>
      <c r="N122" s="29">
        <v>483.577</v>
      </c>
      <c r="O122" s="29">
        <v>356.45400000000001</v>
      </c>
      <c r="P122" s="29">
        <v>356.45400000000001</v>
      </c>
      <c r="Q122" s="29">
        <v>247.006</v>
      </c>
      <c r="R122" s="32">
        <f t="shared" si="673"/>
        <v>-119.518</v>
      </c>
      <c r="T122" s="29">
        <v>190.40899999999999</v>
      </c>
      <c r="U122" s="29">
        <v>89.887</v>
      </c>
      <c r="V122" s="29">
        <v>112.328</v>
      </c>
      <c r="W122" s="44">
        <f>+E122</f>
        <v>103.3</v>
      </c>
      <c r="X122" s="29">
        <v>69.141999999999996</v>
      </c>
      <c r="Y122" s="29">
        <v>119.989</v>
      </c>
      <c r="Z122" s="29">
        <v>133.48099999999999</v>
      </c>
      <c r="AA122" s="44">
        <f>F122</f>
        <v>134.44200000000001</v>
      </c>
      <c r="AB122" s="29">
        <v>174.51900000000001</v>
      </c>
      <c r="AC122" s="29">
        <v>117.667</v>
      </c>
      <c r="AD122" s="29">
        <v>92.091999999999999</v>
      </c>
      <c r="AE122" s="44">
        <f>G122</f>
        <v>116.55500000000001</v>
      </c>
      <c r="AF122" s="29">
        <v>108.506</v>
      </c>
      <c r="AG122" s="29">
        <v>167.21299999999999</v>
      </c>
      <c r="AH122" s="29">
        <v>129.28100000000001</v>
      </c>
      <c r="AI122" s="44">
        <f>H122</f>
        <v>213.63200000000001</v>
      </c>
      <c r="AJ122" s="229"/>
      <c r="AK122" s="229"/>
      <c r="AL122" s="229"/>
      <c r="AM122" s="29">
        <f>J122</f>
        <v>213.63200000000001</v>
      </c>
      <c r="AN122" s="29">
        <v>74.506</v>
      </c>
      <c r="AO122" s="43">
        <v>65.436000000000007</v>
      </c>
      <c r="AP122" s="29">
        <v>93.674999999999997</v>
      </c>
      <c r="AQ122" s="43">
        <f>I122</f>
        <v>142.48099999999999</v>
      </c>
      <c r="AR122" s="29">
        <v>74.506</v>
      </c>
      <c r="AS122" s="43">
        <v>65.436000000000007</v>
      </c>
      <c r="AT122" s="29">
        <v>93.674999999999997</v>
      </c>
      <c r="AU122" s="44">
        <f>K122</f>
        <v>142.48099999999999</v>
      </c>
      <c r="AV122" s="29">
        <v>93.674999999999997</v>
      </c>
      <c r="AW122" s="44">
        <f>L122</f>
        <v>142.48099999999999</v>
      </c>
      <c r="AX122" s="29">
        <v>375.14400000000001</v>
      </c>
      <c r="AY122" s="29">
        <v>375.14400000000001</v>
      </c>
      <c r="AZ122" s="43">
        <v>550.05999999999995</v>
      </c>
      <c r="BA122" s="43">
        <v>550.05999999999995</v>
      </c>
      <c r="BB122" s="29">
        <v>433.46699999999998</v>
      </c>
      <c r="BC122" s="29">
        <v>433.46699999999998</v>
      </c>
      <c r="BD122" s="44">
        <f>M122</f>
        <v>483.577</v>
      </c>
      <c r="BE122" s="29">
        <v>483.22199999999998</v>
      </c>
      <c r="BF122" s="43">
        <v>439.87</v>
      </c>
      <c r="BG122" s="29">
        <v>342.791</v>
      </c>
      <c r="BH122" s="44">
        <f t="shared" si="674"/>
        <v>356.45400000000001</v>
      </c>
      <c r="BI122" s="29">
        <v>268.61599999999999</v>
      </c>
      <c r="BJ122" s="43">
        <v>338.29399999999998</v>
      </c>
      <c r="BK122" s="29">
        <v>163.61199999999999</v>
      </c>
      <c r="BL122" s="44">
        <f t="shared" si="675"/>
        <v>247.006</v>
      </c>
      <c r="BM122" s="29">
        <v>-119.518</v>
      </c>
      <c r="BO122" s="44">
        <f>N122</f>
        <v>483.577</v>
      </c>
      <c r="BP122" s="44">
        <f t="shared" si="676"/>
        <v>483.22199999999998</v>
      </c>
      <c r="BQ122" s="44">
        <f t="shared" si="676"/>
        <v>439.87</v>
      </c>
      <c r="BR122" s="44">
        <f t="shared" si="676"/>
        <v>342.791</v>
      </c>
      <c r="BS122" s="44">
        <f>P122</f>
        <v>356.45400000000001</v>
      </c>
      <c r="BT122" s="44">
        <f>BI122</f>
        <v>268.61599999999999</v>
      </c>
      <c r="BV122" s="40"/>
      <c r="BW122" s="40"/>
      <c r="BY122" s="40"/>
      <c r="BZ122" s="40"/>
      <c r="CB122" s="16"/>
      <c r="CC122" s="16"/>
    </row>
    <row r="123" spans="2:81" s="6" customFormat="1" ht="13.5" customHeight="1">
      <c r="B123" s="23" t="s">
        <v>309</v>
      </c>
      <c r="C123" s="29">
        <v>206.71199999999999</v>
      </c>
      <c r="D123" s="29">
        <v>66.644999999999996</v>
      </c>
      <c r="E123" s="88">
        <f t="shared" ref="E123:F123" si="678">+E118+E119+E120+E121+E122</f>
        <v>5071.4480000000003</v>
      </c>
      <c r="F123" s="88">
        <f t="shared" si="678"/>
        <v>4231.0989999999993</v>
      </c>
      <c r="G123" s="88">
        <f t="shared" ref="G123:M123" si="679">+G118+G119+G120+G121+G122</f>
        <v>7194.2539999999999</v>
      </c>
      <c r="H123" s="88">
        <f t="shared" si="679"/>
        <v>6969.3519999999999</v>
      </c>
      <c r="I123" s="88">
        <f t="shared" si="679"/>
        <v>7452.2420000000002</v>
      </c>
      <c r="J123" s="88">
        <f t="shared" si="679"/>
        <v>6969.3519999999999</v>
      </c>
      <c r="K123" s="88">
        <f t="shared" si="679"/>
        <v>7452.2420000000002</v>
      </c>
      <c r="L123" s="88">
        <f t="shared" si="679"/>
        <v>7452.7430000000004</v>
      </c>
      <c r="M123" s="88">
        <f t="shared" si="679"/>
        <v>4612.134</v>
      </c>
      <c r="N123" s="88">
        <f t="shared" ref="N123" si="680">+N118+N119+N120+N121+N122</f>
        <v>4612.1340000000009</v>
      </c>
      <c r="O123" s="88">
        <f t="shared" ref="O123:P123" si="681">+O118+O119+O120+O121+O122</f>
        <v>4860.4399999999996</v>
      </c>
      <c r="P123" s="88">
        <f t="shared" si="681"/>
        <v>4860.4399999999996</v>
      </c>
      <c r="Q123" s="88">
        <f t="shared" ref="Q123" si="682">+Q118+Q119+Q120+Q121+Q122</f>
        <v>3746.7809999999995</v>
      </c>
      <c r="R123" s="88">
        <f t="shared" ref="R123" si="683">+R118+R119+R120+R121+R122</f>
        <v>2413.0570000000002</v>
      </c>
      <c r="S123" s="87"/>
      <c r="T123" s="88">
        <f t="shared" ref="T123" si="684">+T118+T119+T120+T121+T122</f>
        <v>5714.857</v>
      </c>
      <c r="U123" s="88">
        <f t="shared" ref="U123" si="685">+U118+U119+U120+U121+U122</f>
        <v>6234.4110000000001</v>
      </c>
      <c r="V123" s="88">
        <f t="shared" ref="V123" si="686">+V118+V119+V120+V121+V122</f>
        <v>6018.6260000000002</v>
      </c>
      <c r="W123" s="88">
        <f t="shared" ref="W123" si="687">+W118+W119+W120+W121+W122</f>
        <v>5071.4480000000003</v>
      </c>
      <c r="X123" s="88">
        <f t="shared" ref="X123:AA123" si="688">+X118+X119+X120+X121+X122</f>
        <v>6750.1779999999999</v>
      </c>
      <c r="Y123" s="88">
        <f t="shared" si="688"/>
        <v>5418.1530000000002</v>
      </c>
      <c r="Z123" s="88">
        <f t="shared" si="688"/>
        <v>4981.7579999999998</v>
      </c>
      <c r="AA123" s="88">
        <f t="shared" si="688"/>
        <v>4231.0989999999993</v>
      </c>
      <c r="AB123" s="24">
        <f>+AB118+AB119+AB120+AB121+AB122</f>
        <v>5962.5480000000007</v>
      </c>
      <c r="AC123" s="24">
        <f t="shared" ref="AC123" si="689">+AC118+AC119+AC120+AC121+AC122</f>
        <v>5906.7829999999994</v>
      </c>
      <c r="AD123" s="88">
        <f>+AD118+AD119+AD120+AD121+AD122</f>
        <v>11038.026</v>
      </c>
      <c r="AE123" s="88">
        <f t="shared" ref="AE123" si="690">+AE118+AE119+AE120+AE121+AE122</f>
        <v>7194.2539999999999</v>
      </c>
      <c r="AF123" s="24">
        <f>+AF118+AF119+AF120+AF121+AF122</f>
        <v>6552.2480000000005</v>
      </c>
      <c r="AG123" s="24">
        <f t="shared" ref="AG123" si="691">+AG118+AG119+AG120+AG121+AG122</f>
        <v>7001.7959999999994</v>
      </c>
      <c r="AH123" s="24">
        <f>+AH118+AH119+AH120+AH121+AH122</f>
        <v>7320.7370000000001</v>
      </c>
      <c r="AI123" s="88">
        <f t="shared" ref="AI123" si="692">+AI118+AI119+AI120+AI121+AI122</f>
        <v>6969.3519999999999</v>
      </c>
      <c r="AJ123" s="233"/>
      <c r="AK123" s="233"/>
      <c r="AL123" s="233"/>
      <c r="AM123" s="24">
        <f>+AM118+AM119+AM120+AM121+AM122</f>
        <v>6969.3519999999999</v>
      </c>
      <c r="AN123" s="24">
        <f>+AN118+AN119+AN120+AN121+AN122</f>
        <v>5781.9050000000007</v>
      </c>
      <c r="AO123" s="24">
        <f t="shared" ref="AO123" si="693">+AO118+AO119+AO120+AO121+AO122</f>
        <v>6586.2759999999998</v>
      </c>
      <c r="AP123" s="24">
        <f>+AP118+AP119+AP120+AP121+AP122</f>
        <v>7741.3359999999993</v>
      </c>
      <c r="AQ123" s="24">
        <f>+AQ118+AQ119+AQ120+AQ121+AQ122</f>
        <v>7452.2420000000002</v>
      </c>
      <c r="AR123" s="24">
        <f>+AR118+AR119+AR120+AR121+AR122</f>
        <v>5781.9050000000007</v>
      </c>
      <c r="AS123" s="24">
        <f t="shared" ref="AS123" si="694">+AS118+AS119+AS120+AS121+AS122</f>
        <v>6586.2759999999998</v>
      </c>
      <c r="AT123" s="24">
        <f t="shared" ref="AT123:AY123" si="695">+AT118+AT119+AT120+AT121+AT122</f>
        <v>7741.3359999999993</v>
      </c>
      <c r="AU123" s="24">
        <f t="shared" si="695"/>
        <v>7452.2420000000002</v>
      </c>
      <c r="AV123" s="24">
        <f t="shared" si="695"/>
        <v>7741.3359999999993</v>
      </c>
      <c r="AW123" s="24">
        <f t="shared" si="695"/>
        <v>7452.7430000000004</v>
      </c>
      <c r="AX123" s="24">
        <f t="shared" si="695"/>
        <v>5455.3030000000008</v>
      </c>
      <c r="AY123" s="24">
        <f t="shared" si="695"/>
        <v>5455.3030000000008</v>
      </c>
      <c r="AZ123" s="24">
        <f t="shared" ref="AZ123:BA123" si="696">+AZ118+AZ119+AZ120+AZ121+AZ122</f>
        <v>6270.49</v>
      </c>
      <c r="BA123" s="24">
        <f t="shared" si="696"/>
        <v>6270.49</v>
      </c>
      <c r="BB123" s="24">
        <f>+BB118+BB119+BB120+BB121+BB122</f>
        <v>5657.7869999999994</v>
      </c>
      <c r="BC123" s="24">
        <f>+BC118+BC119+BC120+BC121+BC122</f>
        <v>5657.7869999999994</v>
      </c>
      <c r="BD123" s="24">
        <f>+BD118+BD119+BD120+BD121+BD122</f>
        <v>4612.134</v>
      </c>
      <c r="BE123" s="24">
        <f>+BE118+BE119+BE120+BE121+BE122</f>
        <v>4409.4369999999999</v>
      </c>
      <c r="BF123" s="24">
        <f t="shared" ref="BF123" si="697">+BF118+BF119+BF120+BF121+BF122</f>
        <v>5177.3289999999997</v>
      </c>
      <c r="BG123" s="24">
        <f>+BG118+BG119+BG120+BG121+BG122</f>
        <v>4538.3470000000007</v>
      </c>
      <c r="BH123" s="24">
        <f>+BH118+BH119+BH120+BH121+BH122</f>
        <v>4860.4399999999996</v>
      </c>
      <c r="BI123" s="24">
        <f>+BI118+BI119+BI120+BI121+BI122</f>
        <v>4953.51</v>
      </c>
      <c r="BJ123" s="24">
        <f t="shared" ref="BJ123" si="698">+BJ118+BJ119+BJ120+BJ121+BJ122</f>
        <v>4866.0639999999994</v>
      </c>
      <c r="BK123" s="24">
        <f>+BK118+BK119+BK120+BK121+BK122</f>
        <v>3676.1210000000001</v>
      </c>
      <c r="BL123" s="24">
        <f>+BL118+BL119+BL120+BL121+BL122</f>
        <v>3746.7809999999995</v>
      </c>
      <c r="BM123" s="24">
        <f>+BM118+BM119+BM120+BM121+BM122</f>
        <v>2413.0570000000002</v>
      </c>
      <c r="BO123" s="24">
        <f>+BO118+BO119+BO120+BO121+BO122</f>
        <v>4612.1340000000009</v>
      </c>
      <c r="BP123" s="24">
        <f t="shared" ref="BP123:BR123" si="699">+BP118+BP119+BP120+BP121+BP122</f>
        <v>4409.4369999999999</v>
      </c>
      <c r="BQ123" s="24">
        <f t="shared" si="699"/>
        <v>5177.3289999999997</v>
      </c>
      <c r="BR123" s="24">
        <f t="shared" si="699"/>
        <v>4538.3470000000007</v>
      </c>
      <c r="BS123" s="24">
        <f>+BS118+BS119+BS120+BS121+BS122</f>
        <v>4860.4399999999996</v>
      </c>
      <c r="BT123" s="24">
        <f t="shared" ref="BT123" si="700">+BT118+BT119+BT120+BT121+BT122</f>
        <v>4953.51</v>
      </c>
      <c r="BV123" s="40"/>
      <c r="BW123" s="40"/>
      <c r="BY123" s="40"/>
      <c r="BZ123" s="40"/>
      <c r="CB123" s="16"/>
      <c r="CC123" s="16"/>
    </row>
    <row r="124" spans="2:81" ht="13.5" customHeight="1">
      <c r="B124" s="25"/>
      <c r="C124" s="29">
        <v>62.067</v>
      </c>
      <c r="D124" s="29">
        <v>92.823999999999998</v>
      </c>
      <c r="E124" s="22"/>
      <c r="F124" s="22"/>
      <c r="G124" s="22"/>
      <c r="H124" s="22"/>
      <c r="I124" s="22"/>
      <c r="K124" s="22"/>
      <c r="L124" s="22"/>
      <c r="M124" s="22"/>
      <c r="N124" s="22"/>
      <c r="O124" s="22"/>
      <c r="P124" s="22"/>
      <c r="Q124" s="22"/>
      <c r="R124" s="32"/>
      <c r="T124" s="49"/>
      <c r="U124" s="49"/>
      <c r="V124" s="49"/>
      <c r="W124" s="44"/>
      <c r="X124" s="49"/>
      <c r="Y124" s="49"/>
      <c r="Z124" s="49"/>
      <c r="AA124" s="44"/>
      <c r="AB124" s="49"/>
      <c r="AC124" s="49"/>
      <c r="AD124" s="49"/>
      <c r="AE124" s="44"/>
      <c r="AF124" s="49"/>
      <c r="AG124" s="49"/>
      <c r="AH124" s="49"/>
      <c r="AI124" s="44"/>
      <c r="AJ124" s="229"/>
      <c r="AK124" s="229"/>
      <c r="AL124" s="229"/>
      <c r="AM124" s="49"/>
      <c r="AN124" s="49"/>
      <c r="AO124" s="49"/>
      <c r="AP124" s="49"/>
      <c r="AQ124" s="49"/>
      <c r="AR124" s="49"/>
      <c r="AS124" s="49"/>
      <c r="AT124" s="49"/>
      <c r="AU124" s="44"/>
      <c r="AV124" s="49"/>
      <c r="AW124" s="44"/>
      <c r="AX124" s="49"/>
      <c r="AY124" s="49"/>
      <c r="AZ124" s="49"/>
      <c r="BA124" s="49"/>
      <c r="BB124" s="49"/>
      <c r="BC124" s="49"/>
      <c r="BD124" s="44"/>
      <c r="BE124" s="49"/>
      <c r="BF124" s="49"/>
      <c r="BG124" s="49"/>
      <c r="BH124" s="44"/>
      <c r="BI124" s="49"/>
      <c r="BJ124" s="49"/>
      <c r="BK124" s="49"/>
      <c r="BL124" s="44"/>
      <c r="BM124" s="49"/>
      <c r="BO124" s="44"/>
      <c r="BP124" s="44"/>
      <c r="BQ124" s="44"/>
      <c r="BR124" s="44"/>
      <c r="BS124" s="44"/>
      <c r="BT124" s="44"/>
      <c r="BV124" s="40"/>
      <c r="BW124" s="40"/>
      <c r="BY124" s="40"/>
      <c r="BZ124" s="40"/>
      <c r="CB124" s="16"/>
      <c r="CC124" s="16"/>
    </row>
    <row r="125" spans="2:81" ht="13.5" customHeight="1">
      <c r="B125" s="6" t="s">
        <v>310</v>
      </c>
      <c r="C125" s="24">
        <f>C116-C115-C110-C123</f>
        <v>22053.169000000002</v>
      </c>
      <c r="D125" s="24">
        <f t="shared" ref="D125:F125" si="701">D116-D115-D110-D123</f>
        <v>19117.344000000001</v>
      </c>
      <c r="E125" s="24">
        <f t="shared" si="701"/>
        <v>14049.560000000001</v>
      </c>
      <c r="F125" s="24">
        <f t="shared" si="701"/>
        <v>12595.144</v>
      </c>
      <c r="G125" s="24">
        <f t="shared" ref="G125:H125" si="702">G116-G115-G110-G123</f>
        <v>10551.185000000005</v>
      </c>
      <c r="H125" s="24">
        <f t="shared" si="702"/>
        <v>12081.143</v>
      </c>
      <c r="I125" s="24">
        <f t="shared" ref="I125:K125" si="703">I116-I115-I110-I123</f>
        <v>17981.934000000001</v>
      </c>
      <c r="J125" s="24">
        <f t="shared" ref="J125" si="704">J116-J115-J110-J123</f>
        <v>12081.143</v>
      </c>
      <c r="K125" s="24">
        <f t="shared" si="703"/>
        <v>17983.390000000007</v>
      </c>
      <c r="L125" s="24">
        <f t="shared" ref="L125:M125" si="705">L116-L115-L110-L123</f>
        <v>17982.889000000003</v>
      </c>
      <c r="M125" s="24">
        <f t="shared" si="705"/>
        <v>20230.014999999999</v>
      </c>
      <c r="N125" s="24">
        <f t="shared" ref="N125" si="706">N116-N115-N110-N123</f>
        <v>20230.014000000003</v>
      </c>
      <c r="O125" s="24">
        <f t="shared" ref="O125:P125" si="707">O116-O115-O110-O123</f>
        <v>18330.544999999995</v>
      </c>
      <c r="P125" s="24">
        <f t="shared" si="707"/>
        <v>18330.544999999995</v>
      </c>
      <c r="Q125" s="24">
        <f t="shared" ref="Q125" si="708">Q116-Q115-Q110-Q123</f>
        <v>11305.677000000003</v>
      </c>
      <c r="R125" s="24">
        <f t="shared" ref="R125" si="709">R116-R115-R110-R123</f>
        <v>12684.749</v>
      </c>
      <c r="T125" s="24">
        <f t="shared" ref="T125:W125" si="710">T116-T115-T110-T123</f>
        <v>12439.96</v>
      </c>
      <c r="U125" s="24">
        <f t="shared" si="710"/>
        <v>12437.960999999999</v>
      </c>
      <c r="V125" s="24">
        <f t="shared" si="710"/>
        <v>13451.251</v>
      </c>
      <c r="W125" s="24">
        <f t="shared" si="710"/>
        <v>14049.560000000001</v>
      </c>
      <c r="X125" s="24">
        <f t="shared" ref="X125:AC125" si="711">X116-X115-X110-X123</f>
        <v>12451.270999999997</v>
      </c>
      <c r="Y125" s="24">
        <f t="shared" si="711"/>
        <v>12331.706000000004</v>
      </c>
      <c r="Z125" s="24">
        <f t="shared" si="711"/>
        <v>12255.089000000002</v>
      </c>
      <c r="AA125" s="24">
        <f t="shared" si="711"/>
        <v>12595.144</v>
      </c>
      <c r="AB125" s="24">
        <f t="shared" si="711"/>
        <v>11951.461999999998</v>
      </c>
      <c r="AC125" s="24">
        <f t="shared" si="711"/>
        <v>11859.816000000003</v>
      </c>
      <c r="AD125" s="24">
        <f t="shared" ref="AD125:AG125" si="712">AD116-AD115-AD110-AD123</f>
        <v>10372.437000000004</v>
      </c>
      <c r="AE125" s="24">
        <f t="shared" si="712"/>
        <v>10551.185000000005</v>
      </c>
      <c r="AF125" s="24">
        <f t="shared" si="712"/>
        <v>11101.692999999999</v>
      </c>
      <c r="AG125" s="24">
        <f t="shared" si="712"/>
        <v>10970.379000000004</v>
      </c>
      <c r="AH125" s="24">
        <f t="shared" ref="AH125:AS125" si="713">AH116-AH115-AH110-AH123</f>
        <v>10462.469000000005</v>
      </c>
      <c r="AI125" s="24">
        <f t="shared" si="713"/>
        <v>12081.143</v>
      </c>
      <c r="AJ125" s="220"/>
      <c r="AK125" s="220"/>
      <c r="AL125" s="220"/>
      <c r="AM125" s="24">
        <f t="shared" ref="AM125:AP125" si="714">AM116-AM115-AM110-AM123</f>
        <v>12081.143</v>
      </c>
      <c r="AN125" s="24">
        <f t="shared" si="714"/>
        <v>12880.804999999998</v>
      </c>
      <c r="AO125" s="24">
        <f t="shared" si="714"/>
        <v>18616.091000000008</v>
      </c>
      <c r="AP125" s="24">
        <f t="shared" si="714"/>
        <v>20103.605999999996</v>
      </c>
      <c r="AQ125" s="24">
        <f t="shared" ref="AQ125" si="715">AQ116-AQ115-AQ110-AQ123</f>
        <v>17981.934000000001</v>
      </c>
      <c r="AR125" s="24">
        <f t="shared" si="713"/>
        <v>12880.804999999998</v>
      </c>
      <c r="AS125" s="24">
        <f t="shared" si="713"/>
        <v>18616.091000000008</v>
      </c>
      <c r="AT125" s="24">
        <f t="shared" ref="AT125:BA125" si="716">AT116-AT115-AT110-AT123</f>
        <v>20103.605999999996</v>
      </c>
      <c r="AU125" s="24">
        <f t="shared" si="716"/>
        <v>17983.390000000007</v>
      </c>
      <c r="AV125" s="24">
        <f t="shared" ref="AV125:AW125" si="717">AV116-AV115-AV110-AV123</f>
        <v>20103.605999999996</v>
      </c>
      <c r="AW125" s="24">
        <f t="shared" si="717"/>
        <v>17982.889000000003</v>
      </c>
      <c r="AX125" s="24">
        <f t="shared" si="716"/>
        <v>20399.704000000002</v>
      </c>
      <c r="AY125" s="24">
        <f t="shared" ref="AY125" si="718">AY116-AY115-AY110-AY123</f>
        <v>20399.704000000002</v>
      </c>
      <c r="AZ125" s="24">
        <f t="shared" si="716"/>
        <v>19771.077000000005</v>
      </c>
      <c r="BA125" s="24">
        <f t="shared" si="716"/>
        <v>19771.077000000005</v>
      </c>
      <c r="BB125" s="24">
        <f t="shared" ref="BB125:BF125" si="719">BB116-BB115-BB110-BB123</f>
        <v>19161.745000000006</v>
      </c>
      <c r="BC125" s="24">
        <f t="shared" si="719"/>
        <v>19161.745000000006</v>
      </c>
      <c r="BD125" s="24">
        <f t="shared" si="719"/>
        <v>20230.014999999999</v>
      </c>
      <c r="BE125" s="24">
        <f t="shared" si="719"/>
        <v>21119.89</v>
      </c>
      <c r="BF125" s="24">
        <f t="shared" si="719"/>
        <v>20629.614000000009</v>
      </c>
      <c r="BG125" s="24">
        <f t="shared" ref="BG125:BJ125" si="720">BG116-BG115-BG110-BG123</f>
        <v>17679.676999999996</v>
      </c>
      <c r="BH125" s="24">
        <f t="shared" si="720"/>
        <v>18330.544999999995</v>
      </c>
      <c r="BI125" s="24">
        <f t="shared" si="720"/>
        <v>17893.244999999995</v>
      </c>
      <c r="BJ125" s="24">
        <f t="shared" si="720"/>
        <v>12844.308000000005</v>
      </c>
      <c r="BK125" s="24">
        <f t="shared" ref="BK125:BM125" si="721">BK116-BK115-BK110-BK123</f>
        <v>12085.825999999997</v>
      </c>
      <c r="BL125" s="24">
        <f t="shared" si="721"/>
        <v>11305.677000000003</v>
      </c>
      <c r="BM125" s="24">
        <f t="shared" si="721"/>
        <v>12684.749</v>
      </c>
      <c r="BO125" s="24">
        <f t="shared" ref="BO125:BR125" si="722">BO116-BO115-BO110-BO123</f>
        <v>20230.014000000003</v>
      </c>
      <c r="BP125" s="24">
        <f t="shared" si="722"/>
        <v>21119.89</v>
      </c>
      <c r="BQ125" s="24">
        <f t="shared" si="722"/>
        <v>20629.614000000009</v>
      </c>
      <c r="BR125" s="24">
        <f t="shared" si="722"/>
        <v>17679.676999999996</v>
      </c>
      <c r="BS125" s="24">
        <f t="shared" ref="BS125:BT125" si="723">BS116-BS115-BS110-BS123</f>
        <v>18330.544999999995</v>
      </c>
      <c r="BT125" s="24">
        <f t="shared" si="723"/>
        <v>17893.244999999995</v>
      </c>
      <c r="BV125" s="40"/>
      <c r="BW125" s="40"/>
      <c r="BY125" s="40"/>
      <c r="BZ125" s="40"/>
      <c r="CB125" s="16"/>
      <c r="CC125" s="16"/>
    </row>
    <row r="126" spans="2:81" ht="13.5" customHeight="1">
      <c r="B126" s="10" t="s">
        <v>311</v>
      </c>
      <c r="C126" s="32">
        <f>C116-C115-C110</f>
        <v>22259.881000000001</v>
      </c>
      <c r="D126" s="32">
        <f t="shared" ref="D126:F126" si="724">D116-D115-D110</f>
        <v>19183.989000000001</v>
      </c>
      <c r="E126" s="32">
        <f t="shared" si="724"/>
        <v>19121.008000000002</v>
      </c>
      <c r="F126" s="32">
        <f t="shared" si="724"/>
        <v>16826.242999999999</v>
      </c>
      <c r="G126" s="32">
        <f t="shared" ref="G126:H126" si="725">G116-G115-G110</f>
        <v>17745.439000000006</v>
      </c>
      <c r="H126" s="32">
        <f t="shared" si="725"/>
        <v>19050.494999999999</v>
      </c>
      <c r="I126" s="32">
        <f t="shared" ref="I126:K126" si="726">I116-I115-I110</f>
        <v>25434.175999999999</v>
      </c>
      <c r="J126" s="32">
        <f t="shared" ref="J126" si="727">J116-J115-J110</f>
        <v>19050.494999999999</v>
      </c>
      <c r="K126" s="32">
        <f t="shared" si="726"/>
        <v>25435.632000000005</v>
      </c>
      <c r="L126" s="32">
        <f t="shared" ref="L126:M126" si="728">L116-L115-L110</f>
        <v>25435.632000000005</v>
      </c>
      <c r="M126" s="32">
        <f t="shared" si="728"/>
        <v>24842.149000000001</v>
      </c>
      <c r="N126" s="32">
        <f t="shared" ref="N126" si="729">N116-N115-N110</f>
        <v>24842.148000000005</v>
      </c>
      <c r="O126" s="32">
        <f t="shared" ref="O126:P126" si="730">O116-O115-O110</f>
        <v>23190.984999999993</v>
      </c>
      <c r="P126" s="32">
        <f t="shared" si="730"/>
        <v>23190.984999999993</v>
      </c>
      <c r="Q126" s="32">
        <f t="shared" ref="Q126" si="731">Q116-Q115-Q110</f>
        <v>15052.458000000002</v>
      </c>
      <c r="R126" s="32">
        <f t="shared" ref="R126" si="732">R116-R115-R110</f>
        <v>15097.806</v>
      </c>
      <c r="T126" s="32">
        <f t="shared" ref="T126:W126" si="733">T116-T115-T110</f>
        <v>18154.816999999999</v>
      </c>
      <c r="U126" s="32">
        <f t="shared" si="733"/>
        <v>18672.371999999999</v>
      </c>
      <c r="V126" s="32">
        <f t="shared" si="733"/>
        <v>19469.877</v>
      </c>
      <c r="W126" s="32">
        <f t="shared" si="733"/>
        <v>19121.008000000002</v>
      </c>
      <c r="X126" s="32">
        <f t="shared" ref="X126:AC126" si="734">X116-X115-X110</f>
        <v>19201.448999999997</v>
      </c>
      <c r="Y126" s="32">
        <f t="shared" si="734"/>
        <v>17749.859000000004</v>
      </c>
      <c r="Z126" s="32">
        <f t="shared" si="734"/>
        <v>17236.847000000002</v>
      </c>
      <c r="AA126" s="32">
        <f t="shared" si="734"/>
        <v>16826.242999999999</v>
      </c>
      <c r="AB126" s="32">
        <f t="shared" si="734"/>
        <v>17914.009999999998</v>
      </c>
      <c r="AC126" s="32">
        <f t="shared" si="734"/>
        <v>17766.599000000002</v>
      </c>
      <c r="AD126" s="32">
        <f t="shared" ref="AD126:AG126" si="735">AD116-AD115-AD110</f>
        <v>21410.463000000003</v>
      </c>
      <c r="AE126" s="32">
        <f t="shared" si="735"/>
        <v>17745.439000000006</v>
      </c>
      <c r="AF126" s="32">
        <f t="shared" si="735"/>
        <v>17653.940999999999</v>
      </c>
      <c r="AG126" s="32">
        <f t="shared" si="735"/>
        <v>17972.175000000003</v>
      </c>
      <c r="AH126" s="32">
        <f t="shared" ref="AH126:AS126" si="736">AH116-AH115-AH110</f>
        <v>17783.206000000006</v>
      </c>
      <c r="AI126" s="32">
        <f t="shared" si="736"/>
        <v>19050.494999999999</v>
      </c>
      <c r="AJ126" s="223"/>
      <c r="AK126" s="223"/>
      <c r="AL126" s="223"/>
      <c r="AM126" s="32">
        <f t="shared" ref="AM126:AP126" si="737">AM116-AM115-AM110</f>
        <v>19050.494999999999</v>
      </c>
      <c r="AN126" s="32">
        <f t="shared" si="737"/>
        <v>18662.71</v>
      </c>
      <c r="AO126" s="32">
        <f t="shared" si="737"/>
        <v>25202.367000000006</v>
      </c>
      <c r="AP126" s="32">
        <f t="shared" si="737"/>
        <v>27844.941999999995</v>
      </c>
      <c r="AQ126" s="32">
        <f t="shared" ref="AQ126" si="738">AQ116-AQ115-AQ110</f>
        <v>25434.175999999999</v>
      </c>
      <c r="AR126" s="32">
        <f t="shared" si="736"/>
        <v>18662.71</v>
      </c>
      <c r="AS126" s="32">
        <f t="shared" si="736"/>
        <v>25202.367000000006</v>
      </c>
      <c r="AT126" s="32">
        <f t="shared" ref="AT126:BA126" si="739">AT116-AT115-AT110</f>
        <v>27844.941999999995</v>
      </c>
      <c r="AU126" s="32">
        <f t="shared" si="739"/>
        <v>25435.632000000005</v>
      </c>
      <c r="AV126" s="32">
        <f t="shared" ref="AV126:AW126" si="740">AV116-AV115-AV110</f>
        <v>27844.941999999995</v>
      </c>
      <c r="AW126" s="32">
        <f t="shared" si="740"/>
        <v>25435.632000000005</v>
      </c>
      <c r="AX126" s="32">
        <f t="shared" si="739"/>
        <v>25855.007000000001</v>
      </c>
      <c r="AY126" s="32">
        <f t="shared" ref="AY126" si="741">AY116-AY115-AY110</f>
        <v>25855.007000000001</v>
      </c>
      <c r="AZ126" s="32">
        <f t="shared" si="739"/>
        <v>26041.567000000006</v>
      </c>
      <c r="BA126" s="32">
        <f t="shared" si="739"/>
        <v>26041.567000000006</v>
      </c>
      <c r="BB126" s="32">
        <f t="shared" ref="BB126:BF126" si="742">BB116-BB115-BB110</f>
        <v>24819.532000000007</v>
      </c>
      <c r="BC126" s="32">
        <f t="shared" si="742"/>
        <v>24819.532000000007</v>
      </c>
      <c r="BD126" s="32">
        <f t="shared" si="742"/>
        <v>24842.149000000001</v>
      </c>
      <c r="BE126" s="32">
        <f t="shared" si="742"/>
        <v>25529.326999999997</v>
      </c>
      <c r="BF126" s="32">
        <f t="shared" si="742"/>
        <v>25806.943000000007</v>
      </c>
      <c r="BG126" s="32">
        <f t="shared" ref="BG126:BJ126" si="743">BG116-BG115-BG110</f>
        <v>22218.023999999998</v>
      </c>
      <c r="BH126" s="32">
        <f t="shared" si="743"/>
        <v>23190.984999999993</v>
      </c>
      <c r="BI126" s="32">
        <f t="shared" si="743"/>
        <v>22846.754999999997</v>
      </c>
      <c r="BJ126" s="32">
        <f t="shared" si="743"/>
        <v>17710.372000000003</v>
      </c>
      <c r="BK126" s="32">
        <f t="shared" ref="BK126:BM126" si="744">BK116-BK115-BK110</f>
        <v>15761.946999999998</v>
      </c>
      <c r="BL126" s="32">
        <f t="shared" si="744"/>
        <v>15052.458000000002</v>
      </c>
      <c r="BM126" s="32">
        <f t="shared" si="744"/>
        <v>15097.806</v>
      </c>
      <c r="BN126" s="32"/>
      <c r="BO126" s="32">
        <f t="shared" ref="BO126:BR126" si="745">BO116-BO115-BO110</f>
        <v>24842.148000000005</v>
      </c>
      <c r="BP126" s="32">
        <f t="shared" si="745"/>
        <v>25529.326999999997</v>
      </c>
      <c r="BQ126" s="32">
        <f t="shared" si="745"/>
        <v>25806.943000000007</v>
      </c>
      <c r="BR126" s="32">
        <f t="shared" si="745"/>
        <v>22218.023999999998</v>
      </c>
      <c r="BS126" s="32">
        <f t="shared" ref="BS126:BT126" si="746">BS116-BS115-BS110</f>
        <v>23190.984999999993</v>
      </c>
      <c r="BT126" s="32">
        <f t="shared" si="746"/>
        <v>22846.754999999997</v>
      </c>
      <c r="BV126" s="40"/>
      <c r="BW126" s="40"/>
      <c r="BY126" s="40"/>
      <c r="BZ126" s="40"/>
      <c r="CB126" s="16"/>
      <c r="CC126" s="16"/>
    </row>
    <row r="127" spans="2:81" ht="13.5" customHeight="1">
      <c r="B127" s="25"/>
      <c r="C127" s="22"/>
      <c r="D127" s="22"/>
      <c r="E127" s="22"/>
      <c r="F127" s="22"/>
      <c r="G127" s="22"/>
      <c r="H127" s="22"/>
      <c r="I127" s="22"/>
      <c r="J127" s="22"/>
      <c r="K127" s="22"/>
      <c r="L127" s="22"/>
      <c r="M127" s="22"/>
      <c r="N127" s="22"/>
      <c r="O127" s="22"/>
      <c r="P127" s="22"/>
      <c r="Q127" s="22"/>
      <c r="R127" s="22"/>
      <c r="T127" s="22"/>
      <c r="U127" s="22"/>
      <c r="V127" s="22"/>
      <c r="W127" s="22"/>
      <c r="X127" s="22"/>
      <c r="Y127" s="22"/>
      <c r="Z127" s="22"/>
      <c r="AA127" s="22"/>
      <c r="AB127" s="22"/>
      <c r="AC127" s="22"/>
      <c r="AD127" s="22"/>
      <c r="AE127" s="22"/>
      <c r="AF127" s="22"/>
      <c r="AG127" s="22"/>
      <c r="AH127" s="22"/>
      <c r="AI127" s="22"/>
      <c r="AJ127" s="221"/>
      <c r="AK127" s="221"/>
      <c r="AL127" s="221"/>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O127" s="22"/>
      <c r="BP127" s="22"/>
      <c r="BQ127" s="22"/>
      <c r="BR127" s="22"/>
      <c r="BS127" s="22"/>
      <c r="BT127" s="22"/>
      <c r="BV127" s="40"/>
      <c r="BW127" s="40"/>
      <c r="BY127" s="40"/>
      <c r="BZ127" s="40"/>
      <c r="CB127" s="16"/>
      <c r="CC127" s="16"/>
    </row>
    <row r="128" spans="2:81" ht="13.5" customHeight="1">
      <c r="B128" s="6" t="s">
        <v>312</v>
      </c>
      <c r="C128" s="24">
        <f t="shared" ref="C128:AC128" si="747">C116-C123</f>
        <v>22053.169000000002</v>
      </c>
      <c r="D128" s="24">
        <f t="shared" si="747"/>
        <v>19117.344000000001</v>
      </c>
      <c r="E128" s="24">
        <f t="shared" ref="E128:J128" si="748">E116-E123</f>
        <v>14049.560000000001</v>
      </c>
      <c r="F128" s="24">
        <f t="shared" si="748"/>
        <v>21435.460999999999</v>
      </c>
      <c r="G128" s="24">
        <f t="shared" si="748"/>
        <v>20179.781000000003</v>
      </c>
      <c r="H128" s="24">
        <f t="shared" si="748"/>
        <v>22252.137999999999</v>
      </c>
      <c r="I128" s="24">
        <f t="shared" ref="I128:K128" si="749">I116-I123</f>
        <v>28425.824999999997</v>
      </c>
      <c r="J128" s="24">
        <f t="shared" si="748"/>
        <v>22252.137999999999</v>
      </c>
      <c r="K128" s="24">
        <f t="shared" si="749"/>
        <v>28427.281000000003</v>
      </c>
      <c r="L128" s="24">
        <f t="shared" ref="L128:M128" si="750">L116-L123</f>
        <v>28426.78</v>
      </c>
      <c r="M128" s="24">
        <f t="shared" si="750"/>
        <v>32332.023000000001</v>
      </c>
      <c r="N128" s="24">
        <f t="shared" ref="N128" si="751">N116-N123</f>
        <v>32332.022000000001</v>
      </c>
      <c r="O128" s="24">
        <f t="shared" ref="O128:P128" si="752">O116-O123</f>
        <v>29365.531999999996</v>
      </c>
      <c r="P128" s="24">
        <f t="shared" si="752"/>
        <v>29365.531999999996</v>
      </c>
      <c r="Q128" s="24">
        <f t="shared" ref="Q128" si="753">Q116-Q123</f>
        <v>13107.782000000003</v>
      </c>
      <c r="R128" s="24">
        <f t="shared" ref="R128" si="754">R116-R123</f>
        <v>14481.325000000001</v>
      </c>
      <c r="T128" s="24">
        <f t="shared" ref="T128:W128" si="755">T116-T123</f>
        <v>12439.96</v>
      </c>
      <c r="U128" s="24">
        <f t="shared" si="755"/>
        <v>12437.960999999999</v>
      </c>
      <c r="V128" s="24">
        <f t="shared" si="755"/>
        <v>13451.251</v>
      </c>
      <c r="W128" s="24">
        <f t="shared" si="755"/>
        <v>14049.560000000001</v>
      </c>
      <c r="X128" s="24">
        <f t="shared" si="747"/>
        <v>19682.152999999998</v>
      </c>
      <c r="Y128" s="24">
        <f t="shared" si="747"/>
        <v>20191.498000000007</v>
      </c>
      <c r="Z128" s="24">
        <f t="shared" si="747"/>
        <v>20716.927000000003</v>
      </c>
      <c r="AA128" s="24">
        <f t="shared" si="747"/>
        <v>21435.460999999999</v>
      </c>
      <c r="AB128" s="24">
        <f t="shared" si="747"/>
        <v>20483.867999999995</v>
      </c>
      <c r="AC128" s="24">
        <f t="shared" si="747"/>
        <v>20931.153000000002</v>
      </c>
      <c r="AD128" s="24">
        <f t="shared" ref="AD128:AG128" si="756">AD116-AD123</f>
        <v>19548.571000000004</v>
      </c>
      <c r="AE128" s="24">
        <f t="shared" si="756"/>
        <v>20179.781000000003</v>
      </c>
      <c r="AF128" s="24">
        <f t="shared" si="756"/>
        <v>20419.964</v>
      </c>
      <c r="AG128" s="24">
        <f t="shared" si="756"/>
        <v>20320.353000000003</v>
      </c>
      <c r="AH128" s="24">
        <f t="shared" ref="AH128:AS128" si="757">AH116-AH123</f>
        <v>20386.122000000003</v>
      </c>
      <c r="AI128" s="24">
        <f t="shared" si="757"/>
        <v>22252.137999999999</v>
      </c>
      <c r="AJ128" s="220"/>
      <c r="AK128" s="220"/>
      <c r="AL128" s="220"/>
      <c r="AM128" s="24">
        <f t="shared" ref="AM128:AP128" si="758">AM116-AM123</f>
        <v>22252.137999999999</v>
      </c>
      <c r="AN128" s="24">
        <f t="shared" si="758"/>
        <v>23060.507999999994</v>
      </c>
      <c r="AO128" s="24">
        <f t="shared" si="758"/>
        <v>29266.434000000008</v>
      </c>
      <c r="AP128" s="24">
        <f t="shared" si="758"/>
        <v>31445.026999999998</v>
      </c>
      <c r="AQ128" s="24">
        <f t="shared" ref="AQ128" si="759">AQ116-AQ123</f>
        <v>28425.824999999997</v>
      </c>
      <c r="AR128" s="24">
        <f t="shared" si="757"/>
        <v>23060.507999999994</v>
      </c>
      <c r="AS128" s="24">
        <f t="shared" si="757"/>
        <v>29266.434000000008</v>
      </c>
      <c r="AT128" s="24">
        <f t="shared" ref="AT128:BA128" si="760">AT116-AT123</f>
        <v>31445.026999999998</v>
      </c>
      <c r="AU128" s="24">
        <f t="shared" si="760"/>
        <v>28427.281000000003</v>
      </c>
      <c r="AV128" s="24">
        <f t="shared" ref="AV128:AW128" si="761">AV116-AV123</f>
        <v>31445.026999999998</v>
      </c>
      <c r="AW128" s="24">
        <f t="shared" si="761"/>
        <v>28426.78</v>
      </c>
      <c r="AX128" s="24">
        <f t="shared" si="760"/>
        <v>31211.046000000002</v>
      </c>
      <c r="AY128" s="24">
        <f t="shared" ref="AY128" si="762">AY116-AY123</f>
        <v>31211.046000000002</v>
      </c>
      <c r="AZ128" s="24">
        <f t="shared" si="760"/>
        <v>31494.606000000007</v>
      </c>
      <c r="BA128" s="24">
        <f t="shared" si="760"/>
        <v>31494.606000000007</v>
      </c>
      <c r="BB128" s="24">
        <f t="shared" ref="BB128:BF128" si="763">BB116-BB123</f>
        <v>31087.112000000005</v>
      </c>
      <c r="BC128" s="24">
        <f t="shared" si="763"/>
        <v>31087.112000000005</v>
      </c>
      <c r="BD128" s="24">
        <f t="shared" si="763"/>
        <v>32332.023000000001</v>
      </c>
      <c r="BE128" s="24">
        <f t="shared" si="763"/>
        <v>32934.633999999998</v>
      </c>
      <c r="BF128" s="24">
        <f t="shared" si="763"/>
        <v>32061.457000000009</v>
      </c>
      <c r="BG128" s="24">
        <f t="shared" ref="BG128:BJ128" si="764">BG116-BG123</f>
        <v>28261.282999999996</v>
      </c>
      <c r="BH128" s="24">
        <f t="shared" si="764"/>
        <v>29365.531999999996</v>
      </c>
      <c r="BI128" s="24">
        <f t="shared" si="764"/>
        <v>28106.788999999997</v>
      </c>
      <c r="BJ128" s="24">
        <f t="shared" si="764"/>
        <v>14523.239000000001</v>
      </c>
      <c r="BK128" s="24">
        <f t="shared" ref="BK128:BM128" si="765">BK116-BK123</f>
        <v>13803.212</v>
      </c>
      <c r="BL128" s="24">
        <f t="shared" si="765"/>
        <v>13107.782000000003</v>
      </c>
      <c r="BM128" s="24">
        <f t="shared" si="765"/>
        <v>14481.325000000001</v>
      </c>
      <c r="BO128" s="24">
        <f t="shared" ref="BO128:BR128" si="766">BO116-BO123</f>
        <v>32332.022000000001</v>
      </c>
      <c r="BP128" s="24">
        <f t="shared" si="766"/>
        <v>32934.633999999998</v>
      </c>
      <c r="BQ128" s="24">
        <f t="shared" si="766"/>
        <v>32061.457000000009</v>
      </c>
      <c r="BR128" s="24">
        <f t="shared" si="766"/>
        <v>28261.282999999996</v>
      </c>
      <c r="BS128" s="24">
        <f>BS116-BS123</f>
        <v>29365.531999999996</v>
      </c>
      <c r="BT128" s="24">
        <f t="shared" ref="BT128" si="767">BT116-BT123</f>
        <v>28106.788999999997</v>
      </c>
      <c r="BV128" s="40"/>
      <c r="BW128" s="40"/>
      <c r="BY128" s="40"/>
      <c r="BZ128" s="40"/>
      <c r="CB128" s="16"/>
      <c r="CC128" s="16"/>
    </row>
    <row r="129" spans="2:81" ht="13.5" customHeight="1">
      <c r="B129" s="10" t="s">
        <v>313</v>
      </c>
      <c r="C129" s="32">
        <f t="shared" ref="C129:AC129" si="768">C116</f>
        <v>22259.881000000001</v>
      </c>
      <c r="D129" s="32">
        <f t="shared" si="768"/>
        <v>19183.989000000001</v>
      </c>
      <c r="E129" s="32">
        <f t="shared" ref="E129:J129" si="769">E116</f>
        <v>19121.008000000002</v>
      </c>
      <c r="F129" s="32">
        <f t="shared" si="769"/>
        <v>25666.559999999998</v>
      </c>
      <c r="G129" s="32">
        <f t="shared" si="769"/>
        <v>27374.035000000003</v>
      </c>
      <c r="H129" s="32">
        <f t="shared" si="769"/>
        <v>29221.489999999998</v>
      </c>
      <c r="I129" s="32">
        <f t="shared" ref="I129:K129" si="770">I116</f>
        <v>35878.066999999995</v>
      </c>
      <c r="J129" s="32">
        <f t="shared" si="769"/>
        <v>29221.489999999998</v>
      </c>
      <c r="K129" s="32">
        <f t="shared" si="770"/>
        <v>35879.523000000001</v>
      </c>
      <c r="L129" s="32">
        <f t="shared" ref="L129:M129" si="771">L116</f>
        <v>35879.523000000001</v>
      </c>
      <c r="M129" s="32">
        <f t="shared" si="771"/>
        <v>36944.156999999999</v>
      </c>
      <c r="N129" s="32">
        <f t="shared" ref="N129" si="772">N116</f>
        <v>36944.156000000003</v>
      </c>
      <c r="O129" s="32">
        <f t="shared" ref="O129:P129" si="773">O116</f>
        <v>34225.971999999994</v>
      </c>
      <c r="P129" s="32">
        <f t="shared" si="773"/>
        <v>34225.971999999994</v>
      </c>
      <c r="Q129" s="32">
        <f t="shared" ref="Q129" si="774">Q116</f>
        <v>16854.563000000002</v>
      </c>
      <c r="R129" s="32">
        <f t="shared" ref="R129" si="775">R116</f>
        <v>16894.382000000001</v>
      </c>
      <c r="T129" s="32">
        <f t="shared" ref="T129:W129" si="776">T116</f>
        <v>18154.816999999999</v>
      </c>
      <c r="U129" s="32">
        <f t="shared" si="776"/>
        <v>18672.371999999999</v>
      </c>
      <c r="V129" s="32">
        <f t="shared" si="776"/>
        <v>19469.877</v>
      </c>
      <c r="W129" s="32">
        <f t="shared" si="776"/>
        <v>19121.008000000002</v>
      </c>
      <c r="X129" s="32">
        <f t="shared" si="768"/>
        <v>26432.330999999998</v>
      </c>
      <c r="Y129" s="32">
        <f t="shared" si="768"/>
        <v>25609.651000000005</v>
      </c>
      <c r="Z129" s="32">
        <f t="shared" si="768"/>
        <v>25698.685000000001</v>
      </c>
      <c r="AA129" s="32">
        <f t="shared" si="768"/>
        <v>25666.559999999998</v>
      </c>
      <c r="AB129" s="32">
        <f t="shared" si="768"/>
        <v>26446.415999999997</v>
      </c>
      <c r="AC129" s="32">
        <f t="shared" si="768"/>
        <v>26837.936000000002</v>
      </c>
      <c r="AD129" s="32">
        <f t="shared" ref="AD129:AG129" si="777">AD116</f>
        <v>30586.597000000002</v>
      </c>
      <c r="AE129" s="32">
        <f t="shared" si="777"/>
        <v>27374.035000000003</v>
      </c>
      <c r="AF129" s="32">
        <f t="shared" si="777"/>
        <v>26972.212</v>
      </c>
      <c r="AG129" s="32">
        <f t="shared" si="777"/>
        <v>27322.149000000001</v>
      </c>
      <c r="AH129" s="32">
        <f t="shared" ref="AH129:AS129" si="778">AH116</f>
        <v>27706.859000000004</v>
      </c>
      <c r="AI129" s="32">
        <f t="shared" si="778"/>
        <v>29221.489999999998</v>
      </c>
      <c r="AJ129" s="223"/>
      <c r="AK129" s="223"/>
      <c r="AL129" s="223"/>
      <c r="AM129" s="32">
        <f t="shared" ref="AM129:AP129" si="779">AM116</f>
        <v>29221.489999999998</v>
      </c>
      <c r="AN129" s="32">
        <f t="shared" si="779"/>
        <v>28842.412999999997</v>
      </c>
      <c r="AO129" s="32">
        <f t="shared" si="779"/>
        <v>35852.710000000006</v>
      </c>
      <c r="AP129" s="32">
        <f t="shared" si="779"/>
        <v>39186.362999999998</v>
      </c>
      <c r="AQ129" s="32">
        <f t="shared" ref="AQ129" si="780">AQ116</f>
        <v>35878.066999999995</v>
      </c>
      <c r="AR129" s="32">
        <f t="shared" si="778"/>
        <v>28842.412999999997</v>
      </c>
      <c r="AS129" s="32">
        <f t="shared" si="778"/>
        <v>35852.710000000006</v>
      </c>
      <c r="AT129" s="32">
        <f t="shared" ref="AT129:BA129" si="781">AT116</f>
        <v>39186.362999999998</v>
      </c>
      <c r="AU129" s="32">
        <f t="shared" si="781"/>
        <v>35879.523000000001</v>
      </c>
      <c r="AV129" s="32">
        <f t="shared" ref="AV129:AW129" si="782">AV116</f>
        <v>39186.362999999998</v>
      </c>
      <c r="AW129" s="32">
        <f t="shared" si="782"/>
        <v>35879.523000000001</v>
      </c>
      <c r="AX129" s="32">
        <f t="shared" si="781"/>
        <v>36666.349000000002</v>
      </c>
      <c r="AY129" s="32">
        <f t="shared" ref="AY129" si="783">AY116</f>
        <v>36666.349000000002</v>
      </c>
      <c r="AZ129" s="32">
        <f t="shared" si="781"/>
        <v>37765.096000000005</v>
      </c>
      <c r="BA129" s="32">
        <f t="shared" si="781"/>
        <v>37765.096000000005</v>
      </c>
      <c r="BB129" s="32">
        <f t="shared" ref="BB129:BF129" si="784">BB116</f>
        <v>36744.899000000005</v>
      </c>
      <c r="BC129" s="32">
        <f t="shared" si="784"/>
        <v>36744.899000000005</v>
      </c>
      <c r="BD129" s="32">
        <f t="shared" si="784"/>
        <v>36944.156999999999</v>
      </c>
      <c r="BE129" s="32">
        <f t="shared" si="784"/>
        <v>37344.070999999996</v>
      </c>
      <c r="BF129" s="32">
        <f t="shared" si="784"/>
        <v>37238.786000000007</v>
      </c>
      <c r="BG129" s="32">
        <f t="shared" ref="BG129:BJ129" si="785">BG116</f>
        <v>32799.629999999997</v>
      </c>
      <c r="BH129" s="32">
        <f t="shared" si="785"/>
        <v>34225.971999999994</v>
      </c>
      <c r="BI129" s="32">
        <f t="shared" si="785"/>
        <v>33060.298999999999</v>
      </c>
      <c r="BJ129" s="32">
        <f t="shared" si="785"/>
        <v>19389.303</v>
      </c>
      <c r="BK129" s="32">
        <f t="shared" ref="BK129:BM129" si="786">BK116</f>
        <v>17479.332999999999</v>
      </c>
      <c r="BL129" s="32">
        <f t="shared" si="786"/>
        <v>16854.563000000002</v>
      </c>
      <c r="BM129" s="32">
        <f t="shared" si="786"/>
        <v>16894.382000000001</v>
      </c>
      <c r="BO129" s="32">
        <f t="shared" ref="BO129:BR129" si="787">BO116</f>
        <v>36944.156000000003</v>
      </c>
      <c r="BP129" s="32">
        <f t="shared" si="787"/>
        <v>37344.070999999996</v>
      </c>
      <c r="BQ129" s="32">
        <f t="shared" si="787"/>
        <v>37238.786000000007</v>
      </c>
      <c r="BR129" s="32">
        <f t="shared" si="787"/>
        <v>32799.629999999997</v>
      </c>
      <c r="BS129" s="32">
        <f t="shared" ref="BS129:BT129" si="788">BS116</f>
        <v>34225.971999999994</v>
      </c>
      <c r="BT129" s="32">
        <f t="shared" si="788"/>
        <v>33060.298999999999</v>
      </c>
      <c r="BV129" s="40"/>
      <c r="BW129" s="40"/>
      <c r="BY129" s="40"/>
      <c r="BZ129" s="40"/>
      <c r="CB129" s="16"/>
      <c r="CC129" s="16"/>
    </row>
    <row r="130" spans="2:81" ht="13.5" customHeight="1">
      <c r="C130" s="32"/>
      <c r="D130" s="32"/>
      <c r="E130" s="32"/>
      <c r="F130" s="32"/>
      <c r="G130" s="32"/>
      <c r="H130" s="32"/>
      <c r="I130" s="32"/>
      <c r="K130" s="32"/>
      <c r="L130" s="32"/>
      <c r="M130" s="32"/>
      <c r="N130" s="32"/>
      <c r="O130" s="32"/>
      <c r="P130" s="32"/>
      <c r="Q130" s="32"/>
      <c r="BV130" s="40"/>
      <c r="BW130" s="40"/>
      <c r="BY130" s="40"/>
      <c r="BZ130" s="40"/>
      <c r="CB130" s="16"/>
      <c r="CC130" s="16"/>
    </row>
    <row r="131" spans="2:81" ht="13.5" customHeight="1" outlineLevel="1">
      <c r="B131" s="10" t="s">
        <v>314</v>
      </c>
      <c r="C131" s="180">
        <v>28618.100999999999</v>
      </c>
      <c r="D131" s="43">
        <v>30504.582999999999</v>
      </c>
      <c r="E131" s="43">
        <v>23214.705999999998</v>
      </c>
      <c r="F131" s="43">
        <v>22220.023000000001</v>
      </c>
      <c r="G131" s="43">
        <v>23879.43</v>
      </c>
      <c r="H131" s="43">
        <v>25065.829000000002</v>
      </c>
      <c r="I131" s="43">
        <v>30643.406999999999</v>
      </c>
      <c r="J131" s="43">
        <v>25065.829000000002</v>
      </c>
      <c r="K131" s="43">
        <v>30680.35</v>
      </c>
      <c r="L131" s="43">
        <v>30680.35</v>
      </c>
      <c r="M131" s="43">
        <v>28235.31</v>
      </c>
      <c r="N131" s="43">
        <v>28235.31</v>
      </c>
      <c r="O131" s="43">
        <v>27576.713</v>
      </c>
      <c r="P131" s="43">
        <v>27576.713</v>
      </c>
      <c r="Q131" s="43">
        <v>24068.415000000001</v>
      </c>
      <c r="R131" s="32">
        <f t="shared" ref="R131" si="789">BM131</f>
        <v>23762.062000000002</v>
      </c>
      <c r="T131" s="181">
        <v>28916.805</v>
      </c>
      <c r="U131" s="181">
        <v>25879.544999999998</v>
      </c>
      <c r="V131" s="181">
        <v>24764.659</v>
      </c>
      <c r="W131" s="32">
        <f>+E131</f>
        <v>23214.705999999998</v>
      </c>
      <c r="X131" s="181">
        <v>22663.953000000001</v>
      </c>
      <c r="Y131" s="181">
        <v>23067.981</v>
      </c>
      <c r="Z131" s="181">
        <v>22641.059000000001</v>
      </c>
      <c r="AA131" s="32">
        <f>F131</f>
        <v>22220.023000000001</v>
      </c>
      <c r="AB131" s="181">
        <v>21652.248</v>
      </c>
      <c r="AC131" s="181">
        <v>22384.74</v>
      </c>
      <c r="AD131" s="181">
        <v>21889.022000000001</v>
      </c>
      <c r="AE131" s="32">
        <f>G131</f>
        <v>23879.43</v>
      </c>
      <c r="AF131" s="181">
        <v>23842.499</v>
      </c>
      <c r="AG131" s="181">
        <v>24331.616999999998</v>
      </c>
      <c r="AH131" s="181">
        <v>24636.275000000001</v>
      </c>
      <c r="AI131" s="32">
        <f>H131</f>
        <v>25065.829000000002</v>
      </c>
      <c r="AJ131" s="223"/>
      <c r="AK131" s="223"/>
      <c r="AL131" s="223"/>
      <c r="AM131" s="181">
        <f>J131</f>
        <v>25065.829000000002</v>
      </c>
      <c r="AN131" s="181">
        <v>23913.594000000001</v>
      </c>
      <c r="AO131" s="181">
        <v>24284.591</v>
      </c>
      <c r="AP131" s="181">
        <v>24397.092000000001</v>
      </c>
      <c r="AQ131" s="43">
        <f>I131</f>
        <v>30643.406999999999</v>
      </c>
      <c r="AR131" s="181">
        <v>23913.594000000001</v>
      </c>
      <c r="AS131" s="181">
        <v>24284.591</v>
      </c>
      <c r="AT131" s="181">
        <v>24397.092000000001</v>
      </c>
      <c r="AU131" s="44">
        <f>K131</f>
        <v>30680.35</v>
      </c>
      <c r="AV131" s="181">
        <v>24397.092000000001</v>
      </c>
      <c r="AW131" s="44">
        <f>L131</f>
        <v>30680.35</v>
      </c>
      <c r="AX131" s="181">
        <v>30858.001</v>
      </c>
      <c r="AY131" s="43">
        <v>30858.001</v>
      </c>
      <c r="AZ131" s="181">
        <v>31133.85</v>
      </c>
      <c r="BA131" s="181">
        <v>31133.85</v>
      </c>
      <c r="BB131" s="181">
        <v>29285.859</v>
      </c>
      <c r="BC131" s="181">
        <v>29285.859</v>
      </c>
      <c r="BD131" s="44">
        <f>M131</f>
        <v>28235.31</v>
      </c>
      <c r="BE131" s="181">
        <v>28288.59</v>
      </c>
      <c r="BF131" s="181">
        <v>27966.955000000002</v>
      </c>
      <c r="BG131" s="181">
        <v>27053.624</v>
      </c>
      <c r="BH131" s="44">
        <f t="shared" ref="BH131" si="790">O131</f>
        <v>27576.713</v>
      </c>
      <c r="BI131" s="181">
        <v>26978.134999999998</v>
      </c>
      <c r="BJ131" s="181">
        <v>25306.507000000001</v>
      </c>
      <c r="BK131" s="181">
        <v>24607.75</v>
      </c>
      <c r="BL131" s="44">
        <f>Q131</f>
        <v>24068.415000000001</v>
      </c>
      <c r="BM131" s="181">
        <v>23762.062000000002</v>
      </c>
      <c r="BO131" s="44">
        <f>N131</f>
        <v>28235.31</v>
      </c>
      <c r="BP131" s="44">
        <f>BE131</f>
        <v>28288.59</v>
      </c>
      <c r="BQ131" s="44">
        <f>BF131</f>
        <v>27966.955000000002</v>
      </c>
      <c r="BR131" s="44">
        <f>BG131</f>
        <v>27053.624</v>
      </c>
      <c r="BS131" s="44">
        <f>P131</f>
        <v>27576.713</v>
      </c>
      <c r="BT131" s="44">
        <f>BI131</f>
        <v>26978.134999999998</v>
      </c>
      <c r="BV131" s="40"/>
      <c r="BW131" s="40"/>
      <c r="BY131" s="40"/>
      <c r="BZ131" s="40"/>
      <c r="CB131" s="16"/>
      <c r="CC131" s="16"/>
    </row>
    <row r="132" spans="2:81" s="6" customFormat="1" ht="13.5" customHeight="1" outlineLevel="1">
      <c r="B132" s="6" t="s">
        <v>315</v>
      </c>
      <c r="C132" s="50">
        <f t="shared" ref="C132:J132" si="791">C129+C131</f>
        <v>50877.982000000004</v>
      </c>
      <c r="D132" s="50">
        <f t="shared" si="791"/>
        <v>49688.572</v>
      </c>
      <c r="E132" s="50">
        <f t="shared" si="791"/>
        <v>42335.714</v>
      </c>
      <c r="F132" s="50">
        <f t="shared" si="791"/>
        <v>47886.582999999999</v>
      </c>
      <c r="G132" s="50">
        <f t="shared" ref="G132" si="792">G129+G131</f>
        <v>51253.465000000004</v>
      </c>
      <c r="H132" s="50">
        <f t="shared" si="791"/>
        <v>54287.319000000003</v>
      </c>
      <c r="I132" s="50">
        <f t="shared" ref="I132:K132" si="793">I129+I131</f>
        <v>66521.473999999987</v>
      </c>
      <c r="J132" s="50">
        <f t="shared" si="791"/>
        <v>54287.319000000003</v>
      </c>
      <c r="K132" s="50">
        <f t="shared" si="793"/>
        <v>66559.872999999992</v>
      </c>
      <c r="L132" s="50">
        <f t="shared" ref="L132:M132" si="794">L129+L131</f>
        <v>66559.872999999992</v>
      </c>
      <c r="M132" s="50">
        <f t="shared" si="794"/>
        <v>65179.467000000004</v>
      </c>
      <c r="N132" s="50">
        <f t="shared" ref="N132" si="795">N129+N131</f>
        <v>65179.466</v>
      </c>
      <c r="O132" s="50">
        <f t="shared" ref="O132:P132" si="796">O129+O131</f>
        <v>61802.684999999998</v>
      </c>
      <c r="P132" s="50">
        <f t="shared" si="796"/>
        <v>61802.684999999998</v>
      </c>
      <c r="Q132" s="50">
        <f t="shared" ref="Q132" si="797">Q129+Q131</f>
        <v>40922.978000000003</v>
      </c>
      <c r="R132" s="50">
        <f t="shared" ref="R132" si="798">R129+R131</f>
        <v>40656.444000000003</v>
      </c>
      <c r="S132"/>
      <c r="T132" s="50">
        <f t="shared" ref="T132:AC132" si="799">T129+T131</f>
        <v>47071.622000000003</v>
      </c>
      <c r="U132" s="50">
        <f t="shared" si="799"/>
        <v>44551.917000000001</v>
      </c>
      <c r="V132" s="50">
        <f t="shared" si="799"/>
        <v>44234.536</v>
      </c>
      <c r="W132" s="50">
        <f t="shared" si="799"/>
        <v>42335.714</v>
      </c>
      <c r="X132" s="50">
        <f t="shared" si="799"/>
        <v>49096.284</v>
      </c>
      <c r="Y132" s="50">
        <f t="shared" si="799"/>
        <v>48677.632000000005</v>
      </c>
      <c r="Z132" s="50">
        <f t="shared" si="799"/>
        <v>48339.744000000006</v>
      </c>
      <c r="AA132" s="50">
        <f t="shared" si="799"/>
        <v>47886.582999999999</v>
      </c>
      <c r="AB132" s="50">
        <f t="shared" si="799"/>
        <v>48098.663999999997</v>
      </c>
      <c r="AC132" s="50">
        <f t="shared" si="799"/>
        <v>49222.676000000007</v>
      </c>
      <c r="AD132" s="50">
        <f t="shared" ref="AD132:AG132" si="800">AD129+AD131</f>
        <v>52475.619000000006</v>
      </c>
      <c r="AE132" s="50">
        <f t="shared" si="800"/>
        <v>51253.465000000004</v>
      </c>
      <c r="AF132" s="50">
        <f t="shared" si="800"/>
        <v>50814.710999999996</v>
      </c>
      <c r="AG132" s="50">
        <f t="shared" si="800"/>
        <v>51653.766000000003</v>
      </c>
      <c r="AH132" s="50">
        <f t="shared" ref="AH132:AS132" si="801">AH129+AH131</f>
        <v>52343.134000000005</v>
      </c>
      <c r="AI132" s="50">
        <f t="shared" si="801"/>
        <v>54287.319000000003</v>
      </c>
      <c r="AJ132" s="230"/>
      <c r="AK132" s="230"/>
      <c r="AL132" s="230"/>
      <c r="AM132" s="50">
        <f t="shared" ref="AM132:AP132" si="802">AM129+AM131</f>
        <v>54287.319000000003</v>
      </c>
      <c r="AN132" s="50">
        <f t="shared" si="802"/>
        <v>52756.006999999998</v>
      </c>
      <c r="AO132" s="50">
        <f t="shared" si="802"/>
        <v>60137.301000000007</v>
      </c>
      <c r="AP132" s="50">
        <f t="shared" si="802"/>
        <v>63583.455000000002</v>
      </c>
      <c r="AQ132" s="50">
        <f t="shared" ref="AQ132" si="803">AQ129+AQ131</f>
        <v>66521.473999999987</v>
      </c>
      <c r="AR132" s="50">
        <f t="shared" si="801"/>
        <v>52756.006999999998</v>
      </c>
      <c r="AS132" s="50">
        <f t="shared" si="801"/>
        <v>60137.301000000007</v>
      </c>
      <c r="AT132" s="50">
        <f t="shared" ref="AT132:BA132" si="804">AT129+AT131</f>
        <v>63583.455000000002</v>
      </c>
      <c r="AU132" s="50">
        <f t="shared" si="804"/>
        <v>66559.872999999992</v>
      </c>
      <c r="AV132" s="50">
        <f t="shared" ref="AV132:AW132" si="805">AV129+AV131</f>
        <v>63583.455000000002</v>
      </c>
      <c r="AW132" s="50">
        <f t="shared" si="805"/>
        <v>66559.872999999992</v>
      </c>
      <c r="AX132" s="50">
        <f t="shared" si="804"/>
        <v>67524.350000000006</v>
      </c>
      <c r="AY132" s="50">
        <f t="shared" ref="AY132" si="806">AY129+AY131</f>
        <v>67524.350000000006</v>
      </c>
      <c r="AZ132" s="50">
        <f t="shared" si="804"/>
        <v>68898.945999999996</v>
      </c>
      <c r="BA132" s="50">
        <f t="shared" si="804"/>
        <v>68898.945999999996</v>
      </c>
      <c r="BB132" s="50">
        <f t="shared" ref="BB132:BF132" si="807">BB129+BB131</f>
        <v>66030.758000000002</v>
      </c>
      <c r="BC132" s="50">
        <f t="shared" si="807"/>
        <v>66030.758000000002</v>
      </c>
      <c r="BD132" s="50">
        <f t="shared" si="807"/>
        <v>65179.467000000004</v>
      </c>
      <c r="BE132" s="50">
        <f t="shared" si="807"/>
        <v>65632.660999999993</v>
      </c>
      <c r="BF132" s="50">
        <f t="shared" si="807"/>
        <v>65205.741000000009</v>
      </c>
      <c r="BG132" s="50">
        <f t="shared" ref="BG132:BJ132" si="808">BG129+BG131</f>
        <v>59853.254000000001</v>
      </c>
      <c r="BH132" s="50">
        <f t="shared" si="808"/>
        <v>61802.684999999998</v>
      </c>
      <c r="BI132" s="50">
        <f t="shared" si="808"/>
        <v>60038.433999999994</v>
      </c>
      <c r="BJ132" s="50">
        <f t="shared" si="808"/>
        <v>44695.81</v>
      </c>
      <c r="BK132" s="50">
        <f t="shared" ref="BK132:BM132" si="809">BK129+BK131</f>
        <v>42087.082999999999</v>
      </c>
      <c r="BL132" s="50">
        <f t="shared" si="809"/>
        <v>40922.978000000003</v>
      </c>
      <c r="BM132" s="50">
        <f t="shared" si="809"/>
        <v>40656.444000000003</v>
      </c>
      <c r="BO132" s="50">
        <f t="shared" ref="BO132:BR132" si="810">BO129+BO131</f>
        <v>65179.466</v>
      </c>
      <c r="BP132" s="50">
        <f t="shared" si="810"/>
        <v>65632.660999999993</v>
      </c>
      <c r="BQ132" s="50">
        <f t="shared" si="810"/>
        <v>65205.741000000009</v>
      </c>
      <c r="BR132" s="50">
        <f t="shared" si="810"/>
        <v>59853.254000000001</v>
      </c>
      <c r="BS132" s="50">
        <f t="shared" ref="BS132:BT132" si="811">BS129+BS131</f>
        <v>61802.684999999998</v>
      </c>
      <c r="BT132" s="50">
        <f t="shared" si="811"/>
        <v>60038.433999999994</v>
      </c>
      <c r="BV132" s="40"/>
      <c r="BW132" s="40"/>
      <c r="BY132" s="40"/>
      <c r="BZ132" s="40"/>
      <c r="CB132" s="16"/>
      <c r="CC132" s="16"/>
    </row>
    <row r="133" spans="2:81" ht="13.5" customHeight="1">
      <c r="AJ133" s="228"/>
      <c r="AK133" s="228"/>
      <c r="AL133" s="228"/>
      <c r="BV133" s="40"/>
      <c r="BW133" s="40"/>
      <c r="BY133" s="40"/>
      <c r="BZ133" s="40"/>
      <c r="CB133" s="16"/>
      <c r="CC133" s="16"/>
    </row>
    <row r="134" spans="2:81" ht="13.5" customHeight="1">
      <c r="B134" s="11" t="s">
        <v>316</v>
      </c>
      <c r="C134" s="31">
        <f>+C96</f>
        <v>42707</v>
      </c>
      <c r="D134" s="37">
        <f>+D96</f>
        <v>43073</v>
      </c>
      <c r="E134" s="37">
        <f t="shared" ref="E134:Q134" si="812">E3</f>
        <v>43438</v>
      </c>
      <c r="F134" s="37">
        <f t="shared" si="812"/>
        <v>43803</v>
      </c>
      <c r="G134" s="37">
        <f t="shared" si="812"/>
        <v>44169</v>
      </c>
      <c r="H134" s="37">
        <f t="shared" si="812"/>
        <v>44561</v>
      </c>
      <c r="I134" s="37">
        <f t="shared" si="812"/>
        <v>44926</v>
      </c>
      <c r="J134" s="37">
        <f t="shared" si="812"/>
        <v>44561</v>
      </c>
      <c r="K134" s="37">
        <f t="shared" si="812"/>
        <v>44926</v>
      </c>
      <c r="L134" s="37">
        <f t="shared" si="812"/>
        <v>44926</v>
      </c>
      <c r="M134" s="37">
        <f t="shared" si="812"/>
        <v>45291</v>
      </c>
      <c r="N134" s="37">
        <f t="shared" si="812"/>
        <v>45291</v>
      </c>
      <c r="O134" s="37">
        <f t="shared" si="812"/>
        <v>45657</v>
      </c>
      <c r="P134" s="37">
        <f t="shared" si="812"/>
        <v>45657</v>
      </c>
      <c r="Q134" s="37">
        <f t="shared" si="812"/>
        <v>46022</v>
      </c>
      <c r="R134" s="31">
        <f>+R96</f>
        <v>46112</v>
      </c>
      <c r="T134" s="31">
        <f t="shared" ref="T134:AC134" si="813">+T96</f>
        <v>43190</v>
      </c>
      <c r="U134" s="31">
        <f t="shared" si="813"/>
        <v>43281</v>
      </c>
      <c r="V134" s="31">
        <f t="shared" si="813"/>
        <v>43373</v>
      </c>
      <c r="W134" s="31">
        <f t="shared" si="813"/>
        <v>43465</v>
      </c>
      <c r="X134" s="31">
        <f t="shared" si="813"/>
        <v>43555</v>
      </c>
      <c r="Y134" s="31">
        <f t="shared" si="813"/>
        <v>43646</v>
      </c>
      <c r="Z134" s="31">
        <f t="shared" si="813"/>
        <v>43738</v>
      </c>
      <c r="AA134" s="31">
        <f t="shared" si="813"/>
        <v>43830</v>
      </c>
      <c r="AB134" s="31">
        <f t="shared" si="813"/>
        <v>43921</v>
      </c>
      <c r="AC134" s="31">
        <f t="shared" si="813"/>
        <v>44012</v>
      </c>
      <c r="AD134" s="31">
        <f t="shared" ref="AD134:AG134" si="814">+AD96</f>
        <v>44104</v>
      </c>
      <c r="AE134" s="31">
        <f t="shared" si="814"/>
        <v>44196</v>
      </c>
      <c r="AF134" s="31">
        <f t="shared" si="814"/>
        <v>44286</v>
      </c>
      <c r="AG134" s="31">
        <f t="shared" si="814"/>
        <v>44377</v>
      </c>
      <c r="AH134" s="31">
        <f t="shared" ref="AH134:AS134" si="815">+AH96</f>
        <v>44469</v>
      </c>
      <c r="AI134" s="262">
        <f t="shared" si="815"/>
        <v>44561</v>
      </c>
      <c r="AJ134" s="222"/>
      <c r="AK134" s="222"/>
      <c r="AL134" s="222"/>
      <c r="AM134" s="31">
        <f t="shared" ref="AM134:AP134" si="816">+AM96</f>
        <v>44561</v>
      </c>
      <c r="AN134" s="31">
        <f t="shared" si="816"/>
        <v>44651</v>
      </c>
      <c r="AO134" s="31">
        <f t="shared" si="816"/>
        <v>44742</v>
      </c>
      <c r="AP134" s="31">
        <f t="shared" si="816"/>
        <v>44834</v>
      </c>
      <c r="AQ134" s="31">
        <f t="shared" ref="AQ134" si="817">+AQ96</f>
        <v>44926</v>
      </c>
      <c r="AR134" s="31">
        <f t="shared" si="815"/>
        <v>44651</v>
      </c>
      <c r="AS134" s="31">
        <f t="shared" si="815"/>
        <v>44742</v>
      </c>
      <c r="AT134" s="31">
        <f t="shared" ref="AT134:AZ134" si="818">+AT96</f>
        <v>44834</v>
      </c>
      <c r="AU134" s="31">
        <f t="shared" si="818"/>
        <v>44926</v>
      </c>
      <c r="AV134" s="31">
        <f t="shared" ref="AV134:AW134" si="819">+AV96</f>
        <v>44834</v>
      </c>
      <c r="AW134" s="31">
        <f t="shared" si="819"/>
        <v>44926</v>
      </c>
      <c r="AX134" s="31">
        <f t="shared" si="818"/>
        <v>45016</v>
      </c>
      <c r="AY134" s="31">
        <f t="shared" ref="AY134" si="820">+AY96</f>
        <v>45016</v>
      </c>
      <c r="AZ134" s="31">
        <f t="shared" si="818"/>
        <v>45107</v>
      </c>
      <c r="BA134" s="31">
        <f t="shared" ref="BA134" si="821">+BA96</f>
        <v>45107</v>
      </c>
      <c r="BB134" s="31">
        <f t="shared" ref="BB134" si="822">+BB96</f>
        <v>45199</v>
      </c>
      <c r="BC134" s="31">
        <f t="shared" ref="BC134:BG134" si="823">+BC96</f>
        <v>45199</v>
      </c>
      <c r="BD134" s="31">
        <f t="shared" si="823"/>
        <v>45291</v>
      </c>
      <c r="BE134" s="31">
        <f t="shared" si="823"/>
        <v>45382</v>
      </c>
      <c r="BF134" s="31">
        <f t="shared" si="823"/>
        <v>45473</v>
      </c>
      <c r="BG134" s="31">
        <f t="shared" si="823"/>
        <v>45565</v>
      </c>
      <c r="BH134" s="31">
        <f t="shared" ref="BH134:BK134" si="824">+BH96</f>
        <v>45657</v>
      </c>
      <c r="BI134" s="31">
        <f t="shared" si="824"/>
        <v>45747</v>
      </c>
      <c r="BJ134" s="31">
        <f t="shared" si="824"/>
        <v>45838</v>
      </c>
      <c r="BK134" s="31">
        <f t="shared" si="824"/>
        <v>45930</v>
      </c>
      <c r="BL134" s="31">
        <f t="shared" ref="BL134:BM134" si="825">+BL96</f>
        <v>46022</v>
      </c>
      <c r="BM134" s="31">
        <f t="shared" si="825"/>
        <v>46112</v>
      </c>
      <c r="BO134" s="31">
        <f t="shared" ref="BO134:BP134" si="826">+BO96</f>
        <v>45291</v>
      </c>
      <c r="BP134" s="31">
        <f t="shared" si="826"/>
        <v>45382</v>
      </c>
      <c r="BQ134" s="31">
        <f t="shared" ref="BQ134:BT134" si="827">+BQ96</f>
        <v>45473</v>
      </c>
      <c r="BR134" s="31">
        <f t="shared" si="827"/>
        <v>45565</v>
      </c>
      <c r="BS134" s="31">
        <f t="shared" si="827"/>
        <v>45657</v>
      </c>
      <c r="BT134" s="31">
        <f t="shared" si="827"/>
        <v>45747</v>
      </c>
      <c r="BV134" s="40"/>
      <c r="BW134" s="40"/>
      <c r="BY134" s="40"/>
      <c r="BZ134" s="40"/>
      <c r="CB134" s="16"/>
      <c r="CC134" s="16"/>
    </row>
    <row r="135" spans="2:81" ht="13.5" customHeight="1">
      <c r="B135" s="6"/>
      <c r="AJ135" s="228"/>
      <c r="AK135" s="228"/>
      <c r="AL135" s="228"/>
      <c r="AM135" s="228"/>
      <c r="BV135" s="40"/>
      <c r="BW135" s="40"/>
      <c r="BY135" s="40"/>
      <c r="BZ135" s="40"/>
      <c r="CB135" s="16"/>
      <c r="CC135" s="16"/>
    </row>
    <row r="136" spans="2:81" s="6" customFormat="1" ht="13.5" customHeight="1">
      <c r="B136" s="6" t="s">
        <v>317</v>
      </c>
      <c r="C136" s="359">
        <f t="shared" ref="C136:H136" si="828">+C125/C90</f>
        <v>2.7522947470049854</v>
      </c>
      <c r="D136" s="359">
        <f t="shared" si="828"/>
        <v>2.0711917225760277</v>
      </c>
      <c r="E136" s="359">
        <f t="shared" si="828"/>
        <v>1.6857852297551252</v>
      </c>
      <c r="F136" s="359">
        <f t="shared" si="828"/>
        <v>1.1860783584373515</v>
      </c>
      <c r="G136" s="359">
        <f t="shared" ref="G136" si="829">+G125/G90</f>
        <v>0.99008245850683296</v>
      </c>
      <c r="H136" s="359">
        <f t="shared" si="828"/>
        <v>1.0593760952829165</v>
      </c>
      <c r="I136" s="359">
        <f t="shared" ref="I136" si="830">+I125/I90</f>
        <v>1.4461906064018015</v>
      </c>
      <c r="J136" s="359">
        <f t="shared" ref="J136:K136" si="831">+J125/J90</f>
        <v>1.357087341538816</v>
      </c>
      <c r="K136" s="359">
        <f t="shared" si="831"/>
        <v>1.8739246893054819</v>
      </c>
      <c r="L136" s="359">
        <f t="shared" ref="L136:M136" si="832">+L125/L90</f>
        <v>2.0862028321860291</v>
      </c>
      <c r="M136" s="359">
        <f t="shared" si="832"/>
        <v>2.1009745482129163</v>
      </c>
      <c r="N136" s="359">
        <f t="shared" ref="N136" si="833">+N125/N90</f>
        <v>2.0415179679694835</v>
      </c>
      <c r="O136" s="359">
        <f t="shared" ref="O136:P136" si="834">+O125/O90</f>
        <v>1.6470676239082767</v>
      </c>
      <c r="P136" s="359">
        <f t="shared" si="834"/>
        <v>3.2224900616474073</v>
      </c>
      <c r="Q136" s="359">
        <f t="shared" ref="Q136" si="835">+Q125/Q90</f>
        <v>2.0704688245990304</v>
      </c>
      <c r="R136" s="359">
        <f t="shared" ref="R136" si="836">+R125/R90</f>
        <v>2.9079514847351877</v>
      </c>
      <c r="S136"/>
      <c r="T136" s="172"/>
      <c r="U136" s="172"/>
      <c r="V136" s="172"/>
      <c r="W136" s="359">
        <f>+W125/W90</f>
        <v>1.6857852297551252</v>
      </c>
      <c r="X136" s="359">
        <f t="shared" ref="X136:Z136" si="837">+X125/X90</f>
        <v>1.1576222059293584</v>
      </c>
      <c r="Y136" s="359">
        <f t="shared" si="837"/>
        <v>0.91846506617656887</v>
      </c>
      <c r="Z136" s="359">
        <f t="shared" si="837"/>
        <v>0.75517679019350759</v>
      </c>
      <c r="AA136" s="359">
        <f>+AA125/AA90</f>
        <v>1.1860783584373515</v>
      </c>
      <c r="AB136" s="359">
        <f>+AB125/AB90</f>
        <v>1.1168259856886211</v>
      </c>
      <c r="AC136" s="359">
        <f t="shared" ref="AC136" si="838">+AC125/AC90</f>
        <v>1.1173223641852872</v>
      </c>
      <c r="AD136" s="359">
        <f t="shared" ref="AD136" si="839">+AD125/AD90</f>
        <v>0.9737129239361545</v>
      </c>
      <c r="AE136" s="359">
        <f>+AE125/AE90</f>
        <v>0.99008245850683296</v>
      </c>
      <c r="AF136" s="359">
        <f>+AF125/AF90</f>
        <v>1.0236846344486321</v>
      </c>
      <c r="AG136" s="359">
        <f t="shared" ref="AG136:AH136" si="840">+AG125/AG90</f>
        <v>0.99082582976538525</v>
      </c>
      <c r="AH136" s="359">
        <f t="shared" si="840"/>
        <v>0.9432698477411452</v>
      </c>
      <c r="AI136" s="359">
        <f>+AI125/AI90</f>
        <v>1.0593760952829165</v>
      </c>
      <c r="AJ136" s="234"/>
      <c r="AK136" s="234"/>
      <c r="AL136" s="234"/>
      <c r="AM136" s="234"/>
      <c r="AN136" s="359">
        <f>+AN125/AN90</f>
        <v>1.1827433652289854</v>
      </c>
      <c r="AO136" s="359">
        <f t="shared" ref="AO136:AP136" si="841">+AO125/AO90</f>
        <v>1.6785847767279467</v>
      </c>
      <c r="AP136" s="359">
        <f t="shared" si="841"/>
        <v>1.7581437961380768</v>
      </c>
      <c r="AQ136" s="359">
        <f t="shared" ref="AQ136" si="842">+AQ125/AQ90</f>
        <v>1.4461906064018015</v>
      </c>
      <c r="AR136" s="359">
        <f>+AR125/AR90</f>
        <v>1.2581179185232023</v>
      </c>
      <c r="AS136" s="359">
        <f t="shared" ref="AS136:AT136" si="843">+AS125/AS90</f>
        <v>1.9079263004551088</v>
      </c>
      <c r="AT136" s="359">
        <f t="shared" si="843"/>
        <v>2.1455628114510232</v>
      </c>
      <c r="AU136" s="359">
        <f t="shared" ref="AU136:AV136" si="844">+AU125/AU90</f>
        <v>1.8739246893054819</v>
      </c>
      <c r="AV136" s="359">
        <f t="shared" si="844"/>
        <v>2.183832932202955</v>
      </c>
      <c r="AW136" s="359">
        <f t="shared" ref="AW136" si="845">+AW125/AW90</f>
        <v>2.0862028321860291</v>
      </c>
      <c r="AX136" s="359">
        <f>+AX125/AX90</f>
        <v>2.124266388536459</v>
      </c>
      <c r="AY136" s="359">
        <f>+AY125/AY90</f>
        <v>2.3449924832704201</v>
      </c>
      <c r="AZ136" s="359">
        <f t="shared" ref="AZ136:BB136" si="846">+AZ125/AZ90</f>
        <v>1.976712950423801</v>
      </c>
      <c r="BA136" s="359">
        <f t="shared" ref="BA136" si="847">+BA125/BA90</f>
        <v>2.2646189685468783</v>
      </c>
      <c r="BB136" s="359">
        <f t="shared" si="846"/>
        <v>1.8410244348757048</v>
      </c>
      <c r="BC136" s="359">
        <f t="shared" ref="BC136:BD136" si="848">+BC125/BC90</f>
        <v>1.8726911727755051</v>
      </c>
      <c r="BD136" s="359">
        <f t="shared" si="848"/>
        <v>2.0632615091762543</v>
      </c>
      <c r="BE136" s="359">
        <f>+BE125/BE90</f>
        <v>2.1720693058268945</v>
      </c>
      <c r="BF136" s="359">
        <f t="shared" ref="BF136:BH136" si="849">+BF125/BF90</f>
        <v>2.0536307287837721</v>
      </c>
      <c r="BG136" s="359">
        <f t="shared" si="849"/>
        <v>1.7431736693145046</v>
      </c>
      <c r="BH136" s="359">
        <f t="shared" si="849"/>
        <v>1.6470676239082764</v>
      </c>
      <c r="BI136" s="359">
        <f>+BI125/BI90</f>
        <v>1.6496720108251957</v>
      </c>
      <c r="BJ136" s="359">
        <f t="shared" ref="BJ136" si="850">+BJ125/BJ90</f>
        <v>1.3575556720294328</v>
      </c>
      <c r="BK136" s="359">
        <f>+BK125/BK90</f>
        <v>1.4758702246161255</v>
      </c>
      <c r="BL136" s="359">
        <f t="shared" ref="BL136" si="851">+BL125/BL90</f>
        <v>2.0704688245990304</v>
      </c>
      <c r="BM136" s="359">
        <f>+BM125/BM90</f>
        <v>2.9079514847351877</v>
      </c>
      <c r="BO136" s="359">
        <f t="shared" ref="BO136:BR136" si="852">+BO125/BO90</f>
        <v>2.0415179679694835</v>
      </c>
      <c r="BP136" s="359">
        <f t="shared" si="852"/>
        <v>2.0057740381209221</v>
      </c>
      <c r="BQ136" s="359">
        <f t="shared" si="852"/>
        <v>2.1625722910706959</v>
      </c>
      <c r="BR136" s="359">
        <f t="shared" si="852"/>
        <v>2.1009000643709475</v>
      </c>
      <c r="BS136" s="359">
        <f t="shared" ref="BS136:BT136" si="853">+BS125/BS90</f>
        <v>3.2224900616474073</v>
      </c>
      <c r="BT136" s="359">
        <f t="shared" si="853"/>
        <v>4.3600162283074297</v>
      </c>
      <c r="BV136" s="40"/>
      <c r="BW136" s="40"/>
      <c r="BY136" s="40"/>
      <c r="BZ136" s="40"/>
      <c r="CB136" s="16"/>
      <c r="CC136" s="16"/>
    </row>
    <row r="137" spans="2:81" ht="13.5" customHeight="1">
      <c r="B137" s="10" t="s">
        <v>318</v>
      </c>
      <c r="C137" s="51">
        <f t="shared" ref="C137:H137" si="854">+C126/C90</f>
        <v>2.7780929600301922</v>
      </c>
      <c r="D137" s="51">
        <f t="shared" si="854"/>
        <v>2.078412106974147</v>
      </c>
      <c r="E137" s="51">
        <f t="shared" si="854"/>
        <v>2.2943005236056924</v>
      </c>
      <c r="F137" s="51">
        <f t="shared" si="854"/>
        <v>1.5845188174194733</v>
      </c>
      <c r="G137" s="51">
        <f t="shared" ref="G137" si="855">+G126/G90</f>
        <v>1.6651634742830337</v>
      </c>
      <c r="H137" s="51">
        <f t="shared" si="854"/>
        <v>1.6705074185701405</v>
      </c>
      <c r="I137" s="51">
        <f t="shared" ref="I137" si="856">+I126/I90</f>
        <v>2.0455345021714653</v>
      </c>
      <c r="J137" s="51">
        <f t="shared" ref="J137:K137" si="857">+J126/J90</f>
        <v>2.1399618905718198</v>
      </c>
      <c r="K137" s="51">
        <f t="shared" si="857"/>
        <v>2.6504712844957798</v>
      </c>
      <c r="L137" s="51">
        <f t="shared" ref="L137:M137" si="858">+L126/L90</f>
        <v>2.9507988130740057</v>
      </c>
      <c r="M137" s="51">
        <f t="shared" si="858"/>
        <v>2.5799646106002867</v>
      </c>
      <c r="N137" s="51">
        <f t="shared" ref="N137" si="859">+N126/N90</f>
        <v>2.5069528624625357</v>
      </c>
      <c r="O137" s="51">
        <f t="shared" ref="O137:P137" si="860">+O126/O90</f>
        <v>2.0837962297379859</v>
      </c>
      <c r="P137" s="51">
        <f t="shared" si="860"/>
        <v>4.0769501770031438</v>
      </c>
      <c r="Q137" s="51">
        <f t="shared" ref="Q137" si="861">+Q126/Q90</f>
        <v>2.7566367783712789</v>
      </c>
      <c r="R137" s="51">
        <f t="shared" ref="R137" si="862">+R126/R90</f>
        <v>3.4611396231761327</v>
      </c>
      <c r="T137" s="172"/>
      <c r="U137" s="172"/>
      <c r="V137" s="172"/>
      <c r="W137" s="51">
        <f>+W126/W90</f>
        <v>2.2943005236056924</v>
      </c>
      <c r="X137" s="51">
        <f t="shared" ref="X137:Z137" si="863">+X126/X90</f>
        <v>1.7852011853585126</v>
      </c>
      <c r="Y137" s="51">
        <f t="shared" si="863"/>
        <v>1.3220089273179043</v>
      </c>
      <c r="Z137" s="51">
        <f t="shared" si="863"/>
        <v>1.0621601189935537</v>
      </c>
      <c r="AA137" s="51">
        <f>+AA126/AA90</f>
        <v>1.5845188174194733</v>
      </c>
      <c r="AB137" s="51">
        <f>+AB126/AB90</f>
        <v>1.6740070692510938</v>
      </c>
      <c r="AC137" s="51">
        <f t="shared" ref="AC137" si="864">+AC126/AC90</f>
        <v>1.6738049222864806</v>
      </c>
      <c r="AD137" s="51">
        <f t="shared" ref="AD137" si="865">+AD126/AD90</f>
        <v>2.0099080409509207</v>
      </c>
      <c r="AE137" s="51">
        <f>+AE126/AE90</f>
        <v>1.6651634742830337</v>
      </c>
      <c r="AF137" s="51">
        <f>+AF126/AF90</f>
        <v>1.6278659605487846</v>
      </c>
      <c r="AG137" s="51">
        <f t="shared" ref="AG137:AH137" si="866">+AG126/AG90</f>
        <v>1.6232160445016266</v>
      </c>
      <c r="AH137" s="51">
        <f t="shared" si="866"/>
        <v>1.6032890530877002</v>
      </c>
      <c r="AI137" s="51">
        <f>+AI126/AI90</f>
        <v>1.6705074185701405</v>
      </c>
      <c r="AJ137" s="235"/>
      <c r="AK137" s="235"/>
      <c r="AL137" s="235"/>
      <c r="AM137" s="235"/>
      <c r="AN137" s="51">
        <f>+AN126/AN90</f>
        <v>1.7136503836284018</v>
      </c>
      <c r="AO137" s="51">
        <f t="shared" ref="AO137:AP137" si="867">+AO126/AO90</f>
        <v>2.2724593247696721</v>
      </c>
      <c r="AP137" s="51">
        <f t="shared" si="867"/>
        <v>2.4351557641511961</v>
      </c>
      <c r="AQ137" s="51">
        <f t="shared" ref="AQ137" si="868">+AQ126/AQ90</f>
        <v>2.0455345021714653</v>
      </c>
      <c r="AR137" s="51">
        <f>+AR126/AR90</f>
        <v>1.8228588864750421</v>
      </c>
      <c r="AS137" s="51">
        <f t="shared" ref="AS137:AT137" si="869">+AS126/AS90</f>
        <v>2.5829406846486682</v>
      </c>
      <c r="AT137" s="51">
        <f t="shared" si="869"/>
        <v>2.9717589989681792</v>
      </c>
      <c r="AU137" s="51">
        <f t="shared" ref="AU137:AV137" si="870">+AU126/AU90</f>
        <v>2.6504712844957798</v>
      </c>
      <c r="AV137" s="51">
        <f t="shared" si="870"/>
        <v>3.0247658720968373</v>
      </c>
      <c r="AW137" s="51">
        <f t="shared" ref="AW137" si="871">+AW126/AW90</f>
        <v>2.9507988130740057</v>
      </c>
      <c r="AX137" s="51">
        <f>+AX126/AX90</f>
        <v>2.6923391802878545</v>
      </c>
      <c r="AY137" s="51">
        <f>+AY126/AY90</f>
        <v>2.9720920004478542</v>
      </c>
      <c r="AZ137" s="51">
        <f t="shared" ref="AZ137:BB137" si="872">+AZ126/AZ90</f>
        <v>2.6036367537402789</v>
      </c>
      <c r="BA137" s="51">
        <f t="shared" ref="BA137" si="873">+BA126/BA90</f>
        <v>2.9828535187478367</v>
      </c>
      <c r="BB137" s="51">
        <f t="shared" si="872"/>
        <v>2.384613973006084</v>
      </c>
      <c r="BC137" s="51">
        <f t="shared" ref="BC137:BD137" si="874">+BC126/BC90</f>
        <v>2.4256307809554496</v>
      </c>
      <c r="BD137" s="51">
        <f t="shared" si="874"/>
        <v>2.533653575487778</v>
      </c>
      <c r="BE137" s="51">
        <f>+BE126/BE90</f>
        <v>2.6255566470809169</v>
      </c>
      <c r="BF137" s="51">
        <f t="shared" ref="BF137:BH137" si="875">+BF126/BF90</f>
        <v>2.5690219487757382</v>
      </c>
      <c r="BG137" s="51">
        <f>+BG126/BG90</f>
        <v>2.1906437782204806</v>
      </c>
      <c r="BH137" s="51">
        <f t="shared" si="875"/>
        <v>2.0837962297379855</v>
      </c>
      <c r="BI137" s="51">
        <f>+BI126/BI90</f>
        <v>2.106362052365605</v>
      </c>
      <c r="BJ137" s="51">
        <f t="shared" ref="BJ137" si="876">+BJ126/BJ90</f>
        <v>1.8718654179229621</v>
      </c>
      <c r="BK137" s="51">
        <f>+BK126/BK90</f>
        <v>1.9247826552589347</v>
      </c>
      <c r="BL137" s="51">
        <f t="shared" ref="BL137" si="877">+BL126/BL90</f>
        <v>2.7566367783712789</v>
      </c>
      <c r="BM137" s="51">
        <f>+BM126/BM90</f>
        <v>3.4611396231761327</v>
      </c>
      <c r="BO137" s="51">
        <f t="shared" ref="BO137:BR137" si="878">+BO126/BO90</f>
        <v>2.5069528624625357</v>
      </c>
      <c r="BP137" s="51">
        <f t="shared" si="878"/>
        <v>2.4245420457824109</v>
      </c>
      <c r="BQ137" s="51">
        <f t="shared" si="878"/>
        <v>2.7053041248876903</v>
      </c>
      <c r="BR137" s="51">
        <f t="shared" si="878"/>
        <v>2.6401980110719929</v>
      </c>
      <c r="BS137" s="51">
        <f t="shared" ref="BS137:BT137" si="879">+BS126/BS90</f>
        <v>4.0769501770031438</v>
      </c>
      <c r="BT137" s="51">
        <f t="shared" si="879"/>
        <v>5.5670294887352139</v>
      </c>
      <c r="BV137" s="40"/>
      <c r="BW137" s="40"/>
      <c r="BY137" s="40"/>
      <c r="BZ137" s="40"/>
      <c r="CB137" s="16"/>
      <c r="CC137" s="16"/>
    </row>
    <row r="138" spans="2:81" ht="13.5" customHeight="1">
      <c r="B138" s="6"/>
      <c r="AJ138" s="228"/>
      <c r="AK138" s="228"/>
      <c r="AL138" s="228"/>
      <c r="AM138" s="228"/>
      <c r="BV138" s="40"/>
      <c r="BW138" s="40"/>
      <c r="BY138" s="40"/>
      <c r="BZ138" s="40"/>
      <c r="CB138" s="16"/>
      <c r="CC138" s="16"/>
    </row>
    <row r="139" spans="2:81" s="6" customFormat="1" ht="13.5" customHeight="1">
      <c r="B139" s="6" t="s">
        <v>319</v>
      </c>
      <c r="C139" s="359">
        <f t="shared" ref="C139:H139" si="880">+C128/C90</f>
        <v>2.7522947470049854</v>
      </c>
      <c r="D139" s="359">
        <f t="shared" si="880"/>
        <v>2.0711917225760277</v>
      </c>
      <c r="E139" s="359">
        <f t="shared" si="880"/>
        <v>1.6857852297551252</v>
      </c>
      <c r="F139" s="359">
        <f t="shared" si="880"/>
        <v>2.0185665519368312</v>
      </c>
      <c r="G139" s="359">
        <f t="shared" ref="G139" si="881">+G128/G90</f>
        <v>1.8935927276992555</v>
      </c>
      <c r="H139" s="359">
        <f t="shared" si="880"/>
        <v>1.9512543694033426</v>
      </c>
      <c r="I139" s="359">
        <f t="shared" ref="I139" si="882">+I128/I90</f>
        <v>2.2861368023162294</v>
      </c>
      <c r="J139" s="359">
        <f t="shared" ref="J139:K139" si="883">+J128/J90</f>
        <v>2.4996057742197793</v>
      </c>
      <c r="K139" s="359">
        <f t="shared" si="883"/>
        <v>2.9622103349660223</v>
      </c>
      <c r="L139" s="359">
        <f t="shared" ref="L139:M139" si="884">+L128/L90</f>
        <v>3.2978032031410054</v>
      </c>
      <c r="M139" s="359">
        <f t="shared" si="884"/>
        <v>3.3578204175940862</v>
      </c>
      <c r="N139" s="359">
        <f t="shared" ref="N139" si="885">+N128/N90</f>
        <v>3.2627957575207134</v>
      </c>
      <c r="O139" s="359">
        <f t="shared" ref="O139" si="886">+O128/O90</f>
        <v>2.6386022355605068</v>
      </c>
      <c r="P139" s="359">
        <f>+P128/P90</f>
        <v>5.1624288871383213</v>
      </c>
      <c r="Q139" s="359">
        <f t="shared" ref="Q139" si="887">+Q128/Q90</f>
        <v>2.4004979083198932</v>
      </c>
      <c r="R139" s="359">
        <f t="shared" ref="R139" si="888">+R128/R90</f>
        <v>3.3198126769936711</v>
      </c>
      <c r="S139"/>
      <c r="T139" s="172"/>
      <c r="U139" s="172"/>
      <c r="V139" s="172"/>
      <c r="W139" s="359">
        <f>+W128/W90</f>
        <v>1.6857852297551252</v>
      </c>
      <c r="X139" s="359">
        <f t="shared" ref="X139:Z139" si="889">+X128/X90</f>
        <v>1.8298932995112822</v>
      </c>
      <c r="Y139" s="359">
        <f t="shared" si="889"/>
        <v>1.503862121491873</v>
      </c>
      <c r="Z139" s="359">
        <f t="shared" si="889"/>
        <v>1.2766078185587402</v>
      </c>
      <c r="AA139" s="359">
        <f>+AA128/AA90</f>
        <v>2.0185665519368312</v>
      </c>
      <c r="AB139" s="359">
        <f>+AB128/AB90</f>
        <v>1.9141520986985192</v>
      </c>
      <c r="AC139" s="359">
        <f t="shared" ref="AC139" si="890">+AC128/AC90</f>
        <v>1.9719399824654922</v>
      </c>
      <c r="AD139" s="359">
        <f t="shared" ref="AD139" si="891">+AD128/AD90</f>
        <v>1.835122857548666</v>
      </c>
      <c r="AE139" s="359">
        <f>+AE128/AE90</f>
        <v>1.8935927276992555</v>
      </c>
      <c r="AF139" s="359">
        <f>+AF128/AF90</f>
        <v>1.8829203242058872</v>
      </c>
      <c r="AG139" s="359">
        <f t="shared" ref="AG139:AH139" si="892">+AG128/AG90</f>
        <v>1.8352994570516232</v>
      </c>
      <c r="AH139" s="359">
        <f t="shared" si="892"/>
        <v>1.8379614023202751</v>
      </c>
      <c r="AI139" s="359">
        <f>+AI128/AI90</f>
        <v>1.9512543694033426</v>
      </c>
      <c r="AJ139" s="234"/>
      <c r="AK139" s="234"/>
      <c r="AL139" s="234"/>
      <c r="AM139" s="234"/>
      <c r="AN139" s="359">
        <f>+AN128/AN90</f>
        <v>2.1174657046519947</v>
      </c>
      <c r="AO139" s="359">
        <f t="shared" ref="AO139:AP139" si="893">+AO128/AO90</f>
        <v>2.6389101010256764</v>
      </c>
      <c r="AP139" s="359">
        <f t="shared" si="893"/>
        <v>2.7499981415992898</v>
      </c>
      <c r="AQ139" s="359">
        <f t="shared" ref="AQ139" si="894">+AQ128/AQ90</f>
        <v>2.2861368023162294</v>
      </c>
      <c r="AR139" s="359">
        <f>+AR128/AR90</f>
        <v>2.2524087838491189</v>
      </c>
      <c r="AS139" s="359">
        <f t="shared" ref="AS139:AT139" si="895">+AS128/AS90</f>
        <v>2.9994588632561801</v>
      </c>
      <c r="AT139" s="359">
        <f t="shared" si="895"/>
        <v>3.355979048548472</v>
      </c>
      <c r="AU139" s="359">
        <f t="shared" ref="AU139:AV139" si="896">+AU128/AU90</f>
        <v>2.9622103349660223</v>
      </c>
      <c r="AV139" s="359">
        <f t="shared" si="896"/>
        <v>3.4158392040020629</v>
      </c>
      <c r="AW139" s="359">
        <f t="shared" ref="AW139" si="897">+AW128/AW90</f>
        <v>3.2978032031410054</v>
      </c>
      <c r="AX139" s="359">
        <f>+AX128/AX90</f>
        <v>3.2500753917245708</v>
      </c>
      <c r="AY139" s="359">
        <f>+AY128/AY90</f>
        <v>3.5877808945172589</v>
      </c>
      <c r="AZ139" s="359">
        <f t="shared" ref="AZ139:BB139" si="898">+AZ128/AZ90</f>
        <v>3.1488317782938755</v>
      </c>
      <c r="BA139" s="359">
        <f t="shared" ref="BA139" si="899">+BA128/BA90</f>
        <v>3.6074555854752028</v>
      </c>
      <c r="BB139" s="359">
        <f t="shared" si="898"/>
        <v>2.9867912761451385</v>
      </c>
      <c r="BC139" s="359">
        <f t="shared" ref="BC139:BD139" si="900">+BC128/BC90</f>
        <v>3.0381658992687499</v>
      </c>
      <c r="BD139" s="359">
        <f t="shared" si="900"/>
        <v>3.2975466686357562</v>
      </c>
      <c r="BE139" s="359">
        <f>+BE128/BE90</f>
        <v>3.3871534184147185</v>
      </c>
      <c r="BF139" s="359">
        <f t="shared" ref="BF139:BH139" si="901">+BF128/BF90</f>
        <v>3.1916444633806313</v>
      </c>
      <c r="BG139" s="359">
        <f t="shared" si="901"/>
        <v>2.7864945941402457</v>
      </c>
      <c r="BH139" s="359">
        <f t="shared" si="901"/>
        <v>2.6386022355605063</v>
      </c>
      <c r="BI139" s="359">
        <f>+BI128/BI90</f>
        <v>2.5913121475433605</v>
      </c>
      <c r="BJ139" s="359">
        <f t="shared" ref="BJ139:BL139" si="902">+BJ128/BJ90</f>
        <v>1.5350072172583422</v>
      </c>
      <c r="BK139" s="359">
        <f t="shared" si="902"/>
        <v>1.6855901776894688</v>
      </c>
      <c r="BL139" s="359">
        <f t="shared" si="902"/>
        <v>2.4004979083198932</v>
      </c>
      <c r="BM139" s="359">
        <f>+BM128/BM90</f>
        <v>3.3198126769936711</v>
      </c>
      <c r="BO139" s="359">
        <f t="shared" ref="BO139:BR139" si="903">+BO128/BO90</f>
        <v>3.2627957575207134</v>
      </c>
      <c r="BP139" s="359">
        <f t="shared" si="903"/>
        <v>3.1278303926873963</v>
      </c>
      <c r="BQ139" s="359">
        <f t="shared" si="903"/>
        <v>3.3609556882428624</v>
      </c>
      <c r="BR139" s="359">
        <f t="shared" si="903"/>
        <v>3.3583266975921315</v>
      </c>
      <c r="BS139" s="359">
        <f t="shared" ref="BS139:BT139" si="904">+BS128/BS90</f>
        <v>5.1624288871383213</v>
      </c>
      <c r="BT139" s="359">
        <f t="shared" si="904"/>
        <v>6.8487329249452946</v>
      </c>
      <c r="BV139" s="40"/>
      <c r="BW139" s="40"/>
      <c r="BY139" s="40"/>
      <c r="BZ139" s="40"/>
      <c r="CB139" s="16"/>
      <c r="CC139" s="16"/>
    </row>
    <row r="140" spans="2:81" ht="13.5" customHeight="1">
      <c r="B140" s="10" t="s">
        <v>320</v>
      </c>
      <c r="C140" s="51">
        <f t="shared" ref="C140:H140" si="905">+C129/C90</f>
        <v>2.7780929600301922</v>
      </c>
      <c r="D140" s="51">
        <f t="shared" si="905"/>
        <v>2.078412106974147</v>
      </c>
      <c r="E140" s="51">
        <f t="shared" si="905"/>
        <v>2.2943005236056924</v>
      </c>
      <c r="F140" s="51">
        <f t="shared" si="905"/>
        <v>2.4170070109189528</v>
      </c>
      <c r="G140" s="51">
        <f t="shared" ref="G140" si="906">+G129/G90</f>
        <v>2.5686737434754563</v>
      </c>
      <c r="H140" s="51">
        <f t="shared" si="905"/>
        <v>2.5623856926905666</v>
      </c>
      <c r="I140" s="51">
        <f t="shared" ref="I140" si="907">+I129/I90</f>
        <v>2.8854806980858934</v>
      </c>
      <c r="J140" s="51">
        <f t="shared" ref="J140:K140" si="908">+J129/J90</f>
        <v>3.2824803232527833</v>
      </c>
      <c r="K140" s="51">
        <f t="shared" si="908"/>
        <v>3.7387569301563204</v>
      </c>
      <c r="L140" s="51">
        <f t="shared" ref="L140:M140" si="909">+L129/L90</f>
        <v>4.162399184028982</v>
      </c>
      <c r="M140" s="51">
        <f t="shared" si="909"/>
        <v>3.8368104799814557</v>
      </c>
      <c r="N140" s="51">
        <f t="shared" ref="N140" si="910">+N129/N90</f>
        <v>3.7282306520137656</v>
      </c>
      <c r="O140" s="51">
        <f t="shared" ref="O140:P140" si="911">+O129/O90</f>
        <v>3.0753308413902158</v>
      </c>
      <c r="P140" s="51">
        <f t="shared" si="911"/>
        <v>6.0168890024940582</v>
      </c>
      <c r="Q140" s="51">
        <f t="shared" ref="Q140" si="912">+Q129/Q90</f>
        <v>3.0866658620921417</v>
      </c>
      <c r="R140" s="51">
        <f t="shared" ref="R140" si="913">+R129/R90</f>
        <v>3.8730008154346161</v>
      </c>
      <c r="T140" s="172"/>
      <c r="U140" s="172"/>
      <c r="V140" s="172"/>
      <c r="W140" s="51">
        <f>+W129/W90</f>
        <v>2.2943005236056924</v>
      </c>
      <c r="X140" s="51">
        <f t="shared" ref="X140:Z140" si="914">+X129/X90</f>
        <v>2.4574722789404366</v>
      </c>
      <c r="Y140" s="51">
        <f t="shared" si="914"/>
        <v>1.9074059826332084</v>
      </c>
      <c r="Z140" s="51">
        <f t="shared" si="914"/>
        <v>1.5835911473587863</v>
      </c>
      <c r="AA140" s="51">
        <f>+AA129/AA90</f>
        <v>2.4170070109189528</v>
      </c>
      <c r="AB140" s="51">
        <f>+AB129/AB90</f>
        <v>2.4713331822609921</v>
      </c>
      <c r="AC140" s="51">
        <f t="shared" ref="AC140" si="915">+AC129/AC90</f>
        <v>2.5284225405666856</v>
      </c>
      <c r="AD140" s="51">
        <f t="shared" ref="AD140" si="916">+AD129/AD90</f>
        <v>2.8713179745634321</v>
      </c>
      <c r="AE140" s="51">
        <f>+AE129/AE90</f>
        <v>2.5686737434754563</v>
      </c>
      <c r="AF140" s="51">
        <f>+AF129/AF90</f>
        <v>2.4871016503060397</v>
      </c>
      <c r="AG140" s="51">
        <f t="shared" ref="AG140:AH140" si="917">+AG129/AG90</f>
        <v>2.4676896717878645</v>
      </c>
      <c r="AH140" s="51">
        <f t="shared" si="917"/>
        <v>2.4979806076668298</v>
      </c>
      <c r="AI140" s="51">
        <f>+AI129/AI90</f>
        <v>2.5623856926905666</v>
      </c>
      <c r="AJ140" s="235"/>
      <c r="AK140" s="235"/>
      <c r="AL140" s="235"/>
      <c r="AM140" s="235"/>
      <c r="AN140" s="51">
        <f>+AN129/AN90</f>
        <v>2.6483727230514114</v>
      </c>
      <c r="AO140" s="51">
        <f t="shared" ref="AO140:AP140" si="918">+AO129/AO90</f>
        <v>3.2327846490674013</v>
      </c>
      <c r="AP140" s="51">
        <f t="shared" si="918"/>
        <v>3.427010109612409</v>
      </c>
      <c r="AQ140" s="51">
        <f t="shared" ref="AQ140" si="919">+AQ129/AQ90</f>
        <v>2.8854806980858934</v>
      </c>
      <c r="AR140" s="51">
        <f>+AR129/AR90</f>
        <v>2.8171497518009589</v>
      </c>
      <c r="AS140" s="51">
        <f t="shared" ref="AS140:AT140" si="920">+AS129/AS90</f>
        <v>3.6744732474497397</v>
      </c>
      <c r="AT140" s="51">
        <f t="shared" si="920"/>
        <v>4.1821752360656275</v>
      </c>
      <c r="AU140" s="51">
        <f t="shared" ref="AU140:AV140" si="921">+AU129/AU90</f>
        <v>3.7387569301563204</v>
      </c>
      <c r="AV140" s="51">
        <f t="shared" si="921"/>
        <v>4.2567721438959456</v>
      </c>
      <c r="AW140" s="51">
        <f t="shared" ref="AW140" si="922">+AW129/AW90</f>
        <v>4.162399184028982</v>
      </c>
      <c r="AX140" s="51">
        <f>+AX129/AX90</f>
        <v>3.8181481834759663</v>
      </c>
      <c r="AY140" s="51">
        <f>+AY129/AY90</f>
        <v>4.2148804116946934</v>
      </c>
      <c r="AZ140" s="51">
        <f t="shared" ref="AZ140:BB140" si="923">+AZ129/AZ90</f>
        <v>3.775755581610353</v>
      </c>
      <c r="BA140" s="51">
        <f t="shared" ref="BA140" si="924">+BA129/BA90</f>
        <v>4.3256901356761608</v>
      </c>
      <c r="BB140" s="51">
        <f t="shared" si="923"/>
        <v>3.5303808142755182</v>
      </c>
      <c r="BC140" s="51">
        <f t="shared" ref="BC140:BD140" si="925">+BC129/BC90</f>
        <v>3.5911055074486939</v>
      </c>
      <c r="BD140" s="51">
        <f t="shared" si="925"/>
        <v>3.7679387349472795</v>
      </c>
      <c r="BE140" s="51">
        <f>+BE129/BE90</f>
        <v>3.8406407596687413</v>
      </c>
      <c r="BF140" s="51">
        <f t="shared" ref="BF140:BH140" si="926">+BF129/BF90</f>
        <v>3.7070356833725975</v>
      </c>
      <c r="BG140" s="51">
        <f t="shared" si="926"/>
        <v>3.2339647030462215</v>
      </c>
      <c r="BH140" s="51">
        <f t="shared" si="926"/>
        <v>3.0753308413902154</v>
      </c>
      <c r="BI140" s="51">
        <f>+BI129/BI90</f>
        <v>3.0480021890837699</v>
      </c>
      <c r="BJ140" s="51">
        <f t="shared" ref="BJ140:BL140" si="927">+BJ129/BJ90</f>
        <v>2.0493169631518713</v>
      </c>
      <c r="BK140" s="51">
        <f t="shared" si="927"/>
        <v>2.1345026083322778</v>
      </c>
      <c r="BL140" s="51">
        <f t="shared" si="927"/>
        <v>3.0866658620921417</v>
      </c>
      <c r="BM140" s="51">
        <f>+BM129/BM90</f>
        <v>3.8730008154346161</v>
      </c>
      <c r="BO140" s="51">
        <f t="shared" ref="BO140:BR140" si="928">+BO129/BO90</f>
        <v>3.7282306520137656</v>
      </c>
      <c r="BP140" s="51">
        <f t="shared" si="928"/>
        <v>3.5465984003488851</v>
      </c>
      <c r="BQ140" s="51">
        <f t="shared" si="928"/>
        <v>3.9036875220598568</v>
      </c>
      <c r="BR140" s="51">
        <f t="shared" si="928"/>
        <v>3.897624644293177</v>
      </c>
      <c r="BS140" s="51">
        <f t="shared" ref="BS140:BT140" si="929">+BS129/BS90</f>
        <v>6.0168890024940582</v>
      </c>
      <c r="BT140" s="51">
        <f t="shared" si="929"/>
        <v>8.0557461853730796</v>
      </c>
      <c r="BV140" s="40"/>
      <c r="BW140" s="40"/>
      <c r="BY140" s="40"/>
      <c r="BZ140" s="40"/>
      <c r="CB140" s="16"/>
      <c r="CC140" s="16"/>
    </row>
    <row r="141" spans="2:81" ht="13.5" customHeight="1">
      <c r="C141" s="51"/>
      <c r="D141" s="51"/>
      <c r="E141" s="51"/>
      <c r="F141" s="51"/>
      <c r="G141" s="51"/>
      <c r="H141" s="51"/>
      <c r="I141" s="51"/>
      <c r="J141" s="51"/>
      <c r="K141" s="51"/>
      <c r="L141" s="51"/>
      <c r="M141" s="51"/>
      <c r="N141" s="51"/>
      <c r="O141" s="51"/>
      <c r="P141" s="51"/>
      <c r="Q141" s="51"/>
      <c r="R141" s="51"/>
      <c r="T141" s="51"/>
      <c r="U141" s="51"/>
      <c r="V141" s="51"/>
      <c r="W141" s="51"/>
      <c r="X141" s="51"/>
      <c r="Y141" s="51"/>
      <c r="Z141" s="51"/>
      <c r="AA141" s="51"/>
      <c r="AB141" s="51"/>
      <c r="AC141" s="51"/>
      <c r="AD141" s="51"/>
      <c r="AE141" s="51"/>
      <c r="AF141" s="51"/>
      <c r="AG141" s="51"/>
      <c r="AH141" s="51"/>
      <c r="AI141" s="51"/>
      <c r="AJ141" s="235"/>
      <c r="AK141" s="235"/>
      <c r="AL141" s="235"/>
      <c r="AM141" s="235"/>
      <c r="AN141" s="51"/>
      <c r="AO141" s="51"/>
      <c r="AP141" s="51"/>
      <c r="AQ141" s="51"/>
      <c r="AR141" s="51"/>
      <c r="AS141" s="51"/>
      <c r="AT141" s="51"/>
      <c r="AU141" s="51"/>
      <c r="AV141" s="51"/>
      <c r="AW141" s="51"/>
      <c r="AX141" s="51"/>
      <c r="AY141" s="51"/>
      <c r="AZ141" s="51"/>
      <c r="BA141" s="51"/>
      <c r="BB141" s="51"/>
      <c r="BC141" s="51"/>
      <c r="BD141" s="51"/>
      <c r="BE141" s="51"/>
      <c r="BF141" s="51"/>
      <c r="BG141" s="51"/>
      <c r="BH141" s="51"/>
      <c r="BI141" s="51"/>
      <c r="BJ141" s="51"/>
      <c r="BK141" s="51"/>
      <c r="BL141" s="51"/>
      <c r="BM141" s="51"/>
      <c r="BO141" s="51"/>
      <c r="BP141" s="51"/>
      <c r="BQ141" s="51"/>
      <c r="BR141" s="51"/>
      <c r="BS141" s="51"/>
      <c r="BT141" s="51"/>
      <c r="BV141" s="40"/>
      <c r="BW141" s="40"/>
      <c r="BY141" s="40"/>
      <c r="BZ141" s="40"/>
      <c r="CB141" s="16"/>
      <c r="CC141" s="16"/>
    </row>
    <row r="142" spans="2:81" s="6" customFormat="1" ht="13.5" customHeight="1">
      <c r="B142" s="6" t="s">
        <v>321</v>
      </c>
      <c r="C142" s="359">
        <f t="shared" ref="C142:H142" si="930">+(C90-C93)/C91</f>
        <v>2.1922663597569221</v>
      </c>
      <c r="D142" s="359">
        <f t="shared" si="930"/>
        <v>3.348934933726726</v>
      </c>
      <c r="E142" s="359">
        <f t="shared" si="930"/>
        <v>1.5396365859987262</v>
      </c>
      <c r="F142" s="359">
        <f t="shared" si="930"/>
        <v>2.2777219785403431</v>
      </c>
      <c r="G142" s="359">
        <f t="shared" ref="G142" si="931">+(G90-G93)/G91</f>
        <v>4.3829527886575672</v>
      </c>
      <c r="H142" s="359">
        <f t="shared" si="930"/>
        <v>3.6014312690442472</v>
      </c>
      <c r="I142" s="359">
        <f t="shared" ref="I142" si="932">+(I90-I93)/I91</f>
        <v>1.7487224003912312</v>
      </c>
      <c r="J142" s="359">
        <f t="shared" ref="J142:K142" si="933">+(J90-J93)/J91</f>
        <v>1.8983906270117159</v>
      </c>
      <c r="K142" s="359">
        <f t="shared" si="933"/>
        <v>-3.4797224670212838E-2</v>
      </c>
      <c r="L142" s="359">
        <f t="shared" ref="L142:M142" si="934">+(L90-L93)/L91</f>
        <v>-0.69874939351280463</v>
      </c>
      <c r="M142" s="359">
        <f t="shared" si="934"/>
        <v>1.1634626615770798</v>
      </c>
      <c r="N142" s="359">
        <f t="shared" ref="N142" si="935">+(N90-N93)/N91</f>
        <v>1.2205906880473656</v>
      </c>
      <c r="O142" s="359">
        <f t="shared" ref="O142:P142" si="936">+(O90-O93)/O91</f>
        <v>2.821272200746249</v>
      </c>
      <c r="P142" s="359">
        <f t="shared" si="936"/>
        <v>0.26052537767865741</v>
      </c>
      <c r="Q142" s="359">
        <f t="shared" ref="Q142" si="937">+(Q90-Q93)/Q91</f>
        <v>2.2236211963366666</v>
      </c>
      <c r="R142" s="359">
        <f t="shared" ref="R142" si="938">+(R90-R93)/R91</f>
        <v>2.2519262040794694</v>
      </c>
      <c r="S142"/>
      <c r="T142" s="172"/>
      <c r="U142" s="172"/>
      <c r="V142" s="172"/>
      <c r="W142" s="359">
        <f>+(W90-W93)/W91</f>
        <v>1.5396365859987262</v>
      </c>
      <c r="X142" s="359">
        <f t="shared" ref="X142:Z142" si="939">+(X90-X93)/X91</f>
        <v>3.568183914779735</v>
      </c>
      <c r="Y142" s="359">
        <f t="shared" si="939"/>
        <v>8.2598723689347526</v>
      </c>
      <c r="Z142" s="359">
        <f t="shared" si="939"/>
        <v>2.9711273888048928</v>
      </c>
      <c r="AA142" s="359">
        <f>+(AA90-AA93)/AA91</f>
        <v>2.2777219785403431</v>
      </c>
      <c r="AB142" s="359">
        <f>+(AB90-AB93)/AB91</f>
        <v>2.571599122643025</v>
      </c>
      <c r="AC142" s="359">
        <f t="shared" ref="AC142" si="940">+(AC90-AC93)/AC91</f>
        <v>1.7134108160349832</v>
      </c>
      <c r="AD142" s="359">
        <f>+(AD90-AD93)/AD91</f>
        <v>3.1666259978835103</v>
      </c>
      <c r="AE142" s="359">
        <f>+(AE90-AE93)/AE91</f>
        <v>4.3829527886575672</v>
      </c>
      <c r="AF142" s="359">
        <f>+(AF90-AF93)/AF91</f>
        <v>4.1741902064058998</v>
      </c>
      <c r="AG142" s="359">
        <f t="shared" ref="AG142" si="941">+(AG90-AG93)/AG91</f>
        <v>6.7481608742773291</v>
      </c>
      <c r="AH142" s="359">
        <f>+(AH90-AH93)/AH91</f>
        <v>3.8476604903477312</v>
      </c>
      <c r="AI142" s="359">
        <f>+(AI90-AI93)/AI91</f>
        <v>3.6014312690442472</v>
      </c>
      <c r="AJ142" s="234"/>
      <c r="AK142" s="234"/>
      <c r="AL142" s="234"/>
      <c r="AM142" s="234"/>
      <c r="AN142" s="359">
        <f>+(AN90-AN93)/AN91</f>
        <v>2.8461324570448294</v>
      </c>
      <c r="AO142" s="359">
        <f t="shared" ref="AO142" si="942">+(AO90-AO93)/AO91</f>
        <v>1.901230358782461</v>
      </c>
      <c r="AP142" s="359">
        <f>+(AP90-AP93)/AP91</f>
        <v>1.3562031541335786</v>
      </c>
      <c r="AQ142" s="359">
        <f>+(AQ90-AQ93)/AQ91</f>
        <v>1.7487224003912312</v>
      </c>
      <c r="AR142" s="359">
        <f>+(AR90-AR93)/AR91</f>
        <v>2.393706449360431</v>
      </c>
      <c r="AS142" s="359">
        <f t="shared" ref="AS142" si="943">+(AS90-AS93)/AS91</f>
        <v>0.97743152642794118</v>
      </c>
      <c r="AT142" s="359">
        <f t="shared" ref="AT142:AY142" si="944">+(AT90-AT93)/AT91</f>
        <v>-3.8130399578062031E-2</v>
      </c>
      <c r="AU142" s="359">
        <f t="shared" si="944"/>
        <v>-3.4797224670212838E-2</v>
      </c>
      <c r="AV142" s="359">
        <f t="shared" si="944"/>
        <v>-0.14901738062260167</v>
      </c>
      <c r="AW142" s="359">
        <f t="shared" si="944"/>
        <v>-0.69874939351280463</v>
      </c>
      <c r="AX142" s="359">
        <f t="shared" si="944"/>
        <v>-0.10838901584239227</v>
      </c>
      <c r="AY142" s="359">
        <f t="shared" si="944"/>
        <v>-0.17560793042656209</v>
      </c>
      <c r="AZ142" s="359">
        <f t="shared" ref="AZ142:BA142" si="945">+(AZ90-AZ93)/AZ91</f>
        <v>0.8343529232665684</v>
      </c>
      <c r="BA142" s="359">
        <f t="shared" si="945"/>
        <v>0.1673172078278653</v>
      </c>
      <c r="BB142" s="359">
        <f>+(BB90-BB93)/BB91</f>
        <v>1.3175937849826187</v>
      </c>
      <c r="BC142" s="359">
        <f>+(BC90-BC93)/BC91</f>
        <v>1.2396269820069448</v>
      </c>
      <c r="BD142" s="359">
        <f>+(BD90-BD93)/BD91</f>
        <v>1.2398846202110894</v>
      </c>
      <c r="BE142" s="359">
        <f>+(BE90-BE93)/BE91</f>
        <v>1.22286368169483</v>
      </c>
      <c r="BF142" s="359">
        <f t="shared" ref="BF142" si="946">+(BF90-BF93)/BF91</f>
        <v>1.7025183691619334</v>
      </c>
      <c r="BG142" s="359">
        <f>+(BG90-BG93)/BG91</f>
        <v>2.205090664445442</v>
      </c>
      <c r="BH142" s="359">
        <f>+(BH90-BH93)/BH91</f>
        <v>2.8212722007462498</v>
      </c>
      <c r="BI142" s="359">
        <f>+(BI90-BI93)/BI91</f>
        <v>3.1661786645132661</v>
      </c>
      <c r="BJ142" s="359">
        <f t="shared" ref="BJ142" si="947">+(BJ90-BJ93)/BJ91</f>
        <v>3.0631902761104461</v>
      </c>
      <c r="BK142" s="359">
        <f>+(BK90-BK93)/BK91</f>
        <v>3.0328215136275727</v>
      </c>
      <c r="BL142" s="359">
        <f>+(BL90-BL93)/BL91</f>
        <v>2.2236211963366666</v>
      </c>
      <c r="BM142" s="359">
        <f>+(BM90-BM93)/BM91</f>
        <v>2.2519262040794694</v>
      </c>
      <c r="BO142" s="359">
        <f>+(BO90-BO93)/BO91</f>
        <v>1.2205906880473656</v>
      </c>
      <c r="BP142" s="359">
        <f t="shared" ref="BP142:BR142" si="948">+(BP90-BP93)/BP91</f>
        <v>1.4847201340469112</v>
      </c>
      <c r="BQ142" s="359">
        <f t="shared" si="948"/>
        <v>1.4211757361787987</v>
      </c>
      <c r="BR142" s="359">
        <f t="shared" si="948"/>
        <v>1.3469739927540363</v>
      </c>
      <c r="BS142" s="359">
        <f>+(BS90-BS93)/BS91</f>
        <v>0.26052537767865741</v>
      </c>
      <c r="BT142" s="359">
        <f t="shared" ref="BT142" si="949">+(BT90-BT93)/BT91</f>
        <v>-0.17036000383232336</v>
      </c>
      <c r="BV142" s="40"/>
      <c r="BW142" s="40"/>
      <c r="BY142" s="40"/>
      <c r="BZ142" s="40"/>
      <c r="CB142" s="16"/>
      <c r="CC142" s="16"/>
    </row>
    <row r="143" spans="2:81" ht="13.5" customHeight="1">
      <c r="B143" s="10" t="s">
        <v>322</v>
      </c>
      <c r="C143" s="51">
        <f t="shared" ref="C143:H143" si="950">+C90/C91</f>
        <v>6.9441634571718778</v>
      </c>
      <c r="D143" s="51">
        <f t="shared" si="950"/>
        <v>7.1141494229750943</v>
      </c>
      <c r="E143" s="51">
        <f t="shared" si="950"/>
        <v>7.5612666868684304</v>
      </c>
      <c r="F143" s="51">
        <f t="shared" si="950"/>
        <v>6.285049204273939</v>
      </c>
      <c r="G143" s="51">
        <f t="shared" ref="G143" si="951">+G90/G91</f>
        <v>7.6098521499137748</v>
      </c>
      <c r="H143" s="51">
        <f t="shared" si="950"/>
        <v>8.1570297412128241</v>
      </c>
      <c r="I143" s="51">
        <f t="shared" ref="I143" si="952">+I90/I91</f>
        <v>7.8158295377258034</v>
      </c>
      <c r="J143" s="51">
        <f t="shared" ref="J143:K143" si="953">+J90/J91</f>
        <v>6.3675800752471288</v>
      </c>
      <c r="K143" s="51">
        <f t="shared" si="953"/>
        <v>6.0323099126643598</v>
      </c>
      <c r="L143" s="51">
        <f t="shared" ref="L143:M143" si="954">+L90/L91</f>
        <v>5.4245057955318501</v>
      </c>
      <c r="M143" s="51">
        <f t="shared" si="954"/>
        <v>4.1810071458873477</v>
      </c>
      <c r="N143" s="51">
        <f t="shared" ref="N143" si="955">+N90/N91</f>
        <v>4.3152600726634871</v>
      </c>
      <c r="O143" s="51">
        <f t="shared" ref="O143:P143" si="956">+O90/O91</f>
        <v>5.1591166475291255</v>
      </c>
      <c r="P143" s="51">
        <f t="shared" si="956"/>
        <v>2.6369092954680418</v>
      </c>
      <c r="Q143" s="51">
        <f t="shared" ref="Q143" si="957">+Q90/Q91</f>
        <v>3.5376744722425224</v>
      </c>
      <c r="R143" s="51">
        <f t="shared" ref="R143" si="958">+R90/R91</f>
        <v>3.6134942389909606</v>
      </c>
      <c r="T143" s="172"/>
      <c r="U143" s="172"/>
      <c r="V143" s="172"/>
      <c r="W143" s="51">
        <f>+W90/W91</f>
        <v>7.5612666868684304</v>
      </c>
      <c r="X143" s="51">
        <f t="shared" ref="X143:Z143" si="959">+X90/X91</f>
        <v>10.22922965286304</v>
      </c>
      <c r="Y143" s="51">
        <f t="shared" si="959"/>
        <v>16.178525639480799</v>
      </c>
      <c r="Z143" s="51">
        <f t="shared" si="959"/>
        <v>4.8080840941096019</v>
      </c>
      <c r="AA143" s="51">
        <f>+AA90/AA91</f>
        <v>6.285049204273939</v>
      </c>
      <c r="AB143" s="51">
        <f>+AB90/AB91</f>
        <v>5.6355571822411576</v>
      </c>
      <c r="AC143" s="51">
        <f t="shared" ref="AC143" si="960">+AC90/AC91</f>
        <v>4.0404151984655208</v>
      </c>
      <c r="AD143" s="51">
        <f t="shared" ref="AD143" si="961">+AD90/AD91</f>
        <v>6.8403559759994241</v>
      </c>
      <c r="AE143" s="51">
        <f>+AE90/AE91</f>
        <v>7.6098521499137748</v>
      </c>
      <c r="AF143" s="51">
        <f>+AF90/AF91</f>
        <v>7.8569264429938634</v>
      </c>
      <c r="AG143" s="51">
        <f t="shared" ref="AG143:AH143" si="962">+AG90/AG91</f>
        <v>12.861340433119478</v>
      </c>
      <c r="AH143" s="51">
        <f t="shared" si="962"/>
        <v>7.9949305938982622</v>
      </c>
      <c r="AI143" s="51">
        <f>+AI90/AI91</f>
        <v>8.1570297412128241</v>
      </c>
      <c r="AJ143" s="235"/>
      <c r="AK143" s="235"/>
      <c r="AL143" s="235"/>
      <c r="AM143" s="235"/>
      <c r="AN143" s="51">
        <f>+AN90/AN91</f>
        <v>7.5516900889856284</v>
      </c>
      <c r="AO143" s="51">
        <f t="shared" ref="AO143:AP143" si="963">+AO90/AO91</f>
        <v>7.6852201029052534</v>
      </c>
      <c r="AP143" s="51">
        <f t="shared" si="963"/>
        <v>7.7219498820559611</v>
      </c>
      <c r="AQ143" s="51">
        <f t="shared" ref="AQ143" si="964">+AQ90/AQ91</f>
        <v>7.8158295377258034</v>
      </c>
      <c r="AR143" s="51">
        <f>+AR90/AR91</f>
        <v>7.0992640813012304</v>
      </c>
      <c r="AS143" s="51">
        <f t="shared" ref="AS143:AT143" si="965">+AS90/AS91</f>
        <v>6.7614212705507333</v>
      </c>
      <c r="AT143" s="51">
        <f t="shared" si="965"/>
        <v>6.3276163283443196</v>
      </c>
      <c r="AU143" s="51">
        <f t="shared" ref="AU143:AV143" si="966">+AU90/AU91</f>
        <v>6.0323099126643598</v>
      </c>
      <c r="AV143" s="51">
        <f t="shared" si="966"/>
        <v>6.21672934729978</v>
      </c>
      <c r="AW143" s="51">
        <f t="shared" ref="AW143" si="967">+AW90/AW91</f>
        <v>5.4245057955318501</v>
      </c>
      <c r="AX143" s="51">
        <f>+AX90/AX91</f>
        <v>5.9535602294834398</v>
      </c>
      <c r="AY143" s="51">
        <f>+AY90/AY91</f>
        <v>4.7599532500106703</v>
      </c>
      <c r="AZ143" s="51">
        <f t="shared" ref="AZ143:BB143" si="968">+AZ90/AZ91</f>
        <v>4.9436545787142041</v>
      </c>
      <c r="BA143" s="51">
        <f t="shared" ref="BA143" si="969">+BA90/BA91</f>
        <v>4.3190100495004931</v>
      </c>
      <c r="BB143" s="51">
        <f t="shared" si="968"/>
        <v>4.61076048199432</v>
      </c>
      <c r="BC143" s="51">
        <f t="shared" ref="BC143:BD143" si="970">+BC90/BC91</f>
        <v>4.5327936790186456</v>
      </c>
      <c r="BD143" s="51">
        <f t="shared" si="970"/>
        <v>4.257429104521357</v>
      </c>
      <c r="BE143" s="51">
        <f>+BE90/BE91</f>
        <v>3.8633503256080064</v>
      </c>
      <c r="BF143" s="51">
        <f t="shared" ref="BF143:BH143" si="971">+BF90/BF91</f>
        <v>4.3242421281323571</v>
      </c>
      <c r="BG143" s="51">
        <f t="shared" si="971"/>
        <v>4.6417976365916394</v>
      </c>
      <c r="BH143" s="51">
        <f t="shared" si="971"/>
        <v>5.1591166475291264</v>
      </c>
      <c r="BI143" s="51">
        <f>+BI90/BI91</f>
        <v>5.3019749178298881</v>
      </c>
      <c r="BJ143" s="51">
        <f t="shared" ref="BJ143:BL143" si="972">+BJ90/BJ91</f>
        <v>4.7325675270108061</v>
      </c>
      <c r="BK143" s="51">
        <f t="shared" si="972"/>
        <v>4.6029199410705672</v>
      </c>
      <c r="BL143" s="51">
        <f t="shared" si="972"/>
        <v>3.5376744722425224</v>
      </c>
      <c r="BM143" s="51">
        <f>+BM90/BM91</f>
        <v>3.6134942389909606</v>
      </c>
      <c r="BO143" s="51">
        <f t="shared" ref="BO143:BR143" si="973">+BO90/BO91</f>
        <v>4.3152600726634871</v>
      </c>
      <c r="BP143" s="51">
        <f t="shared" si="973"/>
        <v>4.1947608245829162</v>
      </c>
      <c r="BQ143" s="51">
        <f t="shared" si="973"/>
        <v>4.1182181561198536</v>
      </c>
      <c r="BR143" s="51">
        <f t="shared" si="973"/>
        <v>3.8632076337868342</v>
      </c>
      <c r="BS143" s="51">
        <f t="shared" ref="BS143:BT143" si="974">+BS90/BS91</f>
        <v>2.6369092954680418</v>
      </c>
      <c r="BT143" s="51">
        <f t="shared" si="974"/>
        <v>2.0060750157887846</v>
      </c>
      <c r="BV143" s="40"/>
      <c r="BW143" s="40"/>
      <c r="BY143" s="40"/>
      <c r="BZ143" s="40"/>
      <c r="CB143" s="16"/>
      <c r="CC143" s="16"/>
    </row>
    <row r="144" spans="2:81" ht="13.5" customHeight="1">
      <c r="C144" s="52"/>
      <c r="D144" s="52"/>
      <c r="E144" s="52"/>
      <c r="F144" s="52"/>
      <c r="G144" s="52"/>
      <c r="H144" s="52"/>
      <c r="I144" s="52"/>
      <c r="J144" s="52"/>
      <c r="K144" s="52"/>
      <c r="L144" s="52"/>
      <c r="M144" s="52"/>
      <c r="N144" s="52"/>
      <c r="O144" s="52"/>
      <c r="P144" s="52"/>
      <c r="Q144" s="52"/>
      <c r="R144" s="51"/>
      <c r="T144" s="52"/>
      <c r="U144" s="52"/>
      <c r="V144" s="52"/>
      <c r="W144" s="52"/>
      <c r="X144" s="52"/>
      <c r="Y144" s="52"/>
      <c r="Z144" s="52"/>
      <c r="AA144" s="52"/>
      <c r="AB144" s="52"/>
      <c r="AC144" s="52"/>
      <c r="AD144" s="52"/>
      <c r="AE144" s="52"/>
      <c r="AF144" s="52"/>
      <c r="AG144" s="52"/>
      <c r="AH144" s="52"/>
      <c r="AI144" s="52"/>
      <c r="AJ144" s="236"/>
      <c r="AK144" s="236"/>
      <c r="AL144" s="236"/>
      <c r="AM144" s="236"/>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O144" s="52"/>
      <c r="BP144" s="52"/>
      <c r="BQ144" s="52"/>
      <c r="BR144" s="52"/>
      <c r="BS144" s="52"/>
      <c r="BT144" s="52"/>
      <c r="BV144" s="40"/>
      <c r="BW144" s="40"/>
      <c r="BY144" s="40"/>
      <c r="BZ144" s="40"/>
      <c r="CB144" s="16"/>
      <c r="CC144" s="16"/>
    </row>
    <row r="145" spans="2:81" s="6" customFormat="1" ht="13.5" customHeight="1">
      <c r="B145" s="6" t="s">
        <v>323</v>
      </c>
      <c r="C145" s="53">
        <f t="shared" ref="C145:H145" si="975">C128/C131</f>
        <v>0.77060210948308561</v>
      </c>
      <c r="D145" s="53">
        <f t="shared" si="975"/>
        <v>0.62670399395395771</v>
      </c>
      <c r="E145" s="53">
        <f t="shared" si="975"/>
        <v>0.60520085845584271</v>
      </c>
      <c r="F145" s="53">
        <f t="shared" si="975"/>
        <v>0.96469121566615834</v>
      </c>
      <c r="G145" s="53">
        <f t="shared" ref="G145" si="976">G128/G131</f>
        <v>0.84506962687132825</v>
      </c>
      <c r="H145" s="53">
        <f t="shared" si="975"/>
        <v>0.8877479376405224</v>
      </c>
      <c r="I145" s="53">
        <f t="shared" ref="I145" si="977">I128/I131</f>
        <v>0.92763265520704008</v>
      </c>
      <c r="J145" s="53">
        <f t="shared" ref="J145:K145" si="978">J128/J131</f>
        <v>0.8877479376405224</v>
      </c>
      <c r="K145" s="53">
        <f t="shared" si="978"/>
        <v>0.92656312590958068</v>
      </c>
      <c r="L145" s="53">
        <f t="shared" ref="L145:M145" si="979">L128/L131</f>
        <v>0.92654679623928671</v>
      </c>
      <c r="M145" s="53">
        <f t="shared" si="979"/>
        <v>1.1450918371358416</v>
      </c>
      <c r="N145" s="53">
        <f t="shared" ref="N145" si="980">N128/N131</f>
        <v>1.1450918017191949</v>
      </c>
      <c r="O145" s="53">
        <f t="shared" ref="O145:P145" si="981">O128/O131</f>
        <v>1.0648670129757667</v>
      </c>
      <c r="P145" s="53">
        <f t="shared" si="981"/>
        <v>1.0648670129757667</v>
      </c>
      <c r="Q145" s="53">
        <f t="shared" ref="Q145" si="982">Q128/Q131</f>
        <v>0.54460511836778625</v>
      </c>
      <c r="R145" s="53">
        <f t="shared" ref="R145" si="983">R128/R131</f>
        <v>0.60943048629365582</v>
      </c>
      <c r="S145"/>
      <c r="T145" s="172"/>
      <c r="U145" s="172"/>
      <c r="V145" s="172"/>
      <c r="W145" s="53">
        <f>W128/W131</f>
        <v>0.60520085845584271</v>
      </c>
      <c r="X145" s="53">
        <f t="shared" ref="X145:Z145" si="984">X128/X131</f>
        <v>0.86843424887088305</v>
      </c>
      <c r="Y145" s="53">
        <f t="shared" si="984"/>
        <v>0.87530408491319667</v>
      </c>
      <c r="Z145" s="53">
        <f t="shared" si="984"/>
        <v>0.9150158126437461</v>
      </c>
      <c r="AA145" s="53">
        <f>AA128/AA131</f>
        <v>0.96469121566615834</v>
      </c>
      <c r="AB145" s="53">
        <f>AB128/AB131</f>
        <v>0.94603885933691478</v>
      </c>
      <c r="AC145" s="53">
        <f t="shared" ref="AC145" si="985">AC128/AC131</f>
        <v>0.93506348521358751</v>
      </c>
      <c r="AD145" s="53">
        <f t="shared" ref="AD145" si="986">AD128/AD131</f>
        <v>0.89307649286477953</v>
      </c>
      <c r="AE145" s="53">
        <f>AE128/AE131</f>
        <v>0.84506962687132825</v>
      </c>
      <c r="AF145" s="53">
        <f>AF128/AF131</f>
        <v>0.8564523374835834</v>
      </c>
      <c r="AG145" s="53">
        <f t="shared" ref="AG145:AH145" si="987">AG128/AG131</f>
        <v>0.83514190610513084</v>
      </c>
      <c r="AH145" s="53">
        <f t="shared" si="987"/>
        <v>0.82748394389979829</v>
      </c>
      <c r="AI145" s="53">
        <f>AI128/AI131</f>
        <v>0.8877479376405224</v>
      </c>
      <c r="AJ145" s="237"/>
      <c r="AK145" s="237"/>
      <c r="AL145" s="237"/>
      <c r="AM145" s="53">
        <f t="shared" ref="AM145" si="988">AM128/AM131</f>
        <v>0.8877479376405224</v>
      </c>
      <c r="AN145" s="53">
        <f>AN128/AN131</f>
        <v>0.96432631581852535</v>
      </c>
      <c r="AO145" s="53">
        <f t="shared" ref="AO145:AP145" si="989">AO128/AO131</f>
        <v>1.2051442002873347</v>
      </c>
      <c r="AP145" s="53">
        <f t="shared" si="989"/>
        <v>1.288884224398547</v>
      </c>
      <c r="AQ145" s="53">
        <f t="shared" ref="AQ145" si="990">AQ128/AQ131</f>
        <v>0.92763265520704008</v>
      </c>
      <c r="AR145" s="53">
        <f>AR128/AR131</f>
        <v>0.96432631581852535</v>
      </c>
      <c r="AS145" s="53">
        <f t="shared" ref="AS145:AT145" si="991">AS128/AS131</f>
        <v>1.2051442002873347</v>
      </c>
      <c r="AT145" s="53">
        <f t="shared" si="991"/>
        <v>1.288884224398547</v>
      </c>
      <c r="AU145" s="53">
        <f t="shared" ref="AU145:AV145" si="992">AU128/AU131</f>
        <v>0.92656312590958068</v>
      </c>
      <c r="AV145" s="53">
        <f t="shared" si="992"/>
        <v>1.288884224398547</v>
      </c>
      <c r="AW145" s="53">
        <f t="shared" ref="AW145" si="993">AW128/AW131</f>
        <v>0.92654679623928671</v>
      </c>
      <c r="AX145" s="53">
        <f>AX128/AX131</f>
        <v>1.0114409549730716</v>
      </c>
      <c r="AY145" s="300">
        <f>AY128/AY131</f>
        <v>1.0114409549730716</v>
      </c>
      <c r="AZ145" s="53">
        <f t="shared" ref="AZ145:BB145" si="994">AZ128/AZ131</f>
        <v>1.0115872595262072</v>
      </c>
      <c r="BA145" s="53">
        <f t="shared" ref="BA145" si="995">BA128/BA131</f>
        <v>1.0115872595262072</v>
      </c>
      <c r="BB145" s="53">
        <f t="shared" si="994"/>
        <v>1.061505896070865</v>
      </c>
      <c r="BC145" s="53">
        <f t="shared" ref="BC145:BD145" si="996">BC128/BC131</f>
        <v>1.061505896070865</v>
      </c>
      <c r="BD145" s="53">
        <f t="shared" si="996"/>
        <v>1.1450918371358416</v>
      </c>
      <c r="BE145" s="53">
        <f>BE128/BE131</f>
        <v>1.1642373833407744</v>
      </c>
      <c r="BF145" s="53">
        <f t="shared" ref="BF145:BH145" si="997">BF128/BF131</f>
        <v>1.1464049983274907</v>
      </c>
      <c r="BG145" s="53">
        <f>BG128/BG131</f>
        <v>1.0446394538491404</v>
      </c>
      <c r="BH145" s="53">
        <f t="shared" si="997"/>
        <v>1.0648670129757667</v>
      </c>
      <c r="BI145" s="53">
        <f>BI128/BI131</f>
        <v>1.0418358793148599</v>
      </c>
      <c r="BJ145" s="53">
        <f t="shared" ref="BJ145" si="998">BJ128/BJ131</f>
        <v>0.57389346542373476</v>
      </c>
      <c r="BK145" s="53">
        <f>BK128/BK131</f>
        <v>0.56092946327884508</v>
      </c>
      <c r="BL145" s="53">
        <f t="shared" ref="BL145" si="999">BL128/BL131</f>
        <v>0.54460511836778625</v>
      </c>
      <c r="BM145" s="53">
        <f>BM128/BM131</f>
        <v>0.60943048629365582</v>
      </c>
      <c r="BO145" s="53">
        <f t="shared" ref="BO145:BR145" si="1000">BO128/BO131</f>
        <v>1.1450918017191949</v>
      </c>
      <c r="BP145" s="53">
        <f t="shared" si="1000"/>
        <v>1.1642373833407744</v>
      </c>
      <c r="BQ145" s="53">
        <f t="shared" si="1000"/>
        <v>1.1464049983274907</v>
      </c>
      <c r="BR145" s="53">
        <f t="shared" si="1000"/>
        <v>1.0446394538491404</v>
      </c>
      <c r="BS145" s="53">
        <f t="shared" ref="BS145:BT145" si="1001">BS128/BS131</f>
        <v>1.0648670129757667</v>
      </c>
      <c r="BT145" s="53">
        <f t="shared" si="1001"/>
        <v>1.0418358793148599</v>
      </c>
      <c r="BV145" s="40"/>
      <c r="BW145" s="40"/>
      <c r="BY145" s="40"/>
      <c r="BZ145" s="40"/>
      <c r="CB145" s="16"/>
      <c r="CC145" s="16"/>
    </row>
    <row r="146" spans="2:81" s="6" customFormat="1" ht="13.5" customHeight="1">
      <c r="C146" s="53"/>
      <c r="D146" s="53"/>
      <c r="E146" s="53"/>
      <c r="F146" s="53"/>
      <c r="G146" s="53"/>
      <c r="H146" s="53"/>
      <c r="I146" s="53"/>
      <c r="J146" s="10"/>
      <c r="K146" s="53"/>
      <c r="L146" s="53"/>
      <c r="M146" s="53"/>
      <c r="N146" s="53"/>
      <c r="O146" s="53"/>
      <c r="P146" s="53"/>
      <c r="Q146" s="53"/>
      <c r="R146" s="53"/>
      <c r="S146"/>
      <c r="T146" s="53"/>
      <c r="U146" s="53"/>
      <c r="V146" s="53"/>
      <c r="W146" s="53"/>
      <c r="X146" s="53"/>
      <c r="Y146" s="53"/>
      <c r="Z146" s="53"/>
      <c r="AA146" s="53"/>
      <c r="AB146" s="53"/>
      <c r="AC146" s="53"/>
      <c r="AD146" s="53"/>
      <c r="AE146" s="53"/>
      <c r="AF146" s="53"/>
      <c r="AG146" s="53"/>
      <c r="AH146" s="53"/>
      <c r="AI146" s="53"/>
      <c r="AJ146" s="237"/>
      <c r="AK146" s="237"/>
      <c r="AL146" s="237"/>
      <c r="AM146" s="53"/>
      <c r="AN146" s="53"/>
      <c r="AO146" s="53"/>
      <c r="AP146" s="53"/>
      <c r="AQ146" s="53"/>
      <c r="AR146" s="53"/>
      <c r="AS146" s="53"/>
      <c r="AT146" s="53"/>
      <c r="AU146" s="53"/>
      <c r="AV146" s="53"/>
      <c r="AW146" s="53"/>
      <c r="AX146" s="53"/>
      <c r="AY146" s="300"/>
      <c r="AZ146" s="53"/>
      <c r="BA146" s="53"/>
      <c r="BB146" s="53"/>
      <c r="BC146" s="53"/>
      <c r="BD146" s="53"/>
      <c r="BE146" s="53"/>
      <c r="BF146" s="53"/>
      <c r="BG146" s="53"/>
      <c r="BH146" s="53"/>
      <c r="BI146" s="53"/>
      <c r="BJ146" s="53"/>
      <c r="BK146" s="53"/>
      <c r="BL146" s="53"/>
      <c r="BM146" s="53"/>
      <c r="BO146" s="53"/>
      <c r="BP146" s="53"/>
      <c r="BQ146" s="53"/>
      <c r="BR146" s="53"/>
      <c r="BS146" s="53"/>
      <c r="BT146" s="53"/>
      <c r="BV146" s="40"/>
      <c r="BW146" s="40"/>
      <c r="BY146" s="40"/>
      <c r="BZ146" s="40"/>
      <c r="CB146" s="16"/>
      <c r="CC146" s="16"/>
    </row>
    <row r="147" spans="2:81" ht="13.5" customHeight="1">
      <c r="B147" s="11" t="s">
        <v>324</v>
      </c>
      <c r="C147" s="37">
        <f t="shared" ref="C147:R147" si="1002">C3</f>
        <v>42707</v>
      </c>
      <c r="D147" s="37">
        <f t="shared" si="1002"/>
        <v>43073</v>
      </c>
      <c r="E147" s="37">
        <f t="shared" si="1002"/>
        <v>43438</v>
      </c>
      <c r="F147" s="37">
        <f t="shared" si="1002"/>
        <v>43803</v>
      </c>
      <c r="G147" s="37">
        <f t="shared" si="1002"/>
        <v>44169</v>
      </c>
      <c r="H147" s="37">
        <f t="shared" si="1002"/>
        <v>44561</v>
      </c>
      <c r="I147" s="37">
        <f t="shared" si="1002"/>
        <v>44926</v>
      </c>
      <c r="J147" s="37">
        <f t="shared" si="1002"/>
        <v>44561</v>
      </c>
      <c r="K147" s="37">
        <f t="shared" si="1002"/>
        <v>44926</v>
      </c>
      <c r="L147" s="37">
        <f t="shared" si="1002"/>
        <v>44926</v>
      </c>
      <c r="M147" s="37">
        <f t="shared" si="1002"/>
        <v>45291</v>
      </c>
      <c r="N147" s="37">
        <f t="shared" si="1002"/>
        <v>45291</v>
      </c>
      <c r="O147" s="37">
        <f t="shared" si="1002"/>
        <v>45657</v>
      </c>
      <c r="P147" s="37">
        <f t="shared" si="1002"/>
        <v>45657</v>
      </c>
      <c r="Q147" s="37">
        <f t="shared" si="1002"/>
        <v>46022</v>
      </c>
      <c r="R147" s="37">
        <f t="shared" si="1002"/>
        <v>46112</v>
      </c>
      <c r="T147" s="37">
        <f t="shared" ref="T147:AI147" si="1003">T3</f>
        <v>43190</v>
      </c>
      <c r="U147" s="37">
        <f t="shared" si="1003"/>
        <v>43281</v>
      </c>
      <c r="V147" s="37">
        <f t="shared" si="1003"/>
        <v>43373</v>
      </c>
      <c r="W147" s="37">
        <f t="shared" si="1003"/>
        <v>43465</v>
      </c>
      <c r="X147" s="37">
        <f t="shared" si="1003"/>
        <v>43555</v>
      </c>
      <c r="Y147" s="37">
        <f t="shared" si="1003"/>
        <v>43646</v>
      </c>
      <c r="Z147" s="37">
        <f t="shared" si="1003"/>
        <v>43738</v>
      </c>
      <c r="AA147" s="37">
        <f t="shared" si="1003"/>
        <v>43830</v>
      </c>
      <c r="AB147" s="37">
        <f t="shared" si="1003"/>
        <v>43921</v>
      </c>
      <c r="AC147" s="37">
        <f t="shared" si="1003"/>
        <v>44012</v>
      </c>
      <c r="AD147" s="37">
        <f t="shared" si="1003"/>
        <v>44104</v>
      </c>
      <c r="AE147" s="37">
        <f t="shared" si="1003"/>
        <v>44196</v>
      </c>
      <c r="AF147" s="37">
        <f t="shared" si="1003"/>
        <v>44286</v>
      </c>
      <c r="AG147" s="37">
        <f t="shared" si="1003"/>
        <v>44377</v>
      </c>
      <c r="AH147" s="37">
        <f t="shared" si="1003"/>
        <v>44469</v>
      </c>
      <c r="AI147" s="37">
        <f t="shared" si="1003"/>
        <v>44561</v>
      </c>
      <c r="AJ147" s="238"/>
      <c r="AK147" s="238"/>
      <c r="AL147" s="238"/>
      <c r="AM147" s="37">
        <f t="shared" ref="AM147:BL147" si="1004">AM3</f>
        <v>44561</v>
      </c>
      <c r="AN147" s="37">
        <f t="shared" si="1004"/>
        <v>44651</v>
      </c>
      <c r="AO147" s="37">
        <f t="shared" si="1004"/>
        <v>44742</v>
      </c>
      <c r="AP147" s="37">
        <f t="shared" si="1004"/>
        <v>44834</v>
      </c>
      <c r="AQ147" s="37">
        <f t="shared" si="1004"/>
        <v>44926</v>
      </c>
      <c r="AR147" s="37">
        <f t="shared" si="1004"/>
        <v>44651</v>
      </c>
      <c r="AS147" s="37">
        <f t="shared" si="1004"/>
        <v>44742</v>
      </c>
      <c r="AT147" s="37">
        <f t="shared" si="1004"/>
        <v>44834</v>
      </c>
      <c r="AU147" s="37">
        <f t="shared" si="1004"/>
        <v>44926</v>
      </c>
      <c r="AV147" s="37">
        <f t="shared" si="1004"/>
        <v>44834</v>
      </c>
      <c r="AW147" s="37">
        <f t="shared" si="1004"/>
        <v>44926</v>
      </c>
      <c r="AX147" s="37">
        <f t="shared" si="1004"/>
        <v>45016</v>
      </c>
      <c r="AY147" s="37">
        <f t="shared" si="1004"/>
        <v>45016</v>
      </c>
      <c r="AZ147" s="37">
        <f t="shared" si="1004"/>
        <v>45107</v>
      </c>
      <c r="BA147" s="37">
        <f t="shared" si="1004"/>
        <v>45107</v>
      </c>
      <c r="BB147" s="37">
        <f t="shared" si="1004"/>
        <v>45199</v>
      </c>
      <c r="BC147" s="37">
        <f t="shared" si="1004"/>
        <v>45199</v>
      </c>
      <c r="BD147" s="37">
        <f t="shared" si="1004"/>
        <v>45291</v>
      </c>
      <c r="BE147" s="37">
        <f t="shared" si="1004"/>
        <v>45382</v>
      </c>
      <c r="BF147" s="37">
        <f t="shared" si="1004"/>
        <v>45473</v>
      </c>
      <c r="BG147" s="37">
        <f t="shared" si="1004"/>
        <v>45565</v>
      </c>
      <c r="BH147" s="37">
        <f t="shared" si="1004"/>
        <v>45657</v>
      </c>
      <c r="BI147" s="37">
        <f t="shared" si="1004"/>
        <v>45747</v>
      </c>
      <c r="BJ147" s="37">
        <f t="shared" si="1004"/>
        <v>45838</v>
      </c>
      <c r="BK147" s="37">
        <f t="shared" si="1004"/>
        <v>45930</v>
      </c>
      <c r="BL147" s="37">
        <f t="shared" si="1004"/>
        <v>46022</v>
      </c>
      <c r="BM147" s="37">
        <f t="shared" ref="BM147" si="1005">BM3</f>
        <v>46112</v>
      </c>
      <c r="BO147" s="37">
        <f t="shared" ref="BO147:BT147" si="1006">BO3</f>
        <v>45291</v>
      </c>
      <c r="BP147" s="37">
        <f t="shared" si="1006"/>
        <v>45382</v>
      </c>
      <c r="BQ147" s="37">
        <f t="shared" si="1006"/>
        <v>45473</v>
      </c>
      <c r="BR147" s="37">
        <f t="shared" si="1006"/>
        <v>45565</v>
      </c>
      <c r="BS147" s="37">
        <f t="shared" si="1006"/>
        <v>45657</v>
      </c>
      <c r="BT147" s="37">
        <f t="shared" si="1006"/>
        <v>45747</v>
      </c>
      <c r="BV147" s="40"/>
      <c r="BW147" s="40"/>
      <c r="BY147" s="40"/>
      <c r="BZ147" s="40"/>
      <c r="CB147" s="16"/>
      <c r="CC147" s="16"/>
    </row>
    <row r="148" spans="2:81" ht="13.5" customHeight="1">
      <c r="B148" s="10" t="str">
        <f t="shared" ref="B148:F148" si="1007">B87</f>
        <v>Operating revenue</v>
      </c>
      <c r="C148" s="54">
        <f t="shared" si="1007"/>
        <v>21565.392</v>
      </c>
      <c r="D148" s="54">
        <f t="shared" si="1007"/>
        <v>24402.401000000002</v>
      </c>
      <c r="E148" s="54">
        <f t="shared" si="1007"/>
        <v>23885.780999999999</v>
      </c>
      <c r="F148" s="54">
        <f t="shared" si="1007"/>
        <v>24583.312000000002</v>
      </c>
      <c r="G148" s="54">
        <f t="shared" ref="G148:H148" si="1008">G87</f>
        <v>24203.170999999998</v>
      </c>
      <c r="H148" s="54">
        <f t="shared" si="1008"/>
        <v>25900.661</v>
      </c>
      <c r="I148" s="54">
        <f t="shared" ref="I148" si="1009">I87</f>
        <v>27522</v>
      </c>
      <c r="J148" s="54">
        <f t="shared" ref="J148:K148" si="1010">J87</f>
        <v>19994.367999999999</v>
      </c>
      <c r="K148" s="54">
        <f t="shared" si="1010"/>
        <v>21725.735000000001</v>
      </c>
      <c r="L148" s="54">
        <f t="shared" ref="L148:M148" si="1011">L87</f>
        <v>20020.28</v>
      </c>
      <c r="M148" s="32">
        <f t="shared" si="1011"/>
        <v>22002.269</v>
      </c>
      <c r="N148" s="32">
        <f t="shared" ref="N148" si="1012">N87</f>
        <v>22318.326000000001</v>
      </c>
      <c r="O148" s="32">
        <f t="shared" ref="O148:P148" si="1013">O87</f>
        <v>22334.616999999998</v>
      </c>
      <c r="P148" s="32">
        <f t="shared" si="1013"/>
        <v>12541.918</v>
      </c>
      <c r="Q148" s="32">
        <f t="shared" ref="Q148" si="1014">Q87</f>
        <v>11757.996999999999</v>
      </c>
      <c r="R148" s="32">
        <f t="shared" ref="R148" si="1015">R87</f>
        <v>9468.9609999999993</v>
      </c>
      <c r="S148" s="121"/>
      <c r="T148" s="429"/>
      <c r="U148" s="429"/>
      <c r="V148" s="429"/>
      <c r="W148" s="32">
        <f t="shared" ref="W148:AC148" si="1016">W87</f>
        <v>23885.781000000003</v>
      </c>
      <c r="X148" s="32">
        <f t="shared" si="1016"/>
        <v>24086.969000000001</v>
      </c>
      <c r="Y148" s="32">
        <f t="shared" si="1016"/>
        <v>24373.518000000004</v>
      </c>
      <c r="Z148" s="32">
        <f t="shared" si="1016"/>
        <v>24583.300000000003</v>
      </c>
      <c r="AA148" s="32">
        <f t="shared" si="1016"/>
        <v>24583.311999999998</v>
      </c>
      <c r="AB148" s="32">
        <f t="shared" si="1016"/>
        <v>24670.459000000003</v>
      </c>
      <c r="AC148" s="32">
        <f t="shared" si="1016"/>
        <v>24309.259000000002</v>
      </c>
      <c r="AD148" s="32">
        <f t="shared" ref="AD148:AG148" si="1017">AD87</f>
        <v>24207.662</v>
      </c>
      <c r="AE148" s="32">
        <f t="shared" si="1017"/>
        <v>24203.170999999998</v>
      </c>
      <c r="AF148" s="32">
        <f t="shared" si="1017"/>
        <v>24230.606</v>
      </c>
      <c r="AG148" s="32">
        <f t="shared" si="1017"/>
        <v>24828.255999999998</v>
      </c>
      <c r="AH148" s="32">
        <f t="shared" ref="AH148:AS148" si="1018">AH87</f>
        <v>25259.562000000002</v>
      </c>
      <c r="AI148" s="32">
        <f t="shared" si="1018"/>
        <v>25900.661</v>
      </c>
      <c r="AJ148" s="223"/>
      <c r="AK148" s="223"/>
      <c r="AL148" s="223"/>
      <c r="AM148" s="223"/>
      <c r="AN148" s="32">
        <f t="shared" ref="AN148:AP148" si="1019">AN87</f>
        <v>24739.442999999999</v>
      </c>
      <c r="AO148" s="32">
        <f t="shared" si="1019"/>
        <v>25053.635999999999</v>
      </c>
      <c r="AP148" s="32">
        <f t="shared" si="1019"/>
        <v>25770.991000000002</v>
      </c>
      <c r="AQ148" s="32">
        <f t="shared" ref="AQ148" si="1020">AQ87</f>
        <v>27522</v>
      </c>
      <c r="AR148" s="32">
        <f t="shared" si="1018"/>
        <v>23253.381999999998</v>
      </c>
      <c r="AS148" s="32">
        <f t="shared" si="1018"/>
        <v>22060.922999999999</v>
      </c>
      <c r="AT148" s="32">
        <f t="shared" ref="AT148:AZ148" si="1021">AT87</f>
        <v>21226.959999999999</v>
      </c>
      <c r="AU148" s="32">
        <f t="shared" si="1021"/>
        <v>21725.494999999999</v>
      </c>
      <c r="AV148" s="32">
        <f t="shared" ref="AV148:AW148" si="1022">AV87</f>
        <v>20885.343000000001</v>
      </c>
      <c r="AW148" s="32">
        <f t="shared" si="1022"/>
        <v>20020.28</v>
      </c>
      <c r="AX148" s="32">
        <f t="shared" si="1021"/>
        <v>21778.704000000002</v>
      </c>
      <c r="AY148" s="32">
        <f t="shared" ref="AY148" si="1023">AY87</f>
        <v>20545.012999999999</v>
      </c>
      <c r="AZ148" s="32">
        <f t="shared" si="1021"/>
        <v>22575.625</v>
      </c>
      <c r="BA148" s="32">
        <f t="shared" ref="BA148" si="1024">BA87</f>
        <v>20428.171999999999</v>
      </c>
      <c r="BB148" s="32">
        <f t="shared" ref="BB148:BF148" si="1025">BB87</f>
        <v>23218.241999999998</v>
      </c>
      <c r="BC148" s="32">
        <f t="shared" si="1025"/>
        <v>22120.083999999999</v>
      </c>
      <c r="BD148" s="32">
        <f t="shared" si="1025"/>
        <v>22316.572</v>
      </c>
      <c r="BE148" s="32">
        <f t="shared" si="1025"/>
        <v>21883.27</v>
      </c>
      <c r="BF148" s="32">
        <f t="shared" si="1025"/>
        <v>22046.877</v>
      </c>
      <c r="BG148" s="32">
        <f t="shared" ref="BG148:BJ148" si="1026">BG87</f>
        <v>21672.822999999997</v>
      </c>
      <c r="BH148" s="32">
        <f t="shared" si="1026"/>
        <v>22334.616999999998</v>
      </c>
      <c r="BI148" s="32">
        <f t="shared" si="1026"/>
        <v>21761.43</v>
      </c>
      <c r="BJ148" s="32">
        <f t="shared" si="1026"/>
        <v>18972.082999999999</v>
      </c>
      <c r="BK148" s="32">
        <f t="shared" ref="BK148:BM148" si="1027">BK87</f>
        <v>16570.919999999998</v>
      </c>
      <c r="BL148" s="32">
        <f t="shared" si="1027"/>
        <v>11757.996999999999</v>
      </c>
      <c r="BM148" s="32">
        <f t="shared" si="1027"/>
        <v>9468.9609999999993</v>
      </c>
      <c r="BN148" s="32"/>
      <c r="BO148" s="32">
        <f t="shared" ref="BO148:BP148" si="1028">BO87</f>
        <v>22318.326000000001</v>
      </c>
      <c r="BP148" s="32">
        <f t="shared" si="1028"/>
        <v>23060.141000000003</v>
      </c>
      <c r="BQ148" s="32">
        <f t="shared" ref="BQ148:BT148" si="1029">BQ87</f>
        <v>20787.618000000002</v>
      </c>
      <c r="BR148" s="32">
        <f t="shared" si="1029"/>
        <v>18156.919000000002</v>
      </c>
      <c r="BS148" s="32">
        <f t="shared" si="1029"/>
        <v>12541.918</v>
      </c>
      <c r="BT148" s="32">
        <f t="shared" si="1029"/>
        <v>9694.732</v>
      </c>
      <c r="BV148" s="40"/>
      <c r="BW148" s="40"/>
      <c r="BY148" s="40"/>
      <c r="BZ148" s="40"/>
      <c r="CB148" s="16"/>
      <c r="CC148" s="16"/>
    </row>
    <row r="149" spans="2:81" ht="13.5" customHeight="1">
      <c r="B149" s="10" t="str">
        <f t="shared" ref="B149:F149" si="1030">B90</f>
        <v>Adjusted EBITDA</v>
      </c>
      <c r="C149" s="54">
        <f t="shared" si="1030"/>
        <v>8012.6480000000001</v>
      </c>
      <c r="D149" s="54">
        <f t="shared" si="1030"/>
        <v>9230.1180000000004</v>
      </c>
      <c r="E149" s="54">
        <f t="shared" si="1030"/>
        <v>8334.134</v>
      </c>
      <c r="F149" s="54">
        <f t="shared" si="1030"/>
        <v>10619.15</v>
      </c>
      <c r="G149" s="54">
        <f t="shared" ref="G149:H149" si="1031">G90</f>
        <v>10656.875</v>
      </c>
      <c r="H149" s="54">
        <f t="shared" si="1031"/>
        <v>11404.017</v>
      </c>
      <c r="I149" s="54">
        <f t="shared" ref="I149" si="1032">I90</f>
        <v>12434</v>
      </c>
      <c r="J149" s="54">
        <f t="shared" ref="J149:K149" si="1033">J90</f>
        <v>8902.259</v>
      </c>
      <c r="K149" s="54">
        <f t="shared" si="1033"/>
        <v>9596.6450000000004</v>
      </c>
      <c r="L149" s="54">
        <f t="shared" ref="L149:M149" si="1034">L90</f>
        <v>8619.9140000000007</v>
      </c>
      <c r="M149" s="32">
        <f t="shared" si="1034"/>
        <v>9628.8719999999994</v>
      </c>
      <c r="N149" s="32">
        <f t="shared" ref="N149" si="1035">N90</f>
        <v>9909.2999999999993</v>
      </c>
      <c r="O149" s="32">
        <f t="shared" ref="O149:P149" si="1036">O90</f>
        <v>11129.2</v>
      </c>
      <c r="P149" s="32">
        <f t="shared" si="1036"/>
        <v>5688.317</v>
      </c>
      <c r="Q149" s="32">
        <f t="shared" ref="Q149" si="1037">Q90</f>
        <v>5460.4430000000002</v>
      </c>
      <c r="R149" s="32">
        <f t="shared" ref="R149" si="1038">R90</f>
        <v>4362.0910000000003</v>
      </c>
      <c r="S149" s="121"/>
      <c r="T149" s="429"/>
      <c r="U149" s="429"/>
      <c r="V149" s="429"/>
      <c r="W149" s="32">
        <f t="shared" ref="W149:AC149" si="1039">W90</f>
        <v>8334.134</v>
      </c>
      <c r="X149" s="32">
        <f t="shared" si="1039"/>
        <v>10755.902</v>
      </c>
      <c r="Y149" s="32">
        <f t="shared" si="1039"/>
        <v>13426.429</v>
      </c>
      <c r="Z149" s="32">
        <f t="shared" si="1039"/>
        <v>16228.106</v>
      </c>
      <c r="AA149" s="32">
        <f t="shared" si="1039"/>
        <v>10619.15</v>
      </c>
      <c r="AB149" s="32">
        <f t="shared" si="1039"/>
        <v>10701.275</v>
      </c>
      <c r="AC149" s="32">
        <f t="shared" si="1039"/>
        <v>10614.498</v>
      </c>
      <c r="AD149" s="32">
        <f t="shared" ref="AD149:AG149" si="1040">AD90</f>
        <v>10652.458999999999</v>
      </c>
      <c r="AE149" s="32">
        <f t="shared" si="1040"/>
        <v>10656.875</v>
      </c>
      <c r="AF149" s="32">
        <f t="shared" si="1040"/>
        <v>10844.837</v>
      </c>
      <c r="AG149" s="32">
        <f t="shared" si="1040"/>
        <v>11071.954999999998</v>
      </c>
      <c r="AH149" s="32">
        <f t="shared" ref="AH149:AS149" si="1041">AH90</f>
        <v>11091.703000000001</v>
      </c>
      <c r="AI149" s="32">
        <f t="shared" si="1041"/>
        <v>11404.017</v>
      </c>
      <c r="AJ149" s="223"/>
      <c r="AK149" s="223"/>
      <c r="AL149" s="223"/>
      <c r="AM149" s="223"/>
      <c r="AN149" s="32">
        <f t="shared" ref="AN149:AP149" si="1042">AN90</f>
        <v>10890.617000000002</v>
      </c>
      <c r="AO149" s="32">
        <f t="shared" si="1042"/>
        <v>11090.349</v>
      </c>
      <c r="AP149" s="32">
        <f t="shared" si="1042"/>
        <v>11434.563</v>
      </c>
      <c r="AQ149" s="32">
        <f t="shared" ref="AQ149" si="1043">AQ90</f>
        <v>12434</v>
      </c>
      <c r="AR149" s="32">
        <f t="shared" si="1041"/>
        <v>10238.154</v>
      </c>
      <c r="AS149" s="32">
        <f t="shared" si="1041"/>
        <v>9757.2380000000012</v>
      </c>
      <c r="AT149" s="32">
        <f t="shared" ref="AT149:AZ149" si="1044">AT90</f>
        <v>9369.8520000000008</v>
      </c>
      <c r="AU149" s="32">
        <f t="shared" si="1044"/>
        <v>9596.6450000000004</v>
      </c>
      <c r="AV149" s="32">
        <f t="shared" ref="AV149:AW149" si="1045">AV90</f>
        <v>9205.652</v>
      </c>
      <c r="AW149" s="32">
        <f t="shared" si="1045"/>
        <v>8619.9140000000007</v>
      </c>
      <c r="AX149" s="32">
        <f t="shared" si="1044"/>
        <v>9603.1760000000013</v>
      </c>
      <c r="AY149" s="32">
        <f t="shared" ref="AY149" si="1046">AY90</f>
        <v>8699.2620000000006</v>
      </c>
      <c r="AZ149" s="32">
        <f t="shared" si="1044"/>
        <v>10001.996999999999</v>
      </c>
      <c r="BA149" s="32">
        <f t="shared" ref="BA149" si="1047">BA90</f>
        <v>8730.4210000000003</v>
      </c>
      <c r="BB149" s="32">
        <f t="shared" ref="BB149:BF149" si="1048">BB90</f>
        <v>10408.197</v>
      </c>
      <c r="BC149" s="32">
        <f t="shared" si="1048"/>
        <v>10232.197</v>
      </c>
      <c r="BD149" s="32">
        <f t="shared" si="1048"/>
        <v>9804.8719999999994</v>
      </c>
      <c r="BE149" s="32">
        <f t="shared" si="1048"/>
        <v>9723.3959999999988</v>
      </c>
      <c r="BF149" s="32">
        <f t="shared" si="1048"/>
        <v>10045.434999999999</v>
      </c>
      <c r="BG149" s="32">
        <f t="shared" ref="BG149:BJ149" si="1049">BG90</f>
        <v>10142.235000000001</v>
      </c>
      <c r="BH149" s="32">
        <f t="shared" si="1049"/>
        <v>11129.200000000003</v>
      </c>
      <c r="BI149" s="32">
        <f t="shared" si="1049"/>
        <v>10846.547</v>
      </c>
      <c r="BJ149" s="32">
        <f t="shared" si="1049"/>
        <v>9461.349000000002</v>
      </c>
      <c r="BK149" s="32">
        <f t="shared" ref="BK149:BM149" si="1050">BK90</f>
        <v>8188.9490000000005</v>
      </c>
      <c r="BL149" s="32">
        <f t="shared" si="1050"/>
        <v>5460.4430000000002</v>
      </c>
      <c r="BM149" s="32">
        <f t="shared" si="1050"/>
        <v>4362.0910000000003</v>
      </c>
      <c r="BN149" s="32"/>
      <c r="BO149" s="32">
        <f t="shared" ref="BO149:BP149" si="1051">BO90</f>
        <v>9909.2999999999993</v>
      </c>
      <c r="BP149" s="32">
        <f t="shared" si="1051"/>
        <v>10529.545999999998</v>
      </c>
      <c r="BQ149" s="32">
        <f t="shared" ref="BQ149:BT149" si="1052">BQ90</f>
        <v>9539.3869999999988</v>
      </c>
      <c r="BR149" s="32">
        <f t="shared" si="1052"/>
        <v>8415.2870000000003</v>
      </c>
      <c r="BS149" s="32">
        <f t="shared" si="1052"/>
        <v>5688.317</v>
      </c>
      <c r="BT149" s="32">
        <f t="shared" si="1052"/>
        <v>4103.9400000000005</v>
      </c>
      <c r="BV149" s="40"/>
      <c r="BW149" s="40"/>
      <c r="BY149" s="40"/>
      <c r="BZ149" s="40"/>
      <c r="CB149" s="16"/>
      <c r="CC149" s="16"/>
    </row>
    <row r="150" spans="2:81" ht="13.5" customHeight="1">
      <c r="B150" s="10" t="s">
        <v>325</v>
      </c>
      <c r="C150" s="36">
        <f t="shared" ref="C150:Y150" si="1053">C149/C148</f>
        <v>0.37155123356904435</v>
      </c>
      <c r="D150" s="36">
        <f t="shared" si="1053"/>
        <v>0.37824630453372188</v>
      </c>
      <c r="E150" s="36">
        <f t="shared" ref="E150:J150" si="1054">E149/E148</f>
        <v>0.34891611875701284</v>
      </c>
      <c r="F150" s="36">
        <f t="shared" si="1054"/>
        <v>0.43196579858726925</v>
      </c>
      <c r="G150" s="36">
        <f t="shared" si="1054"/>
        <v>0.4403090404972142</v>
      </c>
      <c r="H150" s="36">
        <f t="shared" si="1054"/>
        <v>0.44029829972292983</v>
      </c>
      <c r="I150" s="36">
        <f t="shared" ref="I150:K150" si="1055">I149/I148</f>
        <v>0.45178402732359568</v>
      </c>
      <c r="J150" s="36">
        <f t="shared" si="1054"/>
        <v>0.44523832911347838</v>
      </c>
      <c r="K150" s="36">
        <f t="shared" si="1055"/>
        <v>0.44171785212329984</v>
      </c>
      <c r="L150" s="36">
        <f t="shared" ref="L150:M150" si="1056">L149/L148</f>
        <v>0.43055911305935785</v>
      </c>
      <c r="M150" s="430">
        <f t="shared" si="1056"/>
        <v>0.43763086434403647</v>
      </c>
      <c r="N150" s="430">
        <f t="shared" ref="N150" si="1057">N149/N148</f>
        <v>0.44399835363996382</v>
      </c>
      <c r="O150" s="430">
        <f t="shared" ref="O150:P150" si="1058">O149/O148</f>
        <v>0.49829374732506054</v>
      </c>
      <c r="P150" s="430">
        <f t="shared" si="1058"/>
        <v>0.45354442598014116</v>
      </c>
      <c r="Q150" s="430">
        <f t="shared" ref="Q150" si="1059">Q149/Q148</f>
        <v>0.46440248283785074</v>
      </c>
      <c r="R150" s="430">
        <f t="shared" ref="R150" si="1060">R149/R148</f>
        <v>0.46067261233835483</v>
      </c>
      <c r="S150" s="431"/>
      <c r="T150" s="432"/>
      <c r="U150" s="432"/>
      <c r="V150" s="432"/>
      <c r="W150" s="430">
        <f>W149/W148</f>
        <v>0.34891611875701278</v>
      </c>
      <c r="X150" s="430">
        <f t="shared" si="1053"/>
        <v>0.44654443653744891</v>
      </c>
      <c r="Y150" s="430">
        <f t="shared" si="1053"/>
        <v>0.55086134878026216</v>
      </c>
      <c r="Z150" s="430">
        <f>Z149/Z148</f>
        <v>0.66012724085049601</v>
      </c>
      <c r="AA150" s="430">
        <f>AA149/AA148</f>
        <v>0.4319657985872693</v>
      </c>
      <c r="AB150" s="430">
        <f>AB149/AB148</f>
        <v>0.43376878395331026</v>
      </c>
      <c r="AC150" s="430">
        <f t="shared" ref="AC150" si="1061">AC149/AC148</f>
        <v>0.43664424324904344</v>
      </c>
      <c r="AD150" s="430">
        <f>AD149/AD148</f>
        <v>0.44004493288116792</v>
      </c>
      <c r="AE150" s="430">
        <f>AE149/AE148</f>
        <v>0.4403090404972142</v>
      </c>
      <c r="AF150" s="430">
        <f>AF149/AF148</f>
        <v>0.44756771663077677</v>
      </c>
      <c r="AG150" s="430">
        <f t="shared" ref="AG150" si="1062">AG149/AG148</f>
        <v>0.44594171253913278</v>
      </c>
      <c r="AH150" s="430">
        <f>AH149/AH148</f>
        <v>0.43910907877183303</v>
      </c>
      <c r="AI150" s="430">
        <f>AI149/AI148</f>
        <v>0.44029829972292983</v>
      </c>
      <c r="AJ150" s="433"/>
      <c r="AK150" s="433"/>
      <c r="AL150" s="433"/>
      <c r="AM150" s="433"/>
      <c r="AN150" s="430">
        <f>AN149/AN148</f>
        <v>0.44021270001915574</v>
      </c>
      <c r="AO150" s="430">
        <f t="shared" ref="AO150" si="1063">AO149/AO148</f>
        <v>0.44266425041059909</v>
      </c>
      <c r="AP150" s="430">
        <f>AP149/AP148</f>
        <v>0.44369900249470418</v>
      </c>
      <c r="AQ150" s="430">
        <f>AQ149/AQ148</f>
        <v>0.45178402732359568</v>
      </c>
      <c r="AR150" s="430">
        <f>AR149/AR148</f>
        <v>0.44028666453765741</v>
      </c>
      <c r="AS150" s="430">
        <f t="shared" ref="AS150" si="1064">AS149/AS148</f>
        <v>0.44228602765169894</v>
      </c>
      <c r="AT150" s="430">
        <f t="shared" ref="AT150:AY150" si="1065">AT149/AT148</f>
        <v>0.44141280710944952</v>
      </c>
      <c r="AU150" s="430">
        <f t="shared" si="1065"/>
        <v>0.44172273174903498</v>
      </c>
      <c r="AV150" s="430">
        <f t="shared" si="1065"/>
        <v>0.44077092724787903</v>
      </c>
      <c r="AW150" s="430">
        <f t="shared" si="1065"/>
        <v>0.43055911305935785</v>
      </c>
      <c r="AX150" s="430">
        <f t="shared" si="1065"/>
        <v>0.44094340967212742</v>
      </c>
      <c r="AY150" s="434">
        <f t="shared" si="1065"/>
        <v>0.42342450695942618</v>
      </c>
      <c r="AZ150" s="430">
        <f t="shared" ref="AZ150:BA150" si="1066">AZ149/AZ148</f>
        <v>0.4430440796212729</v>
      </c>
      <c r="BA150" s="430">
        <f t="shared" si="1066"/>
        <v>0.42737162189548827</v>
      </c>
      <c r="BB150" s="430">
        <f>BB149/BB148</f>
        <v>0.44827670415357029</v>
      </c>
      <c r="BC150" s="430">
        <f>BC149/BC148</f>
        <v>0.46257496128857378</v>
      </c>
      <c r="BD150" s="430">
        <f>BD149/BD148</f>
        <v>0.43935385775198804</v>
      </c>
      <c r="BE150" s="430">
        <f>BE149/BE148</f>
        <v>0.44433012068123268</v>
      </c>
      <c r="BF150" s="430">
        <f t="shared" ref="BF150" si="1067">BF149/BF148</f>
        <v>0.45563981692282307</v>
      </c>
      <c r="BG150" s="430">
        <f>BG149/BG148</f>
        <v>0.46797018551759512</v>
      </c>
      <c r="BH150" s="430">
        <f>BH149/BH148</f>
        <v>0.4982937473250606</v>
      </c>
      <c r="BI150" s="430">
        <f>BI149/BI148</f>
        <v>0.49842988259503168</v>
      </c>
      <c r="BJ150" s="430">
        <f t="shared" ref="BJ150" si="1068">BJ149/BJ148</f>
        <v>0.49869848239647713</v>
      </c>
      <c r="BK150" s="430">
        <f>BK149/BK148</f>
        <v>0.49417588160464243</v>
      </c>
      <c r="BL150" s="430">
        <f>BL149/BL148</f>
        <v>0.46440248283785074</v>
      </c>
      <c r="BM150" s="430">
        <f>BM149/BM148</f>
        <v>0.46067261233835483</v>
      </c>
      <c r="BN150" s="435"/>
      <c r="BO150" s="430">
        <f t="shared" ref="BO150:BT150" si="1069">BO149/BO148</f>
        <v>0.44399835363996382</v>
      </c>
      <c r="BP150" s="430">
        <f t="shared" si="1069"/>
        <v>0.45661238584794417</v>
      </c>
      <c r="BQ150" s="430">
        <f t="shared" si="1069"/>
        <v>0.45889755141738692</v>
      </c>
      <c r="BR150" s="430">
        <f t="shared" si="1069"/>
        <v>0.46347549383240622</v>
      </c>
      <c r="BS150" s="430">
        <f t="shared" si="1069"/>
        <v>0.45354442598014116</v>
      </c>
      <c r="BT150" s="430">
        <f t="shared" si="1069"/>
        <v>0.42331649807338673</v>
      </c>
      <c r="BV150" s="40"/>
      <c r="BW150" s="40"/>
      <c r="BY150" s="40"/>
      <c r="BZ150" s="40"/>
      <c r="CB150" s="16"/>
      <c r="CC150" s="16"/>
    </row>
    <row r="151" spans="2:81" ht="13.5" customHeight="1">
      <c r="B151" s="10" t="str">
        <f t="shared" ref="B151:F151" si="1070">B91</f>
        <v>Cash interest paid</v>
      </c>
      <c r="C151" s="54">
        <f t="shared" si="1070"/>
        <v>1153.8679999999999</v>
      </c>
      <c r="D151" s="54">
        <f t="shared" si="1070"/>
        <v>1297.431</v>
      </c>
      <c r="E151" s="54">
        <f t="shared" si="1070"/>
        <v>1102.2139999999999</v>
      </c>
      <c r="F151" s="54">
        <f t="shared" si="1070"/>
        <v>1689.5889999999999</v>
      </c>
      <c r="G151" s="54">
        <f t="shared" ref="G151:H151" si="1071">G91</f>
        <v>1400.405</v>
      </c>
      <c r="H151" s="54">
        <f t="shared" si="1071"/>
        <v>1398.06</v>
      </c>
      <c r="I151" s="54">
        <f t="shared" ref="I151" si="1072">I91</f>
        <v>1590.874</v>
      </c>
      <c r="J151" s="54">
        <f t="shared" ref="J151:K151" si="1073">J91</f>
        <v>1398.06</v>
      </c>
      <c r="K151" s="54">
        <f t="shared" si="1073"/>
        <v>1590.874</v>
      </c>
      <c r="L151" s="54">
        <f t="shared" ref="L151:M151" si="1074">L91</f>
        <v>1589.069</v>
      </c>
      <c r="M151" s="32">
        <f t="shared" si="1074"/>
        <v>2303.0030000000002</v>
      </c>
      <c r="N151" s="32">
        <f t="shared" ref="N151" si="1075">N91</f>
        <v>2296.3389999999999</v>
      </c>
      <c r="O151" s="32">
        <f t="shared" ref="O151:P151" si="1076">O91</f>
        <v>2157.1909999999998</v>
      </c>
      <c r="P151" s="32">
        <f t="shared" si="1076"/>
        <v>2157.1909999999998</v>
      </c>
      <c r="Q151" s="32">
        <f t="shared" ref="Q151" si="1077">Q91</f>
        <v>1543.5119999999999</v>
      </c>
      <c r="R151" s="32">
        <f t="shared" ref="R151" si="1078">R91</f>
        <v>1207.1669999999999</v>
      </c>
      <c r="S151" s="121"/>
      <c r="T151" s="429"/>
      <c r="U151" s="429"/>
      <c r="V151" s="429"/>
      <c r="W151" s="32">
        <f t="shared" ref="W151:AC151" si="1079">W91</f>
        <v>1102.2139999999999</v>
      </c>
      <c r="X151" s="32">
        <f t="shared" si="1079"/>
        <v>1051.4870000000001</v>
      </c>
      <c r="Y151" s="32">
        <f t="shared" si="1079"/>
        <v>829.89200000000005</v>
      </c>
      <c r="Z151" s="32">
        <f t="shared" si="1079"/>
        <v>3375.1710000000003</v>
      </c>
      <c r="AA151" s="32">
        <f t="shared" si="1079"/>
        <v>1689.5889999999999</v>
      </c>
      <c r="AB151" s="32">
        <f t="shared" si="1079"/>
        <v>1898.8849999999998</v>
      </c>
      <c r="AC151" s="32">
        <f t="shared" si="1079"/>
        <v>2627.0810000000001</v>
      </c>
      <c r="AD151" s="32">
        <f t="shared" ref="AD151:AG151" si="1080">AD91</f>
        <v>1557.296</v>
      </c>
      <c r="AE151" s="32">
        <f t="shared" si="1080"/>
        <v>1400.405</v>
      </c>
      <c r="AF151" s="32">
        <f t="shared" si="1080"/>
        <v>1380.29</v>
      </c>
      <c r="AG151" s="32">
        <f t="shared" si="1080"/>
        <v>860.87099999999998</v>
      </c>
      <c r="AH151" s="32">
        <f t="shared" ref="AH151:AS151" si="1081">AH91</f>
        <v>1387.3419999999999</v>
      </c>
      <c r="AI151" s="32">
        <f t="shared" si="1081"/>
        <v>1398.06</v>
      </c>
      <c r="AJ151" s="223"/>
      <c r="AK151" s="223"/>
      <c r="AL151" s="223"/>
      <c r="AM151" s="223"/>
      <c r="AN151" s="32">
        <f t="shared" ref="AN151:AP151" si="1082">AN91</f>
        <v>1442.143</v>
      </c>
      <c r="AO151" s="32">
        <f t="shared" si="1082"/>
        <v>1443.0750000000003</v>
      </c>
      <c r="AP151" s="32">
        <f t="shared" si="1082"/>
        <v>1480.787</v>
      </c>
      <c r="AQ151" s="32">
        <f t="shared" ref="AQ151" si="1083">AQ91</f>
        <v>1590.874</v>
      </c>
      <c r="AR151" s="32">
        <f t="shared" si="1081"/>
        <v>1442.143</v>
      </c>
      <c r="AS151" s="32">
        <f t="shared" si="1081"/>
        <v>1443.0750000000003</v>
      </c>
      <c r="AT151" s="32">
        <f t="shared" ref="AT151:AZ151" si="1084">AT91</f>
        <v>1480.787</v>
      </c>
      <c r="AU151" s="32">
        <f t="shared" si="1084"/>
        <v>1590.874</v>
      </c>
      <c r="AV151" s="32">
        <f t="shared" ref="AV151:AW151" si="1085">AV91</f>
        <v>1480.787</v>
      </c>
      <c r="AW151" s="32">
        <f t="shared" si="1085"/>
        <v>1589.069</v>
      </c>
      <c r="AX151" s="32">
        <f t="shared" si="1084"/>
        <v>1613.0140000000001</v>
      </c>
      <c r="AY151" s="32">
        <f t="shared" ref="AY151" si="1086">AY91</f>
        <v>1827.5940000000001</v>
      </c>
      <c r="AZ151" s="32">
        <f t="shared" si="1084"/>
        <v>2023.1990000000001</v>
      </c>
      <c r="BA151" s="32">
        <f t="shared" ref="BA151" si="1087">BA91</f>
        <v>2021.394</v>
      </c>
      <c r="BB151" s="32">
        <f t="shared" ref="BB151:BF151" si="1088">BB91</f>
        <v>2257.3710000000001</v>
      </c>
      <c r="BC151" s="32">
        <f t="shared" si="1088"/>
        <v>2257.3710000000001</v>
      </c>
      <c r="BD151" s="32">
        <f t="shared" si="1088"/>
        <v>2303.0030000000002</v>
      </c>
      <c r="BE151" s="32">
        <f t="shared" si="1088"/>
        <v>2516.83</v>
      </c>
      <c r="BF151" s="32">
        <f t="shared" si="1088"/>
        <v>2323.0509999999999</v>
      </c>
      <c r="BG151" s="32">
        <f t="shared" ref="BG151:BJ151" si="1089">BG91</f>
        <v>2184.98</v>
      </c>
      <c r="BH151" s="32">
        <f t="shared" si="1089"/>
        <v>2157.1909999999998</v>
      </c>
      <c r="BI151" s="32">
        <f t="shared" si="1089"/>
        <v>2045.7559999999999</v>
      </c>
      <c r="BJ151" s="32">
        <f t="shared" si="1089"/>
        <v>1999.1999999999998</v>
      </c>
      <c r="BK151" s="32">
        <f t="shared" ref="BK151:BM151" si="1090">BK91</f>
        <v>1779.0769999999998</v>
      </c>
      <c r="BL151" s="32">
        <f t="shared" si="1090"/>
        <v>1543.5119999999999</v>
      </c>
      <c r="BM151" s="32">
        <f t="shared" si="1090"/>
        <v>1207.1669999999999</v>
      </c>
      <c r="BN151" s="32"/>
      <c r="BO151" s="32">
        <f t="shared" ref="BO151:BP151" si="1091">BO91</f>
        <v>2296.3389999999999</v>
      </c>
      <c r="BP151" s="32">
        <f t="shared" si="1091"/>
        <v>2510.1659999999997</v>
      </c>
      <c r="BQ151" s="32">
        <f t="shared" ref="BQ151:BT151" si="1092">BQ91</f>
        <v>2316.3869999999997</v>
      </c>
      <c r="BR151" s="32">
        <f t="shared" si="1092"/>
        <v>2178.3159999999998</v>
      </c>
      <c r="BS151" s="32">
        <f t="shared" si="1092"/>
        <v>2157.1909999999998</v>
      </c>
      <c r="BT151" s="32">
        <f t="shared" si="1092"/>
        <v>2045.7559999999999</v>
      </c>
      <c r="BV151" s="40"/>
      <c r="BW151" s="40"/>
      <c r="BY151" s="40"/>
      <c r="BZ151" s="40"/>
      <c r="CB151" s="16"/>
      <c r="CC151" s="16"/>
    </row>
    <row r="152" spans="2:81" ht="13.5" customHeight="1">
      <c r="B152" s="10" t="str">
        <f t="shared" ref="B152:F153" si="1093">B93</f>
        <v>Capex</v>
      </c>
      <c r="C152" s="54">
        <f t="shared" si="1093"/>
        <v>5483.0619999999999</v>
      </c>
      <c r="D152" s="54">
        <f t="shared" si="1093"/>
        <v>4885.1060000000007</v>
      </c>
      <c r="E152" s="54">
        <f t="shared" si="1093"/>
        <v>6637.125</v>
      </c>
      <c r="F152" s="54">
        <f t="shared" si="1093"/>
        <v>6770.7359999999999</v>
      </c>
      <c r="G152" s="54">
        <f t="shared" ref="G152:H152" si="1094">G93</f>
        <v>4518.9659999999994</v>
      </c>
      <c r="H152" s="54">
        <f t="shared" si="1094"/>
        <v>6369</v>
      </c>
      <c r="I152" s="54">
        <f t="shared" ref="I152" si="1095">I93</f>
        <v>9652.0030000000006</v>
      </c>
      <c r="J152" s="54">
        <f t="shared" ref="J152:K152" si="1096">J93</f>
        <v>6248.1950000000006</v>
      </c>
      <c r="K152" s="54">
        <f t="shared" si="1096"/>
        <v>9652.0030000000006</v>
      </c>
      <c r="L152" s="54">
        <f t="shared" ref="L152:M152" si="1097">L93</f>
        <v>9730.2749999999996</v>
      </c>
      <c r="M152" s="32">
        <f t="shared" si="1097"/>
        <v>6949.4139999999998</v>
      </c>
      <c r="N152" s="32">
        <f t="shared" ref="N152" si="1098">N93</f>
        <v>7106.41</v>
      </c>
      <c r="O152" s="32">
        <f t="shared" ref="O152:P152" si="1099">O93</f>
        <v>5043.1769999999997</v>
      </c>
      <c r="P152" s="32">
        <f t="shared" si="1099"/>
        <v>5126.3139999999994</v>
      </c>
      <c r="Q152" s="32">
        <f t="shared" ref="Q152" si="1100">Q93</f>
        <v>2028.2569999999998</v>
      </c>
      <c r="R152" s="32">
        <f t="shared" ref="R152" si="1101">R93</f>
        <v>1643.6399999999999</v>
      </c>
      <c r="S152" s="121"/>
      <c r="T152" s="429"/>
      <c r="U152" s="429"/>
      <c r="V152" s="429"/>
      <c r="W152" s="32">
        <f t="shared" ref="W152:AC153" si="1102">W93</f>
        <v>6637.125</v>
      </c>
      <c r="X152" s="32">
        <f t="shared" si="1102"/>
        <v>7004.0030000000006</v>
      </c>
      <c r="Y152" s="32">
        <f t="shared" si="1102"/>
        <v>6571.6270000000004</v>
      </c>
      <c r="Z152" s="32">
        <f t="shared" si="1102"/>
        <v>6200.0429999999997</v>
      </c>
      <c r="AA152" s="32">
        <f t="shared" si="1102"/>
        <v>6770.7359999999999</v>
      </c>
      <c r="AB152" s="32">
        <f t="shared" si="1102"/>
        <v>5818.1039999999994</v>
      </c>
      <c r="AC152" s="32">
        <f t="shared" si="1102"/>
        <v>6113.2289999999994</v>
      </c>
      <c r="AD152" s="32">
        <f t="shared" ref="AD152:AG152" si="1103">AD93</f>
        <v>5721.085</v>
      </c>
      <c r="AE152" s="32">
        <f t="shared" si="1103"/>
        <v>4518.9659999999994</v>
      </c>
      <c r="AF152" s="32">
        <f t="shared" si="1103"/>
        <v>5083.2439999999997</v>
      </c>
      <c r="AG152" s="32">
        <f t="shared" si="1103"/>
        <v>5262.6589999999997</v>
      </c>
      <c r="AH152" s="32">
        <f t="shared" ref="AH152:AS152" si="1104">AH93</f>
        <v>5753.6819999999998</v>
      </c>
      <c r="AI152" s="32">
        <f t="shared" si="1104"/>
        <v>6369</v>
      </c>
      <c r="AJ152" s="223"/>
      <c r="AK152" s="223"/>
      <c r="AL152" s="223"/>
      <c r="AM152" s="223"/>
      <c r="AN152" s="32">
        <f t="shared" ref="AN152:AP152" si="1105">AN93</f>
        <v>6786.0870000000004</v>
      </c>
      <c r="AO152" s="32">
        <f t="shared" si="1105"/>
        <v>8346.7309999999998</v>
      </c>
      <c r="AP152" s="32">
        <f t="shared" si="1105"/>
        <v>9426.3150000000005</v>
      </c>
      <c r="AQ152" s="32">
        <f t="shared" ref="AQ152" si="1106">AQ93</f>
        <v>9652.0030000000006</v>
      </c>
      <c r="AR152" s="32">
        <f t="shared" si="1104"/>
        <v>6786.0870000000004</v>
      </c>
      <c r="AS152" s="32">
        <f t="shared" si="1104"/>
        <v>8346.7309999999998</v>
      </c>
      <c r="AT152" s="32">
        <f t="shared" ref="AT152:AZ152" si="1107">AT93</f>
        <v>9426.3150000000005</v>
      </c>
      <c r="AU152" s="32">
        <f t="shared" si="1107"/>
        <v>9652.0030000000006</v>
      </c>
      <c r="AV152" s="32">
        <f t="shared" ref="AV152:AW152" si="1108">AV93</f>
        <v>9426.3150000000005</v>
      </c>
      <c r="AW152" s="32">
        <f t="shared" si="1108"/>
        <v>9730.2749999999996</v>
      </c>
      <c r="AX152" s="32">
        <f t="shared" si="1107"/>
        <v>9778.0090000000018</v>
      </c>
      <c r="AY152" s="32">
        <f t="shared" ref="AY152" si="1109">AY93</f>
        <v>9020.202000000003</v>
      </c>
      <c r="AZ152" s="32">
        <f t="shared" si="1107"/>
        <v>8313.9350000000013</v>
      </c>
      <c r="BA152" s="32">
        <f t="shared" ref="BA152" si="1110">BA93</f>
        <v>8392.2070000000003</v>
      </c>
      <c r="BB152" s="32">
        <f t="shared" ref="BB152:BF152" si="1111">BB93</f>
        <v>7433.8990000000013</v>
      </c>
      <c r="BC152" s="32">
        <f t="shared" si="1111"/>
        <v>7433.8990000000013</v>
      </c>
      <c r="BD152" s="32">
        <f t="shared" si="1111"/>
        <v>6949.4139999999998</v>
      </c>
      <c r="BE152" s="32">
        <f t="shared" si="1111"/>
        <v>6645.6559999999999</v>
      </c>
      <c r="BF152" s="32">
        <f t="shared" si="1111"/>
        <v>6090.398000000001</v>
      </c>
      <c r="BG152" s="32">
        <f t="shared" ref="BG152:BJ152" si="1112">BG93</f>
        <v>5324.155999999999</v>
      </c>
      <c r="BH152" s="32">
        <f t="shared" si="1112"/>
        <v>5043.1769999999997</v>
      </c>
      <c r="BI152" s="32">
        <f t="shared" si="1112"/>
        <v>4369.3179999999993</v>
      </c>
      <c r="BJ152" s="32">
        <f t="shared" si="1112"/>
        <v>3337.418999999999</v>
      </c>
      <c r="BK152" s="32">
        <f t="shared" ref="BK152:BM152" si="1113">BK93</f>
        <v>2793.326</v>
      </c>
      <c r="BL152" s="32">
        <f t="shared" si="1113"/>
        <v>2028.2569999999998</v>
      </c>
      <c r="BM152" s="32">
        <f t="shared" si="1113"/>
        <v>1643.6399999999999</v>
      </c>
      <c r="BN152" s="32"/>
      <c r="BO152" s="32">
        <f t="shared" ref="BO152:BP152" si="1114">BO93</f>
        <v>7106.41</v>
      </c>
      <c r="BP152" s="32">
        <f t="shared" si="1114"/>
        <v>6802.652</v>
      </c>
      <c r="BQ152" s="32">
        <f t="shared" ref="BQ152:BT152" si="1115">BQ93</f>
        <v>6247.3940000000002</v>
      </c>
      <c r="BR152" s="32">
        <f t="shared" si="1115"/>
        <v>5481.1519999999991</v>
      </c>
      <c r="BS152" s="32">
        <f t="shared" si="1115"/>
        <v>5126.3139999999994</v>
      </c>
      <c r="BT152" s="32">
        <f t="shared" si="1115"/>
        <v>4452.454999999999</v>
      </c>
      <c r="BV152" s="40"/>
      <c r="BW152" s="40"/>
      <c r="BY152" s="40"/>
      <c r="BZ152" s="40"/>
      <c r="CB152" s="16"/>
      <c r="CC152" s="16"/>
    </row>
    <row r="153" spans="2:81" ht="13.5" customHeight="1">
      <c r="B153" s="10" t="str">
        <f t="shared" si="1093"/>
        <v xml:space="preserve">Free cash flow </v>
      </c>
      <c r="C153" s="54">
        <f t="shared" si="1093"/>
        <v>8280.9499999999989</v>
      </c>
      <c r="D153" s="54">
        <f t="shared" si="1093"/>
        <v>9944.1049999999996</v>
      </c>
      <c r="E153" s="54">
        <f t="shared" si="1093"/>
        <v>7101.7649999999994</v>
      </c>
      <c r="F153" s="54">
        <f t="shared" si="1093"/>
        <v>13613.442999999994</v>
      </c>
      <c r="G153" s="54">
        <f t="shared" ref="G153:H153" si="1116">G94</f>
        <v>12647.967999999997</v>
      </c>
      <c r="H153" s="54">
        <f t="shared" si="1116"/>
        <v>13337.668999999996</v>
      </c>
      <c r="I153" s="54">
        <f t="shared" ref="I153" si="1117">I94</f>
        <v>8376.5190000000039</v>
      </c>
      <c r="J153" s="54">
        <f t="shared" ref="J153:K153" si="1118">J94</f>
        <v>10905.637999999997</v>
      </c>
      <c r="K153" s="54">
        <f t="shared" si="1118"/>
        <v>5539.1640000000007</v>
      </c>
      <c r="L153" s="54">
        <f t="shared" ref="L153:M153" si="1119">L94</f>
        <v>4592.4239999999991</v>
      </c>
      <c r="M153" s="32">
        <f t="shared" si="1119"/>
        <v>9570.3699999999972</v>
      </c>
      <c r="N153" s="32">
        <f t="shared" ref="N153" si="1120">N94</f>
        <v>9878.5969999999961</v>
      </c>
      <c r="O153" s="32">
        <f t="shared" ref="O153:P153" si="1121">O94</f>
        <v>14183.206000000006</v>
      </c>
      <c r="P153" s="32">
        <f t="shared" si="1121"/>
        <v>8770.2080000000005</v>
      </c>
      <c r="Q153" s="32">
        <f t="shared" ref="Q153" si="1122">Q94</f>
        <v>8146.9209999999985</v>
      </c>
      <c r="R153" s="32">
        <f t="shared" ref="R153" si="1123">R94</f>
        <v>6168.3690000000015</v>
      </c>
      <c r="S153" s="121"/>
      <c r="T153" s="429"/>
      <c r="U153" s="429"/>
      <c r="V153" s="429"/>
      <c r="W153" s="32">
        <f t="shared" ref="W153:AB153" si="1124">W94</f>
        <v>7101.7649999999994</v>
      </c>
      <c r="X153" s="32">
        <f t="shared" si="1124"/>
        <v>12248.09</v>
      </c>
      <c r="Y153" s="32">
        <f t="shared" si="1124"/>
        <v>15246.819000000001</v>
      </c>
      <c r="Z153" s="32">
        <f t="shared" si="1124"/>
        <v>16877.962000000003</v>
      </c>
      <c r="AA153" s="32">
        <f t="shared" si="1124"/>
        <v>13613.442999999996</v>
      </c>
      <c r="AB153" s="32">
        <f t="shared" si="1124"/>
        <v>12703.815999999999</v>
      </c>
      <c r="AC153" s="32">
        <f t="shared" si="1102"/>
        <v>12424.190999999999</v>
      </c>
      <c r="AD153" s="32">
        <f t="shared" ref="AD153:AG153" si="1125">AD94</f>
        <v>12814.457999999991</v>
      </c>
      <c r="AE153" s="32">
        <f t="shared" si="1125"/>
        <v>12647.967999999997</v>
      </c>
      <c r="AF153" s="32">
        <f t="shared" si="1125"/>
        <v>12196.001999999999</v>
      </c>
      <c r="AG153" s="32">
        <f t="shared" si="1125"/>
        <v>12810.423000000001</v>
      </c>
      <c r="AH153" s="32">
        <f t="shared" ref="AH153:AS153" si="1126">AH94</f>
        <v>13187.993000000002</v>
      </c>
      <c r="AI153" s="32">
        <f t="shared" si="1126"/>
        <v>13337.668999999998</v>
      </c>
      <c r="AJ153" s="223"/>
      <c r="AK153" s="223"/>
      <c r="AL153" s="223"/>
      <c r="AM153" s="223"/>
      <c r="AN153" s="32">
        <f t="shared" ref="AN153:AP153" si="1127">AN94</f>
        <v>13779.948999999999</v>
      </c>
      <c r="AO153" s="32">
        <f t="shared" si="1127"/>
        <v>9375.1009999999987</v>
      </c>
      <c r="AP153" s="32">
        <f t="shared" si="1127"/>
        <v>8069.0319999999956</v>
      </c>
      <c r="AQ153" s="32">
        <f t="shared" ref="AQ153" si="1128">AQ94</f>
        <v>8376.5190000000002</v>
      </c>
      <c r="AR153" s="32">
        <f t="shared" si="1126"/>
        <v>13127.485999999999</v>
      </c>
      <c r="AS153" s="32">
        <f t="shared" si="1126"/>
        <v>8041.99</v>
      </c>
      <c r="AT153" s="32">
        <f t="shared" ref="AT153:AZ153" si="1129">AT94</f>
        <v>6004.3209999999963</v>
      </c>
      <c r="AU153" s="32">
        <f t="shared" si="1129"/>
        <v>5539.1640000000016</v>
      </c>
      <c r="AV153" s="32">
        <f t="shared" ref="AV153:AW153" si="1130">AV94</f>
        <v>5840.1209999999955</v>
      </c>
      <c r="AW153" s="32">
        <f t="shared" si="1130"/>
        <v>4592.4240000000009</v>
      </c>
      <c r="AX153" s="32">
        <f t="shared" si="1129"/>
        <v>4641.058</v>
      </c>
      <c r="AY153" s="32">
        <f t="shared" ref="AY153" si="1131">AY94</f>
        <v>6940.341999999996</v>
      </c>
      <c r="AZ153" s="32">
        <f t="shared" si="1129"/>
        <v>8238.0169999999998</v>
      </c>
      <c r="BA153" s="32">
        <f t="shared" ref="BA153" si="1132">BA94</f>
        <v>6996.4319999999989</v>
      </c>
      <c r="BB153" s="32">
        <f t="shared" ref="BB153:BF153" si="1133">BB94</f>
        <v>9707.479000000003</v>
      </c>
      <c r="BC153" s="32">
        <f t="shared" si="1133"/>
        <v>9531.479000000003</v>
      </c>
      <c r="BD153" s="32">
        <f t="shared" si="1133"/>
        <v>9746.3699999999972</v>
      </c>
      <c r="BE153" s="32">
        <f t="shared" si="1133"/>
        <v>10457.429999999998</v>
      </c>
      <c r="BF153" s="32">
        <f t="shared" si="1133"/>
        <v>12267.891999999996</v>
      </c>
      <c r="BG153" s="32">
        <f t="shared" ref="BG153:BJ153" si="1134">BG94</f>
        <v>12796.771999999999</v>
      </c>
      <c r="BH153" s="32">
        <f t="shared" si="1134"/>
        <v>14183.206000000002</v>
      </c>
      <c r="BI153" s="32">
        <f t="shared" si="1134"/>
        <v>14173.960000000003</v>
      </c>
      <c r="BJ153" s="32">
        <f t="shared" si="1134"/>
        <v>12821.998000000003</v>
      </c>
      <c r="BK153" s="32">
        <f t="shared" ref="BK153:BM153" si="1135">BK94</f>
        <v>11066.793000000001</v>
      </c>
      <c r="BL153" s="32">
        <f t="shared" si="1135"/>
        <v>8146.9210000000003</v>
      </c>
      <c r="BM153" s="32">
        <f t="shared" si="1135"/>
        <v>6168.3689999999988</v>
      </c>
      <c r="BN153" s="32"/>
      <c r="BO153" s="32">
        <f t="shared" ref="BO153:BP153" si="1136">BO94</f>
        <v>9878.5969999999979</v>
      </c>
      <c r="BP153" s="32">
        <f t="shared" si="1136"/>
        <v>11291.378999999997</v>
      </c>
      <c r="BQ153" s="32">
        <f t="shared" ref="BQ153:BT153" si="1137">BQ94</f>
        <v>11813.089999999997</v>
      </c>
      <c r="BR153" s="32">
        <f t="shared" si="1137"/>
        <v>11121.714999999997</v>
      </c>
      <c r="BS153" s="32">
        <f t="shared" si="1137"/>
        <v>8770.2080000000042</v>
      </c>
      <c r="BT153" s="32">
        <f t="shared" si="1137"/>
        <v>7459.0180000000055</v>
      </c>
      <c r="BV153" s="40"/>
      <c r="BW153" s="40"/>
      <c r="BY153" s="40"/>
      <c r="BZ153" s="40"/>
      <c r="CB153" s="16"/>
      <c r="CC153" s="16"/>
    </row>
    <row r="154" spans="2:81" ht="13.5" customHeight="1">
      <c r="B154" s="10" t="s">
        <v>326</v>
      </c>
      <c r="C154" s="54">
        <f t="shared" ref="C154:H154" si="1138">C123</f>
        <v>206.71199999999999</v>
      </c>
      <c r="D154" s="54">
        <f t="shared" si="1138"/>
        <v>66.644999999999996</v>
      </c>
      <c r="E154" s="54">
        <f t="shared" si="1138"/>
        <v>5071.4480000000003</v>
      </c>
      <c r="F154" s="54">
        <f t="shared" si="1138"/>
        <v>4231.0989999999993</v>
      </c>
      <c r="G154" s="54">
        <f t="shared" ref="G154" si="1139">G123</f>
        <v>7194.2539999999999</v>
      </c>
      <c r="H154" s="54">
        <f t="shared" si="1138"/>
        <v>6969.3519999999999</v>
      </c>
      <c r="I154" s="54">
        <f t="shared" ref="I154" si="1140">I123</f>
        <v>7452.2420000000002</v>
      </c>
      <c r="J154" s="54">
        <f t="shared" ref="J154:K154" si="1141">J123</f>
        <v>6969.3519999999999</v>
      </c>
      <c r="K154" s="54">
        <f t="shared" si="1141"/>
        <v>7452.2420000000002</v>
      </c>
      <c r="L154" s="54">
        <f t="shared" ref="L154:M154" si="1142">L123</f>
        <v>7452.7430000000004</v>
      </c>
      <c r="M154" s="32">
        <f t="shared" si="1142"/>
        <v>4612.134</v>
      </c>
      <c r="N154" s="32">
        <f t="shared" ref="N154" si="1143">N123</f>
        <v>4612.1340000000009</v>
      </c>
      <c r="O154" s="32">
        <f t="shared" ref="O154:P154" si="1144">O123</f>
        <v>4860.4399999999996</v>
      </c>
      <c r="P154" s="32">
        <f t="shared" si="1144"/>
        <v>4860.4399999999996</v>
      </c>
      <c r="Q154" s="32">
        <f t="shared" ref="Q154" si="1145">Q123</f>
        <v>3746.7809999999995</v>
      </c>
      <c r="R154" s="32">
        <f t="shared" ref="R154" si="1146">R123</f>
        <v>2413.0570000000002</v>
      </c>
      <c r="S154" s="121"/>
      <c r="T154" s="32">
        <f t="shared" ref="T154:AC154" si="1147">T123</f>
        <v>5714.857</v>
      </c>
      <c r="U154" s="32">
        <f t="shared" si="1147"/>
        <v>6234.4110000000001</v>
      </c>
      <c r="V154" s="32">
        <f t="shared" si="1147"/>
        <v>6018.6260000000002</v>
      </c>
      <c r="W154" s="32">
        <f t="shared" si="1147"/>
        <v>5071.4480000000003</v>
      </c>
      <c r="X154" s="32">
        <f t="shared" si="1147"/>
        <v>6750.1779999999999</v>
      </c>
      <c r="Y154" s="32">
        <f t="shared" si="1147"/>
        <v>5418.1530000000002</v>
      </c>
      <c r="Z154" s="32">
        <f t="shared" si="1147"/>
        <v>4981.7579999999998</v>
      </c>
      <c r="AA154" s="32">
        <f t="shared" si="1147"/>
        <v>4231.0989999999993</v>
      </c>
      <c r="AB154" s="32">
        <f t="shared" si="1147"/>
        <v>5962.5480000000007</v>
      </c>
      <c r="AC154" s="32">
        <f t="shared" si="1147"/>
        <v>5906.7829999999994</v>
      </c>
      <c r="AD154" s="32">
        <f t="shared" ref="AD154:AG154" si="1148">AD123</f>
        <v>11038.026</v>
      </c>
      <c r="AE154" s="32">
        <f t="shared" si="1148"/>
        <v>7194.2539999999999</v>
      </c>
      <c r="AF154" s="32">
        <f t="shared" si="1148"/>
        <v>6552.2480000000005</v>
      </c>
      <c r="AG154" s="32">
        <f t="shared" si="1148"/>
        <v>7001.7959999999994</v>
      </c>
      <c r="AH154" s="32">
        <f t="shared" ref="AH154:AS154" si="1149">AH123</f>
        <v>7320.7370000000001</v>
      </c>
      <c r="AI154" s="32">
        <f t="shared" si="1149"/>
        <v>6969.3519999999999</v>
      </c>
      <c r="AJ154" s="223"/>
      <c r="AK154" s="223"/>
      <c r="AL154" s="223"/>
      <c r="AM154" s="223"/>
      <c r="AN154" s="32">
        <f t="shared" ref="AN154:AP154" si="1150">AN123</f>
        <v>5781.9050000000007</v>
      </c>
      <c r="AO154" s="32">
        <f t="shared" si="1150"/>
        <v>6586.2759999999998</v>
      </c>
      <c r="AP154" s="32">
        <f t="shared" si="1150"/>
        <v>7741.3359999999993</v>
      </c>
      <c r="AQ154" s="32">
        <f t="shared" ref="AQ154" si="1151">AQ123</f>
        <v>7452.2420000000002</v>
      </c>
      <c r="AR154" s="32">
        <f t="shared" si="1149"/>
        <v>5781.9050000000007</v>
      </c>
      <c r="AS154" s="32">
        <f t="shared" si="1149"/>
        <v>6586.2759999999998</v>
      </c>
      <c r="AT154" s="32">
        <f t="shared" ref="AT154:AZ154" si="1152">AT123</f>
        <v>7741.3359999999993</v>
      </c>
      <c r="AU154" s="32">
        <f t="shared" si="1152"/>
        <v>7452.2420000000002</v>
      </c>
      <c r="AV154" s="32">
        <f t="shared" ref="AV154:AW154" si="1153">AV123</f>
        <v>7741.3359999999993</v>
      </c>
      <c r="AW154" s="32">
        <f t="shared" si="1153"/>
        <v>7452.7430000000004</v>
      </c>
      <c r="AX154" s="32">
        <f t="shared" si="1152"/>
        <v>5455.3030000000008</v>
      </c>
      <c r="AY154" s="32">
        <f t="shared" ref="AY154" si="1154">AY123</f>
        <v>5455.3030000000008</v>
      </c>
      <c r="AZ154" s="32">
        <f t="shared" si="1152"/>
        <v>6270.49</v>
      </c>
      <c r="BA154" s="32">
        <f t="shared" ref="BA154" si="1155">BA123</f>
        <v>6270.49</v>
      </c>
      <c r="BB154" s="32">
        <f t="shared" ref="BB154:BF154" si="1156">BB123</f>
        <v>5657.7869999999994</v>
      </c>
      <c r="BC154" s="32">
        <f t="shared" si="1156"/>
        <v>5657.7869999999994</v>
      </c>
      <c r="BD154" s="32">
        <f t="shared" si="1156"/>
        <v>4612.134</v>
      </c>
      <c r="BE154" s="32">
        <f t="shared" si="1156"/>
        <v>4409.4369999999999</v>
      </c>
      <c r="BF154" s="32">
        <f t="shared" si="1156"/>
        <v>5177.3289999999997</v>
      </c>
      <c r="BG154" s="32">
        <f t="shared" ref="BG154:BJ154" si="1157">BG123</f>
        <v>4538.3470000000007</v>
      </c>
      <c r="BH154" s="32">
        <f t="shared" si="1157"/>
        <v>4860.4399999999996</v>
      </c>
      <c r="BI154" s="32">
        <f t="shared" si="1157"/>
        <v>4953.51</v>
      </c>
      <c r="BJ154" s="32">
        <f t="shared" si="1157"/>
        <v>4866.0639999999994</v>
      </c>
      <c r="BK154" s="32">
        <f t="shared" ref="BK154:BM154" si="1158">BK123</f>
        <v>3676.1210000000001</v>
      </c>
      <c r="BL154" s="32">
        <f t="shared" si="1158"/>
        <v>3746.7809999999995</v>
      </c>
      <c r="BM154" s="32">
        <f t="shared" si="1158"/>
        <v>2413.0570000000002</v>
      </c>
      <c r="BN154" s="32"/>
      <c r="BO154" s="32">
        <f t="shared" ref="BO154:BP154" si="1159">BO123</f>
        <v>4612.1340000000009</v>
      </c>
      <c r="BP154" s="32">
        <f t="shared" si="1159"/>
        <v>4409.4369999999999</v>
      </c>
      <c r="BQ154" s="32">
        <f t="shared" ref="BQ154:BT154" si="1160">BQ123</f>
        <v>5177.3289999999997</v>
      </c>
      <c r="BR154" s="32">
        <f t="shared" si="1160"/>
        <v>4538.3470000000007</v>
      </c>
      <c r="BS154" s="32">
        <f t="shared" si="1160"/>
        <v>4860.4399999999996</v>
      </c>
      <c r="BT154" s="32">
        <f t="shared" si="1160"/>
        <v>4953.51</v>
      </c>
      <c r="BV154" s="40"/>
      <c r="BW154" s="40"/>
      <c r="BY154" s="40"/>
      <c r="BZ154" s="40"/>
      <c r="CB154" s="16"/>
      <c r="CC154" s="16"/>
    </row>
    <row r="155" spans="2:81" ht="13.5" customHeight="1">
      <c r="B155" s="10" t="s">
        <v>304</v>
      </c>
      <c r="C155" s="54">
        <f t="shared" ref="C155:H155" si="1161">C129</f>
        <v>22259.881000000001</v>
      </c>
      <c r="D155" s="54">
        <f t="shared" si="1161"/>
        <v>19183.989000000001</v>
      </c>
      <c r="E155" s="54">
        <f t="shared" si="1161"/>
        <v>19121.008000000002</v>
      </c>
      <c r="F155" s="54">
        <f t="shared" si="1161"/>
        <v>25666.559999999998</v>
      </c>
      <c r="G155" s="54">
        <f t="shared" ref="G155" si="1162">G129</f>
        <v>27374.035000000003</v>
      </c>
      <c r="H155" s="54">
        <f t="shared" si="1161"/>
        <v>29221.489999999998</v>
      </c>
      <c r="I155" s="54">
        <f t="shared" ref="I155" si="1163">I129</f>
        <v>35878.066999999995</v>
      </c>
      <c r="J155" s="54">
        <f t="shared" ref="J155:K155" si="1164">J129</f>
        <v>29221.489999999998</v>
      </c>
      <c r="K155" s="54">
        <f t="shared" si="1164"/>
        <v>35879.523000000001</v>
      </c>
      <c r="L155" s="54">
        <f t="shared" ref="L155:M155" si="1165">L129</f>
        <v>35879.523000000001</v>
      </c>
      <c r="M155" s="32">
        <f t="shared" si="1165"/>
        <v>36944.156999999999</v>
      </c>
      <c r="N155" s="32">
        <f t="shared" ref="N155" si="1166">N129</f>
        <v>36944.156000000003</v>
      </c>
      <c r="O155" s="32">
        <f t="shared" ref="O155:P155" si="1167">O129</f>
        <v>34225.971999999994</v>
      </c>
      <c r="P155" s="32">
        <f t="shared" si="1167"/>
        <v>34225.971999999994</v>
      </c>
      <c r="Q155" s="32">
        <f t="shared" ref="Q155" si="1168">Q129</f>
        <v>16854.563000000002</v>
      </c>
      <c r="R155" s="32">
        <f t="shared" ref="R155" si="1169">R129</f>
        <v>16894.382000000001</v>
      </c>
      <c r="S155" s="121"/>
      <c r="T155" s="32">
        <f t="shared" ref="T155:AC155" si="1170">T129</f>
        <v>18154.816999999999</v>
      </c>
      <c r="U155" s="32">
        <f t="shared" si="1170"/>
        <v>18672.371999999999</v>
      </c>
      <c r="V155" s="32">
        <f t="shared" si="1170"/>
        <v>19469.877</v>
      </c>
      <c r="W155" s="32">
        <f t="shared" si="1170"/>
        <v>19121.008000000002</v>
      </c>
      <c r="X155" s="32">
        <f t="shared" si="1170"/>
        <v>26432.330999999998</v>
      </c>
      <c r="Y155" s="32">
        <f t="shared" si="1170"/>
        <v>25609.651000000005</v>
      </c>
      <c r="Z155" s="32">
        <f t="shared" si="1170"/>
        <v>25698.685000000001</v>
      </c>
      <c r="AA155" s="32">
        <f t="shared" si="1170"/>
        <v>25666.559999999998</v>
      </c>
      <c r="AB155" s="32">
        <f t="shared" si="1170"/>
        <v>26446.415999999997</v>
      </c>
      <c r="AC155" s="32">
        <f t="shared" si="1170"/>
        <v>26837.936000000002</v>
      </c>
      <c r="AD155" s="32">
        <f t="shared" ref="AD155:AG155" si="1171">AD129</f>
        <v>30586.597000000002</v>
      </c>
      <c r="AE155" s="32">
        <f t="shared" si="1171"/>
        <v>27374.035000000003</v>
      </c>
      <c r="AF155" s="32">
        <f t="shared" si="1171"/>
        <v>26972.212</v>
      </c>
      <c r="AG155" s="32">
        <f t="shared" si="1171"/>
        <v>27322.149000000001</v>
      </c>
      <c r="AH155" s="32">
        <f t="shared" ref="AH155:AS155" si="1172">AH129</f>
        <v>27706.859000000004</v>
      </c>
      <c r="AI155" s="32">
        <f t="shared" si="1172"/>
        <v>29221.489999999998</v>
      </c>
      <c r="AJ155" s="223"/>
      <c r="AK155" s="223"/>
      <c r="AL155" s="223"/>
      <c r="AM155" s="223"/>
      <c r="AN155" s="32">
        <f t="shared" ref="AN155:AP155" si="1173">AN129</f>
        <v>28842.412999999997</v>
      </c>
      <c r="AO155" s="32">
        <f t="shared" si="1173"/>
        <v>35852.710000000006</v>
      </c>
      <c r="AP155" s="32">
        <f t="shared" si="1173"/>
        <v>39186.362999999998</v>
      </c>
      <c r="AQ155" s="32">
        <f t="shared" ref="AQ155" si="1174">AQ129</f>
        <v>35878.066999999995</v>
      </c>
      <c r="AR155" s="32">
        <f t="shared" si="1172"/>
        <v>28842.412999999997</v>
      </c>
      <c r="AS155" s="32">
        <f t="shared" si="1172"/>
        <v>35852.710000000006</v>
      </c>
      <c r="AT155" s="32">
        <f t="shared" ref="AT155:AZ155" si="1175">AT129</f>
        <v>39186.362999999998</v>
      </c>
      <c r="AU155" s="32">
        <f t="shared" si="1175"/>
        <v>35879.523000000001</v>
      </c>
      <c r="AV155" s="32">
        <f t="shared" ref="AV155:AW155" si="1176">AV129</f>
        <v>39186.362999999998</v>
      </c>
      <c r="AW155" s="32">
        <f t="shared" si="1176"/>
        <v>35879.523000000001</v>
      </c>
      <c r="AX155" s="32">
        <f t="shared" si="1175"/>
        <v>36666.349000000002</v>
      </c>
      <c r="AY155" s="32">
        <f t="shared" ref="AY155" si="1177">AY129</f>
        <v>36666.349000000002</v>
      </c>
      <c r="AZ155" s="32">
        <f t="shared" si="1175"/>
        <v>37765.096000000005</v>
      </c>
      <c r="BA155" s="32">
        <f t="shared" ref="BA155" si="1178">BA129</f>
        <v>37765.096000000005</v>
      </c>
      <c r="BB155" s="32">
        <f t="shared" ref="BB155:BF155" si="1179">BB129</f>
        <v>36744.899000000005</v>
      </c>
      <c r="BC155" s="32">
        <f t="shared" si="1179"/>
        <v>36744.899000000005</v>
      </c>
      <c r="BD155" s="32">
        <f t="shared" si="1179"/>
        <v>36944.156999999999</v>
      </c>
      <c r="BE155" s="32">
        <f t="shared" si="1179"/>
        <v>37344.070999999996</v>
      </c>
      <c r="BF155" s="32">
        <f t="shared" si="1179"/>
        <v>37238.786000000007</v>
      </c>
      <c r="BG155" s="32">
        <f t="shared" ref="BG155:BJ155" si="1180">BG129</f>
        <v>32799.629999999997</v>
      </c>
      <c r="BH155" s="32">
        <f t="shared" si="1180"/>
        <v>34225.971999999994</v>
      </c>
      <c r="BI155" s="32">
        <f t="shared" si="1180"/>
        <v>33060.298999999999</v>
      </c>
      <c r="BJ155" s="32">
        <f t="shared" si="1180"/>
        <v>19389.303</v>
      </c>
      <c r="BK155" s="32">
        <f t="shared" ref="BK155:BM155" si="1181">BK129</f>
        <v>17479.332999999999</v>
      </c>
      <c r="BL155" s="32">
        <f t="shared" si="1181"/>
        <v>16854.563000000002</v>
      </c>
      <c r="BM155" s="32">
        <f t="shared" si="1181"/>
        <v>16894.382000000001</v>
      </c>
      <c r="BN155" s="32"/>
      <c r="BO155" s="32">
        <f t="shared" ref="BO155:BP155" si="1182">BO129</f>
        <v>36944.156000000003</v>
      </c>
      <c r="BP155" s="32">
        <f t="shared" si="1182"/>
        <v>37344.070999999996</v>
      </c>
      <c r="BQ155" s="32">
        <f t="shared" ref="BQ155:BT155" si="1183">BQ129</f>
        <v>37238.786000000007</v>
      </c>
      <c r="BR155" s="32">
        <f t="shared" si="1183"/>
        <v>32799.629999999997</v>
      </c>
      <c r="BS155" s="32">
        <f t="shared" si="1183"/>
        <v>34225.971999999994</v>
      </c>
      <c r="BT155" s="32">
        <f t="shared" si="1183"/>
        <v>33060.298999999999</v>
      </c>
      <c r="BV155" s="40"/>
      <c r="BW155" s="40"/>
      <c r="BY155" s="40"/>
      <c r="BZ155" s="40"/>
      <c r="CB155" s="16"/>
      <c r="CC155" s="16"/>
    </row>
    <row r="156" spans="2:81" ht="13.5" customHeight="1">
      <c r="B156" s="10" t="s">
        <v>327</v>
      </c>
      <c r="C156" s="54">
        <f t="shared" ref="C156:H156" si="1184">C128</f>
        <v>22053.169000000002</v>
      </c>
      <c r="D156" s="54">
        <f t="shared" si="1184"/>
        <v>19117.344000000001</v>
      </c>
      <c r="E156" s="54">
        <f t="shared" si="1184"/>
        <v>14049.560000000001</v>
      </c>
      <c r="F156" s="54">
        <f t="shared" si="1184"/>
        <v>21435.460999999999</v>
      </c>
      <c r="G156" s="54">
        <f t="shared" ref="G156" si="1185">G128</f>
        <v>20179.781000000003</v>
      </c>
      <c r="H156" s="54">
        <f t="shared" si="1184"/>
        <v>22252.137999999999</v>
      </c>
      <c r="I156" s="54">
        <f t="shared" ref="I156" si="1186">I128</f>
        <v>28425.824999999997</v>
      </c>
      <c r="J156" s="54">
        <f t="shared" ref="J156:K156" si="1187">J128</f>
        <v>22252.137999999999</v>
      </c>
      <c r="K156" s="54">
        <f t="shared" si="1187"/>
        <v>28427.281000000003</v>
      </c>
      <c r="L156" s="54">
        <f t="shared" ref="L156:M156" si="1188">L128</f>
        <v>28426.78</v>
      </c>
      <c r="M156" s="32">
        <f t="shared" si="1188"/>
        <v>32332.023000000001</v>
      </c>
      <c r="N156" s="32">
        <f t="shared" ref="N156" si="1189">N128</f>
        <v>32332.022000000001</v>
      </c>
      <c r="O156" s="32">
        <f t="shared" ref="O156:P156" si="1190">O128</f>
        <v>29365.531999999996</v>
      </c>
      <c r="P156" s="32">
        <f t="shared" si="1190"/>
        <v>29365.531999999996</v>
      </c>
      <c r="Q156" s="32">
        <f t="shared" ref="Q156" si="1191">Q128</f>
        <v>13107.782000000003</v>
      </c>
      <c r="R156" s="32">
        <f>R128</f>
        <v>14481.325000000001</v>
      </c>
      <c r="S156" s="121"/>
      <c r="T156" s="32">
        <f t="shared" ref="T156:AC156" si="1192">T128</f>
        <v>12439.96</v>
      </c>
      <c r="U156" s="32">
        <f t="shared" si="1192"/>
        <v>12437.960999999999</v>
      </c>
      <c r="V156" s="32">
        <f t="shared" si="1192"/>
        <v>13451.251</v>
      </c>
      <c r="W156" s="32">
        <f t="shared" si="1192"/>
        <v>14049.560000000001</v>
      </c>
      <c r="X156" s="32">
        <f t="shared" si="1192"/>
        <v>19682.152999999998</v>
      </c>
      <c r="Y156" s="32">
        <f t="shared" si="1192"/>
        <v>20191.498000000007</v>
      </c>
      <c r="Z156" s="32">
        <f t="shared" si="1192"/>
        <v>20716.927000000003</v>
      </c>
      <c r="AA156" s="32">
        <f t="shared" si="1192"/>
        <v>21435.460999999999</v>
      </c>
      <c r="AB156" s="32">
        <f t="shared" si="1192"/>
        <v>20483.867999999995</v>
      </c>
      <c r="AC156" s="32">
        <f t="shared" si="1192"/>
        <v>20931.153000000002</v>
      </c>
      <c r="AD156" s="32">
        <f t="shared" ref="AD156:AG156" si="1193">AD128</f>
        <v>19548.571000000004</v>
      </c>
      <c r="AE156" s="32">
        <f t="shared" si="1193"/>
        <v>20179.781000000003</v>
      </c>
      <c r="AF156" s="32">
        <f t="shared" si="1193"/>
        <v>20419.964</v>
      </c>
      <c r="AG156" s="32">
        <f t="shared" si="1193"/>
        <v>20320.353000000003</v>
      </c>
      <c r="AH156" s="32">
        <f t="shared" ref="AH156:AS156" si="1194">AH128</f>
        <v>20386.122000000003</v>
      </c>
      <c r="AI156" s="32">
        <f t="shared" si="1194"/>
        <v>22252.137999999999</v>
      </c>
      <c r="AJ156" s="223"/>
      <c r="AK156" s="223"/>
      <c r="AL156" s="223"/>
      <c r="AM156" s="223"/>
      <c r="AN156" s="32">
        <f t="shared" ref="AN156:AP156" si="1195">AN128</f>
        <v>23060.507999999994</v>
      </c>
      <c r="AO156" s="32">
        <f t="shared" si="1195"/>
        <v>29266.434000000008</v>
      </c>
      <c r="AP156" s="32">
        <f t="shared" si="1195"/>
        <v>31445.026999999998</v>
      </c>
      <c r="AQ156" s="32">
        <f t="shared" ref="AQ156" si="1196">AQ128</f>
        <v>28425.824999999997</v>
      </c>
      <c r="AR156" s="32">
        <f t="shared" si="1194"/>
        <v>23060.507999999994</v>
      </c>
      <c r="AS156" s="32">
        <f t="shared" si="1194"/>
        <v>29266.434000000008</v>
      </c>
      <c r="AT156" s="32">
        <f t="shared" ref="AT156:AZ156" si="1197">AT128</f>
        <v>31445.026999999998</v>
      </c>
      <c r="AU156" s="32">
        <f t="shared" si="1197"/>
        <v>28427.281000000003</v>
      </c>
      <c r="AV156" s="32">
        <f t="shared" ref="AV156:AW156" si="1198">AV128</f>
        <v>31445.026999999998</v>
      </c>
      <c r="AW156" s="32">
        <f t="shared" si="1198"/>
        <v>28426.78</v>
      </c>
      <c r="AX156" s="32">
        <f t="shared" si="1197"/>
        <v>31211.046000000002</v>
      </c>
      <c r="AY156" s="32">
        <f t="shared" ref="AY156" si="1199">AY128</f>
        <v>31211.046000000002</v>
      </c>
      <c r="AZ156" s="32">
        <f t="shared" si="1197"/>
        <v>31494.606000000007</v>
      </c>
      <c r="BA156" s="32">
        <f t="shared" ref="BA156" si="1200">BA128</f>
        <v>31494.606000000007</v>
      </c>
      <c r="BB156" s="32">
        <f t="shared" ref="BB156:BF156" si="1201">BB128</f>
        <v>31087.112000000005</v>
      </c>
      <c r="BC156" s="32">
        <f t="shared" si="1201"/>
        <v>31087.112000000005</v>
      </c>
      <c r="BD156" s="32">
        <f t="shared" si="1201"/>
        <v>32332.023000000001</v>
      </c>
      <c r="BE156" s="32">
        <f t="shared" si="1201"/>
        <v>32934.633999999998</v>
      </c>
      <c r="BF156" s="32">
        <f t="shared" si="1201"/>
        <v>32061.457000000009</v>
      </c>
      <c r="BG156" s="32">
        <f t="shared" ref="BG156:BJ156" si="1202">BG128</f>
        <v>28261.282999999996</v>
      </c>
      <c r="BH156" s="32">
        <f t="shared" si="1202"/>
        <v>29365.531999999996</v>
      </c>
      <c r="BI156" s="32">
        <f t="shared" si="1202"/>
        <v>28106.788999999997</v>
      </c>
      <c r="BJ156" s="32">
        <f t="shared" si="1202"/>
        <v>14523.239000000001</v>
      </c>
      <c r="BK156" s="32">
        <f t="shared" ref="BK156:BM156" si="1203">BK128</f>
        <v>13803.212</v>
      </c>
      <c r="BL156" s="32">
        <f t="shared" si="1203"/>
        <v>13107.782000000003</v>
      </c>
      <c r="BM156" s="32">
        <f t="shared" si="1203"/>
        <v>14481.325000000001</v>
      </c>
      <c r="BN156" s="32"/>
      <c r="BO156" s="32">
        <f t="shared" ref="BO156:BP156" si="1204">BO128</f>
        <v>32332.022000000001</v>
      </c>
      <c r="BP156" s="32">
        <f t="shared" si="1204"/>
        <v>32934.633999999998</v>
      </c>
      <c r="BQ156" s="32">
        <f t="shared" ref="BQ156:BT156" si="1205">BQ128</f>
        <v>32061.457000000009</v>
      </c>
      <c r="BR156" s="32">
        <f t="shared" si="1205"/>
        <v>28261.282999999996</v>
      </c>
      <c r="BS156" s="32">
        <f t="shared" si="1205"/>
        <v>29365.531999999996</v>
      </c>
      <c r="BT156" s="32">
        <f t="shared" si="1205"/>
        <v>28106.788999999997</v>
      </c>
      <c r="BV156" s="40"/>
      <c r="BW156" s="40"/>
      <c r="BY156" s="40"/>
      <c r="BZ156" s="40"/>
      <c r="CB156" s="16"/>
      <c r="CC156" s="16"/>
    </row>
    <row r="157" spans="2:81" ht="13.5" customHeight="1">
      <c r="B157" s="10" t="s">
        <v>328</v>
      </c>
      <c r="C157" s="55">
        <f t="shared" ref="C157:H157" si="1206">C140</f>
        <v>2.7780929600301922</v>
      </c>
      <c r="D157" s="55">
        <f t="shared" si="1206"/>
        <v>2.078412106974147</v>
      </c>
      <c r="E157" s="55">
        <f t="shared" si="1206"/>
        <v>2.2943005236056924</v>
      </c>
      <c r="F157" s="55">
        <f t="shared" si="1206"/>
        <v>2.4170070109189528</v>
      </c>
      <c r="G157" s="55">
        <f t="shared" ref="G157" si="1207">G140</f>
        <v>2.5686737434754563</v>
      </c>
      <c r="H157" s="55">
        <f t="shared" si="1206"/>
        <v>2.5623856926905666</v>
      </c>
      <c r="I157" s="55">
        <f t="shared" ref="I157" si="1208">I140</f>
        <v>2.8854806980858934</v>
      </c>
      <c r="J157" s="55">
        <f t="shared" ref="J157:K157" si="1209">J140</f>
        <v>3.2824803232527833</v>
      </c>
      <c r="K157" s="55">
        <f t="shared" si="1209"/>
        <v>3.7387569301563204</v>
      </c>
      <c r="L157" s="55">
        <f t="shared" ref="L157:M157" si="1210">L140</f>
        <v>4.162399184028982</v>
      </c>
      <c r="M157" s="55">
        <f t="shared" si="1210"/>
        <v>3.8368104799814557</v>
      </c>
      <c r="N157" s="55">
        <f t="shared" ref="N157" si="1211">N140</f>
        <v>3.7282306520137656</v>
      </c>
      <c r="O157" s="55">
        <f t="shared" ref="O157:P157" si="1212">O140</f>
        <v>3.0753308413902158</v>
      </c>
      <c r="P157" s="55">
        <f t="shared" si="1212"/>
        <v>6.0168890024940582</v>
      </c>
      <c r="Q157" s="55">
        <f t="shared" ref="Q157" si="1213">Q140</f>
        <v>3.0866658620921417</v>
      </c>
      <c r="R157" s="55">
        <f t="shared" ref="R157" si="1214">R140</f>
        <v>3.8730008154346161</v>
      </c>
      <c r="T157" s="172"/>
      <c r="U157" s="172"/>
      <c r="V157" s="172"/>
      <c r="W157" s="55">
        <f t="shared" ref="W157:AC157" si="1215">W140</f>
        <v>2.2943005236056924</v>
      </c>
      <c r="X157" s="55">
        <f t="shared" si="1215"/>
        <v>2.4574722789404366</v>
      </c>
      <c r="Y157" s="55">
        <f t="shared" si="1215"/>
        <v>1.9074059826332084</v>
      </c>
      <c r="Z157" s="55">
        <f t="shared" si="1215"/>
        <v>1.5835911473587863</v>
      </c>
      <c r="AA157" s="55">
        <f t="shared" si="1215"/>
        <v>2.4170070109189528</v>
      </c>
      <c r="AB157" s="55">
        <f t="shared" si="1215"/>
        <v>2.4713331822609921</v>
      </c>
      <c r="AC157" s="55">
        <f t="shared" si="1215"/>
        <v>2.5284225405666856</v>
      </c>
      <c r="AD157" s="55">
        <f t="shared" ref="AD157:AG157" si="1216">AD140</f>
        <v>2.8713179745634321</v>
      </c>
      <c r="AE157" s="55">
        <f t="shared" si="1216"/>
        <v>2.5686737434754563</v>
      </c>
      <c r="AF157" s="55">
        <f t="shared" si="1216"/>
        <v>2.4871016503060397</v>
      </c>
      <c r="AG157" s="55">
        <f t="shared" si="1216"/>
        <v>2.4676896717878645</v>
      </c>
      <c r="AH157" s="55">
        <f t="shared" ref="AH157:AS157" si="1217">AH140</f>
        <v>2.4979806076668298</v>
      </c>
      <c r="AI157" s="55">
        <f t="shared" si="1217"/>
        <v>2.5623856926905666</v>
      </c>
      <c r="AJ157" s="239"/>
      <c r="AK157" s="239"/>
      <c r="AL157" s="239"/>
      <c r="AM157" s="239"/>
      <c r="AN157" s="55">
        <f t="shared" ref="AN157:AP157" si="1218">AN140</f>
        <v>2.6483727230514114</v>
      </c>
      <c r="AO157" s="55">
        <f t="shared" si="1218"/>
        <v>3.2327846490674013</v>
      </c>
      <c r="AP157" s="55">
        <f t="shared" si="1218"/>
        <v>3.427010109612409</v>
      </c>
      <c r="AQ157" s="55">
        <f t="shared" ref="AQ157" si="1219">AQ140</f>
        <v>2.8854806980858934</v>
      </c>
      <c r="AR157" s="55">
        <f t="shared" si="1217"/>
        <v>2.8171497518009589</v>
      </c>
      <c r="AS157" s="55">
        <f t="shared" si="1217"/>
        <v>3.6744732474497397</v>
      </c>
      <c r="AT157" s="55">
        <f t="shared" ref="AT157:AZ157" si="1220">AT140</f>
        <v>4.1821752360656275</v>
      </c>
      <c r="AU157" s="55">
        <f t="shared" si="1220"/>
        <v>3.7387569301563204</v>
      </c>
      <c r="AV157" s="55">
        <f t="shared" ref="AV157:AW157" si="1221">AV140</f>
        <v>4.2567721438959456</v>
      </c>
      <c r="AW157" s="55">
        <f t="shared" si="1221"/>
        <v>4.162399184028982</v>
      </c>
      <c r="AX157" s="55">
        <f t="shared" si="1220"/>
        <v>3.8181481834759663</v>
      </c>
      <c r="AY157" s="55">
        <f t="shared" ref="AY157" si="1222">AY140</f>
        <v>4.2148804116946934</v>
      </c>
      <c r="AZ157" s="55">
        <f t="shared" si="1220"/>
        <v>3.775755581610353</v>
      </c>
      <c r="BA157" s="55">
        <f t="shared" ref="BA157" si="1223">BA140</f>
        <v>4.3256901356761608</v>
      </c>
      <c r="BB157" s="55">
        <f t="shared" ref="BB157:BF157" si="1224">BB140</f>
        <v>3.5303808142755182</v>
      </c>
      <c r="BC157" s="55">
        <f t="shared" si="1224"/>
        <v>3.5911055074486939</v>
      </c>
      <c r="BD157" s="55">
        <f t="shared" si="1224"/>
        <v>3.7679387349472795</v>
      </c>
      <c r="BE157" s="55">
        <f t="shared" si="1224"/>
        <v>3.8406407596687413</v>
      </c>
      <c r="BF157" s="55">
        <f t="shared" si="1224"/>
        <v>3.7070356833725975</v>
      </c>
      <c r="BG157" s="55">
        <f t="shared" ref="BG157:BJ157" si="1225">BG140</f>
        <v>3.2339647030462215</v>
      </c>
      <c r="BH157" s="55">
        <f t="shared" si="1225"/>
        <v>3.0753308413902154</v>
      </c>
      <c r="BI157" s="55">
        <f t="shared" si="1225"/>
        <v>3.0480021890837699</v>
      </c>
      <c r="BJ157" s="55">
        <f t="shared" si="1225"/>
        <v>2.0493169631518713</v>
      </c>
      <c r="BK157" s="55">
        <f t="shared" ref="BK157:BM157" si="1226">BK140</f>
        <v>2.1345026083322778</v>
      </c>
      <c r="BL157" s="55">
        <f t="shared" si="1226"/>
        <v>3.0866658620921417</v>
      </c>
      <c r="BM157" s="55">
        <f t="shared" si="1226"/>
        <v>3.8730008154346161</v>
      </c>
      <c r="BO157" s="55">
        <f t="shared" ref="BO157:BP157" si="1227">BO140</f>
        <v>3.7282306520137656</v>
      </c>
      <c r="BP157" s="55">
        <f t="shared" si="1227"/>
        <v>3.5465984003488851</v>
      </c>
      <c r="BQ157" s="55">
        <f t="shared" ref="BQ157:BT157" si="1228">BQ140</f>
        <v>3.9036875220598568</v>
      </c>
      <c r="BR157" s="55">
        <f t="shared" si="1228"/>
        <v>3.897624644293177</v>
      </c>
      <c r="BS157" s="55">
        <f t="shared" si="1228"/>
        <v>6.0168890024940582</v>
      </c>
      <c r="BT157" s="55">
        <f t="shared" si="1228"/>
        <v>8.0557461853730796</v>
      </c>
      <c r="BV157" s="40"/>
      <c r="BW157" s="40"/>
      <c r="BY157" s="40"/>
      <c r="BZ157" s="40"/>
      <c r="CB157" s="16"/>
      <c r="CC157" s="16"/>
    </row>
    <row r="158" spans="2:81" ht="13.5" customHeight="1">
      <c r="B158" s="6" t="s">
        <v>329</v>
      </c>
      <c r="C158" s="56">
        <f t="shared" ref="C158:H158" si="1229">C139</f>
        <v>2.7522947470049854</v>
      </c>
      <c r="D158" s="56">
        <f t="shared" si="1229"/>
        <v>2.0711917225760277</v>
      </c>
      <c r="E158" s="56">
        <f t="shared" si="1229"/>
        <v>1.6857852297551252</v>
      </c>
      <c r="F158" s="56">
        <f t="shared" si="1229"/>
        <v>2.0185665519368312</v>
      </c>
      <c r="G158" s="56">
        <f t="shared" ref="G158" si="1230">G139</f>
        <v>1.8935927276992555</v>
      </c>
      <c r="H158" s="56">
        <f t="shared" si="1229"/>
        <v>1.9512543694033426</v>
      </c>
      <c r="I158" s="56">
        <f t="shared" ref="I158" si="1231">I139</f>
        <v>2.2861368023162294</v>
      </c>
      <c r="J158" s="56">
        <f t="shared" ref="J158:K158" si="1232">J139</f>
        <v>2.4996057742197793</v>
      </c>
      <c r="K158" s="56">
        <f t="shared" si="1232"/>
        <v>2.9622103349660223</v>
      </c>
      <c r="L158" s="56">
        <f t="shared" ref="L158:M158" si="1233">L139</f>
        <v>3.2978032031410054</v>
      </c>
      <c r="M158" s="56">
        <f t="shared" si="1233"/>
        <v>3.3578204175940862</v>
      </c>
      <c r="N158" s="56">
        <f t="shared" ref="N158" si="1234">N139</f>
        <v>3.2627957575207134</v>
      </c>
      <c r="O158" s="56">
        <f t="shared" ref="O158:P158" si="1235">O139</f>
        <v>2.6386022355605068</v>
      </c>
      <c r="P158" s="56">
        <f t="shared" si="1235"/>
        <v>5.1624288871383213</v>
      </c>
      <c r="Q158" s="56">
        <f t="shared" ref="Q158" si="1236">Q139</f>
        <v>2.4004979083198932</v>
      </c>
      <c r="R158" s="56">
        <f t="shared" ref="R158" si="1237">R139</f>
        <v>3.3198126769936711</v>
      </c>
      <c r="T158" s="172"/>
      <c r="U158" s="172"/>
      <c r="V158" s="172"/>
      <c r="W158" s="56">
        <f t="shared" ref="W158:AC158" si="1238">W139</f>
        <v>1.6857852297551252</v>
      </c>
      <c r="X158" s="56">
        <f t="shared" si="1238"/>
        <v>1.8298932995112822</v>
      </c>
      <c r="Y158" s="56">
        <f t="shared" si="1238"/>
        <v>1.503862121491873</v>
      </c>
      <c r="Z158" s="56">
        <f t="shared" si="1238"/>
        <v>1.2766078185587402</v>
      </c>
      <c r="AA158" s="56">
        <f t="shared" si="1238"/>
        <v>2.0185665519368312</v>
      </c>
      <c r="AB158" s="56">
        <f t="shared" si="1238"/>
        <v>1.9141520986985192</v>
      </c>
      <c r="AC158" s="56">
        <f t="shared" si="1238"/>
        <v>1.9719399824654922</v>
      </c>
      <c r="AD158" s="56">
        <f t="shared" ref="AD158:AG158" si="1239">AD139</f>
        <v>1.835122857548666</v>
      </c>
      <c r="AE158" s="56">
        <f t="shared" si="1239"/>
        <v>1.8935927276992555</v>
      </c>
      <c r="AF158" s="56">
        <f t="shared" si="1239"/>
        <v>1.8829203242058872</v>
      </c>
      <c r="AG158" s="56">
        <f t="shared" si="1239"/>
        <v>1.8352994570516232</v>
      </c>
      <c r="AH158" s="56">
        <f t="shared" ref="AH158:AS158" si="1240">AH139</f>
        <v>1.8379614023202751</v>
      </c>
      <c r="AI158" s="56">
        <f t="shared" si="1240"/>
        <v>1.9512543694033426</v>
      </c>
      <c r="AJ158" s="240"/>
      <c r="AK158" s="240"/>
      <c r="AL158" s="240"/>
      <c r="AM158" s="240"/>
      <c r="AN158" s="56">
        <f t="shared" ref="AN158:AP158" si="1241">AN139</f>
        <v>2.1174657046519947</v>
      </c>
      <c r="AO158" s="56">
        <f t="shared" si="1241"/>
        <v>2.6389101010256764</v>
      </c>
      <c r="AP158" s="56">
        <f t="shared" si="1241"/>
        <v>2.7499981415992898</v>
      </c>
      <c r="AQ158" s="56">
        <f t="shared" ref="AQ158" si="1242">AQ139</f>
        <v>2.2861368023162294</v>
      </c>
      <c r="AR158" s="56">
        <f t="shared" si="1240"/>
        <v>2.2524087838491189</v>
      </c>
      <c r="AS158" s="56">
        <f t="shared" si="1240"/>
        <v>2.9994588632561801</v>
      </c>
      <c r="AT158" s="56">
        <f t="shared" ref="AT158:AZ158" si="1243">AT139</f>
        <v>3.355979048548472</v>
      </c>
      <c r="AU158" s="56">
        <f t="shared" si="1243"/>
        <v>2.9622103349660223</v>
      </c>
      <c r="AV158" s="56">
        <f t="shared" ref="AV158:AW158" si="1244">AV139</f>
        <v>3.4158392040020629</v>
      </c>
      <c r="AW158" s="56">
        <f t="shared" si="1244"/>
        <v>3.2978032031410054</v>
      </c>
      <c r="AX158" s="56">
        <f t="shared" si="1243"/>
        <v>3.2500753917245708</v>
      </c>
      <c r="AY158" s="56">
        <f t="shared" ref="AY158" si="1245">AY139</f>
        <v>3.5877808945172589</v>
      </c>
      <c r="AZ158" s="56">
        <f t="shared" si="1243"/>
        <v>3.1488317782938755</v>
      </c>
      <c r="BA158" s="56">
        <f t="shared" ref="BA158" si="1246">BA139</f>
        <v>3.6074555854752028</v>
      </c>
      <c r="BB158" s="56">
        <f t="shared" ref="BB158:BF158" si="1247">BB139</f>
        <v>2.9867912761451385</v>
      </c>
      <c r="BC158" s="56">
        <f t="shared" si="1247"/>
        <v>3.0381658992687499</v>
      </c>
      <c r="BD158" s="56">
        <f t="shared" si="1247"/>
        <v>3.2975466686357562</v>
      </c>
      <c r="BE158" s="56">
        <f t="shared" si="1247"/>
        <v>3.3871534184147185</v>
      </c>
      <c r="BF158" s="56">
        <f t="shared" si="1247"/>
        <v>3.1916444633806313</v>
      </c>
      <c r="BG158" s="56">
        <f t="shared" ref="BG158:BJ158" si="1248">BG139</f>
        <v>2.7864945941402457</v>
      </c>
      <c r="BH158" s="56">
        <f t="shared" si="1248"/>
        <v>2.6386022355605063</v>
      </c>
      <c r="BI158" s="56">
        <f t="shared" si="1248"/>
        <v>2.5913121475433605</v>
      </c>
      <c r="BJ158" s="56">
        <f t="shared" si="1248"/>
        <v>1.5350072172583422</v>
      </c>
      <c r="BK158" s="56">
        <f t="shared" ref="BK158:BM158" si="1249">BK139</f>
        <v>1.6855901776894688</v>
      </c>
      <c r="BL158" s="56">
        <f t="shared" si="1249"/>
        <v>2.4004979083198932</v>
      </c>
      <c r="BM158" s="56">
        <f t="shared" si="1249"/>
        <v>3.3198126769936711</v>
      </c>
      <c r="BO158" s="56">
        <f t="shared" ref="BO158:BP158" si="1250">BO139</f>
        <v>3.2627957575207134</v>
      </c>
      <c r="BP158" s="56">
        <f t="shared" si="1250"/>
        <v>3.1278303926873963</v>
      </c>
      <c r="BQ158" s="56">
        <f t="shared" ref="BQ158:BT158" si="1251">BQ139</f>
        <v>3.3609556882428624</v>
      </c>
      <c r="BR158" s="56">
        <f t="shared" si="1251"/>
        <v>3.3583266975921315</v>
      </c>
      <c r="BS158" s="56">
        <f t="shared" si="1251"/>
        <v>5.1624288871383213</v>
      </c>
      <c r="BT158" s="56">
        <f t="shared" si="1251"/>
        <v>6.8487329249452946</v>
      </c>
      <c r="BV158" s="40"/>
      <c r="BW158" s="40"/>
      <c r="BY158" s="40"/>
      <c r="BZ158" s="40"/>
      <c r="CB158" s="16"/>
      <c r="CC158" s="16"/>
    </row>
    <row r="159" spans="2:81" s="6" customFormat="1" ht="13.5" customHeight="1">
      <c r="C159" s="57"/>
      <c r="D159" s="57"/>
      <c r="E159" s="57"/>
      <c r="F159" s="57"/>
      <c r="G159" s="57"/>
      <c r="H159" s="57"/>
      <c r="I159" s="57"/>
      <c r="J159" s="57"/>
      <c r="K159" s="57"/>
      <c r="L159" s="57"/>
      <c r="M159" s="57"/>
      <c r="N159" s="57"/>
      <c r="O159" s="57"/>
      <c r="P159" s="57"/>
      <c r="Q159" s="57"/>
      <c r="R159" s="57"/>
      <c r="S159"/>
      <c r="T159" s="57"/>
      <c r="U159" s="57"/>
      <c r="V159" s="57"/>
      <c r="W159" s="57"/>
      <c r="X159" s="57"/>
      <c r="Y159" s="57"/>
      <c r="Z159" s="57"/>
      <c r="AA159" s="57"/>
      <c r="AB159" s="57"/>
      <c r="AC159" s="57"/>
      <c r="AD159" s="57"/>
      <c r="AE159" s="57"/>
      <c r="AF159" s="57"/>
      <c r="AG159" s="57"/>
      <c r="AH159" s="57"/>
      <c r="AI159" s="57"/>
      <c r="AJ159" s="241"/>
      <c r="AK159" s="241"/>
      <c r="AL159" s="241"/>
      <c r="AM159" s="241"/>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c r="BM159" s="57"/>
      <c r="BO159" s="57"/>
      <c r="BP159" s="57"/>
      <c r="BQ159" s="57"/>
      <c r="BR159" s="57"/>
      <c r="BS159" s="57"/>
      <c r="BT159" s="57"/>
      <c r="BV159" s="40"/>
      <c r="BW159" s="40"/>
      <c r="BY159" s="40"/>
      <c r="BZ159" s="40"/>
      <c r="CB159" s="16"/>
      <c r="CC159" s="16"/>
    </row>
    <row r="160" spans="2:81" ht="13.5" customHeight="1">
      <c r="B160" s="11" t="s">
        <v>330</v>
      </c>
      <c r="C160" s="31"/>
      <c r="D160" s="31"/>
      <c r="E160" s="31"/>
      <c r="F160" s="31"/>
      <c r="G160" s="31"/>
      <c r="H160" s="31"/>
      <c r="I160" s="31"/>
      <c r="J160" s="31"/>
      <c r="K160" s="31"/>
      <c r="L160" s="31"/>
      <c r="M160" s="31"/>
      <c r="N160" s="31"/>
      <c r="O160" s="31"/>
      <c r="P160" s="31"/>
      <c r="Q160" s="31"/>
      <c r="R160" s="31"/>
      <c r="T160" s="31"/>
      <c r="U160" s="31"/>
      <c r="V160" s="31"/>
      <c r="W160" s="31"/>
      <c r="X160" s="31"/>
      <c r="Y160" s="31"/>
      <c r="Z160" s="31"/>
      <c r="AA160" s="31"/>
      <c r="AB160" s="31"/>
      <c r="AC160" s="31"/>
      <c r="AD160" s="31"/>
      <c r="AE160" s="31"/>
      <c r="AF160" s="31"/>
      <c r="AG160" s="31"/>
      <c r="AH160" s="31"/>
      <c r="AI160" s="31"/>
      <c r="AJ160" s="222"/>
      <c r="AK160" s="222"/>
      <c r="AL160" s="222"/>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O160" s="31"/>
      <c r="BP160" s="31"/>
      <c r="BQ160" s="31"/>
      <c r="BR160" s="31"/>
      <c r="BS160" s="31"/>
      <c r="BT160" s="31"/>
      <c r="BV160" s="40"/>
      <c r="BW160" s="40"/>
      <c r="BY160" s="40"/>
      <c r="BZ160" s="40"/>
      <c r="CB160" s="16"/>
      <c r="CC160" s="16"/>
    </row>
    <row r="161" spans="2:81" s="1" customFormat="1" ht="13.5" customHeight="1">
      <c r="B161" s="58" t="s">
        <v>331</v>
      </c>
      <c r="C161" s="37">
        <f>+C86</f>
        <v>42707</v>
      </c>
      <c r="D161" s="37">
        <f>+D86</f>
        <v>43073</v>
      </c>
      <c r="E161" s="37">
        <f t="shared" ref="E161:Q161" si="1252">E3</f>
        <v>43438</v>
      </c>
      <c r="F161" s="37">
        <f t="shared" si="1252"/>
        <v>43803</v>
      </c>
      <c r="G161" s="37">
        <f t="shared" si="1252"/>
        <v>44169</v>
      </c>
      <c r="H161" s="37">
        <f t="shared" si="1252"/>
        <v>44561</v>
      </c>
      <c r="I161" s="37">
        <f t="shared" si="1252"/>
        <v>44926</v>
      </c>
      <c r="J161" s="37">
        <f t="shared" si="1252"/>
        <v>44561</v>
      </c>
      <c r="K161" s="37">
        <f t="shared" si="1252"/>
        <v>44926</v>
      </c>
      <c r="L161" s="37">
        <f t="shared" si="1252"/>
        <v>44926</v>
      </c>
      <c r="M161" s="37">
        <f t="shared" si="1252"/>
        <v>45291</v>
      </c>
      <c r="N161" s="37">
        <f t="shared" si="1252"/>
        <v>45291</v>
      </c>
      <c r="O161" s="37">
        <f t="shared" si="1252"/>
        <v>45657</v>
      </c>
      <c r="P161" s="37">
        <f t="shared" si="1252"/>
        <v>45657</v>
      </c>
      <c r="Q161" s="37">
        <f t="shared" si="1252"/>
        <v>46022</v>
      </c>
      <c r="R161" s="37">
        <f>+R86</f>
        <v>46112</v>
      </c>
      <c r="S161"/>
      <c r="T161" s="31">
        <f t="shared" ref="T161:AC161" si="1253">+T86</f>
        <v>43190</v>
      </c>
      <c r="U161" s="31">
        <f t="shared" si="1253"/>
        <v>43281</v>
      </c>
      <c r="V161" s="31">
        <f t="shared" si="1253"/>
        <v>43373</v>
      </c>
      <c r="W161" s="31">
        <f t="shared" si="1253"/>
        <v>43465</v>
      </c>
      <c r="X161" s="31">
        <f t="shared" si="1253"/>
        <v>43555</v>
      </c>
      <c r="Y161" s="31">
        <f t="shared" si="1253"/>
        <v>43646</v>
      </c>
      <c r="Z161" s="31">
        <f t="shared" si="1253"/>
        <v>43738</v>
      </c>
      <c r="AA161" s="31">
        <f t="shared" si="1253"/>
        <v>43830</v>
      </c>
      <c r="AB161" s="31">
        <f t="shared" si="1253"/>
        <v>43921</v>
      </c>
      <c r="AC161" s="31">
        <f t="shared" si="1253"/>
        <v>44012</v>
      </c>
      <c r="AD161" s="31">
        <f t="shared" ref="AD161:AG161" si="1254">+AD86</f>
        <v>44104</v>
      </c>
      <c r="AE161" s="31">
        <f t="shared" si="1254"/>
        <v>44196</v>
      </c>
      <c r="AF161" s="31">
        <f t="shared" si="1254"/>
        <v>44286</v>
      </c>
      <c r="AG161" s="31">
        <f t="shared" si="1254"/>
        <v>44377</v>
      </c>
      <c r="AH161" s="31">
        <f t="shared" ref="AH161:AS161" si="1255">+AH86</f>
        <v>44469</v>
      </c>
      <c r="AI161" s="262">
        <f t="shared" si="1255"/>
        <v>44561</v>
      </c>
      <c r="AJ161" s="222"/>
      <c r="AK161" s="222"/>
      <c r="AL161" s="222"/>
      <c r="AM161" s="31">
        <f t="shared" ref="AM161:AP161" si="1256">+AM86</f>
        <v>44561</v>
      </c>
      <c r="AN161" s="31">
        <f t="shared" si="1256"/>
        <v>44651</v>
      </c>
      <c r="AO161" s="31">
        <f t="shared" si="1256"/>
        <v>44742</v>
      </c>
      <c r="AP161" s="31">
        <f t="shared" si="1256"/>
        <v>44834</v>
      </c>
      <c r="AQ161" s="31">
        <f t="shared" ref="AQ161" si="1257">+AQ86</f>
        <v>44926</v>
      </c>
      <c r="AR161" s="31">
        <f t="shared" si="1255"/>
        <v>44651</v>
      </c>
      <c r="AS161" s="31">
        <f t="shared" si="1255"/>
        <v>44742</v>
      </c>
      <c r="AT161" s="31">
        <f t="shared" ref="AT161:AZ161" si="1258">+AT86</f>
        <v>44834</v>
      </c>
      <c r="AU161" s="31">
        <f t="shared" si="1258"/>
        <v>44926</v>
      </c>
      <c r="AV161" s="31">
        <f t="shared" ref="AV161:AW161" si="1259">+AV86</f>
        <v>44834</v>
      </c>
      <c r="AW161" s="31">
        <f t="shared" si="1259"/>
        <v>44926</v>
      </c>
      <c r="AX161" s="31">
        <f t="shared" si="1258"/>
        <v>45016</v>
      </c>
      <c r="AY161" s="31">
        <f t="shared" ref="AY161" si="1260">+AY86</f>
        <v>45016</v>
      </c>
      <c r="AZ161" s="31">
        <f t="shared" si="1258"/>
        <v>45107</v>
      </c>
      <c r="BA161" s="31">
        <f t="shared" ref="BA161" si="1261">+BA86</f>
        <v>45107</v>
      </c>
      <c r="BB161" s="31">
        <f t="shared" ref="BB161" si="1262">+BB86</f>
        <v>45199</v>
      </c>
      <c r="BC161" s="31">
        <f t="shared" ref="BC161:BG161" si="1263">+BC86</f>
        <v>45199</v>
      </c>
      <c r="BD161" s="31">
        <f t="shared" si="1263"/>
        <v>45291</v>
      </c>
      <c r="BE161" s="31">
        <f t="shared" si="1263"/>
        <v>45382</v>
      </c>
      <c r="BF161" s="31">
        <f t="shared" si="1263"/>
        <v>45473</v>
      </c>
      <c r="BG161" s="31">
        <f t="shared" si="1263"/>
        <v>45565</v>
      </c>
      <c r="BH161" s="31">
        <f t="shared" ref="BH161:BK161" si="1264">+BH86</f>
        <v>45657</v>
      </c>
      <c r="BI161" s="31">
        <f t="shared" si="1264"/>
        <v>45747</v>
      </c>
      <c r="BJ161" s="31">
        <f t="shared" si="1264"/>
        <v>45838</v>
      </c>
      <c r="BK161" s="31">
        <f t="shared" si="1264"/>
        <v>45930</v>
      </c>
      <c r="BL161" s="31">
        <f t="shared" ref="BL161:BM161" si="1265">+BL86</f>
        <v>46022</v>
      </c>
      <c r="BM161" s="31">
        <f t="shared" si="1265"/>
        <v>46112</v>
      </c>
      <c r="BO161" s="31">
        <f t="shared" ref="BO161:BP161" si="1266">+BO86</f>
        <v>45291</v>
      </c>
      <c r="BP161" s="31">
        <f t="shared" si="1266"/>
        <v>45382</v>
      </c>
      <c r="BQ161" s="31">
        <f t="shared" ref="BQ161:BT161" si="1267">+BQ86</f>
        <v>45473</v>
      </c>
      <c r="BR161" s="31">
        <f t="shared" si="1267"/>
        <v>45565</v>
      </c>
      <c r="BS161" s="31">
        <f t="shared" si="1267"/>
        <v>45657</v>
      </c>
      <c r="BT161" s="31">
        <f t="shared" si="1267"/>
        <v>45747</v>
      </c>
      <c r="BV161" s="40"/>
      <c r="BW161" s="40"/>
      <c r="BY161" s="40"/>
      <c r="BZ161" s="40"/>
      <c r="CB161" s="16"/>
      <c r="CC161" s="16"/>
    </row>
    <row r="162" spans="2:81" s="6" customFormat="1" ht="13.5" customHeight="1">
      <c r="B162" s="4"/>
      <c r="C162" s="7" t="str">
        <f>C4</f>
        <v>Act</v>
      </c>
      <c r="D162" s="7" t="str">
        <f>D4</f>
        <v>Act</v>
      </c>
      <c r="E162" s="7" t="str">
        <f t="shared" ref="E162:Q162" si="1268">E4</f>
        <v>Act</v>
      </c>
      <c r="F162" s="7" t="str">
        <f t="shared" si="1268"/>
        <v>Act</v>
      </c>
      <c r="G162" s="7" t="str">
        <f t="shared" si="1268"/>
        <v>Act</v>
      </c>
      <c r="H162" s="7" t="str">
        <f t="shared" si="1268"/>
        <v>Act</v>
      </c>
      <c r="I162" s="7" t="str">
        <f t="shared" si="1268"/>
        <v>Act</v>
      </c>
      <c r="J162" s="7" t="str">
        <f t="shared" si="1268"/>
        <v>Act</v>
      </c>
      <c r="K162" s="7" t="str">
        <f t="shared" si="1268"/>
        <v>Act</v>
      </c>
      <c r="L162" s="7" t="str">
        <f t="shared" si="1268"/>
        <v>Act</v>
      </c>
      <c r="M162" s="7" t="str">
        <f t="shared" si="1268"/>
        <v>Act</v>
      </c>
      <c r="N162" s="7" t="str">
        <f t="shared" si="1268"/>
        <v>Act</v>
      </c>
      <c r="O162" s="7" t="str">
        <f t="shared" si="1268"/>
        <v>Act</v>
      </c>
      <c r="P162" s="7" t="str">
        <f t="shared" si="1268"/>
        <v>Act</v>
      </c>
      <c r="Q162" s="7" t="str">
        <f t="shared" si="1268"/>
        <v>Act</v>
      </c>
      <c r="R162" s="7" t="str">
        <f>R4</f>
        <v>Act</v>
      </c>
      <c r="S162"/>
      <c r="T162" s="7" t="str">
        <f t="shared" ref="T162:AI162" si="1269">T4</f>
        <v>Act</v>
      </c>
      <c r="U162" s="7" t="str">
        <f t="shared" si="1269"/>
        <v>Act</v>
      </c>
      <c r="V162" s="7" t="str">
        <f t="shared" si="1269"/>
        <v>Act</v>
      </c>
      <c r="W162" s="7" t="str">
        <f t="shared" si="1269"/>
        <v>Act</v>
      </c>
      <c r="X162" s="7" t="str">
        <f t="shared" si="1269"/>
        <v>Act</v>
      </c>
      <c r="Y162" s="7" t="str">
        <f t="shared" si="1269"/>
        <v>Act</v>
      </c>
      <c r="Z162" s="7" t="str">
        <f t="shared" si="1269"/>
        <v>Act</v>
      </c>
      <c r="AA162" s="7" t="str">
        <f t="shared" si="1269"/>
        <v>Act</v>
      </c>
      <c r="AB162" s="7" t="str">
        <f t="shared" si="1269"/>
        <v>Act</v>
      </c>
      <c r="AC162" s="7" t="str">
        <f t="shared" si="1269"/>
        <v>Act</v>
      </c>
      <c r="AD162" s="7" t="str">
        <f t="shared" si="1269"/>
        <v>Act</v>
      </c>
      <c r="AE162" s="7" t="str">
        <f t="shared" si="1269"/>
        <v>Act</v>
      </c>
      <c r="AF162" s="7" t="str">
        <f t="shared" si="1269"/>
        <v>Act</v>
      </c>
      <c r="AG162" s="7" t="str">
        <f t="shared" si="1269"/>
        <v>Act</v>
      </c>
      <c r="AH162" s="7" t="str">
        <f t="shared" si="1269"/>
        <v>Act</v>
      </c>
      <c r="AI162" s="7" t="str">
        <f t="shared" si="1269"/>
        <v>Act</v>
      </c>
      <c r="AJ162" s="242"/>
      <c r="AK162" s="242"/>
      <c r="AL162" s="242"/>
      <c r="AM162" s="7" t="str">
        <f t="shared" ref="AM162:BL162" si="1270">AM4</f>
        <v xml:space="preserve">restated </v>
      </c>
      <c r="AN162" s="7" t="str">
        <f t="shared" si="1270"/>
        <v>Act</v>
      </c>
      <c r="AO162" s="7" t="str">
        <f t="shared" si="1270"/>
        <v>Act</v>
      </c>
      <c r="AP162" s="7" t="str">
        <f t="shared" si="1270"/>
        <v>Act</v>
      </c>
      <c r="AQ162" s="7" t="str">
        <f t="shared" si="1270"/>
        <v>Act</v>
      </c>
      <c r="AR162" s="7" t="str">
        <f t="shared" si="1270"/>
        <v>Restated</v>
      </c>
      <c r="AS162" s="7" t="str">
        <f t="shared" si="1270"/>
        <v>Restated</v>
      </c>
      <c r="AT162" s="7" t="str">
        <f t="shared" si="1270"/>
        <v>Restated</v>
      </c>
      <c r="AU162" s="7" t="str">
        <f t="shared" si="1270"/>
        <v>Restated</v>
      </c>
      <c r="AV162" s="7" t="str">
        <f t="shared" si="1270"/>
        <v>Restated**</v>
      </c>
      <c r="AW162" s="7" t="str">
        <f t="shared" si="1270"/>
        <v>Restated</v>
      </c>
      <c r="AX162" s="7" t="str">
        <f t="shared" si="1270"/>
        <v>Act</v>
      </c>
      <c r="AY162" s="7" t="str">
        <f t="shared" si="1270"/>
        <v>Restated</v>
      </c>
      <c r="AZ162" s="7" t="str">
        <f t="shared" si="1270"/>
        <v>Act</v>
      </c>
      <c r="BA162" s="7" t="str">
        <f t="shared" si="1270"/>
        <v>Restated</v>
      </c>
      <c r="BB162" s="7" t="str">
        <f t="shared" si="1270"/>
        <v>Act</v>
      </c>
      <c r="BC162" s="7" t="str">
        <f t="shared" si="1270"/>
        <v>Restated</v>
      </c>
      <c r="BD162" s="7">
        <f t="shared" si="1270"/>
        <v>0</v>
      </c>
      <c r="BE162" s="7" t="str">
        <f t="shared" si="1270"/>
        <v>Act</v>
      </c>
      <c r="BF162" s="7" t="str">
        <f t="shared" si="1270"/>
        <v>Act</v>
      </c>
      <c r="BG162" s="7" t="str">
        <f t="shared" si="1270"/>
        <v>Act</v>
      </c>
      <c r="BH162" s="7" t="str">
        <f t="shared" si="1270"/>
        <v>Act</v>
      </c>
      <c r="BI162" s="7" t="str">
        <f t="shared" si="1270"/>
        <v>Act</v>
      </c>
      <c r="BJ162" s="7" t="str">
        <f t="shared" si="1270"/>
        <v>Act</v>
      </c>
      <c r="BK162" s="7" t="str">
        <f t="shared" si="1270"/>
        <v>Act</v>
      </c>
      <c r="BL162" s="7" t="str">
        <f t="shared" si="1270"/>
        <v>Act</v>
      </c>
      <c r="BM162" s="7" t="str">
        <f t="shared" ref="BM162" si="1271">BM4</f>
        <v>Act</v>
      </c>
      <c r="BO162" s="7" t="str">
        <f t="shared" ref="BO162:BS163" si="1272">BO4</f>
        <v>Act</v>
      </c>
      <c r="BP162" s="7" t="str">
        <f t="shared" si="1272"/>
        <v>Act</v>
      </c>
      <c r="BQ162" s="7" t="str">
        <f t="shared" si="1272"/>
        <v>Act</v>
      </c>
      <c r="BR162" s="7" t="str">
        <f t="shared" si="1272"/>
        <v>Act</v>
      </c>
      <c r="BS162" s="7" t="str">
        <f t="shared" si="1272"/>
        <v>Act</v>
      </c>
      <c r="BT162" s="7" t="str">
        <f t="shared" ref="BT162" si="1273">BT4</f>
        <v>Act</v>
      </c>
      <c r="BV162" s="40"/>
      <c r="BW162" s="40"/>
      <c r="BY162" s="40"/>
      <c r="BZ162" s="40"/>
      <c r="CB162" s="16"/>
      <c r="CC162" s="16"/>
    </row>
    <row r="163" spans="2:81" s="8" customFormat="1" ht="13.5" customHeight="1">
      <c r="C163" s="9" t="str">
        <f>C5</f>
        <v>FY</v>
      </c>
      <c r="D163" s="9" t="str">
        <f>D5</f>
        <v>FY</v>
      </c>
      <c r="E163" s="9" t="str">
        <f t="shared" ref="E163:Q163" si="1274">E5</f>
        <v>FY</v>
      </c>
      <c r="F163" s="9" t="str">
        <f t="shared" si="1274"/>
        <v>FY</v>
      </c>
      <c r="G163" s="9" t="str">
        <f t="shared" si="1274"/>
        <v>FY</v>
      </c>
      <c r="H163" s="9" t="str">
        <f t="shared" si="1274"/>
        <v>FY</v>
      </c>
      <c r="I163" s="9" t="str">
        <f t="shared" si="1274"/>
        <v>FY</v>
      </c>
      <c r="J163" s="9" t="str">
        <f t="shared" si="1274"/>
        <v>FY</v>
      </c>
      <c r="K163" s="9" t="str">
        <f t="shared" si="1274"/>
        <v>FY</v>
      </c>
      <c r="L163" s="9" t="str">
        <f t="shared" si="1274"/>
        <v>FY</v>
      </c>
      <c r="M163" s="9" t="str">
        <f t="shared" si="1274"/>
        <v>FY</v>
      </c>
      <c r="N163" s="9" t="str">
        <f t="shared" si="1274"/>
        <v>FY</v>
      </c>
      <c r="O163" s="9" t="str">
        <f t="shared" si="1274"/>
        <v>FY</v>
      </c>
      <c r="P163" s="9" t="str">
        <f t="shared" si="1274"/>
        <v>FY</v>
      </c>
      <c r="Q163" s="9" t="str">
        <f t="shared" si="1274"/>
        <v>FY</v>
      </c>
      <c r="R163" s="9" t="str">
        <f>R5</f>
        <v>LTM</v>
      </c>
      <c r="S163"/>
      <c r="T163" s="9" t="str">
        <f t="shared" ref="T163:AI163" si="1275">T5</f>
        <v>Q1</v>
      </c>
      <c r="U163" s="9" t="str">
        <f t="shared" si="1275"/>
        <v>Q2</v>
      </c>
      <c r="V163" s="9" t="str">
        <f t="shared" si="1275"/>
        <v>Q3</v>
      </c>
      <c r="W163" s="9" t="str">
        <f t="shared" si="1275"/>
        <v>Q4</v>
      </c>
      <c r="X163" s="9" t="str">
        <f t="shared" si="1275"/>
        <v>Q1</v>
      </c>
      <c r="Y163" s="9" t="str">
        <f t="shared" si="1275"/>
        <v>Q2</v>
      </c>
      <c r="Z163" s="9" t="str">
        <f t="shared" si="1275"/>
        <v>Q3</v>
      </c>
      <c r="AA163" s="9" t="str">
        <f t="shared" si="1275"/>
        <v>Q4</v>
      </c>
      <c r="AB163" s="9" t="str">
        <f t="shared" si="1275"/>
        <v>Q1</v>
      </c>
      <c r="AC163" s="9" t="str">
        <f t="shared" si="1275"/>
        <v>Q2</v>
      </c>
      <c r="AD163" s="9" t="str">
        <f t="shared" si="1275"/>
        <v>Q3</v>
      </c>
      <c r="AE163" s="9" t="str">
        <f t="shared" si="1275"/>
        <v>Q4</v>
      </c>
      <c r="AF163" s="9" t="str">
        <f t="shared" si="1275"/>
        <v>Q1</v>
      </c>
      <c r="AG163" s="9" t="str">
        <f t="shared" si="1275"/>
        <v>Q2</v>
      </c>
      <c r="AH163" s="9" t="str">
        <f t="shared" si="1275"/>
        <v>Q3</v>
      </c>
      <c r="AI163" s="9" t="str">
        <f t="shared" si="1275"/>
        <v>Q4</v>
      </c>
      <c r="AJ163" s="243"/>
      <c r="AK163" s="243"/>
      <c r="AL163" s="243"/>
      <c r="AM163" s="9" t="str">
        <f t="shared" ref="AM163:BL163" si="1276">AM5</f>
        <v>Q4</v>
      </c>
      <c r="AN163" s="9" t="str">
        <f t="shared" si="1276"/>
        <v>Q1</v>
      </c>
      <c r="AO163" s="9" t="str">
        <f t="shared" si="1276"/>
        <v>Q2</v>
      </c>
      <c r="AP163" s="9" t="str">
        <f t="shared" si="1276"/>
        <v>Q3</v>
      </c>
      <c r="AQ163" s="9" t="str">
        <f t="shared" si="1276"/>
        <v>Q4</v>
      </c>
      <c r="AR163" s="9" t="str">
        <f t="shared" si="1276"/>
        <v>Q1</v>
      </c>
      <c r="AS163" s="9" t="str">
        <f t="shared" si="1276"/>
        <v>Q2</v>
      </c>
      <c r="AT163" s="9" t="str">
        <f t="shared" si="1276"/>
        <v>Q3</v>
      </c>
      <c r="AU163" s="9" t="str">
        <f t="shared" si="1276"/>
        <v>Q4</v>
      </c>
      <c r="AV163" s="9" t="str">
        <f t="shared" si="1276"/>
        <v>Q3</v>
      </c>
      <c r="AW163" s="9" t="str">
        <f t="shared" si="1276"/>
        <v>Q4</v>
      </c>
      <c r="AX163" s="9" t="str">
        <f t="shared" si="1276"/>
        <v>Q1</v>
      </c>
      <c r="AY163" s="9" t="str">
        <f t="shared" si="1276"/>
        <v>Q1</v>
      </c>
      <c r="AZ163" s="9" t="str">
        <f t="shared" si="1276"/>
        <v>Q2</v>
      </c>
      <c r="BA163" s="9" t="str">
        <f t="shared" si="1276"/>
        <v>Q2</v>
      </c>
      <c r="BB163" s="9" t="str">
        <f t="shared" si="1276"/>
        <v>Q3</v>
      </c>
      <c r="BC163" s="9" t="str">
        <f t="shared" si="1276"/>
        <v>Q3</v>
      </c>
      <c r="BD163" s="9" t="str">
        <f t="shared" si="1276"/>
        <v>Q4</v>
      </c>
      <c r="BE163" s="9" t="str">
        <f t="shared" si="1276"/>
        <v>Q1</v>
      </c>
      <c r="BF163" s="9" t="str">
        <f t="shared" si="1276"/>
        <v>Q2</v>
      </c>
      <c r="BG163" s="9" t="str">
        <f t="shared" si="1276"/>
        <v>Q3</v>
      </c>
      <c r="BH163" s="9" t="str">
        <f t="shared" si="1276"/>
        <v>Q4</v>
      </c>
      <c r="BI163" s="9" t="str">
        <f t="shared" si="1276"/>
        <v>Q1</v>
      </c>
      <c r="BJ163" s="9" t="str">
        <f t="shared" si="1276"/>
        <v>Q2</v>
      </c>
      <c r="BK163" s="9" t="str">
        <f t="shared" si="1276"/>
        <v>Q3</v>
      </c>
      <c r="BL163" s="9" t="str">
        <f t="shared" si="1276"/>
        <v>Q4</v>
      </c>
      <c r="BM163" s="9" t="str">
        <f t="shared" ref="BM163" si="1277">BM5</f>
        <v>Q1</v>
      </c>
      <c r="BO163" s="9" t="str">
        <f t="shared" si="1272"/>
        <v>Q4</v>
      </c>
      <c r="BP163" s="9" t="str">
        <f t="shared" si="1272"/>
        <v>Q1</v>
      </c>
      <c r="BQ163" s="9" t="str">
        <f t="shared" si="1272"/>
        <v>Q2</v>
      </c>
      <c r="BR163" s="9" t="str">
        <f t="shared" si="1272"/>
        <v>Q3</v>
      </c>
      <c r="BS163" s="9" t="str">
        <f t="shared" si="1272"/>
        <v>Q4</v>
      </c>
      <c r="BT163" s="9" t="str">
        <f t="shared" ref="BT163" si="1278">BT5</f>
        <v>Q1</v>
      </c>
      <c r="BV163" s="40"/>
      <c r="BW163" s="40"/>
      <c r="BY163" s="40"/>
      <c r="BZ163" s="40"/>
      <c r="CB163" s="16"/>
      <c r="CC163" s="16"/>
    </row>
    <row r="164" spans="2:81" s="6" customFormat="1" ht="13.5" customHeight="1">
      <c r="B164" s="6" t="str">
        <f t="shared" ref="B164:R164" si="1279">+B7</f>
        <v>Operating revenue</v>
      </c>
      <c r="C164" s="59">
        <f t="shared" si="1279"/>
        <v>21565.392</v>
      </c>
      <c r="D164" s="59">
        <f t="shared" si="1279"/>
        <v>24402.401000000002</v>
      </c>
      <c r="E164" s="59">
        <f t="shared" si="1279"/>
        <v>23885.780999999999</v>
      </c>
      <c r="F164" s="59">
        <f t="shared" si="1279"/>
        <v>24583.312000000002</v>
      </c>
      <c r="G164" s="59">
        <f t="shared" si="1279"/>
        <v>24203.170999999998</v>
      </c>
      <c r="H164" s="59">
        <f t="shared" si="1279"/>
        <v>25900.661</v>
      </c>
      <c r="I164" s="59">
        <f t="shared" si="1279"/>
        <v>27522</v>
      </c>
      <c r="J164" s="59">
        <f t="shared" si="1279"/>
        <v>19994.367999999999</v>
      </c>
      <c r="K164" s="59">
        <f t="shared" si="1279"/>
        <v>21725.735000000001</v>
      </c>
      <c r="L164" s="59">
        <f t="shared" si="1279"/>
        <v>20020.28</v>
      </c>
      <c r="M164" s="59">
        <f t="shared" si="1279"/>
        <v>22002.269</v>
      </c>
      <c r="N164" s="59">
        <f t="shared" si="1279"/>
        <v>22318.326000000001</v>
      </c>
      <c r="O164" s="59">
        <f t="shared" si="1279"/>
        <v>22334.616999999998</v>
      </c>
      <c r="P164" s="59">
        <f t="shared" si="1279"/>
        <v>12541.918</v>
      </c>
      <c r="Q164" s="59">
        <f t="shared" si="1279"/>
        <v>11757.996999999999</v>
      </c>
      <c r="R164" s="59">
        <f t="shared" si="1279"/>
        <v>9468.9609999999993</v>
      </c>
      <c r="S164"/>
      <c r="T164" s="59">
        <f t="shared" ref="T164:AI164" si="1280">+T7</f>
        <v>5748.2489999999998</v>
      </c>
      <c r="U164" s="59">
        <f t="shared" si="1280"/>
        <v>5867.0649999999996</v>
      </c>
      <c r="V164" s="59">
        <f t="shared" si="1280"/>
        <v>6003.4719999999998</v>
      </c>
      <c r="W164" s="59">
        <f t="shared" si="1280"/>
        <v>6266.9950000000026</v>
      </c>
      <c r="X164" s="59">
        <f t="shared" si="1280"/>
        <v>5949.4369999999999</v>
      </c>
      <c r="Y164" s="59">
        <f t="shared" si="1280"/>
        <v>6153.6139999999996</v>
      </c>
      <c r="Z164" s="59">
        <f t="shared" si="1280"/>
        <v>6213.2539999999999</v>
      </c>
      <c r="AA164" s="59">
        <f t="shared" si="1280"/>
        <v>6267.0070000000014</v>
      </c>
      <c r="AB164" s="59">
        <f t="shared" si="1280"/>
        <v>6036.5839999999998</v>
      </c>
      <c r="AC164" s="59">
        <f t="shared" si="1280"/>
        <v>5792.4139999999998</v>
      </c>
      <c r="AD164" s="59">
        <f t="shared" si="1280"/>
        <v>6111.6570000000002</v>
      </c>
      <c r="AE164" s="59">
        <f t="shared" si="1280"/>
        <v>6262.5159999999987</v>
      </c>
      <c r="AF164" s="59">
        <f t="shared" si="1280"/>
        <v>6064.0190000000002</v>
      </c>
      <c r="AG164" s="59">
        <f t="shared" si="1280"/>
        <v>6390.0640000000003</v>
      </c>
      <c r="AH164" s="59">
        <f t="shared" si="1280"/>
        <v>6542.9629999999997</v>
      </c>
      <c r="AI164" s="59">
        <f t="shared" si="1280"/>
        <v>6903.6149999999998</v>
      </c>
      <c r="AJ164" s="244"/>
      <c r="AK164" s="244"/>
      <c r="AL164" s="244"/>
      <c r="AM164" s="59">
        <f t="shared" ref="AM164:BL164" si="1281">+AM7</f>
        <v>5336.4650000000001</v>
      </c>
      <c r="AN164" s="59">
        <f t="shared" si="1281"/>
        <v>6469.951</v>
      </c>
      <c r="AO164" s="59">
        <f t="shared" si="1281"/>
        <v>6704.2569999999996</v>
      </c>
      <c r="AP164" s="59">
        <f t="shared" si="1281"/>
        <v>7260.3180000000002</v>
      </c>
      <c r="AQ164" s="59">
        <f t="shared" si="1281"/>
        <v>7087.474000000002</v>
      </c>
      <c r="AR164" s="59">
        <f t="shared" si="1281"/>
        <v>4983.8900000000003</v>
      </c>
      <c r="AS164" s="59">
        <f t="shared" si="1281"/>
        <v>5197.6049999999996</v>
      </c>
      <c r="AT164" s="59">
        <f t="shared" si="1281"/>
        <v>5709</v>
      </c>
      <c r="AU164" s="59">
        <f t="shared" si="1281"/>
        <v>5835</v>
      </c>
      <c r="AV164" s="59">
        <f t="shared" si="1281"/>
        <v>5367.3829999999998</v>
      </c>
      <c r="AW164" s="59">
        <f t="shared" si="1281"/>
        <v>4471.402</v>
      </c>
      <c r="AX164" s="59">
        <f t="shared" si="1281"/>
        <v>5378.7160000000003</v>
      </c>
      <c r="AY164" s="59">
        <f t="shared" si="1281"/>
        <v>4997.2280000000001</v>
      </c>
      <c r="AZ164" s="59">
        <f t="shared" si="1281"/>
        <v>5994.5259999999998</v>
      </c>
      <c r="BA164" s="59">
        <f t="shared" si="1281"/>
        <v>5592.1589999999997</v>
      </c>
      <c r="BB164" s="59">
        <f t="shared" si="1281"/>
        <v>6010</v>
      </c>
      <c r="BC164" s="59">
        <f t="shared" si="1281"/>
        <v>5695.6970000000001</v>
      </c>
      <c r="BD164" s="59">
        <f t="shared" si="1281"/>
        <v>4933.33</v>
      </c>
      <c r="BE164" s="59">
        <f t="shared" si="1281"/>
        <v>5662.0839999999998</v>
      </c>
      <c r="BF164" s="59">
        <f t="shared" si="1281"/>
        <v>5755.7659999999996</v>
      </c>
      <c r="BG164" s="59">
        <f t="shared" si="1281"/>
        <v>5321.643</v>
      </c>
      <c r="BH164" s="59">
        <f t="shared" si="1281"/>
        <v>5595.1239999999998</v>
      </c>
      <c r="BI164" s="59">
        <f t="shared" si="1281"/>
        <v>5088.8969999999999</v>
      </c>
      <c r="BJ164" s="59">
        <f t="shared" si="1281"/>
        <v>2966.4189999999999</v>
      </c>
      <c r="BK164" s="59">
        <f t="shared" si="1281"/>
        <v>2920.48</v>
      </c>
      <c r="BL164" s="59">
        <f t="shared" si="1281"/>
        <v>782.20099999999911</v>
      </c>
      <c r="BM164" s="59">
        <f t="shared" ref="BM164" si="1282">+BM7</f>
        <v>2799.8609999999999</v>
      </c>
      <c r="BO164" s="59">
        <f t="shared" ref="BO164:BT164" si="1283">+BO7</f>
        <v>6033.242000000002</v>
      </c>
      <c r="BP164" s="59">
        <f t="shared" si="1283"/>
        <v>5739.0429999999997</v>
      </c>
      <c r="BQ164" s="59">
        <f t="shared" si="1283"/>
        <v>3319.636</v>
      </c>
      <c r="BR164" s="59">
        <f t="shared" si="1283"/>
        <v>3064.998</v>
      </c>
      <c r="BS164" s="59">
        <f t="shared" si="1283"/>
        <v>418.24099999999999</v>
      </c>
      <c r="BT164" s="59">
        <f t="shared" si="1283"/>
        <v>2891.857</v>
      </c>
      <c r="BV164" s="40"/>
      <c r="BW164" s="40"/>
      <c r="BY164" s="40"/>
      <c r="BZ164" s="40"/>
      <c r="CB164" s="16"/>
      <c r="CC164" s="16"/>
    </row>
    <row r="165" spans="2:81" s="16" customFormat="1" ht="13.5" customHeight="1">
      <c r="B165" s="60" t="s">
        <v>231</v>
      </c>
      <c r="C165" s="61"/>
      <c r="D165" s="61">
        <f>+D164/C164-1</f>
        <v>0.1315537876612678</v>
      </c>
      <c r="E165" s="61">
        <f>+E164/D164-1</f>
        <v>-2.1170867571596808E-2</v>
      </c>
      <c r="F165" s="61">
        <f>+F164/E164-1</f>
        <v>2.9202771305656849E-2</v>
      </c>
      <c r="G165" s="61">
        <f>+G164/E164-1</f>
        <v>1.3287821737961947E-2</v>
      </c>
      <c r="H165" s="61">
        <f>+H164/G164-1</f>
        <v>7.0135024869262041E-2</v>
      </c>
      <c r="I165" s="61">
        <f>+I164/H164-1</f>
        <v>6.259836380237549E-2</v>
      </c>
      <c r="J165" s="61">
        <f>+J164/G164-1</f>
        <v>-0.17389469338542463</v>
      </c>
      <c r="K165" s="61">
        <f>+K164/J164-1</f>
        <v>8.6592734514039149E-2</v>
      </c>
      <c r="L165" s="61">
        <f>+L164/J164-1</f>
        <v>1.2959649437280785E-3</v>
      </c>
      <c r="M165" s="61">
        <f>+M164/L164-1</f>
        <v>9.8999064948142701E-2</v>
      </c>
      <c r="N165" s="61">
        <f>+N164/L164-1</f>
        <v>0.11478590709021064</v>
      </c>
      <c r="O165" s="61">
        <f>+O164/N164-1</f>
        <v>7.2993825791400901E-4</v>
      </c>
      <c r="P165" s="18">
        <f>P164/N164-1</f>
        <v>-0.43804396440844173</v>
      </c>
      <c r="Q165" s="18">
        <f>Q164/P164-1</f>
        <v>-6.2504076330270997E-2</v>
      </c>
      <c r="R165" s="61"/>
      <c r="S165"/>
      <c r="T165" s="62"/>
      <c r="U165" s="62"/>
      <c r="V165" s="62"/>
      <c r="W165" s="62"/>
      <c r="X165" s="62"/>
      <c r="Y165" s="62"/>
      <c r="Z165" s="62"/>
      <c r="AA165" s="62"/>
      <c r="AB165" s="62">
        <f t="shared" ref="AB165" si="1284">AB164/X164-1</f>
        <v>1.4647940637072088E-2</v>
      </c>
      <c r="AC165" s="62">
        <f t="shared" ref="AC165" si="1285">AC164/Y164-1</f>
        <v>-5.8697214352411375E-2</v>
      </c>
      <c r="AD165" s="62">
        <f t="shared" ref="AD165" si="1286">AD164/Z164-1</f>
        <v>-1.6351657279744192E-2</v>
      </c>
      <c r="AE165" s="62">
        <f t="shared" ref="AE165" si="1287">AE164/AA164-1</f>
        <v>-7.1661001814782299E-4</v>
      </c>
      <c r="AF165" s="62">
        <f t="shared" ref="AF165" si="1288">AF164/AB164-1</f>
        <v>4.5447889071037473E-3</v>
      </c>
      <c r="AG165" s="62">
        <f t="shared" ref="AG165" si="1289">AG164/AC164-1</f>
        <v>0.10317805322616791</v>
      </c>
      <c r="AH165" s="62">
        <f t="shared" ref="AH165" si="1290">AH164/AD164-1</f>
        <v>7.057104153587157E-2</v>
      </c>
      <c r="AI165" s="62">
        <f t="shared" ref="AI165" si="1291">AI164/AE164-1</f>
        <v>0.10237083625814303</v>
      </c>
      <c r="AJ165" s="245"/>
      <c r="AK165" s="245"/>
      <c r="AL165" s="245"/>
      <c r="AM165" s="18">
        <f>AM164/AE164-1</f>
        <v>-0.14787203737283849</v>
      </c>
      <c r="AN165" s="18">
        <f>AN164/AF164-1</f>
        <v>6.6941083133149837E-2</v>
      </c>
      <c r="AO165" s="18">
        <f>AO164/AG164-1</f>
        <v>4.9168991108696103E-2</v>
      </c>
      <c r="AP165" s="18">
        <f>AP164/AH164-1</f>
        <v>0.10963763664871728</v>
      </c>
      <c r="AQ165" s="18">
        <f>AQ164/AI164-1</f>
        <v>2.6632278885772465E-2</v>
      </c>
      <c r="AR165" s="18">
        <f>AR164/AF164-1</f>
        <v>-0.17812097884257949</v>
      </c>
      <c r="AS165" s="18">
        <f>AS164/AG164-1</f>
        <v>-0.18661143299973215</v>
      </c>
      <c r="AT165" s="18">
        <f>AT164/AH164-1</f>
        <v>-0.12745953171368996</v>
      </c>
      <c r="AU165" s="18">
        <f>AU164/AM164-1</f>
        <v>9.3420457175302341E-2</v>
      </c>
      <c r="AV165" s="18">
        <f>AV164/AH164-1</f>
        <v>-0.17967089222421095</v>
      </c>
      <c r="AW165" s="18">
        <f>AW164/AM164-1</f>
        <v>-0.16210412698293719</v>
      </c>
      <c r="AX165" s="18">
        <f>AX164/AR164-1</f>
        <v>7.9220448284372136E-2</v>
      </c>
      <c r="AY165" s="294">
        <f>AY164/AS164-1</f>
        <v>-3.8551794528441374E-2</v>
      </c>
      <c r="AZ165" s="18">
        <f>AZ164/AS164-1</f>
        <v>0.15332465625995062</v>
      </c>
      <c r="BA165" s="18">
        <f>BA164/AT164-1</f>
        <v>-2.0466106148187113E-2</v>
      </c>
      <c r="BB165" s="18">
        <f>BB164/AT164-1</f>
        <v>5.2723769486775263E-2</v>
      </c>
      <c r="BC165" s="18">
        <f>BC164/AV164-1</f>
        <v>6.1168357093205339E-2</v>
      </c>
      <c r="BD165" s="18">
        <f>BD164/AW164-1</f>
        <v>0.10330719537183186</v>
      </c>
      <c r="BE165" s="18">
        <f>BE164/AY164-1</f>
        <v>0.13304496012589384</v>
      </c>
      <c r="BF165" s="18">
        <f>BF164/AZ164-1</f>
        <v>-3.982967127008874E-2</v>
      </c>
      <c r="BG165" s="18">
        <f>BG164/AY164-1</f>
        <v>6.4918991088659617E-2</v>
      </c>
      <c r="BH165" s="18">
        <f>BH164/BO164-1</f>
        <v>-7.2617342384078465E-2</v>
      </c>
      <c r="BI165" s="18">
        <f>BI164/BC164-1</f>
        <v>-0.10653656611297968</v>
      </c>
      <c r="BJ165" s="18">
        <f>BJ164/BQ164-1</f>
        <v>-0.10640232844805875</v>
      </c>
      <c r="BK165" s="18">
        <f>BK164/BR164-1</f>
        <v>-4.7151091126323763E-2</v>
      </c>
      <c r="BL165" s="18">
        <f>BL164/BS164-1</f>
        <v>0.87021597595644407</v>
      </c>
      <c r="BM165" s="18">
        <f>BM164/BT164-1</f>
        <v>-3.1812084760761028E-2</v>
      </c>
      <c r="BO165" s="18">
        <f>BO164/AW164-1</f>
        <v>0.34929536641974979</v>
      </c>
      <c r="BP165" s="18">
        <f>BP164/AY164-1</f>
        <v>0.1484452980732518</v>
      </c>
      <c r="BQ165" s="18">
        <f>BQ164/BA164-1</f>
        <v>-0.40637667848857661</v>
      </c>
      <c r="BR165" s="18">
        <f>BR164/BC164-1</f>
        <v>-0.46187481532110997</v>
      </c>
      <c r="BS165" s="18">
        <f>BS164/BO164-1</f>
        <v>-0.93067723787641876</v>
      </c>
      <c r="BT165" s="18">
        <f>BT164/BP164-1</f>
        <v>-0.49610814904157363</v>
      </c>
      <c r="BV165" s="40"/>
      <c r="BW165" s="40"/>
      <c r="BY165" s="40"/>
      <c r="BZ165" s="40"/>
    </row>
    <row r="166" spans="2:81" s="6" customFormat="1" ht="13.5" hidden="1" customHeight="1" outlineLevel="1" thickBot="1">
      <c r="B166" s="63"/>
      <c r="C166" s="64"/>
      <c r="D166" s="64"/>
      <c r="E166" s="64"/>
      <c r="F166" s="64"/>
      <c r="G166" s="64"/>
      <c r="H166" s="64"/>
      <c r="I166" s="64"/>
      <c r="J166" s="64"/>
      <c r="K166" s="64"/>
      <c r="L166" s="64"/>
      <c r="M166" s="64"/>
      <c r="N166" s="64"/>
      <c r="O166" s="64"/>
      <c r="P166" s="64"/>
      <c r="Q166" s="64"/>
      <c r="R166" s="64"/>
      <c r="S166"/>
      <c r="T166" s="64"/>
      <c r="U166" s="64"/>
      <c r="V166" s="64"/>
      <c r="W166" s="64"/>
      <c r="X166" s="64"/>
      <c r="Y166" s="64"/>
      <c r="Z166" s="64"/>
      <c r="AA166" s="64"/>
      <c r="AB166" s="64"/>
      <c r="AC166" s="64"/>
      <c r="AD166" s="64"/>
      <c r="AE166" s="64"/>
      <c r="AF166" s="64"/>
      <c r="AG166" s="64"/>
      <c r="AH166" s="64"/>
      <c r="AI166" s="64"/>
      <c r="AJ166" s="246"/>
      <c r="AK166" s="246"/>
      <c r="AL166" s="246"/>
      <c r="AM166" s="64"/>
      <c r="AN166" s="64"/>
      <c r="AO166" s="64"/>
      <c r="AP166" s="64"/>
      <c r="AQ166" s="64"/>
      <c r="AR166" s="64"/>
      <c r="AS166" s="64"/>
      <c r="AT166" s="64"/>
      <c r="AU166" s="64"/>
      <c r="AV166" s="64"/>
      <c r="AW166" s="64"/>
      <c r="AX166" s="64"/>
      <c r="AY166" s="64"/>
      <c r="AZ166" s="64"/>
      <c r="BA166" s="64"/>
      <c r="BB166" s="64"/>
      <c r="BC166" s="64"/>
      <c r="BD166" s="64"/>
      <c r="BE166" s="64"/>
      <c r="BF166" s="64"/>
      <c r="BG166" s="64"/>
      <c r="BH166" s="64"/>
      <c r="BI166" s="64"/>
      <c r="BJ166" s="64"/>
      <c r="BK166" s="64"/>
      <c r="BL166" s="64"/>
      <c r="BM166" s="64"/>
      <c r="BO166" s="64"/>
      <c r="BP166" s="64"/>
      <c r="BQ166" s="64"/>
      <c r="BR166" s="64"/>
      <c r="BS166" s="64"/>
      <c r="BT166" s="64"/>
      <c r="BV166" s="40"/>
      <c r="BW166" s="40"/>
      <c r="BY166" s="40"/>
      <c r="BZ166" s="40"/>
      <c r="CB166" s="16"/>
      <c r="CC166" s="16"/>
    </row>
    <row r="167" spans="2:81" s="16" customFormat="1" ht="13.5" hidden="1" customHeight="1" outlineLevel="1" thickTop="1">
      <c r="B167" s="60"/>
      <c r="C167" s="62"/>
      <c r="D167" s="62"/>
      <c r="E167" s="62"/>
      <c r="F167" s="62"/>
      <c r="G167" s="62"/>
      <c r="H167" s="62"/>
      <c r="I167" s="62"/>
      <c r="J167" s="62"/>
      <c r="K167" s="62"/>
      <c r="L167" s="62"/>
      <c r="M167" s="62"/>
      <c r="N167" s="62"/>
      <c r="O167" s="62"/>
      <c r="P167" s="62"/>
      <c r="Q167" s="62"/>
      <c r="R167" s="62"/>
      <c r="S167"/>
      <c r="T167" s="62"/>
      <c r="U167" s="62"/>
      <c r="V167" s="62"/>
      <c r="W167" s="62"/>
      <c r="X167" s="62"/>
      <c r="Y167" s="62"/>
      <c r="Z167" s="62"/>
      <c r="AA167" s="62"/>
      <c r="AB167" s="62"/>
      <c r="AC167" s="62"/>
      <c r="AD167" s="62"/>
      <c r="AE167" s="62"/>
      <c r="AF167" s="62"/>
      <c r="AG167" s="62"/>
      <c r="AH167" s="62"/>
      <c r="AI167" s="62"/>
      <c r="AJ167" s="245"/>
      <c r="AK167" s="245"/>
      <c r="AL167" s="245"/>
      <c r="AM167" s="62"/>
      <c r="AN167" s="62"/>
      <c r="AO167" s="62"/>
      <c r="AP167" s="62"/>
      <c r="AQ167" s="62"/>
      <c r="AR167" s="62"/>
      <c r="AS167" s="62"/>
      <c r="AT167" s="62"/>
      <c r="AU167" s="62"/>
      <c r="AV167" s="62"/>
      <c r="AW167" s="62"/>
      <c r="AX167" s="62"/>
      <c r="AY167" s="301"/>
      <c r="AZ167" s="62"/>
      <c r="BA167" s="62"/>
      <c r="BB167" s="62"/>
      <c r="BC167" s="62"/>
      <c r="BD167" s="62"/>
      <c r="BE167" s="62"/>
      <c r="BF167" s="62"/>
      <c r="BG167" s="62"/>
      <c r="BH167" s="62"/>
      <c r="BI167" s="62"/>
      <c r="BJ167" s="62"/>
      <c r="BK167" s="62"/>
      <c r="BL167" s="62"/>
      <c r="BM167" s="62"/>
      <c r="BO167" s="62"/>
      <c r="BP167" s="62"/>
      <c r="BQ167" s="62"/>
      <c r="BR167" s="62"/>
      <c r="BS167" s="62"/>
      <c r="BT167" s="62"/>
      <c r="BV167" s="40"/>
      <c r="BW167" s="40"/>
      <c r="BY167" s="40"/>
      <c r="BZ167" s="40"/>
    </row>
    <row r="168" spans="2:81" s="16" customFormat="1" ht="13.5" hidden="1" customHeight="1" outlineLevel="1">
      <c r="B168" s="60"/>
      <c r="C168" s="62"/>
      <c r="D168" s="62"/>
      <c r="E168" s="62"/>
      <c r="F168" s="62"/>
      <c r="G168" s="62"/>
      <c r="H168" s="62"/>
      <c r="I168" s="62"/>
      <c r="J168" s="62"/>
      <c r="K168" s="62"/>
      <c r="L168" s="62"/>
      <c r="M168" s="62"/>
      <c r="N168" s="62"/>
      <c r="O168" s="62"/>
      <c r="P168" s="62"/>
      <c r="Q168" s="62"/>
      <c r="R168" s="62"/>
      <c r="S168"/>
      <c r="T168" s="62"/>
      <c r="U168" s="62"/>
      <c r="V168" s="62"/>
      <c r="W168" s="62"/>
      <c r="X168" s="62"/>
      <c r="Y168" s="62"/>
      <c r="Z168" s="62"/>
      <c r="AA168" s="62"/>
      <c r="AB168" s="62"/>
      <c r="AC168" s="62"/>
      <c r="AD168" s="62"/>
      <c r="AE168" s="62"/>
      <c r="AF168" s="62"/>
      <c r="AG168" s="62"/>
      <c r="AH168" s="62"/>
      <c r="AI168" s="62"/>
      <c r="AJ168" s="245"/>
      <c r="AK168" s="245"/>
      <c r="AL168" s="245"/>
      <c r="AM168" s="62"/>
      <c r="AN168" s="62"/>
      <c r="AO168" s="62"/>
      <c r="AP168" s="62"/>
      <c r="AQ168" s="62"/>
      <c r="AR168" s="62"/>
      <c r="AS168" s="62"/>
      <c r="AT168" s="62"/>
      <c r="AU168" s="62"/>
      <c r="AV168" s="62"/>
      <c r="AW168" s="62"/>
      <c r="AX168" s="62"/>
      <c r="AY168" s="301"/>
      <c r="AZ168" s="62"/>
      <c r="BA168" s="62"/>
      <c r="BB168" s="62"/>
      <c r="BC168" s="62"/>
      <c r="BD168" s="62"/>
      <c r="BE168" s="62"/>
      <c r="BF168" s="62"/>
      <c r="BG168" s="62"/>
      <c r="BH168" s="62"/>
      <c r="BI168" s="62"/>
      <c r="BJ168" s="62"/>
      <c r="BK168" s="62"/>
      <c r="BL168" s="62"/>
      <c r="BM168" s="62"/>
      <c r="BO168" s="62"/>
      <c r="BP168" s="62"/>
      <c r="BQ168" s="62"/>
      <c r="BR168" s="62"/>
      <c r="BS168" s="62"/>
      <c r="BT168" s="62"/>
      <c r="BV168" s="40"/>
      <c r="BW168" s="40"/>
      <c r="BY168" s="40"/>
      <c r="BZ168" s="40"/>
    </row>
    <row r="169" spans="2:81" ht="13.5" customHeight="1" collapsed="1">
      <c r="AJ169" s="228"/>
      <c r="AK169" s="228"/>
      <c r="AL169" s="228"/>
      <c r="BV169" s="40"/>
      <c r="BW169" s="40"/>
      <c r="BY169" s="40"/>
      <c r="BZ169" s="40"/>
      <c r="CB169" s="16"/>
      <c r="CC169" s="16"/>
    </row>
    <row r="170" spans="2:81" s="6" customFormat="1" ht="13.5" customHeight="1" thickBot="1">
      <c r="B170" s="63" t="str">
        <f t="shared" ref="B170:R170" si="1292">+B59</f>
        <v>Adj. EBITDA</v>
      </c>
      <c r="C170" s="64">
        <f t="shared" si="1292"/>
        <v>8012.6480000000001</v>
      </c>
      <c r="D170" s="64">
        <f t="shared" si="1292"/>
        <v>9230.1180000000004</v>
      </c>
      <c r="E170" s="64">
        <f t="shared" si="1292"/>
        <v>8334.134</v>
      </c>
      <c r="F170" s="64">
        <f t="shared" si="1292"/>
        <v>10619.15</v>
      </c>
      <c r="G170" s="64">
        <f t="shared" si="1292"/>
        <v>10656.875</v>
      </c>
      <c r="H170" s="64">
        <f t="shared" si="1292"/>
        <v>11404.017</v>
      </c>
      <c r="I170" s="64">
        <f t="shared" si="1292"/>
        <v>12434</v>
      </c>
      <c r="J170" s="64">
        <f t="shared" si="1292"/>
        <v>8902.259</v>
      </c>
      <c r="K170" s="64">
        <f t="shared" si="1292"/>
        <v>9596.6450000000004</v>
      </c>
      <c r="L170" s="64">
        <f t="shared" si="1292"/>
        <v>8619.9140000000007</v>
      </c>
      <c r="M170" s="64">
        <f t="shared" si="1292"/>
        <v>9628.8719999999994</v>
      </c>
      <c r="N170" s="64">
        <f t="shared" si="1292"/>
        <v>9909.2999999999993</v>
      </c>
      <c r="O170" s="64">
        <f t="shared" si="1292"/>
        <v>11129.2</v>
      </c>
      <c r="P170" s="64">
        <f t="shared" si="1292"/>
        <v>5688.317</v>
      </c>
      <c r="Q170" s="64">
        <f t="shared" si="1292"/>
        <v>5460.4430000000002</v>
      </c>
      <c r="R170" s="64">
        <f t="shared" si="1292"/>
        <v>4362.0910000000003</v>
      </c>
      <c r="S170"/>
      <c r="T170" s="65">
        <f t="shared" ref="T170:AI170" si="1293">+T59</f>
        <v>0</v>
      </c>
      <c r="U170" s="65">
        <f t="shared" si="1293"/>
        <v>0</v>
      </c>
      <c r="V170" s="65">
        <f t="shared" si="1293"/>
        <v>0</v>
      </c>
      <c r="W170" s="65">
        <f t="shared" si="1293"/>
        <v>8334.134</v>
      </c>
      <c r="X170" s="65">
        <f t="shared" si="1293"/>
        <v>2421.768</v>
      </c>
      <c r="Y170" s="65">
        <f t="shared" si="1293"/>
        <v>2670.527</v>
      </c>
      <c r="Z170" s="65">
        <f t="shared" si="1293"/>
        <v>2801.6769999999997</v>
      </c>
      <c r="AA170" s="65">
        <f t="shared" si="1293"/>
        <v>2725.1779999999999</v>
      </c>
      <c r="AB170" s="65">
        <f t="shared" si="1293"/>
        <v>2503.893</v>
      </c>
      <c r="AC170" s="65">
        <f t="shared" si="1293"/>
        <v>2583.75</v>
      </c>
      <c r="AD170" s="65">
        <f t="shared" si="1293"/>
        <v>2839.6379999999999</v>
      </c>
      <c r="AE170" s="65">
        <f t="shared" si="1293"/>
        <v>2729.5940000000001</v>
      </c>
      <c r="AF170" s="65">
        <f t="shared" si="1293"/>
        <v>2691.855</v>
      </c>
      <c r="AG170" s="65">
        <f t="shared" si="1293"/>
        <v>2810.8679999999999</v>
      </c>
      <c r="AH170" s="65">
        <f t="shared" si="1293"/>
        <v>2859.3860000000009</v>
      </c>
      <c r="AI170" s="65">
        <f t="shared" si="1293"/>
        <v>3041.907999999999</v>
      </c>
      <c r="AJ170" s="247"/>
      <c r="AK170" s="247"/>
      <c r="AL170" s="247"/>
      <c r="AM170" s="65">
        <f t="shared" ref="AM170:BL170" si="1294">+AM59</f>
        <v>2321.9</v>
      </c>
      <c r="AN170" s="65">
        <f t="shared" si="1294"/>
        <v>2898.4630000000002</v>
      </c>
      <c r="AO170" s="65">
        <f t="shared" si="1294"/>
        <v>3010.6</v>
      </c>
      <c r="AP170" s="65">
        <f t="shared" si="1294"/>
        <v>3203.6</v>
      </c>
      <c r="AQ170" s="65">
        <f t="shared" si="1294"/>
        <v>3321.3369999999995</v>
      </c>
      <c r="AR170" s="65">
        <f t="shared" si="1294"/>
        <v>2246</v>
      </c>
      <c r="AS170" s="65">
        <f t="shared" si="1294"/>
        <v>2329.9520000000002</v>
      </c>
      <c r="AT170" s="65">
        <f t="shared" si="1294"/>
        <v>2472</v>
      </c>
      <c r="AU170" s="65">
        <f t="shared" si="1294"/>
        <v>2548.6930000000002</v>
      </c>
      <c r="AV170" s="65">
        <f t="shared" si="1294"/>
        <v>2307.8000000000002</v>
      </c>
      <c r="AW170" s="65">
        <f t="shared" si="1294"/>
        <v>1736.1620000000003</v>
      </c>
      <c r="AX170" s="65">
        <f t="shared" si="1294"/>
        <v>2416.7310000000002</v>
      </c>
      <c r="AY170" s="65">
        <f t="shared" si="1294"/>
        <v>2183.3000000000002</v>
      </c>
      <c r="AZ170" s="65">
        <f t="shared" si="1294"/>
        <v>2728.7729999999997</v>
      </c>
      <c r="BA170" s="65">
        <f t="shared" si="1294"/>
        <v>2503.1589999999997</v>
      </c>
      <c r="BB170" s="65">
        <f t="shared" si="1294"/>
        <v>2714</v>
      </c>
      <c r="BC170" s="65">
        <f t="shared" si="1294"/>
        <v>2538</v>
      </c>
      <c r="BD170" s="65">
        <f t="shared" si="1294"/>
        <v>1945.3679999999995</v>
      </c>
      <c r="BE170" s="65">
        <f t="shared" si="1294"/>
        <v>2736.8690000000001</v>
      </c>
      <c r="BF170" s="65">
        <f t="shared" si="1294"/>
        <v>2825.1979999999999</v>
      </c>
      <c r="BG170" s="65">
        <f t="shared" si="1294"/>
        <v>2634.8</v>
      </c>
      <c r="BH170" s="65">
        <f t="shared" si="1294"/>
        <v>2932.3330000000005</v>
      </c>
      <c r="BI170" s="65">
        <f t="shared" si="1294"/>
        <v>2454.2159999999999</v>
      </c>
      <c r="BJ170" s="65">
        <f t="shared" si="1294"/>
        <v>1440</v>
      </c>
      <c r="BK170" s="65">
        <f t="shared" si="1294"/>
        <v>1362.4</v>
      </c>
      <c r="BL170" s="65">
        <f t="shared" si="1294"/>
        <v>203.82700000000023</v>
      </c>
      <c r="BM170" s="65">
        <f t="shared" ref="BM170" si="1295">+BM59</f>
        <v>1355.864</v>
      </c>
      <c r="BO170" s="65">
        <f t="shared" ref="BO170:BT170" si="1296">+BO59</f>
        <v>2684.8409999999994</v>
      </c>
      <c r="BP170" s="65">
        <f t="shared" si="1296"/>
        <v>2803.5459999999998</v>
      </c>
      <c r="BQ170" s="65">
        <f t="shared" si="1296"/>
        <v>1513</v>
      </c>
      <c r="BR170" s="65">
        <f t="shared" si="1296"/>
        <v>1413.9</v>
      </c>
      <c r="BS170" s="65">
        <f t="shared" si="1296"/>
        <v>-42.128999999999905</v>
      </c>
      <c r="BT170" s="65">
        <f t="shared" si="1296"/>
        <v>1219.1690000000001</v>
      </c>
      <c r="BV170" s="40"/>
      <c r="BW170" s="40"/>
      <c r="BY170" s="40"/>
      <c r="BZ170" s="40"/>
      <c r="CB170" s="16"/>
      <c r="CC170" s="16"/>
    </row>
    <row r="171" spans="2:81" s="16" customFormat="1" ht="13.5" customHeight="1" thickTop="1">
      <c r="B171" s="60" t="s">
        <v>265</v>
      </c>
      <c r="C171" s="61"/>
      <c r="D171" s="61">
        <f>+D170/C170-1</f>
        <v>0.15194352728336513</v>
      </c>
      <c r="E171" s="61">
        <f>+E170/D170-1</f>
        <v>-9.7071781747535613E-2</v>
      </c>
      <c r="F171" s="61">
        <f>+F170/E170-1</f>
        <v>0.27417557721054164</v>
      </c>
      <c r="G171" s="61">
        <f>+G170/E170-1</f>
        <v>0.27870214229816792</v>
      </c>
      <c r="H171" s="61">
        <f>+H170/G170-1</f>
        <v>7.01089202979297E-2</v>
      </c>
      <c r="I171" s="61">
        <f>+I170/H170-1</f>
        <v>9.0317560908581562E-2</v>
      </c>
      <c r="J171" s="61">
        <f>+J170/G170-1</f>
        <v>-0.16464639024104155</v>
      </c>
      <c r="K171" s="61">
        <f>+K170/J170-1</f>
        <v>7.8001100619516928E-2</v>
      </c>
      <c r="L171" s="61">
        <f>+L170/J170-1</f>
        <v>-3.1716107113935799E-2</v>
      </c>
      <c r="M171" s="61">
        <f>+M170/L170-1</f>
        <v>0.11704965966017733</v>
      </c>
      <c r="N171" s="61">
        <f>+N170/L170-1</f>
        <v>0.14958223481115929</v>
      </c>
      <c r="O171" s="61">
        <f>+O170/N170-1</f>
        <v>0.12310657665021774</v>
      </c>
      <c r="P171" s="18">
        <f>P170/N170-1</f>
        <v>-0.42596177328368301</v>
      </c>
      <c r="Q171" s="18">
        <f>Q170/P170-1</f>
        <v>-4.0060003688261347E-2</v>
      </c>
      <c r="R171" s="61"/>
      <c r="S171"/>
      <c r="T171" s="62"/>
      <c r="U171" s="62"/>
      <c r="V171" s="62"/>
      <c r="W171" s="62"/>
      <c r="X171" s="62"/>
      <c r="Y171" s="62"/>
      <c r="Z171" s="62"/>
      <c r="AA171" s="62"/>
      <c r="AB171" s="62">
        <f t="shared" ref="AB171" si="1297">AB170/X170-1</f>
        <v>3.3911175636972768E-2</v>
      </c>
      <c r="AC171" s="62">
        <f t="shared" ref="AC171" si="1298">AC170/Y170-1</f>
        <v>-3.2494335387734385E-2</v>
      </c>
      <c r="AD171" s="62">
        <f t="shared" ref="AD171" si="1299">AD170/Z170-1</f>
        <v>1.3549384886266447E-2</v>
      </c>
      <c r="AE171" s="62">
        <f t="shared" ref="AE171" si="1300">AE170/AA170-1</f>
        <v>1.6204446094898461E-3</v>
      </c>
      <c r="AF171" s="62">
        <f t="shared" ref="AF171" si="1301">AF170/AB170-1</f>
        <v>7.5067904259487062E-2</v>
      </c>
      <c r="AG171" s="62">
        <f t="shared" ref="AG171" si="1302">AG170/AC170-1</f>
        <v>8.7902467343976776E-2</v>
      </c>
      <c r="AH171" s="62">
        <f t="shared" ref="AH171" si="1303">AH170/AD170-1</f>
        <v>6.9544075688523499E-3</v>
      </c>
      <c r="AI171" s="62">
        <f t="shared" ref="AI171" si="1304">AI170/AE170-1</f>
        <v>0.1144177485735971</v>
      </c>
      <c r="AJ171" s="245"/>
      <c r="AK171" s="245"/>
      <c r="AL171" s="245"/>
      <c r="AM171" s="18">
        <f>AM170/AE170-1</f>
        <v>-0.14936067415154042</v>
      </c>
      <c r="AN171" s="18">
        <f>AN170/AF170-1</f>
        <v>7.675301975775084E-2</v>
      </c>
      <c r="AO171" s="18">
        <f>AO170/AG170-1</f>
        <v>7.1057054262242181E-2</v>
      </c>
      <c r="AP171" s="18">
        <f>AP170/AH170-1</f>
        <v>0.12038038935631601</v>
      </c>
      <c r="AQ171" s="18">
        <f>AQ170/AI170-1</f>
        <v>9.1859780111693157E-2</v>
      </c>
      <c r="AR171" s="18">
        <f>AR170/AF170-1</f>
        <v>-0.16563113540662477</v>
      </c>
      <c r="AS171" s="18">
        <f>AS170/AG170-1</f>
        <v>-0.17109163432790142</v>
      </c>
      <c r="AT171" s="18">
        <f>AT170/AH170-1</f>
        <v>-0.13547873564464563</v>
      </c>
      <c r="AU171" s="18">
        <f>AU170/AM170-1</f>
        <v>9.7675610491408049E-2</v>
      </c>
      <c r="AV171" s="18">
        <f>AV170/AH170-1</f>
        <v>-0.19290365134333054</v>
      </c>
      <c r="AW171" s="18">
        <f>AW170/AM170-1</f>
        <v>-0.25226667815151371</v>
      </c>
      <c r="AX171" s="18">
        <f>AX170/AR170-1</f>
        <v>7.6015583259127384E-2</v>
      </c>
      <c r="AY171" s="294">
        <f>AY170/AS170-1</f>
        <v>-6.2942069192841732E-2</v>
      </c>
      <c r="AZ171" s="18">
        <f>AZ170/AS170-1</f>
        <v>0.17117133743527746</v>
      </c>
      <c r="BA171" s="18">
        <f>BA170/AT170-1</f>
        <v>1.2604773462782992E-2</v>
      </c>
      <c r="BB171" s="18">
        <f>BB170/AT170-1</f>
        <v>9.7896440129449758E-2</v>
      </c>
      <c r="BC171" s="18">
        <f>BC170/AV170-1</f>
        <v>9.9748678395008117E-2</v>
      </c>
      <c r="BD171" s="18">
        <f>BD170/AW170-1</f>
        <v>0.12049912392967888</v>
      </c>
      <c r="BE171" s="18">
        <f>BE170/AY170-1</f>
        <v>0.25354692438052484</v>
      </c>
      <c r="BF171" s="18">
        <f>BF170/AZ170-1</f>
        <v>3.5336394782563563E-2</v>
      </c>
      <c r="BG171" s="18">
        <f>BG170/AY170-1</f>
        <v>0.2067970503366463</v>
      </c>
      <c r="BH171" s="18">
        <f>BH170/BO170-1</f>
        <v>9.2181250211837984E-2</v>
      </c>
      <c r="BI171" s="18">
        <f>BI170/BC170-1</f>
        <v>-3.3011820330969277E-2</v>
      </c>
      <c r="BJ171" s="18">
        <f>BJ170/BQ170-1</f>
        <v>-4.8248512888301343E-2</v>
      </c>
      <c r="BK171" s="18">
        <f>BK170/BR170-1</f>
        <v>-3.6424075252846744E-2</v>
      </c>
      <c r="BL171" s="18">
        <f>BL170/BS170-1</f>
        <v>-5.8381637351943008</v>
      </c>
      <c r="BM171" s="18">
        <f>BM170/BT170-1</f>
        <v>0.11212145321936484</v>
      </c>
      <c r="BO171" s="18">
        <f>BO170/AW170-1</f>
        <v>0.54642308724646615</v>
      </c>
      <c r="BP171" s="18">
        <f>BP170/AY170-1</f>
        <v>0.28408647460266545</v>
      </c>
      <c r="BQ171" s="18">
        <f>BQ170/BA170-1</f>
        <v>-0.39556376562575524</v>
      </c>
      <c r="BR171" s="18">
        <f>BR170/BC170-1</f>
        <v>-0.44290780141843966</v>
      </c>
      <c r="BS171" s="18">
        <f>BS170/BO170-1</f>
        <v>-1.0156914320065882</v>
      </c>
      <c r="BT171" s="18">
        <f>BT170/BP170-1</f>
        <v>-0.56513322770519903</v>
      </c>
      <c r="BV171" s="40"/>
      <c r="BW171" s="40"/>
      <c r="BY171" s="40"/>
      <c r="BZ171" s="40"/>
    </row>
    <row r="172" spans="2:81" s="16" customFormat="1" ht="13.5" customHeight="1">
      <c r="B172" s="60" t="s">
        <v>266</v>
      </c>
      <c r="C172" s="61">
        <f t="shared" ref="C172:X172" si="1305">C170/C164</f>
        <v>0.37155123356904435</v>
      </c>
      <c r="D172" s="61">
        <f t="shared" si="1305"/>
        <v>0.37824630453372188</v>
      </c>
      <c r="E172" s="61">
        <f t="shared" si="1305"/>
        <v>0.34891611875701284</v>
      </c>
      <c r="F172" s="61">
        <f t="shared" ref="F172:J172" si="1306">F170/F164</f>
        <v>0.43196579858726925</v>
      </c>
      <c r="G172" s="61">
        <f t="shared" si="1306"/>
        <v>0.4403090404972142</v>
      </c>
      <c r="H172" s="61">
        <f t="shared" si="1306"/>
        <v>0.44029829972292983</v>
      </c>
      <c r="I172" s="61">
        <f t="shared" si="1306"/>
        <v>0.45178402732359568</v>
      </c>
      <c r="J172" s="61">
        <f t="shared" si="1306"/>
        <v>0.44523832911347838</v>
      </c>
      <c r="K172" s="61">
        <f t="shared" ref="K172:L172" si="1307">K170/K164</f>
        <v>0.44171785212329984</v>
      </c>
      <c r="L172" s="61">
        <f t="shared" si="1307"/>
        <v>0.43055911305935785</v>
      </c>
      <c r="M172" s="61">
        <f t="shared" ref="M172:O172" si="1308">M170/M164</f>
        <v>0.43763086434403647</v>
      </c>
      <c r="N172" s="61">
        <f t="shared" ref="N172" si="1309">N170/N164</f>
        <v>0.44399835363996382</v>
      </c>
      <c r="O172" s="61">
        <f t="shared" si="1308"/>
        <v>0.49829374732506054</v>
      </c>
      <c r="P172" s="61">
        <f t="shared" ref="P172:Q172" si="1310">P170/P164</f>
        <v>0.45354442598014116</v>
      </c>
      <c r="Q172" s="61">
        <f t="shared" si="1310"/>
        <v>0.46440248283785074</v>
      </c>
      <c r="R172" s="61">
        <f t="shared" ref="R172" si="1311">R170/R164</f>
        <v>0.46067261233835483</v>
      </c>
      <c r="S172"/>
      <c r="T172" s="61">
        <f t="shared" ref="T172" si="1312">T170/T164</f>
        <v>0</v>
      </c>
      <c r="U172" s="61">
        <f>U170/U164</f>
        <v>0</v>
      </c>
      <c r="V172" s="61">
        <f>V170/V164</f>
        <v>0</v>
      </c>
      <c r="W172" s="61">
        <f>W170/W164</f>
        <v>1.3298453245933652</v>
      </c>
      <c r="X172" s="61">
        <f t="shared" si="1305"/>
        <v>0.40705834854625739</v>
      </c>
      <c r="Y172" s="61">
        <f t="shared" ref="Y172:AD172" si="1313">Y170/Y164</f>
        <v>0.43397700928267524</v>
      </c>
      <c r="Z172" s="61">
        <f t="shared" si="1313"/>
        <v>0.45091943770526677</v>
      </c>
      <c r="AA172" s="61">
        <f t="shared" si="1313"/>
        <v>0.43484521399130388</v>
      </c>
      <c r="AB172" s="61">
        <f t="shared" si="1313"/>
        <v>0.41478640900217739</v>
      </c>
      <c r="AC172" s="61">
        <f>AC170/AC164</f>
        <v>0.44605755044442613</v>
      </c>
      <c r="AD172" s="61">
        <f t="shared" si="1313"/>
        <v>0.46462653254264757</v>
      </c>
      <c r="AE172" s="61">
        <f t="shared" ref="AE172:AF172" si="1314">AE170/AE164</f>
        <v>0.43586219979318225</v>
      </c>
      <c r="AF172" s="61">
        <f t="shared" si="1314"/>
        <v>0.44390609594066244</v>
      </c>
      <c r="AG172" s="61">
        <f>AG170/AG164</f>
        <v>0.43988104031508912</v>
      </c>
      <c r="AH172" s="61">
        <f t="shared" ref="AH172:AR172" si="1315">AH170/AH164</f>
        <v>0.43701699062030475</v>
      </c>
      <c r="AI172" s="61">
        <f t="shared" si="1315"/>
        <v>0.44062538249887906</v>
      </c>
      <c r="AJ172" s="248"/>
      <c r="AK172" s="248"/>
      <c r="AL172" s="248"/>
      <c r="AM172" s="61">
        <f t="shared" ref="AM172:AN172" si="1316">AM170/AM164</f>
        <v>0.43510076426998023</v>
      </c>
      <c r="AN172" s="61">
        <f t="shared" si="1316"/>
        <v>0.44798840053039046</v>
      </c>
      <c r="AO172" s="61">
        <f>AO170/AO164</f>
        <v>0.44905796421587063</v>
      </c>
      <c r="AP172" s="61">
        <f t="shared" ref="AP172:AQ172" si="1317">AP170/AP164</f>
        <v>0.44124789024392591</v>
      </c>
      <c r="AQ172" s="61">
        <f t="shared" si="1317"/>
        <v>0.46862069617468771</v>
      </c>
      <c r="AR172" s="61">
        <f t="shared" si="1315"/>
        <v>0.45065200074640488</v>
      </c>
      <c r="AS172" s="61">
        <f>AS170/AS164</f>
        <v>0.44827415703963658</v>
      </c>
      <c r="AT172" s="61">
        <f t="shared" ref="AT172:AX172" si="1318">AT170/AT164</f>
        <v>0.43300052548607459</v>
      </c>
      <c r="AU172" s="61">
        <f t="shared" si="1318"/>
        <v>0.43679400171379612</v>
      </c>
      <c r="AV172" s="61">
        <f t="shared" ref="AV172:AW172" si="1319">AV170/AV164</f>
        <v>0.42996745341258491</v>
      </c>
      <c r="AW172" s="61">
        <f t="shared" si="1319"/>
        <v>0.38828134889236088</v>
      </c>
      <c r="AX172" s="61">
        <f t="shared" si="1318"/>
        <v>0.44931373956163517</v>
      </c>
      <c r="AY172" s="302">
        <f t="shared" ref="AY172" si="1320">AY170/AY164</f>
        <v>0.43690221858998635</v>
      </c>
      <c r="AZ172" s="61">
        <f>AZ170/AZ164</f>
        <v>0.45521080399017366</v>
      </c>
      <c r="BA172" s="61">
        <f>BA170/BA164</f>
        <v>0.44761942569944807</v>
      </c>
      <c r="BB172" s="61">
        <f t="shared" ref="BB172" si="1321">BB170/BB164</f>
        <v>0.45158069883527452</v>
      </c>
      <c r="BC172" s="61">
        <f t="shared" ref="BC172:BE172" si="1322">BC170/BC164</f>
        <v>0.44559954646463812</v>
      </c>
      <c r="BD172" s="61">
        <f t="shared" si="1322"/>
        <v>0.39433161779163356</v>
      </c>
      <c r="BE172" s="61">
        <f t="shared" si="1322"/>
        <v>0.48336778472378727</v>
      </c>
      <c r="BF172" s="61">
        <f>BF170/BF164</f>
        <v>0.49084657020455663</v>
      </c>
      <c r="BG172" s="61">
        <f t="shared" ref="BG172:BI172" si="1323">BG170/BG164</f>
        <v>0.49511025072519899</v>
      </c>
      <c r="BH172" s="61">
        <f t="shared" si="1323"/>
        <v>0.52408722308924716</v>
      </c>
      <c r="BI172" s="61">
        <f t="shared" si="1323"/>
        <v>0.48226875096902139</v>
      </c>
      <c r="BJ172" s="61">
        <f>BJ170/BJ164</f>
        <v>0.48543378396645925</v>
      </c>
      <c r="BK172" s="61">
        <f t="shared" ref="BK172:BM172" si="1324">BK170/BK164</f>
        <v>0.46649865775488963</v>
      </c>
      <c r="BL172" s="61">
        <f t="shared" si="1324"/>
        <v>0.2605813595226808</v>
      </c>
      <c r="BM172" s="61">
        <f t="shared" si="1324"/>
        <v>0.48426118296586868</v>
      </c>
      <c r="BO172" s="61">
        <f t="shared" ref="BO172:BP172" si="1325">BO170/BO164</f>
        <v>0.44500800730353574</v>
      </c>
      <c r="BP172" s="61">
        <f t="shared" si="1325"/>
        <v>0.48850409380100479</v>
      </c>
      <c r="BQ172" s="61">
        <f t="shared" ref="BQ172:BT172" si="1326">BQ170/BQ164</f>
        <v>0.45577286184388893</v>
      </c>
      <c r="BR172" s="61">
        <f t="shared" si="1326"/>
        <v>0.46130535811116358</v>
      </c>
      <c r="BS172" s="61">
        <f t="shared" si="1326"/>
        <v>-0.10072900552552215</v>
      </c>
      <c r="BT172" s="61">
        <f t="shared" si="1326"/>
        <v>0.42158689036145292</v>
      </c>
      <c r="BV172" s="40"/>
      <c r="BW172" s="40"/>
      <c r="BY172" s="40"/>
      <c r="BZ172" s="40"/>
    </row>
    <row r="173" spans="2:81" ht="13.5" customHeight="1">
      <c r="AJ173" s="228"/>
      <c r="AK173" s="228"/>
      <c r="AL173" s="228"/>
      <c r="BV173" s="40"/>
      <c r="BW173" s="40"/>
      <c r="BY173" s="40"/>
      <c r="BZ173" s="40"/>
      <c r="CB173" s="16"/>
      <c r="CC173" s="16"/>
    </row>
    <row r="174" spans="2:81" s="6" customFormat="1" ht="13.5" customHeight="1">
      <c r="B174" s="6" t="str">
        <f t="shared" ref="B174:F183" si="1327">+B64</f>
        <v xml:space="preserve">Adjusted EBITDA </v>
      </c>
      <c r="C174" s="35">
        <f t="shared" si="1327"/>
        <v>8012.6480000000001</v>
      </c>
      <c r="D174" s="35">
        <f t="shared" si="1327"/>
        <v>9230.1180000000004</v>
      </c>
      <c r="E174" s="35">
        <f t="shared" si="1327"/>
        <v>8334.134</v>
      </c>
      <c r="F174" s="35">
        <f t="shared" si="1327"/>
        <v>10619.15</v>
      </c>
      <c r="G174" s="35">
        <f t="shared" ref="G174:H174" si="1328">+G64</f>
        <v>10656.875</v>
      </c>
      <c r="H174" s="35">
        <f t="shared" si="1328"/>
        <v>11404.017</v>
      </c>
      <c r="I174" s="35">
        <f t="shared" ref="I174" si="1329">+I64</f>
        <v>12434</v>
      </c>
      <c r="J174" s="35">
        <f t="shared" ref="J174:K174" si="1330">+J64</f>
        <v>8902.259</v>
      </c>
      <c r="K174" s="35">
        <f t="shared" si="1330"/>
        <v>9596.6450000000004</v>
      </c>
      <c r="L174" s="35">
        <f t="shared" ref="L174:M174" si="1331">+L64</f>
        <v>8619.9140000000007</v>
      </c>
      <c r="M174" s="35">
        <f t="shared" si="1331"/>
        <v>9628.8719999999994</v>
      </c>
      <c r="N174" s="35">
        <f t="shared" ref="N174" si="1332">+N64</f>
        <v>9909.2999999999993</v>
      </c>
      <c r="O174" s="35">
        <f t="shared" ref="O174:P174" si="1333">+O64</f>
        <v>11129.2</v>
      </c>
      <c r="P174" s="35">
        <f t="shared" si="1333"/>
        <v>5688.317</v>
      </c>
      <c r="Q174" s="35">
        <f t="shared" ref="Q174" si="1334">+Q64</f>
        <v>5460.4430000000002</v>
      </c>
      <c r="R174" s="35">
        <f t="shared" ref="R174" si="1335">+R64</f>
        <v>4362.0910000000003</v>
      </c>
      <c r="S174"/>
      <c r="T174" s="35">
        <f t="shared" ref="T174:AC189" si="1336">+T64</f>
        <v>0</v>
      </c>
      <c r="U174" s="35">
        <f t="shared" si="1336"/>
        <v>0</v>
      </c>
      <c r="V174" s="35">
        <f t="shared" si="1336"/>
        <v>0</v>
      </c>
      <c r="W174" s="35">
        <f t="shared" si="1336"/>
        <v>8334.134</v>
      </c>
      <c r="X174" s="35">
        <f t="shared" si="1336"/>
        <v>2421.768</v>
      </c>
      <c r="Y174" s="35">
        <f t="shared" si="1336"/>
        <v>2670.527</v>
      </c>
      <c r="Z174" s="35">
        <f t="shared" si="1336"/>
        <v>2801.6769999999997</v>
      </c>
      <c r="AA174" s="35">
        <f t="shared" si="1336"/>
        <v>2725.1779999999999</v>
      </c>
      <c r="AB174" s="35">
        <f t="shared" si="1336"/>
        <v>2503.893</v>
      </c>
      <c r="AC174" s="35">
        <f t="shared" si="1336"/>
        <v>2583.75</v>
      </c>
      <c r="AD174" s="35">
        <f t="shared" ref="AD174:AG174" si="1337">+AD64</f>
        <v>2839.6379999999999</v>
      </c>
      <c r="AE174" s="35">
        <f t="shared" si="1337"/>
        <v>2729.5940000000001</v>
      </c>
      <c r="AF174" s="35">
        <f t="shared" si="1337"/>
        <v>2691.855</v>
      </c>
      <c r="AG174" s="35">
        <f t="shared" si="1337"/>
        <v>2810.8679999999999</v>
      </c>
      <c r="AH174" s="35">
        <f t="shared" ref="AH174:AS174" si="1338">+AH64</f>
        <v>2859.3860000000009</v>
      </c>
      <c r="AI174" s="35">
        <f t="shared" si="1338"/>
        <v>3041.907999999999</v>
      </c>
      <c r="AJ174" s="249"/>
      <c r="AK174" s="249"/>
      <c r="AL174" s="249"/>
      <c r="AM174" s="35">
        <f t="shared" ref="AM174:AP174" si="1339">+AM64</f>
        <v>0</v>
      </c>
      <c r="AN174" s="35">
        <f t="shared" si="1339"/>
        <v>2898.4630000000002</v>
      </c>
      <c r="AO174" s="35">
        <f t="shared" si="1339"/>
        <v>3010.6</v>
      </c>
      <c r="AP174" s="35">
        <f t="shared" si="1339"/>
        <v>3203.6</v>
      </c>
      <c r="AQ174" s="35">
        <f t="shared" ref="AQ174" si="1340">+AQ64</f>
        <v>3321.3369999999995</v>
      </c>
      <c r="AR174" s="35">
        <f t="shared" si="1338"/>
        <v>2246</v>
      </c>
      <c r="AS174" s="35">
        <f t="shared" si="1338"/>
        <v>2329.9520000000002</v>
      </c>
      <c r="AT174" s="35">
        <f t="shared" ref="AT174:AZ174" si="1341">+AT64</f>
        <v>2472</v>
      </c>
      <c r="AU174" s="35">
        <f t="shared" si="1341"/>
        <v>2548.6930000000002</v>
      </c>
      <c r="AV174" s="35">
        <f t="shared" ref="AV174:AW174" si="1342">+AV64</f>
        <v>2307.8000000000002</v>
      </c>
      <c r="AW174" s="35">
        <f t="shared" si="1342"/>
        <v>1736.1620000000003</v>
      </c>
      <c r="AX174" s="35">
        <f t="shared" si="1341"/>
        <v>2416.7310000000002</v>
      </c>
      <c r="AY174" s="50">
        <f t="shared" ref="AY174" si="1343">+AY64</f>
        <v>2183.3000000000002</v>
      </c>
      <c r="AZ174" s="35">
        <f t="shared" si="1341"/>
        <v>2728.7729999999997</v>
      </c>
      <c r="BA174" s="35">
        <f t="shared" ref="BA174" si="1344">+BA64</f>
        <v>2503.1589999999997</v>
      </c>
      <c r="BB174" s="35">
        <f t="shared" ref="BB174" si="1345">+BB64</f>
        <v>2714</v>
      </c>
      <c r="BC174" s="35">
        <f t="shared" ref="BC174:BJ189" si="1346">+BC64</f>
        <v>2538</v>
      </c>
      <c r="BD174" s="35">
        <f t="shared" si="1346"/>
        <v>1945.3679999999995</v>
      </c>
      <c r="BE174" s="35">
        <f t="shared" si="1346"/>
        <v>2736.8690000000001</v>
      </c>
      <c r="BF174" s="35">
        <f t="shared" si="1346"/>
        <v>2825.1979999999999</v>
      </c>
      <c r="BG174" s="35">
        <f t="shared" si="1346"/>
        <v>2634.8</v>
      </c>
      <c r="BH174" s="35">
        <f t="shared" ref="BH174:BK174" si="1347">+BH64</f>
        <v>2932.3330000000005</v>
      </c>
      <c r="BI174" s="35">
        <f t="shared" si="1347"/>
        <v>2454.2159999999999</v>
      </c>
      <c r="BJ174" s="35">
        <f t="shared" si="1347"/>
        <v>1440</v>
      </c>
      <c r="BK174" s="35">
        <f t="shared" si="1347"/>
        <v>1362.4</v>
      </c>
      <c r="BL174" s="35">
        <f t="shared" ref="BL174:BM174" si="1348">+BL64</f>
        <v>203.82700000000023</v>
      </c>
      <c r="BM174" s="35">
        <f t="shared" si="1348"/>
        <v>1355.864</v>
      </c>
      <c r="BO174" s="35">
        <f t="shared" ref="BO174:BP174" si="1349">+BO64</f>
        <v>2684.8409999999994</v>
      </c>
      <c r="BP174" s="35">
        <f t="shared" si="1349"/>
        <v>2803.5459999999998</v>
      </c>
      <c r="BQ174" s="35">
        <f t="shared" ref="BQ174:BT174" si="1350">+BQ64</f>
        <v>1513</v>
      </c>
      <c r="BR174" s="35">
        <f t="shared" si="1350"/>
        <v>1413.9</v>
      </c>
      <c r="BS174" s="35">
        <f t="shared" si="1350"/>
        <v>-42.128999999999905</v>
      </c>
      <c r="BT174" s="35">
        <f t="shared" si="1350"/>
        <v>1219.1690000000001</v>
      </c>
      <c r="BV174" s="40"/>
      <c r="BW174" s="40"/>
      <c r="BY174" s="40"/>
      <c r="BZ174" s="40"/>
      <c r="CB174" s="16"/>
      <c r="CC174" s="16"/>
    </row>
    <row r="175" spans="2:81" ht="13.5" customHeight="1">
      <c r="B175" s="10" t="str">
        <f t="shared" si="1327"/>
        <v>Working Capital</v>
      </c>
      <c r="C175" s="66">
        <f t="shared" si="1327"/>
        <v>8675.8719999999994</v>
      </c>
      <c r="D175" s="67">
        <f t="shared" si="1327"/>
        <v>7764.1190000000006</v>
      </c>
      <c r="E175" s="67">
        <f t="shared" si="1327"/>
        <v>8314.2620000000006</v>
      </c>
      <c r="F175" s="67">
        <f t="shared" si="1327"/>
        <v>11461.990999999998</v>
      </c>
      <c r="G175" s="67">
        <f t="shared" ref="G175:H175" si="1351">+G65</f>
        <v>9114.0919999999987</v>
      </c>
      <c r="H175" s="67">
        <f t="shared" si="1351"/>
        <v>10862.392</v>
      </c>
      <c r="I175" s="67">
        <f t="shared" ref="I175" si="1352">+I65</f>
        <v>11290.374000000002</v>
      </c>
      <c r="J175" s="67">
        <f t="shared" ref="J175:K175" si="1353">+J65</f>
        <v>10811.314</v>
      </c>
      <c r="K175" s="67">
        <f t="shared" si="1353"/>
        <v>11290.374000000002</v>
      </c>
      <c r="L175" s="67">
        <f t="shared" ref="L175:M175" si="1354">+L65</f>
        <v>11432.122000000001</v>
      </c>
      <c r="M175" s="67">
        <f t="shared" si="1354"/>
        <v>10656.725999999999</v>
      </c>
      <c r="N175" s="67">
        <f t="shared" ref="N175" si="1355">+N65</f>
        <v>10835.935999999998</v>
      </c>
      <c r="O175" s="67">
        <f t="shared" ref="O175:P175" si="1356">+O65</f>
        <v>11699.727000000001</v>
      </c>
      <c r="P175" s="67">
        <f t="shared" si="1356"/>
        <v>11840.902000000002</v>
      </c>
      <c r="Q175" s="67">
        <f t="shared" ref="Q175" si="1357">+Q65</f>
        <v>5911.8359999999993</v>
      </c>
      <c r="R175" s="67">
        <f t="shared" ref="R175" si="1358">+R65</f>
        <v>4343.4719999999998</v>
      </c>
      <c r="T175" s="67">
        <f t="shared" ref="T175:AB175" si="1359">+T65</f>
        <v>1457.3890000000001</v>
      </c>
      <c r="U175" s="67">
        <f t="shared" si="1359"/>
        <v>2784.0109999999995</v>
      </c>
      <c r="V175" s="67">
        <f t="shared" si="1359"/>
        <v>2300.7589999999982</v>
      </c>
      <c r="W175" s="67">
        <f t="shared" si="1359"/>
        <v>1772.1030000000028</v>
      </c>
      <c r="X175" s="67">
        <f t="shared" si="1359"/>
        <v>2356.933</v>
      </c>
      <c r="Y175" s="67">
        <f t="shared" si="1359"/>
        <v>2337.878999999999</v>
      </c>
      <c r="Z175" s="67">
        <f t="shared" si="1359"/>
        <v>3496.8400000000029</v>
      </c>
      <c r="AA175" s="67">
        <f t="shared" si="1359"/>
        <v>3270.3389999999954</v>
      </c>
      <c r="AB175" s="67">
        <f t="shared" si="1359"/>
        <v>2433.5850000000005</v>
      </c>
      <c r="AC175" s="67">
        <f t="shared" si="1336"/>
        <v>3347.3959999999993</v>
      </c>
      <c r="AD175" s="67">
        <f t="shared" ref="AD175:AG175" si="1360">+AD65</f>
        <v>1964.1309999999989</v>
      </c>
      <c r="AE175" s="67">
        <f t="shared" si="1360"/>
        <v>1368.9799999999996</v>
      </c>
      <c r="AF175" s="67">
        <f t="shared" si="1360"/>
        <v>2097.1490000000003</v>
      </c>
      <c r="AG175" s="67">
        <f t="shared" si="1360"/>
        <v>3314.223</v>
      </c>
      <c r="AH175" s="67">
        <f t="shared" ref="AH175:AS175" si="1361">+AH65</f>
        <v>3483.4199999999992</v>
      </c>
      <c r="AI175" s="67">
        <f t="shared" si="1361"/>
        <v>1967.5999999999995</v>
      </c>
      <c r="AJ175" s="250"/>
      <c r="AK175" s="250"/>
      <c r="AL175" s="250"/>
      <c r="AM175" s="67">
        <f t="shared" ref="AM175:AP175" si="1362">+AM65</f>
        <v>0</v>
      </c>
      <c r="AN175" s="67">
        <f t="shared" si="1362"/>
        <v>2862.9760000000001</v>
      </c>
      <c r="AO175" s="67">
        <f t="shared" si="1362"/>
        <v>3028.1639999999993</v>
      </c>
      <c r="AP175" s="67">
        <f t="shared" si="1362"/>
        <v>3039.8259999999987</v>
      </c>
      <c r="AQ175" s="67">
        <f t="shared" ref="AQ175" si="1363">+AQ65</f>
        <v>2359.4080000000031</v>
      </c>
      <c r="AR175" s="67">
        <f t="shared" si="1361"/>
        <v>2862.9760000000001</v>
      </c>
      <c r="AS175" s="67">
        <f t="shared" si="1361"/>
        <v>3028.1639999999993</v>
      </c>
      <c r="AT175" s="67">
        <f t="shared" ref="AT175:AZ175" si="1364">+AT65</f>
        <v>3039.8259999999987</v>
      </c>
      <c r="AU175" s="67">
        <f t="shared" si="1364"/>
        <v>2359.4080000000035</v>
      </c>
      <c r="AV175" s="67">
        <f t="shared" ref="AV175:AW175" si="1365">+AV65</f>
        <v>3039.8259999999987</v>
      </c>
      <c r="AW175" s="67">
        <f t="shared" si="1365"/>
        <v>2501.1560000000031</v>
      </c>
      <c r="AX175" s="67">
        <f t="shared" si="1364"/>
        <v>2190.5509999999995</v>
      </c>
      <c r="AY175" s="303">
        <f t="shared" ref="AY175" si="1366">+AY65</f>
        <v>2190.5509999999995</v>
      </c>
      <c r="AZ175" s="67">
        <f t="shared" si="1364"/>
        <v>2449.3770000000004</v>
      </c>
      <c r="BA175" s="67">
        <f t="shared" ref="BA175" si="1367">+BA65</f>
        <v>2449.3770000000004</v>
      </c>
      <c r="BB175" s="67">
        <f t="shared" ref="BB175" si="1368">+BB65</f>
        <v>3328.8450000000012</v>
      </c>
      <c r="BC175" s="67">
        <f t="shared" ref="BC175:BF175" si="1369">+BC65</f>
        <v>3328.8450000000012</v>
      </c>
      <c r="BD175" s="67">
        <f t="shared" si="1369"/>
        <v>2687.9529999999977</v>
      </c>
      <c r="BE175" s="67">
        <f t="shared" si="1369"/>
        <v>2868.0439999999999</v>
      </c>
      <c r="BF175" s="67">
        <f t="shared" si="1369"/>
        <v>3194.1389999999992</v>
      </c>
      <c r="BG175" s="67">
        <f t="shared" si="1346"/>
        <v>2815.2830000000013</v>
      </c>
      <c r="BH175" s="67">
        <f t="shared" si="1346"/>
        <v>2822.2610000000004</v>
      </c>
      <c r="BI175" s="67">
        <f t="shared" si="1346"/>
        <v>2490.529</v>
      </c>
      <c r="BJ175" s="67">
        <f t="shared" si="1346"/>
        <v>776.22200000000021</v>
      </c>
      <c r="BK175" s="67">
        <f t="shared" ref="BK175:BM175" si="1370">+BK65</f>
        <v>1401.3119999999999</v>
      </c>
      <c r="BL175" s="67">
        <f t="shared" si="1370"/>
        <v>1243.7729999999992</v>
      </c>
      <c r="BM175" s="67">
        <f t="shared" si="1370"/>
        <v>922.16499999999996</v>
      </c>
      <c r="BO175" s="67">
        <f>+BO65</f>
        <v>2867.1629999999968</v>
      </c>
      <c r="BP175" s="67">
        <f t="shared" ref="BP175:BQ175" si="1371">+BP65</f>
        <v>2868.0439999999999</v>
      </c>
      <c r="BQ175" s="67">
        <f t="shared" si="1371"/>
        <v>3194.1390000000001</v>
      </c>
      <c r="BR175" s="67">
        <f t="shared" ref="BR175" si="1372">+BR65</f>
        <v>2815.2830000000004</v>
      </c>
      <c r="BS175" s="67">
        <f>+BS65</f>
        <v>2963.4360000000024</v>
      </c>
      <c r="BT175" s="67">
        <f t="shared" ref="BT175" si="1373">+BT65</f>
        <v>2490.529</v>
      </c>
      <c r="BV175" s="40"/>
      <c r="BW175" s="40"/>
      <c r="BY175" s="40"/>
      <c r="BZ175" s="40"/>
      <c r="CB175" s="16"/>
      <c r="CC175" s="16"/>
    </row>
    <row r="176" spans="2:81" ht="13.5" customHeight="1">
      <c r="B176" s="10" t="str">
        <f t="shared" si="1327"/>
        <v>Taxes, net</v>
      </c>
      <c r="C176" s="66">
        <f t="shared" si="1327"/>
        <v>-744.90300000000002</v>
      </c>
      <c r="D176" s="67">
        <f t="shared" si="1327"/>
        <v>-730.61400000000003</v>
      </c>
      <c r="E176" s="67">
        <f t="shared" si="1327"/>
        <v>-1107.816</v>
      </c>
      <c r="F176" s="67">
        <f t="shared" si="1327"/>
        <v>-1233.788</v>
      </c>
      <c r="G176" s="67">
        <f t="shared" ref="G176:H176" si="1374">+G66</f>
        <v>-576.98599999999999</v>
      </c>
      <c r="H176" s="67">
        <f t="shared" si="1374"/>
        <v>-576.24</v>
      </c>
      <c r="I176" s="67">
        <f t="shared" ref="I176" si="1375">+I66</f>
        <v>-875.46400000000006</v>
      </c>
      <c r="J176" s="67">
        <f t="shared" ref="J176:K176" si="1376">+J66</f>
        <v>-576.24</v>
      </c>
      <c r="K176" s="67">
        <f t="shared" si="1376"/>
        <v>-875.46400000000006</v>
      </c>
      <c r="L176" s="67">
        <f t="shared" ref="L176:M176" si="1377">+L66</f>
        <v>-908.21900000000005</v>
      </c>
      <c r="M176" s="67">
        <f t="shared" si="1377"/>
        <v>-675.48099999999999</v>
      </c>
      <c r="N176" s="67">
        <f t="shared" ref="N176" si="1378">+N66</f>
        <v>-676.56</v>
      </c>
      <c r="O176" s="67">
        <f t="shared" ref="O176:P176" si="1379">+O66</f>
        <v>-639.60699999999997</v>
      </c>
      <c r="P176" s="67">
        <f t="shared" si="1379"/>
        <v>-693.65099999999995</v>
      </c>
      <c r="Q176" s="67">
        <f t="shared" ref="Q176" si="1380">+Q66</f>
        <v>-662.74</v>
      </c>
      <c r="R176" s="67">
        <f t="shared" ref="R176" si="1381">+R66</f>
        <v>-722.99099999999999</v>
      </c>
      <c r="T176" s="67">
        <f t="shared" ref="T176:AB176" si="1382">+T66</f>
        <v>-394.52699999999999</v>
      </c>
      <c r="U176" s="67">
        <f t="shared" si="1382"/>
        <v>-147.06400000000002</v>
      </c>
      <c r="V176" s="67">
        <f t="shared" si="1382"/>
        <v>-339.90099999999995</v>
      </c>
      <c r="W176" s="67">
        <f t="shared" si="1382"/>
        <v>-226.32399999999996</v>
      </c>
      <c r="X176" s="67">
        <f t="shared" si="1382"/>
        <v>-289.27800000000002</v>
      </c>
      <c r="Y176" s="67">
        <f t="shared" si="1382"/>
        <v>-166.49899999999997</v>
      </c>
      <c r="Z176" s="67">
        <f t="shared" si="1382"/>
        <v>-352.12299999999999</v>
      </c>
      <c r="AA176" s="67">
        <f t="shared" si="1382"/>
        <v>-425.88799999999992</v>
      </c>
      <c r="AB176" s="67">
        <f t="shared" si="1382"/>
        <v>-407.22300000000001</v>
      </c>
      <c r="AC176" s="67">
        <f t="shared" si="1336"/>
        <v>-339.54500000000002</v>
      </c>
      <c r="AD176" s="67">
        <f t="shared" ref="AD176:AG176" si="1383">+AD66</f>
        <v>-63.057000000000016</v>
      </c>
      <c r="AE176" s="67">
        <f t="shared" si="1383"/>
        <v>232.83900000000006</v>
      </c>
      <c r="AF176" s="67">
        <f t="shared" si="1383"/>
        <v>-191.94399999999999</v>
      </c>
      <c r="AG176" s="67">
        <f t="shared" si="1383"/>
        <v>-129.73699999999999</v>
      </c>
      <c r="AH176" s="67">
        <f t="shared" ref="AH176:AS176" si="1384">+AH66</f>
        <v>-133.40700000000001</v>
      </c>
      <c r="AI176" s="67">
        <f t="shared" si="1384"/>
        <v>-121.15200000000004</v>
      </c>
      <c r="AJ176" s="250"/>
      <c r="AK176" s="250"/>
      <c r="AL176" s="250"/>
      <c r="AM176" s="67">
        <f t="shared" ref="AM176:AP176" si="1385">+AM66</f>
        <v>0</v>
      </c>
      <c r="AN176" s="67">
        <f t="shared" si="1385"/>
        <v>-223.88499999999999</v>
      </c>
      <c r="AO176" s="67">
        <f t="shared" si="1385"/>
        <v>-159.596</v>
      </c>
      <c r="AP176" s="67">
        <f t="shared" si="1385"/>
        <v>-308.34400000000005</v>
      </c>
      <c r="AQ176" s="67">
        <f t="shared" ref="AQ176" si="1386">+AQ66</f>
        <v>-183.63900000000001</v>
      </c>
      <c r="AR176" s="67">
        <f t="shared" si="1384"/>
        <v>-223.88499999999999</v>
      </c>
      <c r="AS176" s="67">
        <f t="shared" si="1384"/>
        <v>-159.596</v>
      </c>
      <c r="AT176" s="67">
        <f t="shared" ref="AT176:AZ176" si="1387">+AT66</f>
        <v>-308.34400000000005</v>
      </c>
      <c r="AU176" s="67">
        <f t="shared" si="1387"/>
        <v>-183.63900000000001</v>
      </c>
      <c r="AV176" s="67">
        <f t="shared" ref="AV176:AW176" si="1388">+AV66</f>
        <v>-308.34400000000005</v>
      </c>
      <c r="AW176" s="67">
        <f t="shared" si="1388"/>
        <v>-216.39400000000001</v>
      </c>
      <c r="AX176" s="67">
        <f t="shared" si="1387"/>
        <v>-211.65600000000001</v>
      </c>
      <c r="AY176" s="303">
        <f t="shared" ref="AY176" si="1389">+AY66</f>
        <v>-211.65600000000001</v>
      </c>
      <c r="AZ176" s="67">
        <f t="shared" si="1387"/>
        <v>-137.392</v>
      </c>
      <c r="BA176" s="67">
        <f t="shared" ref="BA176" si="1390">+BA66</f>
        <v>-137.392</v>
      </c>
      <c r="BB176" s="67">
        <f t="shared" ref="BB176" si="1391">+BB66</f>
        <v>-165.78099999999995</v>
      </c>
      <c r="BC176" s="67">
        <f t="shared" ref="BC176:BF176" si="1392">+BC66</f>
        <v>-165.78099999999995</v>
      </c>
      <c r="BD176" s="67">
        <f t="shared" si="1392"/>
        <v>-160.65199999999999</v>
      </c>
      <c r="BE176" s="67">
        <f t="shared" si="1392"/>
        <v>-204.76499999999999</v>
      </c>
      <c r="BF176" s="67">
        <f t="shared" si="1392"/>
        <v>-125.74799999999999</v>
      </c>
      <c r="BG176" s="67">
        <f t="shared" si="1346"/>
        <v>-74.876000000000033</v>
      </c>
      <c r="BH176" s="67">
        <f t="shared" si="1346"/>
        <v>-234.21799999999996</v>
      </c>
      <c r="BI176" s="67">
        <f t="shared" si="1346"/>
        <v>-284.53199999999998</v>
      </c>
      <c r="BJ176" s="67">
        <f t="shared" si="1346"/>
        <v>-163.45300000000003</v>
      </c>
      <c r="BK176" s="67">
        <f t="shared" ref="BK176:BM176" si="1393">+BK66</f>
        <v>-88.977999999999952</v>
      </c>
      <c r="BL176" s="67">
        <f t="shared" si="1393"/>
        <v>-125.77700000000004</v>
      </c>
      <c r="BM176" s="67">
        <f t="shared" si="1393"/>
        <v>-344.78300000000002</v>
      </c>
      <c r="BO176" s="67">
        <f t="shared" ref="BO176:BP176" si="1394">+BO66</f>
        <v>-161.73099999999999</v>
      </c>
      <c r="BP176" s="67">
        <f t="shared" si="1394"/>
        <v>-204.76499999999999</v>
      </c>
      <c r="BQ176" s="67">
        <f t="shared" ref="BQ176:BT176" si="1395">+BQ66</f>
        <v>-125.74799999999999</v>
      </c>
      <c r="BR176" s="67">
        <f t="shared" si="1395"/>
        <v>-74.876000000000033</v>
      </c>
      <c r="BS176" s="67">
        <f t="shared" si="1395"/>
        <v>-288.26199999999989</v>
      </c>
      <c r="BT176" s="67">
        <f t="shared" si="1395"/>
        <v>-284.75200000000001</v>
      </c>
      <c r="BV176" s="40"/>
      <c r="BW176" s="40"/>
      <c r="BY176" s="40"/>
      <c r="BZ176" s="40"/>
      <c r="CB176" s="16"/>
      <c r="CC176" s="16"/>
    </row>
    <row r="177" spans="2:81" ht="13.5" customHeight="1">
      <c r="B177" s="10" t="str">
        <f t="shared" si="1327"/>
        <v>Cash interest paid</v>
      </c>
      <c r="C177" s="66">
        <f t="shared" si="1327"/>
        <v>-1153.8679999999999</v>
      </c>
      <c r="D177" s="67">
        <f t="shared" si="1327"/>
        <v>-1297.431</v>
      </c>
      <c r="E177" s="67">
        <f t="shared" si="1327"/>
        <v>-1102.2139999999999</v>
      </c>
      <c r="F177" s="67">
        <f t="shared" si="1327"/>
        <v>-1689.5889999999999</v>
      </c>
      <c r="G177" s="67">
        <f t="shared" ref="G177:H177" si="1396">+G67</f>
        <v>-1400.405</v>
      </c>
      <c r="H177" s="67">
        <f t="shared" si="1396"/>
        <v>-1398.06</v>
      </c>
      <c r="I177" s="67">
        <f t="shared" ref="I177" si="1397">+I67</f>
        <v>-1590.874</v>
      </c>
      <c r="J177" s="67">
        <f t="shared" ref="J177:K177" si="1398">+J67</f>
        <v>-1398.06</v>
      </c>
      <c r="K177" s="67">
        <f t="shared" si="1398"/>
        <v>-1590.874</v>
      </c>
      <c r="L177" s="67">
        <f t="shared" ref="L177:M177" si="1399">+L67</f>
        <v>-1589.069</v>
      </c>
      <c r="M177" s="67">
        <f t="shared" si="1399"/>
        <v>-2303.0030000000002</v>
      </c>
      <c r="N177" s="67">
        <f t="shared" ref="N177" si="1400">+N67</f>
        <v>-2296.3389999999999</v>
      </c>
      <c r="O177" s="67">
        <f t="shared" ref="O177:P177" si="1401">+O67</f>
        <v>-2157.1909999999998</v>
      </c>
      <c r="P177" s="67">
        <f t="shared" si="1401"/>
        <v>-2157.1909999999998</v>
      </c>
      <c r="Q177" s="67">
        <f t="shared" ref="Q177" si="1402">+Q67</f>
        <v>-1543.5119999999999</v>
      </c>
      <c r="R177" s="67">
        <f t="shared" ref="R177" si="1403">+R67</f>
        <v>-1207.1669999999999</v>
      </c>
      <c r="T177" s="67">
        <f t="shared" ref="T177:AB177" si="1404">+T67</f>
        <v>-348.10700000000003</v>
      </c>
      <c r="U177" s="67">
        <f t="shared" si="1404"/>
        <v>-264.79299999999995</v>
      </c>
      <c r="V177" s="67">
        <f t="shared" si="1404"/>
        <v>1570.385</v>
      </c>
      <c r="W177" s="67">
        <f t="shared" si="1404"/>
        <v>-2059.6990000000001</v>
      </c>
      <c r="X177" s="67">
        <f t="shared" si="1404"/>
        <v>-297.38</v>
      </c>
      <c r="Y177" s="67">
        <f t="shared" si="1404"/>
        <v>-43.197999999999979</v>
      </c>
      <c r="Z177" s="67">
        <f t="shared" si="1404"/>
        <v>-974.89400000000001</v>
      </c>
      <c r="AA177" s="67">
        <f t="shared" si="1404"/>
        <v>-374.11699999999996</v>
      </c>
      <c r="AB177" s="67">
        <f t="shared" si="1404"/>
        <v>-506.67599999999999</v>
      </c>
      <c r="AC177" s="67">
        <f t="shared" si="1336"/>
        <v>-771.39400000000001</v>
      </c>
      <c r="AD177" s="67">
        <f t="shared" ref="AD177:AG177" si="1405">+AD67</f>
        <v>94.890999999999849</v>
      </c>
      <c r="AE177" s="67">
        <f t="shared" si="1405"/>
        <v>-217.22599999999989</v>
      </c>
      <c r="AF177" s="67">
        <f t="shared" si="1405"/>
        <v>-486.56099999999998</v>
      </c>
      <c r="AG177" s="67">
        <f t="shared" si="1405"/>
        <v>-251.97499999999997</v>
      </c>
      <c r="AH177" s="67">
        <f t="shared" ref="AH177:AS177" si="1406">+AH67</f>
        <v>-431.5800000000001</v>
      </c>
      <c r="AI177" s="67">
        <f t="shared" si="1406"/>
        <v>-227.94400000000002</v>
      </c>
      <c r="AJ177" s="250"/>
      <c r="AK177" s="250"/>
      <c r="AL177" s="250"/>
      <c r="AM177" s="67">
        <f t="shared" ref="AM177:AP177" si="1407">+AM67</f>
        <v>0</v>
      </c>
      <c r="AN177" s="67">
        <f t="shared" si="1407"/>
        <v>-530.64400000000001</v>
      </c>
      <c r="AO177" s="67">
        <f t="shared" si="1407"/>
        <v>-252.90700000000004</v>
      </c>
      <c r="AP177" s="67">
        <f t="shared" si="1407"/>
        <v>-469.29200000000003</v>
      </c>
      <c r="AQ177" s="67">
        <f t="shared" ref="AQ177" si="1408">+AQ67</f>
        <v>-338.03099999999995</v>
      </c>
      <c r="AR177" s="67">
        <f t="shared" si="1406"/>
        <v>-530.64400000000001</v>
      </c>
      <c r="AS177" s="67">
        <f t="shared" si="1406"/>
        <v>-252.90700000000004</v>
      </c>
      <c r="AT177" s="67">
        <f t="shared" ref="AT177:AZ177" si="1409">+AT67</f>
        <v>-469.29200000000003</v>
      </c>
      <c r="AU177" s="67">
        <f t="shared" si="1409"/>
        <v>-338.03099999999995</v>
      </c>
      <c r="AV177" s="67">
        <f t="shared" ref="AV177:AW177" si="1410">+AV67</f>
        <v>-469.29200000000003</v>
      </c>
      <c r="AW177" s="67">
        <f t="shared" si="1410"/>
        <v>-336.22599999999989</v>
      </c>
      <c r="AX177" s="67">
        <f t="shared" si="1409"/>
        <v>-552.78399999999999</v>
      </c>
      <c r="AY177" s="303">
        <f t="shared" ref="AY177" si="1411">+AY67</f>
        <v>-552.78399999999999</v>
      </c>
      <c r="AZ177" s="67">
        <f t="shared" si="1409"/>
        <v>-663.09199999999998</v>
      </c>
      <c r="BA177" s="67">
        <f t="shared" ref="BA177" si="1412">+BA67</f>
        <v>-663.09199999999998</v>
      </c>
      <c r="BB177" s="67">
        <f t="shared" ref="BB177" si="1413">+BB67</f>
        <v>-703.46400000000006</v>
      </c>
      <c r="BC177" s="67">
        <f t="shared" ref="BC177:BF177" si="1414">+BC67</f>
        <v>-703.46400000000006</v>
      </c>
      <c r="BD177" s="67">
        <f t="shared" si="1414"/>
        <v>-383.6629999999999</v>
      </c>
      <c r="BE177" s="67">
        <f t="shared" si="1414"/>
        <v>-766.61099999999999</v>
      </c>
      <c r="BF177" s="67">
        <f t="shared" si="1414"/>
        <v>-469.31299999999999</v>
      </c>
      <c r="BG177" s="67">
        <f t="shared" si="1346"/>
        <v>-565.39299999999992</v>
      </c>
      <c r="BH177" s="67">
        <f t="shared" si="1346"/>
        <v>-355.8739999999998</v>
      </c>
      <c r="BI177" s="67">
        <f t="shared" si="1346"/>
        <v>-655.17600000000004</v>
      </c>
      <c r="BJ177" s="67">
        <f t="shared" si="1346"/>
        <v>-422.75699999999995</v>
      </c>
      <c r="BK177" s="67">
        <f t="shared" ref="BK177:BM177" si="1415">+BK67</f>
        <v>-345.27</v>
      </c>
      <c r="BL177" s="67">
        <f t="shared" si="1415"/>
        <v>-120.30899999999997</v>
      </c>
      <c r="BM177" s="67">
        <f t="shared" si="1415"/>
        <v>-318.83100000000002</v>
      </c>
      <c r="BO177" s="67">
        <f t="shared" ref="BO177:BP177" si="1416">+BO67</f>
        <v>-376.9989999999998</v>
      </c>
      <c r="BP177" s="67">
        <f t="shared" si="1416"/>
        <v>-766.61099999999999</v>
      </c>
      <c r="BQ177" s="67">
        <f t="shared" ref="BQ177:BT177" si="1417">+BQ67</f>
        <v>-469.31299999999999</v>
      </c>
      <c r="BR177" s="67">
        <f t="shared" si="1417"/>
        <v>-565.39300000000003</v>
      </c>
      <c r="BS177" s="67">
        <f t="shared" si="1417"/>
        <v>-355.87399999999968</v>
      </c>
      <c r="BT177" s="67">
        <f t="shared" si="1417"/>
        <v>-655.17600000000004</v>
      </c>
      <c r="BV177" s="40"/>
      <c r="BW177" s="40"/>
      <c r="BY177" s="40"/>
      <c r="BZ177" s="40"/>
      <c r="CB177" s="16"/>
      <c r="CC177" s="16"/>
    </row>
    <row r="178" spans="2:81" s="6" customFormat="1" ht="13.5" customHeight="1" thickBot="1">
      <c r="B178" s="63" t="str">
        <f t="shared" si="1327"/>
        <v xml:space="preserve">Net cash from operations </v>
      </c>
      <c r="C178" s="68">
        <f t="shared" si="1327"/>
        <v>14789.749</v>
      </c>
      <c r="D178" s="68">
        <f t="shared" si="1327"/>
        <v>14966.192000000001</v>
      </c>
      <c r="E178" s="68">
        <f t="shared" si="1327"/>
        <v>14438.366</v>
      </c>
      <c r="F178" s="68">
        <f t="shared" si="1327"/>
        <v>19157.763999999996</v>
      </c>
      <c r="G178" s="68">
        <f t="shared" ref="G178:H178" si="1418">+G68</f>
        <v>17793.575999999997</v>
      </c>
      <c r="H178" s="68">
        <f t="shared" si="1418"/>
        <v>20292.108999999997</v>
      </c>
      <c r="I178" s="68">
        <f t="shared" ref="I178" si="1419">+I68</f>
        <v>21258.036000000004</v>
      </c>
      <c r="J178" s="68">
        <f t="shared" ref="J178:K178" si="1420">+J68</f>
        <v>17739.272999999997</v>
      </c>
      <c r="K178" s="68">
        <f t="shared" si="1420"/>
        <v>18420.681</v>
      </c>
      <c r="L178" s="68">
        <f t="shared" ref="L178:M178" si="1421">+L68</f>
        <v>17554.748</v>
      </c>
      <c r="M178" s="68">
        <f t="shared" si="1421"/>
        <v>17307.113999999998</v>
      </c>
      <c r="N178" s="68">
        <f t="shared" ref="N178" si="1422">+N68</f>
        <v>17772.336999999996</v>
      </c>
      <c r="O178" s="68">
        <f t="shared" ref="O178:P178" si="1423">+O68</f>
        <v>20032.129000000004</v>
      </c>
      <c r="P178" s="68">
        <f t="shared" si="1423"/>
        <v>14678.377</v>
      </c>
      <c r="Q178" s="68">
        <f t="shared" ref="Q178" si="1424">+Q68</f>
        <v>9166.0269999999982</v>
      </c>
      <c r="R178" s="68">
        <f t="shared" ref="R178" si="1425">+R68</f>
        <v>6775.4050000000007</v>
      </c>
      <c r="S178"/>
      <c r="T178" s="68">
        <f t="shared" ref="T178:AB178" si="1426">+T68</f>
        <v>714.75500000000011</v>
      </c>
      <c r="U178" s="68">
        <f t="shared" si="1426"/>
        <v>2372.1539999999995</v>
      </c>
      <c r="V178" s="68">
        <f t="shared" si="1426"/>
        <v>3531.2429999999986</v>
      </c>
      <c r="W178" s="68">
        <f t="shared" si="1426"/>
        <v>7820.2140000000018</v>
      </c>
      <c r="X178" s="68">
        <f t="shared" si="1426"/>
        <v>4192.0429999999997</v>
      </c>
      <c r="Y178" s="68">
        <f t="shared" si="1426"/>
        <v>4798.7089999999989</v>
      </c>
      <c r="Z178" s="68">
        <f t="shared" si="1426"/>
        <v>4971.5000000000027</v>
      </c>
      <c r="AA178" s="68">
        <f t="shared" si="1426"/>
        <v>5195.5119999999952</v>
      </c>
      <c r="AB178" s="68">
        <f t="shared" si="1426"/>
        <v>4023.5790000000011</v>
      </c>
      <c r="AC178" s="68">
        <f t="shared" si="1336"/>
        <v>4820.2069999999985</v>
      </c>
      <c r="AD178" s="68">
        <f t="shared" ref="AD178:AG178" si="1427">+AD68</f>
        <v>4835.6029999999982</v>
      </c>
      <c r="AE178" s="68">
        <f t="shared" si="1427"/>
        <v>4114.1869999999999</v>
      </c>
      <c r="AF178" s="68">
        <f t="shared" si="1427"/>
        <v>4110.4990000000007</v>
      </c>
      <c r="AG178" s="68">
        <f t="shared" si="1427"/>
        <v>5743.3789999999999</v>
      </c>
      <c r="AH178" s="68">
        <f t="shared" ref="AH178:AS178" si="1428">+AH68</f>
        <v>5777.8190000000004</v>
      </c>
      <c r="AI178" s="68">
        <f t="shared" si="1428"/>
        <v>4660.4119999999975</v>
      </c>
      <c r="AJ178" s="251"/>
      <c r="AK178" s="251"/>
      <c r="AL178" s="251"/>
      <c r="AM178" s="68">
        <f t="shared" ref="AM178:AP178" si="1429">+AM68</f>
        <v>0</v>
      </c>
      <c r="AN178" s="68">
        <f t="shared" si="1429"/>
        <v>5006.91</v>
      </c>
      <c r="AO178" s="68">
        <f t="shared" si="1429"/>
        <v>5626.2609999999995</v>
      </c>
      <c r="AP178" s="68">
        <f t="shared" si="1429"/>
        <v>5465.7899999999981</v>
      </c>
      <c r="AQ178" s="68">
        <f t="shared" ref="AQ178" si="1430">+AQ68</f>
        <v>5159.0750000000025</v>
      </c>
      <c r="AR178" s="68">
        <f t="shared" si="1428"/>
        <v>4354.4470000000001</v>
      </c>
      <c r="AS178" s="68">
        <f t="shared" si="1428"/>
        <v>4945.6130000000003</v>
      </c>
      <c r="AT178" s="68">
        <f t="shared" ref="AT178:AZ178" si="1431">+AT68</f>
        <v>4734.1899999999987</v>
      </c>
      <c r="AU178" s="68">
        <f t="shared" si="1431"/>
        <v>4386.4310000000041</v>
      </c>
      <c r="AV178" s="68">
        <f t="shared" ref="AV178:AW178" si="1432">+AV68</f>
        <v>4569.989999999998</v>
      </c>
      <c r="AW178" s="68">
        <f t="shared" si="1432"/>
        <v>3684.698000000003</v>
      </c>
      <c r="AX178" s="68">
        <f t="shared" si="1431"/>
        <v>3842.8419999999992</v>
      </c>
      <c r="AY178" s="68">
        <f t="shared" ref="AY178" si="1433">+AY68</f>
        <v>3609.4109999999996</v>
      </c>
      <c r="AZ178" s="68">
        <f t="shared" si="1431"/>
        <v>4377.6660000000002</v>
      </c>
      <c r="BA178" s="68">
        <f t="shared" ref="BA178" si="1434">+BA68</f>
        <v>4152.0520000000006</v>
      </c>
      <c r="BB178" s="68">
        <f t="shared" ref="BB178" si="1435">+BB68</f>
        <v>5173.6000000000013</v>
      </c>
      <c r="BC178" s="68">
        <f t="shared" ref="BC178:BF178" si="1436">+BC68</f>
        <v>4997.6000000000013</v>
      </c>
      <c r="BD178" s="68">
        <f t="shared" si="1436"/>
        <v>4089.0059999999971</v>
      </c>
      <c r="BE178" s="68">
        <f t="shared" si="1436"/>
        <v>4633.5370000000003</v>
      </c>
      <c r="BF178" s="68">
        <f t="shared" si="1436"/>
        <v>5424.2759999999998</v>
      </c>
      <c r="BG178" s="68">
        <f t="shared" si="1346"/>
        <v>4809.8140000000012</v>
      </c>
      <c r="BH178" s="68">
        <f t="shared" si="1346"/>
        <v>5164.5020000000013</v>
      </c>
      <c r="BI178" s="68">
        <f t="shared" si="1346"/>
        <v>4005.0369999999998</v>
      </c>
      <c r="BJ178" s="68">
        <f t="shared" si="1346"/>
        <v>1630.0120000000002</v>
      </c>
      <c r="BK178" s="68">
        <f t="shared" ref="BK178:BM178" si="1437">+BK68</f>
        <v>2329.4639999999999</v>
      </c>
      <c r="BL178" s="68">
        <f t="shared" si="1437"/>
        <v>1201.5139999999994</v>
      </c>
      <c r="BM178" s="68">
        <f t="shared" si="1437"/>
        <v>1614.415</v>
      </c>
      <c r="BO178" s="68">
        <f t="shared" ref="BO178:BP178" si="1438">+BO68</f>
        <v>5013.2739999999967</v>
      </c>
      <c r="BP178" s="68">
        <f t="shared" si="1438"/>
        <v>4700.2139999999999</v>
      </c>
      <c r="BQ178" s="68">
        <f t="shared" ref="BQ178:BT178" si="1439">+BQ68</f>
        <v>4112.0780000000004</v>
      </c>
      <c r="BR178" s="68">
        <f t="shared" si="1439"/>
        <v>3588.9140000000007</v>
      </c>
      <c r="BS178" s="68">
        <f t="shared" si="1439"/>
        <v>2277.171000000003</v>
      </c>
      <c r="BT178" s="68">
        <f t="shared" si="1439"/>
        <v>2769.7700000000004</v>
      </c>
      <c r="BV178" s="40"/>
      <c r="BW178" s="40"/>
      <c r="BY178" s="40"/>
      <c r="BZ178" s="40"/>
      <c r="CB178" s="16"/>
      <c r="CC178" s="16"/>
    </row>
    <row r="179" spans="2:81" s="6" customFormat="1" ht="13.5" customHeight="1" thickTop="1">
      <c r="B179" s="10" t="str">
        <f t="shared" si="1327"/>
        <v>Net Capex</v>
      </c>
      <c r="C179" s="69">
        <f t="shared" si="1327"/>
        <v>-5483.0619999999999</v>
      </c>
      <c r="D179" s="69">
        <f t="shared" si="1327"/>
        <v>-4885.1060000000007</v>
      </c>
      <c r="E179" s="69">
        <f t="shared" si="1327"/>
        <v>-6637.125</v>
      </c>
      <c r="F179" s="69">
        <f t="shared" si="1327"/>
        <v>-6770.7359999999999</v>
      </c>
      <c r="G179" s="69">
        <f t="shared" ref="G179:H179" si="1440">+G69</f>
        <v>-4518.9659999999994</v>
      </c>
      <c r="H179" s="69">
        <f t="shared" si="1440"/>
        <v>-6369</v>
      </c>
      <c r="I179" s="69">
        <f t="shared" ref="I179" si="1441">+I69</f>
        <v>-9652.0030000000006</v>
      </c>
      <c r="J179" s="69">
        <f t="shared" ref="J179:K179" si="1442">+J69</f>
        <v>-6248.1950000000006</v>
      </c>
      <c r="K179" s="69">
        <f t="shared" si="1442"/>
        <v>-9652.0030000000006</v>
      </c>
      <c r="L179" s="69">
        <f t="shared" ref="L179:M179" si="1443">+L69</f>
        <v>-9730.2749999999996</v>
      </c>
      <c r="M179" s="69">
        <f t="shared" si="1443"/>
        <v>-6949.4139999999998</v>
      </c>
      <c r="N179" s="69">
        <f t="shared" ref="N179" si="1444">+N69</f>
        <v>-7106.41</v>
      </c>
      <c r="O179" s="69">
        <f t="shared" ref="O179:P179" si="1445">+O69</f>
        <v>-5043.1769999999997</v>
      </c>
      <c r="P179" s="69">
        <f t="shared" si="1445"/>
        <v>-5126.3139999999994</v>
      </c>
      <c r="Q179" s="69">
        <f t="shared" ref="Q179" si="1446">+Q69</f>
        <v>-2028.2569999999998</v>
      </c>
      <c r="R179" s="69">
        <f t="shared" ref="R179" si="1447">+R69</f>
        <v>-1643.6399999999999</v>
      </c>
      <c r="S179"/>
      <c r="T179" s="69">
        <f t="shared" ref="T179:AB179" si="1448">+T69</f>
        <v>-1316.155</v>
      </c>
      <c r="U179" s="69">
        <f t="shared" si="1448"/>
        <v>-1845.9910000000002</v>
      </c>
      <c r="V179" s="69">
        <f t="shared" si="1448"/>
        <v>-1805.8410000000001</v>
      </c>
      <c r="W179" s="69">
        <f t="shared" si="1448"/>
        <v>-1669.1380000000001</v>
      </c>
      <c r="X179" s="69">
        <f t="shared" si="1448"/>
        <v>-1683.0330000000001</v>
      </c>
      <c r="Y179" s="69">
        <f t="shared" si="1448"/>
        <v>-1413.615</v>
      </c>
      <c r="Z179" s="69">
        <f t="shared" si="1448"/>
        <v>-1434.2569999999994</v>
      </c>
      <c r="AA179" s="69">
        <f t="shared" si="1448"/>
        <v>-2239.8310000000001</v>
      </c>
      <c r="AB179" s="69">
        <f t="shared" si="1448"/>
        <v>-730.40099999999995</v>
      </c>
      <c r="AC179" s="69">
        <f t="shared" si="1336"/>
        <v>-1708.7400000000002</v>
      </c>
      <c r="AD179" s="69">
        <f t="shared" ref="AD179:AG179" si="1449">+AD69</f>
        <v>-1042.1129999999998</v>
      </c>
      <c r="AE179" s="69">
        <f t="shared" si="1449"/>
        <v>-1037.7119999999995</v>
      </c>
      <c r="AF179" s="69">
        <f t="shared" si="1449"/>
        <v>-1294.6789999999999</v>
      </c>
      <c r="AG179" s="69">
        <f t="shared" si="1449"/>
        <v>-1888.155</v>
      </c>
      <c r="AH179" s="69">
        <f t="shared" ref="AH179:AS179" si="1450">+AH69</f>
        <v>-1533.1360000000002</v>
      </c>
      <c r="AI179" s="69">
        <f t="shared" si="1450"/>
        <v>-1653.03</v>
      </c>
      <c r="AJ179" s="229"/>
      <c r="AK179" s="229"/>
      <c r="AL179" s="229"/>
      <c r="AM179" s="69">
        <f t="shared" ref="AM179:AP179" si="1451">+AM69</f>
        <v>0</v>
      </c>
      <c r="AN179" s="69">
        <f t="shared" si="1451"/>
        <v>-1711.7660000000001</v>
      </c>
      <c r="AO179" s="69">
        <f t="shared" si="1451"/>
        <v>-3448.7989999999995</v>
      </c>
      <c r="AP179" s="69">
        <f t="shared" si="1451"/>
        <v>-2612.7200000000007</v>
      </c>
      <c r="AQ179" s="69">
        <f t="shared" ref="AQ179" si="1452">+AQ69</f>
        <v>-1878.7180000000008</v>
      </c>
      <c r="AR179" s="69">
        <f t="shared" si="1450"/>
        <v>-1711.7660000000001</v>
      </c>
      <c r="AS179" s="69">
        <f t="shared" si="1450"/>
        <v>-3448.7989999999995</v>
      </c>
      <c r="AT179" s="69">
        <f t="shared" ref="AT179:AZ179" si="1453">+AT69</f>
        <v>-2612.7200000000007</v>
      </c>
      <c r="AU179" s="69">
        <f t="shared" si="1453"/>
        <v>-1878.7180000000012</v>
      </c>
      <c r="AV179" s="69">
        <f t="shared" ref="AV179:AW179" si="1454">+AV69</f>
        <v>-2612.7200000000007</v>
      </c>
      <c r="AW179" s="69">
        <f t="shared" si="1454"/>
        <v>-1956.9900000000002</v>
      </c>
      <c r="AX179" s="69">
        <f t="shared" si="1453"/>
        <v>-1837.7720000000002</v>
      </c>
      <c r="AY179" s="69">
        <f t="shared" ref="AY179" si="1455">+AY69</f>
        <v>-1837.7720000000002</v>
      </c>
      <c r="AZ179" s="69">
        <f t="shared" si="1453"/>
        <v>-1984.7249999999997</v>
      </c>
      <c r="BA179" s="69">
        <f t="shared" ref="BA179" si="1456">+BA69</f>
        <v>-1984.7249999999997</v>
      </c>
      <c r="BB179" s="69">
        <f t="shared" ref="BB179" si="1457">+BB69</f>
        <v>-1732.6840000000009</v>
      </c>
      <c r="BC179" s="69">
        <f t="shared" ref="BC179:BF179" si="1458">+BC69</f>
        <v>-1732.6840000000009</v>
      </c>
      <c r="BD179" s="69">
        <f t="shared" si="1458"/>
        <v>-1394.2329999999995</v>
      </c>
      <c r="BE179" s="69">
        <f t="shared" si="1458"/>
        <v>-1534.0139999999999</v>
      </c>
      <c r="BF179" s="69">
        <f t="shared" si="1458"/>
        <v>-1429.4670000000003</v>
      </c>
      <c r="BG179" s="69">
        <f t="shared" si="1346"/>
        <v>-966.44199999999933</v>
      </c>
      <c r="BH179" s="69">
        <f t="shared" si="1346"/>
        <v>-1113.2539999999999</v>
      </c>
      <c r="BI179" s="69">
        <f t="shared" si="1346"/>
        <v>-860.15499999999997</v>
      </c>
      <c r="BJ179" s="69">
        <f t="shared" si="1346"/>
        <v>-397.56799999999998</v>
      </c>
      <c r="BK179" s="69">
        <f t="shared" ref="BK179:BM179" si="1459">+BK69</f>
        <v>-422.34899999999993</v>
      </c>
      <c r="BL179" s="69">
        <f t="shared" si="1459"/>
        <v>-348.18499999999995</v>
      </c>
      <c r="BM179" s="69">
        <f t="shared" si="1459"/>
        <v>-475.53800000000001</v>
      </c>
      <c r="BO179" s="69">
        <f t="shared" ref="BO179:BP179" si="1460">+BO69</f>
        <v>-1551.2289999999994</v>
      </c>
      <c r="BP179" s="69">
        <f t="shared" si="1460"/>
        <v>-1534.0139999999999</v>
      </c>
      <c r="BQ179" s="69">
        <f t="shared" ref="BQ179:BT179" si="1461">+BQ69</f>
        <v>-1429.4670000000003</v>
      </c>
      <c r="BR179" s="69">
        <f t="shared" si="1461"/>
        <v>-966.44199999999955</v>
      </c>
      <c r="BS179" s="69">
        <f t="shared" si="1461"/>
        <v>-1196.3909999999989</v>
      </c>
      <c r="BT179" s="69">
        <f t="shared" si="1461"/>
        <v>-860.15499999999997</v>
      </c>
      <c r="BV179" s="40"/>
      <c r="BW179" s="40"/>
      <c r="BY179" s="40"/>
      <c r="BZ179" s="40"/>
      <c r="CB179" s="16"/>
      <c r="CC179" s="16"/>
    </row>
    <row r="180" spans="2:81" ht="13.5" customHeight="1">
      <c r="B180" s="10" t="str">
        <f t="shared" si="1327"/>
        <v>Purchase and development of intangible assets</v>
      </c>
      <c r="C180" s="69">
        <f t="shared" si="1327"/>
        <v>-1003.074</v>
      </c>
      <c r="D180" s="69">
        <f t="shared" si="1327"/>
        <v>-99.372</v>
      </c>
      <c r="E180" s="69">
        <f t="shared" si="1327"/>
        <v>-540.64</v>
      </c>
      <c r="F180" s="69">
        <f t="shared" si="1327"/>
        <v>-429.62799999999999</v>
      </c>
      <c r="G180" s="69">
        <f t="shared" ref="G180:H180" si="1462">+G70</f>
        <v>-596.72299999999996</v>
      </c>
      <c r="H180" s="69">
        <f t="shared" si="1462"/>
        <v>-570.34699999999998</v>
      </c>
      <c r="I180" s="69">
        <f t="shared" ref="I180" si="1463">+I70</f>
        <v>-444.52300000000002</v>
      </c>
      <c r="J180" s="69">
        <f t="shared" ref="J180:K180" si="1464">+J70</f>
        <v>-570.34699999999998</v>
      </c>
      <c r="K180" s="69">
        <f t="shared" si="1464"/>
        <v>-444.52300000000002</v>
      </c>
      <c r="L180" s="69">
        <f t="shared" ref="L180:M180" si="1465">+L70</f>
        <v>-447.05799999999999</v>
      </c>
      <c r="M180" s="69">
        <f t="shared" si="1465"/>
        <v>-732.99900000000002</v>
      </c>
      <c r="N180" s="69">
        <f t="shared" ref="N180" si="1466">+N70</f>
        <v>-732.99900000000002</v>
      </c>
      <c r="O180" s="69">
        <f t="shared" ref="O180:P180" si="1467">+O70</f>
        <v>-799.28399999999999</v>
      </c>
      <c r="P180" s="69">
        <f t="shared" si="1467"/>
        <v>-799.48500000000001</v>
      </c>
      <c r="Q180" s="69">
        <f t="shared" ref="Q180" si="1468">+Q70</f>
        <v>-331.67200000000003</v>
      </c>
      <c r="R180" s="69">
        <f t="shared" ref="R180" si="1469">+R70</f>
        <v>-304.21900000000005</v>
      </c>
      <c r="T180" s="69">
        <f t="shared" ref="T180:AB180" si="1470">+T70</f>
        <v>-389.55599999999998</v>
      </c>
      <c r="U180" s="69">
        <f t="shared" si="1470"/>
        <v>-105.25</v>
      </c>
      <c r="V180" s="69">
        <f t="shared" si="1470"/>
        <v>-127.40299999999996</v>
      </c>
      <c r="W180" s="69">
        <f t="shared" si="1470"/>
        <v>81.56899999999996</v>
      </c>
      <c r="X180" s="69">
        <f t="shared" si="1470"/>
        <v>-0.68899999999999995</v>
      </c>
      <c r="Y180" s="69">
        <f t="shared" si="1470"/>
        <v>-10.427</v>
      </c>
      <c r="Z180" s="69">
        <f t="shared" si="1470"/>
        <v>-319.88999999999993</v>
      </c>
      <c r="AA180" s="69">
        <f t="shared" si="1470"/>
        <v>-98.622000000000071</v>
      </c>
      <c r="AB180" s="69">
        <f t="shared" si="1470"/>
        <v>-42.802</v>
      </c>
      <c r="AC180" s="69">
        <f t="shared" si="1336"/>
        <v>-22.687999999999995</v>
      </c>
      <c r="AD180" s="69">
        <f t="shared" ref="AD180:AG180" si="1471">+AD70</f>
        <v>-177.89500000000001</v>
      </c>
      <c r="AE180" s="69">
        <f t="shared" si="1471"/>
        <v>-353.33799999999997</v>
      </c>
      <c r="AF180" s="69">
        <f t="shared" si="1471"/>
        <v>-25.56</v>
      </c>
      <c r="AG180" s="69">
        <f t="shared" si="1471"/>
        <v>-149.244</v>
      </c>
      <c r="AH180" s="69">
        <f t="shared" ref="AH180:AS180" si="1472">+AH70</f>
        <v>-267.05700000000002</v>
      </c>
      <c r="AI180" s="69">
        <f t="shared" si="1472"/>
        <v>-128.48599999999999</v>
      </c>
      <c r="AJ180" s="229"/>
      <c r="AK180" s="229"/>
      <c r="AL180" s="229"/>
      <c r="AM180" s="69">
        <f t="shared" ref="AM180:AP180" si="1473">+AM70</f>
        <v>0</v>
      </c>
      <c r="AN180" s="69">
        <f t="shared" si="1473"/>
        <v>-62.011000000000003</v>
      </c>
      <c r="AO180" s="69">
        <f t="shared" si="1473"/>
        <v>-85.466000000000008</v>
      </c>
      <c r="AP180" s="69">
        <f t="shared" si="1473"/>
        <v>-179.60499999999996</v>
      </c>
      <c r="AQ180" s="69">
        <f t="shared" ref="AQ180" si="1474">+AQ70</f>
        <v>-117.44100000000003</v>
      </c>
      <c r="AR180" s="69">
        <f t="shared" si="1472"/>
        <v>-62.011000000000003</v>
      </c>
      <c r="AS180" s="69">
        <f t="shared" si="1472"/>
        <v>-85.466000000000008</v>
      </c>
      <c r="AT180" s="69">
        <f t="shared" ref="AT180:AZ180" si="1475">+AT70</f>
        <v>-179.60499999999996</v>
      </c>
      <c r="AU180" s="69">
        <f t="shared" si="1475"/>
        <v>-117.44100000000003</v>
      </c>
      <c r="AV180" s="69">
        <f t="shared" ref="AV180:AW180" si="1476">+AV70</f>
        <v>-179.60499999999996</v>
      </c>
      <c r="AW180" s="69">
        <f t="shared" si="1476"/>
        <v>-119.976</v>
      </c>
      <c r="AX180" s="69">
        <f t="shared" si="1475"/>
        <v>-158.654</v>
      </c>
      <c r="AY180" s="69">
        <f t="shared" ref="AY180" si="1477">+AY70</f>
        <v>-158.654</v>
      </c>
      <c r="AZ180" s="69">
        <f t="shared" si="1475"/>
        <v>-120.851</v>
      </c>
      <c r="BA180" s="69">
        <f t="shared" ref="BA180" si="1478">+BA70</f>
        <v>-120.851</v>
      </c>
      <c r="BB180" s="69">
        <f t="shared" ref="BB180" si="1479">+BB70</f>
        <v>-197.072</v>
      </c>
      <c r="BC180" s="69">
        <f t="shared" ref="BC180:BF180" si="1480">+BC70</f>
        <v>-197.072</v>
      </c>
      <c r="BD180" s="69">
        <f t="shared" si="1480"/>
        <v>-256.42200000000003</v>
      </c>
      <c r="BE180" s="69">
        <f t="shared" si="1480"/>
        <v>-140.893</v>
      </c>
      <c r="BF180" s="69">
        <f t="shared" si="1480"/>
        <v>-195.03099999999998</v>
      </c>
      <c r="BG180" s="69">
        <f t="shared" si="1346"/>
        <v>-243.18700000000004</v>
      </c>
      <c r="BH180" s="69">
        <f t="shared" si="1346"/>
        <v>-220.173</v>
      </c>
      <c r="BI180" s="69">
        <f t="shared" si="1346"/>
        <v>-195.49799999999999</v>
      </c>
      <c r="BJ180" s="69">
        <f t="shared" si="1346"/>
        <v>-131.67000000000002</v>
      </c>
      <c r="BK180" s="69">
        <f t="shared" ref="BK180:BM180" si="1481">+BK70</f>
        <v>-64.456999999999994</v>
      </c>
      <c r="BL180" s="69">
        <f t="shared" si="1481"/>
        <v>59.952999999999975</v>
      </c>
      <c r="BM180" s="69">
        <f t="shared" si="1481"/>
        <v>-168.04499999999999</v>
      </c>
      <c r="BO180" s="69">
        <f t="shared" ref="BO180:BP180" si="1482">+BO70</f>
        <v>-256.42200000000003</v>
      </c>
      <c r="BP180" s="69">
        <f t="shared" si="1482"/>
        <v>-140.893</v>
      </c>
      <c r="BQ180" s="69">
        <f t="shared" ref="BQ180:BT180" si="1483">+BQ70</f>
        <v>-195.03099999999998</v>
      </c>
      <c r="BR180" s="69">
        <f t="shared" si="1483"/>
        <v>-243.18700000000001</v>
      </c>
      <c r="BS180" s="69">
        <f t="shared" si="1483"/>
        <v>-220.37400000000005</v>
      </c>
      <c r="BT180" s="69">
        <f t="shared" si="1483"/>
        <v>-195.49799999999999</v>
      </c>
      <c r="BV180" s="40"/>
      <c r="BW180" s="40"/>
      <c r="BY180" s="40"/>
      <c r="BZ180" s="40"/>
      <c r="CB180" s="16"/>
      <c r="CC180" s="16"/>
    </row>
    <row r="181" spans="2:81" ht="13.5" customHeight="1">
      <c r="B181" s="10" t="str">
        <f t="shared" si="1327"/>
        <v>Disposals/ Acquistion of subsidiaries</v>
      </c>
      <c r="C181" s="69">
        <f t="shared" si="1327"/>
        <v>-22.662999999999997</v>
      </c>
      <c r="D181" s="69">
        <f t="shared" si="1327"/>
        <v>-37.608999999999995</v>
      </c>
      <c r="E181" s="69">
        <f t="shared" si="1327"/>
        <v>-158.83600000000001</v>
      </c>
      <c r="F181" s="69">
        <f t="shared" si="1327"/>
        <v>1656.0430000000001</v>
      </c>
      <c r="G181" s="69">
        <f t="shared" ref="G181:H181" si="1484">+G71</f>
        <v>-29.919</v>
      </c>
      <c r="H181" s="69">
        <f t="shared" si="1484"/>
        <v>-15.093</v>
      </c>
      <c r="I181" s="69">
        <f t="shared" ref="I181" si="1485">+I71</f>
        <v>-2784.991</v>
      </c>
      <c r="J181" s="69">
        <f t="shared" ref="J181:K181" si="1486">+J71</f>
        <v>-15.093</v>
      </c>
      <c r="K181" s="69">
        <f t="shared" si="1486"/>
        <v>-2784.991</v>
      </c>
      <c r="L181" s="69">
        <f t="shared" ref="L181:M181" si="1487">+L71</f>
        <v>-2784.9910000000004</v>
      </c>
      <c r="M181" s="69">
        <f t="shared" si="1487"/>
        <v>-54.331000000000003</v>
      </c>
      <c r="N181" s="69">
        <f t="shared" ref="N181" si="1488">+N71</f>
        <v>-54.331000000000003</v>
      </c>
      <c r="O181" s="69">
        <f t="shared" ref="O181:P181" si="1489">+O71</f>
        <v>-6.4620000000000006</v>
      </c>
      <c r="P181" s="69">
        <f t="shared" si="1489"/>
        <v>17.63</v>
      </c>
      <c r="Q181" s="69">
        <f t="shared" ref="Q181" si="1490">+Q71</f>
        <v>1340.8230000000001</v>
      </c>
      <c r="R181" s="69">
        <f t="shared" ref="R181" si="1491">+R71</f>
        <v>1340.8230000000001</v>
      </c>
      <c r="T181" s="69">
        <f t="shared" ref="T181:AB181" si="1492">+T71</f>
        <v>-3.7309999999999999</v>
      </c>
      <c r="U181" s="69">
        <f t="shared" si="1492"/>
        <v>-45.597000000000001</v>
      </c>
      <c r="V181" s="69">
        <f t="shared" si="1492"/>
        <v>-20.710000000000015</v>
      </c>
      <c r="W181" s="69">
        <f t="shared" si="1492"/>
        <v>-88.798000000000002</v>
      </c>
      <c r="X181" s="69">
        <f t="shared" si="1492"/>
        <v>1643.3170000000002</v>
      </c>
      <c r="Y181" s="69">
        <f t="shared" si="1492"/>
        <v>-0.62200000000007094</v>
      </c>
      <c r="Z181" s="69">
        <f t="shared" si="1492"/>
        <v>-8.9210000000000491</v>
      </c>
      <c r="AA181" s="69">
        <f t="shared" si="1492"/>
        <v>22.269000000000005</v>
      </c>
      <c r="AB181" s="69">
        <f t="shared" si="1492"/>
        <v>-8.3650000000000002</v>
      </c>
      <c r="AC181" s="69">
        <f t="shared" si="1336"/>
        <v>5.641</v>
      </c>
      <c r="AD181" s="69">
        <f t="shared" ref="AD181:AG181" si="1493">+AD71</f>
        <v>-16.896000000000001</v>
      </c>
      <c r="AE181" s="69">
        <f t="shared" si="1493"/>
        <v>-10.298999999999999</v>
      </c>
      <c r="AF181" s="69">
        <f t="shared" si="1493"/>
        <v>-0.215</v>
      </c>
      <c r="AG181" s="69">
        <f t="shared" si="1493"/>
        <v>2.8609999999999998</v>
      </c>
      <c r="AH181" s="69">
        <f t="shared" ref="AH181:AS181" si="1494">+AH71</f>
        <v>-1.3569999999999995</v>
      </c>
      <c r="AI181" s="69">
        <f t="shared" si="1494"/>
        <v>-16.382000000000001</v>
      </c>
      <c r="AJ181" s="229"/>
      <c r="AK181" s="229"/>
      <c r="AL181" s="229"/>
      <c r="AM181" s="69">
        <f t="shared" ref="AM181:AP181" si="1495">+AM71</f>
        <v>0</v>
      </c>
      <c r="AN181" s="69">
        <f t="shared" si="1495"/>
        <v>-0.80800000000000005</v>
      </c>
      <c r="AO181" s="69">
        <f t="shared" si="1495"/>
        <v>-2788.0029999999997</v>
      </c>
      <c r="AP181" s="69">
        <f t="shared" si="1495"/>
        <v>-3.2650000000003274</v>
      </c>
      <c r="AQ181" s="69">
        <f t="shared" ref="AQ181" si="1496">+AQ71</f>
        <v>7.0850000000000364</v>
      </c>
      <c r="AR181" s="69">
        <f t="shared" si="1494"/>
        <v>-0.80800000000000005</v>
      </c>
      <c r="AS181" s="69">
        <f t="shared" si="1494"/>
        <v>-2788.0029999999997</v>
      </c>
      <c r="AT181" s="69">
        <f t="shared" ref="AT181:AZ181" si="1497">+AT71</f>
        <v>-3.2650000000003274</v>
      </c>
      <c r="AU181" s="69">
        <f t="shared" si="1497"/>
        <v>7.0850000000000364</v>
      </c>
      <c r="AV181" s="69">
        <f t="shared" ref="AV181:AW181" si="1498">+AV71</f>
        <v>-3.2650000000003274</v>
      </c>
      <c r="AW181" s="69">
        <f t="shared" si="1498"/>
        <v>7.0849999999995816</v>
      </c>
      <c r="AX181" s="69">
        <f t="shared" si="1497"/>
        <v>-0.46</v>
      </c>
      <c r="AY181" s="69">
        <f t="shared" ref="AY181" si="1499">+AY71</f>
        <v>-0.46</v>
      </c>
      <c r="AZ181" s="69">
        <f t="shared" si="1497"/>
        <v>-51.786000000000001</v>
      </c>
      <c r="BA181" s="69">
        <f t="shared" ref="BA181" si="1500">+BA71</f>
        <v>-51.786000000000001</v>
      </c>
      <c r="BB181" s="69">
        <f t="shared" ref="BB181" si="1501">+BB71</f>
        <v>1.8000000000000682E-2</v>
      </c>
      <c r="BC181" s="69">
        <f t="shared" ref="BC181:BF181" si="1502">+BC71</f>
        <v>1.8000000000000682E-2</v>
      </c>
      <c r="BD181" s="69">
        <f t="shared" si="1502"/>
        <v>-2.1030000000000024</v>
      </c>
      <c r="BE181" s="69">
        <f t="shared" si="1502"/>
        <v>0</v>
      </c>
      <c r="BF181" s="69">
        <f t="shared" si="1502"/>
        <v>5.3740000000000006</v>
      </c>
      <c r="BG181" s="69">
        <f t="shared" si="1346"/>
        <v>-3.4430000000000005</v>
      </c>
      <c r="BH181" s="69">
        <f t="shared" si="1346"/>
        <v>-8.3930000000000007</v>
      </c>
      <c r="BI181" s="69">
        <f t="shared" si="1346"/>
        <v>0</v>
      </c>
      <c r="BJ181" s="69">
        <f t="shared" si="1346"/>
        <v>1352.4159999999999</v>
      </c>
      <c r="BK181" s="69">
        <f t="shared" ref="BK181:BM181" si="1503">+BK71</f>
        <v>-1.1209999999998672</v>
      </c>
      <c r="BL181" s="69">
        <f t="shared" si="1503"/>
        <v>-10.47199999999998</v>
      </c>
      <c r="BM181" s="69">
        <f t="shared" si="1503"/>
        <v>0</v>
      </c>
      <c r="BO181" s="69">
        <f t="shared" ref="BO181:BP181" si="1504">+BO71</f>
        <v>-2.1030000000000015</v>
      </c>
      <c r="BP181" s="69">
        <f t="shared" si="1504"/>
        <v>0</v>
      </c>
      <c r="BQ181" s="69">
        <f t="shared" ref="BQ181:BT181" si="1505">+BQ71</f>
        <v>28.821000000000002</v>
      </c>
      <c r="BR181" s="69">
        <f t="shared" si="1505"/>
        <v>-2.7980000000000018</v>
      </c>
      <c r="BS181" s="69">
        <f t="shared" si="1505"/>
        <v>-8.3930000000000007</v>
      </c>
      <c r="BT181" s="69">
        <f t="shared" si="1505"/>
        <v>0</v>
      </c>
      <c r="BV181" s="40"/>
      <c r="BW181" s="40"/>
      <c r="BY181" s="40"/>
      <c r="BZ181" s="40"/>
      <c r="CB181" s="16"/>
      <c r="CC181" s="16"/>
    </row>
    <row r="182" spans="2:81" ht="13.5" customHeight="1" thickBot="1">
      <c r="B182" s="70" t="str">
        <f t="shared" si="1327"/>
        <v xml:space="preserve">Free cash flow </v>
      </c>
      <c r="C182" s="71">
        <f t="shared" si="1327"/>
        <v>8280.9499999999989</v>
      </c>
      <c r="D182" s="71">
        <f t="shared" si="1327"/>
        <v>9944.1049999999996</v>
      </c>
      <c r="E182" s="71">
        <f t="shared" si="1327"/>
        <v>7101.7649999999994</v>
      </c>
      <c r="F182" s="71">
        <f t="shared" si="1327"/>
        <v>13613.442999999994</v>
      </c>
      <c r="G182" s="71">
        <f t="shared" ref="G182:H182" si="1506">+G72</f>
        <v>12647.967999999997</v>
      </c>
      <c r="H182" s="71">
        <f t="shared" si="1506"/>
        <v>13337.668999999996</v>
      </c>
      <c r="I182" s="71">
        <f t="shared" ref="I182" si="1507">+I72</f>
        <v>8376.5190000000039</v>
      </c>
      <c r="J182" s="71">
        <f t="shared" ref="J182:K182" si="1508">+J72</f>
        <v>10905.637999999997</v>
      </c>
      <c r="K182" s="71">
        <f t="shared" si="1508"/>
        <v>5539.1640000000007</v>
      </c>
      <c r="L182" s="71">
        <f t="shared" ref="L182:M182" si="1509">+L72</f>
        <v>4592.4239999999991</v>
      </c>
      <c r="M182" s="71">
        <f t="shared" si="1509"/>
        <v>9570.3699999999972</v>
      </c>
      <c r="N182" s="71">
        <f t="shared" ref="N182" si="1510">+N72</f>
        <v>9878.5969999999961</v>
      </c>
      <c r="O182" s="71">
        <f t="shared" ref="O182:P182" si="1511">+O72</f>
        <v>14183.206000000006</v>
      </c>
      <c r="P182" s="71">
        <f t="shared" si="1511"/>
        <v>8770.2080000000005</v>
      </c>
      <c r="Q182" s="71">
        <f t="shared" ref="Q182" si="1512">+Q72</f>
        <v>8146.9209999999985</v>
      </c>
      <c r="R182" s="71">
        <f t="shared" ref="R182" si="1513">+R72</f>
        <v>6168.3690000000015</v>
      </c>
      <c r="T182" s="71">
        <f t="shared" ref="T182:AB182" si="1514">+T72</f>
        <v>-994.6869999999999</v>
      </c>
      <c r="U182" s="71">
        <f t="shared" si="1514"/>
        <v>375.31599999999935</v>
      </c>
      <c r="V182" s="71">
        <f t="shared" si="1514"/>
        <v>1577.2889999999984</v>
      </c>
      <c r="W182" s="71">
        <f t="shared" si="1514"/>
        <v>6143.8470000000025</v>
      </c>
      <c r="X182" s="71">
        <f t="shared" si="1514"/>
        <v>4151.6379999999999</v>
      </c>
      <c r="Y182" s="71">
        <f t="shared" si="1514"/>
        <v>3374.0449999999992</v>
      </c>
      <c r="Z182" s="71">
        <f t="shared" si="1514"/>
        <v>3208.4320000000034</v>
      </c>
      <c r="AA182" s="71">
        <f t="shared" si="1514"/>
        <v>2879.327999999995</v>
      </c>
      <c r="AB182" s="71">
        <f t="shared" si="1514"/>
        <v>3242.0110000000013</v>
      </c>
      <c r="AC182" s="71">
        <f t="shared" si="1336"/>
        <v>3094.4199999999983</v>
      </c>
      <c r="AD182" s="71">
        <f t="shared" ref="AD182:AG182" si="1515">+AD72</f>
        <v>3598.6989999999983</v>
      </c>
      <c r="AE182" s="71">
        <f t="shared" si="1515"/>
        <v>2712.8380000000006</v>
      </c>
      <c r="AF182" s="71">
        <f t="shared" si="1515"/>
        <v>2790.0450000000005</v>
      </c>
      <c r="AG182" s="71">
        <f t="shared" si="1515"/>
        <v>3708.8409999999999</v>
      </c>
      <c r="AH182" s="71">
        <f t="shared" ref="AH182:AS182" si="1516">+AH72</f>
        <v>3976.2690000000002</v>
      </c>
      <c r="AI182" s="71">
        <f t="shared" si="1516"/>
        <v>2862.5139999999978</v>
      </c>
      <c r="AJ182" s="252"/>
      <c r="AK182" s="252"/>
      <c r="AL182" s="252"/>
      <c r="AM182" s="71">
        <f t="shared" ref="AM182:AP182" si="1517">+AM72</f>
        <v>0</v>
      </c>
      <c r="AN182" s="71">
        <f t="shared" si="1517"/>
        <v>3232.3249999999998</v>
      </c>
      <c r="AO182" s="71">
        <f t="shared" si="1517"/>
        <v>-696.00699999999961</v>
      </c>
      <c r="AP182" s="71">
        <f t="shared" si="1517"/>
        <v>2670.1999999999971</v>
      </c>
      <c r="AQ182" s="71">
        <f t="shared" ref="AQ182" si="1518">+AQ72</f>
        <v>3170.001000000002</v>
      </c>
      <c r="AR182" s="71">
        <f t="shared" si="1516"/>
        <v>2579.8620000000001</v>
      </c>
      <c r="AS182" s="71">
        <f t="shared" si="1516"/>
        <v>-1376.6549999999988</v>
      </c>
      <c r="AT182" s="71">
        <f t="shared" ref="AT182:AZ182" si="1519">+AT72</f>
        <v>1938.5999999999976</v>
      </c>
      <c r="AU182" s="71">
        <f t="shared" si="1519"/>
        <v>2397.3570000000027</v>
      </c>
      <c r="AV182" s="71">
        <f t="shared" ref="AV182:AW182" si="1520">+AV72</f>
        <v>1774.3999999999969</v>
      </c>
      <c r="AW182" s="71">
        <f t="shared" si="1520"/>
        <v>1614.8170000000023</v>
      </c>
      <c r="AX182" s="71">
        <f t="shared" si="1519"/>
        <v>1845.955999999999</v>
      </c>
      <c r="AY182" s="71">
        <f t="shared" ref="AY182" si="1521">+AY72</f>
        <v>1612.5249999999994</v>
      </c>
      <c r="AZ182" s="71">
        <f t="shared" si="1519"/>
        <v>2220.3040000000005</v>
      </c>
      <c r="BA182" s="71">
        <f t="shared" ref="BA182" si="1522">+BA72</f>
        <v>1994.690000000001</v>
      </c>
      <c r="BB182" s="71">
        <f t="shared" ref="BB182" si="1523">+BB72</f>
        <v>3243.8620000000001</v>
      </c>
      <c r="BC182" s="71">
        <f t="shared" ref="BC182:BF182" si="1524">+BC72</f>
        <v>3067.8620000000001</v>
      </c>
      <c r="BD182" s="71">
        <f t="shared" si="1524"/>
        <v>2436.2479999999973</v>
      </c>
      <c r="BE182" s="71">
        <f t="shared" si="1524"/>
        <v>2958.63</v>
      </c>
      <c r="BF182" s="71">
        <f t="shared" si="1524"/>
        <v>3805.1519999999991</v>
      </c>
      <c r="BG182" s="71">
        <f t="shared" si="1346"/>
        <v>3596.742000000002</v>
      </c>
      <c r="BH182" s="71">
        <f t="shared" si="1346"/>
        <v>3822.6820000000016</v>
      </c>
      <c r="BI182" s="71">
        <f t="shared" si="1346"/>
        <v>2949.3839999999996</v>
      </c>
      <c r="BJ182" s="71">
        <f t="shared" si="1346"/>
        <v>2453.19</v>
      </c>
      <c r="BK182" s="71">
        <f t="shared" ref="BK182:BM182" si="1525">+BK72</f>
        <v>1841.537</v>
      </c>
      <c r="BL182" s="71">
        <f t="shared" si="1525"/>
        <v>902.80999999999949</v>
      </c>
      <c r="BM182" s="71">
        <f t="shared" si="1525"/>
        <v>970.83199999999999</v>
      </c>
      <c r="BO182" s="71">
        <f t="shared" ref="BO182:BP182" si="1526">+BO72</f>
        <v>3203.5199999999973</v>
      </c>
      <c r="BP182" s="71">
        <f t="shared" si="1526"/>
        <v>3025.3069999999998</v>
      </c>
      <c r="BQ182" s="71">
        <f t="shared" ref="BQ182:BT182" si="1527">+BQ72</f>
        <v>2516.4009999999998</v>
      </c>
      <c r="BR182" s="71">
        <f t="shared" si="1527"/>
        <v>2376.487000000001</v>
      </c>
      <c r="BS182" s="71">
        <f t="shared" si="1527"/>
        <v>852.01300000000401</v>
      </c>
      <c r="BT182" s="71">
        <f t="shared" si="1527"/>
        <v>1714.1170000000004</v>
      </c>
      <c r="BV182" s="40"/>
      <c r="BW182" s="40"/>
      <c r="BY182" s="40"/>
      <c r="BZ182" s="40"/>
      <c r="CB182" s="16"/>
      <c r="CC182" s="16"/>
    </row>
    <row r="183" spans="2:81" ht="13.5" customHeight="1" thickTop="1">
      <c r="B183" s="72" t="str">
        <f t="shared" si="1327"/>
        <v>Other investing activities</v>
      </c>
      <c r="C183" s="73">
        <f t="shared" si="1327"/>
        <v>664.52</v>
      </c>
      <c r="D183" s="73">
        <f t="shared" si="1327"/>
        <v>378.78700000000003</v>
      </c>
      <c r="E183" s="73">
        <f t="shared" si="1327"/>
        <v>313.56099999999998</v>
      </c>
      <c r="F183" s="73">
        <f t="shared" si="1327"/>
        <v>444.66199999999992</v>
      </c>
      <c r="G183" s="73">
        <f t="shared" ref="G183:H183" si="1528">+G73</f>
        <v>1507.0170000000003</v>
      </c>
      <c r="H183" s="73">
        <f t="shared" si="1528"/>
        <v>-1119.3280000000002</v>
      </c>
      <c r="I183" s="73">
        <f t="shared" ref="I183" si="1529">+I73</f>
        <v>1326.7499999999998</v>
      </c>
      <c r="J183" s="73">
        <f t="shared" ref="J183:K183" si="1530">+J73</f>
        <v>-1283.2629999999999</v>
      </c>
      <c r="K183" s="73">
        <f t="shared" si="1530"/>
        <v>1326.7499999999998</v>
      </c>
      <c r="L183" s="73">
        <f t="shared" ref="L183:M183" si="1531">+L73</f>
        <v>1377.3279999999995</v>
      </c>
      <c r="M183" s="73">
        <f t="shared" si="1531"/>
        <v>3036.6390000000001</v>
      </c>
      <c r="N183" s="73">
        <f t="shared" ref="N183" si="1532">+N73</f>
        <v>2979.5029999999997</v>
      </c>
      <c r="O183" s="73">
        <f t="shared" ref="O183:P183" si="1533">+O73</f>
        <v>272.44399999999951</v>
      </c>
      <c r="P183" s="73">
        <f t="shared" si="1533"/>
        <v>315.27500000000003</v>
      </c>
      <c r="Q183" s="73">
        <f t="shared" ref="Q183" si="1534">+Q73</f>
        <v>999.11300000000006</v>
      </c>
      <c r="R183" s="73">
        <f t="shared" ref="R183" si="1535">+R73</f>
        <v>1893.758347</v>
      </c>
      <c r="T183" s="73">
        <f t="shared" ref="T183:AB183" si="1536">+T73</f>
        <v>97.263000000000005</v>
      </c>
      <c r="U183" s="73">
        <f t="shared" si="1536"/>
        <v>21.648999999999987</v>
      </c>
      <c r="V183" s="73">
        <f t="shared" si="1536"/>
        <v>176.02500000000001</v>
      </c>
      <c r="W183" s="73">
        <f t="shared" si="1536"/>
        <v>18.623999999999995</v>
      </c>
      <c r="X183" s="73">
        <f t="shared" si="1536"/>
        <v>28.704000000000001</v>
      </c>
      <c r="Y183" s="73">
        <f t="shared" si="1536"/>
        <v>-65.045999999999992</v>
      </c>
      <c r="Z183" s="73">
        <f t="shared" si="1536"/>
        <v>196.82099999999997</v>
      </c>
      <c r="AA183" s="73">
        <f t="shared" si="1536"/>
        <v>284.18299999999994</v>
      </c>
      <c r="AB183" s="73">
        <f t="shared" si="1536"/>
        <v>438.14600000000002</v>
      </c>
      <c r="AC183" s="73">
        <f t="shared" si="1336"/>
        <v>681.47499999999991</v>
      </c>
      <c r="AD183" s="73">
        <f t="shared" ref="AD183:AG183" si="1537">+AD73</f>
        <v>128.27200000000011</v>
      </c>
      <c r="AE183" s="73">
        <f t="shared" si="1537"/>
        <v>259.12400000000031</v>
      </c>
      <c r="AF183" s="73">
        <f t="shared" si="1537"/>
        <v>-329.54500000000002</v>
      </c>
      <c r="AG183" s="73">
        <f t="shared" si="1537"/>
        <v>-13.97300000000007</v>
      </c>
      <c r="AH183" s="73">
        <f t="shared" ref="AH183:AS183" si="1538">+AH73</f>
        <v>381.43500000000006</v>
      </c>
      <c r="AI183" s="73">
        <f t="shared" si="1538"/>
        <v>-1157.2450000000001</v>
      </c>
      <c r="AJ183" s="253"/>
      <c r="AK183" s="253"/>
      <c r="AL183" s="253"/>
      <c r="AM183" s="73">
        <f t="shared" ref="AM183:AP183" si="1539">+AM73</f>
        <v>0</v>
      </c>
      <c r="AN183" s="73">
        <f t="shared" si="1539"/>
        <v>-24.276000000000067</v>
      </c>
      <c r="AO183" s="73">
        <f t="shared" si="1539"/>
        <v>-37.536999999999935</v>
      </c>
      <c r="AP183" s="73">
        <f t="shared" si="1539"/>
        <v>82.89100000000002</v>
      </c>
      <c r="AQ183" s="73">
        <f t="shared" ref="AQ183" si="1540">+AQ73</f>
        <v>1305.6719999999998</v>
      </c>
      <c r="AR183" s="73">
        <f t="shared" si="1538"/>
        <v>-24.276000000000067</v>
      </c>
      <c r="AS183" s="73">
        <f t="shared" si="1538"/>
        <v>-37.536999999999935</v>
      </c>
      <c r="AT183" s="73">
        <f t="shared" ref="AT183:AZ183" si="1541">+AT73</f>
        <v>82.89100000000002</v>
      </c>
      <c r="AU183" s="73">
        <f t="shared" si="1541"/>
        <v>1305.6719999999998</v>
      </c>
      <c r="AV183" s="73">
        <f t="shared" ref="AV183:AW183" si="1542">+AV73</f>
        <v>82.89100000000002</v>
      </c>
      <c r="AW183" s="73">
        <f t="shared" si="1542"/>
        <v>1356.2499999999995</v>
      </c>
      <c r="AX183" s="73">
        <f t="shared" si="1541"/>
        <v>664.83800000000019</v>
      </c>
      <c r="AY183" s="73">
        <f t="shared" ref="AY183" si="1543">+AY73</f>
        <v>664.83800000000019</v>
      </c>
      <c r="AZ183" s="73">
        <f t="shared" si="1541"/>
        <v>2536.0360000000001</v>
      </c>
      <c r="BA183" s="73">
        <f t="shared" ref="BA183" si="1544">+BA73</f>
        <v>2536.0360000000001</v>
      </c>
      <c r="BB183" s="73">
        <f t="shared" ref="BB183" si="1545">+BB73</f>
        <v>403.24099999999999</v>
      </c>
      <c r="BC183" s="73">
        <f t="shared" ref="BC183:BF183" si="1546">+BC73</f>
        <v>403.24099999999999</v>
      </c>
      <c r="BD183" s="73">
        <f t="shared" si="1546"/>
        <v>-567.47600000000011</v>
      </c>
      <c r="BE183" s="73">
        <f t="shared" si="1546"/>
        <v>315.30099999999993</v>
      </c>
      <c r="BF183" s="73">
        <f t="shared" si="1546"/>
        <v>113.73200000000014</v>
      </c>
      <c r="BG183" s="73">
        <f t="shared" si="1346"/>
        <v>24.954999999999984</v>
      </c>
      <c r="BH183" s="73">
        <f t="shared" si="1346"/>
        <v>-181.54400000000055</v>
      </c>
      <c r="BI183" s="73">
        <f t="shared" si="1346"/>
        <v>-890.290347</v>
      </c>
      <c r="BJ183" s="73">
        <f t="shared" si="1346"/>
        <v>1325.2533470000001</v>
      </c>
      <c r="BK183" s="73">
        <f t="shared" ref="BK183:BM183" si="1547">+BK73</f>
        <v>12.230999999999995</v>
      </c>
      <c r="BL183" s="73">
        <f t="shared" si="1547"/>
        <v>551.91899999999998</v>
      </c>
      <c r="BM183" s="73">
        <f t="shared" si="1547"/>
        <v>4.3550000000000182</v>
      </c>
      <c r="BO183" s="73">
        <f t="shared" ref="BO183:BP183" si="1548">+BO73</f>
        <v>-624.61200000000053</v>
      </c>
      <c r="BP183" s="73">
        <f t="shared" si="1548"/>
        <v>315.30099999999993</v>
      </c>
      <c r="BQ183" s="73">
        <f t="shared" ref="BQ183:BT183" si="1549">+BQ73</f>
        <v>113.82300000000009</v>
      </c>
      <c r="BR183" s="73">
        <f t="shared" si="1549"/>
        <v>0.77199999999999136</v>
      </c>
      <c r="BS183" s="73">
        <f t="shared" si="1549"/>
        <v>-114.62099999999998</v>
      </c>
      <c r="BT183" s="73">
        <f t="shared" si="1549"/>
        <v>164.30700000000002</v>
      </c>
      <c r="BV183" s="40"/>
      <c r="BW183" s="40"/>
      <c r="BY183" s="40"/>
      <c r="BZ183" s="40"/>
      <c r="CB183" s="16"/>
      <c r="CC183" s="16"/>
    </row>
    <row r="184" spans="2:81" ht="13.5" customHeight="1">
      <c r="B184" s="10" t="str">
        <f t="shared" ref="B184:F191" si="1550">+B74</f>
        <v>Equity Issuance/Buyback</v>
      </c>
      <c r="C184" s="66">
        <f t="shared" si="1550"/>
        <v>10.306000000000001</v>
      </c>
      <c r="D184" s="66">
        <f t="shared" si="1550"/>
        <v>7.65</v>
      </c>
      <c r="E184" s="66">
        <f t="shared" si="1550"/>
        <v>10.962999999999999</v>
      </c>
      <c r="F184" s="66">
        <f t="shared" si="1550"/>
        <v>16.388999999999999</v>
      </c>
      <c r="G184" s="66">
        <f t="shared" ref="G184:H184" si="1551">+G74</f>
        <v>-40.469000000000001</v>
      </c>
      <c r="H184" s="66">
        <f t="shared" si="1551"/>
        <v>-0.309</v>
      </c>
      <c r="I184" s="66">
        <f t="shared" ref="I184" si="1552">+I74</f>
        <v>0</v>
      </c>
      <c r="J184" s="66">
        <f t="shared" ref="J184:K184" si="1553">+J74</f>
        <v>-0.309</v>
      </c>
      <c r="K184" s="66">
        <f t="shared" si="1553"/>
        <v>0</v>
      </c>
      <c r="L184" s="66">
        <f t="shared" ref="L184:M184" si="1554">+L74</f>
        <v>0</v>
      </c>
      <c r="M184" s="66">
        <f t="shared" si="1554"/>
        <v>0</v>
      </c>
      <c r="N184" s="66">
        <f t="shared" ref="N184" si="1555">+N74</f>
        <v>0</v>
      </c>
      <c r="O184" s="66">
        <f t="shared" ref="O184:P184" si="1556">+O74</f>
        <v>0</v>
      </c>
      <c r="P184" s="66">
        <f t="shared" si="1556"/>
        <v>0</v>
      </c>
      <c r="Q184" s="66">
        <f t="shared" ref="Q184" si="1557">+Q74</f>
        <v>0</v>
      </c>
      <c r="R184" s="66">
        <f t="shared" ref="R184" si="1558">+R74</f>
        <v>1.8280000000000001</v>
      </c>
      <c r="T184" s="66">
        <f t="shared" ref="T184:AB184" si="1559">+T74</f>
        <v>3.306</v>
      </c>
      <c r="U184" s="66">
        <f t="shared" si="1559"/>
        <v>3.1909999999999998</v>
      </c>
      <c r="V184" s="66">
        <f t="shared" si="1559"/>
        <v>0.18100000000000005</v>
      </c>
      <c r="W184" s="66">
        <f t="shared" si="1559"/>
        <v>4.2849999999999993</v>
      </c>
      <c r="X184" s="66">
        <f t="shared" si="1559"/>
        <v>4.1580000000000004</v>
      </c>
      <c r="Y184" s="66">
        <f t="shared" si="1559"/>
        <v>12.230999999999998</v>
      </c>
      <c r="Z184" s="66">
        <f t="shared" si="1559"/>
        <v>0</v>
      </c>
      <c r="AA184" s="66">
        <f t="shared" si="1559"/>
        <v>0</v>
      </c>
      <c r="AB184" s="66">
        <f t="shared" si="1559"/>
        <v>0</v>
      </c>
      <c r="AC184" s="66">
        <f t="shared" si="1336"/>
        <v>0</v>
      </c>
      <c r="AD184" s="66">
        <f t="shared" ref="AD184:AG184" si="1560">+AD74</f>
        <v>-40.469000000000001</v>
      </c>
      <c r="AE184" s="66">
        <f t="shared" si="1560"/>
        <v>0</v>
      </c>
      <c r="AF184" s="66">
        <f t="shared" si="1560"/>
        <v>0</v>
      </c>
      <c r="AG184" s="66">
        <f t="shared" si="1560"/>
        <v>0</v>
      </c>
      <c r="AH184" s="66">
        <f t="shared" ref="AH184:AS184" si="1561">+AH74</f>
        <v>0</v>
      </c>
      <c r="AI184" s="66">
        <f t="shared" si="1561"/>
        <v>-0.309</v>
      </c>
      <c r="AJ184" s="254"/>
      <c r="AK184" s="254"/>
      <c r="AL184" s="254"/>
      <c r="AM184" s="66">
        <f t="shared" ref="AM184:AP184" si="1562">+AM74</f>
        <v>0</v>
      </c>
      <c r="AN184" s="66">
        <f t="shared" si="1562"/>
        <v>0</v>
      </c>
      <c r="AO184" s="66">
        <f t="shared" si="1562"/>
        <v>0</v>
      </c>
      <c r="AP184" s="66">
        <f t="shared" si="1562"/>
        <v>31.122</v>
      </c>
      <c r="AQ184" s="66">
        <f t="shared" ref="AQ184" si="1563">+AQ74</f>
        <v>-31.122</v>
      </c>
      <c r="AR184" s="66">
        <f t="shared" si="1561"/>
        <v>0</v>
      </c>
      <c r="AS184" s="66">
        <f t="shared" si="1561"/>
        <v>0</v>
      </c>
      <c r="AT184" s="66">
        <f t="shared" ref="AT184:AZ184" si="1564">+AT74</f>
        <v>31.122</v>
      </c>
      <c r="AU184" s="66">
        <f t="shared" si="1564"/>
        <v>-31.122</v>
      </c>
      <c r="AV184" s="66">
        <f t="shared" ref="AV184:AW184" si="1565">+AV74</f>
        <v>31.122</v>
      </c>
      <c r="AW184" s="66">
        <f t="shared" si="1565"/>
        <v>-31.122</v>
      </c>
      <c r="AX184" s="66">
        <f t="shared" si="1564"/>
        <v>0</v>
      </c>
      <c r="AY184" s="69">
        <f t="shared" ref="AY184" si="1566">+AY74</f>
        <v>0</v>
      </c>
      <c r="AZ184" s="66">
        <f t="shared" si="1564"/>
        <v>0</v>
      </c>
      <c r="BA184" s="66">
        <f t="shared" ref="BA184" si="1567">+BA74</f>
        <v>0</v>
      </c>
      <c r="BB184" s="66">
        <f t="shared" ref="BB184" si="1568">+BB74</f>
        <v>25.763999999999999</v>
      </c>
      <c r="BC184" s="66">
        <f t="shared" ref="BC184:BF184" si="1569">+BC74</f>
        <v>25.763999999999999</v>
      </c>
      <c r="BD184" s="66">
        <f t="shared" si="1569"/>
        <v>-25.763999999999999</v>
      </c>
      <c r="BE184" s="66">
        <f t="shared" si="1569"/>
        <v>0</v>
      </c>
      <c r="BF184" s="66">
        <f t="shared" si="1569"/>
        <v>0</v>
      </c>
      <c r="BG184" s="66">
        <f t="shared" si="1346"/>
        <v>0</v>
      </c>
      <c r="BH184" s="66">
        <f t="shared" si="1346"/>
        <v>0</v>
      </c>
      <c r="BI184" s="66">
        <f t="shared" si="1346"/>
        <v>0</v>
      </c>
      <c r="BJ184" s="66">
        <f t="shared" si="1346"/>
        <v>-0.123</v>
      </c>
      <c r="BK184" s="66">
        <f t="shared" ref="BK184:BM184" si="1570">+BK74</f>
        <v>0.123</v>
      </c>
      <c r="BL184" s="66">
        <f t="shared" si="1570"/>
        <v>0</v>
      </c>
      <c r="BM184" s="66">
        <f t="shared" si="1570"/>
        <v>1.8280000000000001</v>
      </c>
      <c r="BO184" s="66">
        <f t="shared" ref="BO184:BP184" si="1571">+BO74</f>
        <v>-25.763999999999999</v>
      </c>
      <c r="BP184" s="66">
        <f t="shared" si="1571"/>
        <v>0</v>
      </c>
      <c r="BQ184" s="66">
        <f t="shared" ref="BQ184:BT184" si="1572">+BQ74</f>
        <v>0</v>
      </c>
      <c r="BR184" s="66">
        <f t="shared" si="1572"/>
        <v>0</v>
      </c>
      <c r="BS184" s="66">
        <f t="shared" si="1572"/>
        <v>0</v>
      </c>
      <c r="BT184" s="66">
        <f t="shared" si="1572"/>
        <v>0</v>
      </c>
      <c r="BV184" s="40"/>
      <c r="BW184" s="40"/>
      <c r="BY184" s="40"/>
      <c r="BZ184" s="40"/>
      <c r="CB184" s="16"/>
      <c r="CC184" s="16"/>
    </row>
    <row r="185" spans="2:81" s="6" customFormat="1" ht="13.5" customHeight="1">
      <c r="B185" s="10" t="str">
        <f t="shared" si="1550"/>
        <v xml:space="preserve">Dividends Paid </v>
      </c>
      <c r="C185" s="66">
        <f t="shared" si="1550"/>
        <v>-902.71799999999996</v>
      </c>
      <c r="D185" s="66">
        <f t="shared" si="1550"/>
        <v>-494.38800000000003</v>
      </c>
      <c r="E185" s="66">
        <f t="shared" si="1550"/>
        <v>-855.44500000000005</v>
      </c>
      <c r="F185" s="66">
        <f t="shared" si="1550"/>
        <v>-613.66899999999998</v>
      </c>
      <c r="G185" s="66">
        <f t="shared" ref="G185:H185" si="1573">+G75</f>
        <v>-852.73199999999997</v>
      </c>
      <c r="H185" s="66">
        <f t="shared" si="1573"/>
        <v>-1030.3150000000001</v>
      </c>
      <c r="I185" s="66">
        <f t="shared" ref="I185" si="1574">+I75</f>
        <v>-697.28899999999999</v>
      </c>
      <c r="J185" s="66">
        <f t="shared" ref="J185:K185" si="1575">+J75</f>
        <v>-1030.3150000000001</v>
      </c>
      <c r="K185" s="66">
        <f t="shared" si="1575"/>
        <v>-697.28899999999999</v>
      </c>
      <c r="L185" s="66">
        <f t="shared" ref="L185:M185" si="1576">+L75</f>
        <v>-695.58899999999994</v>
      </c>
      <c r="M185" s="66">
        <f t="shared" si="1576"/>
        <v>-2048.3150000000001</v>
      </c>
      <c r="N185" s="66">
        <f t="shared" ref="N185" si="1577">+N75</f>
        <v>-2048.3150000000001</v>
      </c>
      <c r="O185" s="66">
        <f t="shared" ref="O185:P185" si="1578">+O75</f>
        <v>-1261.9100000000001</v>
      </c>
      <c r="P185" s="66">
        <f t="shared" si="1578"/>
        <v>-1262.5810000000001</v>
      </c>
      <c r="Q185" s="66">
        <f t="shared" ref="Q185" si="1579">+Q75</f>
        <v>-1346.4380000000001</v>
      </c>
      <c r="R185" s="66">
        <f t="shared" ref="R185" si="1580">+R75</f>
        <v>-1354.489</v>
      </c>
      <c r="S185"/>
      <c r="T185" s="66">
        <f t="shared" ref="T185:AB185" si="1581">+T75</f>
        <v>-5.6050000000000004</v>
      </c>
      <c r="U185" s="66">
        <f t="shared" si="1581"/>
        <v>-15.998000000000001</v>
      </c>
      <c r="V185" s="66">
        <f t="shared" si="1581"/>
        <v>-483.14</v>
      </c>
      <c r="W185" s="66">
        <f t="shared" si="1581"/>
        <v>-350.702</v>
      </c>
      <c r="X185" s="66">
        <f t="shared" si="1581"/>
        <v>0</v>
      </c>
      <c r="Y185" s="66">
        <f t="shared" si="1581"/>
        <v>-266.358</v>
      </c>
      <c r="Z185" s="66">
        <f t="shared" si="1581"/>
        <v>-26.35899999999998</v>
      </c>
      <c r="AA185" s="66">
        <f t="shared" si="1581"/>
        <v>-320.95199999999994</v>
      </c>
      <c r="AB185" s="66">
        <f t="shared" si="1581"/>
        <v>-3.78</v>
      </c>
      <c r="AC185" s="66">
        <f t="shared" si="1336"/>
        <v>-487.24600000000004</v>
      </c>
      <c r="AD185" s="66">
        <f t="shared" ref="AD185:AG185" si="1582">+AD75</f>
        <v>-66.464999999999975</v>
      </c>
      <c r="AE185" s="66">
        <f t="shared" si="1582"/>
        <v>-295.24099999999999</v>
      </c>
      <c r="AF185" s="66">
        <f t="shared" si="1582"/>
        <v>-44.115000000000002</v>
      </c>
      <c r="AG185" s="66">
        <f t="shared" si="1582"/>
        <v>-521.80999999999995</v>
      </c>
      <c r="AH185" s="66">
        <f t="shared" ref="AH185:AS185" si="1583">+AH75</f>
        <v>-401.28600000000006</v>
      </c>
      <c r="AI185" s="66">
        <f t="shared" si="1583"/>
        <v>-63.104000000000042</v>
      </c>
      <c r="AJ185" s="254"/>
      <c r="AK185" s="254"/>
      <c r="AL185" s="254"/>
      <c r="AM185" s="66">
        <f t="shared" ref="AM185:AP185" si="1584">+AM75</f>
        <v>0</v>
      </c>
      <c r="AN185" s="66">
        <f t="shared" si="1584"/>
        <v>-541.40700000000004</v>
      </c>
      <c r="AO185" s="66">
        <f t="shared" si="1584"/>
        <v>-90.592999999999961</v>
      </c>
      <c r="AP185" s="66">
        <f t="shared" si="1584"/>
        <v>-3.7380000000000564</v>
      </c>
      <c r="AQ185" s="66">
        <f t="shared" ref="AQ185" si="1585">+AQ75</f>
        <v>-61.550999999999931</v>
      </c>
      <c r="AR185" s="66">
        <f t="shared" si="1583"/>
        <v>-541.40700000000004</v>
      </c>
      <c r="AS185" s="66">
        <f t="shared" si="1583"/>
        <v>-90.592999999999961</v>
      </c>
      <c r="AT185" s="66">
        <f t="shared" ref="AT185:AZ185" si="1586">+AT75</f>
        <v>-3.7380000000000564</v>
      </c>
      <c r="AU185" s="66">
        <f t="shared" si="1586"/>
        <v>-61.550999999999931</v>
      </c>
      <c r="AV185" s="66">
        <f t="shared" ref="AV185:AW185" si="1587">+AV75</f>
        <v>-3.7380000000000564</v>
      </c>
      <c r="AW185" s="66">
        <f t="shared" si="1587"/>
        <v>-59.850999999999885</v>
      </c>
      <c r="AX185" s="66">
        <f t="shared" si="1586"/>
        <v>-1338.9860000000001</v>
      </c>
      <c r="AY185" s="69">
        <f t="shared" ref="AY185" si="1588">+AY75</f>
        <v>-1338.9860000000001</v>
      </c>
      <c r="AZ185" s="66">
        <f t="shared" si="1586"/>
        <v>-87.815000000000055</v>
      </c>
      <c r="BA185" s="66">
        <f t="shared" ref="BA185" si="1589">+BA75</f>
        <v>-87.815000000000055</v>
      </c>
      <c r="BB185" s="66">
        <f t="shared" ref="BB185" si="1590">+BB75</f>
        <v>-95.598999999999933</v>
      </c>
      <c r="BC185" s="66">
        <f t="shared" ref="BC185:BF185" si="1591">+BC75</f>
        <v>-95.598999999999933</v>
      </c>
      <c r="BD185" s="66">
        <f t="shared" si="1591"/>
        <v>-525.91499999999996</v>
      </c>
      <c r="BE185" s="66">
        <f t="shared" si="1591"/>
        <v>-1.9E-2</v>
      </c>
      <c r="BF185" s="66">
        <f t="shared" si="1591"/>
        <v>-614.48500000000001</v>
      </c>
      <c r="BG185" s="66">
        <f t="shared" si="1346"/>
        <v>-123.61599999999999</v>
      </c>
      <c r="BH185" s="66">
        <f t="shared" si="1346"/>
        <v>-523.79000000000008</v>
      </c>
      <c r="BI185" s="66">
        <f t="shared" si="1346"/>
        <v>-7.24</v>
      </c>
      <c r="BJ185" s="66">
        <f t="shared" si="1346"/>
        <v>-721.95600000000002</v>
      </c>
      <c r="BK185" s="66">
        <f t="shared" ref="BK185:BM185" si="1592">+BK75</f>
        <v>-72.697999999999979</v>
      </c>
      <c r="BL185" s="66">
        <f t="shared" si="1592"/>
        <v>-544.5440000000001</v>
      </c>
      <c r="BM185" s="66">
        <f t="shared" si="1592"/>
        <v>-15.291</v>
      </c>
      <c r="BO185" s="66">
        <f t="shared" ref="BO185:BP185" si="1593">+BO75</f>
        <v>-525.91499999999996</v>
      </c>
      <c r="BP185" s="66">
        <f t="shared" si="1593"/>
        <v>-1.9E-2</v>
      </c>
      <c r="BQ185" s="66">
        <f t="shared" ref="BQ185:BT185" si="1594">+BQ75</f>
        <v>-614.48500000000001</v>
      </c>
      <c r="BR185" s="66">
        <f t="shared" si="1594"/>
        <v>-123.61599999999999</v>
      </c>
      <c r="BS185" s="66">
        <f t="shared" si="1594"/>
        <v>-524.46100000000013</v>
      </c>
      <c r="BT185" s="66">
        <f t="shared" si="1594"/>
        <v>-7.24</v>
      </c>
      <c r="BV185" s="40"/>
      <c r="BW185" s="40"/>
      <c r="BY185" s="40"/>
      <c r="BZ185" s="40"/>
      <c r="CB185" s="16"/>
      <c r="CC185" s="16"/>
    </row>
    <row r="186" spans="2:81" ht="13.5" customHeight="1">
      <c r="B186" s="10" t="str">
        <f t="shared" si="1550"/>
        <v>Change in debt</v>
      </c>
      <c r="C186" s="69">
        <f t="shared" si="1550"/>
        <v>4063.23</v>
      </c>
      <c r="D186" s="69">
        <f t="shared" si="1550"/>
        <v>-1600.4670000000001</v>
      </c>
      <c r="E186" s="69">
        <f t="shared" si="1550"/>
        <v>-596.54899999999952</v>
      </c>
      <c r="F186" s="69">
        <f t="shared" si="1550"/>
        <v>-3560.2550000000001</v>
      </c>
      <c r="G186" s="69">
        <f t="shared" ref="G186:H186" si="1595">+G76</f>
        <v>65.008000000000038</v>
      </c>
      <c r="H186" s="69">
        <f t="shared" si="1595"/>
        <v>-853.82300000000021</v>
      </c>
      <c r="I186" s="69">
        <f t="shared" ref="I186" si="1596">+I76</f>
        <v>5324.0100000000011</v>
      </c>
      <c r="J186" s="69">
        <f t="shared" ref="J186:K186" si="1597">+J76</f>
        <v>-853.82199999999955</v>
      </c>
      <c r="K186" s="69">
        <f t="shared" si="1597"/>
        <v>5324.0100000000011</v>
      </c>
      <c r="L186" s="69">
        <f t="shared" ref="L186:M186" si="1598">+L76</f>
        <v>5288.7739999999985</v>
      </c>
      <c r="M186" s="69">
        <f t="shared" si="1598"/>
        <v>-3318.7269999999999</v>
      </c>
      <c r="N186" s="69">
        <f t="shared" ref="N186" si="1599">+N76</f>
        <v>-3347.0769999999998</v>
      </c>
      <c r="O186" s="69">
        <f t="shared" ref="O186:P186" si="1600">+O76</f>
        <v>-2161.4770000000003</v>
      </c>
      <c r="P186" s="69">
        <f t="shared" si="1600"/>
        <v>-2067.1779999999999</v>
      </c>
      <c r="Q186" s="69">
        <f t="shared" ref="Q186" si="1601">+Q76</f>
        <v>-2776.0439999999994</v>
      </c>
      <c r="R186" s="69">
        <f t="shared" ref="R186" si="1602">+R76</f>
        <v>40.414999999999964</v>
      </c>
      <c r="T186" s="69">
        <f t="shared" ref="T186:AB186" si="1603">+T76</f>
        <v>-456.101</v>
      </c>
      <c r="U186" s="69">
        <f t="shared" si="1603"/>
        <v>146.59800000000001</v>
      </c>
      <c r="V186" s="69">
        <f t="shared" si="1603"/>
        <v>476.99000000000029</v>
      </c>
      <c r="W186" s="69">
        <f t="shared" si="1603"/>
        <v>-764.03599999999983</v>
      </c>
      <c r="X186" s="69">
        <f t="shared" si="1603"/>
        <v>-116.21899999999994</v>
      </c>
      <c r="Y186" s="69">
        <f t="shared" si="1603"/>
        <v>-1990.9709999999995</v>
      </c>
      <c r="Z186" s="69">
        <f t="shared" si="1603"/>
        <v>-1370.5890000000009</v>
      </c>
      <c r="AA186" s="69">
        <f t="shared" si="1603"/>
        <v>-82.475999999999772</v>
      </c>
      <c r="AB186" s="69">
        <f t="shared" si="1603"/>
        <v>597.02100000000019</v>
      </c>
      <c r="AC186" s="69">
        <f t="shared" si="1336"/>
        <v>-1005.3880000000001</v>
      </c>
      <c r="AD186" s="69">
        <f t="shared" ref="AD186:AG186" si="1604">+AD76</f>
        <v>3545.9360000000006</v>
      </c>
      <c r="AE186" s="69">
        <f t="shared" si="1604"/>
        <v>-3072.5610000000006</v>
      </c>
      <c r="AF186" s="69">
        <f t="shared" si="1604"/>
        <v>-841.68499999999995</v>
      </c>
      <c r="AG186" s="69">
        <f t="shared" si="1604"/>
        <v>-256.8449999999998</v>
      </c>
      <c r="AH186" s="69">
        <f t="shared" ref="AH186:AS186" si="1605">+AH76</f>
        <v>-107.20300000000043</v>
      </c>
      <c r="AI186" s="69">
        <f t="shared" si="1605"/>
        <v>351.90999999999997</v>
      </c>
      <c r="AJ186" s="229"/>
      <c r="AK186" s="229"/>
      <c r="AL186" s="229"/>
      <c r="AM186" s="69">
        <f t="shared" ref="AM186:AP186" si="1606">+AM76</f>
        <v>0</v>
      </c>
      <c r="AN186" s="69">
        <f t="shared" si="1606"/>
        <v>-675.48399999999992</v>
      </c>
      <c r="AO186" s="69">
        <f t="shared" si="1606"/>
        <v>4766.8289999999997</v>
      </c>
      <c r="AP186" s="69">
        <f t="shared" si="1606"/>
        <v>1324.1420000000003</v>
      </c>
      <c r="AQ186" s="69">
        <f t="shared" ref="AQ186" si="1607">+AQ76</f>
        <v>-91.476999999998952</v>
      </c>
      <c r="AR186" s="69">
        <f t="shared" si="1605"/>
        <v>-675.48399999999992</v>
      </c>
      <c r="AS186" s="69">
        <f t="shared" si="1605"/>
        <v>4766.8289999999997</v>
      </c>
      <c r="AT186" s="69">
        <f t="shared" ref="AT186:AZ186" si="1608">+AT76</f>
        <v>1324.1420000000003</v>
      </c>
      <c r="AU186" s="69">
        <f t="shared" si="1608"/>
        <v>-91.476999999999407</v>
      </c>
      <c r="AV186" s="69">
        <f t="shared" ref="AV186:AW186" si="1609">+AV76</f>
        <v>1324.1420000000003</v>
      </c>
      <c r="AW186" s="69">
        <f t="shared" si="1609"/>
        <v>-126.71300000000201</v>
      </c>
      <c r="AX186" s="69">
        <f t="shared" si="1608"/>
        <v>-695.89099999999996</v>
      </c>
      <c r="AY186" s="69">
        <f t="shared" ref="AY186" si="1610">+AY76</f>
        <v>-695.89099999999996</v>
      </c>
      <c r="AZ186" s="69">
        <f t="shared" si="1608"/>
        <v>-1995.7529999999997</v>
      </c>
      <c r="BA186" s="69">
        <f t="shared" ref="BA186" si="1611">+BA76</f>
        <v>-1995.7529999999997</v>
      </c>
      <c r="BB186" s="69">
        <f t="shared" ref="BB186" si="1612">+BB76</f>
        <v>-621.14</v>
      </c>
      <c r="BC186" s="69">
        <f t="shared" ref="BC186:BF186" si="1613">+BC76</f>
        <v>-621.14</v>
      </c>
      <c r="BD186" s="69">
        <f t="shared" si="1613"/>
        <v>-5.943000000000211</v>
      </c>
      <c r="BE186" s="69">
        <f t="shared" si="1613"/>
        <v>-561.26899999999989</v>
      </c>
      <c r="BF186" s="69">
        <f t="shared" si="1613"/>
        <v>416.76500000000021</v>
      </c>
      <c r="BG186" s="69">
        <f t="shared" si="1346"/>
        <v>-1201.4820000000004</v>
      </c>
      <c r="BH186" s="69">
        <f t="shared" si="1346"/>
        <v>-815.49100000000021</v>
      </c>
      <c r="BI186" s="69">
        <f t="shared" si="1346"/>
        <v>-515.60699999999997</v>
      </c>
      <c r="BJ186" s="69">
        <f t="shared" si="1346"/>
        <v>-485.51400000000001</v>
      </c>
      <c r="BK186" s="69">
        <f t="shared" ref="BK186:BM186" si="1614">+BK76</f>
        <v>-1429.299</v>
      </c>
      <c r="BL186" s="69">
        <f t="shared" si="1614"/>
        <v>-345.62399999999934</v>
      </c>
      <c r="BM186" s="69">
        <f t="shared" si="1614"/>
        <v>2300.8519999999994</v>
      </c>
      <c r="BO186" s="69">
        <f t="shared" ref="BO186:BP186" si="1615">+BO76</f>
        <v>-34.29300000000012</v>
      </c>
      <c r="BP186" s="69">
        <f t="shared" si="1615"/>
        <v>-561.26899999999989</v>
      </c>
      <c r="BQ186" s="69">
        <f t="shared" ref="BQ186:BT186" si="1616">+BQ76</f>
        <v>233.85899999999987</v>
      </c>
      <c r="BR186" s="69">
        <f t="shared" si="1616"/>
        <v>-910.31999999999994</v>
      </c>
      <c r="BS186" s="69">
        <f t="shared" si="1616"/>
        <v>-829.44799999999998</v>
      </c>
      <c r="BT186" s="69">
        <f t="shared" si="1616"/>
        <v>-515.6070000000002</v>
      </c>
      <c r="BV186" s="40"/>
      <c r="BW186" s="40"/>
      <c r="BY186" s="40"/>
      <c r="BZ186" s="40"/>
      <c r="CB186" s="16"/>
      <c r="CC186" s="16"/>
    </row>
    <row r="187" spans="2:81" ht="13.5" customHeight="1" thickBot="1">
      <c r="B187" s="74" t="str">
        <f t="shared" si="1550"/>
        <v>Other financing activities</v>
      </c>
      <c r="C187" s="75">
        <f t="shared" si="1550"/>
        <v>2019.0140000000001</v>
      </c>
      <c r="D187" s="75">
        <f t="shared" si="1550"/>
        <v>3334.8710000000001</v>
      </c>
      <c r="E187" s="75">
        <f t="shared" si="1550"/>
        <v>762.60100000000011</v>
      </c>
      <c r="F187" s="75">
        <f t="shared" si="1550"/>
        <v>-8.2599999999999909</v>
      </c>
      <c r="G187" s="75">
        <f t="shared" ref="G187:H187" si="1617">+G77</f>
        <v>1057.4929999999999</v>
      </c>
      <c r="H187" s="75">
        <f t="shared" si="1617"/>
        <v>667.904</v>
      </c>
      <c r="I187" s="75">
        <f t="shared" ref="I187" si="1618">+I77</f>
        <v>-1180.8529999999998</v>
      </c>
      <c r="J187" s="75">
        <f t="shared" ref="J187:K187" si="1619">+J77</f>
        <v>667.904</v>
      </c>
      <c r="K187" s="75">
        <f t="shared" si="1619"/>
        <v>-1180.8529999999998</v>
      </c>
      <c r="L187" s="75">
        <f t="shared" ref="L187:M187" si="1620">+L77</f>
        <v>-1180.8549999999998</v>
      </c>
      <c r="M187" s="75">
        <f t="shared" si="1620"/>
        <v>99.733000000000004</v>
      </c>
      <c r="N187" s="75">
        <f t="shared" ref="N187" si="1621">+N77</f>
        <v>99.733000000000004</v>
      </c>
      <c r="O187" s="75">
        <f t="shared" ref="O187:P187" si="1622">+O77</f>
        <v>311.81599999999997</v>
      </c>
      <c r="P187" s="75">
        <f t="shared" si="1622"/>
        <v>201.57000000000002</v>
      </c>
      <c r="Q187" s="75">
        <f t="shared" ref="Q187" si="1623">+Q77</f>
        <v>-64.858000000000004</v>
      </c>
      <c r="R187" s="75">
        <f t="shared" ref="R187" si="1624">+R77</f>
        <v>-2141.1290000000004</v>
      </c>
      <c r="T187" s="75">
        <f t="shared" ref="T187:AB187" si="1625">+T77</f>
        <v>0.62</v>
      </c>
      <c r="U187" s="75">
        <f t="shared" si="1625"/>
        <v>368.28100000000001</v>
      </c>
      <c r="V187" s="75">
        <f t="shared" si="1625"/>
        <v>80.795000000000016</v>
      </c>
      <c r="W187" s="75">
        <f t="shared" si="1625"/>
        <v>312.90500000000009</v>
      </c>
      <c r="X187" s="75">
        <f t="shared" si="1625"/>
        <v>-1.8520000000000001</v>
      </c>
      <c r="Y187" s="75">
        <f t="shared" si="1625"/>
        <v>-6.3289999999999971</v>
      </c>
      <c r="Z187" s="75">
        <f t="shared" si="1625"/>
        <v>-0.45199999999999818</v>
      </c>
      <c r="AA187" s="75">
        <f t="shared" si="1625"/>
        <v>0.37300000000000444</v>
      </c>
      <c r="AB187" s="75">
        <f t="shared" si="1625"/>
        <v>265.18699999999995</v>
      </c>
      <c r="AC187" s="75">
        <f t="shared" si="1336"/>
        <v>256.75700000000012</v>
      </c>
      <c r="AD187" s="75">
        <f t="shared" ref="AD187:AG187" si="1626">+AD77</f>
        <v>728.87400000000002</v>
      </c>
      <c r="AE187" s="75">
        <f t="shared" si="1626"/>
        <v>-193.32500000000005</v>
      </c>
      <c r="AF187" s="75">
        <f t="shared" si="1626"/>
        <v>-0.183</v>
      </c>
      <c r="AG187" s="75">
        <f t="shared" si="1626"/>
        <v>246.45500000000001</v>
      </c>
      <c r="AH187" s="75">
        <f t="shared" ref="AH187:AS187" si="1627">+AH77</f>
        <v>-400.072</v>
      </c>
      <c r="AI187" s="75">
        <f t="shared" si="1627"/>
        <v>821.70399999999995</v>
      </c>
      <c r="AJ187" s="255"/>
      <c r="AK187" s="255"/>
      <c r="AL187" s="255"/>
      <c r="AM187" s="75">
        <f t="shared" ref="AM187:AP187" si="1628">+AM77</f>
        <v>0</v>
      </c>
      <c r="AN187" s="75">
        <f t="shared" si="1628"/>
        <v>31.12399999999991</v>
      </c>
      <c r="AO187" s="75">
        <f t="shared" si="1628"/>
        <v>-74.572999999999894</v>
      </c>
      <c r="AP187" s="75">
        <f t="shared" si="1628"/>
        <v>43.518999999999977</v>
      </c>
      <c r="AQ187" s="75">
        <f t="shared" ref="AQ187" si="1629">+AQ77</f>
        <v>-1180.9229999999998</v>
      </c>
      <c r="AR187" s="75">
        <f t="shared" si="1627"/>
        <v>31.12399999999991</v>
      </c>
      <c r="AS187" s="75">
        <f t="shared" si="1627"/>
        <v>-74.572999999999894</v>
      </c>
      <c r="AT187" s="75">
        <f t="shared" ref="AT187:AZ187" si="1630">+AT77</f>
        <v>43.518999999999977</v>
      </c>
      <c r="AU187" s="75">
        <f t="shared" si="1630"/>
        <v>-1180.923</v>
      </c>
      <c r="AV187" s="75">
        <f t="shared" ref="AV187:AW187" si="1631">+AV77</f>
        <v>43.518999999999977</v>
      </c>
      <c r="AW187" s="75">
        <f t="shared" si="1631"/>
        <v>-1180.925</v>
      </c>
      <c r="AX187" s="75">
        <f t="shared" si="1630"/>
        <v>40.000000000000227</v>
      </c>
      <c r="AY187" s="75">
        <f t="shared" ref="AY187" si="1632">+AY77</f>
        <v>40.000000000000227</v>
      </c>
      <c r="AZ187" s="75">
        <f t="shared" si="1630"/>
        <v>25.763999999999768</v>
      </c>
      <c r="BA187" s="75">
        <f t="shared" ref="BA187" si="1633">+BA77</f>
        <v>25.763999999999768</v>
      </c>
      <c r="BB187" s="75">
        <f t="shared" ref="BB187" si="1634">+BB77</f>
        <v>-25.763999999999996</v>
      </c>
      <c r="BC187" s="75">
        <f t="shared" ref="BC187:BF187" si="1635">+BC77</f>
        <v>-25.763999999999996</v>
      </c>
      <c r="BD187" s="75">
        <f t="shared" si="1635"/>
        <v>59.733000000000004</v>
      </c>
      <c r="BE187" s="75">
        <f t="shared" si="1635"/>
        <v>17.959999999999916</v>
      </c>
      <c r="BF187" s="75">
        <f t="shared" si="1635"/>
        <v>-59.733000000000004</v>
      </c>
      <c r="BG187" s="75">
        <f t="shared" si="1346"/>
        <v>353.58900000000006</v>
      </c>
      <c r="BH187" s="75">
        <f t="shared" si="1346"/>
        <v>0</v>
      </c>
      <c r="BI187" s="75">
        <f t="shared" si="1346"/>
        <v>30</v>
      </c>
      <c r="BJ187" s="75">
        <f t="shared" si="1346"/>
        <v>0</v>
      </c>
      <c r="BK187" s="75">
        <f t="shared" ref="BK187:BM187" si="1636">+BK77</f>
        <v>-100.122</v>
      </c>
      <c r="BL187" s="75">
        <f t="shared" si="1636"/>
        <v>5.2639999999999958</v>
      </c>
      <c r="BM187" s="75">
        <f t="shared" si="1636"/>
        <v>-2046.2710000000002</v>
      </c>
      <c r="BO187" s="75">
        <f t="shared" ref="BO187:BP187" si="1637">+BO77</f>
        <v>59.733000000000004</v>
      </c>
      <c r="BP187" s="75">
        <f t="shared" si="1637"/>
        <v>17.959999999999916</v>
      </c>
      <c r="BQ187" s="75">
        <f t="shared" ref="BQ187:BT187" si="1638">+BQ77</f>
        <v>164.94600000000008</v>
      </c>
      <c r="BR187" s="75">
        <f t="shared" si="1638"/>
        <v>20.653999999999996</v>
      </c>
      <c r="BS187" s="75">
        <f t="shared" si="1638"/>
        <v>-1.9899999999999736</v>
      </c>
      <c r="BT187" s="75">
        <f t="shared" si="1638"/>
        <v>30</v>
      </c>
      <c r="BV187" s="40"/>
      <c r="BW187" s="40"/>
      <c r="BY187" s="40"/>
      <c r="BZ187" s="40"/>
      <c r="CB187" s="16"/>
      <c r="CC187" s="16"/>
    </row>
    <row r="188" spans="2:81" ht="13.5" customHeight="1" thickTop="1" thickBot="1">
      <c r="B188" s="76" t="str">
        <f t="shared" si="1550"/>
        <v>Cash flow after financing activities</v>
      </c>
      <c r="C188" s="71">
        <f t="shared" si="1550"/>
        <v>14135.302</v>
      </c>
      <c r="D188" s="71">
        <f t="shared" si="1550"/>
        <v>11570.557999999997</v>
      </c>
      <c r="E188" s="71">
        <f t="shared" si="1550"/>
        <v>6736.8960000000006</v>
      </c>
      <c r="F188" s="71">
        <f t="shared" si="1550"/>
        <v>9892.3099999999922</v>
      </c>
      <c r="G188" s="71">
        <f t="shared" ref="G188:H188" si="1639">+G78</f>
        <v>14384.284999999998</v>
      </c>
      <c r="H188" s="71">
        <f t="shared" si="1639"/>
        <v>11001.797999999997</v>
      </c>
      <c r="I188" s="71">
        <f t="shared" ref="I188" si="1640">+I78</f>
        <v>13149.137000000006</v>
      </c>
      <c r="J188" s="71">
        <f t="shared" ref="J188:K188" si="1641">+J78</f>
        <v>8405.8329999999969</v>
      </c>
      <c r="K188" s="71">
        <f t="shared" si="1641"/>
        <v>10311.782000000003</v>
      </c>
      <c r="L188" s="71">
        <f t="shared" ref="L188:M188" si="1642">+L78</f>
        <v>9382.0819999999985</v>
      </c>
      <c r="M188" s="71">
        <f t="shared" si="1642"/>
        <v>7339.699999999998</v>
      </c>
      <c r="N188" s="71">
        <f t="shared" ref="N188" si="1643">+N78</f>
        <v>7562.4409999999953</v>
      </c>
      <c r="O188" s="71">
        <f t="shared" ref="O188:P188" si="1644">+O78</f>
        <v>11344.079000000005</v>
      </c>
      <c r="P188" s="71">
        <f t="shared" si="1644"/>
        <v>5957.2939999999999</v>
      </c>
      <c r="Q188" s="71">
        <f t="shared" ref="Q188" si="1645">+Q78</f>
        <v>4958.6939999999977</v>
      </c>
      <c r="R188" s="71">
        <f t="shared" ref="R188" si="1646">+R78</f>
        <v>4608.7523470000015</v>
      </c>
      <c r="T188" s="71">
        <f t="shared" ref="T188:AB188" si="1647">+T78</f>
        <v>-1355.204</v>
      </c>
      <c r="U188" s="71">
        <f t="shared" si="1647"/>
        <v>899.03699999999935</v>
      </c>
      <c r="V188" s="71">
        <f t="shared" si="1647"/>
        <v>1828.139999999999</v>
      </c>
      <c r="W188" s="71">
        <f t="shared" si="1647"/>
        <v>5364.9230000000016</v>
      </c>
      <c r="X188" s="71">
        <f t="shared" si="1647"/>
        <v>4066.4290000000001</v>
      </c>
      <c r="Y188" s="71">
        <f t="shared" si="1647"/>
        <v>1057.5719999999999</v>
      </c>
      <c r="Z188" s="71">
        <f t="shared" si="1647"/>
        <v>2007.8530000000026</v>
      </c>
      <c r="AA188" s="71">
        <f t="shared" si="1647"/>
        <v>2760.4559999999956</v>
      </c>
      <c r="AB188" s="71">
        <f t="shared" si="1647"/>
        <v>4538.5850000000009</v>
      </c>
      <c r="AC188" s="71">
        <f t="shared" si="1336"/>
        <v>2540.0179999999978</v>
      </c>
      <c r="AD188" s="71">
        <f t="shared" ref="AD188:AG188" si="1648">+AD78</f>
        <v>7894.8469999999979</v>
      </c>
      <c r="AE188" s="71">
        <f t="shared" si="1648"/>
        <v>-589.16499999999974</v>
      </c>
      <c r="AF188" s="71">
        <f t="shared" si="1648"/>
        <v>1574.5170000000007</v>
      </c>
      <c r="AG188" s="71">
        <f t="shared" si="1648"/>
        <v>3162.6680000000001</v>
      </c>
      <c r="AH188" s="71">
        <f t="shared" ref="AH188:AS188" si="1649">+AH78</f>
        <v>3449.143</v>
      </c>
      <c r="AI188" s="71">
        <f t="shared" si="1649"/>
        <v>2815.4699999999975</v>
      </c>
      <c r="AJ188" s="252"/>
      <c r="AK188" s="252"/>
      <c r="AL188" s="252"/>
      <c r="AM188" s="71">
        <f t="shared" ref="AM188:AP188" si="1650">+AM78</f>
        <v>0</v>
      </c>
      <c r="AN188" s="71">
        <f t="shared" si="1650"/>
        <v>2022.2819999999997</v>
      </c>
      <c r="AO188" s="71">
        <f t="shared" si="1650"/>
        <v>3868.1190000000001</v>
      </c>
      <c r="AP188" s="71">
        <f t="shared" si="1650"/>
        <v>4148.1359999999968</v>
      </c>
      <c r="AQ188" s="71">
        <f t="shared" ref="AQ188" si="1651">+AQ78</f>
        <v>3110.6000000000031</v>
      </c>
      <c r="AR188" s="71">
        <f t="shared" si="1649"/>
        <v>1369.819</v>
      </c>
      <c r="AS188" s="71">
        <f t="shared" si="1649"/>
        <v>3187.4710000000009</v>
      </c>
      <c r="AT188" s="71">
        <f t="shared" ref="AT188:AZ188" si="1652">+AT78</f>
        <v>3416.5359999999973</v>
      </c>
      <c r="AU188" s="71">
        <f t="shared" si="1652"/>
        <v>2337.9560000000029</v>
      </c>
      <c r="AV188" s="71">
        <f t="shared" ref="AV188:AW188" si="1653">+AV78</f>
        <v>3252.3359999999971</v>
      </c>
      <c r="AW188" s="71">
        <f t="shared" si="1653"/>
        <v>1572.4559999999999</v>
      </c>
      <c r="AX188" s="71">
        <f t="shared" si="1652"/>
        <v>515.91699999999912</v>
      </c>
      <c r="AY188" s="71">
        <f t="shared" ref="AY188" si="1654">+AY78</f>
        <v>282.48599999999954</v>
      </c>
      <c r="AZ188" s="71">
        <f t="shared" si="1652"/>
        <v>2698.5359999999996</v>
      </c>
      <c r="BA188" s="71">
        <f t="shared" ref="BA188" si="1655">+BA78</f>
        <v>2472.922</v>
      </c>
      <c r="BB188" s="71">
        <f t="shared" ref="BB188" si="1656">+BB78</f>
        <v>2930.364</v>
      </c>
      <c r="BC188" s="71">
        <f t="shared" ref="BC188:BF188" si="1657">+BC78</f>
        <v>2754.364</v>
      </c>
      <c r="BD188" s="71">
        <f t="shared" si="1657"/>
        <v>1370.8829999999971</v>
      </c>
      <c r="BE188" s="71">
        <f t="shared" si="1657"/>
        <v>2730.6030000000005</v>
      </c>
      <c r="BF188" s="71">
        <f t="shared" si="1657"/>
        <v>3661.4309999999991</v>
      </c>
      <c r="BG188" s="71">
        <f t="shared" si="1346"/>
        <v>2650.1880000000015</v>
      </c>
      <c r="BH188" s="71">
        <f t="shared" si="1346"/>
        <v>2301.8570000000009</v>
      </c>
      <c r="BI188" s="71">
        <f t="shared" si="1346"/>
        <v>1566.2466529999997</v>
      </c>
      <c r="BJ188" s="71">
        <f t="shared" si="1346"/>
        <v>2570.8503470000001</v>
      </c>
      <c r="BK188" s="71">
        <f t="shared" ref="BK188:BM188" si="1658">+BK78</f>
        <v>251.77200000000022</v>
      </c>
      <c r="BL188" s="71">
        <f t="shared" si="1658"/>
        <v>569.82499999999993</v>
      </c>
      <c r="BM188" s="71">
        <f t="shared" si="1658"/>
        <v>1216.3049999999989</v>
      </c>
      <c r="BO188" s="71">
        <f t="shared" ref="BO188:BP188" si="1659">+BO78</f>
        <v>2052.6689999999967</v>
      </c>
      <c r="BP188" s="71">
        <f t="shared" si="1659"/>
        <v>2797.28</v>
      </c>
      <c r="BQ188" s="71">
        <f t="shared" ref="BQ188:BT188" si="1660">+BQ78</f>
        <v>2414.5439999999999</v>
      </c>
      <c r="BR188" s="71">
        <f t="shared" si="1660"/>
        <v>1363.977000000001</v>
      </c>
      <c r="BS188" s="71">
        <f t="shared" si="1660"/>
        <v>-618.50699999999608</v>
      </c>
      <c r="BT188" s="71">
        <f t="shared" si="1660"/>
        <v>1385.5770000000002</v>
      </c>
      <c r="BV188" s="40"/>
      <c r="BW188" s="40"/>
      <c r="BY188" s="40"/>
      <c r="BZ188" s="40"/>
      <c r="CB188" s="16"/>
      <c r="CC188" s="16"/>
    </row>
    <row r="189" spans="2:81" ht="13.5" customHeight="1" thickTop="1">
      <c r="B189" s="10" t="str">
        <f t="shared" si="1550"/>
        <v>FX</v>
      </c>
      <c r="C189" s="69">
        <f t="shared" si="1550"/>
        <v>98.103999999999999</v>
      </c>
      <c r="D189" s="69">
        <f t="shared" si="1550"/>
        <v>-216.18899999999999</v>
      </c>
      <c r="E189" s="69">
        <f t="shared" si="1550"/>
        <v>-162.023</v>
      </c>
      <c r="F189" s="69">
        <f t="shared" si="1550"/>
        <v>49.343000000000004</v>
      </c>
      <c r="G189" s="69">
        <f t="shared" ref="G189:H189" si="1661">+G79</f>
        <v>-66.881</v>
      </c>
      <c r="H189" s="69">
        <f t="shared" si="1661"/>
        <v>92.438999999999993</v>
      </c>
      <c r="I189" s="69">
        <f t="shared" ref="I189" si="1662">+I79</f>
        <v>-733.245</v>
      </c>
      <c r="J189" s="69">
        <f t="shared" ref="J189:K189" si="1663">+J79</f>
        <v>-30.19</v>
      </c>
      <c r="K189" s="69">
        <f t="shared" si="1663"/>
        <v>-733.245</v>
      </c>
      <c r="L189" s="69">
        <f t="shared" ref="L189:M189" si="1664">+L79</f>
        <v>-18.701000000000001</v>
      </c>
      <c r="M189" s="69">
        <f t="shared" si="1664"/>
        <v>-266.71800000000002</v>
      </c>
      <c r="N189" s="69">
        <f t="shared" ref="N189" si="1665">+N79</f>
        <v>-266.16699999999997</v>
      </c>
      <c r="O189" s="69">
        <f t="shared" ref="O189:P189" si="1666">+O79</f>
        <v>-514.52700000000004</v>
      </c>
      <c r="P189" s="69">
        <f t="shared" si="1666"/>
        <v>-514.45699999999999</v>
      </c>
      <c r="Q189" s="69">
        <f t="shared" ref="Q189" si="1667">+Q79</f>
        <v>-470.10500000000002</v>
      </c>
      <c r="R189" s="69">
        <f t="shared" ref="R189" si="1668">+R79</f>
        <v>-426.82200000000006</v>
      </c>
      <c r="T189" s="69">
        <f t="shared" ref="T189:AB189" si="1669">+T79</f>
        <v>199.93700000000001</v>
      </c>
      <c r="U189" s="69">
        <f t="shared" si="1669"/>
        <v>-367.86099999999999</v>
      </c>
      <c r="V189" s="69">
        <f t="shared" si="1669"/>
        <v>-62.682000000000016</v>
      </c>
      <c r="W189" s="69">
        <f t="shared" si="1669"/>
        <v>68.58299999999997</v>
      </c>
      <c r="X189" s="69">
        <f t="shared" si="1669"/>
        <v>64.147999999999996</v>
      </c>
      <c r="Y189" s="69">
        <f t="shared" si="1669"/>
        <v>21.356000000000009</v>
      </c>
      <c r="Z189" s="69">
        <f t="shared" si="1669"/>
        <v>-3.3250000000000028</v>
      </c>
      <c r="AA189" s="69">
        <f t="shared" si="1669"/>
        <v>-32.835999999999999</v>
      </c>
      <c r="AB189" s="69">
        <f t="shared" si="1669"/>
        <v>-16.869</v>
      </c>
      <c r="AC189" s="69">
        <f t="shared" si="1336"/>
        <v>44.974000000000004</v>
      </c>
      <c r="AD189" s="69">
        <f t="shared" ref="AD189:AG189" si="1670">+AD79</f>
        <v>-64.302000000000007</v>
      </c>
      <c r="AE189" s="69">
        <f t="shared" si="1670"/>
        <v>-30.683999999999997</v>
      </c>
      <c r="AF189" s="69">
        <f t="shared" si="1670"/>
        <v>-2.044</v>
      </c>
      <c r="AG189" s="69">
        <f t="shared" si="1670"/>
        <v>20.016000000000002</v>
      </c>
      <c r="AH189" s="69">
        <f t="shared" ref="AH189:AS189" si="1671">+AH79</f>
        <v>131.82800000000003</v>
      </c>
      <c r="AI189" s="69">
        <f t="shared" si="1671"/>
        <v>-57.361000000000047</v>
      </c>
      <c r="AJ189" s="229"/>
      <c r="AK189" s="229"/>
      <c r="AL189" s="229"/>
      <c r="AM189" s="69">
        <f t="shared" ref="AM189:AP189" si="1672">+AM79</f>
        <v>0</v>
      </c>
      <c r="AN189" s="69">
        <f t="shared" si="1672"/>
        <v>-198.01900000000001</v>
      </c>
      <c r="AO189" s="69">
        <f t="shared" si="1672"/>
        <v>-67.199000000000012</v>
      </c>
      <c r="AP189" s="69">
        <f t="shared" si="1672"/>
        <v>223.98900000000003</v>
      </c>
      <c r="AQ189" s="69">
        <f t="shared" ref="AQ189" si="1673">+AQ79</f>
        <v>-692.01600000000008</v>
      </c>
      <c r="AR189" s="69">
        <f t="shared" si="1671"/>
        <v>-198.01900000000001</v>
      </c>
      <c r="AS189" s="69">
        <f t="shared" si="1671"/>
        <v>-67.199000000000012</v>
      </c>
      <c r="AT189" s="69">
        <f t="shared" ref="AT189:AZ189" si="1674">+AT79</f>
        <v>223.98900000000003</v>
      </c>
      <c r="AU189" s="69">
        <f t="shared" si="1674"/>
        <v>-692.01600000000008</v>
      </c>
      <c r="AV189" s="69">
        <f t="shared" ref="AV189:AW189" si="1675">+AV79</f>
        <v>223.98900000000003</v>
      </c>
      <c r="AW189" s="69">
        <f t="shared" si="1675"/>
        <v>22.527999999999992</v>
      </c>
      <c r="AX189" s="69">
        <f t="shared" si="1674"/>
        <v>133.80500000000001</v>
      </c>
      <c r="AY189" s="69">
        <f t="shared" ref="AY189" si="1676">+AY79</f>
        <v>133.80500000000001</v>
      </c>
      <c r="AZ189" s="69">
        <f t="shared" si="1674"/>
        <v>656.42499999999995</v>
      </c>
      <c r="BA189" s="69">
        <f t="shared" ref="BA189" si="1677">+BA79</f>
        <v>656.42499999999995</v>
      </c>
      <c r="BB189" s="69">
        <f t="shared" ref="BB189" si="1678">+BB79</f>
        <v>-274.07900000000001</v>
      </c>
      <c r="BC189" s="69">
        <f t="shared" ref="BC189:BF189" si="1679">+BC79</f>
        <v>-274.07900000000001</v>
      </c>
      <c r="BD189" s="69">
        <f t="shared" si="1679"/>
        <v>-782.86900000000014</v>
      </c>
      <c r="BE189" s="69">
        <f t="shared" si="1679"/>
        <v>-74.331000000000003</v>
      </c>
      <c r="BF189" s="69">
        <f t="shared" si="1679"/>
        <v>-156.80799999999999</v>
      </c>
      <c r="BG189" s="69">
        <f t="shared" si="1346"/>
        <v>-597.94600000000003</v>
      </c>
      <c r="BH189" s="69">
        <f t="shared" si="1346"/>
        <v>314.55799999999999</v>
      </c>
      <c r="BI189" s="69">
        <f t="shared" si="1346"/>
        <v>-55.597000000000001</v>
      </c>
      <c r="BJ189" s="69">
        <f t="shared" si="1346"/>
        <v>-101.791</v>
      </c>
      <c r="BK189" s="69">
        <f t="shared" ref="BK189:BM189" si="1680">+BK79</f>
        <v>-101.886</v>
      </c>
      <c r="BL189" s="69">
        <f t="shared" si="1680"/>
        <v>-210.83100000000002</v>
      </c>
      <c r="BM189" s="69">
        <f t="shared" si="1680"/>
        <v>-12.314</v>
      </c>
      <c r="BO189" s="69">
        <f t="shared" ref="BO189:BP189" si="1681">+BO79</f>
        <v>-782.31799999999998</v>
      </c>
      <c r="BP189" s="69">
        <f t="shared" si="1681"/>
        <v>-74.331000000000003</v>
      </c>
      <c r="BQ189" s="69">
        <f t="shared" ref="BQ189:BT189" si="1682">+BQ79</f>
        <v>-156.80799999999999</v>
      </c>
      <c r="BR189" s="69">
        <f t="shared" si="1682"/>
        <v>-597.94600000000003</v>
      </c>
      <c r="BS189" s="69">
        <f t="shared" si="1682"/>
        <v>314.62800000000004</v>
      </c>
      <c r="BT189" s="69">
        <f t="shared" si="1682"/>
        <v>-55.597000000000001</v>
      </c>
      <c r="BV189" s="40"/>
      <c r="BW189" s="40"/>
      <c r="BY189" s="40"/>
      <c r="BZ189" s="40"/>
      <c r="CB189" s="16"/>
      <c r="CC189" s="16"/>
    </row>
    <row r="190" spans="2:81" ht="13.5" customHeight="1">
      <c r="B190" s="10" t="str">
        <f t="shared" si="1550"/>
        <v>Balancing figure</v>
      </c>
      <c r="C190" s="69">
        <f t="shared" si="1550"/>
        <v>-14144.648999999999</v>
      </c>
      <c r="D190" s="69">
        <f t="shared" si="1550"/>
        <v>-9532.132999999998</v>
      </c>
      <c r="E190" s="69">
        <f t="shared" si="1550"/>
        <v>-9258.7790000000005</v>
      </c>
      <c r="F190" s="69">
        <f t="shared" si="1550"/>
        <v>-10714.295999999993</v>
      </c>
      <c r="G190" s="69">
        <f t="shared" ref="G190:H190" si="1683">+G80</f>
        <v>-10610.346999999998</v>
      </c>
      <c r="H190" s="69">
        <f t="shared" si="1683"/>
        <v>-11453.723999999997</v>
      </c>
      <c r="I190" s="69">
        <f t="shared" ref="I190" si="1684">+I80</f>
        <v>-12390.787000000006</v>
      </c>
      <c r="J190" s="69">
        <f t="shared" ref="J190:K190" si="1685">+J80</f>
        <v>-8785.4749999999967</v>
      </c>
      <c r="K190" s="69">
        <f t="shared" si="1685"/>
        <v>-9553.4320000000025</v>
      </c>
      <c r="L190" s="69">
        <f t="shared" ref="L190:M190" si="1686">+L80</f>
        <v>-9349.516999999998</v>
      </c>
      <c r="M190" s="69">
        <f t="shared" si="1686"/>
        <v>-9953.4609999999975</v>
      </c>
      <c r="N190" s="69">
        <f t="shared" ref="N190" si="1687">+N80</f>
        <v>-10233.888999999996</v>
      </c>
      <c r="O190" s="69">
        <f t="shared" ref="O190:P190" si="1688">+O80</f>
        <v>-10676.462000000005</v>
      </c>
      <c r="P190" s="69">
        <f t="shared" si="1688"/>
        <v>-5289.7469999999994</v>
      </c>
      <c r="Q190" s="69">
        <f t="shared" ref="Q190" si="1689">+Q80</f>
        <v>-5456.8279999999977</v>
      </c>
      <c r="R190" s="69">
        <f t="shared" ref="R190" si="1690">+R80</f>
        <v>-5412.498346999997</v>
      </c>
      <c r="T190" s="69">
        <f t="shared" ref="T190:AC191" si="1691">+T80</f>
        <v>62.564000000000078</v>
      </c>
      <c r="U190" s="69">
        <f t="shared" si="1691"/>
        <v>-19.254999999999427</v>
      </c>
      <c r="V190" s="69">
        <f t="shared" si="1691"/>
        <v>-1804.9780999999991</v>
      </c>
      <c r="W190" s="69">
        <f t="shared" si="1691"/>
        <v>-7497.1099000000022</v>
      </c>
      <c r="X190" s="69">
        <f t="shared" si="1691"/>
        <v>-2378.73</v>
      </c>
      <c r="Y190" s="69">
        <f t="shared" si="1691"/>
        <v>-2673.9639999999999</v>
      </c>
      <c r="Z190" s="69">
        <f t="shared" si="1691"/>
        <v>-2338.9260000000022</v>
      </c>
      <c r="AA190" s="69">
        <f t="shared" si="1691"/>
        <v>-3322.6759999999917</v>
      </c>
      <c r="AB190" s="69">
        <f t="shared" si="1691"/>
        <v>-2531.677000000001</v>
      </c>
      <c r="AC190" s="69">
        <f t="shared" si="1691"/>
        <v>-2581.4279999999976</v>
      </c>
      <c r="AD190" s="69">
        <f t="shared" ref="AD190:AG190" si="1692">+AD80</f>
        <v>-2827.5229999999974</v>
      </c>
      <c r="AE190" s="69">
        <f t="shared" si="1692"/>
        <v>-2669.719000000001</v>
      </c>
      <c r="AF190" s="69">
        <f t="shared" si="1692"/>
        <v>-2672.0700000000006</v>
      </c>
      <c r="AG190" s="69">
        <f t="shared" si="1692"/>
        <v>-2846.7790000000005</v>
      </c>
      <c r="AH190" s="69">
        <f t="shared" ref="AH190:AS190" si="1693">+AH80</f>
        <v>-2865.2129999999997</v>
      </c>
      <c r="AI190" s="69">
        <f t="shared" si="1693"/>
        <v>-3069.6619999999948</v>
      </c>
      <c r="AJ190" s="229"/>
      <c r="AK190" s="229"/>
      <c r="AL190" s="229"/>
      <c r="AM190" s="69">
        <f t="shared" ref="AM190:AP190" si="1694">+AM80</f>
        <v>0</v>
      </c>
      <c r="AN190" s="69">
        <f t="shared" si="1694"/>
        <v>-2885.5159999999996</v>
      </c>
      <c r="AO190" s="69">
        <f t="shared" si="1694"/>
        <v>-3004.643</v>
      </c>
      <c r="AP190" s="69">
        <f t="shared" si="1694"/>
        <v>-3336.7169999999969</v>
      </c>
      <c r="AQ190" s="69">
        <f t="shared" ref="AQ190" si="1695">+AQ80</f>
        <v>-3163.9110000000092</v>
      </c>
      <c r="AR190" s="69">
        <f t="shared" si="1693"/>
        <v>-2233.0529999999999</v>
      </c>
      <c r="AS190" s="69">
        <f t="shared" si="1693"/>
        <v>-2323.9950000000008</v>
      </c>
      <c r="AT190" s="69">
        <f t="shared" ref="AT190:AZ190" si="1696">+AT80</f>
        <v>-2605.1169999999975</v>
      </c>
      <c r="AU190" s="69">
        <f t="shared" si="1696"/>
        <v>-2391.2670000000044</v>
      </c>
      <c r="AV190" s="69">
        <f t="shared" ref="AV190:AW190" si="1697">+AV80</f>
        <v>-2440.9169999999972</v>
      </c>
      <c r="AW190" s="69">
        <f t="shared" si="1697"/>
        <v>-2351.5520000000001</v>
      </c>
      <c r="AX190" s="69">
        <f t="shared" si="1696"/>
        <v>-2418.5759999999991</v>
      </c>
      <c r="AY190" s="69">
        <f t="shared" ref="AY190" si="1698">+AY80</f>
        <v>-2185.1449999999995</v>
      </c>
      <c r="AZ190" s="69">
        <f t="shared" si="1696"/>
        <v>-2740.2679999999996</v>
      </c>
      <c r="BA190" s="69">
        <f t="shared" ref="BA190" si="1699">+BA80</f>
        <v>-2514.654</v>
      </c>
      <c r="BB190" s="69">
        <f t="shared" ref="BB190" si="1700">+BB80</f>
        <v>-3157.8809999999999</v>
      </c>
      <c r="BC190" s="69">
        <f t="shared" ref="BC190:BJ191" si="1701">+BC80</f>
        <v>-2981.8809999999999</v>
      </c>
      <c r="BD190" s="69">
        <f t="shared" si="1701"/>
        <v>-1812.7359999999985</v>
      </c>
      <c r="BE190" s="69">
        <f t="shared" si="1701"/>
        <v>-2752.5610000000006</v>
      </c>
      <c r="BF190" s="69">
        <f t="shared" si="1701"/>
        <v>-2758.7559999999989</v>
      </c>
      <c r="BG190" s="69">
        <f t="shared" si="1701"/>
        <v>-2722.6180000000013</v>
      </c>
      <c r="BH190" s="69">
        <f t="shared" ref="BH190:BK190" si="1702">+BH80</f>
        <v>-2442.5270000000037</v>
      </c>
      <c r="BI190" s="69">
        <f t="shared" si="1702"/>
        <v>-1406.5386529999996</v>
      </c>
      <c r="BJ190" s="69">
        <f t="shared" si="1702"/>
        <v>-2502.9203470000002</v>
      </c>
      <c r="BK190" s="69">
        <f t="shared" si="1702"/>
        <v>-1350.529</v>
      </c>
      <c r="BL190" s="69">
        <f t="shared" ref="BL190:BM190" si="1703">+BL80</f>
        <v>-196.83999999999833</v>
      </c>
      <c r="BM190" s="69">
        <f t="shared" si="1703"/>
        <v>-1362.2089999999989</v>
      </c>
      <c r="BO190" s="69">
        <f t="shared" ref="BO190:BP190" si="1704">+BO80</f>
        <v>-2552.2089999999971</v>
      </c>
      <c r="BP190" s="69">
        <f t="shared" si="1704"/>
        <v>-2819.2380000000003</v>
      </c>
      <c r="BQ190" s="69">
        <f t="shared" ref="BQ190:BT190" si="1705">+BQ80</f>
        <v>-1511.8689999999997</v>
      </c>
      <c r="BR190" s="69">
        <f t="shared" si="1705"/>
        <v>-1436.4070000000011</v>
      </c>
      <c r="BS190" s="69">
        <f t="shared" si="1705"/>
        <v>477.76700000000164</v>
      </c>
      <c r="BT190" s="69">
        <f t="shared" si="1705"/>
        <v>-1225.8690000000001</v>
      </c>
      <c r="BV190" s="40"/>
      <c r="BW190" s="40"/>
      <c r="BY190" s="40"/>
      <c r="BZ190" s="40"/>
      <c r="CB190" s="16"/>
      <c r="CC190" s="16"/>
    </row>
    <row r="191" spans="2:81" s="6" customFormat="1" ht="13.5" customHeight="1" thickBot="1">
      <c r="B191" s="70" t="str">
        <f t="shared" si="1550"/>
        <v xml:space="preserve">Net change in cash </v>
      </c>
      <c r="C191" s="71">
        <f t="shared" si="1550"/>
        <v>88.756999999999607</v>
      </c>
      <c r="D191" s="71">
        <f t="shared" si="1550"/>
        <v>1822.235999999999</v>
      </c>
      <c r="E191" s="71">
        <f t="shared" si="1550"/>
        <v>-2683.9059999999999</v>
      </c>
      <c r="F191" s="71">
        <f t="shared" si="1550"/>
        <v>-772.64300000000003</v>
      </c>
      <c r="G191" s="71">
        <f t="shared" ref="G191:H191" si="1706">+G81</f>
        <v>3707.0570000000007</v>
      </c>
      <c r="H191" s="71">
        <f t="shared" si="1706"/>
        <v>-359.48699999999917</v>
      </c>
      <c r="I191" s="71">
        <f t="shared" ref="I191" si="1707">+I81</f>
        <v>25.104999999999563</v>
      </c>
      <c r="J191" s="71">
        <f t="shared" ref="J191:K191" si="1708">+J81</f>
        <v>-409.83200000000033</v>
      </c>
      <c r="K191" s="71">
        <f t="shared" si="1708"/>
        <v>25.104999999999563</v>
      </c>
      <c r="L191" s="71">
        <f t="shared" ref="L191:M191" si="1709">+L81</f>
        <v>13.864000000001397</v>
      </c>
      <c r="M191" s="71">
        <f t="shared" si="1709"/>
        <v>-2880.4789999999994</v>
      </c>
      <c r="N191" s="71">
        <f t="shared" ref="N191" si="1710">+N81</f>
        <v>-2937.6150000000007</v>
      </c>
      <c r="O191" s="71">
        <f t="shared" ref="O191:P191" si="1711">+O81</f>
        <v>153.09000000000015</v>
      </c>
      <c r="P191" s="71">
        <f t="shared" si="1711"/>
        <v>153.09000000000015</v>
      </c>
      <c r="Q191" s="71">
        <f t="shared" ref="Q191" si="1712">+Q81</f>
        <v>-968.23899999999958</v>
      </c>
      <c r="R191" s="71">
        <f t="shared" ref="R191" si="1713">+R81</f>
        <v>-1230.5679999999957</v>
      </c>
      <c r="S191"/>
      <c r="T191" s="71">
        <f t="shared" ref="T191:AB191" si="1714">+T81</f>
        <v>-1092.7029999999997</v>
      </c>
      <c r="U191" s="71">
        <f t="shared" si="1714"/>
        <v>511.92099999999994</v>
      </c>
      <c r="V191" s="71">
        <f t="shared" si="1714"/>
        <v>-39.520100000000184</v>
      </c>
      <c r="W191" s="71">
        <f t="shared" si="1714"/>
        <v>-2063.603900000001</v>
      </c>
      <c r="X191" s="71">
        <f t="shared" si="1714"/>
        <v>1751.8470000000002</v>
      </c>
      <c r="Y191" s="71">
        <f t="shared" si="1714"/>
        <v>-1595.0360000000001</v>
      </c>
      <c r="Z191" s="71">
        <f t="shared" si="1714"/>
        <v>-334.39799999999968</v>
      </c>
      <c r="AA191" s="71">
        <f t="shared" si="1714"/>
        <v>-595.05599999999595</v>
      </c>
      <c r="AB191" s="71">
        <f t="shared" si="1714"/>
        <v>1990.0390000000002</v>
      </c>
      <c r="AC191" s="71">
        <f t="shared" si="1691"/>
        <v>3.5640000000003056</v>
      </c>
      <c r="AD191" s="71">
        <f t="shared" ref="AD191:AG191" si="1715">+AD81</f>
        <v>5003.0220000000008</v>
      </c>
      <c r="AE191" s="71">
        <f t="shared" si="1715"/>
        <v>-3289.5680000000007</v>
      </c>
      <c r="AF191" s="71">
        <f t="shared" si="1715"/>
        <v>-1099.597</v>
      </c>
      <c r="AG191" s="71">
        <f t="shared" si="1715"/>
        <v>335.90499999999975</v>
      </c>
      <c r="AH191" s="71">
        <f t="shared" ref="AH191:AS191" si="1716">+AH81</f>
        <v>715.75800000000027</v>
      </c>
      <c r="AI191" s="71">
        <f t="shared" si="1716"/>
        <v>-311.55299999999716</v>
      </c>
      <c r="AJ191" s="252"/>
      <c r="AK191" s="252"/>
      <c r="AL191" s="252"/>
      <c r="AM191" s="71">
        <f t="shared" ref="AM191:AP191" si="1717">+AM81</f>
        <v>0</v>
      </c>
      <c r="AN191" s="71">
        <f t="shared" si="1717"/>
        <v>-1061.2529999999999</v>
      </c>
      <c r="AO191" s="71">
        <f t="shared" si="1717"/>
        <v>796.27700000000004</v>
      </c>
      <c r="AP191" s="71">
        <f t="shared" si="1717"/>
        <v>1035.4079999999994</v>
      </c>
      <c r="AQ191" s="71">
        <f t="shared" ref="AQ191" si="1718">+AQ81</f>
        <v>-745.32700000000614</v>
      </c>
      <c r="AR191" s="71">
        <f t="shared" si="1716"/>
        <v>-1061.2529999999999</v>
      </c>
      <c r="AS191" s="71">
        <f t="shared" si="1716"/>
        <v>796.27700000000004</v>
      </c>
      <c r="AT191" s="71">
        <f t="shared" ref="AT191:AZ191" si="1719">+AT81</f>
        <v>1035.4079999999999</v>
      </c>
      <c r="AU191" s="71">
        <f t="shared" si="1719"/>
        <v>-745.32700000000159</v>
      </c>
      <c r="AV191" s="71">
        <f t="shared" ref="AV191:AW191" si="1720">+AV81</f>
        <v>1035.4079999999999</v>
      </c>
      <c r="AW191" s="71">
        <f t="shared" si="1720"/>
        <v>-756.56800000000021</v>
      </c>
      <c r="AX191" s="71">
        <f t="shared" si="1719"/>
        <v>-1768.854</v>
      </c>
      <c r="AY191" s="71">
        <f t="shared" ref="AY191" si="1721">+AY81</f>
        <v>-1768.854</v>
      </c>
      <c r="AZ191" s="71">
        <f t="shared" si="1719"/>
        <v>614.69299999999976</v>
      </c>
      <c r="BA191" s="71">
        <f t="shared" ref="BA191" si="1722">+BA81</f>
        <v>614.69299999999976</v>
      </c>
      <c r="BB191" s="71">
        <f t="shared" ref="BB191" si="1723">+BB81</f>
        <v>-501.596</v>
      </c>
      <c r="BC191" s="71">
        <f t="shared" ref="BC191:BF191" si="1724">+BC81</f>
        <v>-501.596</v>
      </c>
      <c r="BD191" s="71">
        <f t="shared" si="1724"/>
        <v>-1224.7220000000016</v>
      </c>
      <c r="BE191" s="71">
        <f t="shared" si="1724"/>
        <v>-96.289000000000215</v>
      </c>
      <c r="BF191" s="71">
        <f t="shared" si="1724"/>
        <v>745.86700000000019</v>
      </c>
      <c r="BG191" s="71">
        <f t="shared" si="1701"/>
        <v>-670.37599999999975</v>
      </c>
      <c r="BH191" s="71">
        <f t="shared" si="1701"/>
        <v>173.88799999999719</v>
      </c>
      <c r="BI191" s="71">
        <f t="shared" si="1701"/>
        <v>104.1110000000001</v>
      </c>
      <c r="BJ191" s="71">
        <f t="shared" si="1701"/>
        <v>-33.861000000000331</v>
      </c>
      <c r="BK191" s="71">
        <f t="shared" ref="BK191:BM191" si="1725">+BK81</f>
        <v>-1200.6429999999998</v>
      </c>
      <c r="BL191" s="71">
        <f t="shared" si="1725"/>
        <v>162.15400000000159</v>
      </c>
      <c r="BM191" s="71">
        <f t="shared" si="1725"/>
        <v>-158.21800000000007</v>
      </c>
      <c r="BO191" s="71">
        <f t="shared" ref="BO191:BP191" si="1726">+BO81</f>
        <v>-1281.8580000000004</v>
      </c>
      <c r="BP191" s="71">
        <f t="shared" si="1726"/>
        <v>-96.289000000000215</v>
      </c>
      <c r="BQ191" s="71">
        <f t="shared" ref="BQ191:BT191" si="1727">+BQ81</f>
        <v>745.86700000000019</v>
      </c>
      <c r="BR191" s="71">
        <f t="shared" si="1727"/>
        <v>-670.37600000000009</v>
      </c>
      <c r="BS191" s="71">
        <f t="shared" si="1727"/>
        <v>173.8880000000056</v>
      </c>
      <c r="BT191" s="71">
        <f t="shared" si="1727"/>
        <v>104.1110000000001</v>
      </c>
      <c r="BV191" s="40"/>
      <c r="BW191" s="40"/>
      <c r="BY191" s="40"/>
      <c r="BZ191" s="40"/>
      <c r="CB191" s="16"/>
      <c r="CC191" s="16"/>
    </row>
    <row r="192" spans="2:81" ht="13.5" customHeight="1" thickTop="1">
      <c r="C192" s="77"/>
      <c r="D192" s="78"/>
      <c r="E192" s="78"/>
      <c r="F192" s="78"/>
      <c r="G192" s="78"/>
      <c r="H192" s="78"/>
      <c r="I192" s="78"/>
      <c r="J192" s="78"/>
      <c r="K192" s="78"/>
      <c r="L192" s="78"/>
      <c r="M192" s="78"/>
      <c r="N192" s="78"/>
      <c r="O192" s="78"/>
      <c r="P192" s="78"/>
      <c r="Q192" s="78"/>
      <c r="R192" s="78"/>
      <c r="T192" s="78"/>
      <c r="U192" s="78"/>
      <c r="V192" s="78"/>
      <c r="W192" s="78"/>
      <c r="X192" s="78"/>
      <c r="Y192" s="78"/>
      <c r="Z192" s="78"/>
      <c r="AA192" s="78"/>
      <c r="AB192" s="78"/>
      <c r="AC192" s="78"/>
      <c r="AD192" s="78"/>
      <c r="AE192" s="78"/>
      <c r="AF192" s="78"/>
      <c r="AG192" s="78"/>
      <c r="AH192" s="78"/>
      <c r="AI192" s="78"/>
      <c r="AJ192" s="256"/>
      <c r="AK192" s="256"/>
      <c r="AL192" s="256"/>
      <c r="AM192" s="78"/>
      <c r="AN192" s="78"/>
      <c r="AO192" s="78"/>
      <c r="AP192" s="78"/>
      <c r="AQ192" s="78"/>
      <c r="AR192" s="78"/>
      <c r="AS192" s="78"/>
      <c r="AT192" s="78"/>
      <c r="AU192" s="78"/>
      <c r="AV192" s="78"/>
      <c r="AW192" s="78"/>
      <c r="AX192" s="78"/>
      <c r="AY192" s="78"/>
      <c r="AZ192" s="78"/>
      <c r="BA192" s="78"/>
      <c r="BB192" s="78"/>
      <c r="BC192" s="78"/>
      <c r="BD192" s="78"/>
      <c r="BE192" s="78"/>
      <c r="BF192" s="78"/>
      <c r="BG192" s="78"/>
      <c r="BH192" s="78"/>
      <c r="BI192" s="78"/>
      <c r="BJ192" s="78"/>
      <c r="BK192" s="78"/>
      <c r="BL192" s="78"/>
      <c r="BM192" s="78"/>
      <c r="BO192" s="78"/>
      <c r="BP192" s="78"/>
      <c r="BQ192" s="78"/>
      <c r="BR192" s="78"/>
      <c r="BS192" s="78"/>
      <c r="BT192" s="78"/>
      <c r="BV192" s="40"/>
      <c r="BW192" s="40"/>
      <c r="BY192" s="40"/>
      <c r="BZ192" s="40"/>
      <c r="CB192" s="16"/>
      <c r="CC192" s="16"/>
    </row>
    <row r="193" spans="2:81" ht="13.5" customHeight="1">
      <c r="B193" s="25" t="s">
        <v>332</v>
      </c>
      <c r="C193" s="79">
        <f t="shared" ref="C193:H193" si="1728">C123</f>
        <v>206.71199999999999</v>
      </c>
      <c r="D193" s="79">
        <f t="shared" si="1728"/>
        <v>66.644999999999996</v>
      </c>
      <c r="E193" s="79">
        <f t="shared" si="1728"/>
        <v>5071.4480000000003</v>
      </c>
      <c r="F193" s="79">
        <f t="shared" si="1728"/>
        <v>4231.0989999999993</v>
      </c>
      <c r="G193" s="79">
        <f t="shared" ref="G193" si="1729">G123</f>
        <v>7194.2539999999999</v>
      </c>
      <c r="H193" s="79">
        <f t="shared" si="1728"/>
        <v>6969.3519999999999</v>
      </c>
      <c r="I193" s="79">
        <f t="shared" ref="I193" si="1730">I123</f>
        <v>7452.2420000000002</v>
      </c>
      <c r="J193" s="79">
        <f t="shared" ref="J193:K193" si="1731">J123</f>
        <v>6969.3519999999999</v>
      </c>
      <c r="K193" s="79">
        <f t="shared" si="1731"/>
        <v>7452.2420000000002</v>
      </c>
      <c r="L193" s="79">
        <f t="shared" ref="L193:M193" si="1732">L123</f>
        <v>7452.7430000000004</v>
      </c>
      <c r="M193" s="79">
        <f t="shared" si="1732"/>
        <v>4612.134</v>
      </c>
      <c r="N193" s="79">
        <f t="shared" ref="N193" si="1733">N123</f>
        <v>4612.1340000000009</v>
      </c>
      <c r="O193" s="79">
        <f t="shared" ref="O193:P193" si="1734">O123</f>
        <v>4860.4399999999996</v>
      </c>
      <c r="P193" s="79">
        <f t="shared" si="1734"/>
        <v>4860.4399999999996</v>
      </c>
      <c r="Q193" s="79">
        <f t="shared" ref="Q193" si="1735">Q123</f>
        <v>3746.7809999999995</v>
      </c>
      <c r="R193" s="79">
        <f t="shared" ref="R193" si="1736">R123</f>
        <v>2413.0570000000002</v>
      </c>
      <c r="T193" s="79">
        <f t="shared" ref="T193:AC193" si="1737">T123</f>
        <v>5714.857</v>
      </c>
      <c r="U193" s="79">
        <f t="shared" si="1737"/>
        <v>6234.4110000000001</v>
      </c>
      <c r="V193" s="79">
        <f t="shared" si="1737"/>
        <v>6018.6260000000002</v>
      </c>
      <c r="W193" s="79">
        <f t="shared" si="1737"/>
        <v>5071.4480000000003</v>
      </c>
      <c r="X193" s="79">
        <f t="shared" si="1737"/>
        <v>6750.1779999999999</v>
      </c>
      <c r="Y193" s="79">
        <f t="shared" si="1737"/>
        <v>5418.1530000000002</v>
      </c>
      <c r="Z193" s="79">
        <f t="shared" si="1737"/>
        <v>4981.7579999999998</v>
      </c>
      <c r="AA193" s="79">
        <f t="shared" si="1737"/>
        <v>4231.0989999999993</v>
      </c>
      <c r="AB193" s="79">
        <f t="shared" si="1737"/>
        <v>5962.5480000000007</v>
      </c>
      <c r="AC193" s="79">
        <f t="shared" si="1737"/>
        <v>5906.7829999999994</v>
      </c>
      <c r="AD193" s="79">
        <f t="shared" ref="AD193:AG193" si="1738">AD123</f>
        <v>11038.026</v>
      </c>
      <c r="AE193" s="79">
        <f t="shared" si="1738"/>
        <v>7194.2539999999999</v>
      </c>
      <c r="AF193" s="79">
        <f t="shared" si="1738"/>
        <v>6552.2480000000005</v>
      </c>
      <c r="AG193" s="79">
        <f t="shared" si="1738"/>
        <v>7001.7959999999994</v>
      </c>
      <c r="AH193" s="79">
        <f t="shared" ref="AH193:AS193" si="1739">AH123</f>
        <v>7320.7370000000001</v>
      </c>
      <c r="AI193" s="79">
        <f t="shared" si="1739"/>
        <v>6969.3519999999999</v>
      </c>
      <c r="AJ193" s="257"/>
      <c r="AK193" s="257"/>
      <c r="AL193" s="257"/>
      <c r="AM193" s="79">
        <f t="shared" ref="AM193:AP193" si="1740">AM123</f>
        <v>6969.3519999999999</v>
      </c>
      <c r="AN193" s="79">
        <f t="shared" si="1740"/>
        <v>5781.9050000000007</v>
      </c>
      <c r="AO193" s="79">
        <f t="shared" si="1740"/>
        <v>6586.2759999999998</v>
      </c>
      <c r="AP193" s="79">
        <f t="shared" si="1740"/>
        <v>7741.3359999999993</v>
      </c>
      <c r="AQ193" s="79">
        <f t="shared" ref="AQ193" si="1741">AQ123</f>
        <v>7452.2420000000002</v>
      </c>
      <c r="AR193" s="79">
        <f t="shared" si="1739"/>
        <v>5781.9050000000007</v>
      </c>
      <c r="AS193" s="79">
        <f t="shared" si="1739"/>
        <v>6586.2759999999998</v>
      </c>
      <c r="AT193" s="79">
        <f t="shared" ref="AT193:AZ193" si="1742">AT123</f>
        <v>7741.3359999999993</v>
      </c>
      <c r="AU193" s="79">
        <f t="shared" si="1742"/>
        <v>7452.2420000000002</v>
      </c>
      <c r="AV193" s="79">
        <f t="shared" ref="AV193:AW193" si="1743">AV123</f>
        <v>7741.3359999999993</v>
      </c>
      <c r="AW193" s="79">
        <f t="shared" si="1743"/>
        <v>7452.7430000000004</v>
      </c>
      <c r="AX193" s="79">
        <f t="shared" si="1742"/>
        <v>5455.3030000000008</v>
      </c>
      <c r="AY193" s="79">
        <f t="shared" ref="AY193" si="1744">AY123</f>
        <v>5455.3030000000008</v>
      </c>
      <c r="AZ193" s="79">
        <f t="shared" si="1742"/>
        <v>6270.49</v>
      </c>
      <c r="BA193" s="79">
        <f t="shared" ref="BA193" si="1745">BA123</f>
        <v>6270.49</v>
      </c>
      <c r="BB193" s="79">
        <f t="shared" ref="BB193" si="1746">BB123</f>
        <v>5657.7869999999994</v>
      </c>
      <c r="BC193" s="79">
        <f t="shared" ref="BC193:BG193" si="1747">BC123</f>
        <v>5657.7869999999994</v>
      </c>
      <c r="BD193" s="79">
        <f t="shared" si="1747"/>
        <v>4612.134</v>
      </c>
      <c r="BE193" s="79">
        <f t="shared" si="1747"/>
        <v>4409.4369999999999</v>
      </c>
      <c r="BF193" s="79">
        <f t="shared" si="1747"/>
        <v>5177.3289999999997</v>
      </c>
      <c r="BG193" s="79">
        <f t="shared" si="1747"/>
        <v>4538.3470000000007</v>
      </c>
      <c r="BH193" s="79">
        <f t="shared" ref="BH193:BK193" si="1748">BH123</f>
        <v>4860.4399999999996</v>
      </c>
      <c r="BI193" s="79">
        <f t="shared" si="1748"/>
        <v>4953.51</v>
      </c>
      <c r="BJ193" s="79">
        <f t="shared" si="1748"/>
        <v>4866.0639999999994</v>
      </c>
      <c r="BK193" s="79">
        <f t="shared" si="1748"/>
        <v>3676.1210000000001</v>
      </c>
      <c r="BL193" s="79">
        <f t="shared" ref="BL193:BM193" si="1749">BL123</f>
        <v>3746.7809999999995</v>
      </c>
      <c r="BM193" s="79">
        <f t="shared" si="1749"/>
        <v>2413.0570000000002</v>
      </c>
      <c r="BO193" s="79">
        <f t="shared" ref="BO193:BP193" si="1750">BO123</f>
        <v>4612.1340000000009</v>
      </c>
      <c r="BP193" s="79">
        <f t="shared" si="1750"/>
        <v>4409.4369999999999</v>
      </c>
      <c r="BQ193" s="79">
        <f t="shared" ref="BQ193:BT193" si="1751">BQ123</f>
        <v>5177.3289999999997</v>
      </c>
      <c r="BR193" s="79">
        <f t="shared" si="1751"/>
        <v>4538.3470000000007</v>
      </c>
      <c r="BS193" s="79">
        <f t="shared" si="1751"/>
        <v>4860.4399999999996</v>
      </c>
      <c r="BT193" s="79">
        <f t="shared" si="1751"/>
        <v>4953.51</v>
      </c>
      <c r="BV193" s="40"/>
      <c r="BW193" s="40"/>
      <c r="BY193" s="40"/>
      <c r="BZ193" s="40"/>
      <c r="CB193" s="16"/>
      <c r="CC193" s="16"/>
    </row>
    <row r="194" spans="2:81" ht="13.5" customHeight="1">
      <c r="B194" s="25"/>
      <c r="C194" s="79"/>
      <c r="D194" s="79"/>
      <c r="E194" s="79"/>
      <c r="F194" s="79"/>
      <c r="G194" s="79"/>
      <c r="H194" s="79"/>
      <c r="I194" s="79"/>
      <c r="J194" s="79"/>
      <c r="K194" s="79"/>
      <c r="L194" s="79"/>
      <c r="M194" s="79"/>
      <c r="N194" s="79"/>
      <c r="O194" s="79"/>
      <c r="P194" s="79"/>
      <c r="Q194" s="79"/>
      <c r="R194" s="79"/>
      <c r="T194" s="79"/>
      <c r="U194" s="79"/>
      <c r="V194" s="79"/>
      <c r="W194" s="79"/>
      <c r="X194" s="79"/>
      <c r="Y194" s="79"/>
      <c r="Z194" s="79"/>
      <c r="AA194" s="79"/>
      <c r="AB194" s="79"/>
      <c r="AC194" s="79"/>
      <c r="AD194" s="79"/>
      <c r="AE194" s="79"/>
      <c r="AF194" s="79"/>
      <c r="AG194" s="79"/>
      <c r="AH194" s="79"/>
      <c r="AI194" s="79"/>
      <c r="AJ194" s="257"/>
      <c r="AK194" s="257"/>
      <c r="AL194" s="257"/>
      <c r="AM194" s="79"/>
      <c r="AN194" s="79"/>
      <c r="AO194" s="79"/>
      <c r="AP194" s="79"/>
      <c r="AQ194" s="79"/>
      <c r="AR194" s="79"/>
      <c r="AS194" s="79"/>
      <c r="AT194" s="79"/>
      <c r="AU194" s="79"/>
      <c r="AV194" s="79"/>
      <c r="AW194" s="79"/>
      <c r="AX194" s="79"/>
      <c r="AY194" s="79"/>
      <c r="AZ194" s="79"/>
      <c r="BA194" s="79"/>
      <c r="BB194" s="79"/>
      <c r="BC194" s="79"/>
      <c r="BD194" s="79"/>
      <c r="BE194" s="79"/>
      <c r="BF194" s="79"/>
      <c r="BG194" s="79"/>
      <c r="BH194" s="79"/>
      <c r="BI194" s="79"/>
      <c r="BJ194" s="79"/>
      <c r="BK194" s="79"/>
      <c r="BL194" s="79"/>
      <c r="BM194" s="79"/>
      <c r="BO194" s="79"/>
      <c r="BP194" s="79"/>
      <c r="BQ194" s="79"/>
      <c r="BR194" s="79"/>
      <c r="BS194" s="79"/>
      <c r="BT194" s="79"/>
      <c r="BV194" s="40"/>
      <c r="BW194" s="40"/>
      <c r="BY194" s="40"/>
      <c r="BZ194" s="40"/>
      <c r="CB194" s="16"/>
      <c r="CC194" s="16"/>
    </row>
    <row r="195" spans="2:81" ht="13.5" customHeight="1">
      <c r="B195" s="6" t="str">
        <f t="shared" ref="B195:B196" si="1752">B125</f>
        <v>Net debt (excl. lease liabilities)</v>
      </c>
      <c r="C195" s="59">
        <f>C125</f>
        <v>22053.169000000002</v>
      </c>
      <c r="D195" s="59">
        <f t="shared" ref="D195:F195" si="1753">D125</f>
        <v>19117.344000000001</v>
      </c>
      <c r="E195" s="59">
        <f t="shared" si="1753"/>
        <v>14049.560000000001</v>
      </c>
      <c r="F195" s="59">
        <f t="shared" si="1753"/>
        <v>12595.144</v>
      </c>
      <c r="G195" s="59">
        <f t="shared" ref="G195:H195" si="1754">G125</f>
        <v>10551.185000000005</v>
      </c>
      <c r="H195" s="59">
        <f t="shared" si="1754"/>
        <v>12081.143</v>
      </c>
      <c r="I195" s="59">
        <f t="shared" ref="I195" si="1755">I125</f>
        <v>17981.934000000001</v>
      </c>
      <c r="J195" s="59">
        <f t="shared" ref="J195:K195" si="1756">J125</f>
        <v>12081.143</v>
      </c>
      <c r="K195" s="59">
        <f t="shared" si="1756"/>
        <v>17983.390000000007</v>
      </c>
      <c r="L195" s="59">
        <f t="shared" ref="L195:M195" si="1757">L125</f>
        <v>17982.889000000003</v>
      </c>
      <c r="M195" s="59">
        <f t="shared" si="1757"/>
        <v>20230.014999999999</v>
      </c>
      <c r="N195" s="59">
        <f t="shared" ref="N195" si="1758">N125</f>
        <v>20230.014000000003</v>
      </c>
      <c r="O195" s="59">
        <f t="shared" ref="O195:P195" si="1759">O125</f>
        <v>18330.544999999995</v>
      </c>
      <c r="P195" s="59">
        <f t="shared" si="1759"/>
        <v>18330.544999999995</v>
      </c>
      <c r="Q195" s="59">
        <f t="shared" ref="Q195" si="1760">Q125</f>
        <v>11305.677000000003</v>
      </c>
      <c r="R195" s="59">
        <f t="shared" ref="R195" si="1761">R125</f>
        <v>12684.749</v>
      </c>
      <c r="T195" s="59">
        <f t="shared" ref="T195:W195" si="1762">T125</f>
        <v>12439.96</v>
      </c>
      <c r="U195" s="59">
        <f t="shared" si="1762"/>
        <v>12437.960999999999</v>
      </c>
      <c r="V195" s="59">
        <f t="shared" si="1762"/>
        <v>13451.251</v>
      </c>
      <c r="W195" s="59">
        <f t="shared" si="1762"/>
        <v>14049.560000000001</v>
      </c>
      <c r="X195" s="59">
        <f t="shared" ref="X195:AC196" si="1763">X125</f>
        <v>12451.270999999997</v>
      </c>
      <c r="Y195" s="59">
        <f t="shared" si="1763"/>
        <v>12331.706000000004</v>
      </c>
      <c r="Z195" s="59">
        <f t="shared" si="1763"/>
        <v>12255.089000000002</v>
      </c>
      <c r="AA195" s="59">
        <f t="shared" si="1763"/>
        <v>12595.144</v>
      </c>
      <c r="AB195" s="59">
        <f t="shared" si="1763"/>
        <v>11951.461999999998</v>
      </c>
      <c r="AC195" s="59">
        <f t="shared" si="1763"/>
        <v>11859.816000000003</v>
      </c>
      <c r="AD195" s="59">
        <f t="shared" ref="AD195:AG195" si="1764">AD125</f>
        <v>10372.437000000004</v>
      </c>
      <c r="AE195" s="59">
        <f t="shared" si="1764"/>
        <v>10551.185000000005</v>
      </c>
      <c r="AF195" s="59">
        <f t="shared" si="1764"/>
        <v>11101.692999999999</v>
      </c>
      <c r="AG195" s="59">
        <f t="shared" si="1764"/>
        <v>10970.379000000004</v>
      </c>
      <c r="AH195" s="59">
        <f t="shared" ref="AH195:AS195" si="1765">AH125</f>
        <v>10462.469000000005</v>
      </c>
      <c r="AI195" s="59">
        <f t="shared" si="1765"/>
        <v>12081.143</v>
      </c>
      <c r="AJ195" s="244"/>
      <c r="AK195" s="244"/>
      <c r="AL195" s="244"/>
      <c r="AM195" s="59">
        <f t="shared" ref="AM195:AP195" si="1766">AM125</f>
        <v>12081.143</v>
      </c>
      <c r="AN195" s="59">
        <f t="shared" si="1766"/>
        <v>12880.804999999998</v>
      </c>
      <c r="AO195" s="59">
        <f t="shared" si="1766"/>
        <v>18616.091000000008</v>
      </c>
      <c r="AP195" s="59">
        <f t="shared" si="1766"/>
        <v>20103.605999999996</v>
      </c>
      <c r="AQ195" s="59">
        <f t="shared" ref="AQ195" si="1767">AQ125</f>
        <v>17981.934000000001</v>
      </c>
      <c r="AR195" s="59">
        <f t="shared" si="1765"/>
        <v>12880.804999999998</v>
      </c>
      <c r="AS195" s="59">
        <f t="shared" si="1765"/>
        <v>18616.091000000008</v>
      </c>
      <c r="AT195" s="59">
        <f t="shared" ref="AT195:AZ195" si="1768">AT125</f>
        <v>20103.605999999996</v>
      </c>
      <c r="AU195" s="59">
        <f t="shared" si="1768"/>
        <v>17983.390000000007</v>
      </c>
      <c r="AV195" s="59">
        <f t="shared" ref="AV195:AW195" si="1769">AV125</f>
        <v>20103.605999999996</v>
      </c>
      <c r="AW195" s="59">
        <f t="shared" si="1769"/>
        <v>17982.889000000003</v>
      </c>
      <c r="AX195" s="59">
        <f t="shared" si="1768"/>
        <v>20399.704000000002</v>
      </c>
      <c r="AY195" s="59">
        <f t="shared" ref="AY195" si="1770">AY125</f>
        <v>20399.704000000002</v>
      </c>
      <c r="AZ195" s="59">
        <f t="shared" si="1768"/>
        <v>19771.077000000005</v>
      </c>
      <c r="BA195" s="59">
        <f t="shared" ref="BA195" si="1771">BA125</f>
        <v>19771.077000000005</v>
      </c>
      <c r="BB195" s="59">
        <f t="shared" ref="BB195" si="1772">BB125</f>
        <v>19161.745000000006</v>
      </c>
      <c r="BC195" s="59">
        <f t="shared" ref="BC195:BJ196" si="1773">BC125</f>
        <v>19161.745000000006</v>
      </c>
      <c r="BD195" s="59">
        <f t="shared" si="1773"/>
        <v>20230.014999999999</v>
      </c>
      <c r="BE195" s="59">
        <f t="shared" si="1773"/>
        <v>21119.89</v>
      </c>
      <c r="BF195" s="59">
        <f t="shared" si="1773"/>
        <v>20629.614000000009</v>
      </c>
      <c r="BG195" s="59">
        <f t="shared" si="1773"/>
        <v>17679.676999999996</v>
      </c>
      <c r="BH195" s="59">
        <f t="shared" ref="BH195:BK195" si="1774">BH125</f>
        <v>18330.544999999995</v>
      </c>
      <c r="BI195" s="59">
        <f t="shared" si="1774"/>
        <v>17893.244999999995</v>
      </c>
      <c r="BJ195" s="59">
        <f t="shared" si="1774"/>
        <v>12844.308000000005</v>
      </c>
      <c r="BK195" s="59">
        <f t="shared" si="1774"/>
        <v>12085.825999999997</v>
      </c>
      <c r="BL195" s="59">
        <f t="shared" ref="BL195:BM195" si="1775">BL125</f>
        <v>11305.677000000003</v>
      </c>
      <c r="BM195" s="59">
        <f t="shared" si="1775"/>
        <v>12684.749</v>
      </c>
      <c r="BO195" s="59">
        <f t="shared" ref="BO195:BR195" si="1776">BO125</f>
        <v>20230.014000000003</v>
      </c>
      <c r="BP195" s="59">
        <f t="shared" si="1776"/>
        <v>21119.89</v>
      </c>
      <c r="BQ195" s="59">
        <f t="shared" si="1776"/>
        <v>20629.614000000009</v>
      </c>
      <c r="BR195" s="59">
        <f t="shared" si="1776"/>
        <v>17679.676999999996</v>
      </c>
      <c r="BS195" s="59">
        <f t="shared" ref="BS195:BT195" si="1777">BS125</f>
        <v>18330.544999999995</v>
      </c>
      <c r="BT195" s="59">
        <f t="shared" si="1777"/>
        <v>17893.244999999995</v>
      </c>
      <c r="BV195" s="40"/>
      <c r="BW195" s="40"/>
      <c r="BY195" s="40"/>
      <c r="BZ195" s="40"/>
      <c r="CB195" s="16"/>
      <c r="CC195" s="16"/>
    </row>
    <row r="196" spans="2:81" ht="13.5" customHeight="1">
      <c r="B196" s="10" t="str">
        <f t="shared" si="1752"/>
        <v>Gross total debt (excl. lease liabilities)</v>
      </c>
      <c r="C196" s="79">
        <f>C126</f>
        <v>22259.881000000001</v>
      </c>
      <c r="D196" s="79">
        <f t="shared" ref="D196:F196" si="1778">D126</f>
        <v>19183.989000000001</v>
      </c>
      <c r="E196" s="79">
        <f t="shared" si="1778"/>
        <v>19121.008000000002</v>
      </c>
      <c r="F196" s="79">
        <f t="shared" si="1778"/>
        <v>16826.242999999999</v>
      </c>
      <c r="G196" s="79">
        <f t="shared" ref="G196:H196" si="1779">G126</f>
        <v>17745.439000000006</v>
      </c>
      <c r="H196" s="79">
        <f t="shared" si="1779"/>
        <v>19050.494999999999</v>
      </c>
      <c r="I196" s="79">
        <f t="shared" ref="I196" si="1780">I126</f>
        <v>25434.175999999999</v>
      </c>
      <c r="J196" s="79">
        <f t="shared" ref="J196:K196" si="1781">J126</f>
        <v>19050.494999999999</v>
      </c>
      <c r="K196" s="79">
        <f t="shared" si="1781"/>
        <v>25435.632000000005</v>
      </c>
      <c r="L196" s="79">
        <f t="shared" ref="L196:M196" si="1782">L126</f>
        <v>25435.632000000005</v>
      </c>
      <c r="M196" s="79">
        <f t="shared" si="1782"/>
        <v>24842.149000000001</v>
      </c>
      <c r="N196" s="79">
        <f t="shared" ref="N196" si="1783">N126</f>
        <v>24842.148000000005</v>
      </c>
      <c r="O196" s="79">
        <f t="shared" ref="O196:P196" si="1784">O126</f>
        <v>23190.984999999993</v>
      </c>
      <c r="P196" s="79">
        <f t="shared" si="1784"/>
        <v>23190.984999999993</v>
      </c>
      <c r="Q196" s="79">
        <f t="shared" ref="Q196" si="1785">Q126</f>
        <v>15052.458000000002</v>
      </c>
      <c r="R196" s="79">
        <f t="shared" ref="R196" si="1786">R126</f>
        <v>15097.806</v>
      </c>
      <c r="T196" s="79">
        <f t="shared" ref="T196:W196" si="1787">T126</f>
        <v>18154.816999999999</v>
      </c>
      <c r="U196" s="79">
        <f t="shared" si="1787"/>
        <v>18672.371999999999</v>
      </c>
      <c r="V196" s="79">
        <f t="shared" si="1787"/>
        <v>19469.877</v>
      </c>
      <c r="W196" s="79">
        <f t="shared" si="1787"/>
        <v>19121.008000000002</v>
      </c>
      <c r="X196" s="79">
        <f t="shared" ref="X196:AB196" si="1788">X126</f>
        <v>19201.448999999997</v>
      </c>
      <c r="Y196" s="79">
        <f t="shared" si="1788"/>
        <v>17749.859000000004</v>
      </c>
      <c r="Z196" s="79">
        <f t="shared" si="1788"/>
        <v>17236.847000000002</v>
      </c>
      <c r="AA196" s="79">
        <f t="shared" si="1788"/>
        <v>16826.242999999999</v>
      </c>
      <c r="AB196" s="79">
        <f t="shared" si="1788"/>
        <v>17914.009999999998</v>
      </c>
      <c r="AC196" s="79">
        <f t="shared" si="1763"/>
        <v>17766.599000000002</v>
      </c>
      <c r="AD196" s="79">
        <f t="shared" ref="AD196:AG196" si="1789">AD126</f>
        <v>21410.463000000003</v>
      </c>
      <c r="AE196" s="79">
        <f t="shared" si="1789"/>
        <v>17745.439000000006</v>
      </c>
      <c r="AF196" s="79">
        <f t="shared" si="1789"/>
        <v>17653.940999999999</v>
      </c>
      <c r="AG196" s="79">
        <f t="shared" si="1789"/>
        <v>17972.175000000003</v>
      </c>
      <c r="AH196" s="79">
        <f t="shared" ref="AH196:AS196" si="1790">AH126</f>
        <v>17783.206000000006</v>
      </c>
      <c r="AI196" s="79">
        <f t="shared" si="1790"/>
        <v>19050.494999999999</v>
      </c>
      <c r="AJ196" s="257"/>
      <c r="AK196" s="257"/>
      <c r="AL196" s="257"/>
      <c r="AM196" s="79">
        <f t="shared" ref="AM196:AP196" si="1791">AM126</f>
        <v>19050.494999999999</v>
      </c>
      <c r="AN196" s="79">
        <f t="shared" si="1791"/>
        <v>18662.71</v>
      </c>
      <c r="AO196" s="79">
        <f t="shared" si="1791"/>
        <v>25202.367000000006</v>
      </c>
      <c r="AP196" s="79">
        <f t="shared" si="1791"/>
        <v>27844.941999999995</v>
      </c>
      <c r="AQ196" s="79">
        <f t="shared" ref="AQ196" si="1792">AQ126</f>
        <v>25434.175999999999</v>
      </c>
      <c r="AR196" s="79">
        <f t="shared" si="1790"/>
        <v>18662.71</v>
      </c>
      <c r="AS196" s="79">
        <f t="shared" si="1790"/>
        <v>25202.367000000006</v>
      </c>
      <c r="AT196" s="79">
        <f t="shared" ref="AT196:AZ196" si="1793">AT126</f>
        <v>27844.941999999995</v>
      </c>
      <c r="AU196" s="79">
        <f t="shared" si="1793"/>
        <v>25435.632000000005</v>
      </c>
      <c r="AV196" s="79">
        <f t="shared" ref="AV196:AW196" si="1794">AV126</f>
        <v>27844.941999999995</v>
      </c>
      <c r="AW196" s="79">
        <f t="shared" si="1794"/>
        <v>25435.632000000005</v>
      </c>
      <c r="AX196" s="79">
        <f t="shared" si="1793"/>
        <v>25855.007000000001</v>
      </c>
      <c r="AY196" s="79">
        <f t="shared" ref="AY196" si="1795">AY126</f>
        <v>25855.007000000001</v>
      </c>
      <c r="AZ196" s="79">
        <f t="shared" si="1793"/>
        <v>26041.567000000006</v>
      </c>
      <c r="BA196" s="79">
        <f t="shared" ref="BA196" si="1796">BA126</f>
        <v>26041.567000000006</v>
      </c>
      <c r="BB196" s="79">
        <f t="shared" ref="BB196" si="1797">BB126</f>
        <v>24819.532000000007</v>
      </c>
      <c r="BC196" s="79">
        <f t="shared" ref="BC196:BF196" si="1798">BC126</f>
        <v>24819.532000000007</v>
      </c>
      <c r="BD196" s="79">
        <f t="shared" si="1798"/>
        <v>24842.149000000001</v>
      </c>
      <c r="BE196" s="79">
        <f t="shared" si="1798"/>
        <v>25529.326999999997</v>
      </c>
      <c r="BF196" s="79">
        <f t="shared" si="1798"/>
        <v>25806.943000000007</v>
      </c>
      <c r="BG196" s="79">
        <f t="shared" si="1773"/>
        <v>22218.023999999998</v>
      </c>
      <c r="BH196" s="79">
        <f t="shared" si="1773"/>
        <v>23190.984999999993</v>
      </c>
      <c r="BI196" s="79">
        <f t="shared" si="1773"/>
        <v>22846.754999999997</v>
      </c>
      <c r="BJ196" s="79">
        <f t="shared" si="1773"/>
        <v>17710.372000000003</v>
      </c>
      <c r="BK196" s="79">
        <f t="shared" ref="BK196:BM196" si="1799">BK126</f>
        <v>15761.946999999998</v>
      </c>
      <c r="BL196" s="79">
        <f t="shared" si="1799"/>
        <v>15052.458000000002</v>
      </c>
      <c r="BM196" s="79">
        <f t="shared" si="1799"/>
        <v>15097.806</v>
      </c>
      <c r="BO196" s="79">
        <f t="shared" ref="BO196:BR196" si="1800">BO126</f>
        <v>24842.148000000005</v>
      </c>
      <c r="BP196" s="79">
        <f t="shared" si="1800"/>
        <v>25529.326999999997</v>
      </c>
      <c r="BQ196" s="79">
        <f t="shared" si="1800"/>
        <v>25806.943000000007</v>
      </c>
      <c r="BR196" s="79">
        <f t="shared" si="1800"/>
        <v>22218.023999999998</v>
      </c>
      <c r="BS196" s="79">
        <f t="shared" ref="BS196:BT196" si="1801">BS126</f>
        <v>23190.984999999993</v>
      </c>
      <c r="BT196" s="79">
        <f t="shared" si="1801"/>
        <v>22846.754999999997</v>
      </c>
      <c r="BV196" s="40"/>
      <c r="BW196" s="40"/>
      <c r="BY196" s="40"/>
      <c r="BZ196" s="40"/>
      <c r="CB196" s="16"/>
      <c r="CC196" s="16"/>
    </row>
    <row r="197" spans="2:81" ht="13.5" customHeight="1">
      <c r="C197" s="77"/>
      <c r="D197" s="78"/>
      <c r="E197" s="78"/>
      <c r="F197" s="78"/>
      <c r="G197" s="78"/>
      <c r="H197" s="78"/>
      <c r="I197" s="78"/>
      <c r="J197" s="78"/>
      <c r="K197" s="78"/>
      <c r="L197" s="78"/>
      <c r="M197" s="78"/>
      <c r="N197" s="78"/>
      <c r="O197" s="78"/>
      <c r="P197" s="78"/>
      <c r="Q197" s="78"/>
      <c r="R197" s="78"/>
      <c r="T197" s="78"/>
      <c r="U197" s="78"/>
      <c r="V197" s="78"/>
      <c r="W197" s="78"/>
      <c r="X197" s="78"/>
      <c r="Y197" s="78"/>
      <c r="Z197" s="78"/>
      <c r="AA197" s="78"/>
      <c r="AB197" s="78"/>
      <c r="AC197" s="78"/>
      <c r="AD197" s="78"/>
      <c r="AE197" s="78"/>
      <c r="AF197" s="78"/>
      <c r="AG197" s="78"/>
      <c r="AH197" s="78"/>
      <c r="AI197" s="78"/>
      <c r="AJ197" s="256"/>
      <c r="AK197" s="256"/>
      <c r="AL197" s="256"/>
      <c r="AM197" s="78"/>
      <c r="AN197" s="78"/>
      <c r="AO197" s="78"/>
      <c r="AP197" s="78"/>
      <c r="AQ197" s="78"/>
      <c r="AR197" s="78"/>
      <c r="AS197" s="78"/>
      <c r="AT197" s="78"/>
      <c r="AU197" s="78"/>
      <c r="AV197" s="78"/>
      <c r="AW197" s="78"/>
      <c r="AX197" s="78"/>
      <c r="AY197" s="78"/>
      <c r="AZ197" s="78"/>
      <c r="BA197" s="78"/>
      <c r="BB197" s="78"/>
      <c r="BC197" s="78"/>
      <c r="BD197" s="78"/>
      <c r="BE197" s="78"/>
      <c r="BF197" s="78"/>
      <c r="BG197" s="78"/>
      <c r="BH197" s="78"/>
      <c r="BI197" s="78"/>
      <c r="BJ197" s="78"/>
      <c r="BK197" s="78"/>
      <c r="BL197" s="78"/>
      <c r="BM197" s="78"/>
      <c r="BO197" s="78"/>
      <c r="BP197" s="78"/>
      <c r="BQ197" s="78"/>
      <c r="BR197" s="78"/>
      <c r="BS197" s="78"/>
      <c r="BT197" s="78"/>
      <c r="BV197" s="40"/>
      <c r="BW197" s="40"/>
      <c r="BY197" s="40"/>
      <c r="BZ197" s="40"/>
      <c r="CB197" s="16"/>
      <c r="CC197" s="16"/>
    </row>
    <row r="198" spans="2:81" s="6" customFormat="1" ht="13.5" customHeight="1">
      <c r="B198" s="6" t="str">
        <f t="shared" ref="B198:F199" si="1802">B128</f>
        <v>Net debt (incl. lease liabilities)</v>
      </c>
      <c r="C198" s="59">
        <f t="shared" si="1802"/>
        <v>22053.169000000002</v>
      </c>
      <c r="D198" s="59">
        <f t="shared" si="1802"/>
        <v>19117.344000000001</v>
      </c>
      <c r="E198" s="59">
        <f t="shared" si="1802"/>
        <v>14049.560000000001</v>
      </c>
      <c r="F198" s="59">
        <f t="shared" si="1802"/>
        <v>21435.460999999999</v>
      </c>
      <c r="G198" s="59">
        <f t="shared" ref="G198:H198" si="1803">G128</f>
        <v>20179.781000000003</v>
      </c>
      <c r="H198" s="59">
        <f t="shared" si="1803"/>
        <v>22252.137999999999</v>
      </c>
      <c r="I198" s="59">
        <f t="shared" ref="I198" si="1804">I128</f>
        <v>28425.824999999997</v>
      </c>
      <c r="J198" s="59">
        <f t="shared" ref="J198:K198" si="1805">J128</f>
        <v>22252.137999999999</v>
      </c>
      <c r="K198" s="59">
        <f t="shared" si="1805"/>
        <v>28427.281000000003</v>
      </c>
      <c r="L198" s="59">
        <f t="shared" ref="L198:M198" si="1806">L128</f>
        <v>28426.78</v>
      </c>
      <c r="M198" s="59">
        <f t="shared" si="1806"/>
        <v>32332.023000000001</v>
      </c>
      <c r="N198" s="59">
        <f t="shared" ref="N198" si="1807">N128</f>
        <v>32332.022000000001</v>
      </c>
      <c r="O198" s="59">
        <f t="shared" ref="O198:P198" si="1808">O128</f>
        <v>29365.531999999996</v>
      </c>
      <c r="P198" s="59">
        <f t="shared" si="1808"/>
        <v>29365.531999999996</v>
      </c>
      <c r="Q198" s="59">
        <f t="shared" ref="Q198" si="1809">Q128</f>
        <v>13107.782000000003</v>
      </c>
      <c r="R198" s="59">
        <f t="shared" ref="R198" si="1810">R128</f>
        <v>14481.325000000001</v>
      </c>
      <c r="S198"/>
      <c r="T198" s="59">
        <f t="shared" ref="T198:AC199" si="1811">T128</f>
        <v>12439.96</v>
      </c>
      <c r="U198" s="59">
        <f t="shared" si="1811"/>
        <v>12437.960999999999</v>
      </c>
      <c r="V198" s="59">
        <f t="shared" si="1811"/>
        <v>13451.251</v>
      </c>
      <c r="W198" s="59">
        <f t="shared" si="1811"/>
        <v>14049.560000000001</v>
      </c>
      <c r="X198" s="59">
        <f t="shared" si="1811"/>
        <v>19682.152999999998</v>
      </c>
      <c r="Y198" s="59">
        <f t="shared" si="1811"/>
        <v>20191.498000000007</v>
      </c>
      <c r="Z198" s="59">
        <f t="shared" si="1811"/>
        <v>20716.927000000003</v>
      </c>
      <c r="AA198" s="59">
        <f t="shared" si="1811"/>
        <v>21435.460999999999</v>
      </c>
      <c r="AB198" s="59">
        <f t="shared" si="1811"/>
        <v>20483.867999999995</v>
      </c>
      <c r="AC198" s="59">
        <f t="shared" si="1811"/>
        <v>20931.153000000002</v>
      </c>
      <c r="AD198" s="59">
        <f t="shared" ref="AD198:AG198" si="1812">AD128</f>
        <v>19548.571000000004</v>
      </c>
      <c r="AE198" s="59">
        <f t="shared" si="1812"/>
        <v>20179.781000000003</v>
      </c>
      <c r="AF198" s="59">
        <f t="shared" si="1812"/>
        <v>20419.964</v>
      </c>
      <c r="AG198" s="59">
        <f t="shared" si="1812"/>
        <v>20320.353000000003</v>
      </c>
      <c r="AH198" s="59">
        <f t="shared" ref="AH198:AS198" si="1813">AH128</f>
        <v>20386.122000000003</v>
      </c>
      <c r="AI198" s="59">
        <f t="shared" si="1813"/>
        <v>22252.137999999999</v>
      </c>
      <c r="AJ198" s="244"/>
      <c r="AK198" s="244"/>
      <c r="AL198" s="244"/>
      <c r="AM198" s="59">
        <f t="shared" ref="AM198:AP198" si="1814">AM128</f>
        <v>22252.137999999999</v>
      </c>
      <c r="AN198" s="59">
        <f t="shared" si="1814"/>
        <v>23060.507999999994</v>
      </c>
      <c r="AO198" s="59">
        <f t="shared" si="1814"/>
        <v>29266.434000000008</v>
      </c>
      <c r="AP198" s="59">
        <f t="shared" si="1814"/>
        <v>31445.026999999998</v>
      </c>
      <c r="AQ198" s="59">
        <f t="shared" ref="AQ198" si="1815">AQ128</f>
        <v>28425.824999999997</v>
      </c>
      <c r="AR198" s="59">
        <f t="shared" si="1813"/>
        <v>23060.507999999994</v>
      </c>
      <c r="AS198" s="59">
        <f t="shared" si="1813"/>
        <v>29266.434000000008</v>
      </c>
      <c r="AT198" s="59">
        <f t="shared" ref="AT198:AZ198" si="1816">AT128</f>
        <v>31445.026999999998</v>
      </c>
      <c r="AU198" s="59">
        <f t="shared" si="1816"/>
        <v>28427.281000000003</v>
      </c>
      <c r="AV198" s="59">
        <f t="shared" ref="AV198:AW198" si="1817">AV128</f>
        <v>31445.026999999998</v>
      </c>
      <c r="AW198" s="59">
        <f t="shared" si="1817"/>
        <v>28426.78</v>
      </c>
      <c r="AX198" s="59">
        <f t="shared" si="1816"/>
        <v>31211.046000000002</v>
      </c>
      <c r="AY198" s="59">
        <f t="shared" ref="AY198" si="1818">AY128</f>
        <v>31211.046000000002</v>
      </c>
      <c r="AZ198" s="59">
        <f t="shared" si="1816"/>
        <v>31494.606000000007</v>
      </c>
      <c r="BA198" s="59">
        <f t="shared" ref="BA198" si="1819">BA128</f>
        <v>31494.606000000007</v>
      </c>
      <c r="BB198" s="59">
        <f t="shared" ref="BB198" si="1820">BB128</f>
        <v>31087.112000000005</v>
      </c>
      <c r="BC198" s="59">
        <f t="shared" ref="BC198:BJ199" si="1821">BC128</f>
        <v>31087.112000000005</v>
      </c>
      <c r="BD198" s="59">
        <f t="shared" si="1821"/>
        <v>32332.023000000001</v>
      </c>
      <c r="BE198" s="59">
        <f t="shared" si="1821"/>
        <v>32934.633999999998</v>
      </c>
      <c r="BF198" s="59">
        <f t="shared" si="1821"/>
        <v>32061.457000000009</v>
      </c>
      <c r="BG198" s="59">
        <f t="shared" si="1821"/>
        <v>28261.282999999996</v>
      </c>
      <c r="BH198" s="59">
        <f t="shared" ref="BH198:BK198" si="1822">BH128</f>
        <v>29365.531999999996</v>
      </c>
      <c r="BI198" s="59">
        <f t="shared" si="1822"/>
        <v>28106.788999999997</v>
      </c>
      <c r="BJ198" s="59">
        <f t="shared" si="1822"/>
        <v>14523.239000000001</v>
      </c>
      <c r="BK198" s="59">
        <f t="shared" si="1822"/>
        <v>13803.212</v>
      </c>
      <c r="BL198" s="59">
        <f t="shared" ref="BL198:BM198" si="1823">BL128</f>
        <v>13107.782000000003</v>
      </c>
      <c r="BM198" s="59">
        <f t="shared" si="1823"/>
        <v>14481.325000000001</v>
      </c>
      <c r="BO198" s="59">
        <f t="shared" ref="BO198:BR198" si="1824">BO128</f>
        <v>32332.022000000001</v>
      </c>
      <c r="BP198" s="59">
        <f t="shared" si="1824"/>
        <v>32934.633999999998</v>
      </c>
      <c r="BQ198" s="59">
        <f t="shared" si="1824"/>
        <v>32061.457000000009</v>
      </c>
      <c r="BR198" s="59">
        <f t="shared" si="1824"/>
        <v>28261.282999999996</v>
      </c>
      <c r="BS198" s="59">
        <f t="shared" ref="BS198:BT198" si="1825">BS128</f>
        <v>29365.531999999996</v>
      </c>
      <c r="BT198" s="59">
        <f t="shared" si="1825"/>
        <v>28106.788999999997</v>
      </c>
      <c r="BV198" s="40"/>
      <c r="BW198" s="40"/>
      <c r="BY198" s="40"/>
      <c r="BZ198" s="40"/>
      <c r="CB198" s="16"/>
      <c r="CC198" s="16"/>
    </row>
    <row r="199" spans="2:81" ht="13.5" customHeight="1">
      <c r="B199" s="10" t="str">
        <f t="shared" si="1802"/>
        <v>Gross total debt (incl. lease liabilities)</v>
      </c>
      <c r="C199" s="79">
        <f t="shared" si="1802"/>
        <v>22259.881000000001</v>
      </c>
      <c r="D199" s="79">
        <f t="shared" si="1802"/>
        <v>19183.989000000001</v>
      </c>
      <c r="E199" s="79">
        <f t="shared" si="1802"/>
        <v>19121.008000000002</v>
      </c>
      <c r="F199" s="79">
        <f t="shared" si="1802"/>
        <v>25666.559999999998</v>
      </c>
      <c r="G199" s="79">
        <f t="shared" ref="G199:H199" si="1826">G129</f>
        <v>27374.035000000003</v>
      </c>
      <c r="H199" s="79">
        <f t="shared" si="1826"/>
        <v>29221.489999999998</v>
      </c>
      <c r="I199" s="79">
        <f t="shared" ref="I199" si="1827">I129</f>
        <v>35878.066999999995</v>
      </c>
      <c r="J199" s="79">
        <f t="shared" ref="J199:K199" si="1828">J129</f>
        <v>29221.489999999998</v>
      </c>
      <c r="K199" s="79">
        <f t="shared" si="1828"/>
        <v>35879.523000000001</v>
      </c>
      <c r="L199" s="79">
        <f t="shared" ref="L199:M199" si="1829">L129</f>
        <v>35879.523000000001</v>
      </c>
      <c r="M199" s="79">
        <f t="shared" si="1829"/>
        <v>36944.156999999999</v>
      </c>
      <c r="N199" s="79">
        <f t="shared" ref="N199" si="1830">N129</f>
        <v>36944.156000000003</v>
      </c>
      <c r="O199" s="79">
        <f t="shared" ref="O199:P199" si="1831">O129</f>
        <v>34225.971999999994</v>
      </c>
      <c r="P199" s="79">
        <f t="shared" si="1831"/>
        <v>34225.971999999994</v>
      </c>
      <c r="Q199" s="79">
        <f t="shared" ref="Q199" si="1832">Q129</f>
        <v>16854.563000000002</v>
      </c>
      <c r="R199" s="79">
        <f t="shared" ref="R199" si="1833">R129</f>
        <v>16894.382000000001</v>
      </c>
      <c r="T199" s="79">
        <f t="shared" ref="T199:AB199" si="1834">T129</f>
        <v>18154.816999999999</v>
      </c>
      <c r="U199" s="79">
        <f t="shared" si="1834"/>
        <v>18672.371999999999</v>
      </c>
      <c r="V199" s="79">
        <f t="shared" si="1834"/>
        <v>19469.877</v>
      </c>
      <c r="W199" s="79">
        <f t="shared" si="1834"/>
        <v>19121.008000000002</v>
      </c>
      <c r="X199" s="79">
        <f t="shared" si="1834"/>
        <v>26432.330999999998</v>
      </c>
      <c r="Y199" s="79">
        <f t="shared" si="1834"/>
        <v>25609.651000000005</v>
      </c>
      <c r="Z199" s="79">
        <f t="shared" si="1834"/>
        <v>25698.685000000001</v>
      </c>
      <c r="AA199" s="79">
        <f t="shared" si="1834"/>
        <v>25666.559999999998</v>
      </c>
      <c r="AB199" s="79">
        <f t="shared" si="1834"/>
        <v>26446.415999999997</v>
      </c>
      <c r="AC199" s="79">
        <f t="shared" si="1811"/>
        <v>26837.936000000002</v>
      </c>
      <c r="AD199" s="79">
        <f t="shared" ref="AD199:AG199" si="1835">AD129</f>
        <v>30586.597000000002</v>
      </c>
      <c r="AE199" s="79">
        <f t="shared" si="1835"/>
        <v>27374.035000000003</v>
      </c>
      <c r="AF199" s="79">
        <f t="shared" si="1835"/>
        <v>26972.212</v>
      </c>
      <c r="AG199" s="79">
        <f t="shared" si="1835"/>
        <v>27322.149000000001</v>
      </c>
      <c r="AH199" s="79">
        <f t="shared" ref="AH199:AS199" si="1836">AH129</f>
        <v>27706.859000000004</v>
      </c>
      <c r="AI199" s="79">
        <f t="shared" si="1836"/>
        <v>29221.489999999998</v>
      </c>
      <c r="AJ199" s="257"/>
      <c r="AK199" s="257"/>
      <c r="AL199" s="257"/>
      <c r="AM199" s="79">
        <f t="shared" ref="AM199:AP199" si="1837">AM129</f>
        <v>29221.489999999998</v>
      </c>
      <c r="AN199" s="79">
        <f t="shared" si="1837"/>
        <v>28842.412999999997</v>
      </c>
      <c r="AO199" s="79">
        <f t="shared" si="1837"/>
        <v>35852.710000000006</v>
      </c>
      <c r="AP199" s="79">
        <f t="shared" si="1837"/>
        <v>39186.362999999998</v>
      </c>
      <c r="AQ199" s="79">
        <f t="shared" ref="AQ199" si="1838">AQ129</f>
        <v>35878.066999999995</v>
      </c>
      <c r="AR199" s="79">
        <f t="shared" si="1836"/>
        <v>28842.412999999997</v>
      </c>
      <c r="AS199" s="79">
        <f t="shared" si="1836"/>
        <v>35852.710000000006</v>
      </c>
      <c r="AT199" s="79">
        <f t="shared" ref="AT199:AZ199" si="1839">AT129</f>
        <v>39186.362999999998</v>
      </c>
      <c r="AU199" s="79">
        <f t="shared" si="1839"/>
        <v>35879.523000000001</v>
      </c>
      <c r="AV199" s="79">
        <f t="shared" ref="AV199:AW199" si="1840">AV129</f>
        <v>39186.362999999998</v>
      </c>
      <c r="AW199" s="79">
        <f t="shared" si="1840"/>
        <v>35879.523000000001</v>
      </c>
      <c r="AX199" s="79">
        <f t="shared" si="1839"/>
        <v>36666.349000000002</v>
      </c>
      <c r="AY199" s="79">
        <f t="shared" ref="AY199" si="1841">AY129</f>
        <v>36666.349000000002</v>
      </c>
      <c r="AZ199" s="79">
        <f t="shared" si="1839"/>
        <v>37765.096000000005</v>
      </c>
      <c r="BA199" s="79">
        <f t="shared" ref="BA199" si="1842">BA129</f>
        <v>37765.096000000005</v>
      </c>
      <c r="BB199" s="79">
        <f t="shared" ref="BB199" si="1843">BB129</f>
        <v>36744.899000000005</v>
      </c>
      <c r="BC199" s="79">
        <f t="shared" ref="BC199:BF199" si="1844">BC129</f>
        <v>36744.899000000005</v>
      </c>
      <c r="BD199" s="79">
        <f t="shared" si="1844"/>
        <v>36944.156999999999</v>
      </c>
      <c r="BE199" s="79">
        <f t="shared" si="1844"/>
        <v>37344.070999999996</v>
      </c>
      <c r="BF199" s="79">
        <f t="shared" si="1844"/>
        <v>37238.786000000007</v>
      </c>
      <c r="BG199" s="79">
        <f t="shared" si="1821"/>
        <v>32799.629999999997</v>
      </c>
      <c r="BH199" s="79">
        <f t="shared" si="1821"/>
        <v>34225.971999999994</v>
      </c>
      <c r="BI199" s="79">
        <f t="shared" si="1821"/>
        <v>33060.298999999999</v>
      </c>
      <c r="BJ199" s="79">
        <f t="shared" si="1821"/>
        <v>19389.303</v>
      </c>
      <c r="BK199" s="79">
        <f t="shared" ref="BK199:BM199" si="1845">BK129</f>
        <v>17479.332999999999</v>
      </c>
      <c r="BL199" s="79">
        <f t="shared" si="1845"/>
        <v>16854.563000000002</v>
      </c>
      <c r="BM199" s="79">
        <f t="shared" si="1845"/>
        <v>16894.382000000001</v>
      </c>
      <c r="BO199" s="79">
        <f t="shared" ref="BO199:BR199" si="1846">BO129</f>
        <v>36944.156000000003</v>
      </c>
      <c r="BP199" s="79">
        <f t="shared" si="1846"/>
        <v>37344.070999999996</v>
      </c>
      <c r="BQ199" s="79">
        <f t="shared" si="1846"/>
        <v>37238.786000000007</v>
      </c>
      <c r="BR199" s="79">
        <f t="shared" si="1846"/>
        <v>32799.629999999997</v>
      </c>
      <c r="BS199" s="79">
        <f t="shared" ref="BS199:BT199" si="1847">BS129</f>
        <v>34225.971999999994</v>
      </c>
      <c r="BT199" s="79">
        <f t="shared" si="1847"/>
        <v>33060.298999999999</v>
      </c>
      <c r="BV199" s="40"/>
      <c r="BW199" s="40"/>
      <c r="BY199" s="40"/>
      <c r="BZ199" s="40"/>
      <c r="CB199" s="16"/>
      <c r="CC199" s="16"/>
    </row>
    <row r="200" spans="2:81" ht="13.5" customHeight="1">
      <c r="C200" s="77"/>
      <c r="D200" s="78"/>
      <c r="E200" s="78"/>
      <c r="F200" s="78"/>
      <c r="G200" s="78"/>
      <c r="H200" s="78"/>
      <c r="I200" s="78"/>
      <c r="J200" s="78"/>
      <c r="K200" s="78"/>
      <c r="L200" s="78"/>
      <c r="M200" s="78"/>
      <c r="N200" s="78"/>
      <c r="O200" s="78"/>
      <c r="P200" s="78"/>
      <c r="Q200" s="78"/>
      <c r="R200" s="78"/>
      <c r="T200" s="78"/>
      <c r="U200" s="78"/>
      <c r="V200" s="78"/>
      <c r="W200" s="78"/>
      <c r="X200" s="78"/>
      <c r="Y200" s="78"/>
      <c r="Z200" s="78"/>
      <c r="AA200" s="78"/>
      <c r="AB200" s="78"/>
      <c r="AC200" s="78"/>
      <c r="AD200" s="78"/>
      <c r="AE200" s="78"/>
      <c r="AF200" s="78"/>
      <c r="AG200" s="78"/>
      <c r="AH200" s="78"/>
      <c r="AI200" s="78"/>
      <c r="AJ200" s="256"/>
      <c r="AK200" s="256"/>
      <c r="AL200" s="256"/>
      <c r="AM200" s="78"/>
      <c r="AN200" s="78"/>
      <c r="AO200" s="78"/>
      <c r="AP200" s="78"/>
      <c r="AQ200" s="78"/>
      <c r="AR200" s="78"/>
      <c r="AS200" s="78"/>
      <c r="AT200" s="78"/>
      <c r="AU200" s="78"/>
      <c r="AV200" s="78"/>
      <c r="AW200" s="78"/>
      <c r="AX200" s="78"/>
      <c r="AY200" s="78"/>
      <c r="AZ200" s="78"/>
      <c r="BA200" s="78"/>
      <c r="BB200" s="78"/>
      <c r="BC200" s="78"/>
      <c r="BD200" s="78"/>
      <c r="BE200" s="78"/>
      <c r="BF200" s="78"/>
      <c r="BG200" s="78"/>
      <c r="BH200" s="78"/>
      <c r="BI200" s="78"/>
      <c r="BJ200" s="78"/>
      <c r="BK200" s="78"/>
      <c r="BL200" s="78"/>
      <c r="BM200" s="78"/>
      <c r="BO200" s="78"/>
      <c r="BP200" s="78"/>
      <c r="BQ200" s="78"/>
      <c r="BR200" s="78"/>
      <c r="BS200" s="78"/>
      <c r="BT200" s="78"/>
      <c r="BV200" s="40"/>
      <c r="BW200" s="40"/>
      <c r="BY200" s="40"/>
      <c r="BZ200" s="40"/>
      <c r="CB200" s="16"/>
      <c r="CC200" s="16"/>
    </row>
    <row r="201" spans="2:81" s="6" customFormat="1" ht="13.5" customHeight="1">
      <c r="B201" s="6" t="s">
        <v>291</v>
      </c>
      <c r="C201" s="59">
        <f t="shared" ref="C201:H201" si="1848">C90</f>
        <v>8012.6480000000001</v>
      </c>
      <c r="D201" s="59">
        <f t="shared" si="1848"/>
        <v>9230.1180000000004</v>
      </c>
      <c r="E201" s="59">
        <f t="shared" si="1848"/>
        <v>8334.134</v>
      </c>
      <c r="F201" s="59">
        <f t="shared" si="1848"/>
        <v>10619.15</v>
      </c>
      <c r="G201" s="59">
        <f t="shared" ref="G201" si="1849">G90</f>
        <v>10656.875</v>
      </c>
      <c r="H201" s="59">
        <f t="shared" si="1848"/>
        <v>11404.017</v>
      </c>
      <c r="I201" s="59">
        <f t="shared" ref="I201" si="1850">I90</f>
        <v>12434</v>
      </c>
      <c r="J201" s="59">
        <f t="shared" ref="J201:K201" si="1851">J90</f>
        <v>8902.259</v>
      </c>
      <c r="K201" s="59">
        <f t="shared" si="1851"/>
        <v>9596.6450000000004</v>
      </c>
      <c r="L201" s="59">
        <f t="shared" ref="L201:M201" si="1852">L90</f>
        <v>8619.9140000000007</v>
      </c>
      <c r="M201" s="59">
        <f t="shared" si="1852"/>
        <v>9628.8719999999994</v>
      </c>
      <c r="N201" s="59">
        <f t="shared" ref="N201" si="1853">N90</f>
        <v>9909.2999999999993</v>
      </c>
      <c r="O201" s="59">
        <f t="shared" ref="O201:P201" si="1854">O90</f>
        <v>11129.2</v>
      </c>
      <c r="P201" s="59">
        <f t="shared" si="1854"/>
        <v>5688.317</v>
      </c>
      <c r="Q201" s="59">
        <f t="shared" ref="Q201" si="1855">Q90</f>
        <v>5460.4430000000002</v>
      </c>
      <c r="R201" s="59">
        <f t="shared" ref="R201" si="1856">R90</f>
        <v>4362.0910000000003</v>
      </c>
      <c r="S201" s="86"/>
      <c r="T201" s="426"/>
      <c r="U201" s="426"/>
      <c r="V201" s="426"/>
      <c r="W201" s="59">
        <f>W90</f>
        <v>8334.134</v>
      </c>
      <c r="X201" s="59">
        <f t="shared" ref="X201:Z201" si="1857">X90</f>
        <v>10755.902</v>
      </c>
      <c r="Y201" s="59">
        <f t="shared" si="1857"/>
        <v>13426.429</v>
      </c>
      <c r="Z201" s="59">
        <f t="shared" si="1857"/>
        <v>16228.106</v>
      </c>
      <c r="AA201" s="59">
        <f>AA90</f>
        <v>10619.15</v>
      </c>
      <c r="AB201" s="59">
        <f>AB90</f>
        <v>10701.275</v>
      </c>
      <c r="AC201" s="59">
        <f t="shared" ref="AC201" si="1858">AC90</f>
        <v>10614.498</v>
      </c>
      <c r="AD201" s="59">
        <f t="shared" ref="AD201" si="1859">AD90</f>
        <v>10652.458999999999</v>
      </c>
      <c r="AE201" s="59">
        <f>AE90</f>
        <v>10656.875</v>
      </c>
      <c r="AF201" s="59">
        <f>AF90</f>
        <v>10844.837</v>
      </c>
      <c r="AG201" s="59">
        <f t="shared" ref="AG201:AH201" si="1860">AG90</f>
        <v>11071.954999999998</v>
      </c>
      <c r="AH201" s="59">
        <f t="shared" si="1860"/>
        <v>11091.703000000001</v>
      </c>
      <c r="AI201" s="59">
        <f>AI90</f>
        <v>11404.017</v>
      </c>
      <c r="AJ201" s="244"/>
      <c r="AK201" s="244"/>
      <c r="AL201" s="244"/>
      <c r="AM201" s="274"/>
      <c r="AN201" s="59">
        <f>AN90</f>
        <v>10890.617000000002</v>
      </c>
      <c r="AO201" s="59">
        <f t="shared" ref="AO201:AP201" si="1861">AO90</f>
        <v>11090.349</v>
      </c>
      <c r="AP201" s="59">
        <f t="shared" si="1861"/>
        <v>11434.563</v>
      </c>
      <c r="AQ201" s="59">
        <f t="shared" ref="AQ201" si="1862">AQ90</f>
        <v>12434</v>
      </c>
      <c r="AR201" s="59">
        <f>AR90</f>
        <v>10238.154</v>
      </c>
      <c r="AS201" s="59">
        <f t="shared" ref="AS201:AT201" si="1863">AS90</f>
        <v>9757.2380000000012</v>
      </c>
      <c r="AT201" s="59">
        <f t="shared" si="1863"/>
        <v>9369.8520000000008</v>
      </c>
      <c r="AU201" s="59">
        <f t="shared" ref="AU201:AV201" si="1864">AU90</f>
        <v>9596.6450000000004</v>
      </c>
      <c r="AV201" s="59">
        <f t="shared" si="1864"/>
        <v>9205.652</v>
      </c>
      <c r="AW201" s="59">
        <f t="shared" ref="AW201" si="1865">AW90</f>
        <v>8619.9140000000007</v>
      </c>
      <c r="AX201" s="59">
        <f>AX90</f>
        <v>9603.1760000000013</v>
      </c>
      <c r="AY201" s="59">
        <f>AY90</f>
        <v>8699.2620000000006</v>
      </c>
      <c r="AZ201" s="59">
        <f t="shared" ref="AZ201:BB201" si="1866">AZ90</f>
        <v>10001.996999999999</v>
      </c>
      <c r="BA201" s="59">
        <f t="shared" ref="BA201" si="1867">BA90</f>
        <v>8730.4210000000003</v>
      </c>
      <c r="BB201" s="59">
        <f t="shared" si="1866"/>
        <v>10408.197</v>
      </c>
      <c r="BC201" s="59">
        <f t="shared" ref="BC201:BD201" si="1868">BC90</f>
        <v>10232.197</v>
      </c>
      <c r="BD201" s="59">
        <f t="shared" si="1868"/>
        <v>9804.8719999999994</v>
      </c>
      <c r="BE201" s="59">
        <f>BE90</f>
        <v>9723.3959999999988</v>
      </c>
      <c r="BF201" s="59">
        <f t="shared" ref="BF201:BH201" si="1869">BF90</f>
        <v>10045.434999999999</v>
      </c>
      <c r="BG201" s="59">
        <f>BG90</f>
        <v>10142.235000000001</v>
      </c>
      <c r="BH201" s="59">
        <f t="shared" si="1869"/>
        <v>11129.200000000003</v>
      </c>
      <c r="BI201" s="59">
        <f>BI90</f>
        <v>10846.547</v>
      </c>
      <c r="BJ201" s="59">
        <f t="shared" ref="BJ201" si="1870">BJ90</f>
        <v>9461.349000000002</v>
      </c>
      <c r="BK201" s="59">
        <f>BK90</f>
        <v>8188.9490000000005</v>
      </c>
      <c r="BL201" s="59">
        <f t="shared" ref="BL201" si="1871">BL90</f>
        <v>5460.4430000000002</v>
      </c>
      <c r="BM201" s="59">
        <f>BM90</f>
        <v>4362.0910000000003</v>
      </c>
      <c r="BO201" s="59">
        <f t="shared" ref="BO201" si="1872">BO90</f>
        <v>9909.2999999999993</v>
      </c>
      <c r="BP201" s="59">
        <f>BP90</f>
        <v>10529.545999999998</v>
      </c>
      <c r="BQ201" s="59">
        <f>BQ90</f>
        <v>9539.3869999999988</v>
      </c>
      <c r="BR201" s="59">
        <f>BR90</f>
        <v>8415.2870000000003</v>
      </c>
      <c r="BS201" s="59">
        <f t="shared" ref="BS201" si="1873">BS90</f>
        <v>5688.317</v>
      </c>
      <c r="BT201" s="59">
        <f>BT90</f>
        <v>4103.9400000000005</v>
      </c>
      <c r="BV201" s="427"/>
      <c r="BW201" s="427"/>
      <c r="BY201" s="427"/>
      <c r="BZ201" s="427"/>
      <c r="CB201" s="428"/>
      <c r="CC201" s="428"/>
    </row>
    <row r="202" spans="2:81" ht="13.5" customHeight="1">
      <c r="C202" s="79"/>
      <c r="D202" s="79"/>
      <c r="E202" s="79"/>
      <c r="F202" s="79"/>
      <c r="G202" s="79"/>
      <c r="H202" s="79"/>
      <c r="I202" s="79"/>
      <c r="J202" s="79"/>
      <c r="K202" s="79"/>
      <c r="L202" s="79"/>
      <c r="M202" s="79"/>
      <c r="N202" s="79"/>
      <c r="O202" s="79"/>
      <c r="P202" s="79"/>
      <c r="Q202" s="79"/>
      <c r="R202" s="79"/>
      <c r="T202" s="79"/>
      <c r="U202" s="79"/>
      <c r="V202" s="79"/>
      <c r="W202" s="79"/>
      <c r="X202" s="79"/>
      <c r="Y202" s="79"/>
      <c r="Z202" s="79"/>
      <c r="AA202" s="79"/>
      <c r="AB202" s="79"/>
      <c r="AC202" s="79"/>
      <c r="AD202" s="79"/>
      <c r="AE202" s="79"/>
      <c r="AF202" s="79"/>
      <c r="AG202" s="79"/>
      <c r="AH202" s="79"/>
      <c r="AI202" s="79"/>
      <c r="AJ202" s="257"/>
      <c r="AK202" s="257"/>
      <c r="AL202" s="257"/>
      <c r="AM202" s="266"/>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c r="BM202" s="79"/>
      <c r="BO202" s="79"/>
      <c r="BP202" s="79"/>
      <c r="BQ202" s="79"/>
      <c r="BR202" s="79"/>
      <c r="BS202" s="79"/>
      <c r="BT202" s="79"/>
      <c r="BV202" s="40"/>
      <c r="BW202" s="40"/>
      <c r="BY202" s="40"/>
      <c r="BZ202" s="40"/>
      <c r="CB202" s="16"/>
      <c r="CC202" s="16"/>
    </row>
    <row r="203" spans="2:81" ht="13.5" customHeight="1">
      <c r="B203" s="84" t="str">
        <f t="shared" ref="B203:F204" si="1874">+B136</f>
        <v>Total Net Leverage  (excl. lease liabilities)</v>
      </c>
      <c r="C203" s="56">
        <f t="shared" si="1874"/>
        <v>2.7522947470049854</v>
      </c>
      <c r="D203" s="56">
        <f t="shared" si="1874"/>
        <v>2.0711917225760277</v>
      </c>
      <c r="E203" s="56">
        <f t="shared" si="1874"/>
        <v>1.6857852297551252</v>
      </c>
      <c r="F203" s="56">
        <f t="shared" si="1874"/>
        <v>1.1860783584373515</v>
      </c>
      <c r="G203" s="56">
        <f t="shared" ref="G203:H203" si="1875">+G136</f>
        <v>0.99008245850683296</v>
      </c>
      <c r="H203" s="56">
        <f t="shared" si="1875"/>
        <v>1.0593760952829165</v>
      </c>
      <c r="I203" s="56">
        <f t="shared" ref="I203" si="1876">+I136</f>
        <v>1.4461906064018015</v>
      </c>
      <c r="J203" s="56">
        <f t="shared" ref="J203:K203" si="1877">+J136</f>
        <v>1.357087341538816</v>
      </c>
      <c r="K203" s="56">
        <f t="shared" si="1877"/>
        <v>1.8739246893054819</v>
      </c>
      <c r="L203" s="56">
        <f t="shared" ref="L203:M203" si="1878">+L136</f>
        <v>2.0862028321860291</v>
      </c>
      <c r="M203" s="56">
        <f t="shared" si="1878"/>
        <v>2.1009745482129163</v>
      </c>
      <c r="N203" s="56">
        <f t="shared" ref="N203" si="1879">+N136</f>
        <v>2.0415179679694835</v>
      </c>
      <c r="O203" s="56">
        <f t="shared" ref="O203:P203" si="1880">+O136</f>
        <v>1.6470676239082767</v>
      </c>
      <c r="P203" s="56">
        <f t="shared" si="1880"/>
        <v>3.2224900616474073</v>
      </c>
      <c r="Q203" s="56">
        <f t="shared" ref="Q203" si="1881">+Q136</f>
        <v>2.0704688245990304</v>
      </c>
      <c r="R203" s="56">
        <f t="shared" ref="R203" si="1882">+R136</f>
        <v>2.9079514847351877</v>
      </c>
      <c r="T203" s="170"/>
      <c r="U203" s="170"/>
      <c r="V203" s="170"/>
      <c r="W203" s="56">
        <f>+W136</f>
        <v>1.6857852297551252</v>
      </c>
      <c r="X203" s="56">
        <f t="shared" ref="X203:Z203" si="1883">+X136</f>
        <v>1.1576222059293584</v>
      </c>
      <c r="Y203" s="56">
        <f t="shared" si="1883"/>
        <v>0.91846506617656887</v>
      </c>
      <c r="Z203" s="56">
        <f t="shared" si="1883"/>
        <v>0.75517679019350759</v>
      </c>
      <c r="AA203" s="56">
        <f>+AA136</f>
        <v>1.1860783584373515</v>
      </c>
      <c r="AB203" s="56">
        <f>+AB136</f>
        <v>1.1168259856886211</v>
      </c>
      <c r="AC203" s="56">
        <f t="shared" ref="AC203:AC204" si="1884">+AC136</f>
        <v>1.1173223641852872</v>
      </c>
      <c r="AD203" s="56">
        <f t="shared" ref="AD203" si="1885">+AD136</f>
        <v>0.9737129239361545</v>
      </c>
      <c r="AE203" s="56">
        <f>+AE136</f>
        <v>0.99008245850683296</v>
      </c>
      <c r="AF203" s="56">
        <f>+AF136</f>
        <v>1.0236846344486321</v>
      </c>
      <c r="AG203" s="56">
        <f t="shared" ref="AG203:AH204" si="1886">+AG136</f>
        <v>0.99082582976538525</v>
      </c>
      <c r="AH203" s="56">
        <f t="shared" si="1886"/>
        <v>0.9432698477411452</v>
      </c>
      <c r="AI203" s="56">
        <f>+AI136</f>
        <v>1.0593760952829165</v>
      </c>
      <c r="AJ203" s="240"/>
      <c r="AK203" s="240"/>
      <c r="AL203" s="240"/>
      <c r="AM203" s="267"/>
      <c r="AN203" s="56">
        <f>+AN136</f>
        <v>1.1827433652289854</v>
      </c>
      <c r="AO203" s="56">
        <f t="shared" ref="AO203:AP203" si="1887">+AO136</f>
        <v>1.6785847767279467</v>
      </c>
      <c r="AP203" s="56">
        <f t="shared" si="1887"/>
        <v>1.7581437961380768</v>
      </c>
      <c r="AQ203" s="56">
        <f t="shared" ref="AQ203" si="1888">+AQ136</f>
        <v>1.4461906064018015</v>
      </c>
      <c r="AR203" s="56">
        <f>+AR136</f>
        <v>1.2581179185232023</v>
      </c>
      <c r="AS203" s="56">
        <f t="shared" ref="AS203:AT203" si="1889">+AS136</f>
        <v>1.9079263004551088</v>
      </c>
      <c r="AT203" s="56">
        <f t="shared" si="1889"/>
        <v>2.1455628114510232</v>
      </c>
      <c r="AU203" s="56">
        <f t="shared" ref="AU203:AV203" si="1890">+AU136</f>
        <v>1.8739246893054819</v>
      </c>
      <c r="AV203" s="56">
        <f t="shared" si="1890"/>
        <v>2.183832932202955</v>
      </c>
      <c r="AW203" s="56">
        <f t="shared" ref="AW203" si="1891">+AW136</f>
        <v>2.0862028321860291</v>
      </c>
      <c r="AX203" s="56">
        <f>+AX136</f>
        <v>2.124266388536459</v>
      </c>
      <c r="AY203" s="56">
        <f>+AY136</f>
        <v>2.3449924832704201</v>
      </c>
      <c r="AZ203" s="56">
        <f t="shared" ref="AZ203:BB203" si="1892">+AZ136</f>
        <v>1.976712950423801</v>
      </c>
      <c r="BA203" s="56">
        <f t="shared" ref="BA203" si="1893">+BA136</f>
        <v>2.2646189685468783</v>
      </c>
      <c r="BB203" s="56">
        <f t="shared" si="1892"/>
        <v>1.8410244348757048</v>
      </c>
      <c r="BC203" s="56">
        <f t="shared" ref="BC203:BD204" si="1894">+BC136</f>
        <v>1.8726911727755051</v>
      </c>
      <c r="BD203" s="56">
        <f t="shared" si="1894"/>
        <v>2.0632615091762543</v>
      </c>
      <c r="BE203" s="56">
        <f>+BE136</f>
        <v>2.1720693058268945</v>
      </c>
      <c r="BF203" s="56">
        <f t="shared" ref="BF203:BH203" si="1895">+BF136</f>
        <v>2.0536307287837721</v>
      </c>
      <c r="BG203" s="56">
        <f t="shared" si="1895"/>
        <v>1.7431736693145046</v>
      </c>
      <c r="BH203" s="56">
        <f t="shared" si="1895"/>
        <v>1.6470676239082764</v>
      </c>
      <c r="BI203" s="56">
        <f>+BI136</f>
        <v>1.6496720108251957</v>
      </c>
      <c r="BJ203" s="56">
        <f t="shared" ref="BJ203:BL203" si="1896">+BJ136</f>
        <v>1.3575556720294328</v>
      </c>
      <c r="BK203" s="56">
        <f t="shared" si="1896"/>
        <v>1.4758702246161255</v>
      </c>
      <c r="BL203" s="56">
        <f t="shared" si="1896"/>
        <v>2.0704688245990304</v>
      </c>
      <c r="BM203" s="56">
        <f>+BM136</f>
        <v>2.9079514847351877</v>
      </c>
      <c r="BO203" s="56">
        <f t="shared" ref="BO203:BQ203" si="1897">+BO136</f>
        <v>2.0415179679694835</v>
      </c>
      <c r="BP203" s="56">
        <f t="shared" si="1897"/>
        <v>2.0057740381209221</v>
      </c>
      <c r="BQ203" s="56">
        <f t="shared" si="1897"/>
        <v>2.1625722910706959</v>
      </c>
      <c r="BR203" s="56">
        <f>+BR136</f>
        <v>2.1009000643709475</v>
      </c>
      <c r="BS203" s="56">
        <f t="shared" ref="BS203:BT203" si="1898">+BS136</f>
        <v>3.2224900616474073</v>
      </c>
      <c r="BT203" s="56">
        <f t="shared" si="1898"/>
        <v>4.3600162283074297</v>
      </c>
      <c r="BV203" s="40"/>
      <c r="BW203" s="40"/>
      <c r="BY203" s="40"/>
      <c r="BZ203" s="40"/>
      <c r="CB203" s="16"/>
      <c r="CC203" s="16"/>
    </row>
    <row r="204" spans="2:81" ht="13.5" customHeight="1">
      <c r="B204" s="10" t="str">
        <f t="shared" si="1874"/>
        <v>Total Gross Leverage  (excl. lease liabilities)</v>
      </c>
      <c r="C204" s="55">
        <f t="shared" si="1874"/>
        <v>2.7780929600301922</v>
      </c>
      <c r="D204" s="55">
        <f t="shared" si="1874"/>
        <v>2.078412106974147</v>
      </c>
      <c r="E204" s="55">
        <f t="shared" si="1874"/>
        <v>2.2943005236056924</v>
      </c>
      <c r="F204" s="55">
        <f t="shared" si="1874"/>
        <v>1.5845188174194733</v>
      </c>
      <c r="G204" s="55">
        <f t="shared" ref="G204:H204" si="1899">+G137</f>
        <v>1.6651634742830337</v>
      </c>
      <c r="H204" s="55">
        <f t="shared" si="1899"/>
        <v>1.6705074185701405</v>
      </c>
      <c r="I204" s="55">
        <f t="shared" ref="I204" si="1900">+I137</f>
        <v>2.0455345021714653</v>
      </c>
      <c r="J204" s="55">
        <f t="shared" ref="J204:K204" si="1901">+J137</f>
        <v>2.1399618905718198</v>
      </c>
      <c r="K204" s="55">
        <f t="shared" si="1901"/>
        <v>2.6504712844957798</v>
      </c>
      <c r="L204" s="55">
        <f t="shared" ref="L204:M204" si="1902">+L137</f>
        <v>2.9507988130740057</v>
      </c>
      <c r="M204" s="55">
        <f t="shared" si="1902"/>
        <v>2.5799646106002867</v>
      </c>
      <c r="N204" s="55">
        <f t="shared" ref="N204" si="1903">+N137</f>
        <v>2.5069528624625357</v>
      </c>
      <c r="O204" s="55">
        <f t="shared" ref="O204:P204" si="1904">+O137</f>
        <v>2.0837962297379859</v>
      </c>
      <c r="P204" s="55">
        <f t="shared" si="1904"/>
        <v>4.0769501770031438</v>
      </c>
      <c r="Q204" s="55">
        <f t="shared" ref="Q204" si="1905">+Q137</f>
        <v>2.7566367783712789</v>
      </c>
      <c r="R204" s="55">
        <f t="shared" ref="R204" si="1906">+R137</f>
        <v>3.4611396231761327</v>
      </c>
      <c r="T204" s="170"/>
      <c r="U204" s="170"/>
      <c r="V204" s="170"/>
      <c r="W204" s="55">
        <f>+W137</f>
        <v>2.2943005236056924</v>
      </c>
      <c r="X204" s="55">
        <f t="shared" ref="X204:Z204" si="1907">+X137</f>
        <v>1.7852011853585126</v>
      </c>
      <c r="Y204" s="55">
        <f t="shared" si="1907"/>
        <v>1.3220089273179043</v>
      </c>
      <c r="Z204" s="55">
        <f t="shared" si="1907"/>
        <v>1.0621601189935537</v>
      </c>
      <c r="AA204" s="55">
        <f>+AA137</f>
        <v>1.5845188174194733</v>
      </c>
      <c r="AB204" s="55">
        <f>+AB137</f>
        <v>1.6740070692510938</v>
      </c>
      <c r="AC204" s="55">
        <f t="shared" si="1884"/>
        <v>1.6738049222864806</v>
      </c>
      <c r="AD204" s="55">
        <f t="shared" ref="AD204" si="1908">+AD137</f>
        <v>2.0099080409509207</v>
      </c>
      <c r="AE204" s="55">
        <f>+AE137</f>
        <v>1.6651634742830337</v>
      </c>
      <c r="AF204" s="55">
        <f>+AF137</f>
        <v>1.6278659605487846</v>
      </c>
      <c r="AG204" s="55">
        <f t="shared" si="1886"/>
        <v>1.6232160445016266</v>
      </c>
      <c r="AH204" s="55">
        <f t="shared" si="1886"/>
        <v>1.6032890530877002</v>
      </c>
      <c r="AI204" s="55">
        <f>+AI137</f>
        <v>1.6705074185701405</v>
      </c>
      <c r="AJ204" s="239"/>
      <c r="AK204" s="239"/>
      <c r="AL204" s="239"/>
      <c r="AM204" s="268"/>
      <c r="AN204" s="55">
        <f>+AN137</f>
        <v>1.7136503836284018</v>
      </c>
      <c r="AO204" s="55">
        <f t="shared" ref="AO204:AP204" si="1909">+AO137</f>
        <v>2.2724593247696721</v>
      </c>
      <c r="AP204" s="55">
        <f t="shared" si="1909"/>
        <v>2.4351557641511961</v>
      </c>
      <c r="AQ204" s="55">
        <f t="shared" ref="AQ204" si="1910">+AQ137</f>
        <v>2.0455345021714653</v>
      </c>
      <c r="AR204" s="55">
        <f>+AR137</f>
        <v>1.8228588864750421</v>
      </c>
      <c r="AS204" s="55">
        <f t="shared" ref="AS204:AT204" si="1911">+AS137</f>
        <v>2.5829406846486682</v>
      </c>
      <c r="AT204" s="55">
        <f t="shared" si="1911"/>
        <v>2.9717589989681792</v>
      </c>
      <c r="AU204" s="55">
        <f t="shared" ref="AU204:AV204" si="1912">+AU137</f>
        <v>2.6504712844957798</v>
      </c>
      <c r="AV204" s="55">
        <f t="shared" si="1912"/>
        <v>3.0247658720968373</v>
      </c>
      <c r="AW204" s="55">
        <f t="shared" ref="AW204" si="1913">+AW137</f>
        <v>2.9507988130740057</v>
      </c>
      <c r="AX204" s="55">
        <f>+AX137</f>
        <v>2.6923391802878545</v>
      </c>
      <c r="AY204" s="55">
        <f>+AY137</f>
        <v>2.9720920004478542</v>
      </c>
      <c r="AZ204" s="55">
        <f t="shared" ref="AZ204:BB204" si="1914">+AZ137</f>
        <v>2.6036367537402789</v>
      </c>
      <c r="BA204" s="55">
        <f t="shared" ref="BA204" si="1915">+BA137</f>
        <v>2.9828535187478367</v>
      </c>
      <c r="BB204" s="55">
        <f t="shared" si="1914"/>
        <v>2.384613973006084</v>
      </c>
      <c r="BC204" s="55">
        <f t="shared" ref="BC204" si="1916">+BC137</f>
        <v>2.4256307809554496</v>
      </c>
      <c r="BD204" s="55">
        <f t="shared" si="1894"/>
        <v>2.533653575487778</v>
      </c>
      <c r="BE204" s="55">
        <f>+BE137</f>
        <v>2.6255566470809169</v>
      </c>
      <c r="BF204" s="55">
        <f t="shared" ref="BF204:BH204" si="1917">+BF137</f>
        <v>2.5690219487757382</v>
      </c>
      <c r="BG204" s="55">
        <f t="shared" si="1917"/>
        <v>2.1906437782204806</v>
      </c>
      <c r="BH204" s="55">
        <f t="shared" si="1917"/>
        <v>2.0837962297379855</v>
      </c>
      <c r="BI204" s="55">
        <f>+BI137</f>
        <v>2.106362052365605</v>
      </c>
      <c r="BJ204" s="55">
        <f t="shared" ref="BJ204:BL204" si="1918">+BJ137</f>
        <v>1.8718654179229621</v>
      </c>
      <c r="BK204" s="55">
        <f t="shared" si="1918"/>
        <v>1.9247826552589347</v>
      </c>
      <c r="BL204" s="55">
        <f t="shared" si="1918"/>
        <v>2.7566367783712789</v>
      </c>
      <c r="BM204" s="55">
        <f>+BM137</f>
        <v>3.4611396231761327</v>
      </c>
      <c r="BO204" s="55">
        <f t="shared" ref="BO204:BR204" si="1919">+BO137</f>
        <v>2.5069528624625357</v>
      </c>
      <c r="BP204" s="55">
        <f t="shared" si="1919"/>
        <v>2.4245420457824109</v>
      </c>
      <c r="BQ204" s="55">
        <f t="shared" si="1919"/>
        <v>2.7053041248876903</v>
      </c>
      <c r="BR204" s="55">
        <f t="shared" si="1919"/>
        <v>2.6401980110719929</v>
      </c>
      <c r="BS204" s="55">
        <f t="shared" ref="BS204:BT204" si="1920">+BS137</f>
        <v>4.0769501770031438</v>
      </c>
      <c r="BT204" s="55">
        <f t="shared" si="1920"/>
        <v>5.5670294887352139</v>
      </c>
      <c r="BV204" s="40"/>
      <c r="BW204" s="40"/>
      <c r="BY204" s="40"/>
      <c r="BZ204" s="40"/>
      <c r="CB204" s="16"/>
      <c r="CC204" s="16"/>
    </row>
    <row r="205" spans="2:81" ht="13.5" customHeight="1">
      <c r="C205" s="77"/>
      <c r="D205" s="78"/>
      <c r="E205" s="78"/>
      <c r="F205" s="78"/>
      <c r="G205" s="78"/>
      <c r="H205" s="78"/>
      <c r="I205" s="78"/>
      <c r="J205" s="78"/>
      <c r="K205" s="78"/>
      <c r="L205" s="78"/>
      <c r="M205" s="78"/>
      <c r="N205" s="78"/>
      <c r="O205" s="78"/>
      <c r="P205" s="78"/>
      <c r="Q205" s="78"/>
      <c r="R205" s="78"/>
      <c r="T205" s="78"/>
      <c r="U205" s="78"/>
      <c r="V205" s="78"/>
      <c r="W205" s="78"/>
      <c r="X205" s="78"/>
      <c r="Y205" s="78"/>
      <c r="Z205" s="78"/>
      <c r="AA205" s="78"/>
      <c r="AB205" s="78"/>
      <c r="AC205" s="78"/>
      <c r="AD205" s="78"/>
      <c r="AE205" s="78"/>
      <c r="AF205" s="78"/>
      <c r="AG205" s="78"/>
      <c r="AH205" s="78"/>
      <c r="AI205" s="78"/>
      <c r="AJ205" s="256"/>
      <c r="AK205" s="256"/>
      <c r="AL205" s="256"/>
      <c r="AM205" s="269"/>
      <c r="AN205" s="78"/>
      <c r="AO205" s="78"/>
      <c r="AP205" s="78"/>
      <c r="AQ205" s="78"/>
      <c r="AR205" s="78"/>
      <c r="AS205" s="78"/>
      <c r="AT205" s="78"/>
      <c r="AU205" s="78"/>
      <c r="AV205" s="78"/>
      <c r="AW205" s="78"/>
      <c r="AX205" s="78"/>
      <c r="AY205" s="78"/>
      <c r="AZ205" s="78"/>
      <c r="BA205" s="78"/>
      <c r="BB205" s="78"/>
      <c r="BC205" s="78"/>
      <c r="BD205" s="78"/>
      <c r="BE205" s="78"/>
      <c r="BF205" s="78"/>
      <c r="BG205" s="78"/>
      <c r="BH205" s="78"/>
      <c r="BI205" s="78"/>
      <c r="BJ205" s="78"/>
      <c r="BK205" s="78"/>
      <c r="BL205" s="78"/>
      <c r="BM205" s="78"/>
      <c r="BO205" s="78"/>
      <c r="BP205" s="78"/>
      <c r="BQ205" s="78"/>
      <c r="BR205" s="78"/>
      <c r="BS205" s="78"/>
      <c r="BT205" s="78"/>
      <c r="BV205" s="40"/>
      <c r="BW205" s="40"/>
      <c r="BY205" s="40"/>
      <c r="BZ205" s="40"/>
      <c r="CB205" s="16"/>
      <c r="CC205" s="16"/>
    </row>
    <row r="206" spans="2:81" s="6" customFormat="1" ht="13.5" customHeight="1">
      <c r="B206" s="84" t="str">
        <f t="shared" ref="B206:F207" si="1921">+B139</f>
        <v>Total Net Leverage (incl. lease liabilities)</v>
      </c>
      <c r="C206" s="56">
        <f t="shared" si="1921"/>
        <v>2.7522947470049854</v>
      </c>
      <c r="D206" s="56">
        <f t="shared" si="1921"/>
        <v>2.0711917225760277</v>
      </c>
      <c r="E206" s="56">
        <f t="shared" si="1921"/>
        <v>1.6857852297551252</v>
      </c>
      <c r="F206" s="56">
        <f t="shared" si="1921"/>
        <v>2.0185665519368312</v>
      </c>
      <c r="G206" s="56">
        <f t="shared" ref="G206:H206" si="1922">+G139</f>
        <v>1.8935927276992555</v>
      </c>
      <c r="H206" s="56">
        <f t="shared" si="1922"/>
        <v>1.9512543694033426</v>
      </c>
      <c r="I206" s="56">
        <f t="shared" ref="I206" si="1923">+I139</f>
        <v>2.2861368023162294</v>
      </c>
      <c r="J206" s="56">
        <f t="shared" ref="J206:K206" si="1924">+J139</f>
        <v>2.4996057742197793</v>
      </c>
      <c r="K206" s="56">
        <f t="shared" si="1924"/>
        <v>2.9622103349660223</v>
      </c>
      <c r="L206" s="56">
        <f t="shared" ref="L206:M206" si="1925">+L139</f>
        <v>3.2978032031410054</v>
      </c>
      <c r="M206" s="56">
        <f t="shared" si="1925"/>
        <v>3.3578204175940862</v>
      </c>
      <c r="N206" s="56">
        <f t="shared" ref="N206" si="1926">+N139</f>
        <v>3.2627957575207134</v>
      </c>
      <c r="O206" s="56">
        <f t="shared" ref="O206:P206" si="1927">+O139</f>
        <v>2.6386022355605068</v>
      </c>
      <c r="P206" s="56">
        <f t="shared" si="1927"/>
        <v>5.1624288871383213</v>
      </c>
      <c r="Q206" s="56">
        <f t="shared" ref="Q206" si="1928">+Q139</f>
        <v>2.4004979083198932</v>
      </c>
      <c r="R206" s="56">
        <f t="shared" ref="R206" si="1929">+R139</f>
        <v>3.3198126769936711</v>
      </c>
      <c r="S206"/>
      <c r="T206" s="170"/>
      <c r="U206" s="170"/>
      <c r="V206" s="170"/>
      <c r="W206" s="56">
        <f>+W139</f>
        <v>1.6857852297551252</v>
      </c>
      <c r="X206" s="56">
        <f t="shared" ref="X206:Z206" si="1930">+X139</f>
        <v>1.8298932995112822</v>
      </c>
      <c r="Y206" s="56">
        <f t="shared" si="1930"/>
        <v>1.503862121491873</v>
      </c>
      <c r="Z206" s="56">
        <f t="shared" si="1930"/>
        <v>1.2766078185587402</v>
      </c>
      <c r="AA206" s="56">
        <f>+AA139</f>
        <v>2.0185665519368312</v>
      </c>
      <c r="AB206" s="56">
        <f>+AB139</f>
        <v>1.9141520986985192</v>
      </c>
      <c r="AC206" s="56">
        <f t="shared" ref="AC206:AC207" si="1931">+AC139</f>
        <v>1.9719399824654922</v>
      </c>
      <c r="AD206" s="56">
        <f t="shared" ref="AD206" si="1932">+AD139</f>
        <v>1.835122857548666</v>
      </c>
      <c r="AE206" s="56">
        <f>+AE139</f>
        <v>1.8935927276992555</v>
      </c>
      <c r="AF206" s="56">
        <f>+AF139</f>
        <v>1.8829203242058872</v>
      </c>
      <c r="AG206" s="56">
        <f t="shared" ref="AG206:AH207" si="1933">+AG139</f>
        <v>1.8352994570516232</v>
      </c>
      <c r="AH206" s="56">
        <f t="shared" si="1933"/>
        <v>1.8379614023202751</v>
      </c>
      <c r="AI206" s="56">
        <f>+AI139</f>
        <v>1.9512543694033426</v>
      </c>
      <c r="AJ206" s="240"/>
      <c r="AK206" s="240"/>
      <c r="AL206" s="240"/>
      <c r="AM206" s="267"/>
      <c r="AN206" s="56">
        <f>+AN139</f>
        <v>2.1174657046519947</v>
      </c>
      <c r="AO206" s="56">
        <f t="shared" ref="AO206:AP206" si="1934">+AO139</f>
        <v>2.6389101010256764</v>
      </c>
      <c r="AP206" s="56">
        <f t="shared" si="1934"/>
        <v>2.7499981415992898</v>
      </c>
      <c r="AQ206" s="56">
        <f t="shared" ref="AQ206" si="1935">+AQ139</f>
        <v>2.2861368023162294</v>
      </c>
      <c r="AR206" s="56">
        <f>+AR139</f>
        <v>2.2524087838491189</v>
      </c>
      <c r="AS206" s="56">
        <f t="shared" ref="AS206:AT206" si="1936">+AS139</f>
        <v>2.9994588632561801</v>
      </c>
      <c r="AT206" s="56">
        <f t="shared" si="1936"/>
        <v>3.355979048548472</v>
      </c>
      <c r="AU206" s="56">
        <f t="shared" ref="AU206:AV206" si="1937">+AU139</f>
        <v>2.9622103349660223</v>
      </c>
      <c r="AV206" s="56">
        <f t="shared" si="1937"/>
        <v>3.4158392040020629</v>
      </c>
      <c r="AW206" s="56">
        <f t="shared" ref="AW206" si="1938">+AW139</f>
        <v>3.2978032031410054</v>
      </c>
      <c r="AX206" s="56">
        <f>+AX139</f>
        <v>3.2500753917245708</v>
      </c>
      <c r="AY206" s="56">
        <f>+AY139</f>
        <v>3.5877808945172589</v>
      </c>
      <c r="AZ206" s="56">
        <f t="shared" ref="AZ206:BB206" si="1939">+AZ139</f>
        <v>3.1488317782938755</v>
      </c>
      <c r="BA206" s="56">
        <f t="shared" ref="BA206" si="1940">+BA139</f>
        <v>3.6074555854752028</v>
      </c>
      <c r="BB206" s="56">
        <f t="shared" si="1939"/>
        <v>2.9867912761451385</v>
      </c>
      <c r="BC206" s="56">
        <f t="shared" ref="BC206:BD207" si="1941">+BC139</f>
        <v>3.0381658992687499</v>
      </c>
      <c r="BD206" s="56">
        <f t="shared" si="1941"/>
        <v>3.2975466686357562</v>
      </c>
      <c r="BE206" s="56">
        <f>+BE139</f>
        <v>3.3871534184147185</v>
      </c>
      <c r="BF206" s="56">
        <f t="shared" ref="BF206:BH206" si="1942">+BF139</f>
        <v>3.1916444633806313</v>
      </c>
      <c r="BG206" s="56">
        <f t="shared" si="1942"/>
        <v>2.7864945941402457</v>
      </c>
      <c r="BH206" s="56">
        <f t="shared" si="1942"/>
        <v>2.6386022355605063</v>
      </c>
      <c r="BI206" s="56">
        <f>+BI139</f>
        <v>2.5913121475433605</v>
      </c>
      <c r="BJ206" s="56">
        <f t="shared" ref="BJ206:BL206" si="1943">+BJ139</f>
        <v>1.5350072172583422</v>
      </c>
      <c r="BK206" s="56">
        <f t="shared" si="1943"/>
        <v>1.6855901776894688</v>
      </c>
      <c r="BL206" s="56">
        <f t="shared" si="1943"/>
        <v>2.4004979083198932</v>
      </c>
      <c r="BM206" s="56">
        <f>+BM139</f>
        <v>3.3198126769936711</v>
      </c>
      <c r="BO206" s="56">
        <f t="shared" ref="BO206:BR206" si="1944">+BO139</f>
        <v>3.2627957575207134</v>
      </c>
      <c r="BP206" s="56">
        <f t="shared" si="1944"/>
        <v>3.1278303926873963</v>
      </c>
      <c r="BQ206" s="56">
        <f t="shared" si="1944"/>
        <v>3.3609556882428624</v>
      </c>
      <c r="BR206" s="56">
        <f t="shared" si="1944"/>
        <v>3.3583266975921315</v>
      </c>
      <c r="BS206" s="56">
        <f t="shared" ref="BS206:BT206" si="1945">+BS139</f>
        <v>5.1624288871383213</v>
      </c>
      <c r="BT206" s="56">
        <f t="shared" si="1945"/>
        <v>6.8487329249452946</v>
      </c>
      <c r="BV206" s="40"/>
      <c r="BW206" s="40"/>
      <c r="BY206" s="40"/>
      <c r="BZ206" s="40"/>
      <c r="CB206" s="16"/>
      <c r="CC206" s="16"/>
    </row>
    <row r="207" spans="2:81">
      <c r="B207" s="85" t="str">
        <f t="shared" si="1921"/>
        <v>Total Gross Leverage (incl. lease liabilities)</v>
      </c>
      <c r="C207" s="55">
        <f t="shared" si="1921"/>
        <v>2.7780929600301922</v>
      </c>
      <c r="D207" s="55">
        <f t="shared" si="1921"/>
        <v>2.078412106974147</v>
      </c>
      <c r="E207" s="55">
        <f t="shared" si="1921"/>
        <v>2.2943005236056924</v>
      </c>
      <c r="F207" s="55">
        <f t="shared" si="1921"/>
        <v>2.4170070109189528</v>
      </c>
      <c r="G207" s="55">
        <f t="shared" ref="G207:H207" si="1946">+G140</f>
        <v>2.5686737434754563</v>
      </c>
      <c r="H207" s="55">
        <f t="shared" si="1946"/>
        <v>2.5623856926905666</v>
      </c>
      <c r="I207" s="55">
        <f t="shared" ref="I207" si="1947">+I140</f>
        <v>2.8854806980858934</v>
      </c>
      <c r="J207" s="55">
        <f t="shared" ref="J207:K207" si="1948">+J140</f>
        <v>3.2824803232527833</v>
      </c>
      <c r="K207" s="55">
        <f t="shared" si="1948"/>
        <v>3.7387569301563204</v>
      </c>
      <c r="L207" s="55">
        <f t="shared" ref="L207:M207" si="1949">+L140</f>
        <v>4.162399184028982</v>
      </c>
      <c r="M207" s="55">
        <f t="shared" si="1949"/>
        <v>3.8368104799814557</v>
      </c>
      <c r="N207" s="55">
        <f t="shared" ref="N207" si="1950">+N140</f>
        <v>3.7282306520137656</v>
      </c>
      <c r="O207" s="55">
        <f t="shared" ref="O207:P207" si="1951">+O140</f>
        <v>3.0753308413902158</v>
      </c>
      <c r="P207" s="55">
        <f t="shared" si="1951"/>
        <v>6.0168890024940582</v>
      </c>
      <c r="Q207" s="55">
        <f t="shared" ref="Q207" si="1952">+Q140</f>
        <v>3.0866658620921417</v>
      </c>
      <c r="R207" s="55">
        <f t="shared" ref="R207" si="1953">+R140</f>
        <v>3.8730008154346161</v>
      </c>
      <c r="T207" s="170"/>
      <c r="U207" s="170"/>
      <c r="V207" s="170"/>
      <c r="W207" s="55">
        <f>+W140</f>
        <v>2.2943005236056924</v>
      </c>
      <c r="X207" s="55">
        <f t="shared" ref="X207:Z207" si="1954">+X140</f>
        <v>2.4574722789404366</v>
      </c>
      <c r="Y207" s="55">
        <f t="shared" si="1954"/>
        <v>1.9074059826332084</v>
      </c>
      <c r="Z207" s="55">
        <f t="shared" si="1954"/>
        <v>1.5835911473587863</v>
      </c>
      <c r="AA207" s="55">
        <f>+AA140</f>
        <v>2.4170070109189528</v>
      </c>
      <c r="AB207" s="55">
        <f>+AB140</f>
        <v>2.4713331822609921</v>
      </c>
      <c r="AC207" s="55">
        <f t="shared" si="1931"/>
        <v>2.5284225405666856</v>
      </c>
      <c r="AD207" s="55">
        <f t="shared" ref="AD207" si="1955">+AD140</f>
        <v>2.8713179745634321</v>
      </c>
      <c r="AE207" s="55">
        <f>+AE140</f>
        <v>2.5686737434754563</v>
      </c>
      <c r="AF207" s="55">
        <f>+AF140</f>
        <v>2.4871016503060397</v>
      </c>
      <c r="AG207" s="55">
        <f t="shared" si="1933"/>
        <v>2.4676896717878645</v>
      </c>
      <c r="AH207" s="55">
        <f t="shared" si="1933"/>
        <v>2.4979806076668298</v>
      </c>
      <c r="AI207" s="55">
        <f>+AI140</f>
        <v>2.5623856926905666</v>
      </c>
      <c r="AJ207" s="239"/>
      <c r="AK207" s="239"/>
      <c r="AL207" s="239"/>
      <c r="AM207" s="268"/>
      <c r="AN207" s="55">
        <f>+AN140</f>
        <v>2.6483727230514114</v>
      </c>
      <c r="AO207" s="55">
        <f t="shared" ref="AO207:AP207" si="1956">+AO140</f>
        <v>3.2327846490674013</v>
      </c>
      <c r="AP207" s="55">
        <f t="shared" si="1956"/>
        <v>3.427010109612409</v>
      </c>
      <c r="AQ207" s="55">
        <f t="shared" ref="AQ207" si="1957">+AQ140</f>
        <v>2.8854806980858934</v>
      </c>
      <c r="AR207" s="55">
        <f>+AR140</f>
        <v>2.8171497518009589</v>
      </c>
      <c r="AS207" s="55">
        <f t="shared" ref="AS207:AT207" si="1958">+AS140</f>
        <v>3.6744732474497397</v>
      </c>
      <c r="AT207" s="55">
        <f t="shared" si="1958"/>
        <v>4.1821752360656275</v>
      </c>
      <c r="AU207" s="55">
        <f t="shared" ref="AU207:AV207" si="1959">+AU140</f>
        <v>3.7387569301563204</v>
      </c>
      <c r="AV207" s="55">
        <f t="shared" si="1959"/>
        <v>4.2567721438959456</v>
      </c>
      <c r="AW207" s="55">
        <f t="shared" ref="AW207" si="1960">+AW140</f>
        <v>4.162399184028982</v>
      </c>
      <c r="AX207" s="55">
        <f>+AX140</f>
        <v>3.8181481834759663</v>
      </c>
      <c r="AY207" s="55">
        <f>+AY140</f>
        <v>4.2148804116946934</v>
      </c>
      <c r="AZ207" s="55">
        <f t="shared" ref="AZ207:BB207" si="1961">+AZ140</f>
        <v>3.775755581610353</v>
      </c>
      <c r="BA207" s="55">
        <f t="shared" ref="BA207" si="1962">+BA140</f>
        <v>4.3256901356761608</v>
      </c>
      <c r="BB207" s="55">
        <f t="shared" si="1961"/>
        <v>3.5303808142755182</v>
      </c>
      <c r="BC207" s="55">
        <f t="shared" ref="BC207" si="1963">+BC140</f>
        <v>3.5911055074486939</v>
      </c>
      <c r="BD207" s="55">
        <f t="shared" si="1941"/>
        <v>3.7679387349472795</v>
      </c>
      <c r="BE207" s="55">
        <f>+BE140</f>
        <v>3.8406407596687413</v>
      </c>
      <c r="BF207" s="55">
        <f t="shared" ref="BF207:BH207" si="1964">+BF140</f>
        <v>3.7070356833725975</v>
      </c>
      <c r="BG207" s="55">
        <f t="shared" si="1964"/>
        <v>3.2339647030462215</v>
      </c>
      <c r="BH207" s="55">
        <f t="shared" si="1964"/>
        <v>3.0753308413902154</v>
      </c>
      <c r="BI207" s="55">
        <f>+BI140</f>
        <v>3.0480021890837699</v>
      </c>
      <c r="BJ207" s="55">
        <f t="shared" ref="BJ207:BL207" si="1965">+BJ140</f>
        <v>2.0493169631518713</v>
      </c>
      <c r="BK207" s="55">
        <f t="shared" si="1965"/>
        <v>2.1345026083322778</v>
      </c>
      <c r="BL207" s="55">
        <f t="shared" si="1965"/>
        <v>3.0866658620921417</v>
      </c>
      <c r="BM207" s="55">
        <f>+BM140</f>
        <v>3.8730008154346161</v>
      </c>
      <c r="BO207" s="55">
        <f t="shared" ref="BO207:BR207" si="1966">+BO140</f>
        <v>3.7282306520137656</v>
      </c>
      <c r="BP207" s="55">
        <f t="shared" si="1966"/>
        <v>3.5465984003488851</v>
      </c>
      <c r="BQ207" s="55">
        <f t="shared" si="1966"/>
        <v>3.9036875220598568</v>
      </c>
      <c r="BR207" s="55">
        <f t="shared" si="1966"/>
        <v>3.897624644293177</v>
      </c>
      <c r="BS207" s="55">
        <f t="shared" ref="BS207:BT207" si="1967">+BS140</f>
        <v>6.0168890024940582</v>
      </c>
      <c r="BT207" s="55">
        <f t="shared" si="1967"/>
        <v>8.0557461853730796</v>
      </c>
      <c r="BV207" s="40"/>
      <c r="BW207" s="40"/>
      <c r="BY207" s="40"/>
      <c r="BZ207" s="40"/>
      <c r="CB207" s="16"/>
      <c r="CC207" s="16"/>
    </row>
    <row r="208" spans="2:81">
      <c r="C208" s="80"/>
      <c r="D208" s="80"/>
      <c r="E208" s="80"/>
      <c r="F208" s="80"/>
      <c r="G208" s="80"/>
      <c r="H208" s="80"/>
      <c r="I208" s="80"/>
      <c r="J208" s="80"/>
      <c r="K208" s="80"/>
      <c r="L208" s="80"/>
      <c r="M208" s="80"/>
      <c r="N208" s="80"/>
      <c r="O208" s="80"/>
      <c r="P208" s="80"/>
      <c r="Q208" s="80"/>
      <c r="R208" s="80"/>
      <c r="T208" s="80"/>
      <c r="U208" s="80"/>
      <c r="V208" s="80"/>
      <c r="W208" s="80"/>
      <c r="X208" s="80"/>
      <c r="Y208" s="80"/>
      <c r="Z208" s="80"/>
      <c r="AA208" s="80"/>
      <c r="AB208" s="80"/>
      <c r="AC208" s="80"/>
      <c r="AD208" s="80"/>
      <c r="AE208" s="80"/>
      <c r="AF208" s="80"/>
      <c r="AG208" s="80"/>
      <c r="AH208" s="80"/>
      <c r="AI208" s="80"/>
      <c r="AJ208" s="258"/>
      <c r="AK208" s="258"/>
      <c r="AL208" s="258"/>
      <c r="AM208" s="270"/>
      <c r="AN208" s="80"/>
      <c r="AO208" s="80"/>
      <c r="AP208" s="80"/>
      <c r="AQ208" s="80"/>
      <c r="AR208" s="80"/>
      <c r="AS208" s="80"/>
      <c r="AT208" s="80"/>
      <c r="AU208" s="80"/>
      <c r="AV208" s="80"/>
      <c r="AW208" s="80"/>
      <c r="AX208" s="80"/>
      <c r="AY208" s="80"/>
      <c r="AZ208" s="80"/>
      <c r="BA208" s="80"/>
      <c r="BB208" s="80"/>
      <c r="BC208" s="80"/>
      <c r="BD208" s="80"/>
      <c r="BE208" s="80"/>
      <c r="BF208" s="80"/>
      <c r="BG208" s="80"/>
      <c r="BH208" s="80"/>
      <c r="BI208" s="80"/>
      <c r="BJ208" s="80"/>
      <c r="BK208" s="80"/>
      <c r="BL208" s="80"/>
      <c r="BM208" s="80"/>
      <c r="BO208" s="80"/>
      <c r="BP208" s="80"/>
      <c r="BQ208" s="80"/>
      <c r="BR208" s="80"/>
      <c r="BS208" s="80"/>
      <c r="BT208" s="80"/>
      <c r="BV208" s="40"/>
      <c r="BW208" s="40"/>
      <c r="BY208" s="40"/>
      <c r="BZ208" s="40"/>
      <c r="CB208" s="16"/>
      <c r="CC208" s="16"/>
    </row>
    <row r="209" spans="2:81" s="6" customFormat="1">
      <c r="B209" s="6" t="s">
        <v>321</v>
      </c>
      <c r="C209" s="56">
        <f t="shared" ref="C209:F210" si="1968">+C142</f>
        <v>2.1922663597569221</v>
      </c>
      <c r="D209" s="56">
        <f t="shared" si="1968"/>
        <v>3.348934933726726</v>
      </c>
      <c r="E209" s="56">
        <f t="shared" si="1968"/>
        <v>1.5396365859987262</v>
      </c>
      <c r="F209" s="56">
        <f t="shared" si="1968"/>
        <v>2.2777219785403431</v>
      </c>
      <c r="G209" s="56">
        <f t="shared" ref="G209:H209" si="1969">+G142</f>
        <v>4.3829527886575672</v>
      </c>
      <c r="H209" s="56">
        <f t="shared" si="1969"/>
        <v>3.6014312690442472</v>
      </c>
      <c r="I209" s="56">
        <f t="shared" ref="I209" si="1970">+I142</f>
        <v>1.7487224003912312</v>
      </c>
      <c r="J209" s="56">
        <f t="shared" ref="J209:K209" si="1971">+J142</f>
        <v>1.8983906270117159</v>
      </c>
      <c r="K209" s="56">
        <f t="shared" si="1971"/>
        <v>-3.4797224670212838E-2</v>
      </c>
      <c r="L209" s="56">
        <f t="shared" ref="L209:M209" si="1972">+L142</f>
        <v>-0.69874939351280463</v>
      </c>
      <c r="M209" s="56">
        <f t="shared" si="1972"/>
        <v>1.1634626615770798</v>
      </c>
      <c r="N209" s="56">
        <f t="shared" ref="N209" si="1973">+N142</f>
        <v>1.2205906880473656</v>
      </c>
      <c r="O209" s="56">
        <f t="shared" ref="O209:P209" si="1974">+O142</f>
        <v>2.821272200746249</v>
      </c>
      <c r="P209" s="56">
        <f t="shared" si="1974"/>
        <v>0.26052537767865741</v>
      </c>
      <c r="Q209" s="56">
        <f t="shared" ref="Q209" si="1975">+Q142</f>
        <v>2.2236211963366666</v>
      </c>
      <c r="R209" s="56">
        <f t="shared" ref="R209" si="1976">+R142</f>
        <v>2.2519262040794694</v>
      </c>
      <c r="S209" s="86"/>
      <c r="T209" s="426"/>
      <c r="U209" s="426"/>
      <c r="V209" s="426"/>
      <c r="W209" s="56">
        <f>+W142</f>
        <v>1.5396365859987262</v>
      </c>
      <c r="X209" s="56">
        <f t="shared" ref="X209:Z209" si="1977">+X142</f>
        <v>3.568183914779735</v>
      </c>
      <c r="Y209" s="56">
        <f t="shared" si="1977"/>
        <v>8.2598723689347526</v>
      </c>
      <c r="Z209" s="56">
        <f t="shared" si="1977"/>
        <v>2.9711273888048928</v>
      </c>
      <c r="AA209" s="56">
        <f>+AA142</f>
        <v>2.2777219785403431</v>
      </c>
      <c r="AB209" s="56">
        <f>+AB142</f>
        <v>2.571599122643025</v>
      </c>
      <c r="AC209" s="56">
        <f t="shared" ref="AC209:AC210" si="1978">+AC142</f>
        <v>1.7134108160349832</v>
      </c>
      <c r="AD209" s="56">
        <f t="shared" ref="AD209" si="1979">+AD142</f>
        <v>3.1666259978835103</v>
      </c>
      <c r="AE209" s="56">
        <f>+AE142</f>
        <v>4.3829527886575672</v>
      </c>
      <c r="AF209" s="56">
        <f>+AF142</f>
        <v>4.1741902064058998</v>
      </c>
      <c r="AG209" s="56">
        <f t="shared" ref="AG209:AH210" si="1980">+AG142</f>
        <v>6.7481608742773291</v>
      </c>
      <c r="AH209" s="56">
        <f t="shared" si="1980"/>
        <v>3.8476604903477312</v>
      </c>
      <c r="AI209" s="56">
        <f>+AI142</f>
        <v>3.6014312690442472</v>
      </c>
      <c r="AJ209" s="240"/>
      <c r="AK209" s="240"/>
      <c r="AL209" s="240"/>
      <c r="AM209" s="267"/>
      <c r="AN209" s="56">
        <f>+AN142</f>
        <v>2.8461324570448294</v>
      </c>
      <c r="AO209" s="56">
        <f t="shared" ref="AO209:AP209" si="1981">+AO142</f>
        <v>1.901230358782461</v>
      </c>
      <c r="AP209" s="56">
        <f t="shared" si="1981"/>
        <v>1.3562031541335786</v>
      </c>
      <c r="AQ209" s="56">
        <f t="shared" ref="AQ209" si="1982">+AQ142</f>
        <v>1.7487224003912312</v>
      </c>
      <c r="AR209" s="56">
        <f>+AR142</f>
        <v>2.393706449360431</v>
      </c>
      <c r="AS209" s="56">
        <f t="shared" ref="AS209:AT209" si="1983">+AS142</f>
        <v>0.97743152642794118</v>
      </c>
      <c r="AT209" s="56">
        <f t="shared" si="1983"/>
        <v>-3.8130399578062031E-2</v>
      </c>
      <c r="AU209" s="56">
        <f t="shared" ref="AU209:AV209" si="1984">+AU142</f>
        <v>-3.4797224670212838E-2</v>
      </c>
      <c r="AV209" s="56">
        <f t="shared" si="1984"/>
        <v>-0.14901738062260167</v>
      </c>
      <c r="AW209" s="56">
        <f t="shared" ref="AW209" si="1985">+AW142</f>
        <v>-0.69874939351280463</v>
      </c>
      <c r="AX209" s="56">
        <f>+AX142</f>
        <v>-0.10838901584239227</v>
      </c>
      <c r="AY209" s="56">
        <f>+AY142</f>
        <v>-0.17560793042656209</v>
      </c>
      <c r="AZ209" s="56">
        <f t="shared" ref="AZ209:BB209" si="1986">+AZ142</f>
        <v>0.8343529232665684</v>
      </c>
      <c r="BA209" s="56">
        <f t="shared" ref="BA209" si="1987">+BA142</f>
        <v>0.1673172078278653</v>
      </c>
      <c r="BB209" s="56">
        <f t="shared" si="1986"/>
        <v>1.3175937849826187</v>
      </c>
      <c r="BC209" s="56">
        <f t="shared" ref="BC209:BD210" si="1988">+BC142</f>
        <v>1.2396269820069448</v>
      </c>
      <c r="BD209" s="56">
        <f t="shared" si="1988"/>
        <v>1.2398846202110894</v>
      </c>
      <c r="BE209" s="56">
        <f>+BE142</f>
        <v>1.22286368169483</v>
      </c>
      <c r="BF209" s="56">
        <f t="shared" ref="BF209:BH209" si="1989">+BF142</f>
        <v>1.7025183691619334</v>
      </c>
      <c r="BG209" s="56">
        <f t="shared" si="1989"/>
        <v>2.205090664445442</v>
      </c>
      <c r="BH209" s="56">
        <f t="shared" si="1989"/>
        <v>2.8212722007462498</v>
      </c>
      <c r="BI209" s="56">
        <f>+BI142</f>
        <v>3.1661786645132661</v>
      </c>
      <c r="BJ209" s="56">
        <f t="shared" ref="BJ209:BL209" si="1990">+BJ142</f>
        <v>3.0631902761104461</v>
      </c>
      <c r="BK209" s="56">
        <f t="shared" si="1990"/>
        <v>3.0328215136275727</v>
      </c>
      <c r="BL209" s="56">
        <f t="shared" si="1990"/>
        <v>2.2236211963366666</v>
      </c>
      <c r="BM209" s="56">
        <f>+BM142</f>
        <v>2.2519262040794694</v>
      </c>
      <c r="BO209" s="56">
        <f t="shared" ref="BO209" si="1991">+BO142</f>
        <v>1.2205906880473656</v>
      </c>
      <c r="BP209" s="56">
        <f t="shared" ref="BP209:BS210" si="1992">+BP142</f>
        <v>1.4847201340469112</v>
      </c>
      <c r="BQ209" s="56">
        <f t="shared" si="1992"/>
        <v>1.4211757361787987</v>
      </c>
      <c r="BR209" s="56">
        <f t="shared" si="1992"/>
        <v>1.3469739927540363</v>
      </c>
      <c r="BS209" s="56">
        <f t="shared" si="1992"/>
        <v>0.26052537767865741</v>
      </c>
      <c r="BT209" s="56">
        <f t="shared" ref="BT209" si="1993">+BT142</f>
        <v>-0.17036000383232336</v>
      </c>
      <c r="BV209" s="427"/>
      <c r="BW209" s="427"/>
      <c r="BY209" s="427"/>
      <c r="BZ209" s="427"/>
      <c r="CB209" s="428"/>
      <c r="CC209" s="428"/>
    </row>
    <row r="210" spans="2:81">
      <c r="B210" s="10" t="s">
        <v>322</v>
      </c>
      <c r="C210" s="55">
        <f t="shared" si="1968"/>
        <v>6.9441634571718778</v>
      </c>
      <c r="D210" s="55">
        <f t="shared" si="1968"/>
        <v>7.1141494229750943</v>
      </c>
      <c r="E210" s="55">
        <f t="shared" si="1968"/>
        <v>7.5612666868684304</v>
      </c>
      <c r="F210" s="55">
        <f t="shared" si="1968"/>
        <v>6.285049204273939</v>
      </c>
      <c r="G210" s="55">
        <f t="shared" ref="G210:H210" si="1994">+G143</f>
        <v>7.6098521499137748</v>
      </c>
      <c r="H210" s="55">
        <f t="shared" si="1994"/>
        <v>8.1570297412128241</v>
      </c>
      <c r="I210" s="55">
        <f t="shared" ref="I210" si="1995">+I143</f>
        <v>7.8158295377258034</v>
      </c>
      <c r="J210" s="55">
        <f t="shared" ref="J210:K210" si="1996">+J143</f>
        <v>6.3675800752471288</v>
      </c>
      <c r="K210" s="55">
        <f t="shared" si="1996"/>
        <v>6.0323099126643598</v>
      </c>
      <c r="L210" s="55">
        <f t="shared" ref="L210:M210" si="1997">+L143</f>
        <v>5.4245057955318501</v>
      </c>
      <c r="M210" s="55">
        <f t="shared" si="1997"/>
        <v>4.1810071458873477</v>
      </c>
      <c r="N210" s="55">
        <f t="shared" ref="N210" si="1998">+N143</f>
        <v>4.3152600726634871</v>
      </c>
      <c r="O210" s="55">
        <f t="shared" ref="O210:P210" si="1999">+O143</f>
        <v>5.1591166475291255</v>
      </c>
      <c r="P210" s="55">
        <f t="shared" si="1999"/>
        <v>2.6369092954680418</v>
      </c>
      <c r="Q210" s="55">
        <f t="shared" ref="Q210" si="2000">+Q143</f>
        <v>3.5376744722425224</v>
      </c>
      <c r="R210" s="55">
        <f t="shared" ref="R210" si="2001">+R143</f>
        <v>3.6134942389909606</v>
      </c>
      <c r="T210" s="170"/>
      <c r="U210" s="170"/>
      <c r="V210" s="170"/>
      <c r="W210" s="55">
        <f>+W143</f>
        <v>7.5612666868684304</v>
      </c>
      <c r="X210" s="55">
        <f t="shared" ref="X210:Z210" si="2002">+X143</f>
        <v>10.22922965286304</v>
      </c>
      <c r="Y210" s="55">
        <f t="shared" si="2002"/>
        <v>16.178525639480799</v>
      </c>
      <c r="Z210" s="55">
        <f t="shared" si="2002"/>
        <v>4.8080840941096019</v>
      </c>
      <c r="AA210" s="55">
        <f>+AA143</f>
        <v>6.285049204273939</v>
      </c>
      <c r="AB210" s="55">
        <f>+AB143</f>
        <v>5.6355571822411576</v>
      </c>
      <c r="AC210" s="55">
        <f t="shared" si="1978"/>
        <v>4.0404151984655208</v>
      </c>
      <c r="AD210" s="55">
        <f t="shared" ref="AD210" si="2003">+AD143</f>
        <v>6.8403559759994241</v>
      </c>
      <c r="AE210" s="55">
        <f>+AE143</f>
        <v>7.6098521499137748</v>
      </c>
      <c r="AF210" s="55">
        <f>+AF143</f>
        <v>7.8569264429938634</v>
      </c>
      <c r="AG210" s="55">
        <f t="shared" si="1980"/>
        <v>12.861340433119478</v>
      </c>
      <c r="AH210" s="55">
        <f t="shared" si="1980"/>
        <v>7.9949305938982622</v>
      </c>
      <c r="AI210" s="55">
        <f>+AI143</f>
        <v>8.1570297412128241</v>
      </c>
      <c r="AJ210" s="239"/>
      <c r="AK210" s="239"/>
      <c r="AL210" s="239"/>
      <c r="AM210" s="268"/>
      <c r="AN210" s="55">
        <f>+AN143</f>
        <v>7.5516900889856284</v>
      </c>
      <c r="AO210" s="55">
        <f t="shared" ref="AO210:AP210" si="2004">+AO143</f>
        <v>7.6852201029052534</v>
      </c>
      <c r="AP210" s="55">
        <f t="shared" si="2004"/>
        <v>7.7219498820559611</v>
      </c>
      <c r="AQ210" s="55">
        <f t="shared" ref="AQ210" si="2005">+AQ143</f>
        <v>7.8158295377258034</v>
      </c>
      <c r="AR210" s="55">
        <f>+AR143</f>
        <v>7.0992640813012304</v>
      </c>
      <c r="AS210" s="55">
        <f t="shared" ref="AS210:AT210" si="2006">+AS143</f>
        <v>6.7614212705507333</v>
      </c>
      <c r="AT210" s="55">
        <f t="shared" si="2006"/>
        <v>6.3276163283443196</v>
      </c>
      <c r="AU210" s="55">
        <f t="shared" ref="AU210:AV210" si="2007">+AU143</f>
        <v>6.0323099126643598</v>
      </c>
      <c r="AV210" s="55">
        <f t="shared" si="2007"/>
        <v>6.21672934729978</v>
      </c>
      <c r="AW210" s="55">
        <f t="shared" ref="AW210" si="2008">+AW143</f>
        <v>5.4245057955318501</v>
      </c>
      <c r="AX210" s="55">
        <f>+AX143</f>
        <v>5.9535602294834398</v>
      </c>
      <c r="AY210" s="55">
        <f>+AY143</f>
        <v>4.7599532500106703</v>
      </c>
      <c r="AZ210" s="55">
        <f t="shared" ref="AZ210:BB210" si="2009">+AZ143</f>
        <v>4.9436545787142041</v>
      </c>
      <c r="BA210" s="55">
        <f t="shared" ref="BA210" si="2010">+BA143</f>
        <v>4.3190100495004931</v>
      </c>
      <c r="BB210" s="55">
        <f t="shared" si="2009"/>
        <v>4.61076048199432</v>
      </c>
      <c r="BC210" s="55">
        <f t="shared" ref="BC210" si="2011">+BC143</f>
        <v>4.5327936790186456</v>
      </c>
      <c r="BD210" s="55">
        <f t="shared" si="1988"/>
        <v>4.257429104521357</v>
      </c>
      <c r="BE210" s="55">
        <f>+BE143</f>
        <v>3.8633503256080064</v>
      </c>
      <c r="BF210" s="55">
        <f t="shared" ref="BF210:BH210" si="2012">+BF143</f>
        <v>4.3242421281323571</v>
      </c>
      <c r="BG210" s="55">
        <f t="shared" si="2012"/>
        <v>4.6417976365916394</v>
      </c>
      <c r="BH210" s="55">
        <f t="shared" si="2012"/>
        <v>5.1591166475291264</v>
      </c>
      <c r="BI210" s="55">
        <f>+BI143</f>
        <v>5.3019749178298881</v>
      </c>
      <c r="BJ210" s="55">
        <f t="shared" ref="BJ210:BL210" si="2013">+BJ143</f>
        <v>4.7325675270108061</v>
      </c>
      <c r="BK210" s="55">
        <f t="shared" si="2013"/>
        <v>4.6029199410705672</v>
      </c>
      <c r="BL210" s="55">
        <f t="shared" si="2013"/>
        <v>3.5376744722425224</v>
      </c>
      <c r="BM210" s="55">
        <f>+BM143</f>
        <v>3.6134942389909606</v>
      </c>
      <c r="BO210" s="55">
        <f t="shared" ref="BO210" si="2014">+BO143</f>
        <v>4.3152600726634871</v>
      </c>
      <c r="BP210" s="55">
        <f t="shared" si="1992"/>
        <v>4.1947608245829162</v>
      </c>
      <c r="BQ210" s="55">
        <f t="shared" si="1992"/>
        <v>4.1182181561198536</v>
      </c>
      <c r="BR210" s="55">
        <f t="shared" si="1992"/>
        <v>3.8632076337868342</v>
      </c>
      <c r="BS210" s="55">
        <f t="shared" si="1992"/>
        <v>2.6369092954680418</v>
      </c>
      <c r="BT210" s="55">
        <f t="shared" ref="BT210" si="2015">+BT143</f>
        <v>2.0060750157887846</v>
      </c>
      <c r="BV210" s="40"/>
      <c r="BW210" s="40"/>
      <c r="BY210" s="40"/>
      <c r="BZ210" s="40"/>
      <c r="CB210" s="16"/>
      <c r="CC210" s="16"/>
    </row>
    <row r="211" spans="2:81">
      <c r="C211" s="55"/>
      <c r="D211" s="55"/>
      <c r="E211" s="55"/>
      <c r="F211" s="55"/>
      <c r="G211" s="55"/>
      <c r="H211" s="55"/>
      <c r="I211" s="55"/>
      <c r="J211" s="55"/>
      <c r="K211" s="55"/>
      <c r="L211" s="55"/>
      <c r="M211" s="55"/>
      <c r="N211" s="55"/>
      <c r="O211" s="55"/>
      <c r="P211" s="55"/>
      <c r="Q211" s="55"/>
      <c r="R211" s="55"/>
      <c r="T211" s="55"/>
      <c r="U211" s="55"/>
      <c r="V211" s="55"/>
      <c r="W211" s="55"/>
      <c r="X211" s="55"/>
      <c r="Y211" s="55"/>
      <c r="Z211" s="55"/>
      <c r="AA211" s="55"/>
      <c r="AB211" s="55"/>
      <c r="AC211" s="55"/>
      <c r="AD211" s="55"/>
      <c r="AE211" s="55"/>
      <c r="AF211" s="55"/>
      <c r="AG211" s="55"/>
      <c r="AH211" s="55"/>
      <c r="AI211" s="55"/>
      <c r="AJ211" s="239"/>
      <c r="AK211" s="239"/>
      <c r="AL211" s="239"/>
      <c r="AM211" s="55"/>
      <c r="AN211" s="55"/>
      <c r="AO211" s="55"/>
      <c r="AP211" s="55"/>
      <c r="AQ211" s="55"/>
      <c r="AR211" s="55"/>
      <c r="AS211" s="55"/>
      <c r="AT211" s="55"/>
      <c r="AU211" s="55"/>
      <c r="AV211" s="55"/>
      <c r="AW211" s="55"/>
      <c r="AX211" s="55"/>
      <c r="AY211" s="55"/>
      <c r="AZ211" s="55"/>
      <c r="BA211" s="55"/>
      <c r="BB211" s="55"/>
      <c r="BC211" s="55"/>
      <c r="BD211" s="55"/>
      <c r="BE211" s="55"/>
      <c r="BF211" s="55"/>
      <c r="BG211" s="55"/>
      <c r="BH211" s="55"/>
      <c r="BI211" s="55"/>
      <c r="BJ211" s="55"/>
      <c r="BK211" s="55"/>
      <c r="BL211" s="55"/>
      <c r="BM211" s="55"/>
      <c r="BO211" s="55"/>
      <c r="BP211" s="55"/>
      <c r="BQ211" s="55"/>
      <c r="BR211" s="55"/>
      <c r="BS211" s="55"/>
      <c r="BT211" s="55"/>
      <c r="BV211" s="40"/>
      <c r="BW211" s="40"/>
      <c r="BY211" s="40"/>
      <c r="BZ211" s="40"/>
      <c r="CB211" s="16"/>
      <c r="CC211" s="16"/>
    </row>
    <row r="212" spans="2:81" s="6" customFormat="1" ht="12.75" customHeight="1">
      <c r="B212" s="6" t="s">
        <v>323</v>
      </c>
      <c r="C212" s="53">
        <f t="shared" ref="C212:H212" si="2016">+C145</f>
        <v>0.77060210948308561</v>
      </c>
      <c r="D212" s="53">
        <f t="shared" si="2016"/>
        <v>0.62670399395395771</v>
      </c>
      <c r="E212" s="53">
        <f t="shared" si="2016"/>
        <v>0.60520085845584271</v>
      </c>
      <c r="F212" s="53">
        <f t="shared" si="2016"/>
        <v>0.96469121566615834</v>
      </c>
      <c r="G212" s="53">
        <f t="shared" ref="G212" si="2017">+G145</f>
        <v>0.84506962687132825</v>
      </c>
      <c r="H212" s="53">
        <f t="shared" si="2016"/>
        <v>0.8877479376405224</v>
      </c>
      <c r="I212" s="53">
        <f t="shared" ref="I212" si="2018">+I145</f>
        <v>0.92763265520704008</v>
      </c>
      <c r="J212" s="53">
        <f t="shared" ref="J212:K212" si="2019">+J145</f>
        <v>0.8877479376405224</v>
      </c>
      <c r="K212" s="53">
        <f t="shared" si="2019"/>
        <v>0.92656312590958068</v>
      </c>
      <c r="L212" s="53">
        <f t="shared" ref="L212:M212" si="2020">+L145</f>
        <v>0.92654679623928671</v>
      </c>
      <c r="M212" s="53">
        <f t="shared" si="2020"/>
        <v>1.1450918371358416</v>
      </c>
      <c r="N212" s="53">
        <f t="shared" ref="N212" si="2021">+N145</f>
        <v>1.1450918017191949</v>
      </c>
      <c r="O212" s="53">
        <f t="shared" ref="O212:P212" si="2022">+O145</f>
        <v>1.0648670129757667</v>
      </c>
      <c r="P212" s="53">
        <f t="shared" si="2022"/>
        <v>1.0648670129757667</v>
      </c>
      <c r="Q212" s="53">
        <f t="shared" ref="Q212" si="2023">+Q145</f>
        <v>0.54460511836778625</v>
      </c>
      <c r="R212" s="53">
        <f t="shared" ref="R212" si="2024">+R145</f>
        <v>0.60943048629365582</v>
      </c>
      <c r="S212" s="86"/>
      <c r="T212" s="426"/>
      <c r="U212" s="426"/>
      <c r="V212" s="426"/>
      <c r="W212" s="53">
        <f t="shared" ref="W212:AC212" si="2025">+W145</f>
        <v>0.60520085845584271</v>
      </c>
      <c r="X212" s="53">
        <f t="shared" si="2025"/>
        <v>0.86843424887088305</v>
      </c>
      <c r="Y212" s="53">
        <f t="shared" si="2025"/>
        <v>0.87530408491319667</v>
      </c>
      <c r="Z212" s="53">
        <f t="shared" si="2025"/>
        <v>0.9150158126437461</v>
      </c>
      <c r="AA212" s="53">
        <f t="shared" si="2025"/>
        <v>0.96469121566615834</v>
      </c>
      <c r="AB212" s="53">
        <f t="shared" si="2025"/>
        <v>0.94603885933691478</v>
      </c>
      <c r="AC212" s="53">
        <f t="shared" si="2025"/>
        <v>0.93506348521358751</v>
      </c>
      <c r="AD212" s="53">
        <f t="shared" ref="AD212:AG212" si="2026">+AD145</f>
        <v>0.89307649286477953</v>
      </c>
      <c r="AE212" s="53">
        <f t="shared" si="2026"/>
        <v>0.84506962687132825</v>
      </c>
      <c r="AF212" s="53">
        <f t="shared" si="2026"/>
        <v>0.8564523374835834</v>
      </c>
      <c r="AG212" s="53">
        <f t="shared" si="2026"/>
        <v>0.83514190610513084</v>
      </c>
      <c r="AH212" s="53">
        <f t="shared" ref="AH212:AS212" si="2027">+AH145</f>
        <v>0.82748394389979829</v>
      </c>
      <c r="AI212" s="53">
        <f t="shared" si="2027"/>
        <v>0.8877479376405224</v>
      </c>
      <c r="AJ212" s="237"/>
      <c r="AK212" s="237"/>
      <c r="AL212" s="237"/>
      <c r="AM212" s="53">
        <f t="shared" ref="AM212:AP212" si="2028">+AM145</f>
        <v>0.8877479376405224</v>
      </c>
      <c r="AN212" s="53">
        <f t="shared" si="2028"/>
        <v>0.96432631581852535</v>
      </c>
      <c r="AO212" s="53">
        <f t="shared" si="2028"/>
        <v>1.2051442002873347</v>
      </c>
      <c r="AP212" s="53">
        <f t="shared" si="2028"/>
        <v>1.288884224398547</v>
      </c>
      <c r="AQ212" s="53">
        <f t="shared" ref="AQ212" si="2029">+AQ145</f>
        <v>0.92763265520704008</v>
      </c>
      <c r="AR212" s="53">
        <f t="shared" si="2027"/>
        <v>0.96432631581852535</v>
      </c>
      <c r="AS212" s="53">
        <f t="shared" si="2027"/>
        <v>1.2051442002873347</v>
      </c>
      <c r="AT212" s="53">
        <f t="shared" ref="AT212:AZ212" si="2030">+AT145</f>
        <v>1.288884224398547</v>
      </c>
      <c r="AU212" s="53">
        <f t="shared" si="2030"/>
        <v>0.92656312590958068</v>
      </c>
      <c r="AV212" s="53">
        <f t="shared" ref="AV212:AW212" si="2031">+AV145</f>
        <v>1.288884224398547</v>
      </c>
      <c r="AW212" s="53">
        <f t="shared" si="2031"/>
        <v>0.92654679623928671</v>
      </c>
      <c r="AX212" s="53">
        <f t="shared" si="2030"/>
        <v>1.0114409549730716</v>
      </c>
      <c r="AY212" s="300">
        <f t="shared" ref="AY212" si="2032">+AY145</f>
        <v>1.0114409549730716</v>
      </c>
      <c r="AZ212" s="53">
        <f t="shared" si="2030"/>
        <v>1.0115872595262072</v>
      </c>
      <c r="BA212" s="53">
        <f t="shared" ref="BA212" si="2033">+BA145</f>
        <v>1.0115872595262072</v>
      </c>
      <c r="BB212" s="53">
        <f t="shared" ref="BB212" si="2034">+BB145</f>
        <v>1.061505896070865</v>
      </c>
      <c r="BC212" s="53">
        <f t="shared" ref="BC212:BG212" si="2035">+BC145</f>
        <v>1.061505896070865</v>
      </c>
      <c r="BD212" s="53">
        <f t="shared" si="2035"/>
        <v>1.1450918371358416</v>
      </c>
      <c r="BE212" s="53">
        <f t="shared" si="2035"/>
        <v>1.1642373833407744</v>
      </c>
      <c r="BF212" s="53">
        <f t="shared" si="2035"/>
        <v>1.1464049983274907</v>
      </c>
      <c r="BG212" s="53">
        <f t="shared" si="2035"/>
        <v>1.0446394538491404</v>
      </c>
      <c r="BH212" s="53">
        <f t="shared" ref="BH212:BK212" si="2036">+BH145</f>
        <v>1.0648670129757667</v>
      </c>
      <c r="BI212" s="53">
        <f t="shared" si="2036"/>
        <v>1.0418358793148599</v>
      </c>
      <c r="BJ212" s="53">
        <f t="shared" si="2036"/>
        <v>0.57389346542373476</v>
      </c>
      <c r="BK212" s="53">
        <f t="shared" si="2036"/>
        <v>0.56092946327884508</v>
      </c>
      <c r="BL212" s="53">
        <f t="shared" ref="BL212:BM212" si="2037">+BL145</f>
        <v>0.54460511836778625</v>
      </c>
      <c r="BM212" s="53">
        <f t="shared" si="2037"/>
        <v>0.60943048629365582</v>
      </c>
      <c r="BO212" s="53">
        <f t="shared" ref="BO212:BP212" si="2038">+BO145</f>
        <v>1.1450918017191949</v>
      </c>
      <c r="BP212" s="53">
        <f t="shared" si="2038"/>
        <v>1.1642373833407744</v>
      </c>
      <c r="BQ212" s="53">
        <f t="shared" ref="BQ212:BT212" si="2039">+BQ145</f>
        <v>1.1464049983274907</v>
      </c>
      <c r="BR212" s="53">
        <f t="shared" si="2039"/>
        <v>1.0446394538491404</v>
      </c>
      <c r="BS212" s="53">
        <f t="shared" si="2039"/>
        <v>1.0648670129757667</v>
      </c>
      <c r="BT212" s="53">
        <f t="shared" si="2039"/>
        <v>1.0418358793148599</v>
      </c>
      <c r="BV212" s="427"/>
      <c r="BW212" s="427"/>
      <c r="BY212" s="427"/>
      <c r="BZ212" s="427"/>
      <c r="CB212" s="428"/>
      <c r="CC212" s="428"/>
    </row>
    <row r="213" spans="2:81" s="6" customFormat="1" ht="13.5" customHeight="1">
      <c r="C213" s="57"/>
      <c r="D213" s="57"/>
      <c r="E213" s="57"/>
      <c r="F213" s="57"/>
      <c r="G213" s="57"/>
      <c r="H213" s="57"/>
      <c r="I213" s="57"/>
      <c r="J213" s="10"/>
      <c r="K213" s="57"/>
      <c r="L213" s="57"/>
      <c r="M213" s="57"/>
      <c r="N213" s="57"/>
      <c r="O213" s="57"/>
      <c r="P213" s="57"/>
      <c r="Q213" s="57"/>
      <c r="R213" s="57"/>
      <c r="S213"/>
      <c r="T213" s="57"/>
      <c r="U213" s="57"/>
      <c r="V213" s="57"/>
      <c r="W213" s="57"/>
      <c r="X213" s="57"/>
      <c r="Y213" s="57"/>
      <c r="Z213" s="57"/>
      <c r="AA213" s="57"/>
      <c r="AB213" s="57"/>
      <c r="AC213" s="57"/>
      <c r="AD213" s="57"/>
      <c r="AE213" s="57"/>
      <c r="AF213" s="57"/>
      <c r="AG213" s="57"/>
      <c r="AH213" s="57"/>
      <c r="AI213" s="57"/>
      <c r="AJ213" s="241"/>
      <c r="AK213" s="241"/>
      <c r="AL213" s="241"/>
      <c r="AM213" s="57"/>
      <c r="AN213" s="57"/>
      <c r="AO213" s="57"/>
      <c r="AP213" s="57"/>
      <c r="AQ213" s="57"/>
      <c r="AR213" s="57"/>
      <c r="AS213" s="57"/>
      <c r="AT213" s="57"/>
      <c r="AU213" s="57"/>
      <c r="AV213" s="57"/>
      <c r="AW213" s="57"/>
      <c r="AX213" s="57"/>
      <c r="AY213" s="57"/>
      <c r="AZ213" s="57"/>
      <c r="BA213" s="57"/>
      <c r="BB213" s="57"/>
      <c r="BC213" s="57"/>
      <c r="BD213" s="57"/>
      <c r="BE213" s="57"/>
      <c r="BF213" s="57"/>
      <c r="BG213" s="57"/>
      <c r="BH213" s="57"/>
      <c r="BI213" s="57"/>
      <c r="BJ213" s="57"/>
      <c r="BK213" s="57"/>
      <c r="BL213" s="57"/>
      <c r="BM213" s="57"/>
      <c r="BO213" s="57"/>
      <c r="BP213" s="57"/>
      <c r="BQ213" s="57"/>
      <c r="BR213" s="57"/>
      <c r="BS213" s="57"/>
      <c r="BT213" s="57"/>
      <c r="BV213" s="40"/>
      <c r="BW213" s="40"/>
      <c r="BY213" s="40"/>
      <c r="BZ213" s="40"/>
      <c r="CB213" s="16"/>
      <c r="CC213" s="16"/>
    </row>
    <row r="214" spans="2:81" s="6" customFormat="1" ht="13.5" customHeight="1">
      <c r="C214" s="56"/>
      <c r="D214" s="56"/>
      <c r="E214" s="56"/>
      <c r="F214" s="56"/>
      <c r="G214" s="56"/>
      <c r="H214" s="56"/>
      <c r="I214" s="56"/>
      <c r="J214" s="10"/>
      <c r="K214" s="56"/>
      <c r="L214" s="56"/>
      <c r="M214" s="56"/>
      <c r="N214" s="56"/>
      <c r="BV214" s="40"/>
      <c r="BW214" s="40"/>
      <c r="BY214" s="40"/>
      <c r="BZ214" s="40"/>
      <c r="CB214" s="16"/>
      <c r="CC214" s="16"/>
    </row>
    <row r="215" spans="2:81" ht="13.5" customHeight="1">
      <c r="B215" s="356" t="s">
        <v>333</v>
      </c>
      <c r="C215" s="393">
        <v>0.24130699999999999</v>
      </c>
      <c r="D215" s="393">
        <v>0.232569</v>
      </c>
      <c r="E215" s="393">
        <v>0.24782499999999999</v>
      </c>
      <c r="F215" s="393">
        <v>0.241423</v>
      </c>
      <c r="G215" s="393">
        <v>0.23805799999999999</v>
      </c>
      <c r="H215" s="393">
        <f>AVERAGE(AF215:AI215)</f>
        <v>0.24195447147089968</v>
      </c>
      <c r="I215" s="393">
        <f>AVERAGE(AH215:AS215)</f>
        <v>0.23570623098059973</v>
      </c>
      <c r="J215" s="393">
        <f>AVERAGE(AF215:AI215)</f>
        <v>0.24195447147089968</v>
      </c>
      <c r="K215" s="393">
        <f>AVERAGE(AR215:AU215)</f>
        <v>0.22755</v>
      </c>
      <c r="L215" s="393">
        <f>AVERAGE(AR215,AS215,AV215,AW215)</f>
        <v>0.228575</v>
      </c>
      <c r="M215" s="393">
        <f>AVERAGE(AX215,AZ215,BC215,BD215)</f>
        <v>0.219275</v>
      </c>
      <c r="N215" s="393">
        <f>AVERAGE(AY215,BA215,BC215,BD215)</f>
        <v>0.219275</v>
      </c>
      <c r="O215" s="393">
        <f>AVERAGE(BE215,BF215,BG215,BH215)</f>
        <v>0.218725</v>
      </c>
      <c r="P215" s="393">
        <f>O215</f>
        <v>0.218725</v>
      </c>
      <c r="Q215" s="393">
        <f>AVERAGE(BI215:BL215)</f>
        <v>0.23361339456793054</v>
      </c>
      <c r="R215" s="393">
        <f>AVERAGE(BJ215:BM215)</f>
        <v>0.24044919890479388</v>
      </c>
      <c r="S215" s="6"/>
      <c r="T215" s="393">
        <v>0.25483600000000001</v>
      </c>
      <c r="U215" s="393">
        <v>0.25322899999999998</v>
      </c>
      <c r="V215" s="393">
        <v>0.244475</v>
      </c>
      <c r="W215" s="393">
        <v>0.23977399999999999</v>
      </c>
      <c r="X215" s="393">
        <v>0.24437300000000001</v>
      </c>
      <c r="Y215" s="393">
        <v>0.24116699999999999</v>
      </c>
      <c r="Z215" s="393">
        <v>0.24016499999999999</v>
      </c>
      <c r="AA215" s="393">
        <v>0.24012500000000001</v>
      </c>
      <c r="AB215" s="393">
        <v>0.23918900000000001</v>
      </c>
      <c r="AC215" s="393">
        <f>1/4.3218</f>
        <v>0.23138507103521683</v>
      </c>
      <c r="AD215" s="393">
        <v>0.23796200000000001</v>
      </c>
      <c r="AE215" s="393">
        <v>0.24357300000000001</v>
      </c>
      <c r="AF215" s="393">
        <v>0.245811</v>
      </c>
      <c r="AG215" s="393">
        <v>0.24395</v>
      </c>
      <c r="AH215" s="393">
        <f>1/4.195</f>
        <v>0.23837902264600713</v>
      </c>
      <c r="AI215" s="393">
        <f>AVERAGE(AH216:AI216)</f>
        <v>0.23967786323759163</v>
      </c>
      <c r="AJ215" s="393">
        <f>AF215</f>
        <v>0.245811</v>
      </c>
      <c r="AK215" s="393">
        <f t="shared" ref="AK215:AM216" si="2040">AG215</f>
        <v>0.24395</v>
      </c>
      <c r="AL215" s="393">
        <f t="shared" si="2040"/>
        <v>0.23837902264600713</v>
      </c>
      <c r="AM215" s="393">
        <f t="shared" si="2040"/>
        <v>0.23967786323759163</v>
      </c>
      <c r="AN215" s="393">
        <v>0.2384</v>
      </c>
      <c r="AO215" s="393">
        <v>0.22989999999999999</v>
      </c>
      <c r="AP215" s="393">
        <v>0.223</v>
      </c>
      <c r="AQ215" s="393">
        <v>0.223</v>
      </c>
      <c r="AR215" s="393">
        <v>0.2384</v>
      </c>
      <c r="AS215" s="393">
        <v>0.22989999999999999</v>
      </c>
      <c r="AT215" s="393">
        <f>AP215</f>
        <v>0.223</v>
      </c>
      <c r="AU215" s="393">
        <v>0.21890000000000001</v>
      </c>
      <c r="AV215" s="393">
        <f>AT215</f>
        <v>0.223</v>
      </c>
      <c r="AW215" s="393">
        <f>AQ215</f>
        <v>0.223</v>
      </c>
      <c r="AX215" s="393">
        <v>0.22770000000000001</v>
      </c>
      <c r="AY215" s="393">
        <f>AX215</f>
        <v>0.22770000000000001</v>
      </c>
      <c r="AZ215" s="393">
        <v>0.22070000000000001</v>
      </c>
      <c r="BA215" s="393">
        <f>AZ215</f>
        <v>0.22070000000000001</v>
      </c>
      <c r="BB215" s="393">
        <v>0.216</v>
      </c>
      <c r="BC215" s="393">
        <f>BB215</f>
        <v>0.216</v>
      </c>
      <c r="BD215" s="393">
        <v>0.2127</v>
      </c>
      <c r="BE215" s="393">
        <v>0.2117</v>
      </c>
      <c r="BF215" s="393">
        <v>0.21129999999999999</v>
      </c>
      <c r="BG215" s="393">
        <v>0.22450000000000001</v>
      </c>
      <c r="BH215" s="393">
        <v>0.22739999999999999</v>
      </c>
      <c r="BI215" s="393">
        <v>0.2248</v>
      </c>
      <c r="BJ215" s="393">
        <v>0.23219999999999999</v>
      </c>
      <c r="BK215" s="393">
        <f>1/4.2253</f>
        <v>0.23666958559155563</v>
      </c>
      <c r="BL215" s="393">
        <f>1/4.1531</f>
        <v>0.24078399268016662</v>
      </c>
      <c r="BM215" s="393">
        <f>1/3.966</f>
        <v>0.25214321734745332</v>
      </c>
      <c r="BN215" s="6"/>
      <c r="BO215" s="393">
        <f t="shared" ref="BO215:BT217" si="2041">BD215</f>
        <v>0.2127</v>
      </c>
      <c r="BP215" s="393">
        <f t="shared" si="2041"/>
        <v>0.2117</v>
      </c>
      <c r="BQ215" s="393">
        <f t="shared" si="2041"/>
        <v>0.21129999999999999</v>
      </c>
      <c r="BR215" s="393">
        <f t="shared" si="2041"/>
        <v>0.22450000000000001</v>
      </c>
      <c r="BS215" s="393">
        <f t="shared" si="2041"/>
        <v>0.22739999999999999</v>
      </c>
      <c r="BT215" s="393">
        <f t="shared" si="2041"/>
        <v>0.2248</v>
      </c>
      <c r="BV215" s="40"/>
      <c r="BW215" s="40"/>
      <c r="BY215" s="40"/>
      <c r="BZ215" s="40"/>
      <c r="CB215" s="16"/>
      <c r="CC215" s="16"/>
    </row>
    <row r="216" spans="2:81" ht="13.5" customHeight="1">
      <c r="B216" s="356" t="s">
        <v>334</v>
      </c>
      <c r="C216" s="393">
        <v>0.22289999999999999</v>
      </c>
      <c r="D216" s="393">
        <v>0.24712700000000001</v>
      </c>
      <c r="E216" s="393">
        <v>0.241926</v>
      </c>
      <c r="F216" s="393">
        <v>0.24443899999999999</v>
      </c>
      <c r="G216" s="393">
        <v>0.24873799999999999</v>
      </c>
      <c r="H216" s="393">
        <v>0.23899999999999999</v>
      </c>
      <c r="I216" s="393">
        <f>AS216</f>
        <v>0.22720000000000001</v>
      </c>
      <c r="J216" s="393">
        <v>0.23899999999999999</v>
      </c>
      <c r="K216" s="393">
        <f>AU216</f>
        <v>0.2268</v>
      </c>
      <c r="L216" s="393">
        <f>AW216</f>
        <v>0.21560000000000001</v>
      </c>
      <c r="M216" s="393">
        <f>BD216</f>
        <v>0.21740000000000001</v>
      </c>
      <c r="N216" s="393">
        <f>BD216</f>
        <v>0.21740000000000001</v>
      </c>
      <c r="O216" s="393">
        <f>BH216</f>
        <v>0.2235</v>
      </c>
      <c r="P216" s="393">
        <f>O216</f>
        <v>0.2235</v>
      </c>
      <c r="Q216" s="393">
        <f>BL216</f>
        <v>0.24642681123706262</v>
      </c>
      <c r="R216" s="393">
        <f>BM216</f>
        <v>0.2469745616201531</v>
      </c>
      <c r="S216" s="6"/>
      <c r="T216" s="393">
        <v>0.25883299999999998</v>
      </c>
      <c r="U216" s="393">
        <v>0.247617</v>
      </c>
      <c r="V216" s="393">
        <v>0.241645</v>
      </c>
      <c r="W216" s="393">
        <f>+E216</f>
        <v>0.241926</v>
      </c>
      <c r="X216" s="393">
        <v>0.244978</v>
      </c>
      <c r="Y216" s="393">
        <v>0.24201400000000001</v>
      </c>
      <c r="Z216" s="393">
        <v>0.23879500000000001</v>
      </c>
      <c r="AA216" s="393">
        <f>F216</f>
        <v>0.24443899999999999</v>
      </c>
      <c r="AB216" s="393">
        <v>0.23141700000000001</v>
      </c>
      <c r="AC216" s="393">
        <f>1/4.2863</f>
        <v>0.23330144880199707</v>
      </c>
      <c r="AD216" s="393">
        <v>0.240587</v>
      </c>
      <c r="AE216" s="393">
        <f>G216</f>
        <v>0.24873799999999999</v>
      </c>
      <c r="AF216" s="393">
        <v>0.241255</v>
      </c>
      <c r="AG216" s="393">
        <v>0.2419</v>
      </c>
      <c r="AH216" s="393">
        <f>1/4.1605</f>
        <v>0.24035572647518327</v>
      </c>
      <c r="AI216" s="393">
        <f>H216</f>
        <v>0.23899999999999999</v>
      </c>
      <c r="AJ216" s="393">
        <f>AF216</f>
        <v>0.241255</v>
      </c>
      <c r="AK216" s="393">
        <f t="shared" si="2040"/>
        <v>0.2419</v>
      </c>
      <c r="AL216" s="393">
        <f t="shared" si="2040"/>
        <v>0.24035572647518327</v>
      </c>
      <c r="AM216" s="393">
        <f t="shared" si="2040"/>
        <v>0.23899999999999999</v>
      </c>
      <c r="AN216" s="393">
        <v>0.23780000000000001</v>
      </c>
      <c r="AO216" s="393">
        <v>0.22720000000000001</v>
      </c>
      <c r="AP216" s="393">
        <v>0.21560000000000001</v>
      </c>
      <c r="AQ216" s="393">
        <v>0.21560000000000001</v>
      </c>
      <c r="AR216" s="393">
        <v>0.23780000000000001</v>
      </c>
      <c r="AS216" s="393">
        <v>0.22720000000000001</v>
      </c>
      <c r="AT216" s="393">
        <f>AP216</f>
        <v>0.21560000000000001</v>
      </c>
      <c r="AU216" s="393">
        <v>0.2268</v>
      </c>
      <c r="AV216" s="393">
        <f>AT216</f>
        <v>0.21560000000000001</v>
      </c>
      <c r="AW216" s="393">
        <f t="shared" ref="AW216:AW217" si="2042">AQ216</f>
        <v>0.21560000000000001</v>
      </c>
      <c r="AX216" s="393">
        <v>0.22600000000000001</v>
      </c>
      <c r="AY216" s="393">
        <f t="shared" ref="AY216:AY217" si="2043">AX216</f>
        <v>0.22600000000000001</v>
      </c>
      <c r="AZ216" s="393">
        <v>0.214</v>
      </c>
      <c r="BA216" s="393">
        <f t="shared" ref="BA216:BA217" si="2044">AZ216</f>
        <v>0.214</v>
      </c>
      <c r="BB216" s="393">
        <v>0.21290000000000001</v>
      </c>
      <c r="BC216" s="393">
        <f t="shared" ref="BC216:BC217" si="2045">BB216</f>
        <v>0.21290000000000001</v>
      </c>
      <c r="BD216" s="393">
        <v>0.21740000000000001</v>
      </c>
      <c r="BE216" s="393">
        <v>0.21160000000000001</v>
      </c>
      <c r="BF216" s="393">
        <v>0.21190000000000001</v>
      </c>
      <c r="BG216" s="393">
        <v>0.2424</v>
      </c>
      <c r="BH216" s="393">
        <v>0.2235</v>
      </c>
      <c r="BI216" s="393">
        <v>0.22539999999999999</v>
      </c>
      <c r="BJ216" s="393">
        <v>0.2374</v>
      </c>
      <c r="BK216" s="393">
        <f>1/4.2085</f>
        <v>0.23761435190685518</v>
      </c>
      <c r="BL216" s="393">
        <f>1/4.058</f>
        <v>0.24642681123706262</v>
      </c>
      <c r="BM216" s="393">
        <f>1/4.049</f>
        <v>0.2469745616201531</v>
      </c>
      <c r="BN216" s="6"/>
      <c r="BO216" s="393">
        <f t="shared" si="2041"/>
        <v>0.21740000000000001</v>
      </c>
      <c r="BP216" s="393">
        <f t="shared" si="2041"/>
        <v>0.21160000000000001</v>
      </c>
      <c r="BQ216" s="393">
        <f t="shared" si="2041"/>
        <v>0.21190000000000001</v>
      </c>
      <c r="BR216" s="393">
        <f t="shared" si="2041"/>
        <v>0.2424</v>
      </c>
      <c r="BS216" s="393">
        <f t="shared" si="2041"/>
        <v>0.2235</v>
      </c>
      <c r="BT216" s="393">
        <f t="shared" si="2041"/>
        <v>0.22539999999999999</v>
      </c>
      <c r="BV216" s="40"/>
      <c r="BW216" s="40"/>
      <c r="BY216" s="40"/>
      <c r="BZ216" s="40"/>
      <c r="CB216" s="16"/>
      <c r="CC216" s="16"/>
    </row>
    <row r="217" spans="2:81" ht="13.5" customHeight="1">
      <c r="B217" s="356" t="s">
        <v>335</v>
      </c>
      <c r="C217" s="393">
        <f>C215</f>
        <v>0.24130699999999999</v>
      </c>
      <c r="D217" s="393">
        <f t="shared" ref="D217:R217" si="2046">D215</f>
        <v>0.232569</v>
      </c>
      <c r="E217" s="393">
        <f t="shared" si="2046"/>
        <v>0.24782499999999999</v>
      </c>
      <c r="F217" s="393">
        <f t="shared" si="2046"/>
        <v>0.241423</v>
      </c>
      <c r="G217" s="393">
        <f t="shared" si="2046"/>
        <v>0.23805799999999999</v>
      </c>
      <c r="H217" s="393">
        <f t="shared" si="2046"/>
        <v>0.24195447147089968</v>
      </c>
      <c r="I217" s="393">
        <f t="shared" si="2046"/>
        <v>0.23570623098059973</v>
      </c>
      <c r="J217" s="393">
        <f t="shared" si="2046"/>
        <v>0.24195447147089968</v>
      </c>
      <c r="K217" s="393">
        <f t="shared" si="2046"/>
        <v>0.22755</v>
      </c>
      <c r="L217" s="393">
        <f t="shared" si="2046"/>
        <v>0.228575</v>
      </c>
      <c r="M217" s="393">
        <f t="shared" si="2046"/>
        <v>0.219275</v>
      </c>
      <c r="N217" s="393">
        <f t="shared" si="2046"/>
        <v>0.219275</v>
      </c>
      <c r="O217" s="393">
        <f t="shared" si="2046"/>
        <v>0.218725</v>
      </c>
      <c r="P217" s="393">
        <f>O217</f>
        <v>0.218725</v>
      </c>
      <c r="Q217" s="393">
        <f t="shared" ref="Q217" si="2047">Q215</f>
        <v>0.23361339456793054</v>
      </c>
      <c r="R217" s="393">
        <f t="shared" si="2046"/>
        <v>0.24044919890479388</v>
      </c>
      <c r="S217" s="6"/>
      <c r="T217" s="393"/>
      <c r="U217" s="393"/>
      <c r="V217" s="393"/>
      <c r="W217" s="393">
        <f>AVERAGE(T215:W215)</f>
        <v>0.24807849999999998</v>
      </c>
      <c r="X217" s="393">
        <f t="shared" ref="X217:AI217" si="2048">AVERAGE(U215:X215)</f>
        <v>0.24546275000000001</v>
      </c>
      <c r="Y217" s="393">
        <f t="shared" si="2048"/>
        <v>0.24244725</v>
      </c>
      <c r="Z217" s="393">
        <f t="shared" si="2048"/>
        <v>0.24136974999999999</v>
      </c>
      <c r="AA217" s="393">
        <f t="shared" si="2048"/>
        <v>0.24145749999999999</v>
      </c>
      <c r="AB217" s="393">
        <f t="shared" si="2048"/>
        <v>0.2401615</v>
      </c>
      <c r="AC217" s="393">
        <f t="shared" si="2048"/>
        <v>0.23771601775880419</v>
      </c>
      <c r="AD217" s="393">
        <f t="shared" si="2048"/>
        <v>0.2371652677588042</v>
      </c>
      <c r="AE217" s="393">
        <f t="shared" si="2048"/>
        <v>0.23802726775880423</v>
      </c>
      <c r="AF217" s="393">
        <f t="shared" si="2048"/>
        <v>0.2396827677588042</v>
      </c>
      <c r="AG217" s="393">
        <f t="shared" si="2048"/>
        <v>0.24282400000000001</v>
      </c>
      <c r="AH217" s="393">
        <f t="shared" si="2048"/>
        <v>0.24292825566150178</v>
      </c>
      <c r="AI217" s="393">
        <f t="shared" si="2048"/>
        <v>0.24195447147089968</v>
      </c>
      <c r="AJ217" s="393"/>
      <c r="AK217" s="393"/>
      <c r="AL217" s="393"/>
      <c r="AM217" s="393">
        <f t="shared" ref="AM217" si="2049">AVERAGE(AJ215:AM215)</f>
        <v>0.24195447147089968</v>
      </c>
      <c r="AN217" s="393">
        <f t="shared" ref="AN217" si="2050">AVERAGE(AK215:AN215)</f>
        <v>0.2401017214708997</v>
      </c>
      <c r="AO217" s="393">
        <f t="shared" ref="AO217" si="2051">AVERAGE(AL215:AO215)</f>
        <v>0.23658922147089967</v>
      </c>
      <c r="AP217" s="393">
        <f t="shared" ref="AP217" si="2052">AVERAGE(AM215:AP215)</f>
        <v>0.23274446580939789</v>
      </c>
      <c r="AQ217" s="393">
        <f t="shared" ref="AQ217:AR217" si="2053">AVERAGE(AN215:AQ215)</f>
        <v>0.228575</v>
      </c>
      <c r="AR217" s="393">
        <f t="shared" si="2053"/>
        <v>0.22857499999999997</v>
      </c>
      <c r="AS217" s="393">
        <f t="shared" ref="AS217" si="2054">AVERAGE(AP215:AS215)</f>
        <v>0.228575</v>
      </c>
      <c r="AT217" s="393">
        <f t="shared" ref="AT217" si="2055">AVERAGE(AQ215:AT215)</f>
        <v>0.228575</v>
      </c>
      <c r="AU217" s="393">
        <f t="shared" ref="AU217" si="2056">AVERAGE(AR215:AU215)</f>
        <v>0.22755</v>
      </c>
      <c r="AV217" s="393">
        <f>AT217</f>
        <v>0.228575</v>
      </c>
      <c r="AW217" s="393">
        <f t="shared" si="2042"/>
        <v>0.228575</v>
      </c>
      <c r="AX217" s="393">
        <f>AVERAGE(AU215:AX215)</f>
        <v>0.22315000000000002</v>
      </c>
      <c r="AY217" s="393">
        <f t="shared" si="2043"/>
        <v>0.22315000000000002</v>
      </c>
      <c r="AZ217" s="393">
        <f>AVERAGE(AZ215,AY215,AW215,AV215,)</f>
        <v>0.17887999999999998</v>
      </c>
      <c r="BA217" s="393">
        <f t="shared" si="2044"/>
        <v>0.17887999999999998</v>
      </c>
      <c r="BB217" s="393">
        <f>AVERAGE(BB215,BA215,AY215,AW215)</f>
        <v>0.22184999999999999</v>
      </c>
      <c r="BC217" s="393">
        <f t="shared" si="2045"/>
        <v>0.22184999999999999</v>
      </c>
      <c r="BD217" s="393">
        <f>AVERAGE(BD215,BC215,BA215,AY215)</f>
        <v>0.219275</v>
      </c>
      <c r="BE217" s="393">
        <f>AVERAGE(BE215,BD215,BC215,BA215)</f>
        <v>0.21527499999999999</v>
      </c>
      <c r="BF217" s="393">
        <f>AVERAGE(BC215:BF215)</f>
        <v>0.21292499999999998</v>
      </c>
      <c r="BG217" s="393">
        <f t="shared" ref="BG217:BM217" si="2057">AVERAGE(BD215:BG215)</f>
        <v>0.21504999999999999</v>
      </c>
      <c r="BH217" s="393">
        <f t="shared" si="2057"/>
        <v>0.218725</v>
      </c>
      <c r="BI217" s="393">
        <f t="shared" si="2057"/>
        <v>0.222</v>
      </c>
      <c r="BJ217" s="393">
        <f t="shared" si="2057"/>
        <v>0.22722499999999998</v>
      </c>
      <c r="BK217" s="393">
        <f t="shared" si="2057"/>
        <v>0.2302673963978889</v>
      </c>
      <c r="BL217" s="393">
        <f t="shared" si="2057"/>
        <v>0.23361339456793054</v>
      </c>
      <c r="BM217" s="393">
        <f t="shared" si="2057"/>
        <v>0.24044919890479388</v>
      </c>
      <c r="BN217" s="6"/>
      <c r="BO217" s="393">
        <f t="shared" si="2041"/>
        <v>0.219275</v>
      </c>
      <c r="BP217" s="393">
        <f t="shared" si="2041"/>
        <v>0.21527499999999999</v>
      </c>
      <c r="BQ217" s="393">
        <f t="shared" si="2041"/>
        <v>0.21292499999999998</v>
      </c>
      <c r="BR217" s="393">
        <f t="shared" si="2041"/>
        <v>0.21504999999999999</v>
      </c>
      <c r="BS217" s="393">
        <f t="shared" si="2041"/>
        <v>0.218725</v>
      </c>
      <c r="BT217" s="393">
        <f t="shared" si="2041"/>
        <v>0.222</v>
      </c>
      <c r="BV217" s="40"/>
      <c r="BW217" s="40"/>
      <c r="BY217" s="40"/>
      <c r="BZ217" s="40"/>
      <c r="CB217" s="16"/>
      <c r="CC217" s="16"/>
    </row>
    <row r="218" spans="2:81" ht="13.5" customHeight="1">
      <c r="B218" s="374" t="s">
        <v>336</v>
      </c>
      <c r="C218" s="420">
        <f>1/C216</f>
        <v>4.4863167339614183</v>
      </c>
      <c r="D218" s="420">
        <f t="shared" ref="D218:BP218" si="2058">1/D216</f>
        <v>4.04650240564568</v>
      </c>
      <c r="E218" s="420">
        <f t="shared" si="2058"/>
        <v>4.1334953663516947</v>
      </c>
      <c r="F218" s="420">
        <f t="shared" si="2058"/>
        <v>4.0910002086410104</v>
      </c>
      <c r="G218" s="420">
        <f t="shared" si="2058"/>
        <v>4.0202944463652521</v>
      </c>
      <c r="H218" s="420">
        <f t="shared" si="2058"/>
        <v>4.1841004184100417</v>
      </c>
      <c r="I218" s="420">
        <f t="shared" si="2058"/>
        <v>4.401408450704225</v>
      </c>
      <c r="J218" s="420">
        <f t="shared" si="2058"/>
        <v>4.1841004184100417</v>
      </c>
      <c r="K218" s="420">
        <f t="shared" si="2058"/>
        <v>4.409171075837742</v>
      </c>
      <c r="L218" s="420">
        <f t="shared" si="2058"/>
        <v>4.6382189239332092</v>
      </c>
      <c r="M218" s="420">
        <f t="shared" si="2058"/>
        <v>4.5998160073597054</v>
      </c>
      <c r="N218" s="420">
        <f t="shared" si="2058"/>
        <v>4.5998160073597054</v>
      </c>
      <c r="O218" s="420">
        <f t="shared" si="2058"/>
        <v>4.4742729306487696</v>
      </c>
      <c r="P218" s="420">
        <f t="shared" si="2058"/>
        <v>4.4742729306487696</v>
      </c>
      <c r="Q218" s="420">
        <f t="shared" si="2058"/>
        <v>4.0579999999999998</v>
      </c>
      <c r="R218" s="420">
        <f t="shared" si="2058"/>
        <v>4.0490000000000004</v>
      </c>
      <c r="S218" s="6"/>
      <c r="T218" s="420">
        <f t="shared" si="2058"/>
        <v>3.8634949948422346</v>
      </c>
      <c r="U218" s="420">
        <f t="shared" si="2058"/>
        <v>4.0384949337081055</v>
      </c>
      <c r="V218" s="420">
        <f t="shared" si="2058"/>
        <v>4.13830205466697</v>
      </c>
      <c r="W218" s="420">
        <f t="shared" si="2058"/>
        <v>4.1334953663516947</v>
      </c>
      <c r="X218" s="420">
        <f t="shared" si="2058"/>
        <v>4.0819991999281564</v>
      </c>
      <c r="Y218" s="420">
        <f t="shared" si="2058"/>
        <v>4.1319923640781111</v>
      </c>
      <c r="Z218" s="420">
        <f t="shared" si="2058"/>
        <v>4.1876923721183443</v>
      </c>
      <c r="AA218" s="420">
        <f t="shared" si="2058"/>
        <v>4.0910002086410104</v>
      </c>
      <c r="AB218" s="420">
        <f t="shared" si="2058"/>
        <v>4.321203714506713</v>
      </c>
      <c r="AC218" s="420">
        <f t="shared" si="2058"/>
        <v>4.2862999999999998</v>
      </c>
      <c r="AD218" s="420">
        <f t="shared" si="2058"/>
        <v>4.1565005590493254</v>
      </c>
      <c r="AE218" s="420">
        <f t="shared" si="2058"/>
        <v>4.0202944463652521</v>
      </c>
      <c r="AF218" s="420">
        <f t="shared" si="2058"/>
        <v>4.1449918136411679</v>
      </c>
      <c r="AG218" s="420">
        <f t="shared" si="2058"/>
        <v>4.1339396444811909</v>
      </c>
      <c r="AH218" s="420">
        <f t="shared" si="2058"/>
        <v>4.1604999999999999</v>
      </c>
      <c r="AI218" s="420">
        <f t="shared" si="2058"/>
        <v>4.1841004184100417</v>
      </c>
      <c r="AJ218" s="420">
        <f t="shared" si="2058"/>
        <v>4.1449918136411679</v>
      </c>
      <c r="AK218" s="420">
        <f t="shared" si="2058"/>
        <v>4.1339396444811909</v>
      </c>
      <c r="AL218" s="420">
        <f t="shared" si="2058"/>
        <v>4.1604999999999999</v>
      </c>
      <c r="AM218" s="420">
        <f t="shared" si="2058"/>
        <v>4.1841004184100417</v>
      </c>
      <c r="AN218" s="420">
        <f t="shared" si="2058"/>
        <v>4.2052144659377628</v>
      </c>
      <c r="AO218" s="420">
        <f t="shared" si="2058"/>
        <v>4.401408450704225</v>
      </c>
      <c r="AP218" s="420">
        <f t="shared" si="2058"/>
        <v>4.6382189239332092</v>
      </c>
      <c r="AQ218" s="420">
        <f t="shared" si="2058"/>
        <v>4.6382189239332092</v>
      </c>
      <c r="AR218" s="420">
        <f t="shared" si="2058"/>
        <v>4.2052144659377628</v>
      </c>
      <c r="AS218" s="420">
        <f t="shared" si="2058"/>
        <v>4.401408450704225</v>
      </c>
      <c r="AT218" s="420">
        <f t="shared" si="2058"/>
        <v>4.6382189239332092</v>
      </c>
      <c r="AU218" s="420">
        <f t="shared" si="2058"/>
        <v>4.409171075837742</v>
      </c>
      <c r="AV218" s="420">
        <f t="shared" si="2058"/>
        <v>4.6382189239332092</v>
      </c>
      <c r="AW218" s="420">
        <f t="shared" si="2058"/>
        <v>4.6382189239332092</v>
      </c>
      <c r="AX218" s="420">
        <f t="shared" si="2058"/>
        <v>4.4247787610619467</v>
      </c>
      <c r="AY218" s="420">
        <f t="shared" si="2058"/>
        <v>4.4247787610619467</v>
      </c>
      <c r="AZ218" s="420">
        <f t="shared" si="2058"/>
        <v>4.6728971962616823</v>
      </c>
      <c r="BA218" s="420">
        <f t="shared" si="2058"/>
        <v>4.6728971962616823</v>
      </c>
      <c r="BB218" s="420">
        <f t="shared" si="2058"/>
        <v>4.697040864255519</v>
      </c>
      <c r="BC218" s="420">
        <f t="shared" si="2058"/>
        <v>4.697040864255519</v>
      </c>
      <c r="BD218" s="420">
        <f t="shared" si="2058"/>
        <v>4.5998160073597054</v>
      </c>
      <c r="BE218" s="420">
        <f t="shared" si="2058"/>
        <v>4.7258979206049148</v>
      </c>
      <c r="BF218" s="420">
        <f t="shared" si="2058"/>
        <v>4.7192071731949028</v>
      </c>
      <c r="BG218" s="420">
        <f t="shared" si="2058"/>
        <v>4.1254125412541249</v>
      </c>
      <c r="BH218" s="420">
        <f t="shared" si="2058"/>
        <v>4.4742729306487696</v>
      </c>
      <c r="BI218" s="420">
        <f t="shared" si="2058"/>
        <v>4.4365572315882877</v>
      </c>
      <c r="BJ218" s="420">
        <f t="shared" si="2058"/>
        <v>4.2122999157540013</v>
      </c>
      <c r="BK218" s="420">
        <f t="shared" si="2058"/>
        <v>4.2084999999999999</v>
      </c>
      <c r="BL218" s="420">
        <f t="shared" si="2058"/>
        <v>4.0579999999999998</v>
      </c>
      <c r="BM218" s="420">
        <f t="shared" ref="BM218" si="2059">1/BM216</f>
        <v>4.0490000000000004</v>
      </c>
      <c r="BN218" s="6"/>
      <c r="BO218" s="420">
        <f t="shared" si="2058"/>
        <v>4.5998160073597054</v>
      </c>
      <c r="BP218" s="420">
        <f t="shared" si="2058"/>
        <v>4.7258979206049148</v>
      </c>
      <c r="BQ218" s="420">
        <f t="shared" ref="BQ218:BT218" si="2060">1/BQ216</f>
        <v>4.7192071731949028</v>
      </c>
      <c r="BR218" s="420">
        <f t="shared" si="2060"/>
        <v>4.1254125412541249</v>
      </c>
      <c r="BS218" s="420">
        <f t="shared" si="2060"/>
        <v>4.4742729306487696</v>
      </c>
      <c r="BT218" s="420">
        <f t="shared" si="2060"/>
        <v>4.4365572315882877</v>
      </c>
      <c r="BV218" s="299"/>
      <c r="BW218" s="299"/>
      <c r="BY218" s="299"/>
      <c r="BZ218" s="299"/>
      <c r="CB218" s="16"/>
      <c r="CC218" s="16"/>
    </row>
    <row r="219" spans="2:81" s="6" customFormat="1" ht="13.5" customHeight="1">
      <c r="C219" s="81"/>
      <c r="D219" s="81"/>
      <c r="E219" s="81"/>
      <c r="F219" s="81"/>
      <c r="G219" s="81"/>
      <c r="H219" s="81"/>
      <c r="I219" s="81"/>
      <c r="J219" s="10"/>
      <c r="K219" s="81"/>
      <c r="L219" s="81"/>
      <c r="M219" s="81"/>
      <c r="N219" s="81"/>
      <c r="O219" s="81"/>
      <c r="P219" s="81"/>
      <c r="Q219" s="81"/>
      <c r="R219" s="81"/>
      <c r="T219" s="81"/>
      <c r="U219" s="81"/>
      <c r="V219" s="81"/>
      <c r="W219" s="81"/>
      <c r="X219" s="81"/>
      <c r="Y219" s="81"/>
      <c r="Z219" s="81"/>
      <c r="AA219" s="81"/>
      <c r="AB219" s="81"/>
      <c r="AC219" s="81"/>
      <c r="AD219" s="81"/>
      <c r="AE219" s="81"/>
      <c r="AF219" s="81"/>
      <c r="AG219" s="81"/>
      <c r="AH219" s="81"/>
      <c r="AI219" s="81"/>
      <c r="AJ219" s="259"/>
      <c r="AK219" s="259"/>
      <c r="AL219" s="259"/>
      <c r="AM219" s="81"/>
      <c r="AN219" s="81"/>
      <c r="AO219" s="81"/>
      <c r="AP219" s="81"/>
      <c r="AQ219" s="81"/>
      <c r="AR219" s="81"/>
      <c r="AS219" s="81"/>
      <c r="AT219" s="81"/>
      <c r="AU219" s="81"/>
      <c r="AV219" s="81"/>
      <c r="AW219" s="81"/>
      <c r="AX219" s="81"/>
      <c r="AY219" s="81"/>
      <c r="AZ219" s="81"/>
      <c r="BA219" s="81"/>
      <c r="BB219" s="81"/>
      <c r="BC219" s="81"/>
      <c r="BD219" s="81"/>
      <c r="BE219" s="81"/>
      <c r="BF219" s="81"/>
      <c r="BG219" s="81"/>
      <c r="BH219" s="81"/>
      <c r="BI219" s="81"/>
      <c r="BJ219" s="81"/>
      <c r="BK219" s="81"/>
      <c r="BL219" s="81"/>
      <c r="BM219" s="81"/>
      <c r="BO219" s="81"/>
      <c r="BP219" s="81"/>
      <c r="BQ219" s="81"/>
      <c r="BR219" s="81"/>
      <c r="BS219" s="81"/>
      <c r="BT219" s="81"/>
      <c r="BV219" s="40"/>
      <c r="BW219" s="40"/>
      <c r="BY219" s="40"/>
      <c r="BZ219" s="40"/>
      <c r="CB219" s="16"/>
      <c r="CC219" s="16"/>
    </row>
    <row r="220" spans="2:81" ht="13.5" customHeight="1">
      <c r="B220" s="11" t="s">
        <v>337</v>
      </c>
      <c r="C220" s="37">
        <f t="shared" ref="C220:R220" si="2061">C3</f>
        <v>42707</v>
      </c>
      <c r="D220" s="37">
        <f t="shared" si="2061"/>
        <v>43073</v>
      </c>
      <c r="E220" s="37">
        <f t="shared" si="2061"/>
        <v>43438</v>
      </c>
      <c r="F220" s="37">
        <f t="shared" si="2061"/>
        <v>43803</v>
      </c>
      <c r="G220" s="37">
        <f t="shared" si="2061"/>
        <v>44169</v>
      </c>
      <c r="H220" s="37">
        <f t="shared" si="2061"/>
        <v>44561</v>
      </c>
      <c r="I220" s="37">
        <f t="shared" si="2061"/>
        <v>44926</v>
      </c>
      <c r="J220" s="37">
        <f t="shared" si="2061"/>
        <v>44561</v>
      </c>
      <c r="K220" s="37">
        <f t="shared" si="2061"/>
        <v>44926</v>
      </c>
      <c r="L220" s="37">
        <f t="shared" si="2061"/>
        <v>44926</v>
      </c>
      <c r="M220" s="37">
        <f t="shared" si="2061"/>
        <v>45291</v>
      </c>
      <c r="N220" s="37">
        <f t="shared" si="2061"/>
        <v>45291</v>
      </c>
      <c r="O220" s="37">
        <f t="shared" si="2061"/>
        <v>45657</v>
      </c>
      <c r="P220" s="37">
        <f t="shared" si="2061"/>
        <v>45657</v>
      </c>
      <c r="Q220" s="37">
        <f t="shared" si="2061"/>
        <v>46022</v>
      </c>
      <c r="R220" s="37">
        <f t="shared" si="2061"/>
        <v>46112</v>
      </c>
      <c r="S220" s="6"/>
      <c r="T220" s="37">
        <f t="shared" ref="T220:AI220" si="2062">T3</f>
        <v>43190</v>
      </c>
      <c r="U220" s="37">
        <f t="shared" si="2062"/>
        <v>43281</v>
      </c>
      <c r="V220" s="37">
        <f t="shared" si="2062"/>
        <v>43373</v>
      </c>
      <c r="W220" s="37">
        <f t="shared" si="2062"/>
        <v>43465</v>
      </c>
      <c r="X220" s="37">
        <f t="shared" si="2062"/>
        <v>43555</v>
      </c>
      <c r="Y220" s="37">
        <f t="shared" si="2062"/>
        <v>43646</v>
      </c>
      <c r="Z220" s="37">
        <f t="shared" si="2062"/>
        <v>43738</v>
      </c>
      <c r="AA220" s="37">
        <f t="shared" si="2062"/>
        <v>43830</v>
      </c>
      <c r="AB220" s="37">
        <f t="shared" si="2062"/>
        <v>43921</v>
      </c>
      <c r="AC220" s="37">
        <f t="shared" si="2062"/>
        <v>44012</v>
      </c>
      <c r="AD220" s="37">
        <f t="shared" si="2062"/>
        <v>44104</v>
      </c>
      <c r="AE220" s="37">
        <f t="shared" si="2062"/>
        <v>44196</v>
      </c>
      <c r="AF220" s="37">
        <f t="shared" si="2062"/>
        <v>44286</v>
      </c>
      <c r="AG220" s="37">
        <f t="shared" si="2062"/>
        <v>44377</v>
      </c>
      <c r="AH220" s="37">
        <f t="shared" si="2062"/>
        <v>44469</v>
      </c>
      <c r="AI220" s="37">
        <f t="shared" si="2062"/>
        <v>44561</v>
      </c>
      <c r="AJ220" s="238"/>
      <c r="AK220" s="238"/>
      <c r="AL220" s="238"/>
      <c r="AM220" s="37">
        <f t="shared" ref="AM220:BL220" si="2063">AM3</f>
        <v>44561</v>
      </c>
      <c r="AN220" s="37">
        <f t="shared" si="2063"/>
        <v>44651</v>
      </c>
      <c r="AO220" s="37">
        <f t="shared" si="2063"/>
        <v>44742</v>
      </c>
      <c r="AP220" s="37">
        <f t="shared" si="2063"/>
        <v>44834</v>
      </c>
      <c r="AQ220" s="37">
        <f t="shared" si="2063"/>
        <v>44926</v>
      </c>
      <c r="AR220" s="37">
        <f t="shared" si="2063"/>
        <v>44651</v>
      </c>
      <c r="AS220" s="37">
        <f t="shared" si="2063"/>
        <v>44742</v>
      </c>
      <c r="AT220" s="37">
        <f t="shared" si="2063"/>
        <v>44834</v>
      </c>
      <c r="AU220" s="37">
        <f t="shared" si="2063"/>
        <v>44926</v>
      </c>
      <c r="AV220" s="37">
        <f t="shared" si="2063"/>
        <v>44834</v>
      </c>
      <c r="AW220" s="37">
        <f t="shared" si="2063"/>
        <v>44926</v>
      </c>
      <c r="AX220" s="37">
        <f t="shared" si="2063"/>
        <v>45016</v>
      </c>
      <c r="AY220" s="37">
        <f t="shared" si="2063"/>
        <v>45016</v>
      </c>
      <c r="AZ220" s="37">
        <f t="shared" si="2063"/>
        <v>45107</v>
      </c>
      <c r="BA220" s="37">
        <f t="shared" si="2063"/>
        <v>45107</v>
      </c>
      <c r="BB220" s="37">
        <f t="shared" si="2063"/>
        <v>45199</v>
      </c>
      <c r="BC220" s="37">
        <f t="shared" si="2063"/>
        <v>45199</v>
      </c>
      <c r="BD220" s="37">
        <f t="shared" si="2063"/>
        <v>45291</v>
      </c>
      <c r="BE220" s="37">
        <f t="shared" si="2063"/>
        <v>45382</v>
      </c>
      <c r="BF220" s="37">
        <f t="shared" si="2063"/>
        <v>45473</v>
      </c>
      <c r="BG220" s="37">
        <f t="shared" si="2063"/>
        <v>45565</v>
      </c>
      <c r="BH220" s="37">
        <f t="shared" si="2063"/>
        <v>45657</v>
      </c>
      <c r="BI220" s="37">
        <f t="shared" si="2063"/>
        <v>45747</v>
      </c>
      <c r="BJ220" s="37">
        <f t="shared" si="2063"/>
        <v>45838</v>
      </c>
      <c r="BK220" s="37">
        <f t="shared" si="2063"/>
        <v>45930</v>
      </c>
      <c r="BL220" s="37">
        <f t="shared" si="2063"/>
        <v>46022</v>
      </c>
      <c r="BM220" s="37">
        <f t="shared" ref="BM220" si="2064">BM3</f>
        <v>46112</v>
      </c>
      <c r="BN220" s="6"/>
      <c r="BO220" s="37">
        <f t="shared" ref="BO220:BT220" si="2065">BO3</f>
        <v>45291</v>
      </c>
      <c r="BP220" s="37">
        <f t="shared" si="2065"/>
        <v>45382</v>
      </c>
      <c r="BQ220" s="37">
        <f t="shared" si="2065"/>
        <v>45473</v>
      </c>
      <c r="BR220" s="37">
        <f t="shared" si="2065"/>
        <v>45565</v>
      </c>
      <c r="BS220" s="37">
        <f t="shared" si="2065"/>
        <v>45657</v>
      </c>
      <c r="BT220" s="37">
        <f t="shared" si="2065"/>
        <v>45747</v>
      </c>
      <c r="BV220" s="40"/>
      <c r="BW220" s="40"/>
      <c r="BY220" s="40"/>
      <c r="BZ220" s="40"/>
      <c r="CB220" s="16"/>
      <c r="CC220" s="16"/>
    </row>
    <row r="221" spans="2:81" ht="13.5" customHeight="1">
      <c r="B221" s="10" t="s">
        <v>338</v>
      </c>
      <c r="C221" s="54">
        <f>C148*C$217</f>
        <v>5203.8800473439996</v>
      </c>
      <c r="D221" s="54">
        <f t="shared" ref="D221:R221" si="2066">D148*D$217</f>
        <v>5675.241998169</v>
      </c>
      <c r="E221" s="54">
        <f t="shared" si="2066"/>
        <v>5919.4936763249998</v>
      </c>
      <c r="F221" s="54">
        <f t="shared" si="2066"/>
        <v>5934.9769329760002</v>
      </c>
      <c r="G221" s="54">
        <f t="shared" si="2066"/>
        <v>5761.7584819179992</v>
      </c>
      <c r="H221" s="54">
        <f t="shared" si="2066"/>
        <v>6266.7807430019438</v>
      </c>
      <c r="I221" s="54">
        <f t="shared" si="2066"/>
        <v>6487.1068890480656</v>
      </c>
      <c r="J221" s="54">
        <f t="shared" si="2066"/>
        <v>4837.7267418346692</v>
      </c>
      <c r="K221" s="54">
        <f t="shared" si="2066"/>
        <v>4943.6909992500005</v>
      </c>
      <c r="L221" s="54">
        <f t="shared" si="2066"/>
        <v>4576.1355009999997</v>
      </c>
      <c r="M221" s="32">
        <f t="shared" si="2066"/>
        <v>4824.5475349750004</v>
      </c>
      <c r="N221" s="32">
        <f t="shared" si="2066"/>
        <v>4893.8509336500001</v>
      </c>
      <c r="O221" s="32">
        <f t="shared" si="2066"/>
        <v>4885.1391033249993</v>
      </c>
      <c r="P221" s="32">
        <f t="shared" ref="P221:Q221" si="2067">P148*P$217</f>
        <v>2743.2310145500001</v>
      </c>
      <c r="Q221" s="32">
        <f t="shared" si="2067"/>
        <v>2746.8255924895434</v>
      </c>
      <c r="R221" s="32">
        <f t="shared" si="2066"/>
        <v>2276.8040869107358</v>
      </c>
      <c r="S221" s="121"/>
      <c r="T221" s="436"/>
      <c r="U221" s="436"/>
      <c r="V221" s="436"/>
      <c r="W221" s="32">
        <f>W148*AVERAGE(W$217)</f>
        <v>5925.5487218085</v>
      </c>
      <c r="X221" s="32">
        <f t="shared" ref="X221:AI221" si="2068">X148*AVERAGE(X$217)</f>
        <v>5912.4536499047508</v>
      </c>
      <c r="Y221" s="32">
        <f t="shared" si="2068"/>
        <v>5909.2924119255013</v>
      </c>
      <c r="Z221" s="32">
        <f t="shared" si="2068"/>
        <v>5933.6649751750001</v>
      </c>
      <c r="AA221" s="32">
        <f t="shared" si="2068"/>
        <v>5935.8250572399993</v>
      </c>
      <c r="AB221" s="32">
        <f t="shared" si="2068"/>
        <v>5924.8944391285004</v>
      </c>
      <c r="AC221" s="32">
        <f t="shared" si="2068"/>
        <v>5778.7002441473705</v>
      </c>
      <c r="AD221" s="32">
        <f t="shared" si="2068"/>
        <v>5741.2166400446295</v>
      </c>
      <c r="AE221" s="32">
        <f t="shared" si="2068"/>
        <v>5761.0146642291247</v>
      </c>
      <c r="AF221" s="32">
        <f t="shared" si="2068"/>
        <v>5807.658710553088</v>
      </c>
      <c r="AG221" s="32">
        <f t="shared" si="2068"/>
        <v>6028.8964349439993</v>
      </c>
      <c r="AH221" s="32">
        <f t="shared" si="2068"/>
        <v>6136.2613354335554</v>
      </c>
      <c r="AI221" s="32">
        <f t="shared" si="2068"/>
        <v>6266.7807430019438</v>
      </c>
      <c r="AJ221" s="223"/>
      <c r="AK221" s="223"/>
      <c r="AL221" s="223"/>
      <c r="AM221" s="173"/>
      <c r="AN221" s="32">
        <f>AN148*AVERAGE(AN$215)</f>
        <v>5897.8832112</v>
      </c>
      <c r="AO221" s="32">
        <f t="shared" ref="AO221:BC221" si="2069">AO148*AVERAGE(AO$215)</f>
        <v>5759.8309163999993</v>
      </c>
      <c r="AP221" s="32">
        <f t="shared" si="2069"/>
        <v>5746.9309930000009</v>
      </c>
      <c r="AQ221" s="32">
        <f t="shared" si="2069"/>
        <v>6137.4059999999999</v>
      </c>
      <c r="AR221" s="32">
        <f t="shared" si="2069"/>
        <v>5543.6062687999993</v>
      </c>
      <c r="AS221" s="32">
        <f t="shared" si="2069"/>
        <v>5071.8061976999998</v>
      </c>
      <c r="AT221" s="32">
        <f t="shared" si="2069"/>
        <v>4733.6120799999999</v>
      </c>
      <c r="AU221" s="32">
        <f t="shared" si="2069"/>
        <v>4755.7108555000004</v>
      </c>
      <c r="AV221" s="32">
        <f t="shared" si="2069"/>
        <v>4657.4314890000005</v>
      </c>
      <c r="AW221" s="32">
        <f t="shared" si="2069"/>
        <v>4464.5224399999997</v>
      </c>
      <c r="AX221" s="32">
        <f t="shared" si="2069"/>
        <v>4959.0109008000009</v>
      </c>
      <c r="AY221" s="32">
        <f t="shared" si="2069"/>
        <v>4678.0994601000002</v>
      </c>
      <c r="AZ221" s="32">
        <f t="shared" si="2069"/>
        <v>4982.4404375000004</v>
      </c>
      <c r="BA221" s="32">
        <f t="shared" si="2069"/>
        <v>4508.4975604000001</v>
      </c>
      <c r="BB221" s="32">
        <f t="shared" si="2069"/>
        <v>5015.1402719999996</v>
      </c>
      <c r="BC221" s="32">
        <f t="shared" si="2069"/>
        <v>4777.9381439999997</v>
      </c>
      <c r="BD221" s="32">
        <f t="shared" ref="BD221:BM221" si="2070">BD148*BD217</f>
        <v>4893.4663252999999</v>
      </c>
      <c r="BE221" s="32">
        <f t="shared" si="2070"/>
        <v>4710.9209492500004</v>
      </c>
      <c r="BF221" s="32">
        <f t="shared" si="2070"/>
        <v>4694.3312852249992</v>
      </c>
      <c r="BG221" s="32">
        <f t="shared" si="2070"/>
        <v>4660.7405861499992</v>
      </c>
      <c r="BH221" s="32">
        <f t="shared" si="2070"/>
        <v>4885.1391033249993</v>
      </c>
      <c r="BI221" s="32">
        <f t="shared" si="2070"/>
        <v>4831.0374600000005</v>
      </c>
      <c r="BJ221" s="32">
        <f t="shared" si="2070"/>
        <v>4310.9315596749993</v>
      </c>
      <c r="BK221" s="32">
        <f t="shared" si="2070"/>
        <v>3815.7426043177047</v>
      </c>
      <c r="BL221" s="32">
        <f t="shared" si="2070"/>
        <v>2746.8255924895434</v>
      </c>
      <c r="BM221" s="32">
        <f t="shared" si="2070"/>
        <v>2276.8040869107358</v>
      </c>
      <c r="BN221" s="24"/>
      <c r="BO221" s="32">
        <f>BO148*BO217</f>
        <v>4893.8509336500001</v>
      </c>
      <c r="BP221" s="32">
        <f t="shared" ref="BP221:BT221" si="2071">BP148*BP217</f>
        <v>4964.2718537750006</v>
      </c>
      <c r="BQ221" s="32">
        <f t="shared" si="2071"/>
        <v>4426.2035626500001</v>
      </c>
      <c r="BR221" s="32">
        <f t="shared" si="2071"/>
        <v>3904.64543095</v>
      </c>
      <c r="BS221" s="32">
        <f t="shared" si="2071"/>
        <v>2743.2310145500001</v>
      </c>
      <c r="BT221" s="32">
        <f t="shared" si="2071"/>
        <v>2152.2305040000001</v>
      </c>
      <c r="BV221" s="40"/>
      <c r="BW221" s="40"/>
      <c r="BY221" s="40"/>
      <c r="BZ221" s="40"/>
      <c r="CB221" s="16"/>
      <c r="CC221" s="16"/>
    </row>
    <row r="222" spans="2:81" ht="13.5" customHeight="1">
      <c r="B222" s="10" t="s">
        <v>291</v>
      </c>
      <c r="C222" s="54">
        <f>C149*C$217</f>
        <v>1933.508050936</v>
      </c>
      <c r="D222" s="54">
        <f t="shared" ref="D222:R222" si="2072">D149*D$217</f>
        <v>2146.639313142</v>
      </c>
      <c r="E222" s="54">
        <f t="shared" si="2072"/>
        <v>2065.4067585499997</v>
      </c>
      <c r="F222" s="54">
        <f t="shared" si="2072"/>
        <v>2563.7070504499998</v>
      </c>
      <c r="G222" s="54">
        <f t="shared" si="2072"/>
        <v>2536.95434875</v>
      </c>
      <c r="H222" s="54">
        <f t="shared" si="2072"/>
        <v>2759.2529058801551</v>
      </c>
      <c r="I222" s="54">
        <f t="shared" si="2072"/>
        <v>2930.771276012777</v>
      </c>
      <c r="J222" s="54">
        <f t="shared" si="2072"/>
        <v>2153.9413712420601</v>
      </c>
      <c r="K222" s="54">
        <f t="shared" si="2072"/>
        <v>2183.71656975</v>
      </c>
      <c r="L222" s="54">
        <f t="shared" si="2072"/>
        <v>1970.2968425500001</v>
      </c>
      <c r="M222" s="32">
        <f t="shared" si="2072"/>
        <v>2111.3709077999997</v>
      </c>
      <c r="N222" s="32">
        <f t="shared" si="2072"/>
        <v>2172.8617574999998</v>
      </c>
      <c r="O222" s="32">
        <f t="shared" si="2072"/>
        <v>2434.2342700000004</v>
      </c>
      <c r="P222" s="32">
        <f t="shared" ref="P222:Q222" si="2073">P149*P$217</f>
        <v>1244.1771358250001</v>
      </c>
      <c r="Q222" s="32">
        <f t="shared" si="2073"/>
        <v>1275.6326250746945</v>
      </c>
      <c r="R222" s="32">
        <f t="shared" si="2072"/>
        <v>1048.8612864998113</v>
      </c>
      <c r="S222" s="121"/>
      <c r="T222" s="436"/>
      <c r="U222" s="436"/>
      <c r="V222" s="436"/>
      <c r="W222" s="32">
        <f>W149*AVERAGE(W$217)</f>
        <v>2067.5194615189998</v>
      </c>
      <c r="X222" s="32">
        <f t="shared" ref="X222:AI222" si="2074">X149*AVERAGE(X$217)</f>
        <v>2640.1732836505003</v>
      </c>
      <c r="Y222" s="32">
        <f t="shared" si="2074"/>
        <v>3255.2007883702499</v>
      </c>
      <c r="Z222" s="32">
        <f t="shared" si="2074"/>
        <v>3916.9738881935</v>
      </c>
      <c r="AA222" s="32">
        <f t="shared" si="2074"/>
        <v>2564.0734111249999</v>
      </c>
      <c r="AB222" s="32">
        <f t="shared" si="2074"/>
        <v>2570.0342559124997</v>
      </c>
      <c r="AC222" s="32">
        <f t="shared" si="2074"/>
        <v>2523.2361950687914</v>
      </c>
      <c r="AD222" s="32">
        <f t="shared" si="2074"/>
        <v>2526.3932910246835</v>
      </c>
      <c r="AE222" s="32">
        <f t="shared" si="2074"/>
        <v>2536.6268390971068</v>
      </c>
      <c r="AF222" s="32">
        <f t="shared" si="2074"/>
        <v>2599.3205480530869</v>
      </c>
      <c r="AG222" s="32">
        <f t="shared" si="2074"/>
        <v>2688.5364009199998</v>
      </c>
      <c r="AH222" s="32">
        <f t="shared" si="2074"/>
        <v>2694.4880621054467</v>
      </c>
      <c r="AI222" s="32">
        <f t="shared" si="2074"/>
        <v>2759.2529058801551</v>
      </c>
      <c r="AJ222" s="223"/>
      <c r="AK222" s="223"/>
      <c r="AL222" s="223"/>
      <c r="AM222" s="173"/>
      <c r="AN222" s="32">
        <f>AN149*AVERAGE(AN$217)</f>
        <v>2614.8558895802457</v>
      </c>
      <c r="AO222" s="32">
        <f t="shared" ref="AO222:BC222" si="2075">AO149*AVERAGE(AO$217)</f>
        <v>2623.8570357505705</v>
      </c>
      <c r="AP222" s="32">
        <f t="shared" si="2075"/>
        <v>2661.3312571989063</v>
      </c>
      <c r="AQ222" s="32">
        <f t="shared" si="2075"/>
        <v>2842.1015499999999</v>
      </c>
      <c r="AR222" s="32">
        <f t="shared" si="2075"/>
        <v>2340.1860505499999</v>
      </c>
      <c r="AS222" s="32">
        <f t="shared" si="2075"/>
        <v>2230.2606758500001</v>
      </c>
      <c r="AT222" s="32">
        <f t="shared" si="2075"/>
        <v>2141.7139209000002</v>
      </c>
      <c r="AU222" s="32">
        <f t="shared" si="2075"/>
        <v>2183.71656975</v>
      </c>
      <c r="AV222" s="32">
        <f t="shared" si="2075"/>
        <v>2104.1819058999999</v>
      </c>
      <c r="AW222" s="32">
        <f t="shared" si="2075"/>
        <v>1970.2968425500001</v>
      </c>
      <c r="AX222" s="32">
        <f t="shared" si="2075"/>
        <v>2142.9487244000006</v>
      </c>
      <c r="AY222" s="32">
        <f t="shared" si="2075"/>
        <v>1941.2403153000002</v>
      </c>
      <c r="AZ222" s="32">
        <f t="shared" si="2075"/>
        <v>1789.1572233599998</v>
      </c>
      <c r="BA222" s="32">
        <f t="shared" si="2075"/>
        <v>1561.6977084799998</v>
      </c>
      <c r="BB222" s="32">
        <f t="shared" si="2075"/>
        <v>2309.0585044499999</v>
      </c>
      <c r="BC222" s="32">
        <f t="shared" si="2075"/>
        <v>2270.01290445</v>
      </c>
      <c r="BD222" s="32">
        <f t="shared" ref="BD222:BM222" si="2076">BD149*BD217</f>
        <v>2149.9633077999997</v>
      </c>
      <c r="BE222" s="32">
        <f t="shared" si="2076"/>
        <v>2093.2040738999999</v>
      </c>
      <c r="BF222" s="32">
        <f t="shared" si="2076"/>
        <v>2138.9242473749996</v>
      </c>
      <c r="BG222" s="32">
        <f t="shared" si="2076"/>
        <v>2181.08763675</v>
      </c>
      <c r="BH222" s="32">
        <f t="shared" si="2076"/>
        <v>2434.2342700000004</v>
      </c>
      <c r="BI222" s="32">
        <f t="shared" si="2076"/>
        <v>2407.933434</v>
      </c>
      <c r="BJ222" s="32">
        <f t="shared" si="2076"/>
        <v>2149.8550265250001</v>
      </c>
      <c r="BK222" s="32">
        <f t="shared" si="2076"/>
        <v>1885.6479654650961</v>
      </c>
      <c r="BL222" s="32">
        <f t="shared" si="2076"/>
        <v>1275.6326250746945</v>
      </c>
      <c r="BM222" s="32">
        <f t="shared" si="2076"/>
        <v>1048.8612864998113</v>
      </c>
      <c r="BN222" s="32"/>
      <c r="BO222" s="32">
        <f>BO149*BO217</f>
        <v>2172.8617574999998</v>
      </c>
      <c r="BP222" s="32">
        <f t="shared" ref="BP222:BT222" si="2077">BP149*BP217</f>
        <v>2266.7480151499994</v>
      </c>
      <c r="BQ222" s="32">
        <f t="shared" si="2077"/>
        <v>2031.1739769749995</v>
      </c>
      <c r="BR222" s="32">
        <f t="shared" si="2077"/>
        <v>1809.7074693499999</v>
      </c>
      <c r="BS222" s="32">
        <f t="shared" si="2077"/>
        <v>1244.1771358250001</v>
      </c>
      <c r="BT222" s="32">
        <f t="shared" si="2077"/>
        <v>911.07468000000017</v>
      </c>
      <c r="BV222" s="40"/>
      <c r="BW222" s="40"/>
      <c r="BY222" s="40"/>
      <c r="BZ222" s="40"/>
      <c r="CB222" s="16"/>
      <c r="CC222" s="16"/>
    </row>
    <row r="223" spans="2:81" ht="13.5" customHeight="1">
      <c r="B223" s="10" t="s">
        <v>325</v>
      </c>
      <c r="C223" s="36">
        <f t="shared" ref="C223:E223" si="2078">C222/C221</f>
        <v>0.37155123356904435</v>
      </c>
      <c r="D223" s="36">
        <f t="shared" si="2078"/>
        <v>0.37824630453372193</v>
      </c>
      <c r="E223" s="36">
        <f t="shared" si="2078"/>
        <v>0.34891611875701278</v>
      </c>
      <c r="F223" s="36">
        <f t="shared" ref="F223:K223" si="2079">F222/F221</f>
        <v>0.43196579858726925</v>
      </c>
      <c r="G223" s="36">
        <f t="shared" si="2079"/>
        <v>0.44030904049721425</v>
      </c>
      <c r="H223" s="36">
        <f t="shared" si="2079"/>
        <v>0.44029829972292989</v>
      </c>
      <c r="I223" s="36">
        <f t="shared" si="2079"/>
        <v>0.45178402732359568</v>
      </c>
      <c r="J223" s="36">
        <f t="shared" si="2079"/>
        <v>0.44523832911347844</v>
      </c>
      <c r="K223" s="36">
        <f t="shared" si="2079"/>
        <v>0.44171785212329978</v>
      </c>
      <c r="L223" s="36">
        <f t="shared" ref="L223:M223" si="2080">L222/L221</f>
        <v>0.43055911305935785</v>
      </c>
      <c r="M223" s="430">
        <f t="shared" si="2080"/>
        <v>0.43763086434403642</v>
      </c>
      <c r="N223" s="430">
        <f t="shared" ref="N223" si="2081">N222/N221</f>
        <v>0.44399835363996382</v>
      </c>
      <c r="O223" s="430">
        <f t="shared" ref="O223:P223" si="2082">O222/O221</f>
        <v>0.4982937473250606</v>
      </c>
      <c r="P223" s="430">
        <f t="shared" si="2082"/>
        <v>0.45354442598014116</v>
      </c>
      <c r="Q223" s="430">
        <f t="shared" ref="Q223" si="2083">Q222/Q221</f>
        <v>0.46440248283785079</v>
      </c>
      <c r="R223" s="430">
        <f t="shared" ref="R223" si="2084">R222/R221</f>
        <v>0.46067261233835483</v>
      </c>
      <c r="S223" s="431"/>
      <c r="T223" s="170"/>
      <c r="U223" s="170"/>
      <c r="V223" s="170"/>
      <c r="W223" s="430">
        <f t="shared" ref="W223" si="2085">W222/W221</f>
        <v>0.34891611875701278</v>
      </c>
      <c r="X223" s="430">
        <f t="shared" ref="X223:AC223" si="2086">X222/X221</f>
        <v>0.44654443653744891</v>
      </c>
      <c r="Y223" s="430">
        <f t="shared" si="2086"/>
        <v>0.55086134878026216</v>
      </c>
      <c r="Z223" s="430">
        <f t="shared" si="2086"/>
        <v>0.66012724085049601</v>
      </c>
      <c r="AA223" s="430">
        <f t="shared" si="2086"/>
        <v>0.4319657985872693</v>
      </c>
      <c r="AB223" s="430">
        <f t="shared" si="2086"/>
        <v>0.43376878395331026</v>
      </c>
      <c r="AC223" s="430">
        <f t="shared" si="2086"/>
        <v>0.4366442432490435</v>
      </c>
      <c r="AD223" s="430">
        <f t="shared" ref="AD223:AG223" si="2087">AD222/AD221</f>
        <v>0.44004493288116797</v>
      </c>
      <c r="AE223" s="430">
        <f t="shared" si="2087"/>
        <v>0.44030904049721425</v>
      </c>
      <c r="AF223" s="430">
        <f t="shared" si="2087"/>
        <v>0.44756771663077677</v>
      </c>
      <c r="AG223" s="430">
        <f t="shared" si="2087"/>
        <v>0.44594171253913284</v>
      </c>
      <c r="AH223" s="430">
        <f t="shared" ref="AH223:AI223" si="2088">AH222/AH221</f>
        <v>0.43910907877183308</v>
      </c>
      <c r="AI223" s="430">
        <f t="shared" si="2088"/>
        <v>0.44029829972292989</v>
      </c>
      <c r="AJ223" s="433"/>
      <c r="AK223" s="433"/>
      <c r="AL223" s="433"/>
      <c r="AM223" s="437"/>
      <c r="AN223" s="430">
        <f t="shared" ref="AN223" si="2089">AN222/AN221</f>
        <v>0.44335497939577201</v>
      </c>
      <c r="AO223" s="430">
        <f t="shared" ref="AO223" si="2090">AO222/AO221</f>
        <v>0.45554410777574172</v>
      </c>
      <c r="AP223" s="430">
        <f t="shared" ref="AP223:AQ223" si="2091">AP222/AP221</f>
        <v>0.46308738706633462</v>
      </c>
      <c r="AQ223" s="430">
        <f t="shared" si="2091"/>
        <v>0.46307862800668553</v>
      </c>
      <c r="AR223" s="438">
        <f t="shared" ref="AR223:AS223" si="2092">AR222/AR221</f>
        <v>0.42214146118580131</v>
      </c>
      <c r="AS223" s="438">
        <f t="shared" si="2092"/>
        <v>0.43973696724874767</v>
      </c>
      <c r="AT223" s="438">
        <f t="shared" ref="AT223" si="2093">AT222/AT221</f>
        <v>0.45244812728718575</v>
      </c>
      <c r="AU223" s="438">
        <f t="shared" ref="AU223:AW223" si="2094">AU222/AU221</f>
        <v>0.45917774147781126</v>
      </c>
      <c r="AV223" s="438">
        <f t="shared" ref="AV223:AX223" si="2095">AV222/AV221</f>
        <v>0.45179020042907597</v>
      </c>
      <c r="AW223" s="430">
        <f t="shared" si="2094"/>
        <v>0.44132309088584182</v>
      </c>
      <c r="AX223" s="438">
        <f t="shared" si="2095"/>
        <v>0.43213228752013721</v>
      </c>
      <c r="AY223" s="439">
        <f t="shared" ref="AY223" si="2096">AY222/AY221</f>
        <v>0.41496345510757993</v>
      </c>
      <c r="AZ223" s="438">
        <f t="shared" ref="AZ223:BB223" si="2097">AZ222/AZ221</f>
        <v>0.35909254627391612</v>
      </c>
      <c r="BA223" s="438">
        <f t="shared" ref="BA223" si="2098">BA222/BA221</f>
        <v>0.34638983110405497</v>
      </c>
      <c r="BB223" s="430">
        <f t="shared" si="2097"/>
        <v>0.46041753155772946</v>
      </c>
      <c r="BC223" s="430">
        <f t="shared" ref="BC223:BG223" si="2099">BC222/BC221</f>
        <v>0.47510303315680597</v>
      </c>
      <c r="BD223" s="430">
        <f t="shared" si="2099"/>
        <v>0.43935385775198804</v>
      </c>
      <c r="BE223" s="430">
        <f t="shared" si="2099"/>
        <v>0.44433012068123268</v>
      </c>
      <c r="BF223" s="430">
        <f t="shared" si="2099"/>
        <v>0.45563981692282313</v>
      </c>
      <c r="BG223" s="430">
        <f t="shared" si="2099"/>
        <v>0.46797018551759506</v>
      </c>
      <c r="BH223" s="430">
        <f t="shared" ref="BH223" si="2100">BH222/BH221</f>
        <v>0.4982937473250606</v>
      </c>
      <c r="BI223" s="430">
        <f t="shared" ref="BI223:BL223" si="2101">BI222/BI221</f>
        <v>0.49842988259503163</v>
      </c>
      <c r="BJ223" s="430">
        <f t="shared" si="2101"/>
        <v>0.49869848239647707</v>
      </c>
      <c r="BK223" s="430">
        <f t="shared" si="2101"/>
        <v>0.49417588160464249</v>
      </c>
      <c r="BL223" s="430">
        <f t="shared" si="2101"/>
        <v>0.46440248283785079</v>
      </c>
      <c r="BM223" s="430">
        <f t="shared" ref="BM223:BO223" si="2102">BM222/BM221</f>
        <v>0.46067261233835483</v>
      </c>
      <c r="BN223" s="435"/>
      <c r="BO223" s="430">
        <f t="shared" si="2102"/>
        <v>0.44399835363996382</v>
      </c>
      <c r="BP223" s="430">
        <f t="shared" ref="BP223:BT223" si="2103">BP222/BP221</f>
        <v>0.45661238584794411</v>
      </c>
      <c r="BQ223" s="430">
        <f t="shared" si="2103"/>
        <v>0.45889755141738692</v>
      </c>
      <c r="BR223" s="430">
        <f t="shared" si="2103"/>
        <v>0.46347549383240622</v>
      </c>
      <c r="BS223" s="430">
        <f t="shared" si="2103"/>
        <v>0.45354442598014116</v>
      </c>
      <c r="BT223" s="430">
        <f t="shared" si="2103"/>
        <v>0.42331649807338673</v>
      </c>
      <c r="BV223" s="40"/>
      <c r="BW223" s="40"/>
      <c r="BY223" s="40"/>
      <c r="BZ223" s="40"/>
      <c r="CB223" s="16"/>
      <c r="CC223" s="16"/>
    </row>
    <row r="224" spans="2:81" ht="13.5" customHeight="1">
      <c r="B224" s="10" t="s">
        <v>274</v>
      </c>
      <c r="C224" s="54">
        <f>C151*C$217</f>
        <v>278.43642547599995</v>
      </c>
      <c r="D224" s="54">
        <f t="shared" ref="D224:R224" si="2104">D151*D$217</f>
        <v>301.74223023899998</v>
      </c>
      <c r="E224" s="54">
        <f t="shared" si="2104"/>
        <v>273.15618454999998</v>
      </c>
      <c r="F224" s="54">
        <f t="shared" si="2104"/>
        <v>407.90564514699997</v>
      </c>
      <c r="G224" s="54">
        <f t="shared" si="2104"/>
        <v>333.37761348999999</v>
      </c>
      <c r="H224" s="54">
        <f t="shared" si="2104"/>
        <v>338.26686838460603</v>
      </c>
      <c r="I224" s="54">
        <f t="shared" si="2104"/>
        <v>374.97891450503062</v>
      </c>
      <c r="J224" s="54">
        <f t="shared" si="2104"/>
        <v>338.26686838460603</v>
      </c>
      <c r="K224" s="54">
        <f t="shared" si="2104"/>
        <v>362.00337869999998</v>
      </c>
      <c r="L224" s="54">
        <f t="shared" si="2104"/>
        <v>363.22144667499998</v>
      </c>
      <c r="M224" s="32">
        <f t="shared" si="2104"/>
        <v>504.990982825</v>
      </c>
      <c r="N224" s="32">
        <f t="shared" si="2104"/>
        <v>503.52973422499997</v>
      </c>
      <c r="O224" s="32">
        <f t="shared" si="2104"/>
        <v>471.83160147499996</v>
      </c>
      <c r="P224" s="32">
        <f t="shared" ref="P224:Q224" si="2105">P151*P$217</f>
        <v>471.83160147499996</v>
      </c>
      <c r="Q224" s="32">
        <f t="shared" si="2105"/>
        <v>360.58507787633556</v>
      </c>
      <c r="R224" s="32">
        <f t="shared" si="2104"/>
        <v>290.26233809430329</v>
      </c>
      <c r="S224" s="121"/>
      <c r="T224" s="436"/>
      <c r="U224" s="436"/>
      <c r="V224" s="436"/>
      <c r="W224" s="32">
        <f>W151*AVERAGE(W$217)</f>
        <v>273.43559579899994</v>
      </c>
      <c r="X224" s="32">
        <f t="shared" ref="X224:AI224" si="2106">X151*AVERAGE(X$217)</f>
        <v>258.10089060925003</v>
      </c>
      <c r="Y224" s="32">
        <f t="shared" si="2106"/>
        <v>201.20503319700001</v>
      </c>
      <c r="Z224" s="32">
        <f t="shared" si="2106"/>
        <v>814.66418047725006</v>
      </c>
      <c r="AA224" s="32">
        <f t="shared" si="2106"/>
        <v>407.96393596749999</v>
      </c>
      <c r="AB224" s="32">
        <f t="shared" si="2106"/>
        <v>456.03906992749995</v>
      </c>
      <c r="AC224" s="32">
        <f t="shared" si="2106"/>
        <v>624.49923364981714</v>
      </c>
      <c r="AD224" s="32">
        <f t="shared" si="2106"/>
        <v>369.33652281971473</v>
      </c>
      <c r="AE224" s="32">
        <f t="shared" si="2106"/>
        <v>333.33457590576825</v>
      </c>
      <c r="AF224" s="32">
        <f t="shared" si="2106"/>
        <v>330.83172750979986</v>
      </c>
      <c r="AG224" s="32">
        <f t="shared" si="2106"/>
        <v>209.04013970400001</v>
      </c>
      <c r="AH224" s="32">
        <f t="shared" si="2106"/>
        <v>337.0245720659392</v>
      </c>
      <c r="AI224" s="32">
        <f t="shared" si="2106"/>
        <v>338.26686838460603</v>
      </c>
      <c r="AJ224" s="223"/>
      <c r="AK224" s="223"/>
      <c r="AL224" s="223"/>
      <c r="AM224" s="173"/>
      <c r="AN224" s="32">
        <f>AN151*AVERAGE(AN$217)</f>
        <v>346.2610169072077</v>
      </c>
      <c r="AO224" s="32">
        <f t="shared" ref="AO224:BC224" si="2107">AO151*AVERAGE(AO$217)</f>
        <v>341.4159907741186</v>
      </c>
      <c r="AP224" s="32">
        <f t="shared" si="2107"/>
        <v>344.64497929250086</v>
      </c>
      <c r="AQ224" s="32">
        <f t="shared" si="2107"/>
        <v>363.63402454999999</v>
      </c>
      <c r="AR224" s="32">
        <f t="shared" si="2107"/>
        <v>329.63783622499994</v>
      </c>
      <c r="AS224" s="32">
        <f t="shared" si="2107"/>
        <v>329.85086812500009</v>
      </c>
      <c r="AT224" s="32">
        <f t="shared" si="2107"/>
        <v>338.47088852500002</v>
      </c>
      <c r="AU224" s="32">
        <f t="shared" si="2107"/>
        <v>362.00337869999998</v>
      </c>
      <c r="AV224" s="32">
        <f t="shared" si="2107"/>
        <v>338.47088852500002</v>
      </c>
      <c r="AW224" s="32">
        <f t="shared" si="2107"/>
        <v>363.22144667499998</v>
      </c>
      <c r="AX224" s="32">
        <f t="shared" si="2107"/>
        <v>359.94407410000008</v>
      </c>
      <c r="AY224" s="32">
        <f t="shared" si="2107"/>
        <v>407.82760110000004</v>
      </c>
      <c r="AZ224" s="32">
        <f t="shared" si="2107"/>
        <v>361.90983711999996</v>
      </c>
      <c r="BA224" s="32">
        <f t="shared" si="2107"/>
        <v>361.58695871999998</v>
      </c>
      <c r="BB224" s="32">
        <f t="shared" si="2107"/>
        <v>500.79775634999999</v>
      </c>
      <c r="BC224" s="32">
        <f t="shared" si="2107"/>
        <v>500.79775634999999</v>
      </c>
      <c r="BD224" s="32">
        <f t="shared" ref="BD224:BM224" si="2108">BD151*BD217</f>
        <v>504.990982825</v>
      </c>
      <c r="BE224" s="32">
        <f t="shared" si="2108"/>
        <v>541.81057824999993</v>
      </c>
      <c r="BF224" s="32">
        <f t="shared" si="2108"/>
        <v>494.63563417499995</v>
      </c>
      <c r="BG224" s="32">
        <f t="shared" si="2108"/>
        <v>469.87994900000001</v>
      </c>
      <c r="BH224" s="32">
        <f t="shared" si="2108"/>
        <v>471.83160147499996</v>
      </c>
      <c r="BI224" s="32">
        <f t="shared" si="2108"/>
        <v>454.15783199999998</v>
      </c>
      <c r="BJ224" s="32">
        <f t="shared" si="2108"/>
        <v>454.26821999999993</v>
      </c>
      <c r="BK224" s="32">
        <f t="shared" si="2108"/>
        <v>409.66342878136692</v>
      </c>
      <c r="BL224" s="32">
        <f t="shared" si="2108"/>
        <v>360.58507787633556</v>
      </c>
      <c r="BM224" s="32">
        <f t="shared" si="2108"/>
        <v>290.26233809430329</v>
      </c>
      <c r="BN224" s="32"/>
      <c r="BO224" s="32">
        <f>BO151*BO217</f>
        <v>503.52973422499997</v>
      </c>
      <c r="BP224" s="32">
        <f t="shared" ref="BP224:BT224" si="2109">BP151*BP217</f>
        <v>540.37598564999996</v>
      </c>
      <c r="BQ224" s="32">
        <f t="shared" si="2109"/>
        <v>493.21670197499986</v>
      </c>
      <c r="BR224" s="32">
        <f t="shared" si="2109"/>
        <v>468.44685579999992</v>
      </c>
      <c r="BS224" s="32">
        <f t="shared" si="2109"/>
        <v>471.83160147499996</v>
      </c>
      <c r="BT224" s="32">
        <f t="shared" si="2109"/>
        <v>454.15783199999998</v>
      </c>
      <c r="BV224" s="40"/>
      <c r="BW224" s="40"/>
      <c r="BY224" s="40"/>
      <c r="BZ224" s="40"/>
      <c r="CB224" s="16"/>
      <c r="CC224" s="16"/>
    </row>
    <row r="225" spans="2:81" ht="13.5" customHeight="1">
      <c r="B225" s="10" t="s">
        <v>293</v>
      </c>
      <c r="C225" s="54">
        <f>C152*C$217</f>
        <v>1323.1012420340001</v>
      </c>
      <c r="D225" s="54">
        <f t="shared" ref="D225:R225" si="2110">D152*D$217</f>
        <v>1136.1242173140001</v>
      </c>
      <c r="E225" s="54">
        <f t="shared" si="2110"/>
        <v>1644.8455031249998</v>
      </c>
      <c r="F225" s="54">
        <f t="shared" si="2110"/>
        <v>1634.6113973280001</v>
      </c>
      <c r="G225" s="54">
        <f t="shared" si="2110"/>
        <v>1075.7760080279998</v>
      </c>
      <c r="H225" s="54">
        <f t="shared" si="2110"/>
        <v>1541.00802879816</v>
      </c>
      <c r="I225" s="54">
        <f t="shared" si="2110"/>
        <v>2275.0372485434418</v>
      </c>
      <c r="J225" s="54">
        <f t="shared" si="2110"/>
        <v>1511.7787188721181</v>
      </c>
      <c r="K225" s="54">
        <f t="shared" si="2110"/>
        <v>2196.31328265</v>
      </c>
      <c r="L225" s="54">
        <f t="shared" si="2110"/>
        <v>2224.0976081250001</v>
      </c>
      <c r="M225" s="32">
        <f t="shared" si="2110"/>
        <v>1523.8327548499999</v>
      </c>
      <c r="N225" s="32">
        <f t="shared" si="2110"/>
        <v>1558.2580527499999</v>
      </c>
      <c r="O225" s="32">
        <f t="shared" si="2110"/>
        <v>1103.0688893249999</v>
      </c>
      <c r="P225" s="32">
        <f t="shared" ref="P225:Q225" si="2111">P152*P$217</f>
        <v>1121.2530296499999</v>
      </c>
      <c r="Q225" s="32">
        <f t="shared" si="2111"/>
        <v>473.82800282616705</v>
      </c>
      <c r="R225" s="32">
        <f t="shared" si="2110"/>
        <v>395.21192128787538</v>
      </c>
      <c r="S225" s="121"/>
      <c r="T225" s="436"/>
      <c r="U225" s="436"/>
      <c r="V225" s="436"/>
      <c r="W225" s="32">
        <f>W152*AVERAGE(W$217)</f>
        <v>1646.5280143124999</v>
      </c>
      <c r="X225" s="32">
        <f t="shared" ref="X225:AI225" si="2112">X152*AVERAGE(X$217)</f>
        <v>1719.2218373882502</v>
      </c>
      <c r="Y225" s="32">
        <f t="shared" si="2112"/>
        <v>1593.27289417575</v>
      </c>
      <c r="Z225" s="32">
        <f t="shared" si="2112"/>
        <v>1496.5028288992498</v>
      </c>
      <c r="AA225" s="32">
        <f t="shared" si="2112"/>
        <v>1634.8449877199998</v>
      </c>
      <c r="AB225" s="32">
        <f t="shared" si="2112"/>
        <v>1397.2845837959999</v>
      </c>
      <c r="AC225" s="32">
        <f t="shared" si="2112"/>
        <v>1453.2124535276366</v>
      </c>
      <c r="AD225" s="32">
        <f t="shared" si="2112"/>
        <v>1356.8426558958784</v>
      </c>
      <c r="AE225" s="32">
        <f t="shared" si="2112"/>
        <v>1075.6371300749324</v>
      </c>
      <c r="AF225" s="32">
        <f t="shared" si="2112"/>
        <v>1218.3659911133348</v>
      </c>
      <c r="AG225" s="32">
        <f t="shared" si="2112"/>
        <v>1277.899909016</v>
      </c>
      <c r="AH225" s="32">
        <f t="shared" si="2112"/>
        <v>1397.7319318909808</v>
      </c>
      <c r="AI225" s="32">
        <f t="shared" si="2112"/>
        <v>1541.00802879816</v>
      </c>
      <c r="AJ225" s="223"/>
      <c r="AK225" s="223"/>
      <c r="AL225" s="223"/>
      <c r="AM225" s="173"/>
      <c r="AN225" s="32">
        <f>AN152*AVERAGE(AN$217)</f>
        <v>1629.3511707512935</v>
      </c>
      <c r="AO225" s="32">
        <f t="shared" ref="AO225:BC225" si="2113">AO152*AVERAGE(AO$217)</f>
        <v>1974.7465891170239</v>
      </c>
      <c r="AP225" s="32">
        <f t="shared" si="2113"/>
        <v>2193.9226492261146</v>
      </c>
      <c r="AQ225" s="32">
        <f t="shared" si="2113"/>
        <v>2206.206585725</v>
      </c>
      <c r="AR225" s="32">
        <f t="shared" si="2113"/>
        <v>1551.1298360249998</v>
      </c>
      <c r="AS225" s="32">
        <f t="shared" si="2113"/>
        <v>1907.8540383249999</v>
      </c>
      <c r="AT225" s="32">
        <f t="shared" si="2113"/>
        <v>2154.6199511250002</v>
      </c>
      <c r="AU225" s="32">
        <f t="shared" si="2113"/>
        <v>2196.31328265</v>
      </c>
      <c r="AV225" s="32">
        <f t="shared" si="2113"/>
        <v>2154.6199511250002</v>
      </c>
      <c r="AW225" s="32">
        <f t="shared" si="2113"/>
        <v>2224.0976081250001</v>
      </c>
      <c r="AX225" s="32">
        <f t="shared" si="2113"/>
        <v>2181.9627083500004</v>
      </c>
      <c r="AY225" s="32">
        <f t="shared" si="2113"/>
        <v>2012.8580763000009</v>
      </c>
      <c r="AZ225" s="32">
        <f t="shared" si="2113"/>
        <v>1487.1966928000002</v>
      </c>
      <c r="BA225" s="32">
        <f t="shared" si="2113"/>
        <v>1501.19798816</v>
      </c>
      <c r="BB225" s="32">
        <f t="shared" si="2113"/>
        <v>1649.2104931500003</v>
      </c>
      <c r="BC225" s="32">
        <f t="shared" si="2113"/>
        <v>1649.2104931500003</v>
      </c>
      <c r="BD225" s="32">
        <f t="shared" ref="BD225:BM225" si="2114">BD152*BD217</f>
        <v>1523.8327548499999</v>
      </c>
      <c r="BE225" s="32">
        <f t="shared" si="2114"/>
        <v>1430.6435953999999</v>
      </c>
      <c r="BF225" s="32">
        <f t="shared" si="2114"/>
        <v>1296.79799415</v>
      </c>
      <c r="BG225" s="32">
        <f t="shared" si="2114"/>
        <v>1144.9597477999998</v>
      </c>
      <c r="BH225" s="32">
        <f t="shared" si="2114"/>
        <v>1103.0688893249999</v>
      </c>
      <c r="BI225" s="32">
        <f t="shared" si="2114"/>
        <v>969.9885959999998</v>
      </c>
      <c r="BJ225" s="32">
        <f t="shared" si="2114"/>
        <v>758.34503227499965</v>
      </c>
      <c r="BK225" s="32">
        <f t="shared" si="2114"/>
        <v>643.21190531052946</v>
      </c>
      <c r="BL225" s="32">
        <f t="shared" si="2114"/>
        <v>473.82800282616705</v>
      </c>
      <c r="BM225" s="32">
        <f t="shared" si="2114"/>
        <v>395.21192128787538</v>
      </c>
      <c r="BN225" s="32"/>
      <c r="BO225" s="32">
        <f>BO152*BO217</f>
        <v>1558.2580527499999</v>
      </c>
      <c r="BP225" s="32">
        <f t="shared" ref="BP225:BT225" si="2115">BP152*BP217</f>
        <v>1464.4409092999999</v>
      </c>
      <c r="BQ225" s="32">
        <f t="shared" si="2115"/>
        <v>1330.22636745</v>
      </c>
      <c r="BR225" s="32">
        <f t="shared" si="2115"/>
        <v>1178.7217375999999</v>
      </c>
      <c r="BS225" s="32">
        <f t="shared" si="2115"/>
        <v>1121.2530296499999</v>
      </c>
      <c r="BT225" s="32">
        <f t="shared" si="2115"/>
        <v>988.4450099999998</v>
      </c>
      <c r="BV225" s="40"/>
      <c r="BW225" s="40"/>
      <c r="BY225" s="40"/>
      <c r="BZ225" s="40"/>
      <c r="CB225" s="16"/>
      <c r="CC225" s="16"/>
    </row>
    <row r="226" spans="2:81" ht="13.5" customHeight="1">
      <c r="B226" s="10" t="s">
        <v>279</v>
      </c>
      <c r="C226" s="54">
        <f>C153*C$217</f>
        <v>1998.2512016499998</v>
      </c>
      <c r="D226" s="54">
        <f t="shared" ref="D226:R226" si="2116">D153*D$217</f>
        <v>2312.690555745</v>
      </c>
      <c r="E226" s="54">
        <f t="shared" si="2116"/>
        <v>1759.9949111249998</v>
      </c>
      <c r="F226" s="54">
        <f t="shared" si="2116"/>
        <v>3286.5982493889983</v>
      </c>
      <c r="G226" s="54">
        <f t="shared" si="2116"/>
        <v>3010.9499661439991</v>
      </c>
      <c r="H226" s="54">
        <f t="shared" si="2116"/>
        <v>3227.1086535488021</v>
      </c>
      <c r="I226" s="54">
        <f t="shared" si="2116"/>
        <v>1974.3977222273832</v>
      </c>
      <c r="J226" s="54">
        <f t="shared" si="2116"/>
        <v>2638.6678783429588</v>
      </c>
      <c r="K226" s="54">
        <f t="shared" si="2116"/>
        <v>1260.4367682000002</v>
      </c>
      <c r="L226" s="54">
        <f t="shared" si="2116"/>
        <v>1049.7133157999997</v>
      </c>
      <c r="M226" s="32">
        <f t="shared" si="2116"/>
        <v>2098.5428817499992</v>
      </c>
      <c r="N226" s="32">
        <f t="shared" si="2116"/>
        <v>2166.1293571749993</v>
      </c>
      <c r="O226" s="32">
        <f t="shared" si="2116"/>
        <v>3102.2217323500013</v>
      </c>
      <c r="P226" s="32">
        <f t="shared" ref="P226:Q226" si="2117">P153*P$217</f>
        <v>1918.2637448</v>
      </c>
      <c r="Q226" s="32">
        <f t="shared" si="2117"/>
        <v>1903.2298700867589</v>
      </c>
      <c r="R226" s="32">
        <f t="shared" si="2116"/>
        <v>1483.1793845991649</v>
      </c>
      <c r="S226" s="121"/>
      <c r="T226" s="436"/>
      <c r="U226" s="436"/>
      <c r="V226" s="436"/>
      <c r="W226" s="32">
        <f>W153*AVERAGE(W$217)</f>
        <v>1761.7952085524996</v>
      </c>
      <c r="X226" s="32">
        <f t="shared" ref="X226:AI226" si="2118">X153*AVERAGE(X$217)</f>
        <v>3006.4498536475003</v>
      </c>
      <c r="Y226" s="32">
        <f t="shared" si="2118"/>
        <v>3696.5493377977505</v>
      </c>
      <c r="Z226" s="32">
        <f t="shared" si="2118"/>
        <v>4073.8294684495008</v>
      </c>
      <c r="AA226" s="32">
        <f t="shared" si="2118"/>
        <v>3287.0679131724987</v>
      </c>
      <c r="AB226" s="32">
        <f t="shared" si="2118"/>
        <v>3050.9675062839997</v>
      </c>
      <c r="AC226" s="32">
        <f t="shared" si="2118"/>
        <v>2953.4292083947748</v>
      </c>
      <c r="AD226" s="32">
        <f t="shared" si="2118"/>
        <v>3039.1443627539484</v>
      </c>
      <c r="AE226" s="32">
        <f t="shared" si="2118"/>
        <v>3010.5612657407869</v>
      </c>
      <c r="AF226" s="32">
        <f t="shared" si="2118"/>
        <v>2923.1715149519114</v>
      </c>
      <c r="AG226" s="32">
        <f t="shared" si="2118"/>
        <v>3110.6781545520003</v>
      </c>
      <c r="AH226" s="32">
        <f t="shared" si="2118"/>
        <v>3203.7361351660966</v>
      </c>
      <c r="AI226" s="32">
        <f t="shared" si="2118"/>
        <v>3227.1086535488025</v>
      </c>
      <c r="AJ226" s="223"/>
      <c r="AK226" s="223"/>
      <c r="AL226" s="223"/>
      <c r="AM226" s="173"/>
      <c r="AN226" s="32">
        <f>AN153*AVERAGE(AN$217)</f>
        <v>3308.5894766812025</v>
      </c>
      <c r="AO226" s="32">
        <f t="shared" ref="AO226:BC226" si="2119">AO153*AVERAGE(AO$217)</f>
        <v>2218.0478468010529</v>
      </c>
      <c r="AP226" s="32">
        <f t="shared" si="2119"/>
        <v>1878.0225424389364</v>
      </c>
      <c r="AQ226" s="32">
        <f t="shared" si="2119"/>
        <v>1914.662830425</v>
      </c>
      <c r="AR226" s="32">
        <f t="shared" si="2119"/>
        <v>3000.6151124499993</v>
      </c>
      <c r="AS226" s="32">
        <f t="shared" si="2119"/>
        <v>1838.1978642500001</v>
      </c>
      <c r="AT226" s="32">
        <f t="shared" si="2119"/>
        <v>1372.4376725749992</v>
      </c>
      <c r="AU226" s="32">
        <f t="shared" si="2119"/>
        <v>1260.4367682000004</v>
      </c>
      <c r="AV226" s="32">
        <f t="shared" si="2119"/>
        <v>1334.9056575749989</v>
      </c>
      <c r="AW226" s="32">
        <f t="shared" si="2119"/>
        <v>1049.7133158000001</v>
      </c>
      <c r="AX226" s="32">
        <f t="shared" si="2119"/>
        <v>1035.6520927000001</v>
      </c>
      <c r="AY226" s="32">
        <f t="shared" si="2119"/>
        <v>1548.7373172999992</v>
      </c>
      <c r="AZ226" s="32">
        <f t="shared" si="2119"/>
        <v>1473.6164809599998</v>
      </c>
      <c r="BA226" s="32">
        <f t="shared" si="2119"/>
        <v>1251.5217561599998</v>
      </c>
      <c r="BB226" s="32">
        <f t="shared" si="2119"/>
        <v>2153.6042161500004</v>
      </c>
      <c r="BC226" s="32">
        <f t="shared" si="2119"/>
        <v>2114.5586161500005</v>
      </c>
      <c r="BD226" s="32">
        <f t="shared" ref="BD226:BM226" si="2120">BD153*BD217</f>
        <v>2137.1352817499992</v>
      </c>
      <c r="BE226" s="32">
        <f t="shared" si="2120"/>
        <v>2251.2232432499995</v>
      </c>
      <c r="BF226" s="32">
        <f t="shared" si="2120"/>
        <v>2612.1409040999988</v>
      </c>
      <c r="BG226" s="32">
        <f t="shared" si="2120"/>
        <v>2751.9458185999997</v>
      </c>
      <c r="BH226" s="32">
        <f t="shared" si="2120"/>
        <v>3102.2217323500004</v>
      </c>
      <c r="BI226" s="32">
        <f t="shared" si="2120"/>
        <v>3146.6191200000007</v>
      </c>
      <c r="BJ226" s="32">
        <f t="shared" si="2120"/>
        <v>2913.4784955500004</v>
      </c>
      <c r="BK226" s="32">
        <f t="shared" si="2120"/>
        <v>2548.3216105843826</v>
      </c>
      <c r="BL226" s="32">
        <f t="shared" si="2120"/>
        <v>1903.2298700867593</v>
      </c>
      <c r="BM226" s="32">
        <f t="shared" si="2120"/>
        <v>1483.1793845991642</v>
      </c>
      <c r="BN226" s="32"/>
      <c r="BO226" s="32">
        <f>BO153*BO217</f>
        <v>2166.1293571749993</v>
      </c>
      <c r="BP226" s="32">
        <f t="shared" ref="BP226:BT226" si="2121">BP153*BP217</f>
        <v>2430.7516142249992</v>
      </c>
      <c r="BQ226" s="32">
        <f t="shared" si="2121"/>
        <v>2515.3021882499988</v>
      </c>
      <c r="BR226" s="32">
        <f t="shared" si="2121"/>
        <v>2391.7248107499991</v>
      </c>
      <c r="BS226" s="32">
        <f t="shared" si="2121"/>
        <v>1918.2637448000009</v>
      </c>
      <c r="BT226" s="32">
        <f t="shared" si="2121"/>
        <v>1655.9019960000012</v>
      </c>
      <c r="BV226" s="40"/>
      <c r="BW226" s="40"/>
      <c r="BY226" s="40"/>
      <c r="BZ226" s="40"/>
      <c r="CB226" s="16"/>
      <c r="CC226" s="16"/>
    </row>
    <row r="227" spans="2:81" ht="13.5" customHeight="1">
      <c r="B227" s="10" t="s">
        <v>326</v>
      </c>
      <c r="C227" s="54">
        <f t="shared" ref="C227:F229" si="2122">C154*C$216</f>
        <v>46.076104799999996</v>
      </c>
      <c r="D227" s="54">
        <f t="shared" si="2122"/>
        <v>16.469778914999999</v>
      </c>
      <c r="E227" s="54">
        <f t="shared" si="2122"/>
        <v>1226.915128848</v>
      </c>
      <c r="F227" s="54">
        <f t="shared" si="2122"/>
        <v>1034.2456084609998</v>
      </c>
      <c r="G227" s="54">
        <f t="shared" ref="G227:H227" si="2123">G154*G$216</f>
        <v>1789.4843514519998</v>
      </c>
      <c r="H227" s="54">
        <f t="shared" si="2123"/>
        <v>1665.6751279999999</v>
      </c>
      <c r="I227" s="54">
        <f t="shared" ref="I227" si="2124">I154*I$216</f>
        <v>1693.1493824000001</v>
      </c>
      <c r="J227" s="54">
        <f t="shared" ref="J227:K227" si="2125">J154*J$216</f>
        <v>1665.6751279999999</v>
      </c>
      <c r="K227" s="54">
        <f t="shared" si="2125"/>
        <v>1690.1684856000002</v>
      </c>
      <c r="L227" s="54">
        <f t="shared" ref="L227:M227" si="2126">L154*L$216</f>
        <v>1606.8113908000003</v>
      </c>
      <c r="M227" s="32">
        <f t="shared" si="2126"/>
        <v>1002.6779316000001</v>
      </c>
      <c r="N227" s="32">
        <f t="shared" ref="N227" si="2127">N154*N$216</f>
        <v>1002.6779316000002</v>
      </c>
      <c r="O227" s="32">
        <f t="shared" ref="O227:P227" si="2128">O154*O$216</f>
        <v>1086.30834</v>
      </c>
      <c r="P227" s="32">
        <f t="shared" si="2128"/>
        <v>1086.30834</v>
      </c>
      <c r="Q227" s="32">
        <f t="shared" ref="Q227" si="2129">Q154*Q$216</f>
        <v>923.30729423361254</v>
      </c>
      <c r="R227" s="32">
        <f t="shared" ref="R227" si="2130">R154*R$216</f>
        <v>595.96369473944185</v>
      </c>
      <c r="S227" s="121"/>
      <c r="T227" s="32">
        <f>T154*T$216</f>
        <v>1479.1935818809998</v>
      </c>
      <c r="U227" s="32">
        <f>U154*U$216</f>
        <v>1543.7461485870001</v>
      </c>
      <c r="V227" s="32">
        <f>V154*V$216</f>
        <v>1454.3708797700001</v>
      </c>
      <c r="W227" s="32">
        <f>W154*W$216</f>
        <v>1226.915128848</v>
      </c>
      <c r="X227" s="32">
        <f t="shared" ref="X227:Z229" si="2131">X154*AVERAGE(U$215:X$215)</f>
        <v>1656.9172548695001</v>
      </c>
      <c r="Y227" s="32">
        <f t="shared" si="2131"/>
        <v>1313.61629492925</v>
      </c>
      <c r="Z227" s="32">
        <f t="shared" si="2131"/>
        <v>1202.4456830204999</v>
      </c>
      <c r="AA227" s="32">
        <f>AA154*AA$216</f>
        <v>1034.2456084609998</v>
      </c>
      <c r="AB227" s="32">
        <f>AB154*AB$216</f>
        <v>1379.8349705160003</v>
      </c>
      <c r="AC227" s="32">
        <f>AC154*AC$216</f>
        <v>1378.0610316590066</v>
      </c>
      <c r="AD227" s="32">
        <f t="shared" ref="AD227:AF227" si="2132">AD154*AD$216</f>
        <v>2655.6055612619998</v>
      </c>
      <c r="AE227" s="32">
        <f t="shared" si="2132"/>
        <v>1789.4843514519998</v>
      </c>
      <c r="AF227" s="32">
        <f t="shared" si="2132"/>
        <v>1580.7625912400001</v>
      </c>
      <c r="AG227" s="32">
        <f t="shared" ref="AG227:AH229" si="2133">AG154*AVERAGE(AD$215:AG$215)</f>
        <v>1700.204111904</v>
      </c>
      <c r="AH227" s="32">
        <f t="shared" si="2133"/>
        <v>1778.4138695666156</v>
      </c>
      <c r="AI227" s="32">
        <f t="shared" ref="AI227" si="2134">AI154*AI$216</f>
        <v>1665.6751279999999</v>
      </c>
      <c r="AJ227" s="223"/>
      <c r="AK227" s="223"/>
      <c r="AL227" s="223"/>
      <c r="AM227" s="173"/>
      <c r="AN227" s="32">
        <f t="shared" ref="AN227" si="2135">AN154*AN$216</f>
        <v>1374.9370090000002</v>
      </c>
      <c r="AO227" s="32">
        <f t="shared" ref="AO227:AU228" si="2136">AO154*AVERAGE(AL$215:AO$215)</f>
        <v>1558.2419112324712</v>
      </c>
      <c r="AP227" s="32">
        <f t="shared" si="2136"/>
        <v>1801.7531119710609</v>
      </c>
      <c r="AQ227" s="32">
        <f t="shared" si="2136"/>
        <v>1703.39621515</v>
      </c>
      <c r="AR227" s="32">
        <f t="shared" si="2136"/>
        <v>1321.5989353749999</v>
      </c>
      <c r="AS227" s="32">
        <f t="shared" si="2136"/>
        <v>1505.4580366999999</v>
      </c>
      <c r="AT227" s="32">
        <f t="shared" si="2136"/>
        <v>1769.4758761999999</v>
      </c>
      <c r="AU227" s="32">
        <f t="shared" si="2136"/>
        <v>1695.7576671000002</v>
      </c>
      <c r="AV227" s="32">
        <f>AV154*AVERAGE(AQ$215:AS$215,AV$215)</f>
        <v>1769.4758761999999</v>
      </c>
      <c r="AW227" s="32">
        <f>AW154*AVERAGE($AR$215,$AS$215,$AV$215,$AW$215)</f>
        <v>1703.5107312250002</v>
      </c>
      <c r="AX227" s="32">
        <f t="shared" ref="AX227:AY229" si="2137">AX154*AVERAGE(AS$215:AU$215,AX$215)</f>
        <v>1226.761262125</v>
      </c>
      <c r="AY227" s="32">
        <f t="shared" si="2137"/>
        <v>1217.3508644500002</v>
      </c>
      <c r="AZ227" s="32">
        <f t="shared" ref="AZ227:BA229" si="2138">AZ154*AVERAGE(AT$215:AU$215,AX$215:AZ$215)</f>
        <v>1402.0815639999998</v>
      </c>
      <c r="BA227" s="32">
        <f t="shared" si="2138"/>
        <v>1393.302878</v>
      </c>
      <c r="BB227" s="32">
        <f>BB154*AVERAGE(AU$215,AX$215:BB$215)</f>
        <v>1255.7458246499998</v>
      </c>
      <c r="BC227" s="32">
        <f>BC154*AVERAGE(AW$215:AZ$215,BC$215)</f>
        <v>1261.7996567399998</v>
      </c>
      <c r="BD227" s="32">
        <f t="shared" ref="BD227:BM227" si="2139">BD154*BD217</f>
        <v>1011.32568285</v>
      </c>
      <c r="BE227" s="32">
        <f t="shared" si="2139"/>
        <v>949.24155017499993</v>
      </c>
      <c r="BF227" s="32">
        <f t="shared" si="2139"/>
        <v>1102.3827773249998</v>
      </c>
      <c r="BG227" s="32">
        <f t="shared" si="2139"/>
        <v>975.9715223500001</v>
      </c>
      <c r="BH227" s="32">
        <f t="shared" si="2139"/>
        <v>1063.099739</v>
      </c>
      <c r="BI227" s="32">
        <f t="shared" si="2139"/>
        <v>1099.67922</v>
      </c>
      <c r="BJ227" s="32">
        <f t="shared" si="2139"/>
        <v>1105.6913923999998</v>
      </c>
      <c r="BK227" s="32">
        <f t="shared" si="2139"/>
        <v>846.49081151360372</v>
      </c>
      <c r="BL227" s="32">
        <f t="shared" si="2139"/>
        <v>875.29822811262522</v>
      </c>
      <c r="BM227" s="32">
        <f t="shared" si="2139"/>
        <v>580.21762256160525</v>
      </c>
      <c r="BN227" s="32"/>
      <c r="BO227" s="32">
        <f>BO154*BO217</f>
        <v>1011.3256828500002</v>
      </c>
      <c r="BP227" s="32">
        <f t="shared" ref="BP227:BT227" si="2140">BP154*BP217</f>
        <v>949.24155017499993</v>
      </c>
      <c r="BQ227" s="32">
        <f t="shared" si="2140"/>
        <v>1102.3827773249998</v>
      </c>
      <c r="BR227" s="32">
        <f t="shared" si="2140"/>
        <v>975.9715223500001</v>
      </c>
      <c r="BS227" s="32">
        <f t="shared" si="2140"/>
        <v>1063.099739</v>
      </c>
      <c r="BT227" s="32">
        <f t="shared" si="2140"/>
        <v>1099.67922</v>
      </c>
      <c r="BV227" s="40"/>
      <c r="BW227" s="40"/>
      <c r="BY227" s="40"/>
      <c r="BZ227" s="40"/>
      <c r="CB227" s="16"/>
      <c r="CC227" s="16"/>
    </row>
    <row r="228" spans="2:81" ht="13.5" customHeight="1">
      <c r="B228" s="10" t="s">
        <v>304</v>
      </c>
      <c r="C228" s="54">
        <f t="shared" si="2122"/>
        <v>4961.7274748999998</v>
      </c>
      <c r="D228" s="54">
        <f t="shared" si="2122"/>
        <v>4740.8816496030004</v>
      </c>
      <c r="E228" s="54">
        <f t="shared" si="2122"/>
        <v>4625.8689814080008</v>
      </c>
      <c r="F228" s="54">
        <f t="shared" si="2122"/>
        <v>6273.9082598399991</v>
      </c>
      <c r="G228" s="54">
        <f t="shared" ref="G228:H228" si="2141">G155*G$216</f>
        <v>6808.9627178300007</v>
      </c>
      <c r="H228" s="54">
        <f t="shared" si="2141"/>
        <v>6983.9361099999996</v>
      </c>
      <c r="I228" s="54">
        <f t="shared" ref="I228" si="2142">I155*I$216</f>
        <v>8151.4968223999995</v>
      </c>
      <c r="J228" s="54">
        <f t="shared" ref="J228:K228" si="2143">J155*J$216</f>
        <v>6983.9361099999996</v>
      </c>
      <c r="K228" s="54">
        <f t="shared" si="2143"/>
        <v>8137.4758164000004</v>
      </c>
      <c r="L228" s="54">
        <f t="shared" ref="L228:M228" si="2144">L155*L$216</f>
        <v>7735.6251588000005</v>
      </c>
      <c r="M228" s="32">
        <f t="shared" si="2144"/>
        <v>8031.6597318000004</v>
      </c>
      <c r="N228" s="32">
        <f t="shared" ref="N228" si="2145">N155*N$216</f>
        <v>8031.6595144000012</v>
      </c>
      <c r="O228" s="32">
        <f t="shared" ref="O228:P228" si="2146">O155*O$216</f>
        <v>7649.5047419999992</v>
      </c>
      <c r="P228" s="32">
        <f t="shared" si="2146"/>
        <v>7649.5047419999992</v>
      </c>
      <c r="Q228" s="32">
        <f t="shared" ref="Q228" si="2147">Q155*Q$216</f>
        <v>4153.4162148841806</v>
      </c>
      <c r="R228" s="32">
        <f>R155*R$216</f>
        <v>4172.4825882934056</v>
      </c>
      <c r="S228" s="121"/>
      <c r="T228" s="32">
        <f t="shared" ref="T228:AB228" si="2148">T155*T$216</f>
        <v>4699.0657485609991</v>
      </c>
      <c r="U228" s="32">
        <f t="shared" si="2148"/>
        <v>4623.5967375239998</v>
      </c>
      <c r="V228" s="32">
        <f t="shared" si="2148"/>
        <v>4704.7984276650004</v>
      </c>
      <c r="W228" s="32">
        <f t="shared" si="2148"/>
        <v>4625.8689814080008</v>
      </c>
      <c r="X228" s="32">
        <f t="shared" si="2131"/>
        <v>6488.1526561702494</v>
      </c>
      <c r="Y228" s="32">
        <f t="shared" si="2131"/>
        <v>6208.989458409751</v>
      </c>
      <c r="Z228" s="32">
        <f t="shared" si="2131"/>
        <v>6202.88517377875</v>
      </c>
      <c r="AA228" s="32">
        <f t="shared" si="2148"/>
        <v>6273.9082598399991</v>
      </c>
      <c r="AB228" s="32">
        <f t="shared" si="2148"/>
        <v>6120.1502514719996</v>
      </c>
      <c r="AC228" s="32">
        <f>AC155*AC$216</f>
        <v>6261.3293516552749</v>
      </c>
      <c r="AD228" s="32">
        <f t="shared" ref="AD228:AF228" si="2149">AD155*AD$216</f>
        <v>7358.7376124390003</v>
      </c>
      <c r="AE228" s="32">
        <f t="shared" si="2149"/>
        <v>6808.9627178300007</v>
      </c>
      <c r="AF228" s="32">
        <f t="shared" si="2149"/>
        <v>6507.1810060600001</v>
      </c>
      <c r="AG228" s="32">
        <f t="shared" si="2133"/>
        <v>6634.4735087760009</v>
      </c>
      <c r="AH228" s="32">
        <f t="shared" si="2133"/>
        <v>6730.7789267291828</v>
      </c>
      <c r="AI228" s="32">
        <f t="shared" ref="AI228" si="2150">AI155*AI$216</f>
        <v>6983.9361099999996</v>
      </c>
      <c r="AJ228" s="223"/>
      <c r="AK228" s="223"/>
      <c r="AL228" s="223"/>
      <c r="AM228" s="173"/>
      <c r="AN228" s="32">
        <f t="shared" ref="AN228" si="2151">AN155*AN$216</f>
        <v>6858.7258113999997</v>
      </c>
      <c r="AO228" s="32">
        <f t="shared" si="2136"/>
        <v>8482.3647465219401</v>
      </c>
      <c r="AP228" s="32">
        <f t="shared" si="2136"/>
        <v>9120.4091234481548</v>
      </c>
      <c r="AQ228" s="32">
        <f t="shared" si="2136"/>
        <v>8200.8291645249992</v>
      </c>
      <c r="AR228" s="32">
        <f t="shared" si="2136"/>
        <v>6592.6545514749987</v>
      </c>
      <c r="AS228" s="32">
        <f t="shared" si="2136"/>
        <v>8195.0331882500013</v>
      </c>
      <c r="AT228" s="32">
        <f t="shared" si="2136"/>
        <v>8957.0229227250002</v>
      </c>
      <c r="AU228" s="32">
        <f t="shared" si="2136"/>
        <v>8164.3854586500001</v>
      </c>
      <c r="AV228" s="32">
        <f>AV155*AVERAGE(AQ$215:AS$215,AV$215)</f>
        <v>8957.0229227250002</v>
      </c>
      <c r="AW228" s="32">
        <f>AW155*AVERAGE($AR$215,$AS$215,$AV$215,$AW$215)</f>
        <v>8201.1619697250007</v>
      </c>
      <c r="AX228" s="32">
        <f t="shared" si="2137"/>
        <v>8245.3452313750004</v>
      </c>
      <c r="AY228" s="32">
        <f t="shared" si="2137"/>
        <v>8182.0957793500011</v>
      </c>
      <c r="AZ228" s="32">
        <f t="shared" si="2138"/>
        <v>8444.2754655999997</v>
      </c>
      <c r="BA228" s="32">
        <f t="shared" si="2138"/>
        <v>8391.4043312000013</v>
      </c>
      <c r="BB228" s="32">
        <f>BB155*AVERAGE(AU$215,AX$215:BB$215)</f>
        <v>8155.5303330500001</v>
      </c>
      <c r="BC228" s="32">
        <f>BC155*AVERAGE(AW$215:AZ$215,BC$215)</f>
        <v>8194.8473749800014</v>
      </c>
      <c r="BD228" s="32">
        <f t="shared" ref="BD228:BM228" si="2152">BD155*BD216</f>
        <v>8031.6597318000004</v>
      </c>
      <c r="BE228" s="32">
        <f t="shared" si="2152"/>
        <v>7902.0054235999996</v>
      </c>
      <c r="BF228" s="32">
        <f t="shared" si="2152"/>
        <v>7890.8987534000016</v>
      </c>
      <c r="BG228" s="32">
        <f t="shared" si="2152"/>
        <v>7950.6303119999993</v>
      </c>
      <c r="BH228" s="32">
        <f t="shared" si="2152"/>
        <v>7649.5047419999992</v>
      </c>
      <c r="BI228" s="32">
        <f t="shared" si="2152"/>
        <v>7451.7913945999999</v>
      </c>
      <c r="BJ228" s="32">
        <f t="shared" si="2152"/>
        <v>4603.0205322000002</v>
      </c>
      <c r="BK228" s="32">
        <f t="shared" si="2152"/>
        <v>4153.3403825591067</v>
      </c>
      <c r="BL228" s="32">
        <f t="shared" si="2152"/>
        <v>4153.4162148841806</v>
      </c>
      <c r="BM228" s="32">
        <f t="shared" si="2152"/>
        <v>4172.4825882934056</v>
      </c>
      <c r="BN228" s="32"/>
      <c r="BO228" s="32">
        <f>BO155*BO216</f>
        <v>8031.6595144000012</v>
      </c>
      <c r="BP228" s="32">
        <f t="shared" ref="BP228:BT228" si="2153">BP155*BP216</f>
        <v>7902.0054235999996</v>
      </c>
      <c r="BQ228" s="32">
        <f t="shared" si="2153"/>
        <v>7890.8987534000016</v>
      </c>
      <c r="BR228" s="32">
        <f t="shared" si="2153"/>
        <v>7950.6303119999993</v>
      </c>
      <c r="BS228" s="32">
        <f t="shared" si="2153"/>
        <v>7649.5047419999992</v>
      </c>
      <c r="BT228" s="32">
        <f t="shared" si="2153"/>
        <v>7451.7913945999999</v>
      </c>
      <c r="BV228" s="40"/>
      <c r="BW228" s="40"/>
      <c r="BY228" s="40"/>
      <c r="BZ228" s="40"/>
      <c r="CB228" s="16"/>
      <c r="CC228" s="16"/>
    </row>
    <row r="229" spans="2:81" ht="13.5" customHeight="1">
      <c r="B229" s="10" t="s">
        <v>327</v>
      </c>
      <c r="C229" s="54">
        <f t="shared" si="2122"/>
        <v>4915.6513701000003</v>
      </c>
      <c r="D229" s="54">
        <f t="shared" si="2122"/>
        <v>4724.4118706880008</v>
      </c>
      <c r="E229" s="54">
        <f t="shared" si="2122"/>
        <v>3398.9538525600005</v>
      </c>
      <c r="F229" s="54">
        <f t="shared" si="2122"/>
        <v>5239.6626513789997</v>
      </c>
      <c r="G229" s="54">
        <f t="shared" ref="G229:H229" si="2154">G156*G$216</f>
        <v>5019.4783663780008</v>
      </c>
      <c r="H229" s="54">
        <f t="shared" si="2154"/>
        <v>5318.2609819999998</v>
      </c>
      <c r="I229" s="54">
        <f t="shared" ref="I229" si="2155">I156*I$216</f>
        <v>6458.3474399999996</v>
      </c>
      <c r="J229" s="54">
        <f t="shared" ref="J229:K229" si="2156">J156*J$216</f>
        <v>5318.2609819999998</v>
      </c>
      <c r="K229" s="54">
        <f t="shared" si="2156"/>
        <v>6447.3073308000003</v>
      </c>
      <c r="L229" s="54">
        <f t="shared" ref="L229:M229" si="2157">L156*L$216</f>
        <v>6128.813768</v>
      </c>
      <c r="M229" s="32">
        <f t="shared" si="2157"/>
        <v>7028.9818002000002</v>
      </c>
      <c r="N229" s="32">
        <f t="shared" ref="N229" si="2158">N156*N$216</f>
        <v>7028.9815828000001</v>
      </c>
      <c r="O229" s="32">
        <f t="shared" ref="O229:P229" si="2159">O156*O$216</f>
        <v>6563.1964019999996</v>
      </c>
      <c r="P229" s="32">
        <f t="shared" si="2159"/>
        <v>6563.1964019999996</v>
      </c>
      <c r="Q229" s="32">
        <f>Q156*Q$216</f>
        <v>3230.1089206505676</v>
      </c>
      <c r="R229" s="32">
        <f t="shared" ref="R229" si="2160">R156*R$216</f>
        <v>3576.5188935539641</v>
      </c>
      <c r="S229" s="121"/>
      <c r="T229" s="32">
        <f t="shared" ref="T229:AB229" si="2161">T156*T$216</f>
        <v>3219.8721666799997</v>
      </c>
      <c r="U229" s="32">
        <f t="shared" si="2161"/>
        <v>3079.8505889369999</v>
      </c>
      <c r="V229" s="32">
        <f t="shared" si="2161"/>
        <v>3250.4275478949999</v>
      </c>
      <c r="W229" s="32">
        <f t="shared" si="2161"/>
        <v>3398.9538525600005</v>
      </c>
      <c r="X229" s="32">
        <f t="shared" si="2131"/>
        <v>4831.2354013007498</v>
      </c>
      <c r="Y229" s="32">
        <f t="shared" si="2131"/>
        <v>4895.3731634805017</v>
      </c>
      <c r="Z229" s="32">
        <f t="shared" si="2131"/>
        <v>5000.4394907582509</v>
      </c>
      <c r="AA229" s="32">
        <f t="shared" si="2161"/>
        <v>5239.6626513789997</v>
      </c>
      <c r="AB229" s="32">
        <f t="shared" si="2161"/>
        <v>4740.3152809559988</v>
      </c>
      <c r="AC229" s="32">
        <f>AC156*AC$216</f>
        <v>4883.2683199962676</v>
      </c>
      <c r="AD229" s="32">
        <f t="shared" ref="AD229:AF229" si="2162">AD156*AD$216</f>
        <v>4703.1320511770009</v>
      </c>
      <c r="AE229" s="32">
        <f t="shared" si="2162"/>
        <v>5019.4783663780008</v>
      </c>
      <c r="AF229" s="32">
        <f t="shared" si="2162"/>
        <v>4926.4184148200002</v>
      </c>
      <c r="AG229" s="32">
        <f t="shared" si="2133"/>
        <v>4934.2693968720005</v>
      </c>
      <c r="AH229" s="32">
        <f t="shared" si="2133"/>
        <v>4952.3650571625667</v>
      </c>
      <c r="AI229" s="32">
        <f t="shared" ref="AI229" si="2163">AI156*AI$216</f>
        <v>5318.2609819999998</v>
      </c>
      <c r="AJ229" s="223"/>
      <c r="AK229" s="223"/>
      <c r="AL229" s="223"/>
      <c r="AM229" s="173"/>
      <c r="AN229" s="32">
        <f t="shared" ref="AN229:AO229" si="2164">AN156*AN$216</f>
        <v>5483.7888023999985</v>
      </c>
      <c r="AO229" s="32">
        <f t="shared" si="2164"/>
        <v>6649.3338048000023</v>
      </c>
      <c r="AP229" s="32">
        <f t="shared" ref="AP229:AQ229" si="2165">AP156*AP$216</f>
        <v>6779.5478211999998</v>
      </c>
      <c r="AQ229" s="32">
        <f t="shared" si="2165"/>
        <v>6128.6078699999998</v>
      </c>
      <c r="AR229" s="32">
        <f t="shared" ref="AR229:AS229" si="2166">AR156*AR$216</f>
        <v>5483.7888023999985</v>
      </c>
      <c r="AS229" s="32">
        <f t="shared" si="2166"/>
        <v>6649.3338048000023</v>
      </c>
      <c r="AT229" s="32">
        <f t="shared" ref="AT229" si="2167">AT156*AT$216</f>
        <v>6779.5478211999998</v>
      </c>
      <c r="AU229" s="32">
        <f>AU156*AVERAGE(AR$215:AU$215)</f>
        <v>6468.6277915500004</v>
      </c>
      <c r="AV229" s="32">
        <f>AV156*AVERAGE(AQ$215:AS$215,AV$215)</f>
        <v>7187.547046525</v>
      </c>
      <c r="AW229" s="32">
        <f>AW156*AVERAGE($AR$215,$AS$215,$AV$215,$AW$215)</f>
        <v>6497.6512384999996</v>
      </c>
      <c r="AX229" s="32">
        <f t="shared" si="2137"/>
        <v>7018.5839692500003</v>
      </c>
      <c r="AY229" s="32">
        <f t="shared" si="2137"/>
        <v>6964.7449149000013</v>
      </c>
      <c r="AZ229" s="32">
        <f t="shared" si="2138"/>
        <v>7042.1939016000006</v>
      </c>
      <c r="BA229" s="32">
        <f t="shared" si="2138"/>
        <v>6998.1014532000017</v>
      </c>
      <c r="BB229" s="32">
        <f>BB156*AVERAGE(AU$215,AX$215:BB$215)</f>
        <v>6899.7845084</v>
      </c>
      <c r="BC229" s="32">
        <f>BC156*AVERAGE(AW$215:AZ$215,BC$215)</f>
        <v>6933.0477182400009</v>
      </c>
      <c r="BD229" s="32">
        <f t="shared" ref="BD229:BM229" si="2168">BD156*BD216</f>
        <v>7028.9818002000002</v>
      </c>
      <c r="BE229" s="32">
        <f t="shared" si="2168"/>
        <v>6968.9685544000004</v>
      </c>
      <c r="BF229" s="32">
        <f t="shared" si="2168"/>
        <v>6793.8227383000021</v>
      </c>
      <c r="BG229" s="32">
        <f t="shared" si="2168"/>
        <v>6850.5349991999992</v>
      </c>
      <c r="BH229" s="32">
        <f t="shared" si="2168"/>
        <v>6563.1964019999996</v>
      </c>
      <c r="BI229" s="32">
        <f t="shared" si="2168"/>
        <v>6335.2702405999989</v>
      </c>
      <c r="BJ229" s="32">
        <f t="shared" si="2168"/>
        <v>3447.8169386000004</v>
      </c>
      <c r="BK229" s="32">
        <f t="shared" si="2168"/>
        <v>3279.8412736129262</v>
      </c>
      <c r="BL229" s="32">
        <f t="shared" si="2168"/>
        <v>3230.1089206505676</v>
      </c>
      <c r="BM229" s="32">
        <f t="shared" si="2168"/>
        <v>3576.5188935539641</v>
      </c>
      <c r="BN229" s="32"/>
      <c r="BO229" s="32">
        <f>BO156*BO216</f>
        <v>7028.9815828000001</v>
      </c>
      <c r="BP229" s="32">
        <f t="shared" ref="BP229:BT229" si="2169">BP156*BP216</f>
        <v>6968.9685544000004</v>
      </c>
      <c r="BQ229" s="32">
        <f t="shared" si="2169"/>
        <v>6793.8227383000021</v>
      </c>
      <c r="BR229" s="32">
        <f t="shared" si="2169"/>
        <v>6850.5349991999992</v>
      </c>
      <c r="BS229" s="32">
        <f t="shared" si="2169"/>
        <v>6563.1964019999996</v>
      </c>
      <c r="BT229" s="32">
        <f t="shared" si="2169"/>
        <v>6335.2702405999989</v>
      </c>
      <c r="BV229" s="40"/>
      <c r="BW229" s="40"/>
      <c r="BY229" s="40"/>
      <c r="BZ229" s="40"/>
      <c r="CB229" s="16"/>
      <c r="CC229" s="16"/>
    </row>
    <row r="230" spans="2:81" ht="13.5" customHeight="1">
      <c r="B230" s="10" t="s">
        <v>328</v>
      </c>
      <c r="C230" s="55">
        <f t="shared" ref="C230:H230" si="2170">C228/C222</f>
        <v>2.5661788542840855</v>
      </c>
      <c r="D230" s="55">
        <f t="shared" si="2170"/>
        <v>2.2085133820939165</v>
      </c>
      <c r="E230" s="55">
        <f t="shared" si="2170"/>
        <v>2.2396890889693566</v>
      </c>
      <c r="F230" s="55">
        <f t="shared" si="2170"/>
        <v>2.4472017029944038</v>
      </c>
      <c r="G230" s="55">
        <f t="shared" ref="G230" si="2171">G228/G222</f>
        <v>2.6839121962067987</v>
      </c>
      <c r="H230" s="55">
        <f t="shared" si="2170"/>
        <v>2.5310967672143274</v>
      </c>
      <c r="I230" s="55">
        <f t="shared" ref="I230" si="2172">I228/I222</f>
        <v>2.7813486808461754</v>
      </c>
      <c r="J230" s="55">
        <f t="shared" ref="J230:K230" si="2173">J228/J222</f>
        <v>3.2423984251589659</v>
      </c>
      <c r="K230" s="55">
        <f t="shared" si="2173"/>
        <v>3.7264340661808548</v>
      </c>
      <c r="L230" s="55">
        <f t="shared" ref="L230:M230" si="2174">L228/L222</f>
        <v>3.9261216846840146</v>
      </c>
      <c r="M230" s="55">
        <f t="shared" si="2174"/>
        <v>3.8040022727076441</v>
      </c>
      <c r="N230" s="55">
        <f t="shared" ref="N230" si="2175">N228/N222</f>
        <v>3.6963509006854069</v>
      </c>
      <c r="O230" s="55">
        <f t="shared" ref="O230:P230" si="2176">O228/O222</f>
        <v>3.1424685932139136</v>
      </c>
      <c r="P230" s="55">
        <f t="shared" si="2176"/>
        <v>6.1482441058746007</v>
      </c>
      <c r="Q230" s="55">
        <f t="shared" ref="Q230" si="2177">Q228/Q222</f>
        <v>3.2559658111919001</v>
      </c>
      <c r="R230" s="55">
        <f t="shared" ref="R230" si="2178">R228/R222</f>
        <v>3.9781071548722435</v>
      </c>
      <c r="T230" s="170"/>
      <c r="U230" s="170"/>
      <c r="V230" s="170"/>
      <c r="W230" s="55">
        <f t="shared" ref="W230:AC230" si="2179">W228/W222</f>
        <v>2.2374004537831</v>
      </c>
      <c r="X230" s="55">
        <f t="shared" si="2179"/>
        <v>2.4574722789404362</v>
      </c>
      <c r="Y230" s="55">
        <f t="shared" si="2179"/>
        <v>1.9074059826332084</v>
      </c>
      <c r="Z230" s="55">
        <f t="shared" si="2179"/>
        <v>1.583591147358786</v>
      </c>
      <c r="AA230" s="55">
        <f t="shared" si="2179"/>
        <v>2.4468520412164372</v>
      </c>
      <c r="AB230" s="55">
        <f t="shared" si="2179"/>
        <v>2.381349679441926</v>
      </c>
      <c r="AC230" s="55">
        <f t="shared" si="2179"/>
        <v>2.48146779278607</v>
      </c>
      <c r="AD230" s="55">
        <f t="shared" ref="AD230:AG230" si="2180">AD228/AD222</f>
        <v>2.9127442819697955</v>
      </c>
      <c r="AE230" s="55">
        <f t="shared" si="2180"/>
        <v>2.6842587222066925</v>
      </c>
      <c r="AF230" s="55">
        <f t="shared" si="2180"/>
        <v>2.503416137318629</v>
      </c>
      <c r="AG230" s="55">
        <f t="shared" si="2180"/>
        <v>2.4676896717878645</v>
      </c>
      <c r="AH230" s="55">
        <f t="shared" ref="AH230:AI230" si="2181">AH228/AH222</f>
        <v>2.4979806076668298</v>
      </c>
      <c r="AI230" s="55">
        <f t="shared" si="2181"/>
        <v>2.5310967672143274</v>
      </c>
      <c r="AJ230" s="239"/>
      <c r="AK230" s="239"/>
      <c r="AL230" s="239"/>
      <c r="AM230" s="268"/>
      <c r="AN230" s="55">
        <f t="shared" ref="AN230" si="2182">AN228/AN222</f>
        <v>2.6229842488570214</v>
      </c>
      <c r="AO230" s="55">
        <f t="shared" ref="AO230" si="2183">AO228/AO222</f>
        <v>3.2327846490674013</v>
      </c>
      <c r="AP230" s="55">
        <f t="shared" ref="AP230:AQ230" si="2184">AP228/AP222</f>
        <v>3.427010109612409</v>
      </c>
      <c r="AQ230" s="55">
        <f t="shared" si="2184"/>
        <v>2.8854806980858934</v>
      </c>
      <c r="AR230" s="55">
        <f t="shared" ref="AR230:AS230" si="2185">AR228/AR222</f>
        <v>2.8171497518009589</v>
      </c>
      <c r="AS230" s="55">
        <f t="shared" si="2185"/>
        <v>3.6744732474497397</v>
      </c>
      <c r="AT230" s="55">
        <f t="shared" ref="AT230" si="2186">AT228/AT222</f>
        <v>4.1821752360656284</v>
      </c>
      <c r="AU230" s="55">
        <f t="shared" ref="AU230:AW230" si="2187">AU228/AU222</f>
        <v>3.7387569301563204</v>
      </c>
      <c r="AV230" s="55">
        <f t="shared" ref="AV230:AX230" si="2188">AV228/AV222</f>
        <v>4.2567721438959456</v>
      </c>
      <c r="AW230" s="55">
        <f t="shared" si="2187"/>
        <v>4.162399184028982</v>
      </c>
      <c r="AX230" s="55">
        <f t="shared" si="2188"/>
        <v>3.8476633330009311</v>
      </c>
      <c r="AY230" s="55">
        <f t="shared" ref="AY230" si="2189">AY228/AY222</f>
        <v>4.2148804116946934</v>
      </c>
      <c r="AZ230" s="55">
        <f t="shared" ref="AZ230:BB230" si="2190">AZ228/AZ222</f>
        <v>4.7196944770129408</v>
      </c>
      <c r="BA230" s="55">
        <f t="shared" ref="BA230" si="2191">BA228/BA222</f>
        <v>5.3732577602149103</v>
      </c>
      <c r="BB230" s="55">
        <f t="shared" si="2190"/>
        <v>3.5319721511311752</v>
      </c>
      <c r="BC230" s="55">
        <f t="shared" ref="BC230:BG230" si="2192">BC228/BC222</f>
        <v>3.6100444005914256</v>
      </c>
      <c r="BD230" s="55">
        <f t="shared" si="2192"/>
        <v>3.7357194435185894</v>
      </c>
      <c r="BE230" s="55">
        <f t="shared" si="2192"/>
        <v>3.7750764591610992</v>
      </c>
      <c r="BF230" s="55">
        <f t="shared" si="2192"/>
        <v>3.6891903783334672</v>
      </c>
      <c r="BG230" s="55">
        <f t="shared" si="2192"/>
        <v>3.645259446725897</v>
      </c>
      <c r="BH230" s="55">
        <f t="shared" ref="BH230" si="2193">BH228/BH222</f>
        <v>3.1424685932139136</v>
      </c>
      <c r="BI230" s="55">
        <f t="shared" ref="BI230:BL230" si="2194">BI228/BI222</f>
        <v>3.0946833036913595</v>
      </c>
      <c r="BJ230" s="55">
        <f t="shared" si="2194"/>
        <v>2.1410841547024067</v>
      </c>
      <c r="BK230" s="55">
        <f t="shared" si="2194"/>
        <v>2.2026064560437097</v>
      </c>
      <c r="BL230" s="55">
        <f t="shared" si="2194"/>
        <v>3.2559658111919001</v>
      </c>
      <c r="BM230" s="55">
        <f t="shared" ref="BM230:BO230" si="2195">BM228/BM222</f>
        <v>3.9781071548722435</v>
      </c>
      <c r="BO230" s="55">
        <f t="shared" si="2195"/>
        <v>3.6963509006854069</v>
      </c>
      <c r="BP230" s="55">
        <f t="shared" ref="BP230:BT230" si="2196">BP228/BP222</f>
        <v>3.4860537522416641</v>
      </c>
      <c r="BQ230" s="55">
        <f t="shared" si="2196"/>
        <v>3.8848955544181463</v>
      </c>
      <c r="BR230" s="55">
        <f t="shared" si="2196"/>
        <v>4.3933234772223493</v>
      </c>
      <c r="BS230" s="55">
        <f t="shared" si="2196"/>
        <v>6.1482441058746007</v>
      </c>
      <c r="BT230" s="55">
        <f t="shared" si="2196"/>
        <v>8.1791224783022169</v>
      </c>
      <c r="BV230" s="40"/>
      <c r="BW230" s="40"/>
      <c r="BY230" s="40"/>
      <c r="BZ230" s="40"/>
      <c r="CB230" s="16"/>
      <c r="CC230" s="16"/>
    </row>
    <row r="231" spans="2:81" ht="13.5" customHeight="1">
      <c r="B231" s="6" t="s">
        <v>329</v>
      </c>
      <c r="C231" s="56">
        <f t="shared" ref="C231:H231" si="2197">C229/C222</f>
        <v>2.5423485398575725</v>
      </c>
      <c r="D231" s="56">
        <f t="shared" si="2197"/>
        <v>2.2008410270717338</v>
      </c>
      <c r="E231" s="56">
        <f t="shared" si="2197"/>
        <v>1.6456583375113025</v>
      </c>
      <c r="F231" s="56">
        <f t="shared" si="2197"/>
        <v>2.0437836883349436</v>
      </c>
      <c r="G231" s="56">
        <f t="shared" ref="G231" si="2198">G229/G222</f>
        <v>1.9785450096298272</v>
      </c>
      <c r="H231" s="56">
        <f t="shared" si="2197"/>
        <v>1.9274278811726264</v>
      </c>
      <c r="I231" s="56">
        <f t="shared" ref="I231" si="2199">I229/I222</f>
        <v>2.2036340716380911</v>
      </c>
      <c r="J231" s="56">
        <f t="shared" ref="J231:K231" si="2200">J229/J222</f>
        <v>2.4690834453554555</v>
      </c>
      <c r="K231" s="56">
        <f t="shared" si="2200"/>
        <v>2.952446952187624</v>
      </c>
      <c r="L231" s="56">
        <f t="shared" ref="L231:M231" si="2201">L229/L222</f>
        <v>3.1106042681710635</v>
      </c>
      <c r="M231" s="56">
        <f t="shared" si="2201"/>
        <v>3.3291080095084</v>
      </c>
      <c r="N231" s="56">
        <f t="shared" ref="N231" si="2202">N229/N222</f>
        <v>3.234895896408633</v>
      </c>
      <c r="O231" s="56">
        <f t="shared" ref="O231:P231" si="2203">O229/O222</f>
        <v>2.6962057361882423</v>
      </c>
      <c r="P231" s="56">
        <f t="shared" si="2203"/>
        <v>5.2751302149978967</v>
      </c>
      <c r="Q231" s="56">
        <f t="shared" ref="Q231" si="2204">Q229/Q222</f>
        <v>2.532162361762603</v>
      </c>
      <c r="R231" s="56">
        <f t="shared" ref="R231" si="2205">R229/R222</f>
        <v>3.4099064762789371</v>
      </c>
      <c r="T231" s="170"/>
      <c r="U231" s="170"/>
      <c r="V231" s="170"/>
      <c r="W231" s="56">
        <f t="shared" ref="W231:AC231" si="2206">W229/W222</f>
        <v>1.6439767150064939</v>
      </c>
      <c r="X231" s="56">
        <f t="shared" si="2206"/>
        <v>1.829893299511282</v>
      </c>
      <c r="Y231" s="56">
        <f t="shared" si="2206"/>
        <v>1.503862121491873</v>
      </c>
      <c r="Z231" s="56">
        <f t="shared" si="2206"/>
        <v>1.2766078185587402</v>
      </c>
      <c r="AA231" s="56">
        <f t="shared" si="2206"/>
        <v>2.0434916678458408</v>
      </c>
      <c r="AB231" s="56">
        <f t="shared" si="2206"/>
        <v>1.8444560690390226</v>
      </c>
      <c r="AC231" s="56">
        <f t="shared" si="2206"/>
        <v>1.9353195430295951</v>
      </c>
      <c r="AD231" s="56">
        <f t="shared" ref="AD231:AG231" si="2207">AD229/AD222</f>
        <v>1.8615993273436262</v>
      </c>
      <c r="AE231" s="56">
        <f t="shared" si="2207"/>
        <v>1.9788004640700902</v>
      </c>
      <c r="AF231" s="56">
        <f t="shared" si="2207"/>
        <v>1.8952716003072145</v>
      </c>
      <c r="AG231" s="56">
        <f t="shared" si="2207"/>
        <v>1.835299457051623</v>
      </c>
      <c r="AH231" s="56">
        <f t="shared" ref="AH231:AI231" si="2208">AH229/AH222</f>
        <v>1.8379614023202748</v>
      </c>
      <c r="AI231" s="56">
        <f t="shared" si="2208"/>
        <v>1.9274278811726264</v>
      </c>
      <c r="AJ231" s="240"/>
      <c r="AK231" s="240"/>
      <c r="AL231" s="240"/>
      <c r="AM231" s="267"/>
      <c r="AN231" s="56">
        <f t="shared" ref="AN231" si="2209">AN229/AN222</f>
        <v>2.0971667403362306</v>
      </c>
      <c r="AO231" s="56">
        <f t="shared" ref="AO231" si="2210">AO229/AO222</f>
        <v>2.5341829658405604</v>
      </c>
      <c r="AP231" s="56">
        <f t="shared" ref="AP231:AQ231" si="2211">AP229/AP222</f>
        <v>2.5474272707921308</v>
      </c>
      <c r="AQ231" s="56">
        <f t="shared" si="2211"/>
        <v>2.1563648455840716</v>
      </c>
      <c r="AR231" s="56">
        <f t="shared" ref="AR231:AS231" si="2212">AR229/AR222</f>
        <v>2.3433131742286801</v>
      </c>
      <c r="AS231" s="56">
        <f t="shared" si="2212"/>
        <v>2.9814155254590582</v>
      </c>
      <c r="AT231" s="56">
        <f t="shared" ref="AT231" si="2213">AT229/AT222</f>
        <v>3.1654777769530811</v>
      </c>
      <c r="AU231" s="56">
        <f t="shared" ref="AU231:AW231" si="2214">AU229/AU222</f>
        <v>2.9622103349660223</v>
      </c>
      <c r="AV231" s="56">
        <f t="shared" ref="AV231:AX231" si="2215">AV229/AV222</f>
        <v>3.4158392040020633</v>
      </c>
      <c r="AW231" s="56">
        <f t="shared" si="2214"/>
        <v>3.2978032031410054</v>
      </c>
      <c r="AX231" s="56">
        <f t="shared" si="2215"/>
        <v>3.2751992100114844</v>
      </c>
      <c r="AY231" s="56">
        <f t="shared" ref="AY231" si="2216">AY229/AY222</f>
        <v>3.5877808945172593</v>
      </c>
      <c r="AZ231" s="56">
        <f t="shared" ref="AZ231:BB231" si="2217">AZ229/AZ222</f>
        <v>3.9360397228673443</v>
      </c>
      <c r="BA231" s="56">
        <f t="shared" ref="BA231" si="2218">BA229/BA222</f>
        <v>4.4810858178253028</v>
      </c>
      <c r="BB231" s="56">
        <f t="shared" si="2217"/>
        <v>2.9881375872905722</v>
      </c>
      <c r="BC231" s="56">
        <f t="shared" ref="BC231:BG231" si="2219">BC229/BC222</f>
        <v>3.0541886808876115</v>
      </c>
      <c r="BD231" s="56">
        <f t="shared" si="2219"/>
        <v>3.269349655735553</v>
      </c>
      <c r="BE231" s="56">
        <f t="shared" si="2219"/>
        <v>3.329330685572196</v>
      </c>
      <c r="BF231" s="56">
        <f t="shared" si="2219"/>
        <v>3.1762802009644515</v>
      </c>
      <c r="BG231" s="56">
        <f t="shared" si="2219"/>
        <v>3.140880212134832</v>
      </c>
      <c r="BH231" s="56">
        <f t="shared" ref="BH231" si="2220">BH229/BH222</f>
        <v>2.6962057361882423</v>
      </c>
      <c r="BI231" s="56">
        <f t="shared" ref="BI231:BL231" si="2221">BI229/BI222</f>
        <v>2.6309989101633939</v>
      </c>
      <c r="BJ231" s="56">
        <f t="shared" si="2221"/>
        <v>1.6037439250836418</v>
      </c>
      <c r="BK231" s="56">
        <f t="shared" si="2221"/>
        <v>1.7393709396886028</v>
      </c>
      <c r="BL231" s="56">
        <f t="shared" si="2221"/>
        <v>2.532162361762603</v>
      </c>
      <c r="BM231" s="56">
        <f>BM229/BM222</f>
        <v>3.4099064762789371</v>
      </c>
      <c r="BO231" s="56">
        <f t="shared" ref="BO231" si="2222">BO229/BO222</f>
        <v>3.234895896408633</v>
      </c>
      <c r="BP231" s="56">
        <f t="shared" ref="BP231:BT231" si="2223">BP229/BP222</f>
        <v>3.0744346119737695</v>
      </c>
      <c r="BQ231" s="56">
        <f t="shared" si="2223"/>
        <v>3.344776378248973</v>
      </c>
      <c r="BR231" s="56">
        <f t="shared" si="2223"/>
        <v>3.7854377656188456</v>
      </c>
      <c r="BS231" s="56">
        <f t="shared" si="2223"/>
        <v>5.2751302149978967</v>
      </c>
      <c r="BT231" s="56">
        <f t="shared" si="2223"/>
        <v>6.9536234292012127</v>
      </c>
      <c r="BV231" s="40"/>
      <c r="BW231" s="40"/>
      <c r="BY231" s="40"/>
      <c r="BZ231" s="40"/>
      <c r="CB231" s="16"/>
      <c r="CC231" s="16"/>
    </row>
    <row r="232" spans="2:81" s="6" customFormat="1" ht="13.5" customHeight="1">
      <c r="C232" s="56"/>
      <c r="D232" s="56"/>
      <c r="E232" s="56"/>
      <c r="F232" s="56"/>
      <c r="G232" s="56"/>
      <c r="H232" s="56"/>
      <c r="I232" s="56"/>
      <c r="J232" s="10"/>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V232" s="40"/>
      <c r="BW232" s="40"/>
      <c r="BY232" s="40"/>
      <c r="BZ232" s="40"/>
      <c r="CB232" s="16"/>
      <c r="CC232" s="16"/>
    </row>
    <row r="233" spans="2:81" ht="13.5" customHeight="1">
      <c r="B233" s="11" t="s">
        <v>330</v>
      </c>
      <c r="C233" s="31"/>
      <c r="D233" s="31"/>
      <c r="E233" s="31"/>
      <c r="F233" s="31"/>
      <c r="G233" s="31"/>
      <c r="H233" s="31"/>
      <c r="I233" s="31"/>
      <c r="J233" s="31"/>
      <c r="K233" s="31"/>
      <c r="L233" s="31"/>
      <c r="M233" s="31"/>
      <c r="N233" s="31"/>
      <c r="O233" s="31"/>
      <c r="P233" s="31"/>
      <c r="Q233" s="31"/>
      <c r="R233" s="31"/>
      <c r="T233" s="31"/>
      <c r="U233" s="31"/>
      <c r="V233" s="31"/>
      <c r="W233" s="31"/>
      <c r="X233" s="31"/>
      <c r="Y233" s="31"/>
      <c r="Z233" s="31"/>
      <c r="AA233" s="31"/>
      <c r="AB233" s="31"/>
      <c r="AC233" s="31"/>
      <c r="AD233" s="31"/>
      <c r="AE233" s="31"/>
      <c r="AF233" s="31"/>
      <c r="AG233" s="31"/>
      <c r="AH233" s="31"/>
      <c r="AI233" s="31"/>
      <c r="AJ233" s="222"/>
      <c r="AK233" s="222"/>
      <c r="AL233" s="222"/>
      <c r="AM233" s="27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O233" s="31"/>
      <c r="BP233" s="31"/>
      <c r="BQ233" s="31"/>
      <c r="BR233" s="31"/>
      <c r="BS233" s="31"/>
      <c r="BT233" s="31"/>
      <c r="BV233" s="40"/>
      <c r="BW233" s="40"/>
      <c r="BY233" s="40"/>
      <c r="BZ233" s="40"/>
      <c r="CB233" s="16"/>
      <c r="CC233" s="16"/>
    </row>
    <row r="234" spans="2:81" s="1" customFormat="1" ht="13.5" customHeight="1">
      <c r="B234" s="58" t="s">
        <v>339</v>
      </c>
      <c r="C234" s="37">
        <f t="shared" ref="C234:H234" si="2224">+C134</f>
        <v>42707</v>
      </c>
      <c r="D234" s="37">
        <f t="shared" si="2224"/>
        <v>43073</v>
      </c>
      <c r="E234" s="37">
        <f t="shared" si="2224"/>
        <v>43438</v>
      </c>
      <c r="F234" s="37">
        <f t="shared" si="2224"/>
        <v>43803</v>
      </c>
      <c r="G234" s="37">
        <f t="shared" ref="G234" si="2225">+G134</f>
        <v>44169</v>
      </c>
      <c r="H234" s="37">
        <f t="shared" si="2224"/>
        <v>44561</v>
      </c>
      <c r="I234" s="37">
        <f t="shared" ref="I234" si="2226">+I134</f>
        <v>44926</v>
      </c>
      <c r="J234" s="37">
        <f t="shared" ref="J234:K234" si="2227">+J134</f>
        <v>44561</v>
      </c>
      <c r="K234" s="37">
        <f t="shared" si="2227"/>
        <v>44926</v>
      </c>
      <c r="L234" s="37">
        <f t="shared" ref="L234:M234" si="2228">+L134</f>
        <v>44926</v>
      </c>
      <c r="M234" s="37">
        <f t="shared" si="2228"/>
        <v>45291</v>
      </c>
      <c r="N234" s="37">
        <f t="shared" ref="N234" si="2229">+N134</f>
        <v>45291</v>
      </c>
      <c r="O234" s="37">
        <f t="shared" ref="O234:P234" si="2230">+O134</f>
        <v>45657</v>
      </c>
      <c r="P234" s="37">
        <f t="shared" si="2230"/>
        <v>45657</v>
      </c>
      <c r="Q234" s="37">
        <f t="shared" ref="Q234" si="2231">+Q134</f>
        <v>46022</v>
      </c>
      <c r="R234" s="37">
        <f t="shared" ref="R234" si="2232">+R134</f>
        <v>46112</v>
      </c>
      <c r="S234"/>
      <c r="T234" s="31">
        <f t="shared" ref="T234:AC234" si="2233">+T134</f>
        <v>43190</v>
      </c>
      <c r="U234" s="31">
        <f t="shared" si="2233"/>
        <v>43281</v>
      </c>
      <c r="V234" s="31">
        <f t="shared" si="2233"/>
        <v>43373</v>
      </c>
      <c r="W234" s="31">
        <f t="shared" si="2233"/>
        <v>43465</v>
      </c>
      <c r="X234" s="31">
        <f t="shared" si="2233"/>
        <v>43555</v>
      </c>
      <c r="Y234" s="31">
        <f t="shared" si="2233"/>
        <v>43646</v>
      </c>
      <c r="Z234" s="31">
        <f t="shared" si="2233"/>
        <v>43738</v>
      </c>
      <c r="AA234" s="31">
        <f t="shared" si="2233"/>
        <v>43830</v>
      </c>
      <c r="AB234" s="31">
        <f t="shared" si="2233"/>
        <v>43921</v>
      </c>
      <c r="AC234" s="31">
        <f t="shared" si="2233"/>
        <v>44012</v>
      </c>
      <c r="AD234" s="31">
        <f t="shared" ref="AD234:AG234" si="2234">+AD134</f>
        <v>44104</v>
      </c>
      <c r="AE234" s="31">
        <f t="shared" si="2234"/>
        <v>44196</v>
      </c>
      <c r="AF234" s="31">
        <f t="shared" si="2234"/>
        <v>44286</v>
      </c>
      <c r="AG234" s="31">
        <f t="shared" si="2234"/>
        <v>44377</v>
      </c>
      <c r="AH234" s="31">
        <f t="shared" ref="AH234:AS234" si="2235">+AH134</f>
        <v>44469</v>
      </c>
      <c r="AI234" s="262">
        <f t="shared" si="2235"/>
        <v>44561</v>
      </c>
      <c r="AJ234" s="222"/>
      <c r="AK234" s="222"/>
      <c r="AL234" s="222"/>
      <c r="AM234" s="271"/>
      <c r="AN234" s="31">
        <f t="shared" ref="AN234:AP234" si="2236">+AN134</f>
        <v>44651</v>
      </c>
      <c r="AO234" s="31">
        <f t="shared" si="2236"/>
        <v>44742</v>
      </c>
      <c r="AP234" s="31">
        <f t="shared" si="2236"/>
        <v>44834</v>
      </c>
      <c r="AQ234" s="31">
        <f t="shared" ref="AQ234" si="2237">+AQ134</f>
        <v>44926</v>
      </c>
      <c r="AR234" s="31">
        <f t="shared" si="2235"/>
        <v>44651</v>
      </c>
      <c r="AS234" s="31">
        <f t="shared" si="2235"/>
        <v>44742</v>
      </c>
      <c r="AT234" s="31">
        <f t="shared" ref="AT234:AZ234" si="2238">+AT134</f>
        <v>44834</v>
      </c>
      <c r="AU234" s="31">
        <f t="shared" si="2238"/>
        <v>44926</v>
      </c>
      <c r="AV234" s="31">
        <f t="shared" ref="AV234:AW234" si="2239">+AV134</f>
        <v>44834</v>
      </c>
      <c r="AW234" s="31">
        <f t="shared" si="2239"/>
        <v>44926</v>
      </c>
      <c r="AX234" s="31">
        <f t="shared" si="2238"/>
        <v>45016</v>
      </c>
      <c r="AY234" s="31">
        <f t="shared" ref="AY234" si="2240">+AY134</f>
        <v>45016</v>
      </c>
      <c r="AZ234" s="31">
        <f t="shared" si="2238"/>
        <v>45107</v>
      </c>
      <c r="BA234" s="31">
        <f t="shared" ref="BA234" si="2241">+BA134</f>
        <v>45107</v>
      </c>
      <c r="BB234" s="31">
        <f t="shared" ref="BB234" si="2242">+BB134</f>
        <v>45199</v>
      </c>
      <c r="BC234" s="31">
        <f t="shared" ref="BC234:BG234" si="2243">+BC134</f>
        <v>45199</v>
      </c>
      <c r="BD234" s="31">
        <f t="shared" si="2243"/>
        <v>45291</v>
      </c>
      <c r="BE234" s="31">
        <f t="shared" si="2243"/>
        <v>45382</v>
      </c>
      <c r="BF234" s="31">
        <f t="shared" si="2243"/>
        <v>45473</v>
      </c>
      <c r="BG234" s="31">
        <f t="shared" si="2243"/>
        <v>45565</v>
      </c>
      <c r="BH234" s="31">
        <f t="shared" ref="BH234:BK234" si="2244">+BH134</f>
        <v>45657</v>
      </c>
      <c r="BI234" s="31">
        <f t="shared" si="2244"/>
        <v>45747</v>
      </c>
      <c r="BJ234" s="31">
        <f t="shared" si="2244"/>
        <v>45838</v>
      </c>
      <c r="BK234" s="31">
        <f t="shared" si="2244"/>
        <v>45930</v>
      </c>
      <c r="BL234" s="31">
        <f t="shared" ref="BL234:BM234" si="2245">+BL134</f>
        <v>46022</v>
      </c>
      <c r="BM234" s="31">
        <f t="shared" si="2245"/>
        <v>46112</v>
      </c>
      <c r="BO234" s="31">
        <f t="shared" ref="BO234:BP234" si="2246">+BO134</f>
        <v>45291</v>
      </c>
      <c r="BP234" s="31">
        <f t="shared" si="2246"/>
        <v>45382</v>
      </c>
      <c r="BQ234" s="31">
        <f t="shared" ref="BQ234:BT234" si="2247">+BQ134</f>
        <v>45473</v>
      </c>
      <c r="BR234" s="31">
        <f t="shared" si="2247"/>
        <v>45565</v>
      </c>
      <c r="BS234" s="31">
        <f t="shared" si="2247"/>
        <v>45657</v>
      </c>
      <c r="BT234" s="31">
        <f t="shared" si="2247"/>
        <v>45747</v>
      </c>
      <c r="BV234" s="40"/>
      <c r="BW234" s="40"/>
      <c r="BY234" s="40"/>
      <c r="BZ234" s="40"/>
      <c r="CB234" s="16"/>
      <c r="CC234" s="16"/>
    </row>
    <row r="235" spans="2:81" s="6" customFormat="1" ht="13.5" customHeight="1">
      <c r="B235" s="4"/>
      <c r="C235" s="7" t="str">
        <f t="shared" ref="C235:R235" si="2248">C4</f>
        <v>Act</v>
      </c>
      <c r="D235" s="7" t="str">
        <f t="shared" si="2248"/>
        <v>Act</v>
      </c>
      <c r="E235" s="7" t="str">
        <f t="shared" si="2248"/>
        <v>Act</v>
      </c>
      <c r="F235" s="7" t="str">
        <f t="shared" si="2248"/>
        <v>Act</v>
      </c>
      <c r="G235" s="7" t="str">
        <f t="shared" si="2248"/>
        <v>Act</v>
      </c>
      <c r="H235" s="7" t="str">
        <f t="shared" si="2248"/>
        <v>Act</v>
      </c>
      <c r="I235" s="7" t="str">
        <f t="shared" si="2248"/>
        <v>Act</v>
      </c>
      <c r="J235" s="7" t="str">
        <f t="shared" si="2248"/>
        <v>Act</v>
      </c>
      <c r="K235" s="7" t="str">
        <f t="shared" si="2248"/>
        <v>Act</v>
      </c>
      <c r="L235" s="7" t="str">
        <f t="shared" si="2248"/>
        <v>Act</v>
      </c>
      <c r="M235" s="7" t="str">
        <f t="shared" si="2248"/>
        <v>Act</v>
      </c>
      <c r="N235" s="7" t="str">
        <f t="shared" si="2248"/>
        <v>Act</v>
      </c>
      <c r="O235" s="7" t="str">
        <f t="shared" si="2248"/>
        <v>Act</v>
      </c>
      <c r="P235" s="7" t="str">
        <f t="shared" si="2248"/>
        <v>Act</v>
      </c>
      <c r="Q235" s="7" t="str">
        <f t="shared" si="2248"/>
        <v>Act</v>
      </c>
      <c r="R235" s="7" t="str">
        <f t="shared" si="2248"/>
        <v>Act</v>
      </c>
      <c r="S235"/>
      <c r="T235" s="7" t="str">
        <f t="shared" ref="T235:AI235" si="2249">T4</f>
        <v>Act</v>
      </c>
      <c r="U235" s="7" t="str">
        <f t="shared" si="2249"/>
        <v>Act</v>
      </c>
      <c r="V235" s="7" t="str">
        <f t="shared" si="2249"/>
        <v>Act</v>
      </c>
      <c r="W235" s="7" t="str">
        <f t="shared" si="2249"/>
        <v>Act</v>
      </c>
      <c r="X235" s="7" t="str">
        <f t="shared" si="2249"/>
        <v>Act</v>
      </c>
      <c r="Y235" s="7" t="str">
        <f t="shared" si="2249"/>
        <v>Act</v>
      </c>
      <c r="Z235" s="7" t="str">
        <f t="shared" si="2249"/>
        <v>Act</v>
      </c>
      <c r="AA235" s="7" t="str">
        <f t="shared" si="2249"/>
        <v>Act</v>
      </c>
      <c r="AB235" s="7" t="str">
        <f t="shared" si="2249"/>
        <v>Act</v>
      </c>
      <c r="AC235" s="7" t="str">
        <f t="shared" si="2249"/>
        <v>Act</v>
      </c>
      <c r="AD235" s="7" t="str">
        <f t="shared" si="2249"/>
        <v>Act</v>
      </c>
      <c r="AE235" s="7" t="str">
        <f t="shared" si="2249"/>
        <v>Act</v>
      </c>
      <c r="AF235" s="7" t="str">
        <f t="shared" si="2249"/>
        <v>Act</v>
      </c>
      <c r="AG235" s="7" t="str">
        <f t="shared" si="2249"/>
        <v>Act</v>
      </c>
      <c r="AH235" s="7" t="str">
        <f t="shared" si="2249"/>
        <v>Act</v>
      </c>
      <c r="AI235" s="7" t="str">
        <f t="shared" si="2249"/>
        <v>Act</v>
      </c>
      <c r="AJ235" s="242"/>
      <c r="AK235" s="242"/>
      <c r="AL235" s="242"/>
      <c r="AM235" s="272"/>
      <c r="AN235" s="7" t="str">
        <f t="shared" ref="AN235:BL235" si="2250">AN4</f>
        <v>Act</v>
      </c>
      <c r="AO235" s="7" t="str">
        <f t="shared" si="2250"/>
        <v>Act</v>
      </c>
      <c r="AP235" s="7" t="str">
        <f t="shared" si="2250"/>
        <v>Act</v>
      </c>
      <c r="AQ235" s="7" t="str">
        <f t="shared" si="2250"/>
        <v>Act</v>
      </c>
      <c r="AR235" s="7" t="str">
        <f t="shared" si="2250"/>
        <v>Restated</v>
      </c>
      <c r="AS235" s="7" t="str">
        <f t="shared" si="2250"/>
        <v>Restated</v>
      </c>
      <c r="AT235" s="7" t="str">
        <f t="shared" si="2250"/>
        <v>Restated</v>
      </c>
      <c r="AU235" s="7" t="str">
        <f t="shared" si="2250"/>
        <v>Restated</v>
      </c>
      <c r="AV235" s="7" t="str">
        <f t="shared" si="2250"/>
        <v>Restated**</v>
      </c>
      <c r="AW235" s="7" t="str">
        <f t="shared" si="2250"/>
        <v>Restated</v>
      </c>
      <c r="AX235" s="7" t="str">
        <f t="shared" si="2250"/>
        <v>Act</v>
      </c>
      <c r="AY235" s="7" t="str">
        <f t="shared" si="2250"/>
        <v>Restated</v>
      </c>
      <c r="AZ235" s="7" t="str">
        <f t="shared" si="2250"/>
        <v>Act</v>
      </c>
      <c r="BA235" s="7" t="str">
        <f t="shared" si="2250"/>
        <v>Restated</v>
      </c>
      <c r="BB235" s="7" t="str">
        <f t="shared" si="2250"/>
        <v>Act</v>
      </c>
      <c r="BC235" s="7" t="str">
        <f t="shared" si="2250"/>
        <v>Restated</v>
      </c>
      <c r="BD235" s="7">
        <f t="shared" si="2250"/>
        <v>0</v>
      </c>
      <c r="BE235" s="7" t="str">
        <f t="shared" si="2250"/>
        <v>Act</v>
      </c>
      <c r="BF235" s="7" t="str">
        <f t="shared" si="2250"/>
        <v>Act</v>
      </c>
      <c r="BG235" s="7" t="str">
        <f t="shared" si="2250"/>
        <v>Act</v>
      </c>
      <c r="BH235" s="7" t="str">
        <f t="shared" si="2250"/>
        <v>Act</v>
      </c>
      <c r="BI235" s="7" t="str">
        <f t="shared" si="2250"/>
        <v>Act</v>
      </c>
      <c r="BJ235" s="7" t="str">
        <f t="shared" si="2250"/>
        <v>Act</v>
      </c>
      <c r="BK235" s="7" t="str">
        <f t="shared" si="2250"/>
        <v>Act</v>
      </c>
      <c r="BL235" s="7" t="str">
        <f t="shared" si="2250"/>
        <v>Act</v>
      </c>
      <c r="BM235" s="7" t="str">
        <f t="shared" ref="BM235" si="2251">BM4</f>
        <v>Act</v>
      </c>
      <c r="BO235" s="7" t="str">
        <f t="shared" ref="BO235:BS236" si="2252">BO4</f>
        <v>Act</v>
      </c>
      <c r="BP235" s="7" t="str">
        <f t="shared" si="2252"/>
        <v>Act</v>
      </c>
      <c r="BQ235" s="7" t="str">
        <f t="shared" si="2252"/>
        <v>Act</v>
      </c>
      <c r="BR235" s="7" t="str">
        <f t="shared" si="2252"/>
        <v>Act</v>
      </c>
      <c r="BS235" s="7" t="str">
        <f t="shared" si="2252"/>
        <v>Act</v>
      </c>
      <c r="BT235" s="7" t="str">
        <f t="shared" ref="BT235" si="2253">BT4</f>
        <v>Act</v>
      </c>
      <c r="BV235" s="40"/>
      <c r="BW235" s="40"/>
      <c r="BY235" s="40"/>
      <c r="BZ235" s="40"/>
      <c r="CB235" s="16"/>
      <c r="CC235" s="16"/>
    </row>
    <row r="236" spans="2:81" s="8" customFormat="1" ht="13.5" customHeight="1">
      <c r="C236" s="9" t="str">
        <f t="shared" ref="C236:R236" si="2254">C5</f>
        <v>FY</v>
      </c>
      <c r="D236" s="9" t="str">
        <f t="shared" si="2254"/>
        <v>FY</v>
      </c>
      <c r="E236" s="9" t="str">
        <f t="shared" si="2254"/>
        <v>FY</v>
      </c>
      <c r="F236" s="9" t="str">
        <f t="shared" si="2254"/>
        <v>FY</v>
      </c>
      <c r="G236" s="9" t="str">
        <f t="shared" si="2254"/>
        <v>FY</v>
      </c>
      <c r="H236" s="9" t="str">
        <f t="shared" si="2254"/>
        <v>FY</v>
      </c>
      <c r="I236" s="9" t="str">
        <f t="shared" si="2254"/>
        <v>FY</v>
      </c>
      <c r="J236" s="9" t="str">
        <f t="shared" si="2254"/>
        <v>FY</v>
      </c>
      <c r="K236" s="9" t="str">
        <f t="shared" si="2254"/>
        <v>FY</v>
      </c>
      <c r="L236" s="9" t="str">
        <f t="shared" si="2254"/>
        <v>FY</v>
      </c>
      <c r="M236" s="9" t="str">
        <f t="shared" si="2254"/>
        <v>FY</v>
      </c>
      <c r="N236" s="9" t="str">
        <f t="shared" si="2254"/>
        <v>FY</v>
      </c>
      <c r="O236" s="9" t="str">
        <f t="shared" si="2254"/>
        <v>FY</v>
      </c>
      <c r="P236" s="9" t="str">
        <f t="shared" si="2254"/>
        <v>FY</v>
      </c>
      <c r="Q236" s="9" t="str">
        <f t="shared" si="2254"/>
        <v>FY</v>
      </c>
      <c r="R236" s="9" t="str">
        <f t="shared" si="2254"/>
        <v>LTM</v>
      </c>
      <c r="S236"/>
      <c r="T236" s="9" t="str">
        <f t="shared" ref="T236:AI236" si="2255">T5</f>
        <v>Q1</v>
      </c>
      <c r="U236" s="9" t="str">
        <f t="shared" si="2255"/>
        <v>Q2</v>
      </c>
      <c r="V236" s="9" t="str">
        <f t="shared" si="2255"/>
        <v>Q3</v>
      </c>
      <c r="W236" s="9" t="str">
        <f t="shared" si="2255"/>
        <v>Q4</v>
      </c>
      <c r="X236" s="9" t="str">
        <f t="shared" si="2255"/>
        <v>Q1</v>
      </c>
      <c r="Y236" s="9" t="str">
        <f t="shared" si="2255"/>
        <v>Q2</v>
      </c>
      <c r="Z236" s="9" t="str">
        <f t="shared" si="2255"/>
        <v>Q3</v>
      </c>
      <c r="AA236" s="9" t="str">
        <f t="shared" si="2255"/>
        <v>Q4</v>
      </c>
      <c r="AB236" s="9" t="str">
        <f t="shared" si="2255"/>
        <v>Q1</v>
      </c>
      <c r="AC236" s="9" t="str">
        <f t="shared" si="2255"/>
        <v>Q2</v>
      </c>
      <c r="AD236" s="9" t="str">
        <f t="shared" si="2255"/>
        <v>Q3</v>
      </c>
      <c r="AE236" s="9" t="str">
        <f t="shared" si="2255"/>
        <v>Q4</v>
      </c>
      <c r="AF236" s="9" t="str">
        <f t="shared" si="2255"/>
        <v>Q1</v>
      </c>
      <c r="AG236" s="9" t="str">
        <f t="shared" si="2255"/>
        <v>Q2</v>
      </c>
      <c r="AH236" s="9" t="str">
        <f t="shared" si="2255"/>
        <v>Q3</v>
      </c>
      <c r="AI236" s="9" t="str">
        <f t="shared" si="2255"/>
        <v>Q4</v>
      </c>
      <c r="AJ236" s="243"/>
      <c r="AK236" s="243"/>
      <c r="AL236" s="243"/>
      <c r="AM236" s="273"/>
      <c r="AN236" s="9" t="str">
        <f t="shared" ref="AN236:BL236" si="2256">AN5</f>
        <v>Q1</v>
      </c>
      <c r="AO236" s="9" t="str">
        <f t="shared" si="2256"/>
        <v>Q2</v>
      </c>
      <c r="AP236" s="9" t="str">
        <f t="shared" si="2256"/>
        <v>Q3</v>
      </c>
      <c r="AQ236" s="9" t="str">
        <f t="shared" si="2256"/>
        <v>Q4</v>
      </c>
      <c r="AR236" s="9" t="str">
        <f t="shared" si="2256"/>
        <v>Q1</v>
      </c>
      <c r="AS236" s="9" t="str">
        <f t="shared" si="2256"/>
        <v>Q2</v>
      </c>
      <c r="AT236" s="9" t="str">
        <f t="shared" si="2256"/>
        <v>Q3</v>
      </c>
      <c r="AU236" s="9" t="str">
        <f t="shared" si="2256"/>
        <v>Q4</v>
      </c>
      <c r="AV236" s="9" t="str">
        <f t="shared" si="2256"/>
        <v>Q3</v>
      </c>
      <c r="AW236" s="9" t="str">
        <f t="shared" si="2256"/>
        <v>Q4</v>
      </c>
      <c r="AX236" s="9" t="str">
        <f t="shared" si="2256"/>
        <v>Q1</v>
      </c>
      <c r="AY236" s="9" t="str">
        <f t="shared" si="2256"/>
        <v>Q1</v>
      </c>
      <c r="AZ236" s="9" t="str">
        <f t="shared" si="2256"/>
        <v>Q2</v>
      </c>
      <c r="BA236" s="9" t="str">
        <f t="shared" si="2256"/>
        <v>Q2</v>
      </c>
      <c r="BB236" s="9" t="str">
        <f t="shared" si="2256"/>
        <v>Q3</v>
      </c>
      <c r="BC236" s="9" t="str">
        <f t="shared" si="2256"/>
        <v>Q3</v>
      </c>
      <c r="BD236" s="9" t="str">
        <f t="shared" si="2256"/>
        <v>Q4</v>
      </c>
      <c r="BE236" s="9" t="str">
        <f t="shared" si="2256"/>
        <v>Q1</v>
      </c>
      <c r="BF236" s="9" t="str">
        <f t="shared" si="2256"/>
        <v>Q2</v>
      </c>
      <c r="BG236" s="9" t="str">
        <f t="shared" si="2256"/>
        <v>Q3</v>
      </c>
      <c r="BH236" s="9" t="str">
        <f t="shared" si="2256"/>
        <v>Q4</v>
      </c>
      <c r="BI236" s="9" t="str">
        <f t="shared" si="2256"/>
        <v>Q1</v>
      </c>
      <c r="BJ236" s="9" t="str">
        <f t="shared" si="2256"/>
        <v>Q2</v>
      </c>
      <c r="BK236" s="9" t="str">
        <f t="shared" si="2256"/>
        <v>Q3</v>
      </c>
      <c r="BL236" s="9" t="str">
        <f t="shared" si="2256"/>
        <v>Q4</v>
      </c>
      <c r="BM236" s="9" t="str">
        <f t="shared" ref="BM236" si="2257">BM5</f>
        <v>Q1</v>
      </c>
      <c r="BO236" s="9" t="str">
        <f t="shared" si="2252"/>
        <v>Q4</v>
      </c>
      <c r="BP236" s="9" t="str">
        <f t="shared" si="2252"/>
        <v>Q1</v>
      </c>
      <c r="BQ236" s="9" t="str">
        <f t="shared" si="2252"/>
        <v>Q2</v>
      </c>
      <c r="BR236" s="9" t="str">
        <f t="shared" si="2252"/>
        <v>Q3</v>
      </c>
      <c r="BS236" s="9" t="str">
        <f t="shared" si="2252"/>
        <v>Q4</v>
      </c>
      <c r="BT236" s="9" t="str">
        <f t="shared" ref="BT236" si="2258">BT5</f>
        <v>Q1</v>
      </c>
      <c r="BV236" s="40"/>
      <c r="BW236" s="40"/>
      <c r="BY236" s="40"/>
      <c r="BZ236" s="40"/>
      <c r="CB236" s="16"/>
      <c r="CC236" s="16"/>
    </row>
    <row r="237" spans="2:81" s="6" customFormat="1" ht="13.5" customHeight="1">
      <c r="B237" s="6" t="str">
        <f>+B7</f>
        <v>Operating revenue</v>
      </c>
      <c r="C237" s="59">
        <f t="shared" ref="C237:R237" si="2259">C7*C$215</f>
        <v>5203.8800473439996</v>
      </c>
      <c r="D237" s="59">
        <f t="shared" si="2259"/>
        <v>5675.241998169</v>
      </c>
      <c r="E237" s="59">
        <f t="shared" si="2259"/>
        <v>5919.4936763249998</v>
      </c>
      <c r="F237" s="59">
        <f t="shared" si="2259"/>
        <v>5934.9769329760002</v>
      </c>
      <c r="G237" s="59">
        <f t="shared" si="2259"/>
        <v>5761.7584819179992</v>
      </c>
      <c r="H237" s="59">
        <f t="shared" si="2259"/>
        <v>6266.7807430019438</v>
      </c>
      <c r="I237" s="59">
        <f t="shared" si="2259"/>
        <v>6487.1068890480656</v>
      </c>
      <c r="J237" s="59">
        <f t="shared" si="2259"/>
        <v>4837.7267418346692</v>
      </c>
      <c r="K237" s="59">
        <f t="shared" si="2259"/>
        <v>4943.6909992500005</v>
      </c>
      <c r="L237" s="59">
        <f t="shared" si="2259"/>
        <v>4576.1355009999997</v>
      </c>
      <c r="M237" s="59">
        <f t="shared" si="2259"/>
        <v>4824.5475349750004</v>
      </c>
      <c r="N237" s="59">
        <f t="shared" si="2259"/>
        <v>4893.8509336500001</v>
      </c>
      <c r="O237" s="59">
        <f t="shared" si="2259"/>
        <v>4885.1391033249993</v>
      </c>
      <c r="P237" s="59">
        <f t="shared" si="2259"/>
        <v>2743.2310145500001</v>
      </c>
      <c r="Q237" s="59">
        <f t="shared" si="2259"/>
        <v>2746.8255924895434</v>
      </c>
      <c r="R237" s="59">
        <f t="shared" si="2259"/>
        <v>2276.8040869107358</v>
      </c>
      <c r="S237"/>
      <c r="T237" s="59">
        <f t="shared" ref="T237:AI237" si="2260">T7*T$215</f>
        <v>1464.8607821640001</v>
      </c>
      <c r="U237" s="59">
        <f t="shared" si="2260"/>
        <v>1485.7110028849997</v>
      </c>
      <c r="V237" s="59">
        <f t="shared" si="2260"/>
        <v>1467.6988171999999</v>
      </c>
      <c r="W237" s="59">
        <f t="shared" si="2260"/>
        <v>1502.6624591300006</v>
      </c>
      <c r="X237" s="59">
        <f t="shared" si="2260"/>
        <v>1453.881768001</v>
      </c>
      <c r="Y237" s="59">
        <f t="shared" si="2260"/>
        <v>1484.0486275379999</v>
      </c>
      <c r="Z237" s="59">
        <f t="shared" si="2260"/>
        <v>1492.2061469099999</v>
      </c>
      <c r="AA237" s="59">
        <f t="shared" si="2260"/>
        <v>1504.8650558750003</v>
      </c>
      <c r="AB237" s="59">
        <f t="shared" si="2260"/>
        <v>1443.884490376</v>
      </c>
      <c r="AC237" s="59">
        <f t="shared" si="2260"/>
        <v>1340.2781248553845</v>
      </c>
      <c r="AD237" s="59">
        <f t="shared" si="2260"/>
        <v>1454.342123034</v>
      </c>
      <c r="AE237" s="59">
        <f t="shared" si="2260"/>
        <v>1525.3798096679998</v>
      </c>
      <c r="AF237" s="59">
        <f t="shared" si="2260"/>
        <v>1490.602574409</v>
      </c>
      <c r="AG237" s="59">
        <f t="shared" si="2260"/>
        <v>1558.8561128000001</v>
      </c>
      <c r="AH237" s="59">
        <f t="shared" si="2260"/>
        <v>1559.7051251489868</v>
      </c>
      <c r="AI237" s="59">
        <f t="shared" si="2260"/>
        <v>1654.6436918149861</v>
      </c>
      <c r="AJ237" s="244"/>
      <c r="AK237" s="244"/>
      <c r="AL237" s="244"/>
      <c r="AM237" s="274"/>
      <c r="AN237" s="59">
        <f t="shared" ref="AN237:BL237" si="2261">AN7*AN$215</f>
        <v>1542.4363184000001</v>
      </c>
      <c r="AO237" s="59">
        <f t="shared" si="2261"/>
        <v>1541.3086842999999</v>
      </c>
      <c r="AP237" s="59">
        <f t="shared" si="2261"/>
        <v>1619.0509140000001</v>
      </c>
      <c r="AQ237" s="59">
        <f t="shared" si="2261"/>
        <v>1580.5067020000004</v>
      </c>
      <c r="AR237" s="59">
        <f t="shared" si="2261"/>
        <v>1188.1593760000001</v>
      </c>
      <c r="AS237" s="59">
        <f t="shared" si="2261"/>
        <v>1194.9293894999998</v>
      </c>
      <c r="AT237" s="59">
        <f t="shared" si="2261"/>
        <v>1273.107</v>
      </c>
      <c r="AU237" s="59">
        <f t="shared" si="2261"/>
        <v>1277.2815000000001</v>
      </c>
      <c r="AV237" s="59">
        <f t="shared" si="2261"/>
        <v>1196.9264089999999</v>
      </c>
      <c r="AW237" s="59">
        <f t="shared" si="2261"/>
        <v>997.12264600000003</v>
      </c>
      <c r="AX237" s="59">
        <f t="shared" si="2261"/>
        <v>1224.7336332000002</v>
      </c>
      <c r="AY237" s="59">
        <f t="shared" si="2261"/>
        <v>1137.8688156000001</v>
      </c>
      <c r="AZ237" s="59">
        <f t="shared" si="2261"/>
        <v>1322.9918881999999</v>
      </c>
      <c r="BA237" s="59">
        <f t="shared" si="2261"/>
        <v>1234.1894912999999</v>
      </c>
      <c r="BB237" s="59">
        <f t="shared" si="2261"/>
        <v>1298.1600000000001</v>
      </c>
      <c r="BC237" s="59">
        <f t="shared" si="2261"/>
        <v>1230.270552</v>
      </c>
      <c r="BD237" s="59">
        <f t="shared" si="2261"/>
        <v>1049.319291</v>
      </c>
      <c r="BE237" s="59">
        <f t="shared" si="2261"/>
        <v>1198.6631828</v>
      </c>
      <c r="BF237" s="59">
        <f t="shared" si="2261"/>
        <v>1216.1933557999998</v>
      </c>
      <c r="BG237" s="59">
        <f t="shared" si="2261"/>
        <v>1194.7088535</v>
      </c>
      <c r="BH237" s="59">
        <f t="shared" si="2261"/>
        <v>1272.3311976</v>
      </c>
      <c r="BI237" s="59">
        <f t="shared" si="2261"/>
        <v>1143.9840455999999</v>
      </c>
      <c r="BJ237" s="59">
        <f t="shared" si="2261"/>
        <v>688.80249179999998</v>
      </c>
      <c r="BK237" s="59">
        <f t="shared" si="2261"/>
        <v>691.18879132842642</v>
      </c>
      <c r="BL237" s="59">
        <f t="shared" si="2261"/>
        <v>188.34147985841881</v>
      </c>
      <c r="BM237" s="59">
        <f t="shared" ref="BM237" si="2262">BM7*BM$215</f>
        <v>705.96596066565792</v>
      </c>
      <c r="BO237" s="59">
        <f t="shared" ref="BO237:BT237" si="2263">BO7*BO$215</f>
        <v>1283.2705734000003</v>
      </c>
      <c r="BP237" s="59">
        <f t="shared" si="2263"/>
        <v>1214.9554031</v>
      </c>
      <c r="BQ237" s="59">
        <f t="shared" si="2263"/>
        <v>701.43908679999993</v>
      </c>
      <c r="BR237" s="59">
        <f t="shared" si="2263"/>
        <v>688.09205099999997</v>
      </c>
      <c r="BS237" s="59">
        <f t="shared" si="2263"/>
        <v>95.108003399999987</v>
      </c>
      <c r="BT237" s="59">
        <f t="shared" si="2263"/>
        <v>650.08945359999996</v>
      </c>
      <c r="BV237" s="40"/>
      <c r="BW237" s="40"/>
      <c r="BY237" s="40"/>
      <c r="BZ237" s="40"/>
      <c r="CB237" s="16"/>
      <c r="CC237" s="16"/>
    </row>
    <row r="238" spans="2:81" s="16" customFormat="1" ht="13.5" customHeight="1">
      <c r="B238" s="60" t="str">
        <f>+B8</f>
        <v xml:space="preserve">% y-o-y growth </v>
      </c>
      <c r="C238" s="61"/>
      <c r="D238" s="61">
        <f>+D237/C237-1</f>
        <v>9.0578942353903402E-2</v>
      </c>
      <c r="E238" s="61">
        <f>+E237/D237-1</f>
        <v>4.3038108019852306E-2</v>
      </c>
      <c r="F238" s="61">
        <f>+F237/E237-1</f>
        <v>2.6156386842552948E-3</v>
      </c>
      <c r="G238" s="61">
        <f>+G237/E237-1</f>
        <v>-2.6646737547480148E-2</v>
      </c>
      <c r="H238" s="61">
        <f>+H237/G237-1</f>
        <v>8.7650716820020236E-2</v>
      </c>
      <c r="I238" s="61">
        <f>+I237/H237-1</f>
        <v>3.5157787559770393E-2</v>
      </c>
      <c r="J238" s="61">
        <f>+J237/G237-1</f>
        <v>-0.16037321643786329</v>
      </c>
      <c r="K238" s="61">
        <f>+K237/J237-1</f>
        <v>2.1903729389879834E-2</v>
      </c>
      <c r="L238" s="61">
        <f>+L237/J237-1</f>
        <v>-5.4073174198231544E-2</v>
      </c>
      <c r="M238" s="61">
        <f>+M237/L237-1</f>
        <v>5.4284239162218029E-2</v>
      </c>
      <c r="N238" s="61">
        <f>+N237/L237-1</f>
        <v>6.9428764200835325E-2</v>
      </c>
      <c r="O238" s="61">
        <f>+O237/N237-1</f>
        <v>-1.7801584974929119E-3</v>
      </c>
      <c r="P238" s="18">
        <f>P237/N237-1</f>
        <v>-0.43945349955643109</v>
      </c>
      <c r="Q238" s="18">
        <f>Q237/P237-1</f>
        <v>1.3103445974755878E-3</v>
      </c>
      <c r="R238" s="61"/>
      <c r="S238"/>
      <c r="T238" s="62"/>
      <c r="U238" s="62"/>
      <c r="V238" s="62"/>
      <c r="W238" s="62"/>
      <c r="X238" s="62"/>
      <c r="Y238" s="62"/>
      <c r="Z238" s="62"/>
      <c r="AA238" s="62"/>
      <c r="AB238" s="62">
        <f t="shared" ref="AB238:AC238" si="2264">AB237/X237-1</f>
        <v>-6.8762659007310933E-3</v>
      </c>
      <c r="AC238" s="62">
        <f t="shared" si="2264"/>
        <v>-9.687721818194539E-2</v>
      </c>
      <c r="AD238" s="62">
        <f t="shared" ref="AD238" si="2265">AD237/Z237-1</f>
        <v>-2.537452613662472E-2</v>
      </c>
      <c r="AE238" s="62">
        <f t="shared" ref="AE238" si="2266">AE237/AA237-1</f>
        <v>1.3632287966891088E-2</v>
      </c>
      <c r="AF238" s="62">
        <f t="shared" ref="AF238:AI238" si="2267">AF237/AB237-1</f>
        <v>3.235583202423209E-2</v>
      </c>
      <c r="AG238" s="62">
        <f t="shared" si="2267"/>
        <v>0.16308405240009427</v>
      </c>
      <c r="AH238" s="62">
        <f t="shared" si="2267"/>
        <v>7.2447191376938225E-2</v>
      </c>
      <c r="AI238" s="62">
        <f t="shared" si="2267"/>
        <v>8.4742095921094496E-2</v>
      </c>
      <c r="AJ238" s="245"/>
      <c r="AK238" s="245"/>
      <c r="AL238" s="245"/>
      <c r="AM238" s="274"/>
      <c r="AN238" s="18">
        <f>AN237/AF237-1</f>
        <v>3.4773684737228638E-2</v>
      </c>
      <c r="AO238" s="18">
        <f>AO237/AG237-1</f>
        <v>-1.1256605632755767E-2</v>
      </c>
      <c r="AP238" s="18">
        <f>AP237/AH237-1</f>
        <v>3.8049364520325257E-2</v>
      </c>
      <c r="AQ238" s="18">
        <f>AQ237/AI237-1</f>
        <v>-4.4805410483065744E-2</v>
      </c>
      <c r="AR238" s="18">
        <f>AR237/AF237-1</f>
        <v>-0.2028999571055442</v>
      </c>
      <c r="AS238" s="18">
        <f>AS237/AG237-1</f>
        <v>-0.23345754640966776</v>
      </c>
      <c r="AT238" s="18">
        <f>AT237/AH237-1</f>
        <v>-0.18375148002518127</v>
      </c>
      <c r="AU238" s="18" t="s">
        <v>340</v>
      </c>
      <c r="AV238" s="18">
        <f>AV237/AH237-1</f>
        <v>-0.23259442461236601</v>
      </c>
      <c r="AW238" s="18" t="s">
        <v>340</v>
      </c>
      <c r="AX238" s="18">
        <f>AX237/AR237-1</f>
        <v>3.0782282191072152E-2</v>
      </c>
      <c r="AY238" s="294">
        <f>AY237/AS237-1</f>
        <v>-4.7752255824819789E-2</v>
      </c>
      <c r="AZ238" s="18">
        <f>AZ237/AS237-1</f>
        <v>0.1071716034648591</v>
      </c>
      <c r="BA238" s="18">
        <f>BA237/AT237-1</f>
        <v>-3.0568922093743955E-2</v>
      </c>
      <c r="BB238" s="18">
        <f>BB237/AT237-1</f>
        <v>1.9678628740553705E-2</v>
      </c>
      <c r="BC238" s="18">
        <f>BC237/AV237-1</f>
        <v>2.7858139605974719E-2</v>
      </c>
      <c r="BD238" s="18">
        <f>BD237/AW237-1</f>
        <v>5.2347266616989518E-2</v>
      </c>
      <c r="BE238" s="18">
        <f>BE237/AY237-1</f>
        <v>5.3428274302379064E-2</v>
      </c>
      <c r="BF238" s="18">
        <f>BF237/AZ237-1</f>
        <v>-8.072500924046111E-2</v>
      </c>
      <c r="BG238" s="18">
        <f>BG237/AY237-1</f>
        <v>4.9953067630233106E-2</v>
      </c>
      <c r="BH238" s="18">
        <f>BH237/BO237-1</f>
        <v>-8.5246058210597386E-3</v>
      </c>
      <c r="BI238" s="18">
        <f>BI237/BC237-1</f>
        <v>-7.0136203991656654E-2</v>
      </c>
      <c r="BJ238" s="18">
        <f>BJ237/BQ237-1</f>
        <v>-1.8015242146896537E-2</v>
      </c>
      <c r="BK238" s="18">
        <f>BK237/BR237-1</f>
        <v>4.5004739175900088E-3</v>
      </c>
      <c r="BL238" s="18">
        <f>BL237/BS237-1</f>
        <v>0.98029054470108701</v>
      </c>
      <c r="BM238" s="18">
        <f>BM237/BT237-1</f>
        <v>8.59520282266244E-2</v>
      </c>
      <c r="BO238" s="18">
        <f>BO237/AW237-1</f>
        <v>0.28697365218601223</v>
      </c>
      <c r="BP238" s="18">
        <f>BP237/AY237-1</f>
        <v>6.7746462899022308E-2</v>
      </c>
      <c r="BQ238" s="18">
        <f>BQ237/BA237-1</f>
        <v>-0.43166013667710124</v>
      </c>
      <c r="BR238" s="18">
        <f>BR237/BC237-1</f>
        <v>-0.44069859277587586</v>
      </c>
      <c r="BS238" s="18">
        <f>BS237/BO237-1</f>
        <v>-0.92588624303289901</v>
      </c>
      <c r="BT238" s="18">
        <f>BT237/BP237-1</f>
        <v>-0.46492731178339997</v>
      </c>
      <c r="BV238" s="40"/>
      <c r="BW238" s="40"/>
      <c r="BY238" s="40"/>
      <c r="BZ238" s="40"/>
    </row>
    <row r="239" spans="2:81" s="6" customFormat="1" ht="13.5" hidden="1" customHeight="1" outlineLevel="1" thickBot="1">
      <c r="B239" s="63"/>
      <c r="C239" s="64"/>
      <c r="D239" s="64"/>
      <c r="E239" s="64"/>
      <c r="F239" s="64"/>
      <c r="G239" s="64"/>
      <c r="H239" s="64"/>
      <c r="I239" s="64"/>
      <c r="J239" s="64"/>
      <c r="K239" s="64"/>
      <c r="L239" s="64"/>
      <c r="M239" s="64"/>
      <c r="N239" s="64"/>
      <c r="O239" s="64"/>
      <c r="P239" s="64"/>
      <c r="Q239" s="64"/>
      <c r="R239" s="64"/>
      <c r="S239"/>
      <c r="T239" s="64"/>
      <c r="U239" s="64"/>
      <c r="V239" s="64"/>
      <c r="W239" s="64"/>
      <c r="X239" s="64"/>
      <c r="Y239" s="64"/>
      <c r="Z239" s="64"/>
      <c r="AA239" s="64"/>
      <c r="AB239" s="64"/>
      <c r="AC239" s="64"/>
      <c r="AD239" s="64"/>
      <c r="AE239" s="64"/>
      <c r="AF239" s="64"/>
      <c r="AG239" s="64"/>
      <c r="AH239" s="64"/>
      <c r="AI239" s="64"/>
      <c r="AJ239" s="246"/>
      <c r="AK239" s="246"/>
      <c r="AL239" s="246"/>
      <c r="AM239" s="275"/>
      <c r="AN239" s="64"/>
      <c r="AO239" s="64"/>
      <c r="AP239" s="64"/>
      <c r="AQ239" s="64"/>
      <c r="AR239" s="64"/>
      <c r="AS239" s="64"/>
      <c r="AT239" s="64"/>
      <c r="AU239" s="64"/>
      <c r="AV239" s="64"/>
      <c r="AW239" s="64"/>
      <c r="AX239" s="64"/>
      <c r="AY239" s="64"/>
      <c r="AZ239" s="64"/>
      <c r="BA239" s="64"/>
      <c r="BB239" s="64"/>
      <c r="BC239" s="64"/>
      <c r="BD239" s="64"/>
      <c r="BE239" s="64"/>
      <c r="BF239" s="64"/>
      <c r="BG239" s="64"/>
      <c r="BH239" s="64"/>
      <c r="BI239" s="64"/>
      <c r="BJ239" s="64"/>
      <c r="BK239" s="64"/>
      <c r="BL239" s="64"/>
      <c r="BM239" s="64"/>
      <c r="BO239" s="64"/>
      <c r="BP239" s="64"/>
      <c r="BQ239" s="64"/>
      <c r="BR239" s="64"/>
      <c r="BS239" s="64"/>
      <c r="BT239" s="64"/>
      <c r="BV239" s="40"/>
      <c r="BW239" s="40"/>
      <c r="BY239" s="40"/>
      <c r="BZ239" s="40"/>
      <c r="CB239" s="16"/>
      <c r="CC239" s="16"/>
    </row>
    <row r="240" spans="2:81" s="16" customFormat="1" ht="13.5" hidden="1" customHeight="1" outlineLevel="1" thickTop="1">
      <c r="B240" s="60"/>
      <c r="C240" s="62"/>
      <c r="D240" s="62"/>
      <c r="E240" s="62"/>
      <c r="F240" s="62"/>
      <c r="G240" s="62"/>
      <c r="H240" s="62"/>
      <c r="I240" s="62"/>
      <c r="J240" s="62"/>
      <c r="K240" s="62"/>
      <c r="L240" s="62"/>
      <c r="M240" s="62"/>
      <c r="N240" s="62"/>
      <c r="O240" s="62"/>
      <c r="P240" s="62"/>
      <c r="Q240" s="62"/>
      <c r="R240" s="62"/>
      <c r="S240"/>
      <c r="T240" s="62"/>
      <c r="U240" s="62"/>
      <c r="V240" s="62"/>
      <c r="W240" s="62"/>
      <c r="X240" s="62"/>
      <c r="Y240" s="62"/>
      <c r="Z240" s="62"/>
      <c r="AA240" s="62"/>
      <c r="AB240" s="62"/>
      <c r="AC240" s="62"/>
      <c r="AD240" s="62"/>
      <c r="AE240" s="62"/>
      <c r="AF240" s="62"/>
      <c r="AG240" s="62"/>
      <c r="AH240" s="62"/>
      <c r="AI240" s="62"/>
      <c r="AJ240" s="245"/>
      <c r="AK240" s="245"/>
      <c r="AL240" s="245"/>
      <c r="AM240" s="276"/>
      <c r="AN240" s="62"/>
      <c r="AO240" s="62"/>
      <c r="AP240" s="62"/>
      <c r="AQ240" s="62"/>
      <c r="AR240" s="62"/>
      <c r="AS240" s="62"/>
      <c r="AT240" s="62"/>
      <c r="AU240" s="62"/>
      <c r="AV240" s="62"/>
      <c r="AW240" s="62"/>
      <c r="AX240" s="62"/>
      <c r="AY240" s="301"/>
      <c r="AZ240" s="62"/>
      <c r="BA240" s="62"/>
      <c r="BB240" s="62"/>
      <c r="BC240" s="62"/>
      <c r="BD240" s="62"/>
      <c r="BE240" s="62"/>
      <c r="BF240" s="62"/>
      <c r="BG240" s="62"/>
      <c r="BH240" s="62"/>
      <c r="BI240" s="62"/>
      <c r="BJ240" s="62"/>
      <c r="BK240" s="62"/>
      <c r="BL240" s="62"/>
      <c r="BM240" s="62"/>
      <c r="BO240" s="62"/>
      <c r="BP240" s="62"/>
      <c r="BQ240" s="62"/>
      <c r="BR240" s="62"/>
      <c r="BS240" s="62"/>
      <c r="BT240" s="62"/>
      <c r="BV240" s="40"/>
      <c r="BW240" s="40"/>
      <c r="BY240" s="40"/>
      <c r="BZ240" s="40"/>
    </row>
    <row r="241" spans="2:81" s="16" customFormat="1" ht="13.5" hidden="1" customHeight="1" outlineLevel="1">
      <c r="B241" s="60"/>
      <c r="C241" s="62"/>
      <c r="D241" s="62"/>
      <c r="E241" s="62"/>
      <c r="F241" s="62"/>
      <c r="G241" s="62"/>
      <c r="H241" s="62"/>
      <c r="I241" s="62"/>
      <c r="J241" s="62"/>
      <c r="K241" s="62"/>
      <c r="L241" s="62"/>
      <c r="M241" s="62"/>
      <c r="N241" s="62"/>
      <c r="O241" s="62"/>
      <c r="P241" s="62"/>
      <c r="Q241" s="62"/>
      <c r="R241" s="62"/>
      <c r="S241"/>
      <c r="T241" s="62"/>
      <c r="U241" s="62"/>
      <c r="V241" s="62"/>
      <c r="W241" s="62"/>
      <c r="X241" s="62"/>
      <c r="Y241" s="62"/>
      <c r="Z241" s="62"/>
      <c r="AA241" s="62"/>
      <c r="AB241" s="62"/>
      <c r="AC241" s="62"/>
      <c r="AD241" s="62"/>
      <c r="AE241" s="62"/>
      <c r="AF241" s="62"/>
      <c r="AG241" s="62"/>
      <c r="AH241" s="62"/>
      <c r="AI241" s="62"/>
      <c r="AJ241" s="245"/>
      <c r="AK241" s="245"/>
      <c r="AL241" s="245"/>
      <c r="AM241" s="276"/>
      <c r="AN241" s="62"/>
      <c r="AO241" s="62"/>
      <c r="AP241" s="62"/>
      <c r="AQ241" s="62"/>
      <c r="AR241" s="62"/>
      <c r="AS241" s="62"/>
      <c r="AT241" s="62"/>
      <c r="AU241" s="62"/>
      <c r="AV241" s="62"/>
      <c r="AW241" s="62"/>
      <c r="AX241" s="62"/>
      <c r="AY241" s="301"/>
      <c r="AZ241" s="62"/>
      <c r="BA241" s="62"/>
      <c r="BB241" s="62"/>
      <c r="BC241" s="62"/>
      <c r="BD241" s="62"/>
      <c r="BE241" s="62"/>
      <c r="BF241" s="62"/>
      <c r="BG241" s="62"/>
      <c r="BH241" s="62"/>
      <c r="BI241" s="62"/>
      <c r="BJ241" s="62"/>
      <c r="BK241" s="62"/>
      <c r="BL241" s="62"/>
      <c r="BM241" s="62"/>
      <c r="BO241" s="62"/>
      <c r="BP241" s="62"/>
      <c r="BQ241" s="62"/>
      <c r="BR241" s="62"/>
      <c r="BS241" s="62"/>
      <c r="BT241" s="62"/>
      <c r="BV241" s="40"/>
      <c r="BW241" s="40"/>
      <c r="BY241" s="40"/>
      <c r="BZ241" s="40"/>
    </row>
    <row r="242" spans="2:81" ht="13.5" customHeight="1" collapsed="1">
      <c r="AJ242" s="228"/>
      <c r="AK242" s="228"/>
      <c r="AL242" s="228"/>
      <c r="AM242" s="277"/>
      <c r="BV242" s="40"/>
      <c r="BW242" s="40"/>
      <c r="BY242" s="40"/>
      <c r="BZ242" s="40"/>
      <c r="CB242" s="16"/>
      <c r="CC242" s="16"/>
    </row>
    <row r="243" spans="2:81" s="6" customFormat="1" ht="13.5" customHeight="1" thickBot="1">
      <c r="B243" s="63" t="str">
        <f>B59</f>
        <v>Adj. EBITDA</v>
      </c>
      <c r="C243" s="64">
        <f t="shared" ref="C243:R243" si="2268">C59*C$215</f>
        <v>1933.508050936</v>
      </c>
      <c r="D243" s="64">
        <f t="shared" si="2268"/>
        <v>2146.639313142</v>
      </c>
      <c r="E243" s="64">
        <f t="shared" si="2268"/>
        <v>2065.4067585499997</v>
      </c>
      <c r="F243" s="64">
        <f t="shared" si="2268"/>
        <v>2563.7070504499998</v>
      </c>
      <c r="G243" s="64">
        <f t="shared" si="2268"/>
        <v>2536.95434875</v>
      </c>
      <c r="H243" s="64">
        <f t="shared" si="2268"/>
        <v>2759.2529058801551</v>
      </c>
      <c r="I243" s="64">
        <f t="shared" si="2268"/>
        <v>2930.771276012777</v>
      </c>
      <c r="J243" s="64">
        <f t="shared" si="2268"/>
        <v>2153.9413712420601</v>
      </c>
      <c r="K243" s="64">
        <f t="shared" si="2268"/>
        <v>2183.71656975</v>
      </c>
      <c r="L243" s="64">
        <f t="shared" si="2268"/>
        <v>1970.2968425500001</v>
      </c>
      <c r="M243" s="64">
        <f t="shared" si="2268"/>
        <v>2111.3709077999997</v>
      </c>
      <c r="N243" s="64">
        <f t="shared" si="2268"/>
        <v>2172.8617574999998</v>
      </c>
      <c r="O243" s="64">
        <f t="shared" si="2268"/>
        <v>2434.2342700000004</v>
      </c>
      <c r="P243" s="64">
        <f t="shared" si="2268"/>
        <v>1244.1771358250001</v>
      </c>
      <c r="Q243" s="64">
        <f t="shared" si="2268"/>
        <v>1275.6326250746945</v>
      </c>
      <c r="R243" s="64">
        <f t="shared" si="2268"/>
        <v>1048.8612864998113</v>
      </c>
      <c r="S243"/>
      <c r="T243" s="65">
        <f t="shared" ref="T243:AI243" si="2269">T59*T$215</f>
        <v>0</v>
      </c>
      <c r="U243" s="65">
        <f t="shared" si="2269"/>
        <v>0</v>
      </c>
      <c r="V243" s="65">
        <f t="shared" si="2269"/>
        <v>0</v>
      </c>
      <c r="W243" s="65">
        <f t="shared" si="2269"/>
        <v>1998.308645716</v>
      </c>
      <c r="X243" s="65">
        <f t="shared" si="2269"/>
        <v>591.81471146399997</v>
      </c>
      <c r="Y243" s="65">
        <f t="shared" si="2269"/>
        <v>644.04298500899995</v>
      </c>
      <c r="Z243" s="65">
        <f t="shared" si="2269"/>
        <v>672.86475670499988</v>
      </c>
      <c r="AA243" s="65">
        <f t="shared" si="2269"/>
        <v>654.38336724999999</v>
      </c>
      <c r="AB243" s="65">
        <f t="shared" si="2269"/>
        <v>598.90366277700002</v>
      </c>
      <c r="AC243" s="65">
        <f t="shared" si="2269"/>
        <v>597.84117728724152</v>
      </c>
      <c r="AD243" s="65">
        <f t="shared" si="2269"/>
        <v>675.72593775600001</v>
      </c>
      <c r="AE243" s="65">
        <f t="shared" si="2269"/>
        <v>664.85539936200007</v>
      </c>
      <c r="AF243" s="65">
        <f t="shared" si="2269"/>
        <v>661.68756940499998</v>
      </c>
      <c r="AG243" s="65">
        <f t="shared" si="2269"/>
        <v>685.71124859999998</v>
      </c>
      <c r="AH243" s="65">
        <f t="shared" si="2269"/>
        <v>681.61764004767599</v>
      </c>
      <c r="AI243" s="65">
        <f t="shared" si="2269"/>
        <v>729.07800960533564</v>
      </c>
      <c r="AJ243" s="247"/>
      <c r="AK243" s="247"/>
      <c r="AL243" s="247"/>
      <c r="AM243" s="278"/>
      <c r="AN243" s="65">
        <f t="shared" ref="AN243:BL243" si="2270">AN59*AN$215</f>
        <v>690.9935792</v>
      </c>
      <c r="AO243" s="65">
        <f t="shared" si="2270"/>
        <v>692.13693999999998</v>
      </c>
      <c r="AP243" s="65">
        <f t="shared" si="2270"/>
        <v>714.40279999999996</v>
      </c>
      <c r="AQ243" s="65">
        <f t="shared" si="2270"/>
        <v>740.65815099999986</v>
      </c>
      <c r="AR243" s="65">
        <f t="shared" si="2270"/>
        <v>535.44640000000004</v>
      </c>
      <c r="AS243" s="65">
        <f t="shared" si="2270"/>
        <v>535.65596479999999</v>
      </c>
      <c r="AT243" s="65">
        <f t="shared" si="2270"/>
        <v>551.25599999999997</v>
      </c>
      <c r="AU243" s="65">
        <f t="shared" si="2270"/>
        <v>557.90889770000013</v>
      </c>
      <c r="AV243" s="65">
        <f t="shared" si="2270"/>
        <v>514.63940000000002</v>
      </c>
      <c r="AW243" s="65">
        <f t="shared" si="2270"/>
        <v>387.16412600000007</v>
      </c>
      <c r="AX243" s="65">
        <f t="shared" si="2270"/>
        <v>550.28964870000004</v>
      </c>
      <c r="AY243" s="65">
        <f t="shared" si="2270"/>
        <v>497.13741000000005</v>
      </c>
      <c r="AZ243" s="65">
        <f t="shared" si="2270"/>
        <v>602.24020109999992</v>
      </c>
      <c r="BA243" s="65">
        <f t="shared" si="2270"/>
        <v>552.44719129999999</v>
      </c>
      <c r="BB243" s="65">
        <f t="shared" si="2270"/>
        <v>586.22400000000005</v>
      </c>
      <c r="BC243" s="65">
        <f t="shared" si="2270"/>
        <v>548.20799999999997</v>
      </c>
      <c r="BD243" s="65">
        <f t="shared" si="2270"/>
        <v>413.77977359999988</v>
      </c>
      <c r="BE243" s="65">
        <f t="shared" si="2270"/>
        <v>579.39516730000003</v>
      </c>
      <c r="BF243" s="65">
        <f t="shared" si="2270"/>
        <v>596.96433739999998</v>
      </c>
      <c r="BG243" s="65">
        <f t="shared" si="2270"/>
        <v>591.51260000000002</v>
      </c>
      <c r="BH243" s="65">
        <f t="shared" si="2270"/>
        <v>666.8125242000001</v>
      </c>
      <c r="BI243" s="65">
        <f t="shared" si="2270"/>
        <v>551.70775679999997</v>
      </c>
      <c r="BJ243" s="65">
        <f t="shared" si="2270"/>
        <v>334.36799999999999</v>
      </c>
      <c r="BK243" s="65">
        <f t="shared" si="2270"/>
        <v>322.43864340993542</v>
      </c>
      <c r="BL243" s="65">
        <f t="shared" si="2270"/>
        <v>49.078278876020377</v>
      </c>
      <c r="BM243" s="65">
        <f t="shared" ref="BM243" si="2271">BM59*BM$215</f>
        <v>341.87191124558746</v>
      </c>
      <c r="BO243" s="65">
        <f t="shared" ref="BO243:BT243" si="2272">BO59*BO$215</f>
        <v>571.06568069999992</v>
      </c>
      <c r="BP243" s="65">
        <f t="shared" si="2272"/>
        <v>593.5106882</v>
      </c>
      <c r="BQ243" s="65">
        <f t="shared" si="2272"/>
        <v>319.69689999999997</v>
      </c>
      <c r="BR243" s="65">
        <f t="shared" si="2272"/>
        <v>317.42055000000005</v>
      </c>
      <c r="BS243" s="65">
        <f t="shared" si="2272"/>
        <v>-9.5801345999999779</v>
      </c>
      <c r="BT243" s="65">
        <f t="shared" si="2272"/>
        <v>274.06919120000003</v>
      </c>
      <c r="BV243" s="40"/>
      <c r="BW243" s="40"/>
      <c r="BY243" s="40"/>
      <c r="BZ243" s="40"/>
      <c r="CB243" s="16"/>
      <c r="CC243" s="16"/>
    </row>
    <row r="244" spans="2:81" s="16" customFormat="1" ht="13.5" customHeight="1" thickTop="1">
      <c r="B244" s="60" t="str">
        <f>B60</f>
        <v xml:space="preserve">% growth </v>
      </c>
      <c r="C244" s="61"/>
      <c r="D244" s="61">
        <f>+D243/C243-1</f>
        <v>0.11023034639179508</v>
      </c>
      <c r="E244" s="61">
        <f>+E243/D243-1</f>
        <v>-3.7841734330813837E-2</v>
      </c>
      <c r="F244" s="61">
        <f>+F243/E243-1</f>
        <v>0.24126012459154889</v>
      </c>
      <c r="G244" s="61">
        <f>+G243/E243-1</f>
        <v>0.22830737250566857</v>
      </c>
      <c r="H244" s="61">
        <f>+H243/G243-1</f>
        <v>8.7624184975849229E-2</v>
      </c>
      <c r="I244" s="61">
        <f>+I243/H243-1</f>
        <v>6.2161163178302559E-2</v>
      </c>
      <c r="J244" s="61">
        <f>+J243/G243-1</f>
        <v>-0.15097353947131797</v>
      </c>
      <c r="K244" s="61">
        <f>+K243/J243-1</f>
        <v>1.3823588193011105E-2</v>
      </c>
      <c r="L244" s="61">
        <f>+L243/J243-1</f>
        <v>-8.5259762008360607E-2</v>
      </c>
      <c r="M244" s="61">
        <f>+M243/L243-1</f>
        <v>7.1600411777252182E-2</v>
      </c>
      <c r="N244" s="61">
        <f>+N243/L243-1</f>
        <v>0.10280933845878582</v>
      </c>
      <c r="O244" s="61">
        <f>+O243/N243-1</f>
        <v>0.12028952674868942</v>
      </c>
      <c r="P244" s="18">
        <f>P243/N243-1</f>
        <v>-0.42740161377938002</v>
      </c>
      <c r="Q244" s="18">
        <f>Q243/P243-1</f>
        <v>2.5282163081092657E-2</v>
      </c>
      <c r="R244" s="61"/>
      <c r="S244"/>
      <c r="T244" s="62"/>
      <c r="U244" s="62"/>
      <c r="V244" s="62"/>
      <c r="W244" s="62"/>
      <c r="X244" s="62"/>
      <c r="Y244" s="62"/>
      <c r="Z244" s="62"/>
      <c r="AA244" s="62"/>
      <c r="AB244" s="62">
        <f t="shared" ref="AB244:AE244" si="2273">AB243/X243-1</f>
        <v>1.197832898655693E-2</v>
      </c>
      <c r="AC244" s="62">
        <f t="shared" si="2273"/>
        <v>-7.173714922321961E-2</v>
      </c>
      <c r="AD244" s="62">
        <f t="shared" si="2273"/>
        <v>4.252237946019477E-3</v>
      </c>
      <c r="AE244" s="62">
        <f t="shared" si="2273"/>
        <v>1.6002900801113107E-2</v>
      </c>
      <c r="AF244" s="62">
        <f t="shared" ref="AF244:AI244" si="2274">AF243/AB243-1</f>
        <v>0.1048313953147042</v>
      </c>
      <c r="AG244" s="62">
        <f t="shared" si="2274"/>
        <v>0.14697895469742783</v>
      </c>
      <c r="AH244" s="62">
        <f t="shared" si="2274"/>
        <v>8.7190707984978744E-3</v>
      </c>
      <c r="AI244" s="62">
        <f t="shared" si="2274"/>
        <v>9.6596358102775559E-2</v>
      </c>
      <c r="AJ244" s="245"/>
      <c r="AK244" s="245"/>
      <c r="AL244" s="245"/>
      <c r="AM244" s="276"/>
      <c r="AN244" s="18">
        <f>AN243/AF243-1</f>
        <v>4.4289799521777917E-2</v>
      </c>
      <c r="AO244" s="18">
        <f>AO243/AG243-1</f>
        <v>9.3708414629616321E-3</v>
      </c>
      <c r="AP244" s="18">
        <f>AP243/AH243-1</f>
        <v>4.8099048536993205E-2</v>
      </c>
      <c r="AQ244" s="18">
        <f>AQ243/AI243-1</f>
        <v>1.5883267965979053E-2</v>
      </c>
      <c r="AR244" s="18">
        <f>AR243/AF243-1</f>
        <v>-0.19078667220319401</v>
      </c>
      <c r="AS244" s="18">
        <f>AS243/AG243-1</f>
        <v>-0.21883159144080577</v>
      </c>
      <c r="AT244" s="18">
        <f>AT243/AH243-1</f>
        <v>-0.19125332501453141</v>
      </c>
      <c r="AU244" s="18" t="s">
        <v>340</v>
      </c>
      <c r="AV244" s="18">
        <f>AV243/AH243-1</f>
        <v>-0.24497347227691557</v>
      </c>
      <c r="AW244" s="18" t="s">
        <v>340</v>
      </c>
      <c r="AX244" s="18">
        <f>AX243/AR243-1</f>
        <v>2.7721259681641408E-2</v>
      </c>
      <c r="AY244" s="294">
        <f>AY243/AS243-1</f>
        <v>-7.190913073166616E-2</v>
      </c>
      <c r="AZ244" s="18">
        <f>AZ243/AS243-1</f>
        <v>0.12430410688110372</v>
      </c>
      <c r="BA244" s="18">
        <f>BA243/AT243-1</f>
        <v>2.1608677275168908E-3</v>
      </c>
      <c r="BB244" s="18">
        <f>BB243/AT243-1</f>
        <v>6.3433323174713951E-2</v>
      </c>
      <c r="BC244" s="18">
        <f>BC243/AV243-1</f>
        <v>6.5227419431936218E-2</v>
      </c>
      <c r="BD244" s="18">
        <f>BD243/AW243-1</f>
        <v>6.8745128519474008E-2</v>
      </c>
      <c r="BE244" s="18">
        <f>BE243/AY243-1</f>
        <v>0.16546281902220961</v>
      </c>
      <c r="BF244" s="18">
        <f>BF243/AZ243-1</f>
        <v>-8.7603977455564808E-3</v>
      </c>
      <c r="BG244" s="18">
        <f>BG243/AY243-1</f>
        <v>0.18983723232576666</v>
      </c>
      <c r="BH244" s="18">
        <f>BH243/BO243-1</f>
        <v>0.16766345227161228</v>
      </c>
      <c r="BI244" s="18">
        <f>BI243/BC243-1</f>
        <v>6.3839943962875623E-3</v>
      </c>
      <c r="BJ244" s="18">
        <f>BJ243/BQ243-1</f>
        <v>4.5890654554360699E-2</v>
      </c>
      <c r="BK244" s="18">
        <f>BK243/BR243-1</f>
        <v>1.580897459202113E-2</v>
      </c>
      <c r="BL244" s="18">
        <f>BL243/BS243-1</f>
        <v>-6.1229216420425336</v>
      </c>
      <c r="BM244" s="18">
        <f>BM243/BT243-1</f>
        <v>0.24739271039081823</v>
      </c>
      <c r="BO244" s="18">
        <f>BO243/AW243-1</f>
        <v>0.47499637066064282</v>
      </c>
      <c r="BP244" s="18">
        <f>BP243/AY243-1</f>
        <v>0.19385641929461706</v>
      </c>
      <c r="BQ244" s="18">
        <f>BQ243/BA243-1</f>
        <v>-0.42130776473367515</v>
      </c>
      <c r="BR244" s="18">
        <f>BR243/BC243-1</f>
        <v>-0.42098519175203564</v>
      </c>
      <c r="BS244" s="18">
        <f>BS243/BO243-1</f>
        <v>-1.0167758892256611</v>
      </c>
      <c r="BT244" s="18">
        <f>BT243/BC243-1</f>
        <v>-0.50006349560750651</v>
      </c>
      <c r="BV244" s="40"/>
      <c r="BW244" s="40"/>
      <c r="BY244" s="40"/>
      <c r="BZ244" s="40"/>
    </row>
    <row r="245" spans="2:81" s="16" customFormat="1" ht="13.5" customHeight="1">
      <c r="B245" s="60" t="str">
        <f>B61</f>
        <v>% margin</v>
      </c>
      <c r="C245" s="61">
        <f t="shared" ref="C245:X245" si="2275">C243/C237</f>
        <v>0.37155123356904435</v>
      </c>
      <c r="D245" s="61">
        <f t="shared" si="2275"/>
        <v>0.37824630453372193</v>
      </c>
      <c r="E245" s="61">
        <f t="shared" ref="E245:J245" si="2276">E243/E237</f>
        <v>0.34891611875701278</v>
      </c>
      <c r="F245" s="61">
        <f t="shared" si="2276"/>
        <v>0.43196579858726925</v>
      </c>
      <c r="G245" s="61">
        <f t="shared" si="2276"/>
        <v>0.44030904049721425</v>
      </c>
      <c r="H245" s="61">
        <f t="shared" si="2276"/>
        <v>0.44029829972292989</v>
      </c>
      <c r="I245" s="61">
        <f t="shared" ref="I245:K245" si="2277">I243/I237</f>
        <v>0.45178402732359568</v>
      </c>
      <c r="J245" s="61">
        <f t="shared" si="2276"/>
        <v>0.44523832911347844</v>
      </c>
      <c r="K245" s="61">
        <f t="shared" si="2277"/>
        <v>0.44171785212329978</v>
      </c>
      <c r="L245" s="61">
        <f t="shared" ref="L245:M245" si="2278">L243/L237</f>
        <v>0.43055911305935785</v>
      </c>
      <c r="M245" s="61">
        <f t="shared" si="2278"/>
        <v>0.43763086434403642</v>
      </c>
      <c r="N245" s="61">
        <f t="shared" ref="N245" si="2279">N243/N237</f>
        <v>0.44399835363996382</v>
      </c>
      <c r="O245" s="61">
        <f t="shared" ref="O245:P245" si="2280">O243/O237</f>
        <v>0.4982937473250606</v>
      </c>
      <c r="P245" s="61">
        <f t="shared" si="2280"/>
        <v>0.45354442598014116</v>
      </c>
      <c r="Q245" s="61">
        <f t="shared" ref="Q245" si="2281">Q243/Q237</f>
        <v>0.46440248283785079</v>
      </c>
      <c r="R245" s="61">
        <f t="shared" ref="R245" si="2282">R243/R237</f>
        <v>0.46067261233835483</v>
      </c>
      <c r="S245"/>
      <c r="T245" s="61">
        <f t="shared" ref="T245" si="2283">T243/T237</f>
        <v>0</v>
      </c>
      <c r="U245" s="61">
        <f>U243/U237</f>
        <v>0</v>
      </c>
      <c r="V245" s="61">
        <f>V243/V237</f>
        <v>0</v>
      </c>
      <c r="W245" s="61">
        <f>W243/W237</f>
        <v>1.3298453245933652</v>
      </c>
      <c r="X245" s="61">
        <f t="shared" si="2275"/>
        <v>0.40705834854625739</v>
      </c>
      <c r="Y245" s="61">
        <f t="shared" ref="Y245:AD245" si="2284">Y243/Y237</f>
        <v>0.43397700928267519</v>
      </c>
      <c r="Z245" s="61">
        <f t="shared" si="2284"/>
        <v>0.45091943770526677</v>
      </c>
      <c r="AA245" s="61">
        <f t="shared" si="2284"/>
        <v>0.43484521399130388</v>
      </c>
      <c r="AB245" s="61">
        <f t="shared" si="2284"/>
        <v>0.41478640900217739</v>
      </c>
      <c r="AC245" s="61">
        <f>AC243/AC237</f>
        <v>0.44605755044442613</v>
      </c>
      <c r="AD245" s="61">
        <f t="shared" si="2284"/>
        <v>0.46462653254264763</v>
      </c>
      <c r="AE245" s="61">
        <f t="shared" ref="AE245:AF245" si="2285">AE243/AE237</f>
        <v>0.43586219979318225</v>
      </c>
      <c r="AF245" s="61">
        <f t="shared" si="2285"/>
        <v>0.44390609594066244</v>
      </c>
      <c r="AG245" s="61">
        <f>AG243/AG237</f>
        <v>0.43988104031508912</v>
      </c>
      <c r="AH245" s="61">
        <f t="shared" ref="AH245:AR245" si="2286">AH243/AH237</f>
        <v>0.43701699062030475</v>
      </c>
      <c r="AI245" s="61">
        <f t="shared" si="2286"/>
        <v>0.44062538249887906</v>
      </c>
      <c r="AJ245" s="248"/>
      <c r="AK245" s="248"/>
      <c r="AL245" s="248"/>
      <c r="AM245" s="279"/>
      <c r="AN245" s="61">
        <f t="shared" ref="AN245" si="2287">AN243/AN237</f>
        <v>0.44798840053039041</v>
      </c>
      <c r="AO245" s="61">
        <f>AO243/AO237</f>
        <v>0.44905796421587063</v>
      </c>
      <c r="AP245" s="61">
        <f t="shared" ref="AP245:AQ245" si="2288">AP243/AP237</f>
        <v>0.44124789024392591</v>
      </c>
      <c r="AQ245" s="61">
        <f t="shared" si="2288"/>
        <v>0.46862069617468771</v>
      </c>
      <c r="AR245" s="61">
        <f t="shared" si="2286"/>
        <v>0.45065200074640493</v>
      </c>
      <c r="AS245" s="61">
        <f>AS243/AS237</f>
        <v>0.44827415703963658</v>
      </c>
      <c r="AT245" s="61">
        <f t="shared" ref="AT245:AX245" si="2289">AT243/AT237</f>
        <v>0.43300052548607459</v>
      </c>
      <c r="AU245" s="61">
        <f t="shared" si="2289"/>
        <v>0.43679400171379612</v>
      </c>
      <c r="AV245" s="61">
        <f t="shared" ref="AV245:AW245" si="2290">AV243/AV237</f>
        <v>0.42996745341258491</v>
      </c>
      <c r="AW245" s="61">
        <f t="shared" si="2290"/>
        <v>0.38828134889236088</v>
      </c>
      <c r="AX245" s="61">
        <f t="shared" si="2289"/>
        <v>0.44931373956163512</v>
      </c>
      <c r="AY245" s="302">
        <f t="shared" ref="AY245" si="2291">AY243/AY237</f>
        <v>0.43690221858998629</v>
      </c>
      <c r="AZ245" s="61">
        <f>AZ243/AZ237</f>
        <v>0.45521080399017366</v>
      </c>
      <c r="BA245" s="61">
        <f>BA243/BA237</f>
        <v>0.44761942569944813</v>
      </c>
      <c r="BB245" s="61">
        <f t="shared" ref="BB245" si="2292">BB243/BB237</f>
        <v>0.45158069883527457</v>
      </c>
      <c r="BC245" s="61">
        <f t="shared" ref="BC245:BE245" si="2293">BC243/BC237</f>
        <v>0.44559954646463812</v>
      </c>
      <c r="BD245" s="61">
        <f t="shared" si="2293"/>
        <v>0.3943316177916335</v>
      </c>
      <c r="BE245" s="61">
        <f t="shared" si="2293"/>
        <v>0.48336778472378727</v>
      </c>
      <c r="BF245" s="61">
        <f>BF243/BF237</f>
        <v>0.49084657020455669</v>
      </c>
      <c r="BG245" s="61">
        <f t="shared" ref="BG245:BI245" si="2294">BG243/BG237</f>
        <v>0.49511025072519899</v>
      </c>
      <c r="BH245" s="61">
        <f t="shared" si="2294"/>
        <v>0.52408722308924705</v>
      </c>
      <c r="BI245" s="61">
        <f t="shared" si="2294"/>
        <v>0.48226875096902139</v>
      </c>
      <c r="BJ245" s="61">
        <f>BJ243/BJ237</f>
        <v>0.48543378396645925</v>
      </c>
      <c r="BK245" s="61">
        <f t="shared" ref="BK245:BM245" si="2295">BK243/BK237</f>
        <v>0.46649865775488963</v>
      </c>
      <c r="BL245" s="61">
        <f t="shared" si="2295"/>
        <v>0.2605813595226808</v>
      </c>
      <c r="BM245" s="61">
        <f t="shared" si="2295"/>
        <v>0.48426118296586873</v>
      </c>
      <c r="BO245" s="61">
        <f t="shared" ref="BO245:BP245" si="2296">BO243/BO237</f>
        <v>0.44500800730353579</v>
      </c>
      <c r="BP245" s="61">
        <f t="shared" si="2296"/>
        <v>0.48850409380100479</v>
      </c>
      <c r="BQ245" s="61">
        <f t="shared" ref="BQ245:BT245" si="2297">BQ243/BQ237</f>
        <v>0.45577286184388893</v>
      </c>
      <c r="BR245" s="61">
        <f t="shared" si="2297"/>
        <v>0.46130535811116363</v>
      </c>
      <c r="BS245" s="61">
        <f t="shared" si="2297"/>
        <v>-0.10072900552552215</v>
      </c>
      <c r="BT245" s="61">
        <f t="shared" si="2297"/>
        <v>0.42158689036145297</v>
      </c>
      <c r="BV245" s="40"/>
      <c r="BW245" s="40"/>
      <c r="BY245" s="40"/>
      <c r="BZ245" s="40"/>
    </row>
    <row r="246" spans="2:81" ht="13.5" customHeight="1">
      <c r="AJ246" s="228"/>
      <c r="AK246" s="228"/>
      <c r="AL246" s="228"/>
      <c r="AM246" s="277"/>
      <c r="BV246" s="40"/>
      <c r="BW246" s="40"/>
      <c r="BY246" s="40"/>
      <c r="BZ246" s="40"/>
      <c r="CB246" s="16"/>
      <c r="CC246" s="16"/>
    </row>
    <row r="247" spans="2:81" s="6" customFormat="1" ht="13.5" customHeight="1">
      <c r="B247" s="6" t="str">
        <f t="shared" ref="B247:B264" si="2298">B64</f>
        <v xml:space="preserve">Adjusted EBITDA </v>
      </c>
      <c r="C247" s="35">
        <f t="shared" ref="C247:F264" si="2299">C64*C$215</f>
        <v>1933.508050936</v>
      </c>
      <c r="D247" s="35">
        <f t="shared" si="2299"/>
        <v>2146.639313142</v>
      </c>
      <c r="E247" s="35">
        <f t="shared" si="2299"/>
        <v>2065.4067585499997</v>
      </c>
      <c r="F247" s="35">
        <f t="shared" si="2299"/>
        <v>2563.7070504499998</v>
      </c>
      <c r="G247" s="35">
        <f t="shared" ref="G247:H247" si="2300">G64*G$215</f>
        <v>2536.95434875</v>
      </c>
      <c r="H247" s="35">
        <f t="shared" si="2300"/>
        <v>2759.2529058801551</v>
      </c>
      <c r="I247" s="35">
        <f t="shared" ref="I247" si="2301">I64*I$215</f>
        <v>2930.771276012777</v>
      </c>
      <c r="J247" s="35">
        <f t="shared" ref="J247:K247" si="2302">J64*J$215</f>
        <v>2153.9413712420601</v>
      </c>
      <c r="K247" s="35">
        <f t="shared" si="2302"/>
        <v>2183.71656975</v>
      </c>
      <c r="L247" s="35">
        <f t="shared" ref="L247:M247" si="2303">L64*L$215</f>
        <v>1970.2968425500001</v>
      </c>
      <c r="M247" s="35">
        <f t="shared" si="2303"/>
        <v>2111.3709077999997</v>
      </c>
      <c r="N247" s="35">
        <f t="shared" ref="N247" si="2304">N64*N$215</f>
        <v>2172.8617574999998</v>
      </c>
      <c r="O247" s="35">
        <f t="shared" ref="O247:P247" si="2305">O64*O$215</f>
        <v>2434.2342700000004</v>
      </c>
      <c r="P247" s="35">
        <f t="shared" si="2305"/>
        <v>1244.1771358250001</v>
      </c>
      <c r="Q247" s="35">
        <f t="shared" ref="Q247" si="2306">Q64*Q$215</f>
        <v>1275.6326250746945</v>
      </c>
      <c r="R247" s="35">
        <f t="shared" ref="R247" si="2307">R64*R$215</f>
        <v>1048.8612864998113</v>
      </c>
      <c r="S247"/>
      <c r="T247" s="35">
        <f t="shared" ref="T247:AC247" si="2308">T64*T$215</f>
        <v>0</v>
      </c>
      <c r="U247" s="35">
        <f t="shared" si="2308"/>
        <v>0</v>
      </c>
      <c r="V247" s="35">
        <f t="shared" si="2308"/>
        <v>0</v>
      </c>
      <c r="W247" s="35">
        <f t="shared" si="2308"/>
        <v>1998.308645716</v>
      </c>
      <c r="X247" s="35">
        <f t="shared" si="2308"/>
        <v>591.81471146399997</v>
      </c>
      <c r="Y247" s="35">
        <f t="shared" si="2308"/>
        <v>644.04298500899995</v>
      </c>
      <c r="Z247" s="35">
        <f t="shared" si="2308"/>
        <v>672.86475670499988</v>
      </c>
      <c r="AA247" s="35">
        <f t="shared" si="2308"/>
        <v>654.38336724999999</v>
      </c>
      <c r="AB247" s="35">
        <f t="shared" si="2308"/>
        <v>598.90366277700002</v>
      </c>
      <c r="AC247" s="35">
        <f t="shared" si="2308"/>
        <v>597.84117728724152</v>
      </c>
      <c r="AD247" s="35">
        <f t="shared" ref="AD247:AG247" si="2309">AD64*AD$215</f>
        <v>675.72593775600001</v>
      </c>
      <c r="AE247" s="35">
        <f t="shared" si="2309"/>
        <v>664.85539936200007</v>
      </c>
      <c r="AF247" s="35">
        <f t="shared" si="2309"/>
        <v>661.68756940499998</v>
      </c>
      <c r="AG247" s="35">
        <f t="shared" si="2309"/>
        <v>685.71124859999998</v>
      </c>
      <c r="AH247" s="35">
        <f t="shared" ref="AH247:AS247" si="2310">AH64*AH$215</f>
        <v>681.61764004767599</v>
      </c>
      <c r="AI247" s="35">
        <f t="shared" si="2310"/>
        <v>729.07800960533564</v>
      </c>
      <c r="AJ247" s="249"/>
      <c r="AK247" s="249"/>
      <c r="AL247" s="249"/>
      <c r="AM247" s="280"/>
      <c r="AN247" s="35">
        <f t="shared" ref="AN247:AP247" si="2311">AN64*AN$215</f>
        <v>690.9935792</v>
      </c>
      <c r="AO247" s="35">
        <f t="shared" si="2311"/>
        <v>692.13693999999998</v>
      </c>
      <c r="AP247" s="35">
        <f t="shared" si="2311"/>
        <v>714.40279999999996</v>
      </c>
      <c r="AQ247" s="35">
        <f t="shared" ref="AQ247" si="2312">AQ64*AQ$215</f>
        <v>740.65815099999986</v>
      </c>
      <c r="AR247" s="35">
        <f t="shared" si="2310"/>
        <v>535.44640000000004</v>
      </c>
      <c r="AS247" s="35">
        <f t="shared" si="2310"/>
        <v>535.65596479999999</v>
      </c>
      <c r="AT247" s="35">
        <f t="shared" ref="AT247:AZ247" si="2313">AT64*AT$215</f>
        <v>551.25599999999997</v>
      </c>
      <c r="AU247" s="35">
        <f t="shared" si="2313"/>
        <v>557.90889770000013</v>
      </c>
      <c r="AV247" s="35">
        <f t="shared" ref="AV247:AW247" si="2314">AV64*AV$215</f>
        <v>514.63940000000002</v>
      </c>
      <c r="AW247" s="35">
        <f t="shared" si="2314"/>
        <v>387.16412600000007</v>
      </c>
      <c r="AX247" s="35">
        <f t="shared" si="2313"/>
        <v>550.28964870000004</v>
      </c>
      <c r="AY247" s="50">
        <f t="shared" ref="AY247" si="2315">AY64*AY$215</f>
        <v>497.13741000000005</v>
      </c>
      <c r="AZ247" s="35">
        <f t="shared" si="2313"/>
        <v>602.24020109999992</v>
      </c>
      <c r="BA247" s="35">
        <f t="shared" ref="BA247" si="2316">BA64*BA$215</f>
        <v>552.44719129999999</v>
      </c>
      <c r="BB247" s="35">
        <f t="shared" ref="BB247" si="2317">BB64*BB$215</f>
        <v>586.22400000000005</v>
      </c>
      <c r="BC247" s="35">
        <f>BC64*BC$215</f>
        <v>548.20799999999997</v>
      </c>
      <c r="BD247" s="35">
        <f>BD64*BD$215</f>
        <v>413.77977359999988</v>
      </c>
      <c r="BE247" s="35">
        <f>BE64*BE$215</f>
        <v>579.39516730000003</v>
      </c>
      <c r="BF247" s="35">
        <f>BF64*BF$215</f>
        <v>596.96433739999998</v>
      </c>
      <c r="BG247" s="35">
        <f>BG64*BG$215</f>
        <v>591.51260000000002</v>
      </c>
      <c r="BH247" s="35">
        <f t="shared" ref="BH247:BK247" si="2318">BH64*BH$215</f>
        <v>666.8125242000001</v>
      </c>
      <c r="BI247" s="35">
        <f t="shared" si="2318"/>
        <v>551.70775679999997</v>
      </c>
      <c r="BJ247" s="35">
        <f t="shared" si="2318"/>
        <v>334.36799999999999</v>
      </c>
      <c r="BK247" s="35">
        <f t="shared" si="2318"/>
        <v>322.43864340993542</v>
      </c>
      <c r="BL247" s="35">
        <f>BL64*BL$215</f>
        <v>49.078278876020377</v>
      </c>
      <c r="BM247" s="35">
        <f>BM64*BM$215</f>
        <v>341.87191124558746</v>
      </c>
      <c r="BO247" s="35">
        <f t="shared" ref="BO247:BP247" si="2319">BO64*BO$215</f>
        <v>571.06568069999992</v>
      </c>
      <c r="BP247" s="35">
        <f t="shared" si="2319"/>
        <v>593.5106882</v>
      </c>
      <c r="BQ247" s="35">
        <f t="shared" ref="BQ247:BT247" si="2320">BQ64*BQ$215</f>
        <v>319.69689999999997</v>
      </c>
      <c r="BR247" s="35">
        <f t="shared" si="2320"/>
        <v>317.42055000000005</v>
      </c>
      <c r="BS247" s="35">
        <f t="shared" si="2320"/>
        <v>-9.5801345999999779</v>
      </c>
      <c r="BT247" s="35">
        <f t="shared" si="2320"/>
        <v>274.06919120000003</v>
      </c>
      <c r="BV247" s="40"/>
      <c r="BW247" s="40"/>
      <c r="BY247" s="40"/>
      <c r="BZ247" s="40"/>
      <c r="CB247" s="16"/>
      <c r="CC247" s="16"/>
    </row>
    <row r="248" spans="2:81" ht="13.5" customHeight="1">
      <c r="B248" s="10" t="str">
        <f t="shared" si="2298"/>
        <v>Working Capital</v>
      </c>
      <c r="C248" s="66">
        <f t="shared" si="2299"/>
        <v>2093.5486447039998</v>
      </c>
      <c r="D248" s="67">
        <f t="shared" si="2299"/>
        <v>1805.6933917110002</v>
      </c>
      <c r="E248" s="67">
        <f t="shared" si="2299"/>
        <v>2060.4819801500003</v>
      </c>
      <c r="F248" s="67">
        <f t="shared" si="2299"/>
        <v>2767.1882531929996</v>
      </c>
      <c r="G248" s="67">
        <f t="shared" ref="G248:H248" si="2321">G65*G$215</f>
        <v>2169.6825133359998</v>
      </c>
      <c r="H248" s="67">
        <f t="shared" si="2321"/>
        <v>2628.2043152697288</v>
      </c>
      <c r="I248" s="67">
        <f t="shared" ref="I248" si="2322">I65*I$215</f>
        <v>2661.2115019013581</v>
      </c>
      <c r="J248" s="67">
        <f t="shared" ref="J248:K248" si="2323">J65*J$215</f>
        <v>2615.8457647759383</v>
      </c>
      <c r="K248" s="67">
        <f t="shared" si="2323"/>
        <v>2569.1246037000005</v>
      </c>
      <c r="L248" s="67">
        <f t="shared" ref="L248:M248" si="2324">L65*L$215</f>
        <v>2613.0972861500004</v>
      </c>
      <c r="M248" s="67">
        <f t="shared" si="2324"/>
        <v>2336.7535936499999</v>
      </c>
      <c r="N248" s="67">
        <f t="shared" ref="N248" si="2325">N65*N$215</f>
        <v>2376.0498663999997</v>
      </c>
      <c r="O248" s="67">
        <f t="shared" ref="O248:P248" si="2326">O65*O$215</f>
        <v>2559.0227880750003</v>
      </c>
      <c r="P248" s="67">
        <f t="shared" si="2326"/>
        <v>2589.9012899500003</v>
      </c>
      <c r="Q248" s="67">
        <f t="shared" ref="Q248" si="2327">Q65*Q$215</f>
        <v>1381.0840760888962</v>
      </c>
      <c r="R248" s="67">
        <f t="shared" ref="R248" si="2328">R65*R$215</f>
        <v>1044.3843628654029</v>
      </c>
      <c r="T248" s="67">
        <f t="shared" ref="T248:AB248" si="2329">T65*T$215</f>
        <v>371.39518320400003</v>
      </c>
      <c r="U248" s="67">
        <f t="shared" si="2329"/>
        <v>704.9923215189998</v>
      </c>
      <c r="V248" s="67">
        <f t="shared" si="2329"/>
        <v>562.4780565249996</v>
      </c>
      <c r="W248" s="67">
        <f t="shared" si="2329"/>
        <v>424.90422472200066</v>
      </c>
      <c r="X248" s="67">
        <f t="shared" si="2329"/>
        <v>575.97078800899999</v>
      </c>
      <c r="Y248" s="67">
        <f t="shared" si="2329"/>
        <v>563.81926479299977</v>
      </c>
      <c r="Z248" s="67">
        <f t="shared" si="2329"/>
        <v>839.81857860000071</v>
      </c>
      <c r="AA248" s="67">
        <f t="shared" si="2329"/>
        <v>785.29015237499891</v>
      </c>
      <c r="AB248" s="67">
        <f t="shared" si="2329"/>
        <v>582.08676256500019</v>
      </c>
      <c r="AC248" s="67">
        <f t="shared" ref="AC248:AC264" si="2330">AC65*AC$215</f>
        <v>774.53746124300051</v>
      </c>
      <c r="AD248" s="67">
        <f t="shared" ref="AD248:AG248" si="2331">AD65*AD$215</f>
        <v>467.38854102199974</v>
      </c>
      <c r="AE248" s="67">
        <f t="shared" si="2331"/>
        <v>333.44656553999994</v>
      </c>
      <c r="AF248" s="67">
        <f t="shared" si="2331"/>
        <v>515.50229283900012</v>
      </c>
      <c r="AG248" s="67">
        <f t="shared" si="2331"/>
        <v>808.50470084999995</v>
      </c>
      <c r="AH248" s="67">
        <f t="shared" ref="AH248:AS248" si="2332">AH65*AH$215</f>
        <v>830.37425506555394</v>
      </c>
      <c r="AI248" s="67">
        <f t="shared" si="2332"/>
        <v>471.59016370628518</v>
      </c>
      <c r="AJ248" s="250"/>
      <c r="AK248" s="250"/>
      <c r="AL248" s="250"/>
      <c r="AM248" s="281"/>
      <c r="AN248" s="67">
        <f t="shared" ref="AN248:AP248" si="2333">AN65*AN$215</f>
        <v>682.53347840000004</v>
      </c>
      <c r="AO248" s="67">
        <f t="shared" si="2333"/>
        <v>696.17490359999977</v>
      </c>
      <c r="AP248" s="67">
        <f t="shared" si="2333"/>
        <v>677.8811979999997</v>
      </c>
      <c r="AQ248" s="67">
        <f t="shared" ref="AQ248" si="2334">AQ65*AQ$215</f>
        <v>526.14798400000075</v>
      </c>
      <c r="AR248" s="67">
        <f t="shared" si="2332"/>
        <v>682.53347840000004</v>
      </c>
      <c r="AS248" s="67">
        <f t="shared" si="2332"/>
        <v>696.17490359999977</v>
      </c>
      <c r="AT248" s="67">
        <f t="shared" ref="AT248:AZ248" si="2335">AT65*AT$215</f>
        <v>677.8811979999997</v>
      </c>
      <c r="AU248" s="67">
        <f t="shared" si="2335"/>
        <v>516.47441120000076</v>
      </c>
      <c r="AV248" s="67">
        <f t="shared" ref="AV248:AW248" si="2336">AV65*AV$215</f>
        <v>677.8811979999997</v>
      </c>
      <c r="AW248" s="67">
        <f t="shared" si="2336"/>
        <v>557.75778800000069</v>
      </c>
      <c r="AX248" s="67">
        <f t="shared" si="2335"/>
        <v>498.78846269999991</v>
      </c>
      <c r="AY248" s="303">
        <f t="shared" ref="AY248" si="2337">AY65*AY$215</f>
        <v>498.78846269999991</v>
      </c>
      <c r="AZ248" s="67">
        <f t="shared" si="2335"/>
        <v>540.57750390000012</v>
      </c>
      <c r="BA248" s="67">
        <f t="shared" ref="BA248" si="2338">BA65*BA$215</f>
        <v>540.57750390000012</v>
      </c>
      <c r="BB248" s="67">
        <f t="shared" ref="BB248" si="2339">BB65*BB$215</f>
        <v>719.03052000000025</v>
      </c>
      <c r="BC248" s="67">
        <f t="shared" ref="BC248:BF248" si="2340">BC65*BC$215</f>
        <v>719.03052000000025</v>
      </c>
      <c r="BD248" s="67">
        <f t="shared" si="2340"/>
        <v>571.72760309999956</v>
      </c>
      <c r="BE248" s="67">
        <f t="shared" si="2340"/>
        <v>607.16491480000002</v>
      </c>
      <c r="BF248" s="67">
        <f t="shared" si="2340"/>
        <v>674.92157069999985</v>
      </c>
      <c r="BG248" s="67">
        <f t="shared" ref="BG248:BL248" si="2341">BG65*BG$215</f>
        <v>632.03103350000026</v>
      </c>
      <c r="BH248" s="67">
        <f t="shared" si="2341"/>
        <v>641.78215140000009</v>
      </c>
      <c r="BI248" s="67">
        <f t="shared" si="2341"/>
        <v>559.8709192</v>
      </c>
      <c r="BJ248" s="67">
        <f t="shared" si="2341"/>
        <v>180.23874840000005</v>
      </c>
      <c r="BK248" s="67">
        <f t="shared" si="2341"/>
        <v>331.64793032447398</v>
      </c>
      <c r="BL248" s="67">
        <f t="shared" si="2341"/>
        <v>299.4806289277887</v>
      </c>
      <c r="BM248" s="67">
        <f t="shared" ref="BM248" si="2342">BM65*BM$215</f>
        <v>232.51765002521429</v>
      </c>
      <c r="BO248" s="67">
        <f>BO65*BO$215</f>
        <v>609.84557009999935</v>
      </c>
      <c r="BP248" s="67">
        <f t="shared" ref="BP248:BQ248" si="2343">BP65*BP$215</f>
        <v>607.16491480000002</v>
      </c>
      <c r="BQ248" s="67">
        <f t="shared" si="2343"/>
        <v>674.92157069999996</v>
      </c>
      <c r="BR248" s="67">
        <f t="shared" ref="BR248" si="2344">BR65*BR$215</f>
        <v>632.03103350000015</v>
      </c>
      <c r="BS248" s="67">
        <f>BS65*BS$215</f>
        <v>673.88534640000057</v>
      </c>
      <c r="BT248" s="67">
        <f t="shared" ref="BT248" si="2345">BT65*BT$215</f>
        <v>559.8709192</v>
      </c>
      <c r="BV248" s="40"/>
      <c r="BW248" s="40"/>
      <c r="BY248" s="40"/>
      <c r="BZ248" s="40"/>
      <c r="CB248" s="16"/>
      <c r="CC248" s="16"/>
    </row>
    <row r="249" spans="2:81" ht="13.5" customHeight="1">
      <c r="B249" s="10" t="str">
        <f t="shared" si="2298"/>
        <v>Taxes, net</v>
      </c>
      <c r="C249" s="66">
        <f t="shared" si="2299"/>
        <v>-179.75030822100001</v>
      </c>
      <c r="D249" s="67">
        <f t="shared" si="2299"/>
        <v>-169.91816736600001</v>
      </c>
      <c r="E249" s="67">
        <f t="shared" si="2299"/>
        <v>-274.54450020000002</v>
      </c>
      <c r="F249" s="67">
        <f t="shared" si="2299"/>
        <v>-297.86480032399999</v>
      </c>
      <c r="G249" s="67">
        <f t="shared" ref="G249:H249" si="2346">G66*G$215</f>
        <v>-137.356133188</v>
      </c>
      <c r="H249" s="67">
        <f t="shared" si="2346"/>
        <v>-139.42384464039122</v>
      </c>
      <c r="I249" s="67">
        <f t="shared" ref="I249" si="2347">I66*I$215</f>
        <v>-206.35231979919976</v>
      </c>
      <c r="J249" s="67">
        <f t="shared" ref="J249:K249" si="2348">J66*J$215</f>
        <v>-139.42384464039122</v>
      </c>
      <c r="K249" s="67">
        <f t="shared" si="2348"/>
        <v>-199.2118332</v>
      </c>
      <c r="L249" s="67">
        <f t="shared" ref="L249:M249" si="2349">L66*L$215</f>
        <v>-207.596157925</v>
      </c>
      <c r="M249" s="67">
        <f t="shared" si="2349"/>
        <v>-148.11609627499999</v>
      </c>
      <c r="N249" s="67">
        <f t="shared" ref="N249" si="2350">N66*N$215</f>
        <v>-148.35269399999999</v>
      </c>
      <c r="O249" s="67">
        <f t="shared" ref="O249:P249" si="2351">O66*O$215</f>
        <v>-139.89804107500001</v>
      </c>
      <c r="P249" s="67">
        <f t="shared" si="2351"/>
        <v>-151.71881497499999</v>
      </c>
      <c r="Q249" s="67">
        <f t="shared" ref="Q249" si="2352">Q66*Q$215</f>
        <v>-154.82494111595028</v>
      </c>
      <c r="R249" s="67">
        <f t="shared" ref="R249" si="2353">R66*R$215</f>
        <v>-173.84260676537582</v>
      </c>
      <c r="T249" s="67">
        <f t="shared" ref="T249:AB249" si="2354">T66*T$215</f>
        <v>-100.539682572</v>
      </c>
      <c r="U249" s="67">
        <f t="shared" si="2354"/>
        <v>-37.240869656000001</v>
      </c>
      <c r="V249" s="67">
        <f t="shared" si="2354"/>
        <v>-83.097296974999992</v>
      </c>
      <c r="W249" s="67">
        <f t="shared" si="2354"/>
        <v>-54.266610775999986</v>
      </c>
      <c r="X249" s="67">
        <f t="shared" si="2354"/>
        <v>-70.691732694000009</v>
      </c>
      <c r="Y249" s="67">
        <f t="shared" si="2354"/>
        <v>-40.154064332999994</v>
      </c>
      <c r="Z249" s="67">
        <f t="shared" si="2354"/>
        <v>-84.567620294999998</v>
      </c>
      <c r="AA249" s="67">
        <f t="shared" si="2354"/>
        <v>-102.26635599999999</v>
      </c>
      <c r="AB249" s="67">
        <f t="shared" si="2354"/>
        <v>-97.403262147000007</v>
      </c>
      <c r="AC249" s="67">
        <f t="shared" si="2330"/>
        <v>-78.565643944652706</v>
      </c>
      <c r="AD249" s="67">
        <f t="shared" ref="AD249:AG249" si="2355">AD66*AD$215</f>
        <v>-15.005169834000004</v>
      </c>
      <c r="AE249" s="67">
        <f t="shared" si="2355"/>
        <v>56.713293747000016</v>
      </c>
      <c r="AF249" s="67">
        <f t="shared" si="2355"/>
        <v>-47.181946583999995</v>
      </c>
      <c r="AG249" s="67">
        <f t="shared" si="2355"/>
        <v>-31.649341149999998</v>
      </c>
      <c r="AH249" s="67">
        <f t="shared" ref="AH249:AS249" si="2356">AH66*AH$215</f>
        <v>-31.801430274135875</v>
      </c>
      <c r="AI249" s="67">
        <f t="shared" si="2356"/>
        <v>-29.037452486960714</v>
      </c>
      <c r="AJ249" s="250"/>
      <c r="AK249" s="250"/>
      <c r="AL249" s="250"/>
      <c r="AM249" s="281"/>
      <c r="AN249" s="67">
        <f t="shared" ref="AN249:AP249" si="2357">AN66*AN$215</f>
        <v>-53.374184</v>
      </c>
      <c r="AO249" s="67">
        <f t="shared" si="2357"/>
        <v>-36.691120400000003</v>
      </c>
      <c r="AP249" s="67">
        <f t="shared" si="2357"/>
        <v>-68.760712000000012</v>
      </c>
      <c r="AQ249" s="67">
        <f t="shared" ref="AQ249" si="2358">AQ66*AQ$215</f>
        <v>-40.951497000000003</v>
      </c>
      <c r="AR249" s="67">
        <f t="shared" si="2356"/>
        <v>-53.374184</v>
      </c>
      <c r="AS249" s="67">
        <f t="shared" si="2356"/>
        <v>-36.691120400000003</v>
      </c>
      <c r="AT249" s="67">
        <f t="shared" ref="AT249:AZ249" si="2359">AT66*AT$215</f>
        <v>-68.760712000000012</v>
      </c>
      <c r="AU249" s="67">
        <f t="shared" si="2359"/>
        <v>-40.198577100000001</v>
      </c>
      <c r="AV249" s="67">
        <f t="shared" ref="AV249:AW249" si="2360">AV66*AV$215</f>
        <v>-68.760712000000012</v>
      </c>
      <c r="AW249" s="67">
        <f t="shared" si="2360"/>
        <v>-48.255862</v>
      </c>
      <c r="AX249" s="67">
        <f t="shared" si="2359"/>
        <v>-48.194071200000003</v>
      </c>
      <c r="AY249" s="303">
        <f t="shared" ref="AY249" si="2361">AY66*AY$215</f>
        <v>-48.194071200000003</v>
      </c>
      <c r="AZ249" s="67">
        <f t="shared" si="2359"/>
        <v>-30.3224144</v>
      </c>
      <c r="BA249" s="67">
        <f t="shared" ref="BA249" si="2362">BA66*BA$215</f>
        <v>-30.3224144</v>
      </c>
      <c r="BB249" s="67">
        <f t="shared" ref="BB249" si="2363">BB66*BB$215</f>
        <v>-35.808695999999991</v>
      </c>
      <c r="BC249" s="67">
        <f t="shared" ref="BC249:BF249" si="2364">BC66*BC$215</f>
        <v>-35.808695999999991</v>
      </c>
      <c r="BD249" s="67">
        <f t="shared" si="2364"/>
        <v>-34.170680399999995</v>
      </c>
      <c r="BE249" s="67">
        <f t="shared" si="2364"/>
        <v>-43.348750499999994</v>
      </c>
      <c r="BF249" s="67">
        <f t="shared" si="2364"/>
        <v>-26.570552399999997</v>
      </c>
      <c r="BG249" s="67">
        <f t="shared" ref="BG249:BJ251" si="2365">BG66*BG$215</f>
        <v>-16.809662000000007</v>
      </c>
      <c r="BH249" s="67">
        <f t="shared" si="2365"/>
        <v>-53.261173199999988</v>
      </c>
      <c r="BI249" s="67">
        <f t="shared" si="2365"/>
        <v>-63.962793599999998</v>
      </c>
      <c r="BJ249" s="67">
        <f t="shared" si="2365"/>
        <v>-37.953786600000008</v>
      </c>
      <c r="BK249" s="67">
        <f t="shared" ref="BK249:BM262" si="2366">BK66*BK$215</f>
        <v>-21.058386386765424</v>
      </c>
      <c r="BL249" s="67">
        <f t="shared" si="2366"/>
        <v>-30.285088247333327</v>
      </c>
      <c r="BM249" s="67">
        <f t="shared" si="2366"/>
        <v>-86.934694906707008</v>
      </c>
      <c r="BO249" s="67">
        <f t="shared" ref="BO249:BP249" si="2367">BO66*BO$215</f>
        <v>-34.400183699999999</v>
      </c>
      <c r="BP249" s="67">
        <f t="shared" si="2367"/>
        <v>-43.348750499999994</v>
      </c>
      <c r="BQ249" s="67">
        <f t="shared" ref="BQ249:BT249" si="2368">BQ66*BQ$215</f>
        <v>-26.570552399999997</v>
      </c>
      <c r="BR249" s="67">
        <f t="shared" si="2368"/>
        <v>-16.809662000000007</v>
      </c>
      <c r="BS249" s="67">
        <f t="shared" si="2368"/>
        <v>-65.550778799999975</v>
      </c>
      <c r="BT249" s="67">
        <f t="shared" si="2368"/>
        <v>-64.012249600000004</v>
      </c>
      <c r="BV249" s="40"/>
      <c r="BW249" s="40"/>
      <c r="BY249" s="40"/>
      <c r="BZ249" s="40"/>
      <c r="CB249" s="16"/>
      <c r="CC249" s="16"/>
    </row>
    <row r="250" spans="2:81" ht="13.5" customHeight="1">
      <c r="B250" s="10" t="str">
        <f t="shared" si="2298"/>
        <v>Cash interest paid</v>
      </c>
      <c r="C250" s="66">
        <f t="shared" si="2299"/>
        <v>-278.43642547599995</v>
      </c>
      <c r="D250" s="67">
        <f t="shared" si="2299"/>
        <v>-301.74223023899998</v>
      </c>
      <c r="E250" s="67">
        <f t="shared" si="2299"/>
        <v>-273.15618454999998</v>
      </c>
      <c r="F250" s="67">
        <f t="shared" si="2299"/>
        <v>-407.90564514699997</v>
      </c>
      <c r="G250" s="67">
        <f t="shared" ref="G250:H250" si="2369">G67*G$215</f>
        <v>-333.37761348999999</v>
      </c>
      <c r="H250" s="67">
        <f t="shared" si="2369"/>
        <v>-338.26686838460603</v>
      </c>
      <c r="I250" s="67">
        <f t="shared" ref="I250" si="2370">I67*I$215</f>
        <v>-374.97891450503062</v>
      </c>
      <c r="J250" s="67">
        <f t="shared" ref="J250:K250" si="2371">J67*J$215</f>
        <v>-338.26686838460603</v>
      </c>
      <c r="K250" s="67">
        <f t="shared" si="2371"/>
        <v>-362.00337869999998</v>
      </c>
      <c r="L250" s="67">
        <f t="shared" ref="L250:M250" si="2372">L67*L$215</f>
        <v>-363.22144667499998</v>
      </c>
      <c r="M250" s="67">
        <f t="shared" si="2372"/>
        <v>-504.990982825</v>
      </c>
      <c r="N250" s="67">
        <f t="shared" ref="N250" si="2373">N67*N$215</f>
        <v>-503.52973422499997</v>
      </c>
      <c r="O250" s="67">
        <f t="shared" ref="O250:P250" si="2374">O67*O$215</f>
        <v>-471.83160147499996</v>
      </c>
      <c r="P250" s="67">
        <f t="shared" si="2374"/>
        <v>-471.83160147499996</v>
      </c>
      <c r="Q250" s="67">
        <f t="shared" ref="Q250" si="2375">Q67*Q$215</f>
        <v>-360.58507787633556</v>
      </c>
      <c r="R250" s="67">
        <f t="shared" ref="R250" si="2376">R67*R$215</f>
        <v>-290.26233809430329</v>
      </c>
      <c r="T250" s="67">
        <f t="shared" ref="T250:AB250" si="2377">T67*T$215</f>
        <v>-88.710195452000008</v>
      </c>
      <c r="U250" s="67">
        <f t="shared" si="2377"/>
        <v>-67.053266596999975</v>
      </c>
      <c r="V250" s="67">
        <f t="shared" si="2377"/>
        <v>383.91987287500001</v>
      </c>
      <c r="W250" s="67">
        <f t="shared" si="2377"/>
        <v>-493.86226802599998</v>
      </c>
      <c r="X250" s="67">
        <f t="shared" si="2377"/>
        <v>-72.671642739999996</v>
      </c>
      <c r="Y250" s="67">
        <f t="shared" si="2377"/>
        <v>-10.417932065999995</v>
      </c>
      <c r="Z250" s="67">
        <f t="shared" si="2377"/>
        <v>-234.13541751</v>
      </c>
      <c r="AA250" s="67">
        <f t="shared" si="2377"/>
        <v>-89.834844624999988</v>
      </c>
      <c r="AB250" s="67">
        <f t="shared" si="2377"/>
        <v>-121.191325764</v>
      </c>
      <c r="AC250" s="67">
        <f t="shared" si="2330"/>
        <v>-178.48905548614005</v>
      </c>
      <c r="AD250" s="67">
        <f t="shared" ref="AD250:AG250" si="2378">AD67*AD$215</f>
        <v>22.580452141999963</v>
      </c>
      <c r="AE250" s="67">
        <f t="shared" si="2378"/>
        <v>-52.910388497999975</v>
      </c>
      <c r="AF250" s="67">
        <f t="shared" si="2378"/>
        <v>-119.602045971</v>
      </c>
      <c r="AG250" s="67">
        <f t="shared" si="2378"/>
        <v>-61.469301249999994</v>
      </c>
      <c r="AH250" s="67">
        <f t="shared" ref="AH250:AS250" si="2379">AH67*AH$215</f>
        <v>-102.87961859356378</v>
      </c>
      <c r="AI250" s="67">
        <f t="shared" si="2379"/>
        <v>-54.633130857829592</v>
      </c>
      <c r="AJ250" s="250"/>
      <c r="AK250" s="250"/>
      <c r="AL250" s="250"/>
      <c r="AM250" s="281"/>
      <c r="AN250" s="67">
        <f t="shared" ref="AN250:AP250" si="2380">AN67*AN$215</f>
        <v>-126.5055296</v>
      </c>
      <c r="AO250" s="67">
        <f t="shared" si="2380"/>
        <v>-58.143319300000009</v>
      </c>
      <c r="AP250" s="67">
        <f t="shared" si="2380"/>
        <v>-104.65211600000001</v>
      </c>
      <c r="AQ250" s="67">
        <f t="shared" ref="AQ250" si="2381">AQ67*AQ$215</f>
        <v>-75.380912999999993</v>
      </c>
      <c r="AR250" s="67">
        <f t="shared" si="2379"/>
        <v>-126.5055296</v>
      </c>
      <c r="AS250" s="67">
        <f t="shared" si="2379"/>
        <v>-58.143319300000009</v>
      </c>
      <c r="AT250" s="67">
        <f t="shared" ref="AT250:AZ250" si="2382">AT67*AT$215</f>
        <v>-104.65211600000001</v>
      </c>
      <c r="AU250" s="67">
        <f t="shared" si="2382"/>
        <v>-73.994985899999989</v>
      </c>
      <c r="AV250" s="67">
        <f t="shared" ref="AV250:AW250" si="2383">AV67*AV$215</f>
        <v>-104.65211600000001</v>
      </c>
      <c r="AW250" s="67">
        <f t="shared" si="2383"/>
        <v>-74.97839799999997</v>
      </c>
      <c r="AX250" s="67">
        <f t="shared" si="2382"/>
        <v>-125.86891680000001</v>
      </c>
      <c r="AY250" s="303">
        <f t="shared" ref="AY250" si="2384">AY67*AY$215</f>
        <v>-125.86891680000001</v>
      </c>
      <c r="AZ250" s="67">
        <f t="shared" si="2382"/>
        <v>-146.3444044</v>
      </c>
      <c r="BA250" s="67">
        <f t="shared" ref="BA250" si="2385">BA67*BA$215</f>
        <v>-146.3444044</v>
      </c>
      <c r="BB250" s="67">
        <f t="shared" ref="BB250" si="2386">BB67*BB$215</f>
        <v>-151.94822400000001</v>
      </c>
      <c r="BC250" s="67">
        <f t="shared" ref="BC250:BF250" si="2387">BC67*BC$215</f>
        <v>-151.94822400000001</v>
      </c>
      <c r="BD250" s="67">
        <f t="shared" si="2387"/>
        <v>-81.605120099999979</v>
      </c>
      <c r="BE250" s="67">
        <f t="shared" si="2387"/>
        <v>-162.29154869999999</v>
      </c>
      <c r="BF250" s="67">
        <f t="shared" si="2387"/>
        <v>-99.165836899999988</v>
      </c>
      <c r="BG250" s="67">
        <f t="shared" si="2365"/>
        <v>-126.93072849999999</v>
      </c>
      <c r="BH250" s="67">
        <f t="shared" si="2365"/>
        <v>-80.925747599999951</v>
      </c>
      <c r="BI250" s="67">
        <f t="shared" si="2365"/>
        <v>-147.28356480000002</v>
      </c>
      <c r="BJ250" s="67">
        <f t="shared" si="2365"/>
        <v>-98.164175399999991</v>
      </c>
      <c r="BK250" s="67">
        <f t="shared" si="2366"/>
        <v>-81.714907817196405</v>
      </c>
      <c r="BL250" s="67">
        <f t="shared" si="2366"/>
        <v>-28.968481375358159</v>
      </c>
      <c r="BM250" s="67">
        <f t="shared" si="2366"/>
        <v>-80.391074130105892</v>
      </c>
      <c r="BN250" s="304"/>
      <c r="BO250" s="67">
        <f t="shared" ref="BO250:BP250" si="2388">BO67*BO$215</f>
        <v>-80.187687299999951</v>
      </c>
      <c r="BP250" s="67">
        <f t="shared" si="2388"/>
        <v>-162.29154869999999</v>
      </c>
      <c r="BQ250" s="67">
        <f t="shared" ref="BQ250:BT250" si="2389">BQ67*BQ$215</f>
        <v>-99.165836899999988</v>
      </c>
      <c r="BR250" s="67">
        <f t="shared" si="2389"/>
        <v>-126.93072850000001</v>
      </c>
      <c r="BS250" s="67">
        <f t="shared" si="2389"/>
        <v>-80.925747599999923</v>
      </c>
      <c r="BT250" s="67">
        <f t="shared" si="2389"/>
        <v>-147.28356480000002</v>
      </c>
      <c r="BU250" s="305"/>
      <c r="BV250" s="40"/>
      <c r="BW250" s="40"/>
      <c r="BY250" s="40"/>
      <c r="BZ250" s="40"/>
      <c r="CB250" s="16"/>
      <c r="CC250" s="16"/>
    </row>
    <row r="251" spans="2:81" s="6" customFormat="1" ht="13.5" customHeight="1" thickBot="1">
      <c r="B251" s="63" t="str">
        <f t="shared" si="2298"/>
        <v xml:space="preserve">Net cash from operations </v>
      </c>
      <c r="C251" s="68">
        <f t="shared" si="2299"/>
        <v>3568.8699619429999</v>
      </c>
      <c r="D251" s="68">
        <f t="shared" si="2299"/>
        <v>3480.6723072480004</v>
      </c>
      <c r="E251" s="68">
        <f t="shared" si="2299"/>
        <v>3578.1880539499998</v>
      </c>
      <c r="F251" s="68">
        <f t="shared" si="2299"/>
        <v>4625.1248581719992</v>
      </c>
      <c r="G251" s="68">
        <f t="shared" ref="G251:H251" si="2390">G68*G$215</f>
        <v>4235.9031154079994</v>
      </c>
      <c r="H251" s="68">
        <f t="shared" si="2390"/>
        <v>4909.7665081248861</v>
      </c>
      <c r="I251" s="68">
        <f t="shared" ref="I251" si="2391">I68*I$215</f>
        <v>5010.6515436099053</v>
      </c>
      <c r="J251" s="68">
        <f t="shared" ref="J251:K251" si="2392">J68*J$215</f>
        <v>4292.0964229930005</v>
      </c>
      <c r="K251" s="68">
        <f t="shared" si="2392"/>
        <v>4191.6259615500003</v>
      </c>
      <c r="L251" s="68">
        <f t="shared" ref="L251:M251" si="2393">L68*L$215</f>
        <v>4012.5765240999999</v>
      </c>
      <c r="M251" s="68">
        <f t="shared" si="2393"/>
        <v>3795.0174223499994</v>
      </c>
      <c r="N251" s="68">
        <f t="shared" ref="N251" si="2394">N68*N$215</f>
        <v>3897.0291956749988</v>
      </c>
      <c r="O251" s="68">
        <f t="shared" ref="O251:P251" si="2395">O68*O$215</f>
        <v>4381.5274155250008</v>
      </c>
      <c r="P251" s="68">
        <f t="shared" si="2395"/>
        <v>3210.5280093250003</v>
      </c>
      <c r="Q251" s="68">
        <f t="shared" ref="Q251" si="2396">Q68*Q$215</f>
        <v>2141.3066821713041</v>
      </c>
      <c r="R251" s="68">
        <f t="shared" ref="R251" si="2397">R68*R$215</f>
        <v>1629.140704505535</v>
      </c>
      <c r="S251"/>
      <c r="T251" s="68">
        <f t="shared" ref="T251:AB251" si="2398">T68*T$215</f>
        <v>182.14530518000004</v>
      </c>
      <c r="U251" s="68">
        <f t="shared" si="2398"/>
        <v>600.69818526599988</v>
      </c>
      <c r="V251" s="68">
        <f t="shared" si="2398"/>
        <v>863.30063242499966</v>
      </c>
      <c r="W251" s="68">
        <f t="shared" si="2398"/>
        <v>1875.0839916360003</v>
      </c>
      <c r="X251" s="68">
        <f t="shared" si="2398"/>
        <v>1024.422124039</v>
      </c>
      <c r="Y251" s="68">
        <f t="shared" si="2398"/>
        <v>1157.2902534029997</v>
      </c>
      <c r="Z251" s="68">
        <f t="shared" si="2398"/>
        <v>1193.9802975000007</v>
      </c>
      <c r="AA251" s="68">
        <f t="shared" si="2398"/>
        <v>1247.572318999999</v>
      </c>
      <c r="AB251" s="68">
        <f t="shared" si="2398"/>
        <v>962.39583743100036</v>
      </c>
      <c r="AC251" s="68">
        <f t="shared" si="2330"/>
        <v>1115.323939099449</v>
      </c>
      <c r="AD251" s="68">
        <f t="shared" ref="AD251:AG251" si="2399">AD68*AD$215</f>
        <v>1150.6897610859996</v>
      </c>
      <c r="AE251" s="68">
        <f t="shared" si="2399"/>
        <v>1002.104870151</v>
      </c>
      <c r="AF251" s="68">
        <f t="shared" si="2399"/>
        <v>1010.4058696890002</v>
      </c>
      <c r="AG251" s="68">
        <f t="shared" si="2399"/>
        <v>1401.0973070499999</v>
      </c>
      <c r="AH251" s="68">
        <f t="shared" ref="AH251:AS251" si="2400">AH68*AH$215</f>
        <v>1377.3108462455305</v>
      </c>
      <c r="AI251" s="68">
        <f t="shared" si="2400"/>
        <v>1116.9975899668302</v>
      </c>
      <c r="AJ251" s="251"/>
      <c r="AK251" s="251"/>
      <c r="AL251" s="251"/>
      <c r="AM251" s="282"/>
      <c r="AN251" s="68">
        <f t="shared" ref="AN251:AP251" si="2401">AN68*AN$215</f>
        <v>1193.647344</v>
      </c>
      <c r="AO251" s="68">
        <f t="shared" si="2401"/>
        <v>1293.4774038999999</v>
      </c>
      <c r="AP251" s="68">
        <f t="shared" si="2401"/>
        <v>1218.8711699999997</v>
      </c>
      <c r="AQ251" s="68">
        <f t="shared" ref="AQ251" si="2402">AQ68*AQ$215</f>
        <v>1150.4737250000005</v>
      </c>
      <c r="AR251" s="68">
        <f t="shared" si="2400"/>
        <v>1038.1001648000001</v>
      </c>
      <c r="AS251" s="68">
        <f t="shared" si="2400"/>
        <v>1136.9964287</v>
      </c>
      <c r="AT251" s="68">
        <f t="shared" ref="AT251:AZ251" si="2403">AT68*AT$215</f>
        <v>1055.7243699999997</v>
      </c>
      <c r="AU251" s="68">
        <f t="shared" si="2403"/>
        <v>960.18974590000096</v>
      </c>
      <c r="AV251" s="68">
        <f t="shared" ref="AV251:AW251" si="2404">AV68*AV$215</f>
        <v>1019.1077699999996</v>
      </c>
      <c r="AW251" s="68">
        <f t="shared" si="2404"/>
        <v>821.68765400000075</v>
      </c>
      <c r="AX251" s="68">
        <f t="shared" si="2403"/>
        <v>875.01512339999988</v>
      </c>
      <c r="AY251" s="68">
        <f t="shared" ref="AY251" si="2405">AY68*AY$215</f>
        <v>821.8628847</v>
      </c>
      <c r="AZ251" s="68">
        <f t="shared" si="2403"/>
        <v>966.15088620000006</v>
      </c>
      <c r="BA251" s="68">
        <f t="shared" ref="BA251" si="2406">BA68*BA$215</f>
        <v>916.35787640000012</v>
      </c>
      <c r="BB251" s="68">
        <f t="shared" ref="BB251" si="2407">BB68*BB$215</f>
        <v>1117.4976000000004</v>
      </c>
      <c r="BC251" s="68">
        <f t="shared" ref="BC251:BF251" si="2408">BC68*BC$215</f>
        <v>1079.4816000000003</v>
      </c>
      <c r="BD251" s="68">
        <f t="shared" si="2408"/>
        <v>869.73157619999938</v>
      </c>
      <c r="BE251" s="68">
        <f t="shared" si="2408"/>
        <v>980.91978290000009</v>
      </c>
      <c r="BF251" s="68">
        <f t="shared" si="2408"/>
        <v>1146.1495187999999</v>
      </c>
      <c r="BG251" s="68">
        <f t="shared" si="2365"/>
        <v>1079.8032430000003</v>
      </c>
      <c r="BH251" s="68">
        <f t="shared" si="2365"/>
        <v>1174.4077548000002</v>
      </c>
      <c r="BI251" s="68">
        <f t="shared" si="2365"/>
        <v>900.33231760000001</v>
      </c>
      <c r="BJ251" s="68">
        <f t="shared" si="2365"/>
        <v>378.48878640000004</v>
      </c>
      <c r="BK251" s="68">
        <f t="shared" si="2366"/>
        <v>551.31327953044752</v>
      </c>
      <c r="BL251" s="68">
        <f t="shared" si="2366"/>
        <v>289.30533818111758</v>
      </c>
      <c r="BM251" s="68">
        <f t="shared" si="2366"/>
        <v>407.06379223398886</v>
      </c>
      <c r="BO251" s="68">
        <f t="shared" ref="BO251:BP251" si="2409">BO68*BO$215</f>
        <v>1066.3233797999992</v>
      </c>
      <c r="BP251" s="68">
        <f t="shared" si="2409"/>
        <v>995.03530379999995</v>
      </c>
      <c r="BQ251" s="68">
        <f t="shared" ref="BQ251:BT252" si="2410">BQ68*BQ$215</f>
        <v>868.88208140000006</v>
      </c>
      <c r="BR251" s="68">
        <f t="shared" si="2410"/>
        <v>805.71119300000021</v>
      </c>
      <c r="BS251" s="68">
        <f t="shared" si="2410"/>
        <v>517.82868540000061</v>
      </c>
      <c r="BT251" s="68">
        <f t="shared" si="2410"/>
        <v>622.64429600000005</v>
      </c>
      <c r="BV251" s="40"/>
      <c r="BW251" s="40"/>
      <c r="BY251" s="40"/>
      <c r="BZ251" s="40"/>
      <c r="CB251" s="16"/>
      <c r="CC251" s="16"/>
    </row>
    <row r="252" spans="2:81" s="6" customFormat="1" ht="13.5" customHeight="1" thickTop="1">
      <c r="B252" s="10" t="str">
        <f t="shared" si="2298"/>
        <v>Net Capex</v>
      </c>
      <c r="C252" s="69">
        <f t="shared" si="2299"/>
        <v>-1323.1012420340001</v>
      </c>
      <c r="D252" s="69">
        <f t="shared" si="2299"/>
        <v>-1136.1242173140001</v>
      </c>
      <c r="E252" s="69">
        <f t="shared" si="2299"/>
        <v>-1644.8455031249998</v>
      </c>
      <c r="F252" s="69">
        <f t="shared" si="2299"/>
        <v>-1634.6113973280001</v>
      </c>
      <c r="G252" s="69">
        <f t="shared" ref="G252:H252" si="2411">G69*G$215</f>
        <v>-1075.7760080279998</v>
      </c>
      <c r="H252" s="69">
        <f t="shared" si="2411"/>
        <v>-1541.00802879816</v>
      </c>
      <c r="I252" s="69">
        <f t="shared" ref="I252" si="2412">I69*I$215</f>
        <v>-2275.0372485434418</v>
      </c>
      <c r="J252" s="69">
        <f t="shared" ref="J252:K252" si="2413">J69*J$215</f>
        <v>-1511.7787188721181</v>
      </c>
      <c r="K252" s="69">
        <f t="shared" si="2413"/>
        <v>-2196.31328265</v>
      </c>
      <c r="L252" s="69">
        <f t="shared" ref="L252:M252" si="2414">L69*L$215</f>
        <v>-2224.0976081250001</v>
      </c>
      <c r="M252" s="69">
        <f t="shared" si="2414"/>
        <v>-1523.8327548499999</v>
      </c>
      <c r="N252" s="69">
        <f t="shared" ref="N252" si="2415">N69*N$215</f>
        <v>-1558.2580527499999</v>
      </c>
      <c r="O252" s="69">
        <f t="shared" ref="O252:P252" si="2416">O69*O$215</f>
        <v>-1103.0688893249999</v>
      </c>
      <c r="P252" s="69">
        <f t="shared" si="2416"/>
        <v>-1121.2530296499999</v>
      </c>
      <c r="Q252" s="69">
        <f t="shared" ref="Q252" si="2417">Q69*Q$215</f>
        <v>-473.82800282616705</v>
      </c>
      <c r="R252" s="69">
        <f>R69*R$215</f>
        <v>-395.21192128787538</v>
      </c>
      <c r="S252"/>
      <c r="T252" s="69">
        <f t="shared" ref="T252:AB252" si="2418">T69*T$215</f>
        <v>-335.40367558000003</v>
      </c>
      <c r="U252" s="69">
        <f t="shared" si="2418"/>
        <v>-467.45845493900003</v>
      </c>
      <c r="V252" s="69">
        <f t="shared" si="2418"/>
        <v>-441.48297847500004</v>
      </c>
      <c r="W252" s="69">
        <f t="shared" si="2418"/>
        <v>-400.21589481199999</v>
      </c>
      <c r="X252" s="69">
        <f t="shared" si="2418"/>
        <v>-411.28782330900003</v>
      </c>
      <c r="Y252" s="69">
        <f t="shared" si="2418"/>
        <v>-340.91728870499998</v>
      </c>
      <c r="Z252" s="69">
        <f t="shared" si="2418"/>
        <v>-344.45833240499985</v>
      </c>
      <c r="AA252" s="69">
        <f t="shared" si="2418"/>
        <v>-537.83941887500009</v>
      </c>
      <c r="AB252" s="69">
        <f t="shared" si="2418"/>
        <v>-174.703884789</v>
      </c>
      <c r="AC252" s="69">
        <f t="shared" si="2330"/>
        <v>-395.37692628071648</v>
      </c>
      <c r="AD252" s="69">
        <f t="shared" ref="AD252:AG252" si="2419">AD69*AD$215</f>
        <v>-247.98329370599996</v>
      </c>
      <c r="AE252" s="69">
        <f t="shared" si="2419"/>
        <v>-252.75862497599991</v>
      </c>
      <c r="AF252" s="69">
        <f t="shared" si="2419"/>
        <v>-318.24633966899995</v>
      </c>
      <c r="AG252" s="69">
        <f t="shared" si="2419"/>
        <v>-460.61541225000002</v>
      </c>
      <c r="AH252" s="69">
        <f t="shared" ref="AH252:AS252" si="2420">AH69*AH$215</f>
        <v>-365.46746126340884</v>
      </c>
      <c r="AI252" s="69">
        <f t="shared" si="2420"/>
        <v>-396.19469826763611</v>
      </c>
      <c r="AJ252" s="229"/>
      <c r="AK252" s="229"/>
      <c r="AL252" s="229"/>
      <c r="AM252" s="283"/>
      <c r="AN252" s="69">
        <f t="shared" ref="AN252:AP252" si="2421">AN69*AN$215</f>
        <v>-408.08501440000003</v>
      </c>
      <c r="AO252" s="69">
        <f t="shared" si="2421"/>
        <v>-792.87889009999992</v>
      </c>
      <c r="AP252" s="69">
        <f t="shared" si="2421"/>
        <v>-582.63656000000015</v>
      </c>
      <c r="AQ252" s="69">
        <f t="shared" ref="AQ252" si="2422">AQ69*AQ$215</f>
        <v>-418.95411400000017</v>
      </c>
      <c r="AR252" s="69">
        <f t="shared" si="2420"/>
        <v>-408.08501440000003</v>
      </c>
      <c r="AS252" s="69">
        <f t="shared" si="2420"/>
        <v>-792.87889009999992</v>
      </c>
      <c r="AT252" s="69">
        <f t="shared" ref="AT252:AZ252" si="2423">AT69*AT$215</f>
        <v>-582.63656000000015</v>
      </c>
      <c r="AU252" s="69">
        <f t="shared" si="2423"/>
        <v>-411.25137020000028</v>
      </c>
      <c r="AV252" s="69">
        <f t="shared" ref="AV252:AW252" si="2424">AV69*AV$215</f>
        <v>-582.63656000000015</v>
      </c>
      <c r="AW252" s="69">
        <f t="shared" si="2424"/>
        <v>-436.40877000000006</v>
      </c>
      <c r="AX252" s="69">
        <f t="shared" si="2423"/>
        <v>-418.46068440000005</v>
      </c>
      <c r="AY252" s="69">
        <f t="shared" ref="AY252" si="2425">AY69*AY$215</f>
        <v>-418.46068440000005</v>
      </c>
      <c r="AZ252" s="69">
        <f t="shared" si="2423"/>
        <v>-438.02880749999997</v>
      </c>
      <c r="BA252" s="69">
        <f t="shared" ref="BA252" si="2426">BA69*BA$215</f>
        <v>-438.02880749999997</v>
      </c>
      <c r="BB252" s="69">
        <f t="shared" ref="BB252" si="2427">BB69*BB$215</f>
        <v>-374.25974400000018</v>
      </c>
      <c r="BC252" s="69">
        <f t="shared" ref="BC252:BF252" si="2428">BC69*BC$215</f>
        <v>-374.25974400000018</v>
      </c>
      <c r="BD252" s="69">
        <f t="shared" si="2428"/>
        <v>-296.55335909999991</v>
      </c>
      <c r="BE252" s="69">
        <f>BE69*BE$215</f>
        <v>-324.75076379999996</v>
      </c>
      <c r="BF252" s="69">
        <f t="shared" si="2428"/>
        <v>-302.04637710000003</v>
      </c>
      <c r="BG252" s="69">
        <f t="shared" ref="BG252:BI262" si="2429">BG69*BG$215</f>
        <v>-216.96622899999986</v>
      </c>
      <c r="BH252" s="69">
        <f t="shared" si="2429"/>
        <v>-253.15395959999998</v>
      </c>
      <c r="BI252" s="69">
        <f t="shared" si="2429"/>
        <v>-193.362844</v>
      </c>
      <c r="BJ252" s="69">
        <f>BJ69*BJ$215</f>
        <v>-92.315289599999986</v>
      </c>
      <c r="BK252" s="69">
        <f t="shared" si="2366"/>
        <v>-99.957162805007911</v>
      </c>
      <c r="BL252" s="69">
        <f t="shared" si="2366"/>
        <v>-83.837374491343795</v>
      </c>
      <c r="BM252" s="69">
        <f t="shared" si="2366"/>
        <v>-119.90368129097325</v>
      </c>
      <c r="BN252" s="304"/>
      <c r="BO252" s="69">
        <f t="shared" ref="BO252" si="2430">BO69*BO$215</f>
        <v>-329.94640829999986</v>
      </c>
      <c r="BP252" s="69">
        <f>BP69*BP$215</f>
        <v>-324.75076379999996</v>
      </c>
      <c r="BQ252" s="69">
        <f t="shared" si="2410"/>
        <v>-302.04637710000003</v>
      </c>
      <c r="BR252" s="69">
        <f t="shared" si="2410"/>
        <v>-216.96622899999991</v>
      </c>
      <c r="BS252" s="69">
        <f t="shared" si="2410"/>
        <v>-272.05931339999972</v>
      </c>
      <c r="BT252" s="69">
        <f>BT69*BT$215</f>
        <v>-193.362844</v>
      </c>
      <c r="BU252" s="305"/>
      <c r="BV252" s="40"/>
      <c r="BW252" s="40"/>
      <c r="BY252" s="40"/>
      <c r="BZ252" s="40"/>
      <c r="CB252" s="16"/>
      <c r="CC252" s="16"/>
    </row>
    <row r="253" spans="2:81" ht="13.5" customHeight="1">
      <c r="B253" s="10" t="str">
        <f t="shared" si="2298"/>
        <v>Purchase and development of intangible assets</v>
      </c>
      <c r="C253" s="69">
        <f t="shared" si="2299"/>
        <v>-242.048777718</v>
      </c>
      <c r="D253" s="69">
        <f t="shared" si="2299"/>
        <v>-23.110846668000001</v>
      </c>
      <c r="E253" s="69">
        <f t="shared" si="2299"/>
        <v>-133.98410799999999</v>
      </c>
      <c r="F253" s="69">
        <f t="shared" si="2299"/>
        <v>-103.722080644</v>
      </c>
      <c r="G253" s="69">
        <f t="shared" ref="G253:H253" si="2431">G70*G$215</f>
        <v>-142.054683934</v>
      </c>
      <c r="H253" s="69">
        <f t="shared" si="2431"/>
        <v>-137.99800694001323</v>
      </c>
      <c r="I253" s="69">
        <f t="shared" ref="I253" si="2432">I70*I$215</f>
        <v>-104.77684091418914</v>
      </c>
      <c r="J253" s="69">
        <f t="shared" ref="J253:K253" si="2433">J70*J$215</f>
        <v>-137.99800694001323</v>
      </c>
      <c r="K253" s="69">
        <f t="shared" si="2433"/>
        <v>-101.15120865</v>
      </c>
      <c r="L253" s="69">
        <f t="shared" ref="L253:M253" si="2434">L70*L$215</f>
        <v>-102.18628235</v>
      </c>
      <c r="M253" s="69">
        <f t="shared" si="2434"/>
        <v>-160.728355725</v>
      </c>
      <c r="N253" s="69">
        <f t="shared" ref="N253" si="2435">N70*N$215</f>
        <v>-160.728355725</v>
      </c>
      <c r="O253" s="69">
        <f t="shared" ref="O253:P253" si="2436">O70*O$215</f>
        <v>-174.82339289999999</v>
      </c>
      <c r="P253" s="69">
        <f t="shared" si="2436"/>
        <v>-174.86735662500001</v>
      </c>
      <c r="Q253" s="69">
        <f t="shared" ref="Q253" si="2437">Q70*Q$215</f>
        <v>-77.483021803134662</v>
      </c>
      <c r="R253" s="69">
        <f t="shared" ref="R253" si="2438">R70*R$215</f>
        <v>-73.149214841617507</v>
      </c>
      <c r="T253" s="69">
        <f t="shared" ref="T253:AB253" si="2439">T70*T$215</f>
        <v>-99.272892815999995</v>
      </c>
      <c r="U253" s="69">
        <f t="shared" si="2439"/>
        <v>-26.65235225</v>
      </c>
      <c r="V253" s="69">
        <f t="shared" si="2439"/>
        <v>-31.146848424999991</v>
      </c>
      <c r="W253" s="69">
        <f t="shared" si="2439"/>
        <v>19.558125405999988</v>
      </c>
      <c r="X253" s="69">
        <f t="shared" si="2439"/>
        <v>-0.168372997</v>
      </c>
      <c r="Y253" s="69">
        <f t="shared" si="2439"/>
        <v>-2.514648309</v>
      </c>
      <c r="Z253" s="69">
        <f t="shared" si="2439"/>
        <v>-76.826381849999976</v>
      </c>
      <c r="AA253" s="69">
        <f t="shared" si="2439"/>
        <v>-23.681607750000019</v>
      </c>
      <c r="AB253" s="69">
        <f t="shared" si="2439"/>
        <v>-10.237767578</v>
      </c>
      <c r="AC253" s="69">
        <f t="shared" si="2330"/>
        <v>-5.2496644916469979</v>
      </c>
      <c r="AD253" s="69">
        <f t="shared" ref="AD253:AG253" si="2440">AD70*AD$215</f>
        <v>-42.332249990000001</v>
      </c>
      <c r="AE253" s="69">
        <f t="shared" si="2440"/>
        <v>-86.063596673999996</v>
      </c>
      <c r="AF253" s="69">
        <f t="shared" si="2440"/>
        <v>-6.2829291600000001</v>
      </c>
      <c r="AG253" s="69">
        <f t="shared" si="2440"/>
        <v>-36.408073799999997</v>
      </c>
      <c r="AH253" s="69">
        <f t="shared" ref="AH253:AS253" si="2441">AH70*AH$215</f>
        <v>-63.660786650774732</v>
      </c>
      <c r="AI253" s="69">
        <f t="shared" si="2441"/>
        <v>-30.795249935945197</v>
      </c>
      <c r="AJ253" s="229"/>
      <c r="AK253" s="229"/>
      <c r="AL253" s="229"/>
      <c r="AM253" s="283"/>
      <c r="AN253" s="69">
        <f t="shared" ref="AN253:AP253" si="2442">AN70*AN$215</f>
        <v>-14.783422400000001</v>
      </c>
      <c r="AO253" s="69">
        <f t="shared" si="2442"/>
        <v>-19.648633400000001</v>
      </c>
      <c r="AP253" s="69">
        <f t="shared" si="2442"/>
        <v>-40.051914999999994</v>
      </c>
      <c r="AQ253" s="69">
        <f t="shared" ref="AQ253" si="2443">AQ70*AQ$215</f>
        <v>-26.189343000000008</v>
      </c>
      <c r="AR253" s="69">
        <f t="shared" si="2441"/>
        <v>-14.783422400000001</v>
      </c>
      <c r="AS253" s="69">
        <f t="shared" si="2441"/>
        <v>-19.648633400000001</v>
      </c>
      <c r="AT253" s="69">
        <f t="shared" ref="AT253:AZ253" si="2444">AT70*AT$215</f>
        <v>-40.051914999999994</v>
      </c>
      <c r="AU253" s="69">
        <f t="shared" si="2444"/>
        <v>-25.707834900000009</v>
      </c>
      <c r="AV253" s="69">
        <f t="shared" ref="AV253:AW253" si="2445">AV70*AV$215</f>
        <v>-40.051914999999994</v>
      </c>
      <c r="AW253" s="69">
        <f t="shared" si="2445"/>
        <v>-26.754648</v>
      </c>
      <c r="AX253" s="69">
        <f t="shared" si="2444"/>
        <v>-36.125515800000002</v>
      </c>
      <c r="AY253" s="69">
        <f t="shared" ref="AY253" si="2446">AY70*AY$215</f>
        <v>-36.125515800000002</v>
      </c>
      <c r="AZ253" s="69">
        <f t="shared" si="2444"/>
        <v>-26.6718157</v>
      </c>
      <c r="BA253" s="69">
        <f t="shared" ref="BA253" si="2447">BA70*BA$215</f>
        <v>-26.6718157</v>
      </c>
      <c r="BB253" s="69">
        <f t="shared" ref="BB253" si="2448">BB70*BB$215</f>
        <v>-42.567551999999999</v>
      </c>
      <c r="BC253" s="69">
        <f t="shared" ref="BC253:BF253" si="2449">BC70*BC$215</f>
        <v>-42.567551999999999</v>
      </c>
      <c r="BD253" s="69">
        <f t="shared" si="2449"/>
        <v>-54.540959400000006</v>
      </c>
      <c r="BE253" s="69">
        <f t="shared" si="2449"/>
        <v>-29.827048099999999</v>
      </c>
      <c r="BF253" s="69">
        <f t="shared" si="2449"/>
        <v>-41.210050299999992</v>
      </c>
      <c r="BG253" s="69">
        <f t="shared" si="2429"/>
        <v>-54.595481500000012</v>
      </c>
      <c r="BH253" s="69">
        <f t="shared" si="2429"/>
        <v>-50.067340199999997</v>
      </c>
      <c r="BI253" s="69">
        <f t="shared" si="2429"/>
        <v>-43.947950399999996</v>
      </c>
      <c r="BJ253" s="69">
        <f t="shared" ref="BJ253:BJ262" si="2450">BJ70*BJ$215</f>
        <v>-30.573774000000004</v>
      </c>
      <c r="BK253" s="69">
        <f t="shared" si="2366"/>
        <v>-15.2550114784749</v>
      </c>
      <c r="BL253" s="69">
        <f t="shared" si="2366"/>
        <v>14.435722713154023</v>
      </c>
      <c r="BM253" s="69">
        <f t="shared" si="2366"/>
        <v>-42.371406959152793</v>
      </c>
      <c r="BO253" s="69">
        <f t="shared" ref="BO253:BP253" si="2451">BO70*BO$215</f>
        <v>-54.540959400000006</v>
      </c>
      <c r="BP253" s="69">
        <f t="shared" si="2451"/>
        <v>-29.827048099999999</v>
      </c>
      <c r="BQ253" s="69">
        <f t="shared" ref="BQ253:BT253" si="2452">BQ70*BQ$215</f>
        <v>-41.210050299999992</v>
      </c>
      <c r="BR253" s="69">
        <f t="shared" si="2452"/>
        <v>-54.595481500000005</v>
      </c>
      <c r="BS253" s="69">
        <f t="shared" si="2452"/>
        <v>-50.113047600000009</v>
      </c>
      <c r="BT253" s="69">
        <f t="shared" si="2452"/>
        <v>-43.947950399999996</v>
      </c>
      <c r="BV253" s="40"/>
      <c r="BW253" s="40"/>
      <c r="BY253" s="40"/>
      <c r="BZ253" s="40"/>
      <c r="CB253" s="16"/>
      <c r="CC253" s="16"/>
    </row>
    <row r="254" spans="2:81" ht="13.5" customHeight="1">
      <c r="B254" s="10" t="str">
        <f t="shared" si="2298"/>
        <v>Disposals/ Acquistion of subsidiaries</v>
      </c>
      <c r="C254" s="69">
        <f t="shared" si="2299"/>
        <v>-5.468740540999999</v>
      </c>
      <c r="D254" s="69">
        <f t="shared" si="2299"/>
        <v>-8.7466875209999984</v>
      </c>
      <c r="E254" s="69">
        <f t="shared" si="2299"/>
        <v>-39.363531700000003</v>
      </c>
      <c r="F254" s="69">
        <f t="shared" si="2299"/>
        <v>399.80686918900005</v>
      </c>
      <c r="G254" s="69">
        <f t="shared" ref="G254:H254" si="2453">G71*G$215</f>
        <v>-7.1224573019999999</v>
      </c>
      <c r="H254" s="69">
        <f t="shared" si="2453"/>
        <v>-3.6518188379102887</v>
      </c>
      <c r="I254" s="69">
        <f t="shared" ref="I254" si="2454">I71*I$215</f>
        <v>-656.43973192489136</v>
      </c>
      <c r="J254" s="69">
        <f t="shared" ref="J254:K254" si="2455">J71*J$215</f>
        <v>-3.6518188379102887</v>
      </c>
      <c r="K254" s="69">
        <f t="shared" si="2455"/>
        <v>-633.72470205000002</v>
      </c>
      <c r="L254" s="69">
        <f t="shared" ref="L254:M254" si="2456">L71*L$215</f>
        <v>-636.57931782500009</v>
      </c>
      <c r="M254" s="69">
        <f t="shared" si="2456"/>
        <v>-11.913430025</v>
      </c>
      <c r="N254" s="69">
        <f t="shared" ref="N254" si="2457">N71*N$215</f>
        <v>-11.913430025</v>
      </c>
      <c r="O254" s="69">
        <f t="shared" ref="O254:P254" si="2458">O71*O$215</f>
        <v>-1.4134009500000002</v>
      </c>
      <c r="P254" s="69">
        <f t="shared" si="2458"/>
        <v>3.8561217499999998</v>
      </c>
      <c r="Q254" s="69">
        <f t="shared" ref="Q254" si="2459">Q71*Q$215</f>
        <v>313.23421254475636</v>
      </c>
      <c r="R254" s="69">
        <f t="shared" ref="R254" si="2460">R71*R$215</f>
        <v>322.39981622312246</v>
      </c>
      <c r="T254" s="69">
        <f t="shared" ref="T254:AB254" si="2461">T71*T$215</f>
        <v>-0.95079311599999994</v>
      </c>
      <c r="U254" s="69">
        <f t="shared" si="2461"/>
        <v>-11.546482713</v>
      </c>
      <c r="V254" s="69">
        <f t="shared" si="2461"/>
        <v>-5.0630772500000036</v>
      </c>
      <c r="W254" s="69">
        <f t="shared" si="2461"/>
        <v>-21.291451651999999</v>
      </c>
      <c r="X254" s="69">
        <f t="shared" si="2461"/>
        <v>401.58230524100009</v>
      </c>
      <c r="Y254" s="69">
        <f t="shared" si="2461"/>
        <v>-0.15000587400001711</v>
      </c>
      <c r="Z254" s="69">
        <f t="shared" si="2461"/>
        <v>-2.1425119650000117</v>
      </c>
      <c r="AA254" s="69">
        <f t="shared" si="2461"/>
        <v>5.3473436250000015</v>
      </c>
      <c r="AB254" s="69">
        <f t="shared" si="2461"/>
        <v>-2.000815985</v>
      </c>
      <c r="AC254" s="69">
        <f t="shared" si="2330"/>
        <v>1.305243185709658</v>
      </c>
      <c r="AD254" s="69">
        <f t="shared" ref="AD254:AG254" si="2462">AD71*AD$215</f>
        <v>-4.0206059520000004</v>
      </c>
      <c r="AE254" s="69">
        <f t="shared" si="2462"/>
        <v>-2.5085583269999998</v>
      </c>
      <c r="AF254" s="69">
        <f t="shared" si="2462"/>
        <v>-5.2849365000000002E-2</v>
      </c>
      <c r="AG254" s="69">
        <f t="shared" si="2462"/>
        <v>0.69794094999999989</v>
      </c>
      <c r="AH254" s="69">
        <f t="shared" ref="AH254:AS254" si="2463">AH71*AH$215</f>
        <v>-0.32348033373063156</v>
      </c>
      <c r="AI254" s="69">
        <f t="shared" si="2463"/>
        <v>-3.9264027555582266</v>
      </c>
      <c r="AJ254" s="229"/>
      <c r="AK254" s="229"/>
      <c r="AL254" s="229"/>
      <c r="AM254" s="283"/>
      <c r="AN254" s="69">
        <f t="shared" ref="AN254:AP254" si="2464">AN71*AN$215</f>
        <v>-0.19262720000000003</v>
      </c>
      <c r="AO254" s="69">
        <f t="shared" si="2464"/>
        <v>-640.96188969999992</v>
      </c>
      <c r="AP254" s="69">
        <f t="shared" si="2464"/>
        <v>-0.72809500000007299</v>
      </c>
      <c r="AQ254" s="69">
        <f t="shared" ref="AQ254" si="2465">AQ71*AQ$215</f>
        <v>1.5799550000000082</v>
      </c>
      <c r="AR254" s="69">
        <f t="shared" si="2463"/>
        <v>-0.19262720000000003</v>
      </c>
      <c r="AS254" s="69">
        <f t="shared" si="2463"/>
        <v>-640.96188969999992</v>
      </c>
      <c r="AT254" s="69">
        <f t="shared" ref="AT254:AZ254" si="2466">AT71*AT$215</f>
        <v>-0.72809500000007299</v>
      </c>
      <c r="AU254" s="69">
        <f t="shared" si="2466"/>
        <v>1.550906500000008</v>
      </c>
      <c r="AV254" s="69">
        <f t="shared" ref="AV254:AW254" si="2467">AV71*AV$215</f>
        <v>-0.72809500000007299</v>
      </c>
      <c r="AW254" s="69">
        <f t="shared" si="2467"/>
        <v>1.5799549999999067</v>
      </c>
      <c r="AX254" s="69">
        <f t="shared" si="2466"/>
        <v>-0.10474200000000002</v>
      </c>
      <c r="AY254" s="69">
        <f t="shared" ref="AY254" si="2468">AY71*AY$215</f>
        <v>-0.10474200000000002</v>
      </c>
      <c r="AZ254" s="69">
        <f t="shared" si="2466"/>
        <v>-11.429170200000002</v>
      </c>
      <c r="BA254" s="69">
        <f t="shared" ref="BA254" si="2469">BA71*BA$215</f>
        <v>-11.429170200000002</v>
      </c>
      <c r="BB254" s="69">
        <f t="shared" ref="BB254" si="2470">BB71*BB$215</f>
        <v>3.8880000000001474E-3</v>
      </c>
      <c r="BC254" s="69">
        <f t="shared" ref="BC254:BF254" si="2471">BC71*BC$215</f>
        <v>3.8880000000001474E-3</v>
      </c>
      <c r="BD254" s="69">
        <f t="shared" si="2471"/>
        <v>-0.44730810000000054</v>
      </c>
      <c r="BE254" s="69">
        <f t="shared" si="2471"/>
        <v>0</v>
      </c>
      <c r="BF254" s="69">
        <f t="shared" si="2471"/>
        <v>1.1355262000000002</v>
      </c>
      <c r="BG254" s="69">
        <f t="shared" si="2429"/>
        <v>-0.77295350000000018</v>
      </c>
      <c r="BH254" s="69">
        <f t="shared" si="2429"/>
        <v>-1.9085682000000002</v>
      </c>
      <c r="BI254" s="69">
        <f t="shared" si="2429"/>
        <v>0</v>
      </c>
      <c r="BJ254" s="69">
        <f t="shared" si="2450"/>
        <v>314.03099519999995</v>
      </c>
      <c r="BK254" s="69">
        <f t="shared" si="2366"/>
        <v>-0.26530660544810242</v>
      </c>
      <c r="BL254" s="69">
        <f t="shared" si="2366"/>
        <v>-2.5214899713466998</v>
      </c>
      <c r="BM254" s="69">
        <f t="shared" si="2366"/>
        <v>0</v>
      </c>
      <c r="BO254" s="69">
        <f t="shared" ref="BO254:BP254" si="2472">BO71*BO$215</f>
        <v>-0.44730810000000032</v>
      </c>
      <c r="BP254" s="69">
        <f t="shared" si="2472"/>
        <v>0</v>
      </c>
      <c r="BQ254" s="69">
        <f t="shared" ref="BQ254:BT254" si="2473">BQ71*BQ$215</f>
        <v>6.0898773000000004</v>
      </c>
      <c r="BR254" s="69">
        <f t="shared" si="2473"/>
        <v>-0.62815100000000046</v>
      </c>
      <c r="BS254" s="69">
        <f t="shared" si="2473"/>
        <v>-1.9085682000000002</v>
      </c>
      <c r="BT254" s="69">
        <f t="shared" si="2473"/>
        <v>0</v>
      </c>
      <c r="BV254" s="40"/>
      <c r="BW254" s="40"/>
      <c r="BY254" s="40"/>
      <c r="BZ254" s="40"/>
      <c r="CB254" s="16"/>
      <c r="CC254" s="16"/>
    </row>
    <row r="255" spans="2:81" ht="13.5" customHeight="1" thickBot="1">
      <c r="B255" s="70" t="str">
        <f t="shared" si="2298"/>
        <v xml:space="preserve">Free cash flow </v>
      </c>
      <c r="C255" s="71">
        <f t="shared" si="2299"/>
        <v>1998.2512016499998</v>
      </c>
      <c r="D255" s="71">
        <f t="shared" si="2299"/>
        <v>2312.690555745</v>
      </c>
      <c r="E255" s="71">
        <f t="shared" si="2299"/>
        <v>1759.9949111249998</v>
      </c>
      <c r="F255" s="71">
        <f t="shared" si="2299"/>
        <v>3286.5982493889983</v>
      </c>
      <c r="G255" s="71">
        <f t="shared" ref="G255:H255" si="2474">G72*G$215</f>
        <v>3010.9499661439991</v>
      </c>
      <c r="H255" s="71">
        <f t="shared" si="2474"/>
        <v>3227.1086535488021</v>
      </c>
      <c r="I255" s="71">
        <f t="shared" ref="I255" si="2475">I72*I$215</f>
        <v>1974.3977222273832</v>
      </c>
      <c r="J255" s="71">
        <f t="shared" ref="J255:K255" si="2476">J72*J$215</f>
        <v>2638.6678783429588</v>
      </c>
      <c r="K255" s="71">
        <f t="shared" si="2476"/>
        <v>1260.4367682000002</v>
      </c>
      <c r="L255" s="71">
        <f t="shared" ref="L255:M255" si="2477">L72*L$215</f>
        <v>1049.7133157999997</v>
      </c>
      <c r="M255" s="71">
        <f t="shared" si="2477"/>
        <v>2098.5428817499992</v>
      </c>
      <c r="N255" s="71">
        <f t="shared" ref="N255" si="2478">N72*N$215</f>
        <v>2166.1293571749993</v>
      </c>
      <c r="O255" s="71">
        <f t="shared" ref="O255:P255" si="2479">O72*O$215</f>
        <v>3102.2217323500013</v>
      </c>
      <c r="P255" s="71">
        <f t="shared" si="2479"/>
        <v>1918.2637448</v>
      </c>
      <c r="Q255" s="71">
        <f t="shared" ref="Q255" si="2480">Q72*Q$215</f>
        <v>1903.2298700867589</v>
      </c>
      <c r="R255" s="71">
        <f t="shared" ref="R255" si="2481">R72*R$215</f>
        <v>1483.1793845991649</v>
      </c>
      <c r="T255" s="71">
        <f t="shared" ref="T255:AB255" si="2482">T72*T$215</f>
        <v>-253.48205633199998</v>
      </c>
      <c r="U255" s="71">
        <f t="shared" si="2482"/>
        <v>95.040895363999823</v>
      </c>
      <c r="V255" s="71">
        <f t="shared" si="2482"/>
        <v>385.6077282749996</v>
      </c>
      <c r="W255" s="71">
        <f t="shared" si="2482"/>
        <v>1473.1347705780006</v>
      </c>
      <c r="X255" s="71">
        <f t="shared" si="2482"/>
        <v>1014.548232974</v>
      </c>
      <c r="Y255" s="71">
        <f t="shared" si="2482"/>
        <v>813.70831051499977</v>
      </c>
      <c r="Z255" s="71">
        <f t="shared" si="2482"/>
        <v>770.55307128000084</v>
      </c>
      <c r="AA255" s="71">
        <f t="shared" si="2482"/>
        <v>691.39863599999876</v>
      </c>
      <c r="AB255" s="71">
        <f t="shared" si="2482"/>
        <v>775.45336907900037</v>
      </c>
      <c r="AC255" s="71">
        <f t="shared" si="2330"/>
        <v>716.00259151279522</v>
      </c>
      <c r="AD255" s="71">
        <f t="shared" ref="AD255:AG255" si="2483">AD72*AD$215</f>
        <v>856.35361143799958</v>
      </c>
      <c r="AE255" s="71">
        <f t="shared" si="2483"/>
        <v>660.77409017400021</v>
      </c>
      <c r="AF255" s="71">
        <f t="shared" si="2483"/>
        <v>685.82375149500012</v>
      </c>
      <c r="AG255" s="71">
        <f t="shared" si="2483"/>
        <v>904.77176194999993</v>
      </c>
      <c r="AH255" s="71">
        <f t="shared" ref="AH255:AS255" si="2484">AH72*AH$215</f>
        <v>947.85911799761618</v>
      </c>
      <c r="AI255" s="71">
        <f t="shared" si="2484"/>
        <v>686.0812390076909</v>
      </c>
      <c r="AJ255" s="252"/>
      <c r="AK255" s="252"/>
      <c r="AL255" s="252"/>
      <c r="AM255" s="284"/>
      <c r="AN255" s="71">
        <f t="shared" ref="AN255:AP255" si="2485">AN72*AN$215</f>
        <v>770.58627999999999</v>
      </c>
      <c r="AO255" s="71">
        <f t="shared" si="2485"/>
        <v>-160.0120092999999</v>
      </c>
      <c r="AP255" s="71">
        <f t="shared" si="2485"/>
        <v>595.45459999999935</v>
      </c>
      <c r="AQ255" s="71">
        <f t="shared" ref="AQ255" si="2486">AQ72*AQ$215</f>
        <v>706.91022300000043</v>
      </c>
      <c r="AR255" s="71">
        <f t="shared" si="2484"/>
        <v>615.03910080000003</v>
      </c>
      <c r="AS255" s="71">
        <f t="shared" si="2484"/>
        <v>-316.49298449999975</v>
      </c>
      <c r="AT255" s="71">
        <f t="shared" ref="AT255:AZ255" si="2487">AT72*AT$215</f>
        <v>432.30779999999947</v>
      </c>
      <c r="AU255" s="71">
        <f t="shared" si="2487"/>
        <v>524.78144730000065</v>
      </c>
      <c r="AV255" s="71">
        <f t="shared" ref="AV255:AW255" si="2488">AV72*AV$215</f>
        <v>395.6911999999993</v>
      </c>
      <c r="AW255" s="71">
        <f t="shared" si="2488"/>
        <v>360.10419100000053</v>
      </c>
      <c r="AX255" s="71">
        <f t="shared" si="2487"/>
        <v>420.32418119999977</v>
      </c>
      <c r="AY255" s="71">
        <f t="shared" ref="AY255" si="2489">AY72*AY$215</f>
        <v>367.17194249999989</v>
      </c>
      <c r="AZ255" s="71">
        <f t="shared" si="2487"/>
        <v>490.02109280000013</v>
      </c>
      <c r="BA255" s="71">
        <f t="shared" ref="BA255" si="2490">BA72*BA$215</f>
        <v>440.22808300000025</v>
      </c>
      <c r="BB255" s="71">
        <f t="shared" ref="BB255" si="2491">BB72*BB$215</f>
        <v>700.67419200000006</v>
      </c>
      <c r="BC255" s="71">
        <f t="shared" ref="BC255:BF255" si="2492">BC72*BC$215</f>
        <v>662.65819199999999</v>
      </c>
      <c r="BD255" s="71">
        <f t="shared" si="2492"/>
        <v>518.18994959999941</v>
      </c>
      <c r="BE255" s="71">
        <f t="shared" si="2492"/>
        <v>626.34197100000006</v>
      </c>
      <c r="BF255" s="71">
        <f t="shared" si="2492"/>
        <v>804.02861759999973</v>
      </c>
      <c r="BG255" s="71">
        <f t="shared" si="2429"/>
        <v>807.46857900000043</v>
      </c>
      <c r="BH255" s="71">
        <f t="shared" si="2429"/>
        <v>869.27788680000037</v>
      </c>
      <c r="BI255" s="71">
        <f t="shared" si="2429"/>
        <v>663.02152319999993</v>
      </c>
      <c r="BJ255" s="71">
        <f t="shared" si="2450"/>
        <v>569.630718</v>
      </c>
      <c r="BK255" s="71">
        <f t="shared" si="2366"/>
        <v>435.83579864151659</v>
      </c>
      <c r="BL255" s="71">
        <f t="shared" si="2366"/>
        <v>217.38219643158109</v>
      </c>
      <c r="BM255" s="71">
        <f t="shared" si="2366"/>
        <v>244.7887039838628</v>
      </c>
      <c r="BO255" s="71">
        <f t="shared" ref="BO255:BP255" si="2493">BO72*BO$215</f>
        <v>681.38870399999939</v>
      </c>
      <c r="BP255" s="71">
        <f t="shared" si="2493"/>
        <v>640.45749189999992</v>
      </c>
      <c r="BQ255" s="71">
        <f t="shared" ref="BQ255:BT255" si="2494">BQ72*BQ$215</f>
        <v>531.71553129999995</v>
      </c>
      <c r="BR255" s="71">
        <f t="shared" si="2494"/>
        <v>533.5213315000002</v>
      </c>
      <c r="BS255" s="71">
        <f t="shared" si="2494"/>
        <v>193.74775620000091</v>
      </c>
      <c r="BT255" s="71">
        <f t="shared" si="2494"/>
        <v>385.33350160000009</v>
      </c>
      <c r="BV255" s="40"/>
      <c r="BW255" s="40"/>
      <c r="BY255" s="40"/>
      <c r="BZ255" s="40"/>
      <c r="CB255" s="16"/>
      <c r="CC255" s="16"/>
    </row>
    <row r="256" spans="2:81" ht="13.5" customHeight="1" thickTop="1">
      <c r="B256" s="72" t="str">
        <f t="shared" si="2298"/>
        <v>Other investing activities</v>
      </c>
      <c r="C256" s="73">
        <f t="shared" si="2299"/>
        <v>160.35332764</v>
      </c>
      <c r="D256" s="73">
        <f t="shared" si="2299"/>
        <v>88.094113803000013</v>
      </c>
      <c r="E256" s="73">
        <f t="shared" si="2299"/>
        <v>77.708254824999997</v>
      </c>
      <c r="F256" s="73">
        <f t="shared" si="2299"/>
        <v>107.35163402599999</v>
      </c>
      <c r="G256" s="73">
        <f t="shared" ref="G256:H256" si="2495">G73*G$215</f>
        <v>358.75745298600003</v>
      </c>
      <c r="H256" s="73">
        <f t="shared" si="2495"/>
        <v>-270.82641464257927</v>
      </c>
      <c r="I256" s="73">
        <f t="shared" ref="I256" si="2496">I73*I$215</f>
        <v>312.72324195351064</v>
      </c>
      <c r="J256" s="73">
        <f t="shared" ref="J256:K256" si="2497">J73*J$215</f>
        <v>-310.49122092316111</v>
      </c>
      <c r="K256" s="73">
        <f t="shared" si="2497"/>
        <v>301.90196249999997</v>
      </c>
      <c r="L256" s="73">
        <f t="shared" ref="L256:M256" si="2498">L73*L$215</f>
        <v>314.8227475999999</v>
      </c>
      <c r="M256" s="73">
        <f t="shared" si="2498"/>
        <v>665.85901672500006</v>
      </c>
      <c r="N256" s="73">
        <f t="shared" ref="N256" si="2499">N73*N$215</f>
        <v>653.33052032499995</v>
      </c>
      <c r="O256" s="73">
        <f t="shared" ref="O256:P256" si="2500">O73*O$215</f>
        <v>59.590313899999892</v>
      </c>
      <c r="P256" s="73">
        <f t="shared" si="2500"/>
        <v>68.95852437500001</v>
      </c>
      <c r="Q256" s="73">
        <f t="shared" ref="Q256" si="2501">Q73*Q$215</f>
        <v>233.40617948694879</v>
      </c>
      <c r="R256" s="73">
        <f t="shared" ref="R256" si="2502">R73*R$215</f>
        <v>455.35267745541665</v>
      </c>
      <c r="T256" s="73">
        <f t="shared" ref="T256:AB256" si="2503">T73*T$215</f>
        <v>24.786113868000001</v>
      </c>
      <c r="U256" s="73">
        <f t="shared" si="2503"/>
        <v>5.4821546209999958</v>
      </c>
      <c r="V256" s="73">
        <f t="shared" si="2503"/>
        <v>43.033711875000002</v>
      </c>
      <c r="W256" s="73">
        <f t="shared" si="2503"/>
        <v>4.4655509759999985</v>
      </c>
      <c r="X256" s="73">
        <f t="shared" si="2503"/>
        <v>7.0144825920000002</v>
      </c>
      <c r="Y256" s="73">
        <f t="shared" si="2503"/>
        <v>-15.686948681999997</v>
      </c>
      <c r="Z256" s="73">
        <f t="shared" si="2503"/>
        <v>47.269515464999991</v>
      </c>
      <c r="AA256" s="73">
        <f t="shared" si="2503"/>
        <v>68.23944287499998</v>
      </c>
      <c r="AB256" s="73">
        <f t="shared" si="2503"/>
        <v>104.79970359400001</v>
      </c>
      <c r="AC256" s="73">
        <f t="shared" si="2330"/>
        <v>157.68314128372435</v>
      </c>
      <c r="AD256" s="73">
        <f t="shared" ref="AD256:AG256" si="2504">AD73*AD$215</f>
        <v>30.523861664000027</v>
      </c>
      <c r="AE256" s="73">
        <f t="shared" si="2504"/>
        <v>63.115610052000079</v>
      </c>
      <c r="AF256" s="73">
        <f t="shared" si="2504"/>
        <v>-81.005785995000011</v>
      </c>
      <c r="AG256" s="73">
        <f t="shared" si="2504"/>
        <v>-3.4087133500000171</v>
      </c>
      <c r="AH256" s="73">
        <f t="shared" ref="AH256:AS256" si="2505">AH73*AH$215</f>
        <v>90.926102502979745</v>
      </c>
      <c r="AI256" s="73">
        <f t="shared" si="2505"/>
        <v>-277.36600884238675</v>
      </c>
      <c r="AJ256" s="253"/>
      <c r="AK256" s="253"/>
      <c r="AL256" s="253"/>
      <c r="AM256" s="285"/>
      <c r="AN256" s="73">
        <f t="shared" ref="AN256:AP256" si="2506">AN73*AN$215</f>
        <v>-5.7873984000000158</v>
      </c>
      <c r="AO256" s="73">
        <f t="shared" si="2506"/>
        <v>-8.6297562999999844</v>
      </c>
      <c r="AP256" s="73">
        <f t="shared" si="2506"/>
        <v>18.484693000000004</v>
      </c>
      <c r="AQ256" s="73">
        <f t="shared" ref="AQ256" si="2507">AQ73*AQ$215</f>
        <v>291.16485599999999</v>
      </c>
      <c r="AR256" s="73">
        <f t="shared" si="2505"/>
        <v>-5.7873984000000158</v>
      </c>
      <c r="AS256" s="73">
        <f t="shared" si="2505"/>
        <v>-8.6297562999999844</v>
      </c>
      <c r="AT256" s="73">
        <f t="shared" ref="AT256:AZ256" si="2508">AT73*AT$215</f>
        <v>18.484693000000004</v>
      </c>
      <c r="AU256" s="73">
        <f t="shared" si="2508"/>
        <v>285.81160079999995</v>
      </c>
      <c r="AV256" s="73">
        <f t="shared" ref="AV256:AW256" si="2509">AV73*AV$215</f>
        <v>18.484693000000004</v>
      </c>
      <c r="AW256" s="73">
        <f t="shared" si="2509"/>
        <v>302.44374999999991</v>
      </c>
      <c r="AX256" s="73">
        <f t="shared" si="2508"/>
        <v>151.38361260000005</v>
      </c>
      <c r="AY256" s="73">
        <f t="shared" ref="AY256" si="2510">AY73*AY$215</f>
        <v>151.38361260000005</v>
      </c>
      <c r="AZ256" s="73">
        <f t="shared" si="2508"/>
        <v>559.70314519999999</v>
      </c>
      <c r="BA256" s="73">
        <f t="shared" ref="BA256" si="2511">BA73*BA$215</f>
        <v>559.70314519999999</v>
      </c>
      <c r="BB256" s="73">
        <f t="shared" ref="BB256" si="2512">BB73*BB$215</f>
        <v>87.100055999999995</v>
      </c>
      <c r="BC256" s="73">
        <f t="shared" ref="BC256:BF256" si="2513">BC73*BC$215</f>
        <v>87.100055999999995</v>
      </c>
      <c r="BD256" s="73">
        <f t="shared" si="2513"/>
        <v>-120.70214520000002</v>
      </c>
      <c r="BE256" s="73">
        <f t="shared" si="2513"/>
        <v>66.749221699999978</v>
      </c>
      <c r="BF256" s="73">
        <f t="shared" si="2513"/>
        <v>24.031571600000028</v>
      </c>
      <c r="BG256" s="73">
        <f t="shared" si="2429"/>
        <v>5.6023974999999968</v>
      </c>
      <c r="BH256" s="73">
        <f t="shared" si="2429"/>
        <v>-41.283105600000127</v>
      </c>
      <c r="BI256" s="73">
        <f t="shared" si="2429"/>
        <v>-200.13727000559999</v>
      </c>
      <c r="BJ256" s="73">
        <f t="shared" si="2450"/>
        <v>307.72382717340003</v>
      </c>
      <c r="BK256" s="73">
        <f t="shared" si="2366"/>
        <v>2.8947057013703157</v>
      </c>
      <c r="BL256" s="73">
        <f t="shared" si="2366"/>
        <v>132.89326045604489</v>
      </c>
      <c r="BM256" s="73">
        <f t="shared" si="2366"/>
        <v>1.0980837115481639</v>
      </c>
      <c r="BO256" s="73">
        <f t="shared" ref="BO256:BP256" si="2514">BO73*BO$215</f>
        <v>-132.85497240000012</v>
      </c>
      <c r="BP256" s="73">
        <f t="shared" si="2514"/>
        <v>66.749221699999978</v>
      </c>
      <c r="BQ256" s="73">
        <f t="shared" ref="BQ256:BT256" si="2515">BQ73*BQ$215</f>
        <v>24.050799900000019</v>
      </c>
      <c r="BR256" s="73">
        <f t="shared" si="2515"/>
        <v>0.17331399999999805</v>
      </c>
      <c r="BS256" s="73">
        <f t="shared" si="2515"/>
        <v>-26.064815399999993</v>
      </c>
      <c r="BT256" s="73">
        <f t="shared" si="2515"/>
        <v>36.936213600000002</v>
      </c>
      <c r="BV256" s="40"/>
      <c r="BW256" s="40"/>
      <c r="BY256" s="40"/>
      <c r="BZ256" s="40"/>
      <c r="CB256" s="16"/>
      <c r="CC256" s="16"/>
    </row>
    <row r="257" spans="2:81" ht="13.5" customHeight="1">
      <c r="B257" s="10" t="str">
        <f t="shared" si="2298"/>
        <v>Equity Issuance/Buyback</v>
      </c>
      <c r="C257" s="66">
        <f t="shared" si="2299"/>
        <v>2.486909942</v>
      </c>
      <c r="D257" s="66">
        <f t="shared" si="2299"/>
        <v>1.77915285</v>
      </c>
      <c r="E257" s="66">
        <f t="shared" si="2299"/>
        <v>2.7169054749999999</v>
      </c>
      <c r="F257" s="66">
        <f t="shared" si="2299"/>
        <v>3.9566815469999996</v>
      </c>
      <c r="G257" s="66">
        <f t="shared" ref="G257:H257" si="2516">G74*G$215</f>
        <v>-9.6339692019999994</v>
      </c>
      <c r="H257" s="66">
        <f t="shared" si="2516"/>
        <v>-7.4763931684507998E-2</v>
      </c>
      <c r="I257" s="66">
        <f t="shared" ref="I257" si="2517">I74*I$215</f>
        <v>0</v>
      </c>
      <c r="J257" s="66">
        <f t="shared" ref="J257:K257" si="2518">J74*J$215</f>
        <v>-7.4763931684507998E-2</v>
      </c>
      <c r="K257" s="66">
        <f t="shared" si="2518"/>
        <v>0</v>
      </c>
      <c r="L257" s="66">
        <f t="shared" ref="L257:M257" si="2519">L74*L$215</f>
        <v>0</v>
      </c>
      <c r="M257" s="66">
        <f t="shared" si="2519"/>
        <v>0</v>
      </c>
      <c r="N257" s="66">
        <f t="shared" ref="N257" si="2520">N74*N$215</f>
        <v>0</v>
      </c>
      <c r="O257" s="66">
        <f t="shared" ref="O257:P257" si="2521">O74*O$215</f>
        <v>0</v>
      </c>
      <c r="P257" s="66">
        <f t="shared" si="2521"/>
        <v>0</v>
      </c>
      <c r="Q257" s="66">
        <f t="shared" ref="Q257" si="2522">Q74*Q$215</f>
        <v>0</v>
      </c>
      <c r="R257" s="66">
        <f t="shared" ref="R257" si="2523">R74*R$215</f>
        <v>0.43954113559796321</v>
      </c>
      <c r="T257" s="66">
        <f t="shared" ref="T257:AB257" si="2524">T74*T$215</f>
        <v>0.842487816</v>
      </c>
      <c r="U257" s="66">
        <f t="shared" si="2524"/>
        <v>0.80805373899999988</v>
      </c>
      <c r="V257" s="66">
        <f t="shared" si="2524"/>
        <v>4.4249975000000011E-2</v>
      </c>
      <c r="W257" s="66">
        <f t="shared" si="2524"/>
        <v>1.0274315899999997</v>
      </c>
      <c r="X257" s="66">
        <f t="shared" si="2524"/>
        <v>1.0161029340000001</v>
      </c>
      <c r="Y257" s="66">
        <f t="shared" si="2524"/>
        <v>2.9497135769999994</v>
      </c>
      <c r="Z257" s="66">
        <f t="shared" si="2524"/>
        <v>0</v>
      </c>
      <c r="AA257" s="66">
        <f t="shared" si="2524"/>
        <v>0</v>
      </c>
      <c r="AB257" s="66">
        <f t="shared" si="2524"/>
        <v>0</v>
      </c>
      <c r="AC257" s="66">
        <f t="shared" si="2330"/>
        <v>0</v>
      </c>
      <c r="AD257" s="66">
        <f t="shared" ref="AD257:AG257" si="2525">AD74*AD$215</f>
        <v>-9.6300841780000006</v>
      </c>
      <c r="AE257" s="66">
        <f t="shared" si="2525"/>
        <v>0</v>
      </c>
      <c r="AF257" s="66">
        <f t="shared" si="2525"/>
        <v>0</v>
      </c>
      <c r="AG257" s="66">
        <f t="shared" si="2525"/>
        <v>0</v>
      </c>
      <c r="AH257" s="66">
        <f t="shared" ref="AH257:AS257" si="2526">AH74*AH$215</f>
        <v>0</v>
      </c>
      <c r="AI257" s="66">
        <f t="shared" si="2526"/>
        <v>-7.4060459740415807E-2</v>
      </c>
      <c r="AJ257" s="254"/>
      <c r="AK257" s="254"/>
      <c r="AL257" s="254"/>
      <c r="AM257" s="286"/>
      <c r="AN257" s="66">
        <f t="shared" ref="AN257:AP257" si="2527">AN74*AN$215</f>
        <v>0</v>
      </c>
      <c r="AO257" s="66">
        <f t="shared" si="2527"/>
        <v>0</v>
      </c>
      <c r="AP257" s="66">
        <f t="shared" si="2527"/>
        <v>6.9402059999999999</v>
      </c>
      <c r="AQ257" s="66">
        <f t="shared" ref="AQ257" si="2528">AQ74*AQ$215</f>
        <v>-6.9402059999999999</v>
      </c>
      <c r="AR257" s="66">
        <f t="shared" si="2526"/>
        <v>0</v>
      </c>
      <c r="AS257" s="66">
        <f t="shared" si="2526"/>
        <v>0</v>
      </c>
      <c r="AT257" s="66">
        <f t="shared" ref="AT257:AZ257" si="2529">AT74*AT$215</f>
        <v>6.9402059999999999</v>
      </c>
      <c r="AU257" s="66">
        <f t="shared" si="2529"/>
        <v>-6.8126058</v>
      </c>
      <c r="AV257" s="66">
        <f t="shared" ref="AV257:AW257" si="2530">AV74*AV$215</f>
        <v>6.9402059999999999</v>
      </c>
      <c r="AW257" s="66">
        <f t="shared" si="2530"/>
        <v>-6.9402059999999999</v>
      </c>
      <c r="AX257" s="66">
        <f t="shared" si="2529"/>
        <v>0</v>
      </c>
      <c r="AY257" s="69">
        <f t="shared" ref="AY257" si="2531">AY74*AY$215</f>
        <v>0</v>
      </c>
      <c r="AZ257" s="66">
        <f t="shared" si="2529"/>
        <v>0</v>
      </c>
      <c r="BA257" s="66">
        <f t="shared" ref="BA257" si="2532">BA74*BA$215</f>
        <v>0</v>
      </c>
      <c r="BB257" s="66">
        <f t="shared" ref="BB257" si="2533">BB74*BB$215</f>
        <v>5.5650240000000002</v>
      </c>
      <c r="BC257" s="66">
        <f t="shared" ref="BC257:BF257" si="2534">BC74*BC$215</f>
        <v>5.5650240000000002</v>
      </c>
      <c r="BD257" s="66">
        <f t="shared" si="2534"/>
        <v>-5.4800028000000003</v>
      </c>
      <c r="BE257" s="66">
        <f t="shared" si="2534"/>
        <v>0</v>
      </c>
      <c r="BF257" s="66">
        <f t="shared" si="2534"/>
        <v>0</v>
      </c>
      <c r="BG257" s="66">
        <f t="shared" si="2429"/>
        <v>0</v>
      </c>
      <c r="BH257" s="66">
        <f t="shared" si="2429"/>
        <v>0</v>
      </c>
      <c r="BI257" s="66">
        <f t="shared" si="2429"/>
        <v>0</v>
      </c>
      <c r="BJ257" s="66">
        <f t="shared" si="2450"/>
        <v>-2.8560599999999998E-2</v>
      </c>
      <c r="BK257" s="66">
        <f t="shared" si="2366"/>
        <v>2.9110359027761341E-2</v>
      </c>
      <c r="BL257" s="66">
        <f t="shared" si="2366"/>
        <v>0</v>
      </c>
      <c r="BM257" s="66">
        <f t="shared" si="2366"/>
        <v>0.46091780131114468</v>
      </c>
      <c r="BO257" s="66">
        <f t="shared" ref="BO257:BP257" si="2535">BO74*BO$215</f>
        <v>-5.4800028000000003</v>
      </c>
      <c r="BP257" s="66">
        <f t="shared" si="2535"/>
        <v>0</v>
      </c>
      <c r="BQ257" s="66">
        <f t="shared" ref="BQ257:BT257" si="2536">BQ74*BQ$215</f>
        <v>0</v>
      </c>
      <c r="BR257" s="66">
        <f t="shared" si="2536"/>
        <v>0</v>
      </c>
      <c r="BS257" s="66">
        <f t="shared" si="2536"/>
        <v>0</v>
      </c>
      <c r="BT257" s="66">
        <f t="shared" si="2536"/>
        <v>0</v>
      </c>
      <c r="BV257" s="40"/>
      <c r="BW257" s="40"/>
      <c r="BY257" s="40"/>
      <c r="BZ257" s="40"/>
      <c r="CB257" s="16"/>
      <c r="CC257" s="16"/>
    </row>
    <row r="258" spans="2:81" s="6" customFormat="1" ht="13.5" customHeight="1">
      <c r="B258" s="10" t="str">
        <f t="shared" si="2298"/>
        <v xml:space="preserve">Dividends Paid </v>
      </c>
      <c r="C258" s="66">
        <f t="shared" si="2299"/>
        <v>-217.83217242599997</v>
      </c>
      <c r="D258" s="66">
        <f t="shared" si="2299"/>
        <v>-114.979322772</v>
      </c>
      <c r="E258" s="66">
        <f t="shared" si="2299"/>
        <v>-212.000657125</v>
      </c>
      <c r="F258" s="66">
        <f t="shared" si="2299"/>
        <v>-148.15381098699999</v>
      </c>
      <c r="G258" s="66">
        <f t="shared" ref="G258:H258" si="2537">G75*G$215</f>
        <v>-202.99967445599998</v>
      </c>
      <c r="H258" s="66">
        <f t="shared" si="2537"/>
        <v>-249.28932127354003</v>
      </c>
      <c r="I258" s="66">
        <f t="shared" ref="I258" si="2538">I75*I$215</f>
        <v>-164.3553620942314</v>
      </c>
      <c r="J258" s="66">
        <f t="shared" ref="J258:K258" si="2539">J75*J$215</f>
        <v>-249.28932127354003</v>
      </c>
      <c r="K258" s="66">
        <f t="shared" si="2539"/>
        <v>-158.66811195</v>
      </c>
      <c r="L258" s="66">
        <f t="shared" ref="L258:M258" si="2540">L75*L$215</f>
        <v>-158.99425567499998</v>
      </c>
      <c r="M258" s="66">
        <f t="shared" si="2540"/>
        <v>-449.14427162499999</v>
      </c>
      <c r="N258" s="66">
        <f t="shared" ref="N258" si="2541">N75*N$215</f>
        <v>-449.14427162499999</v>
      </c>
      <c r="O258" s="66">
        <f t="shared" ref="O258:P258" si="2542">O75*O$215</f>
        <v>-276.01126475000001</v>
      </c>
      <c r="P258" s="66">
        <f t="shared" si="2542"/>
        <v>-276.15802922500001</v>
      </c>
      <c r="Q258" s="66">
        <f t="shared" ref="Q258" si="2543">Q75*Q$215</f>
        <v>-314.54595175525526</v>
      </c>
      <c r="R258" s="66">
        <f t="shared" ref="R258" si="2544">R75*R$215</f>
        <v>-325.68579497535535</v>
      </c>
      <c r="S258"/>
      <c r="T258" s="66">
        <f t="shared" ref="T258:AB258" si="2545">T75*T$215</f>
        <v>-1.4283557800000002</v>
      </c>
      <c r="U258" s="66">
        <f t="shared" si="2545"/>
        <v>-4.0511575420000003</v>
      </c>
      <c r="V258" s="66">
        <f t="shared" si="2545"/>
        <v>-118.1156515</v>
      </c>
      <c r="W258" s="66">
        <f t="shared" si="2545"/>
        <v>-84.089221347999995</v>
      </c>
      <c r="X258" s="66">
        <f t="shared" si="2545"/>
        <v>0</v>
      </c>
      <c r="Y258" s="66">
        <f t="shared" si="2545"/>
        <v>-64.236759785999993</v>
      </c>
      <c r="Z258" s="66">
        <f t="shared" si="2545"/>
        <v>-6.3305092349999947</v>
      </c>
      <c r="AA258" s="66">
        <f t="shared" si="2545"/>
        <v>-77.068598999999992</v>
      </c>
      <c r="AB258" s="66">
        <f t="shared" si="2545"/>
        <v>-0.90413441999999999</v>
      </c>
      <c r="AC258" s="66">
        <f t="shared" si="2330"/>
        <v>-112.74145032162527</v>
      </c>
      <c r="AD258" s="66">
        <f t="shared" ref="AD258:AG258" si="2546">AD75*AD$215</f>
        <v>-15.816144329999995</v>
      </c>
      <c r="AE258" s="66">
        <f t="shared" si="2546"/>
        <v>-71.912736093000007</v>
      </c>
      <c r="AF258" s="66">
        <f t="shared" si="2546"/>
        <v>-10.843952265</v>
      </c>
      <c r="AG258" s="66">
        <f t="shared" si="2546"/>
        <v>-127.29554949999999</v>
      </c>
      <c r="AH258" s="66">
        <f t="shared" ref="AH258:AS258" si="2547">AH75*AH$215</f>
        <v>-95.658164481525631</v>
      </c>
      <c r="AI258" s="66">
        <f t="shared" si="2547"/>
        <v>-15.124631881744993</v>
      </c>
      <c r="AJ258" s="254"/>
      <c r="AK258" s="254"/>
      <c r="AL258" s="254"/>
      <c r="AM258" s="286"/>
      <c r="AN258" s="66">
        <f t="shared" ref="AN258:AP258" si="2548">AN75*AN$215</f>
        <v>-129.07142880000001</v>
      </c>
      <c r="AO258" s="66">
        <f t="shared" si="2548"/>
        <v>-20.82733069999999</v>
      </c>
      <c r="AP258" s="66">
        <f t="shared" si="2548"/>
        <v>-0.83357400000001258</v>
      </c>
      <c r="AQ258" s="66">
        <f t="shared" ref="AQ258" si="2549">AQ75*AQ$215</f>
        <v>-13.725872999999984</v>
      </c>
      <c r="AR258" s="66">
        <f t="shared" si="2547"/>
        <v>-129.07142880000001</v>
      </c>
      <c r="AS258" s="66">
        <f t="shared" si="2547"/>
        <v>-20.82733069999999</v>
      </c>
      <c r="AT258" s="66">
        <f t="shared" ref="AT258:AZ258" si="2550">AT75*AT$215</f>
        <v>-0.83357400000001258</v>
      </c>
      <c r="AU258" s="66">
        <f t="shared" si="2550"/>
        <v>-13.473513899999986</v>
      </c>
      <c r="AV258" s="66">
        <f t="shared" ref="AV258:AW258" si="2551">AV75*AV$215</f>
        <v>-0.83357400000001258</v>
      </c>
      <c r="AW258" s="66">
        <f t="shared" si="2551"/>
        <v>-13.346772999999974</v>
      </c>
      <c r="AX258" s="66">
        <f t="shared" si="2550"/>
        <v>-304.88711220000005</v>
      </c>
      <c r="AY258" s="69">
        <f t="shared" ref="AY258" si="2552">AY75*AY$215</f>
        <v>-304.88711220000005</v>
      </c>
      <c r="AZ258" s="66">
        <f t="shared" si="2550"/>
        <v>-19.380770500000011</v>
      </c>
      <c r="BA258" s="66">
        <f t="shared" ref="BA258" si="2553">BA75*BA$215</f>
        <v>-19.380770500000011</v>
      </c>
      <c r="BB258" s="66">
        <f t="shared" ref="BB258" si="2554">BB75*BB$215</f>
        <v>-20.649383999999984</v>
      </c>
      <c r="BC258" s="66">
        <f t="shared" ref="BC258:BF258" si="2555">BC75*BC$215</f>
        <v>-20.649383999999984</v>
      </c>
      <c r="BD258" s="66">
        <f t="shared" si="2555"/>
        <v>-111.86212049999999</v>
      </c>
      <c r="BE258" s="66">
        <f t="shared" si="2555"/>
        <v>-4.0222999999999995E-3</v>
      </c>
      <c r="BF258" s="66">
        <f t="shared" si="2555"/>
        <v>-129.84068049999999</v>
      </c>
      <c r="BG258" s="66">
        <f t="shared" si="2429"/>
        <v>-27.751791999999998</v>
      </c>
      <c r="BH258" s="66">
        <f t="shared" si="2429"/>
        <v>-119.10984600000002</v>
      </c>
      <c r="BI258" s="66">
        <f t="shared" si="2429"/>
        <v>-1.6275520000000001</v>
      </c>
      <c r="BJ258" s="66">
        <f t="shared" si="2450"/>
        <v>-167.63818319999999</v>
      </c>
      <c r="BK258" s="66">
        <f t="shared" si="2366"/>
        <v>-17.205405533334908</v>
      </c>
      <c r="BL258" s="66">
        <f t="shared" si="2366"/>
        <v>-131.11747851002866</v>
      </c>
      <c r="BM258" s="66">
        <f t="shared" si="2366"/>
        <v>-3.8555219364599087</v>
      </c>
      <c r="BO258" s="66">
        <f t="shared" ref="BO258:BP258" si="2556">BO75*BO$215</f>
        <v>-111.86212049999999</v>
      </c>
      <c r="BP258" s="66">
        <f t="shared" si="2556"/>
        <v>-4.0222999999999995E-3</v>
      </c>
      <c r="BQ258" s="66">
        <f t="shared" ref="BQ258:BT258" si="2557">BQ75*BQ$215</f>
        <v>-129.84068049999999</v>
      </c>
      <c r="BR258" s="66">
        <f t="shared" si="2557"/>
        <v>-27.751791999999998</v>
      </c>
      <c r="BS258" s="66">
        <f t="shared" si="2557"/>
        <v>-119.26243140000003</v>
      </c>
      <c r="BT258" s="66">
        <f t="shared" si="2557"/>
        <v>-1.6275520000000001</v>
      </c>
      <c r="BV258" s="40"/>
      <c r="BW258" s="40"/>
      <c r="BY258" s="40"/>
      <c r="BZ258" s="40"/>
      <c r="CB258" s="16"/>
      <c r="CC258" s="16"/>
    </row>
    <row r="259" spans="2:81" ht="13.5" customHeight="1">
      <c r="B259" s="10" t="str">
        <f t="shared" si="2298"/>
        <v>Change in debt</v>
      </c>
      <c r="C259" s="69">
        <f t="shared" si="2299"/>
        <v>980.48584160999997</v>
      </c>
      <c r="D259" s="69">
        <f t="shared" si="2299"/>
        <v>-372.219009723</v>
      </c>
      <c r="E259" s="69">
        <f t="shared" si="2299"/>
        <v>-147.83975592499988</v>
      </c>
      <c r="F259" s="69">
        <f t="shared" si="2299"/>
        <v>-859.52744286500001</v>
      </c>
      <c r="G259" s="69">
        <f t="shared" ref="G259:H259" si="2558">G76*G$215</f>
        <v>15.475674464000008</v>
      </c>
      <c r="H259" s="69">
        <f t="shared" si="2558"/>
        <v>-206.58629269469805</v>
      </c>
      <c r="I259" s="69">
        <f t="shared" ref="I259" si="2559">I76*I$215</f>
        <v>1254.902330803023</v>
      </c>
      <c r="J259" s="69">
        <f t="shared" ref="J259:K259" si="2560">J76*J$215</f>
        <v>-206.5860507402264</v>
      </c>
      <c r="K259" s="69">
        <f t="shared" si="2560"/>
        <v>1211.4784755000003</v>
      </c>
      <c r="L259" s="69">
        <f t="shared" ref="L259:M259" si="2561">L76*L$215</f>
        <v>1208.8815170499997</v>
      </c>
      <c r="M259" s="69">
        <f t="shared" si="2561"/>
        <v>-727.71386292499994</v>
      </c>
      <c r="N259" s="69">
        <f t="shared" ref="N259" si="2562">N76*N$215</f>
        <v>-733.93030917499993</v>
      </c>
      <c r="O259" s="69">
        <f t="shared" ref="O259:P259" si="2563">O76*O$215</f>
        <v>-472.76905682500006</v>
      </c>
      <c r="P259" s="69">
        <f t="shared" si="2563"/>
        <v>-452.14350804999998</v>
      </c>
      <c r="Q259" s="69">
        <f t="shared" ref="Q259" si="2564">Q76*Q$215</f>
        <v>-648.52106230993604</v>
      </c>
      <c r="R259" s="69">
        <f t="shared" ref="R259" si="2565">R76*R$215</f>
        <v>9.7177543737372361</v>
      </c>
      <c r="T259" s="69">
        <f t="shared" ref="T259:AB259" si="2566">T76*T$215</f>
        <v>-116.230954436</v>
      </c>
      <c r="U259" s="69">
        <f t="shared" si="2566"/>
        <v>37.122864942</v>
      </c>
      <c r="V259" s="69">
        <f t="shared" si="2566"/>
        <v>116.61213025000006</v>
      </c>
      <c r="W259" s="69">
        <f t="shared" si="2566"/>
        <v>-183.19596786399995</v>
      </c>
      <c r="X259" s="69">
        <f t="shared" si="2566"/>
        <v>-28.400785686999985</v>
      </c>
      <c r="Y259" s="69">
        <f t="shared" si="2566"/>
        <v>-480.15650315699986</v>
      </c>
      <c r="Z259" s="69">
        <f t="shared" si="2566"/>
        <v>-329.1675071850002</v>
      </c>
      <c r="AA259" s="69">
        <f t="shared" si="2566"/>
        <v>-19.804549499999947</v>
      </c>
      <c r="AB259" s="69">
        <f t="shared" si="2566"/>
        <v>142.80085596900005</v>
      </c>
      <c r="AC259" s="69">
        <f t="shared" si="2330"/>
        <v>-232.63177379795462</v>
      </c>
      <c r="AD259" s="69">
        <f t="shared" ref="AD259:AG259" si="2567">AD76*AD$215</f>
        <v>843.79802243200015</v>
      </c>
      <c r="AE259" s="69">
        <f t="shared" si="2567"/>
        <v>-748.39290045300015</v>
      </c>
      <c r="AF259" s="69">
        <f t="shared" si="2567"/>
        <v>-206.895431535</v>
      </c>
      <c r="AG259" s="69">
        <f t="shared" si="2567"/>
        <v>-62.657337749999954</v>
      </c>
      <c r="AH259" s="69">
        <f t="shared" ref="AH259:AS259" si="2568">AH76*AH$215</f>
        <v>-25.554946364720006</v>
      </c>
      <c r="AI259" s="69">
        <f t="shared" si="2568"/>
        <v>84.345036851940861</v>
      </c>
      <c r="AJ259" s="229"/>
      <c r="AK259" s="229"/>
      <c r="AL259" s="229"/>
      <c r="AM259" s="283"/>
      <c r="AN259" s="69">
        <f t="shared" ref="AN259:AP259" si="2569">AN76*AN$215</f>
        <v>-161.03538559999998</v>
      </c>
      <c r="AO259" s="69">
        <f t="shared" si="2569"/>
        <v>1095.8939871</v>
      </c>
      <c r="AP259" s="69">
        <f t="shared" si="2569"/>
        <v>295.28366600000004</v>
      </c>
      <c r="AQ259" s="69">
        <f t="shared" ref="AQ259" si="2570">AQ76*AQ$215</f>
        <v>-20.399370999999768</v>
      </c>
      <c r="AR259" s="69">
        <f t="shared" si="2568"/>
        <v>-161.03538559999998</v>
      </c>
      <c r="AS259" s="69">
        <f t="shared" si="2568"/>
        <v>1095.8939871</v>
      </c>
      <c r="AT259" s="69">
        <f t="shared" ref="AT259:AZ259" si="2571">AT76*AT$215</f>
        <v>295.28366600000004</v>
      </c>
      <c r="AU259" s="69">
        <f t="shared" si="2571"/>
        <v>-20.02431529999987</v>
      </c>
      <c r="AV259" s="69">
        <f t="shared" ref="AV259:AW259" si="2572">AV76*AV$215</f>
        <v>295.28366600000004</v>
      </c>
      <c r="AW259" s="69">
        <f t="shared" si="2572"/>
        <v>-28.256999000000448</v>
      </c>
      <c r="AX259" s="69">
        <f t="shared" si="2571"/>
        <v>-158.4543807</v>
      </c>
      <c r="AY259" s="69">
        <f t="shared" ref="AY259" si="2573">AY76*AY$215</f>
        <v>-158.4543807</v>
      </c>
      <c r="AZ259" s="69">
        <f t="shared" si="2571"/>
        <v>-440.46268709999993</v>
      </c>
      <c r="BA259" s="69">
        <f t="shared" ref="BA259" si="2574">BA76*BA$215</f>
        <v>-440.46268709999993</v>
      </c>
      <c r="BB259" s="69">
        <f t="shared" ref="BB259" si="2575">BB76*BB$215</f>
        <v>-134.16623999999999</v>
      </c>
      <c r="BC259" s="69">
        <f t="shared" ref="BC259:BF259" si="2576">BC76*BC$215</f>
        <v>-134.16623999999999</v>
      </c>
      <c r="BD259" s="69">
        <f t="shared" si="2576"/>
        <v>-1.2640761000000449</v>
      </c>
      <c r="BE259" s="69">
        <f t="shared" si="2576"/>
        <v>-118.82064729999998</v>
      </c>
      <c r="BF259" s="69">
        <f t="shared" si="2576"/>
        <v>88.062444500000041</v>
      </c>
      <c r="BG259" s="69">
        <f t="shared" si="2429"/>
        <v>-269.73270900000011</v>
      </c>
      <c r="BH259" s="69">
        <f t="shared" si="2429"/>
        <v>-185.44265340000004</v>
      </c>
      <c r="BI259" s="69">
        <f t="shared" si="2429"/>
        <v>-115.90845359999999</v>
      </c>
      <c r="BJ259" s="69">
        <f t="shared" si="2450"/>
        <v>-112.7363508</v>
      </c>
      <c r="BK259" s="69">
        <f t="shared" si="2366"/>
        <v>-338.27160201642488</v>
      </c>
      <c r="BL259" s="69">
        <f t="shared" si="2366"/>
        <v>-83.220726686089748</v>
      </c>
      <c r="BM259" s="69">
        <f t="shared" si="2366"/>
        <v>580.14422592032247</v>
      </c>
      <c r="BO259" s="69">
        <f t="shared" ref="BO259:BP259" si="2577">BO76*BO$215</f>
        <v>-7.2941211000000257</v>
      </c>
      <c r="BP259" s="69">
        <f t="shared" si="2577"/>
        <v>-118.82064729999998</v>
      </c>
      <c r="BQ259" s="69">
        <f t="shared" ref="BQ259:BT259" si="2578">BQ76*BQ$215</f>
        <v>49.414406699999972</v>
      </c>
      <c r="BR259" s="69">
        <f t="shared" si="2578"/>
        <v>-204.36684</v>
      </c>
      <c r="BS259" s="69">
        <f t="shared" si="2578"/>
        <v>-188.6164752</v>
      </c>
      <c r="BT259" s="69">
        <f t="shared" si="2578"/>
        <v>-115.90845360000004</v>
      </c>
      <c r="BV259" s="40"/>
      <c r="BW259" s="40"/>
      <c r="BY259" s="40"/>
      <c r="BZ259" s="40"/>
      <c r="CB259" s="16"/>
      <c r="CC259" s="16"/>
    </row>
    <row r="260" spans="2:81" ht="13.5" customHeight="1" thickBot="1">
      <c r="B260" s="74" t="str">
        <f t="shared" si="2298"/>
        <v>Other financing activities</v>
      </c>
      <c r="C260" s="75">
        <f t="shared" si="2299"/>
        <v>487.20221129800001</v>
      </c>
      <c r="D260" s="75">
        <f t="shared" si="2299"/>
        <v>775.58761359900006</v>
      </c>
      <c r="E260" s="75">
        <f t="shared" si="2299"/>
        <v>188.99159282500003</v>
      </c>
      <c r="F260" s="75">
        <f t="shared" si="2299"/>
        <v>-1.9941539799999979</v>
      </c>
      <c r="G260" s="75">
        <f t="shared" ref="G260:H260" si="2579">G77*G$215</f>
        <v>251.74466859399999</v>
      </c>
      <c r="H260" s="75">
        <f t="shared" si="2579"/>
        <v>161.60235931329979</v>
      </c>
      <c r="I260" s="75">
        <f t="shared" ref="I260" si="2580">I77*I$215</f>
        <v>-278.3344099721341</v>
      </c>
      <c r="J260" s="75">
        <f t="shared" ref="J260:K260" si="2581">J77*J$215</f>
        <v>161.60235931329979</v>
      </c>
      <c r="K260" s="75">
        <f t="shared" si="2581"/>
        <v>-268.70310014999995</v>
      </c>
      <c r="L260" s="75">
        <f t="shared" ref="L260:M260" si="2582">L77*L$215</f>
        <v>-269.91393162499998</v>
      </c>
      <c r="M260" s="75">
        <f t="shared" si="2582"/>
        <v>21.868953574999999</v>
      </c>
      <c r="N260" s="75">
        <f t="shared" ref="N260" si="2583">N77*N$215</f>
        <v>21.868953574999999</v>
      </c>
      <c r="O260" s="75">
        <f t="shared" ref="O260:P260" si="2584">O77*O$215</f>
        <v>68.201954599999993</v>
      </c>
      <c r="P260" s="75">
        <f t="shared" si="2584"/>
        <v>44.088398250000004</v>
      </c>
      <c r="Q260" s="75">
        <f t="shared" ref="Q260" si="2585">Q77*Q$215</f>
        <v>-15.15169754488684</v>
      </c>
      <c r="R260" s="75">
        <f t="shared" ref="R260" si="2586">R77*R$215</f>
        <v>-514.83275280182249</v>
      </c>
      <c r="T260" s="75">
        <f t="shared" ref="T260:AB260" si="2587">T77*T$215</f>
        <v>0.15799832</v>
      </c>
      <c r="U260" s="75">
        <f t="shared" si="2587"/>
        <v>93.259429349000001</v>
      </c>
      <c r="V260" s="75">
        <f t="shared" si="2587"/>
        <v>19.752357625000005</v>
      </c>
      <c r="W260" s="75">
        <f t="shared" si="2587"/>
        <v>75.026483470000016</v>
      </c>
      <c r="X260" s="75">
        <f t="shared" si="2587"/>
        <v>-0.45257879600000006</v>
      </c>
      <c r="Y260" s="75">
        <f t="shared" si="2587"/>
        <v>-1.5263459429999993</v>
      </c>
      <c r="Z260" s="75">
        <f t="shared" si="2587"/>
        <v>-0.10855457999999955</v>
      </c>
      <c r="AA260" s="75">
        <f t="shared" si="2587"/>
        <v>8.9566625000001066E-2</v>
      </c>
      <c r="AB260" s="75">
        <f t="shared" si="2587"/>
        <v>63.429813342999992</v>
      </c>
      <c r="AC260" s="75">
        <f t="shared" si="2330"/>
        <v>59.409736683789191</v>
      </c>
      <c r="AD260" s="75">
        <f t="shared" ref="AD260:AG260" si="2588">AD77*AD$215</f>
        <v>173.44431478800001</v>
      </c>
      <c r="AE260" s="75">
        <f t="shared" si="2588"/>
        <v>-47.088750225000013</v>
      </c>
      <c r="AF260" s="75">
        <f t="shared" si="2588"/>
        <v>-4.4983413E-2</v>
      </c>
      <c r="AG260" s="75">
        <f t="shared" si="2588"/>
        <v>60.122697250000002</v>
      </c>
      <c r="AH260" s="75">
        <f t="shared" ref="AH260:AS260" si="2589">AH77*AH$215</f>
        <v>-95.36877234803336</v>
      </c>
      <c r="AI260" s="75">
        <f t="shared" si="2589"/>
        <v>196.94425893378198</v>
      </c>
      <c r="AJ260" s="255"/>
      <c r="AK260" s="255"/>
      <c r="AL260" s="255"/>
      <c r="AM260" s="287"/>
      <c r="AN260" s="75">
        <f t="shared" ref="AN260:AP260" si="2590">AN77*AN$215</f>
        <v>7.4199615999999784</v>
      </c>
      <c r="AO260" s="75">
        <f t="shared" si="2590"/>
        <v>-17.144332699999975</v>
      </c>
      <c r="AP260" s="75">
        <f t="shared" si="2590"/>
        <v>9.7047369999999944</v>
      </c>
      <c r="AQ260" s="75">
        <f t="shared" ref="AQ260" si="2591">AQ77*AQ$215</f>
        <v>-263.34582899999998</v>
      </c>
      <c r="AR260" s="75">
        <f t="shared" si="2589"/>
        <v>7.4199615999999784</v>
      </c>
      <c r="AS260" s="75">
        <f t="shared" si="2589"/>
        <v>-17.144332699999975</v>
      </c>
      <c r="AT260" s="75">
        <f t="shared" ref="AT260:AZ260" si="2592">AT77*AT$215</f>
        <v>9.7047369999999944</v>
      </c>
      <c r="AU260" s="75">
        <f t="shared" si="2592"/>
        <v>-258.50404470000001</v>
      </c>
      <c r="AV260" s="75">
        <f t="shared" ref="AV260:AW260" si="2593">AV77*AV$215</f>
        <v>9.7047369999999944</v>
      </c>
      <c r="AW260" s="75">
        <f t="shared" si="2593"/>
        <v>-263.34627499999999</v>
      </c>
      <c r="AX260" s="75">
        <f t="shared" si="2592"/>
        <v>9.1080000000000521</v>
      </c>
      <c r="AY260" s="75">
        <f t="shared" ref="AY260" si="2594">AY77*AY$215</f>
        <v>9.1080000000000521</v>
      </c>
      <c r="AZ260" s="75">
        <f t="shared" si="2592"/>
        <v>5.6861147999999488</v>
      </c>
      <c r="BA260" s="75">
        <f t="shared" ref="BA260" si="2595">BA77*BA$215</f>
        <v>5.6861147999999488</v>
      </c>
      <c r="BB260" s="75">
        <f t="shared" ref="BB260" si="2596">BB77*BB$215</f>
        <v>-5.5650239999999993</v>
      </c>
      <c r="BC260" s="75">
        <f t="shared" ref="BC260:BF260" si="2597">BC77*BC$215</f>
        <v>-5.5650239999999993</v>
      </c>
      <c r="BD260" s="75">
        <f t="shared" si="2597"/>
        <v>12.705209100000001</v>
      </c>
      <c r="BE260" s="75">
        <f t="shared" si="2597"/>
        <v>3.8021319999999821</v>
      </c>
      <c r="BF260" s="75">
        <f t="shared" si="2597"/>
        <v>-12.6215829</v>
      </c>
      <c r="BG260" s="75">
        <f t="shared" si="2429"/>
        <v>79.380730500000013</v>
      </c>
      <c r="BH260" s="75">
        <f t="shared" si="2429"/>
        <v>0</v>
      </c>
      <c r="BI260" s="75">
        <f t="shared" si="2429"/>
        <v>6.7439999999999998</v>
      </c>
      <c r="BJ260" s="75">
        <f t="shared" si="2450"/>
        <v>0</v>
      </c>
      <c r="BK260" s="75">
        <f t="shared" si="2366"/>
        <v>-23.695832248597732</v>
      </c>
      <c r="BL260" s="75">
        <f t="shared" si="2366"/>
        <v>1.2674869374683961</v>
      </c>
      <c r="BM260" s="75">
        <f t="shared" si="2366"/>
        <v>-515.9533535047907</v>
      </c>
      <c r="BO260" s="75">
        <f t="shared" ref="BO260:BP260" si="2598">BO77*BO$215</f>
        <v>12.705209100000001</v>
      </c>
      <c r="BP260" s="75">
        <f t="shared" si="2598"/>
        <v>3.8021319999999821</v>
      </c>
      <c r="BQ260" s="75">
        <f t="shared" ref="BQ260:BT260" si="2599">BQ77*BQ$215</f>
        <v>34.853089800000014</v>
      </c>
      <c r="BR260" s="75">
        <f t="shared" si="2599"/>
        <v>4.6368229999999997</v>
      </c>
      <c r="BS260" s="75">
        <f t="shared" si="2599"/>
        <v>-0.45252599999999399</v>
      </c>
      <c r="BT260" s="75">
        <f t="shared" si="2599"/>
        <v>6.7439999999999998</v>
      </c>
      <c r="BV260" s="40"/>
      <c r="BW260" s="40"/>
      <c r="BY260" s="40"/>
      <c r="BZ260" s="40"/>
      <c r="CB260" s="16"/>
      <c r="CC260" s="16"/>
    </row>
    <row r="261" spans="2:81" ht="13.5" customHeight="1" thickTop="1" thickBot="1">
      <c r="B261" s="76" t="str">
        <f t="shared" si="2298"/>
        <v>Cash flow after financing activities</v>
      </c>
      <c r="C261" s="71">
        <f t="shared" si="2299"/>
        <v>3410.9473197140001</v>
      </c>
      <c r="D261" s="71">
        <f t="shared" si="2299"/>
        <v>2690.9531035019995</v>
      </c>
      <c r="E261" s="71">
        <f t="shared" si="2299"/>
        <v>1669.5712512</v>
      </c>
      <c r="F261" s="71">
        <f t="shared" si="2299"/>
        <v>2388.2311571299979</v>
      </c>
      <c r="G261" s="71">
        <f t="shared" ref="G261:H261" si="2600">G78*G$215</f>
        <v>3424.2941185299992</v>
      </c>
      <c r="H261" s="71">
        <f t="shared" si="2600"/>
        <v>2661.9342203196006</v>
      </c>
      <c r="I261" s="71">
        <f t="shared" ref="I261" si="2601">I78*I$215</f>
        <v>3099.3335229175518</v>
      </c>
      <c r="J261" s="71">
        <f t="shared" ref="J261:K261" si="2602">J78*J$215</f>
        <v>2033.8288807876463</v>
      </c>
      <c r="K261" s="71">
        <f t="shared" si="2602"/>
        <v>2346.4459941000005</v>
      </c>
      <c r="L261" s="71">
        <f t="shared" ref="L261:M261" si="2603">L78*L$215</f>
        <v>2144.5093931499996</v>
      </c>
      <c r="M261" s="71">
        <f t="shared" si="2603"/>
        <v>1609.4127174999996</v>
      </c>
      <c r="N261" s="71">
        <f t="shared" ref="N261" si="2604">N78*N$215</f>
        <v>1658.2542502749989</v>
      </c>
      <c r="O261" s="71">
        <f t="shared" ref="O261:P261" si="2605">O78*O$215</f>
        <v>2481.2336792750011</v>
      </c>
      <c r="P261" s="71">
        <f t="shared" si="2605"/>
        <v>1303.0091301499999</v>
      </c>
      <c r="Q261" s="71">
        <f t="shared" ref="Q261" si="2606">Q78*Q$215</f>
        <v>1158.4173379636293</v>
      </c>
      <c r="R261" s="71">
        <f t="shared" ref="R261" si="2607">R78*R$215</f>
        <v>1108.170809786739</v>
      </c>
      <c r="T261" s="71">
        <f t="shared" ref="T261:AB261" si="2608">T78*T$215</f>
        <v>-345.35476654399997</v>
      </c>
      <c r="U261" s="71">
        <f t="shared" si="2608"/>
        <v>227.66224047299983</v>
      </c>
      <c r="V261" s="71">
        <f t="shared" si="2608"/>
        <v>446.93452649999972</v>
      </c>
      <c r="W261" s="71">
        <f t="shared" si="2608"/>
        <v>1286.3690474020002</v>
      </c>
      <c r="X261" s="71">
        <f t="shared" si="2608"/>
        <v>993.72545401700006</v>
      </c>
      <c r="Y261" s="71">
        <f t="shared" si="2608"/>
        <v>255.05146652399998</v>
      </c>
      <c r="Z261" s="71">
        <f t="shared" si="2608"/>
        <v>482.21601574500062</v>
      </c>
      <c r="AA261" s="71">
        <f t="shared" si="2608"/>
        <v>662.8544969999989</v>
      </c>
      <c r="AB261" s="71">
        <f t="shared" si="2608"/>
        <v>1085.5796075650003</v>
      </c>
      <c r="AC261" s="71">
        <f t="shared" si="2330"/>
        <v>587.72224536072883</v>
      </c>
      <c r="AD261" s="71">
        <f t="shared" ref="AD261:AG261" si="2609">AD78*AD$215</f>
        <v>1878.6735818139996</v>
      </c>
      <c r="AE261" s="71">
        <f t="shared" si="2609"/>
        <v>-143.50468654499994</v>
      </c>
      <c r="AF261" s="71">
        <f t="shared" si="2609"/>
        <v>387.03359828700019</v>
      </c>
      <c r="AG261" s="71">
        <f t="shared" si="2609"/>
        <v>771.53285860000005</v>
      </c>
      <c r="AH261" s="71">
        <f t="shared" ref="AH261:AS261" si="2610">AH78*AH$215</f>
        <v>822.20333730631694</v>
      </c>
      <c r="AI261" s="71">
        <f t="shared" si="2610"/>
        <v>674.80583360954154</v>
      </c>
      <c r="AJ261" s="252"/>
      <c r="AK261" s="252"/>
      <c r="AL261" s="252"/>
      <c r="AM261" s="284"/>
      <c r="AN261" s="71">
        <f t="shared" ref="AN261:AP261" si="2611">AN78*AN$215</f>
        <v>482.11202879999991</v>
      </c>
      <c r="AO261" s="71">
        <f t="shared" si="2611"/>
        <v>889.28055810000001</v>
      </c>
      <c r="AP261" s="71">
        <f t="shared" si="2611"/>
        <v>925.03432799999928</v>
      </c>
      <c r="AQ261" s="71">
        <f t="shared" ref="AQ261" si="2612">AQ78*AQ$215</f>
        <v>693.66380000000072</v>
      </c>
      <c r="AR261" s="71">
        <f t="shared" si="2610"/>
        <v>326.5648496</v>
      </c>
      <c r="AS261" s="71">
        <f t="shared" si="2610"/>
        <v>732.79958290000013</v>
      </c>
      <c r="AT261" s="71">
        <f t="shared" ref="AT261:AZ261" si="2613">AT78*AT$215</f>
        <v>761.88752799999941</v>
      </c>
      <c r="AU261" s="71">
        <f t="shared" si="2613"/>
        <v>511.77856840000067</v>
      </c>
      <c r="AV261" s="71">
        <f t="shared" ref="AV261:AW261" si="2614">AV78*AV$215</f>
        <v>725.27092799999934</v>
      </c>
      <c r="AW261" s="71">
        <f t="shared" si="2614"/>
        <v>350.65768800000001</v>
      </c>
      <c r="AX261" s="71">
        <f t="shared" si="2613"/>
        <v>117.4743008999998</v>
      </c>
      <c r="AY261" s="71">
        <f t="shared" ref="AY261" si="2615">AY78*AY$215</f>
        <v>64.322062199999891</v>
      </c>
      <c r="AZ261" s="71">
        <f t="shared" si="2613"/>
        <v>595.56689519999998</v>
      </c>
      <c r="BA261" s="71">
        <f t="shared" ref="BA261" si="2616">BA78*BA$215</f>
        <v>545.77388540000004</v>
      </c>
      <c r="BB261" s="71">
        <f t="shared" ref="BB261" si="2617">BB78*BB$215</f>
        <v>632.95862399999999</v>
      </c>
      <c r="BC261" s="71">
        <f t="shared" ref="BC261:BF261" si="2618">BC78*BC$215</f>
        <v>594.94262400000002</v>
      </c>
      <c r="BD261" s="71">
        <f t="shared" si="2618"/>
        <v>291.5868140999994</v>
      </c>
      <c r="BE261" s="71">
        <f t="shared" si="2618"/>
        <v>578.06865510000011</v>
      </c>
      <c r="BF261" s="71">
        <f t="shared" si="2618"/>
        <v>773.66037029999973</v>
      </c>
      <c r="BG261" s="71">
        <f t="shared" si="2429"/>
        <v>594.96720600000037</v>
      </c>
      <c r="BH261" s="71">
        <f t="shared" si="2429"/>
        <v>523.44228180000016</v>
      </c>
      <c r="BI261" s="71">
        <f t="shared" si="2429"/>
        <v>352.09224759439991</v>
      </c>
      <c r="BJ261" s="71">
        <f t="shared" si="2450"/>
        <v>596.95145057339994</v>
      </c>
      <c r="BK261" s="71">
        <f t="shared" si="2366"/>
        <v>59.586774903557192</v>
      </c>
      <c r="BL261" s="71">
        <f t="shared" si="2366"/>
        <v>137.20473862897592</v>
      </c>
      <c r="BM261" s="71">
        <f t="shared" si="2366"/>
        <v>306.68305597579393</v>
      </c>
      <c r="BO261" s="71">
        <f t="shared" ref="BO261:BP261" si="2619">BO78*BO$215</f>
        <v>436.60269629999931</v>
      </c>
      <c r="BP261" s="71">
        <f t="shared" si="2619"/>
        <v>592.18417600000009</v>
      </c>
      <c r="BQ261" s="71">
        <f t="shared" ref="BQ261:BT261" si="2620">BQ78*BQ$215</f>
        <v>510.19314719999994</v>
      </c>
      <c r="BR261" s="71">
        <f t="shared" si="2620"/>
        <v>306.21283650000021</v>
      </c>
      <c r="BS261" s="71">
        <f t="shared" si="2620"/>
        <v>-140.64849179999911</v>
      </c>
      <c r="BT261" s="71">
        <f t="shared" si="2620"/>
        <v>311.47770960000003</v>
      </c>
      <c r="BV261" s="40"/>
      <c r="BW261" s="40"/>
      <c r="BY261" s="40"/>
      <c r="BZ261" s="40"/>
      <c r="CB261" s="16"/>
      <c r="CC261" s="16"/>
    </row>
    <row r="262" spans="2:81" ht="13.5" customHeight="1" thickTop="1">
      <c r="B262" s="10" t="str">
        <f t="shared" si="2298"/>
        <v>FX</v>
      </c>
      <c r="C262" s="69">
        <f t="shared" si="2299"/>
        <v>23.673181927999998</v>
      </c>
      <c r="D262" s="69">
        <f t="shared" si="2299"/>
        <v>-50.278859540999996</v>
      </c>
      <c r="E262" s="69">
        <f t="shared" si="2299"/>
        <v>-40.153349974999998</v>
      </c>
      <c r="F262" s="69">
        <f t="shared" si="2299"/>
        <v>11.912535089</v>
      </c>
      <c r="G262" s="69">
        <f t="shared" ref="G262:H262" si="2621">G79*G$215</f>
        <v>-15.921557097999999</v>
      </c>
      <c r="H262" s="69">
        <f t="shared" si="2621"/>
        <v>22.366029388298493</v>
      </c>
      <c r="I262" s="69">
        <f t="shared" ref="I262" si="2622">I79*I$215</f>
        <v>-172.83041533536985</v>
      </c>
      <c r="J262" s="69">
        <f t="shared" ref="J262:K262" si="2623">J79*J$215</f>
        <v>-7.3046054937064619</v>
      </c>
      <c r="K262" s="69">
        <f t="shared" si="2623"/>
        <v>-166.84989974999999</v>
      </c>
      <c r="L262" s="69">
        <f t="shared" ref="L262:M262" si="2624">L79*L$215</f>
        <v>-4.2745810750000004</v>
      </c>
      <c r="M262" s="69">
        <f t="shared" si="2624"/>
        <v>-58.484589450000001</v>
      </c>
      <c r="N262" s="69">
        <f t="shared" ref="N262" si="2625">N79*N$215</f>
        <v>-58.363768924999995</v>
      </c>
      <c r="O262" s="69">
        <f t="shared" ref="O262:P262" si="2626">O79*O$215</f>
        <v>-112.53991807500002</v>
      </c>
      <c r="P262" s="69">
        <f t="shared" si="2626"/>
        <v>-112.52460732500001</v>
      </c>
      <c r="Q262" s="69">
        <f t="shared" ref="Q262" si="2627">Q79*Q$215</f>
        <v>-109.82282485335699</v>
      </c>
      <c r="R262" s="69">
        <f t="shared" ref="R262" si="2628">R79*R$215</f>
        <v>-102.62900797494194</v>
      </c>
      <c r="T262" s="69">
        <f t="shared" ref="T262:AB262" si="2629">T79*T$215</f>
        <v>50.951145332000003</v>
      </c>
      <c r="U262" s="69">
        <f t="shared" si="2629"/>
        <v>-93.153073168999995</v>
      </c>
      <c r="V262" s="69">
        <f t="shared" si="2629"/>
        <v>-15.324181950000003</v>
      </c>
      <c r="W262" s="69">
        <f t="shared" si="2629"/>
        <v>16.444420241999993</v>
      </c>
      <c r="X262" s="69">
        <f t="shared" si="2629"/>
        <v>15.676039204</v>
      </c>
      <c r="Y262" s="69">
        <f t="shared" si="2629"/>
        <v>5.1503624520000022</v>
      </c>
      <c r="Z262" s="69">
        <f t="shared" si="2629"/>
        <v>-0.79854862500000068</v>
      </c>
      <c r="AA262" s="69">
        <f t="shared" si="2629"/>
        <v>-7.8847445</v>
      </c>
      <c r="AB262" s="69">
        <f t="shared" si="2629"/>
        <v>-4.0348792410000005</v>
      </c>
      <c r="AC262" s="69">
        <f t="shared" si="2330"/>
        <v>10.406312184737843</v>
      </c>
      <c r="AD262" s="69">
        <f t="shared" ref="AD262:AG262" si="2630">AD79*AD$215</f>
        <v>-15.301432524000003</v>
      </c>
      <c r="AE262" s="69">
        <f t="shared" si="2630"/>
        <v>-7.4737939319999995</v>
      </c>
      <c r="AF262" s="69">
        <f t="shared" si="2630"/>
        <v>-0.502437684</v>
      </c>
      <c r="AG262" s="69">
        <f t="shared" si="2630"/>
        <v>4.8829032000000003</v>
      </c>
      <c r="AH262" s="69">
        <f t="shared" ref="AH262:AS262" si="2631">AH79*AH$215</f>
        <v>31.425029797377835</v>
      </c>
      <c r="AI262" s="69">
        <f t="shared" si="2631"/>
        <v>-13.748161913171504</v>
      </c>
      <c r="AJ262" s="229"/>
      <c r="AK262" s="229"/>
      <c r="AL262" s="229"/>
      <c r="AM262" s="283"/>
      <c r="AN262" s="69">
        <f t="shared" ref="AN262:AP262" si="2632">AN79*AN$215</f>
        <v>-47.2077296</v>
      </c>
      <c r="AO262" s="69">
        <f t="shared" si="2632"/>
        <v>-15.449050100000003</v>
      </c>
      <c r="AP262" s="69">
        <f t="shared" si="2632"/>
        <v>49.94954700000001</v>
      </c>
      <c r="AQ262" s="69">
        <f t="shared" ref="AQ262" si="2633">AQ79*AQ$215</f>
        <v>-154.31956800000003</v>
      </c>
      <c r="AR262" s="69">
        <f t="shared" si="2631"/>
        <v>-47.2077296</v>
      </c>
      <c r="AS262" s="69">
        <f t="shared" si="2631"/>
        <v>-15.449050100000003</v>
      </c>
      <c r="AT262" s="69">
        <f t="shared" ref="AT262:AZ262" si="2634">AT79*AT$215</f>
        <v>49.94954700000001</v>
      </c>
      <c r="AU262" s="69">
        <f t="shared" si="2634"/>
        <v>-151.48230240000004</v>
      </c>
      <c r="AV262" s="69">
        <f t="shared" ref="AV262:AW262" si="2635">AV79*AV$215</f>
        <v>49.94954700000001</v>
      </c>
      <c r="AW262" s="69">
        <f t="shared" si="2635"/>
        <v>5.023743999999998</v>
      </c>
      <c r="AX262" s="69">
        <f t="shared" si="2634"/>
        <v>30.467398500000002</v>
      </c>
      <c r="AY262" s="69">
        <f t="shared" ref="AY262" si="2636">AY79*AY$215</f>
        <v>30.467398500000002</v>
      </c>
      <c r="AZ262" s="69">
        <f t="shared" si="2634"/>
        <v>144.8729975</v>
      </c>
      <c r="BA262" s="69">
        <f t="shared" ref="BA262" si="2637">BA79*BA$215</f>
        <v>144.8729975</v>
      </c>
      <c r="BB262" s="69">
        <f t="shared" ref="BB262" si="2638">BB79*BB$215</f>
        <v>-59.201064000000002</v>
      </c>
      <c r="BC262" s="69">
        <f t="shared" ref="BC262:BF262" si="2639">BC79*BC$215</f>
        <v>-59.201064000000002</v>
      </c>
      <c r="BD262" s="69">
        <f t="shared" si="2639"/>
        <v>-166.51623630000003</v>
      </c>
      <c r="BE262" s="69">
        <f t="shared" si="2639"/>
        <v>-15.7358727</v>
      </c>
      <c r="BF262" s="69">
        <f t="shared" si="2639"/>
        <v>-33.133530399999998</v>
      </c>
      <c r="BG262" s="69">
        <f t="shared" si="2429"/>
        <v>-134.238877</v>
      </c>
      <c r="BH262" s="69">
        <f t="shared" si="2429"/>
        <v>71.530489199999991</v>
      </c>
      <c r="BI262" s="69">
        <f t="shared" si="2429"/>
        <v>-12.4982056</v>
      </c>
      <c r="BJ262" s="69">
        <f t="shared" si="2450"/>
        <v>-23.635870199999999</v>
      </c>
      <c r="BK262" s="69">
        <f t="shared" si="2366"/>
        <v>-24.113317397581234</v>
      </c>
      <c r="BL262" s="69">
        <f t="shared" si="2366"/>
        <v>-50.764729960752213</v>
      </c>
      <c r="BM262" s="69">
        <f t="shared" si="2366"/>
        <v>-3.1048915784165403</v>
      </c>
      <c r="BO262" s="69">
        <f t="shared" ref="BO262:BP262" si="2640">BO79*BO$215</f>
        <v>-166.39903859999998</v>
      </c>
      <c r="BP262" s="69">
        <f t="shared" si="2640"/>
        <v>-15.7358727</v>
      </c>
      <c r="BQ262" s="69">
        <f t="shared" ref="BQ262:BT262" si="2641">BQ79*BQ$215</f>
        <v>-33.133530399999998</v>
      </c>
      <c r="BR262" s="69">
        <f t="shared" si="2641"/>
        <v>-134.238877</v>
      </c>
      <c r="BS262" s="69">
        <f t="shared" si="2641"/>
        <v>71.546407200000004</v>
      </c>
      <c r="BT262" s="69">
        <f t="shared" si="2641"/>
        <v>-12.4982056</v>
      </c>
      <c r="BV262" s="40"/>
      <c r="BW262" s="40"/>
      <c r="BY262" s="40"/>
      <c r="BZ262" s="40"/>
      <c r="CB262" s="16"/>
      <c r="CC262" s="16"/>
    </row>
    <row r="263" spans="2:81" ht="13.5" customHeight="1">
      <c r="B263" s="10" t="str">
        <f t="shared" si="2298"/>
        <v>Balancing figure</v>
      </c>
      <c r="C263" s="69">
        <f t="shared" si="2299"/>
        <v>-3413.2028162429997</v>
      </c>
      <c r="D263" s="69">
        <f t="shared" si="2299"/>
        <v>-2216.8786396769997</v>
      </c>
      <c r="E263" s="69">
        <f t="shared" si="2299"/>
        <v>-2294.5569056750001</v>
      </c>
      <c r="F263" s="69">
        <f t="shared" si="2299"/>
        <v>-2586.6774832079982</v>
      </c>
      <c r="G263" s="69">
        <f t="shared" ref="G263:H263" si="2642">G80*G$215</f>
        <v>-2525.8779861259995</v>
      </c>
      <c r="H263" s="69">
        <f t="shared" si="2642"/>
        <v>-2771.2797367935582</v>
      </c>
      <c r="I263" s="69">
        <f t="shared" ref="I263" si="2643">I80*I$215</f>
        <v>-2920.5857026534136</v>
      </c>
      <c r="J263" s="69">
        <f t="shared" ref="J263:K263" si="2644">J80*J$215</f>
        <v>-2125.6849602458014</v>
      </c>
      <c r="K263" s="69">
        <f t="shared" si="2644"/>
        <v>-2173.8834516000006</v>
      </c>
      <c r="L263" s="69">
        <f t="shared" ref="L263:M263" si="2645">L80*L$215</f>
        <v>-2137.0658482749996</v>
      </c>
      <c r="M263" s="69">
        <f t="shared" si="2645"/>
        <v>-2182.5451607749997</v>
      </c>
      <c r="N263" s="69">
        <f t="shared" ref="N263" si="2646">N80*N$215</f>
        <v>-2244.0360104749989</v>
      </c>
      <c r="O263" s="69">
        <f t="shared" ref="O263:P263" si="2647">O80*O$215</f>
        <v>-2335.209150950001</v>
      </c>
      <c r="P263" s="69">
        <f t="shared" si="2647"/>
        <v>-1156.9999125749998</v>
      </c>
      <c r="Q263" s="69">
        <f t="shared" ref="Q263" si="2648">Q80*Q$215</f>
        <v>-1274.7881126533307</v>
      </c>
      <c r="R263" s="69">
        <f t="shared" ref="R263" si="2649">R80*R$215</f>
        <v>-1301.4308916096704</v>
      </c>
      <c r="T263" s="69">
        <f t="shared" ref="T263:AB263" si="2650">T80*T$215</f>
        <v>15.943559504000021</v>
      </c>
      <c r="U263" s="69">
        <f t="shared" si="2650"/>
        <v>-4.8759243949998545</v>
      </c>
      <c r="V263" s="69">
        <f t="shared" si="2650"/>
        <v>-441.27202099749979</v>
      </c>
      <c r="W263" s="69">
        <f t="shared" si="2650"/>
        <v>-1797.6120291626005</v>
      </c>
      <c r="X263" s="69">
        <f t="shared" si="2650"/>
        <v>-581.29738629000008</v>
      </c>
      <c r="Y263" s="69">
        <f t="shared" si="2650"/>
        <v>-644.87187598799994</v>
      </c>
      <c r="Z263" s="69">
        <f t="shared" si="2650"/>
        <v>-561.72816279000051</v>
      </c>
      <c r="AA263" s="69">
        <f t="shared" si="2650"/>
        <v>-797.85757449999801</v>
      </c>
      <c r="AB263" s="69">
        <f t="shared" si="2650"/>
        <v>-605.54928995300031</v>
      </c>
      <c r="AC263" s="69">
        <f t="shared" si="2330"/>
        <v>-597.30390115229716</v>
      </c>
      <c r="AD263" s="69">
        <f t="shared" ref="AD263:AG263" si="2651">AD80*AD$215</f>
        <v>-672.84302812599935</v>
      </c>
      <c r="AE263" s="69">
        <f t="shared" si="2651"/>
        <v>-650.27146598700028</v>
      </c>
      <c r="AF263" s="69">
        <f t="shared" si="2651"/>
        <v>-656.82419877000018</v>
      </c>
      <c r="AG263" s="69">
        <f t="shared" si="2651"/>
        <v>-694.47173705000012</v>
      </c>
      <c r="AH263" s="69">
        <f t="shared" ref="AH263:AS263" si="2652">AH80*AH$215</f>
        <v>-683.00667461263401</v>
      </c>
      <c r="AI263" s="69">
        <f t="shared" si="2652"/>
        <v>-735.7300290216308</v>
      </c>
      <c r="AJ263" s="229"/>
      <c r="AK263" s="229"/>
      <c r="AL263" s="229"/>
      <c r="AM263" s="283"/>
      <c r="AN263" s="69">
        <f t="shared" ref="AN263:AP263" si="2653">AN80*AN$215</f>
        <v>-687.90701439999987</v>
      </c>
      <c r="AO263" s="69">
        <f t="shared" si="2653"/>
        <v>-690.76742569999999</v>
      </c>
      <c r="AP263" s="69">
        <f t="shared" si="2653"/>
        <v>-744.08789099999933</v>
      </c>
      <c r="AQ263" s="69">
        <f t="shared" ref="AQ263" si="2654">AQ80*AQ$215</f>
        <v>-705.55215300000202</v>
      </c>
      <c r="AR263" s="69">
        <f t="shared" si="2652"/>
        <v>-532.35983520000002</v>
      </c>
      <c r="AS263" s="69">
        <f t="shared" si="2652"/>
        <v>-534.28645050000011</v>
      </c>
      <c r="AT263" s="69">
        <f t="shared" ref="AT263:AZ263" si="2655">AT80*AT$215</f>
        <v>-580.94109099999946</v>
      </c>
      <c r="AU263" s="69">
        <f t="shared" si="2655"/>
        <v>-523.44834630000094</v>
      </c>
      <c r="AV263" s="69">
        <f t="shared" ref="AV263:AW263" si="2656">AV80*AV$215</f>
        <v>-544.3244909999994</v>
      </c>
      <c r="AW263" s="69">
        <f t="shared" si="2656"/>
        <v>-524.39609600000006</v>
      </c>
      <c r="AX263" s="69">
        <f t="shared" si="2655"/>
        <v>-550.70975519999979</v>
      </c>
      <c r="AY263" s="69">
        <f t="shared" ref="AY263" si="2657">AY80*AY$215</f>
        <v>-497.55751649999991</v>
      </c>
      <c r="AZ263" s="69">
        <f t="shared" si="2655"/>
        <v>-604.77714759999992</v>
      </c>
      <c r="BA263" s="69">
        <f t="shared" ref="BA263" si="2658">BA80*BA$215</f>
        <v>-554.98413779999998</v>
      </c>
      <c r="BB263" s="69">
        <f t="shared" ref="BB263" si="2659">BB80*BB$215</f>
        <v>-682.10229599999991</v>
      </c>
      <c r="BC263" s="69">
        <f>BC80*BC$215</f>
        <v>-644.08629599999995</v>
      </c>
      <c r="BD263" s="69">
        <f>BD80*BD$215</f>
        <v>-385.56894719999968</v>
      </c>
      <c r="BE263" s="69">
        <f>BE80*BE$215</f>
        <v>-582.71716370000013</v>
      </c>
      <c r="BF263" s="69">
        <f>BF80*BF$215</f>
        <v>-582.92514279999978</v>
      </c>
      <c r="BG263" s="69">
        <f>BG80*BG$215</f>
        <v>-611.22774100000026</v>
      </c>
      <c r="BH263" s="69">
        <f t="shared" ref="BH263:BK263" si="2660">BH80*BH$215</f>
        <v>-555.43063980000079</v>
      </c>
      <c r="BI263" s="69">
        <f t="shared" si="2660"/>
        <v>-316.18988919439994</v>
      </c>
      <c r="BJ263" s="69">
        <f t="shared" si="2660"/>
        <v>-581.17810457339999</v>
      </c>
      <c r="BK263" s="69">
        <f t="shared" si="2660"/>
        <v>-319.62913875937801</v>
      </c>
      <c r="BL263" s="69">
        <f>BL80*BL$215</f>
        <v>-47.395921119163596</v>
      </c>
      <c r="BM263" s="69">
        <f>BM80*BM$215</f>
        <v>-343.47175995965677</v>
      </c>
      <c r="BO263" s="69">
        <f t="shared" ref="BO263:BP263" si="2661">BO80*BO$215</f>
        <v>-542.85485429999937</v>
      </c>
      <c r="BP263" s="69">
        <f t="shared" si="2661"/>
        <v>-596.83268460000011</v>
      </c>
      <c r="BQ263" s="69">
        <f t="shared" ref="BQ263:BT263" si="2662">BQ80*BQ$215</f>
        <v>-319.45791969999993</v>
      </c>
      <c r="BR263" s="69">
        <f t="shared" si="2662"/>
        <v>-322.47337150000027</v>
      </c>
      <c r="BS263" s="69">
        <f t="shared" si="2662"/>
        <v>108.64421580000037</v>
      </c>
      <c r="BT263" s="69">
        <f t="shared" si="2662"/>
        <v>-275.57535120000006</v>
      </c>
      <c r="BV263" s="40"/>
      <c r="BW263" s="40"/>
      <c r="BY263" s="40"/>
      <c r="BZ263" s="40"/>
      <c r="CB263" s="16"/>
      <c r="CC263" s="16"/>
    </row>
    <row r="264" spans="2:81" s="6" customFormat="1" ht="13.5" customHeight="1" thickBot="1">
      <c r="B264" s="70" t="str">
        <f t="shared" si="2298"/>
        <v xml:space="preserve">Net change in cash </v>
      </c>
      <c r="C264" s="71">
        <f t="shared" si="2299"/>
        <v>21.417685398999904</v>
      </c>
      <c r="D264" s="71">
        <f t="shared" si="2299"/>
        <v>423.79560428399975</v>
      </c>
      <c r="E264" s="71">
        <f t="shared" si="2299"/>
        <v>-665.13900445000002</v>
      </c>
      <c r="F264" s="71">
        <f t="shared" si="2299"/>
        <v>-186.53379098900001</v>
      </c>
      <c r="G264" s="71">
        <f t="shared" ref="G264:H264" si="2663">G81*G$215</f>
        <v>882.49457530600012</v>
      </c>
      <c r="H264" s="71">
        <f t="shared" si="2663"/>
        <v>-86.979487085659116</v>
      </c>
      <c r="I264" s="71">
        <f t="shared" ref="I264" si="2664">I81*I$215</f>
        <v>5.9174049287678532</v>
      </c>
      <c r="J264" s="71">
        <f t="shared" ref="J264:K264" si="2665">J81*J$215</f>
        <v>-99.160684951861839</v>
      </c>
      <c r="K264" s="71">
        <f t="shared" si="2665"/>
        <v>5.7126427499999011</v>
      </c>
      <c r="L264" s="71">
        <f t="shared" ref="L264:M264" si="2666">L81*L$215</f>
        <v>3.1689638000003195</v>
      </c>
      <c r="M264" s="71">
        <f t="shared" si="2666"/>
        <v>-631.61703272499983</v>
      </c>
      <c r="N264" s="71">
        <f t="shared" ref="N264" si="2667">N81*N$215</f>
        <v>-644.14552912500017</v>
      </c>
      <c r="O264" s="71">
        <f t="shared" ref="O264:P264" si="2668">O81*O$215</f>
        <v>33.484610250000031</v>
      </c>
      <c r="P264" s="71">
        <f t="shared" si="2668"/>
        <v>33.484610250000031</v>
      </c>
      <c r="Q264" s="71">
        <f t="shared" ref="Q264" si="2669">Q81*Q$215</f>
        <v>-226.19359954305841</v>
      </c>
      <c r="R264" s="71">
        <f t="shared" ref="R264" si="2670">R81*R$215</f>
        <v>-295.88908979787334</v>
      </c>
      <c r="S264"/>
      <c r="T264" s="71">
        <f t="shared" ref="T264:AB264" si="2671">T81*T$215</f>
        <v>-278.46006170799996</v>
      </c>
      <c r="U264" s="71">
        <f t="shared" si="2671"/>
        <v>129.63324290899996</v>
      </c>
      <c r="V264" s="71">
        <f t="shared" si="2671"/>
        <v>-9.6616764475000441</v>
      </c>
      <c r="W264" s="71">
        <f t="shared" si="2671"/>
        <v>-494.7985615186002</v>
      </c>
      <c r="X264" s="71">
        <f t="shared" si="2671"/>
        <v>428.10410693100005</v>
      </c>
      <c r="Y264" s="71">
        <f t="shared" si="2671"/>
        <v>-384.670047012</v>
      </c>
      <c r="Z264" s="71">
        <f t="shared" si="2671"/>
        <v>-80.310695669999916</v>
      </c>
      <c r="AA264" s="71">
        <f t="shared" si="2671"/>
        <v>-142.88782199999903</v>
      </c>
      <c r="AB264" s="71">
        <f t="shared" si="2671"/>
        <v>475.99543837100009</v>
      </c>
      <c r="AC264" s="71">
        <f t="shared" si="2330"/>
        <v>0.8246563931695835</v>
      </c>
      <c r="AD264" s="71">
        <f t="shared" ref="AD264:AG264" si="2672">AD81*AD$215</f>
        <v>1190.5291211640003</v>
      </c>
      <c r="AE264" s="71">
        <f t="shared" si="2672"/>
        <v>-801.24994646400023</v>
      </c>
      <c r="AF264" s="71">
        <f t="shared" si="2672"/>
        <v>-270.29303816700002</v>
      </c>
      <c r="AG264" s="71">
        <f t="shared" si="2672"/>
        <v>81.94402474999994</v>
      </c>
      <c r="AH264" s="71">
        <f t="shared" ref="AH264:AS264" si="2673">AH81*AH$215</f>
        <v>170.62169249106083</v>
      </c>
      <c r="AI264" s="71">
        <f t="shared" si="2673"/>
        <v>-74.672357325260705</v>
      </c>
      <c r="AJ264" s="252"/>
      <c r="AK264" s="252"/>
      <c r="AL264" s="252"/>
      <c r="AM264" s="284"/>
      <c r="AN264" s="71">
        <f t="shared" ref="AN264:AP264" si="2674">AN81*AN$215</f>
        <v>-253.00271519999998</v>
      </c>
      <c r="AO264" s="71">
        <f t="shared" si="2674"/>
        <v>183.0640823</v>
      </c>
      <c r="AP264" s="71">
        <f t="shared" si="2674"/>
        <v>230.89598399999988</v>
      </c>
      <c r="AQ264" s="71">
        <f t="shared" ref="AQ264" si="2675">AQ81*AQ$215</f>
        <v>-166.20792100000136</v>
      </c>
      <c r="AR264" s="71">
        <f t="shared" si="2673"/>
        <v>-253.00271519999998</v>
      </c>
      <c r="AS264" s="71">
        <f t="shared" si="2673"/>
        <v>183.0640823</v>
      </c>
      <c r="AT264" s="71">
        <f t="shared" ref="AT264:AZ264" si="2676">AT81*AT$215</f>
        <v>230.89598399999997</v>
      </c>
      <c r="AU264" s="71">
        <f t="shared" si="2676"/>
        <v>-163.15208030000036</v>
      </c>
      <c r="AV264" s="71">
        <f t="shared" ref="AV264:AW264" si="2677">AV81*AV$215</f>
        <v>230.89598399999997</v>
      </c>
      <c r="AW264" s="71">
        <f t="shared" si="2677"/>
        <v>-168.71466400000006</v>
      </c>
      <c r="AX264" s="71">
        <f t="shared" si="2676"/>
        <v>-402.76805580000001</v>
      </c>
      <c r="AY264" s="71">
        <f t="shared" ref="AY264" si="2678">AY81*AY$215</f>
        <v>-402.76805580000001</v>
      </c>
      <c r="AZ264" s="71">
        <f t="shared" si="2676"/>
        <v>135.66274509999994</v>
      </c>
      <c r="BA264" s="71">
        <f t="shared" ref="BA264" si="2679">BA81*BA$215</f>
        <v>135.66274509999994</v>
      </c>
      <c r="BB264" s="71">
        <f t="shared" ref="BB264" si="2680">BB81*BB$215</f>
        <v>-108.344736</v>
      </c>
      <c r="BC264" s="71">
        <f t="shared" ref="BC264:BF264" si="2681">BC81*BC$215</f>
        <v>-108.344736</v>
      </c>
      <c r="BD264" s="71">
        <f t="shared" si="2681"/>
        <v>-260.49836940000034</v>
      </c>
      <c r="BE264" s="71">
        <f t="shared" si="2681"/>
        <v>-20.384381300000044</v>
      </c>
      <c r="BF264" s="71">
        <f t="shared" si="2681"/>
        <v>157.60169710000002</v>
      </c>
      <c r="BG264" s="71">
        <f>BG81*BG$215</f>
        <v>-150.49941199999995</v>
      </c>
      <c r="BH264" s="71">
        <f>BH81*BH$215</f>
        <v>39.542131199999361</v>
      </c>
      <c r="BI264" s="71">
        <f>BI81*BI$215</f>
        <v>23.404152800000023</v>
      </c>
      <c r="BJ264" s="71">
        <f>BJ81*BJ$215</f>
        <v>-7.8625242000000766</v>
      </c>
      <c r="BK264" s="71">
        <f t="shared" ref="BK264" si="2682">BK81*BK$215</f>
        <v>-284.15568125340207</v>
      </c>
      <c r="BL264" s="71">
        <f>BL81*BL$215</f>
        <v>39.044087549060123</v>
      </c>
      <c r="BM264" s="71">
        <f>BM81*BM$215</f>
        <v>-39.893595562279387</v>
      </c>
      <c r="BO264" s="71">
        <f t="shared" ref="BO264:BP264" si="2683">BO81*BO$215</f>
        <v>-272.65119660000011</v>
      </c>
      <c r="BP264" s="71">
        <f t="shared" si="2683"/>
        <v>-20.384381300000044</v>
      </c>
      <c r="BQ264" s="71">
        <f t="shared" ref="BQ264:BT264" si="2684">BQ81*BQ$215</f>
        <v>157.60169710000002</v>
      </c>
      <c r="BR264" s="71">
        <f t="shared" si="2684"/>
        <v>-150.49941200000004</v>
      </c>
      <c r="BS264" s="71">
        <f t="shared" si="2684"/>
        <v>39.542131200001272</v>
      </c>
      <c r="BT264" s="71">
        <f t="shared" si="2684"/>
        <v>23.404152800000023</v>
      </c>
      <c r="BV264" s="40"/>
      <c r="BW264" s="40"/>
      <c r="BY264" s="40"/>
      <c r="BZ264" s="40"/>
      <c r="CB264" s="16"/>
      <c r="CC264" s="16"/>
    </row>
    <row r="265" spans="2:81" ht="13.5" customHeight="1" thickTop="1">
      <c r="C265" s="77"/>
      <c r="D265" s="78"/>
      <c r="E265" s="78"/>
      <c r="F265" s="78"/>
      <c r="G265" s="78"/>
      <c r="H265" s="78"/>
      <c r="I265" s="78"/>
      <c r="J265" s="78"/>
      <c r="K265" s="78"/>
      <c r="L265" s="78"/>
      <c r="M265" s="78"/>
      <c r="N265" s="78"/>
      <c r="O265" s="78"/>
      <c r="P265" s="78"/>
      <c r="Q265" s="78"/>
      <c r="R265" s="78"/>
      <c r="T265" s="78"/>
      <c r="U265" s="78"/>
      <c r="V265" s="78"/>
      <c r="W265" s="78"/>
      <c r="X265" s="78"/>
      <c r="Y265" s="78"/>
      <c r="Z265" s="78"/>
      <c r="AA265" s="78"/>
      <c r="AB265" s="78"/>
      <c r="AC265" s="78"/>
      <c r="AD265" s="78"/>
      <c r="AE265" s="78"/>
      <c r="AF265" s="78"/>
      <c r="AG265" s="78"/>
      <c r="AH265" s="78"/>
      <c r="AI265" s="78"/>
      <c r="AJ265" s="256"/>
      <c r="AK265" s="256"/>
      <c r="AL265" s="256"/>
      <c r="AM265" s="269"/>
      <c r="AN265" s="78"/>
      <c r="AO265" s="78"/>
      <c r="AP265" s="78"/>
      <c r="AQ265" s="78"/>
      <c r="AR265" s="78"/>
      <c r="AS265" s="78"/>
      <c r="AT265" s="78"/>
      <c r="AU265" s="78"/>
      <c r="AV265" s="78"/>
      <c r="AW265" s="78"/>
      <c r="AX265" s="78"/>
      <c r="AY265" s="78"/>
      <c r="AZ265" s="78"/>
      <c r="BA265" s="78"/>
      <c r="BB265" s="78"/>
      <c r="BC265" s="78"/>
      <c r="BD265" s="78"/>
      <c r="BE265" s="78"/>
      <c r="BF265" s="78"/>
      <c r="BG265" s="78"/>
      <c r="BH265" s="78"/>
      <c r="BI265" s="78"/>
      <c r="BJ265" s="78"/>
      <c r="BK265" s="78"/>
      <c r="BL265" s="78"/>
      <c r="BM265" s="78"/>
      <c r="BO265" s="78"/>
      <c r="BP265" s="78"/>
      <c r="BQ265" s="78"/>
      <c r="BR265" s="78"/>
      <c r="BS265" s="78"/>
      <c r="BT265" s="78"/>
      <c r="BV265" s="40"/>
      <c r="BW265" s="40"/>
      <c r="BY265" s="40"/>
      <c r="BZ265" s="40"/>
      <c r="CB265" s="16"/>
      <c r="CC265" s="16"/>
    </row>
    <row r="266" spans="2:81" ht="13.5" customHeight="1">
      <c r="B266" s="10" t="s">
        <v>341</v>
      </c>
      <c r="C266" s="79">
        <f t="shared" ref="C266:H266" si="2685">C193*C216</f>
        <v>46.076104799999996</v>
      </c>
      <c r="D266" s="79">
        <f t="shared" si="2685"/>
        <v>16.469778914999999</v>
      </c>
      <c r="E266" s="79">
        <f t="shared" si="2685"/>
        <v>1226.915128848</v>
      </c>
      <c r="F266" s="79">
        <f t="shared" si="2685"/>
        <v>1034.2456084609998</v>
      </c>
      <c r="G266" s="79">
        <f t="shared" ref="G266" si="2686">G193*G216</f>
        <v>1789.4843514519998</v>
      </c>
      <c r="H266" s="79">
        <f t="shared" si="2685"/>
        <v>1665.6751279999999</v>
      </c>
      <c r="I266" s="79">
        <f t="shared" ref="I266" si="2687">I193*I216</f>
        <v>1693.1493824000001</v>
      </c>
      <c r="J266" s="79">
        <f t="shared" ref="J266:K266" si="2688">J193*J216</f>
        <v>1665.6751279999999</v>
      </c>
      <c r="K266" s="79">
        <f t="shared" si="2688"/>
        <v>1690.1684856000002</v>
      </c>
      <c r="L266" s="79">
        <f t="shared" ref="L266:M266" si="2689">L193*L216</f>
        <v>1606.8113908000003</v>
      </c>
      <c r="M266" s="79">
        <f t="shared" si="2689"/>
        <v>1002.6779316000001</v>
      </c>
      <c r="N266" s="79">
        <f t="shared" ref="N266" si="2690">N193*N216</f>
        <v>1002.6779316000002</v>
      </c>
      <c r="O266" s="79">
        <f t="shared" ref="O266:P266" si="2691">O193*O216</f>
        <v>1086.30834</v>
      </c>
      <c r="P266" s="79">
        <f t="shared" si="2691"/>
        <v>1086.30834</v>
      </c>
      <c r="Q266" s="79">
        <f t="shared" ref="Q266" si="2692">Q193*Q216</f>
        <v>923.30729423361254</v>
      </c>
      <c r="R266" s="79">
        <f t="shared" ref="R266" si="2693">R193*R216</f>
        <v>595.96369473944185</v>
      </c>
      <c r="T266" s="79">
        <f t="shared" ref="T266:AC266" si="2694">T193*T216</f>
        <v>1479.1935818809998</v>
      </c>
      <c r="U266" s="79">
        <f t="shared" si="2694"/>
        <v>1543.7461485870001</v>
      </c>
      <c r="V266" s="79">
        <f t="shared" si="2694"/>
        <v>1454.3708797700001</v>
      </c>
      <c r="W266" s="79">
        <f t="shared" si="2694"/>
        <v>1226.915128848</v>
      </c>
      <c r="X266" s="79">
        <f t="shared" si="2694"/>
        <v>1653.645106084</v>
      </c>
      <c r="Y266" s="79">
        <f t="shared" si="2694"/>
        <v>1311.2688801420002</v>
      </c>
      <c r="Z266" s="79">
        <f t="shared" si="2694"/>
        <v>1189.61890161</v>
      </c>
      <c r="AA266" s="79">
        <f t="shared" si="2694"/>
        <v>1034.2456084609998</v>
      </c>
      <c r="AB266" s="79">
        <f t="shared" si="2694"/>
        <v>1379.8349705160003</v>
      </c>
      <c r="AC266" s="79">
        <f t="shared" si="2694"/>
        <v>1378.0610316590066</v>
      </c>
      <c r="AD266" s="79">
        <f t="shared" ref="AD266:AG266" si="2695">AD193*AD216</f>
        <v>2655.6055612619998</v>
      </c>
      <c r="AE266" s="79">
        <f t="shared" si="2695"/>
        <v>1789.4843514519998</v>
      </c>
      <c r="AF266" s="79">
        <f t="shared" si="2695"/>
        <v>1580.7625912400001</v>
      </c>
      <c r="AG266" s="79">
        <f t="shared" si="2695"/>
        <v>1693.7344523999998</v>
      </c>
      <c r="AH266" s="79">
        <f t="shared" ref="AH266:AS266" si="2696">AH193*AH216</f>
        <v>1759.5810599687538</v>
      </c>
      <c r="AI266" s="79">
        <f t="shared" si="2696"/>
        <v>1665.6751279999999</v>
      </c>
      <c r="AJ266" s="257"/>
      <c r="AK266" s="257"/>
      <c r="AL266" s="257"/>
      <c r="AM266" s="266"/>
      <c r="AN266" s="79">
        <f t="shared" ref="AN266:AP266" si="2697">AN193*AN216</f>
        <v>1374.9370090000002</v>
      </c>
      <c r="AO266" s="79">
        <f t="shared" si="2697"/>
        <v>1496.4019072000001</v>
      </c>
      <c r="AP266" s="79">
        <f t="shared" si="2697"/>
        <v>1669.0320416</v>
      </c>
      <c r="AQ266" s="79">
        <f t="shared" ref="AQ266" si="2698">AQ193*AQ216</f>
        <v>1606.7033752000002</v>
      </c>
      <c r="AR266" s="79">
        <f t="shared" si="2696"/>
        <v>1374.9370090000002</v>
      </c>
      <c r="AS266" s="79">
        <f t="shared" si="2696"/>
        <v>1496.4019072000001</v>
      </c>
      <c r="AT266" s="79">
        <f t="shared" ref="AT266:AZ266" si="2699">AT193*AT216</f>
        <v>1669.0320416</v>
      </c>
      <c r="AU266" s="79">
        <f t="shared" si="2699"/>
        <v>1690.1684856000002</v>
      </c>
      <c r="AV266" s="79">
        <f t="shared" ref="AV266:AW266" si="2700">AV193*AV216</f>
        <v>1669.0320416</v>
      </c>
      <c r="AW266" s="79">
        <f t="shared" si="2700"/>
        <v>1606.8113908000003</v>
      </c>
      <c r="AX266" s="79">
        <f t="shared" si="2699"/>
        <v>1232.8984780000003</v>
      </c>
      <c r="AY266" s="79">
        <f t="shared" ref="AY266" si="2701">AY193*AY216</f>
        <v>1232.8984780000003</v>
      </c>
      <c r="AZ266" s="79">
        <f t="shared" si="2699"/>
        <v>1341.8848599999999</v>
      </c>
      <c r="BA266" s="79">
        <f t="shared" ref="BA266" si="2702">BA193*BA216</f>
        <v>1341.8848599999999</v>
      </c>
      <c r="BB266" s="79">
        <f t="shared" ref="BB266" si="2703">BB193*BB216</f>
        <v>1204.5428522999998</v>
      </c>
      <c r="BC266" s="79">
        <f t="shared" ref="BC266:BG266" si="2704">BC193*BC216</f>
        <v>1204.5428522999998</v>
      </c>
      <c r="BD266" s="79">
        <f t="shared" si="2704"/>
        <v>1002.6779316000001</v>
      </c>
      <c r="BE266" s="79">
        <f t="shared" si="2704"/>
        <v>933.03686920000007</v>
      </c>
      <c r="BF266" s="79">
        <f t="shared" si="2704"/>
        <v>1097.0760150999999</v>
      </c>
      <c r="BG266" s="79">
        <f t="shared" si="2704"/>
        <v>1100.0953128000001</v>
      </c>
      <c r="BH266" s="79">
        <f t="shared" ref="BH266:BK266" si="2705">BH193*BH216</f>
        <v>1086.30834</v>
      </c>
      <c r="BI266" s="79">
        <f t="shared" si="2705"/>
        <v>1116.521154</v>
      </c>
      <c r="BJ266" s="79">
        <f t="shared" si="2705"/>
        <v>1155.2035935999997</v>
      </c>
      <c r="BK266" s="79">
        <f t="shared" si="2705"/>
        <v>873.4991089461804</v>
      </c>
      <c r="BL266" s="79">
        <f t="shared" ref="BL266:BM266" si="2706">BL193*BL216</f>
        <v>923.30729423361254</v>
      </c>
      <c r="BM266" s="79">
        <f t="shared" si="2706"/>
        <v>595.96369473944185</v>
      </c>
      <c r="BO266" s="79">
        <f t="shared" ref="BO266:BR266" si="2707">BO193*BO216</f>
        <v>1002.6779316000002</v>
      </c>
      <c r="BP266" s="79">
        <f t="shared" si="2707"/>
        <v>933.03686920000007</v>
      </c>
      <c r="BQ266" s="79">
        <f t="shared" si="2707"/>
        <v>1097.0760150999999</v>
      </c>
      <c r="BR266" s="79">
        <f t="shared" si="2707"/>
        <v>1100.0953128000001</v>
      </c>
      <c r="BS266" s="79">
        <f t="shared" ref="BS266:BT266" si="2708">BS193*BS216</f>
        <v>1086.30834</v>
      </c>
      <c r="BT266" s="79">
        <f t="shared" si="2708"/>
        <v>1116.521154</v>
      </c>
      <c r="BV266" s="40"/>
      <c r="BW266" s="40"/>
      <c r="BY266" s="40"/>
      <c r="BZ266" s="40"/>
      <c r="CB266" s="16"/>
      <c r="CC266" s="16"/>
    </row>
    <row r="267" spans="2:81" ht="13.5" customHeight="1">
      <c r="C267" s="79"/>
      <c r="D267" s="79"/>
      <c r="E267" s="79"/>
      <c r="F267" s="79"/>
      <c r="G267" s="79"/>
      <c r="H267" s="79"/>
      <c r="I267" s="79"/>
      <c r="J267" s="79"/>
      <c r="K267" s="79"/>
      <c r="L267" s="79"/>
      <c r="M267" s="79"/>
      <c r="N267" s="79"/>
      <c r="O267" s="79"/>
      <c r="P267" s="79"/>
      <c r="Q267" s="79"/>
      <c r="R267" s="79"/>
      <c r="T267" s="79"/>
      <c r="U267" s="79"/>
      <c r="V267" s="79"/>
      <c r="W267" s="79"/>
      <c r="X267" s="79"/>
      <c r="Y267" s="79"/>
      <c r="Z267" s="79"/>
      <c r="AA267" s="79"/>
      <c r="AB267" s="79"/>
      <c r="AC267" s="79"/>
      <c r="AD267" s="79"/>
      <c r="AE267" s="79"/>
      <c r="AF267" s="79"/>
      <c r="AG267" s="79"/>
      <c r="AH267" s="79"/>
      <c r="AI267" s="79"/>
      <c r="AJ267" s="257"/>
      <c r="AK267" s="257"/>
      <c r="AL267" s="257"/>
      <c r="AM267" s="266"/>
      <c r="AN267" s="79"/>
      <c r="AO267" s="79"/>
      <c r="AP267" s="79"/>
      <c r="AQ267" s="79"/>
      <c r="AR267" s="79"/>
      <c r="AS267" s="79"/>
      <c r="AT267" s="79"/>
      <c r="AU267" s="79"/>
      <c r="AV267" s="79"/>
      <c r="AW267" s="79"/>
      <c r="AX267" s="79"/>
      <c r="AY267" s="79"/>
      <c r="AZ267" s="79"/>
      <c r="BA267" s="79"/>
      <c r="BB267" s="79"/>
      <c r="BC267" s="79"/>
      <c r="BD267" s="79"/>
      <c r="BE267" s="79"/>
      <c r="BF267" s="79"/>
      <c r="BG267" s="79"/>
      <c r="BH267" s="79"/>
      <c r="BI267" s="79"/>
      <c r="BJ267" s="79"/>
      <c r="BK267" s="79"/>
      <c r="BL267" s="79"/>
      <c r="BM267" s="79"/>
      <c r="BO267" s="79"/>
      <c r="BP267" s="79"/>
      <c r="BQ267" s="79"/>
      <c r="BR267" s="79"/>
      <c r="BS267" s="79"/>
      <c r="BT267" s="79"/>
      <c r="BV267" s="40"/>
      <c r="BW267" s="40"/>
      <c r="BY267" s="40"/>
      <c r="BZ267" s="40"/>
      <c r="CB267" s="16"/>
      <c r="CC267" s="16"/>
    </row>
    <row r="268" spans="2:81" ht="13.5" customHeight="1">
      <c r="B268" s="10" t="s">
        <v>314</v>
      </c>
      <c r="C268" s="79">
        <f t="shared" ref="C268:O268" si="2709">C131*C216</f>
        <v>6378.9747128999998</v>
      </c>
      <c r="D268" s="79">
        <f t="shared" si="2709"/>
        <v>7538.5060830410002</v>
      </c>
      <c r="E268" s="79">
        <f t="shared" si="2709"/>
        <v>5616.2409637559995</v>
      </c>
      <c r="F268" s="79">
        <f t="shared" si="2709"/>
        <v>5431.4402020970001</v>
      </c>
      <c r="G268" s="79">
        <f t="shared" si="2709"/>
        <v>5939.7216593399999</v>
      </c>
      <c r="H268" s="79">
        <f t="shared" si="2709"/>
        <v>5990.733131</v>
      </c>
      <c r="I268" s="79">
        <f t="shared" si="2709"/>
        <v>6962.1820704000002</v>
      </c>
      <c r="J268" s="79">
        <f t="shared" si="2709"/>
        <v>5990.733131</v>
      </c>
      <c r="K268" s="79">
        <f t="shared" si="2709"/>
        <v>6958.3033799999994</v>
      </c>
      <c r="L268" s="79">
        <f t="shared" si="2709"/>
        <v>6614.6834600000002</v>
      </c>
      <c r="M268" s="79">
        <f t="shared" si="2709"/>
        <v>6138.3563940000004</v>
      </c>
      <c r="N268" s="79">
        <f t="shared" ref="N268" si="2710">N131*N216</f>
        <v>6138.3563940000004</v>
      </c>
      <c r="O268" s="79">
        <f t="shared" si="2709"/>
        <v>6163.3953554999998</v>
      </c>
      <c r="P268" s="79">
        <f t="shared" ref="P268:Q268" si="2711">P131*P216</f>
        <v>6163.3953554999998</v>
      </c>
      <c r="Q268" s="79">
        <f t="shared" si="2711"/>
        <v>5931.1027599802865</v>
      </c>
      <c r="R268" s="79">
        <f t="shared" ref="R268:AH268" si="2712">R131*R216</f>
        <v>5868.6248456408994</v>
      </c>
      <c r="T268" s="79">
        <f t="shared" si="2712"/>
        <v>7484.6233885649999</v>
      </c>
      <c r="U268" s="79">
        <f t="shared" si="2712"/>
        <v>6408.215294265</v>
      </c>
      <c r="V268" s="79">
        <f t="shared" si="2712"/>
        <v>5984.2560240550001</v>
      </c>
      <c r="W268" s="79">
        <f t="shared" si="2712"/>
        <v>5616.2409637559995</v>
      </c>
      <c r="X268" s="79">
        <f t="shared" si="2712"/>
        <v>5552.1698780340002</v>
      </c>
      <c r="Y268" s="79">
        <f t="shared" si="2712"/>
        <v>5582.7743537340002</v>
      </c>
      <c r="Z268" s="79">
        <f t="shared" si="2712"/>
        <v>5406.5716839050001</v>
      </c>
      <c r="AA268" s="79">
        <f t="shared" si="2712"/>
        <v>5431.4402020970001</v>
      </c>
      <c r="AB268" s="79">
        <f t="shared" si="2712"/>
        <v>5010.6982754159999</v>
      </c>
      <c r="AC268" s="79">
        <f t="shared" si="2712"/>
        <v>5222.3922730560162</v>
      </c>
      <c r="AD268" s="79">
        <f t="shared" si="2712"/>
        <v>5266.2141359140005</v>
      </c>
      <c r="AE268" s="79">
        <f t="shared" si="2712"/>
        <v>5939.7216593399999</v>
      </c>
      <c r="AF268" s="79">
        <f t="shared" si="2712"/>
        <v>5752.1220962449997</v>
      </c>
      <c r="AG268" s="79">
        <f t="shared" si="2712"/>
        <v>5885.8181522999994</v>
      </c>
      <c r="AH268" s="79">
        <f t="shared" si="2712"/>
        <v>5921.4697752673965</v>
      </c>
      <c r="AI268" s="79">
        <f t="shared" ref="AI268" si="2713">AI131*AI216</f>
        <v>5990.733131</v>
      </c>
      <c r="AJ268" s="257"/>
      <c r="AK268" s="257"/>
      <c r="AL268" s="257"/>
      <c r="AM268" s="266"/>
      <c r="AN268" s="79">
        <f t="shared" ref="AN268:AW268" si="2714">AN131*AN216</f>
        <v>5686.6526532000007</v>
      </c>
      <c r="AO268" s="79">
        <f t="shared" si="2714"/>
        <v>5517.4590752000004</v>
      </c>
      <c r="AP268" s="79">
        <f t="shared" si="2714"/>
        <v>5260.0130352000006</v>
      </c>
      <c r="AQ268" s="79">
        <f t="shared" si="2714"/>
        <v>6606.7185491999999</v>
      </c>
      <c r="AR268" s="79">
        <f t="shared" si="2714"/>
        <v>5686.6526532000007</v>
      </c>
      <c r="AS268" s="79">
        <f t="shared" si="2714"/>
        <v>5517.4590752000004</v>
      </c>
      <c r="AT268" s="79">
        <f t="shared" si="2714"/>
        <v>5260.0130352000006</v>
      </c>
      <c r="AU268" s="79">
        <f t="shared" si="2714"/>
        <v>6958.3033799999994</v>
      </c>
      <c r="AV268" s="79">
        <f t="shared" si="2714"/>
        <v>5260.0130352000006</v>
      </c>
      <c r="AW268" s="79">
        <f t="shared" si="2714"/>
        <v>6614.6834600000002</v>
      </c>
      <c r="AX268" s="79">
        <f t="shared" ref="AX268:BF268" si="2715">AX131*AX216</f>
        <v>6973.9082260000005</v>
      </c>
      <c r="AY268" s="79">
        <f t="shared" si="2715"/>
        <v>6973.9082260000005</v>
      </c>
      <c r="AZ268" s="79">
        <f t="shared" si="2715"/>
        <v>6662.6438999999991</v>
      </c>
      <c r="BA268" s="79">
        <f t="shared" si="2715"/>
        <v>6662.6438999999991</v>
      </c>
      <c r="BB268" s="79">
        <f t="shared" si="2715"/>
        <v>6234.9593811000004</v>
      </c>
      <c r="BC268" s="79">
        <f t="shared" si="2715"/>
        <v>6234.9593811000004</v>
      </c>
      <c r="BD268" s="79">
        <f t="shared" si="2715"/>
        <v>6138.3563940000004</v>
      </c>
      <c r="BE268" s="79">
        <f t="shared" si="2715"/>
        <v>5985.8656440000004</v>
      </c>
      <c r="BF268" s="79">
        <f t="shared" si="2715"/>
        <v>5926.1977645000006</v>
      </c>
      <c r="BG268" s="79">
        <f>BG131*BG216</f>
        <v>6557.7984575999999</v>
      </c>
      <c r="BH268" s="79">
        <f>BH131*BH216</f>
        <v>6163.3953554999998</v>
      </c>
      <c r="BI268" s="79">
        <f t="shared" ref="BI268:BJ268" si="2716">BI131*BI216</f>
        <v>6080.8716289999993</v>
      </c>
      <c r="BJ268" s="79">
        <f t="shared" si="2716"/>
        <v>6007.7647618000001</v>
      </c>
      <c r="BK268" s="79">
        <f>BK131*BK216</f>
        <v>5847.1545681359157</v>
      </c>
      <c r="BL268" s="79">
        <f>BL131*BL216</f>
        <v>5931.1027599802865</v>
      </c>
      <c r="BM268" s="79">
        <f t="shared" ref="BM268" si="2717">BM131*BM216</f>
        <v>5868.6248456408994</v>
      </c>
      <c r="BO268" s="79">
        <f t="shared" ref="BO268:BR268" si="2718">BO131*BO216</f>
        <v>6138.3563940000004</v>
      </c>
      <c r="BP268" s="79">
        <f t="shared" si="2718"/>
        <v>5985.8656440000004</v>
      </c>
      <c r="BQ268" s="79">
        <f t="shared" si="2718"/>
        <v>5926.1977645000006</v>
      </c>
      <c r="BR268" s="79">
        <f t="shared" si="2718"/>
        <v>6557.7984575999999</v>
      </c>
      <c r="BS268" s="79">
        <f t="shared" ref="BS268:BT268" si="2719">BS131*BS216</f>
        <v>6163.3953554999998</v>
      </c>
      <c r="BT268" s="79">
        <f t="shared" si="2719"/>
        <v>6080.8716289999993</v>
      </c>
      <c r="BV268" s="40"/>
      <c r="BW268" s="40"/>
      <c r="BY268" s="40"/>
      <c r="BZ268" s="40"/>
      <c r="CB268" s="16"/>
      <c r="CC268" s="16"/>
    </row>
    <row r="269" spans="2:81" ht="13.5" customHeight="1">
      <c r="C269" s="79"/>
      <c r="D269" s="79"/>
      <c r="E269" s="79"/>
      <c r="F269" s="79"/>
      <c r="G269" s="79"/>
      <c r="H269" s="79"/>
      <c r="I269" s="79"/>
      <c r="J269" s="79"/>
      <c r="K269" s="79"/>
      <c r="L269" s="79"/>
      <c r="M269" s="79"/>
      <c r="N269" s="79"/>
      <c r="O269" s="79"/>
      <c r="P269" s="79"/>
      <c r="Q269" s="79"/>
      <c r="R269" s="79"/>
      <c r="T269" s="79"/>
      <c r="U269" s="79"/>
      <c r="V269" s="79"/>
      <c r="W269" s="79"/>
      <c r="X269" s="79"/>
      <c r="Y269" s="79"/>
      <c r="Z269" s="79"/>
      <c r="AA269" s="79"/>
      <c r="AB269" s="79"/>
      <c r="AC269" s="79"/>
      <c r="AD269" s="79"/>
      <c r="AE269" s="79"/>
      <c r="AF269" s="79"/>
      <c r="AG269" s="79"/>
      <c r="AH269" s="79"/>
      <c r="AI269" s="79"/>
      <c r="AJ269" s="257"/>
      <c r="AK269" s="257"/>
      <c r="AL269" s="257"/>
      <c r="AM269" s="266"/>
      <c r="AN269" s="79"/>
      <c r="AO269" s="79"/>
      <c r="AP269" s="79"/>
      <c r="AQ269" s="79"/>
      <c r="AR269" s="79"/>
      <c r="AS269" s="79"/>
      <c r="AT269" s="79"/>
      <c r="AU269" s="79"/>
      <c r="AV269" s="79"/>
      <c r="AW269" s="79"/>
      <c r="AX269" s="79"/>
      <c r="AY269" s="79"/>
      <c r="AZ269" s="79"/>
      <c r="BA269" s="79"/>
      <c r="BB269" s="79"/>
      <c r="BC269" s="79"/>
      <c r="BD269" s="79"/>
      <c r="BE269" s="79"/>
      <c r="BF269" s="79"/>
      <c r="BG269" s="79"/>
      <c r="BH269" s="79"/>
      <c r="BI269" s="79"/>
      <c r="BJ269" s="79"/>
      <c r="BK269" s="79"/>
      <c r="BL269" s="79"/>
      <c r="BM269" s="79"/>
      <c r="BO269" s="79"/>
      <c r="BP269" s="79"/>
      <c r="BQ269" s="79"/>
      <c r="BR269" s="79"/>
      <c r="BS269" s="79"/>
      <c r="BT269" s="79"/>
      <c r="BV269" s="40"/>
      <c r="BW269" s="40"/>
      <c r="BY269" s="40"/>
      <c r="BZ269" s="40"/>
      <c r="CB269" s="16"/>
      <c r="CC269" s="16"/>
    </row>
    <row r="270" spans="2:81" ht="13.5" customHeight="1">
      <c r="B270" s="24" t="str">
        <f>+B125</f>
        <v>Net debt (excl. lease liabilities)</v>
      </c>
      <c r="C270" s="59">
        <f t="shared" ref="C270:H270" si="2720">C125*C216</f>
        <v>4915.6513701000003</v>
      </c>
      <c r="D270" s="59">
        <f t="shared" si="2720"/>
        <v>4724.4118706880008</v>
      </c>
      <c r="E270" s="59">
        <f t="shared" si="2720"/>
        <v>3398.9538525600005</v>
      </c>
      <c r="F270" s="59">
        <f t="shared" si="2720"/>
        <v>3078.744404216</v>
      </c>
      <c r="G270" s="59">
        <f t="shared" ref="G270" si="2721">G125*G216</f>
        <v>2624.4806545300012</v>
      </c>
      <c r="H270" s="59">
        <f t="shared" si="2720"/>
        <v>2887.3931769999999</v>
      </c>
      <c r="I270" s="59">
        <f t="shared" ref="I270" si="2722">I125*I216</f>
        <v>4085.4954048000004</v>
      </c>
      <c r="J270" s="59">
        <f t="shared" ref="J270:K270" si="2723">J125*J216</f>
        <v>2887.3931769999999</v>
      </c>
      <c r="K270" s="59">
        <f t="shared" si="2723"/>
        <v>4078.6328520000015</v>
      </c>
      <c r="L270" s="59">
        <f t="shared" ref="L270:M270" si="2724">L125*L216</f>
        <v>3877.110868400001</v>
      </c>
      <c r="M270" s="59">
        <f t="shared" si="2724"/>
        <v>4398.0052610000002</v>
      </c>
      <c r="N270" s="59">
        <f t="shared" ref="N270" si="2725">N125*N216</f>
        <v>4398.005043600001</v>
      </c>
      <c r="O270" s="59">
        <f t="shared" ref="O270:P270" si="2726">O125*O216</f>
        <v>4096.8768074999989</v>
      </c>
      <c r="P270" s="59">
        <f t="shared" si="2726"/>
        <v>4096.8768074999989</v>
      </c>
      <c r="Q270" s="59">
        <f t="shared" ref="Q270" si="2727">Q125*Q216</f>
        <v>2786.0219319862013</v>
      </c>
      <c r="R270" s="59">
        <f t="shared" ref="R270" si="2728">R125*R216</f>
        <v>3132.8103235366752</v>
      </c>
      <c r="T270" s="59">
        <f t="shared" ref="T270:AC270" si="2729">T125*T216</f>
        <v>3219.8721666799997</v>
      </c>
      <c r="U270" s="59">
        <f t="shared" si="2729"/>
        <v>3079.8505889369999</v>
      </c>
      <c r="V270" s="59">
        <f t="shared" si="2729"/>
        <v>3250.4275478949999</v>
      </c>
      <c r="W270" s="59">
        <f t="shared" si="2729"/>
        <v>3398.9538525600005</v>
      </c>
      <c r="X270" s="59">
        <f t="shared" si="2729"/>
        <v>3050.2874670379992</v>
      </c>
      <c r="Y270" s="59">
        <f t="shared" si="2729"/>
        <v>2984.445495884001</v>
      </c>
      <c r="Z270" s="59">
        <f t="shared" si="2729"/>
        <v>2926.4539777550003</v>
      </c>
      <c r="AA270" s="59">
        <f t="shared" si="2729"/>
        <v>3078.744404216</v>
      </c>
      <c r="AB270" s="59">
        <f t="shared" si="2729"/>
        <v>2765.7714816539997</v>
      </c>
      <c r="AC270" s="59">
        <f t="shared" si="2729"/>
        <v>2766.9122553251063</v>
      </c>
      <c r="AD270" s="59">
        <f t="shared" ref="AD270:AG270" si="2730">AD125*AD216</f>
        <v>2495.4735005190009</v>
      </c>
      <c r="AE270" s="59">
        <f t="shared" si="2730"/>
        <v>2624.4806545300012</v>
      </c>
      <c r="AF270" s="59">
        <f t="shared" si="2730"/>
        <v>2678.3389447149998</v>
      </c>
      <c r="AG270" s="59">
        <f t="shared" si="2730"/>
        <v>2653.7346801000012</v>
      </c>
      <c r="AH270" s="59">
        <f t="shared" ref="AH270:AS270" si="2731">AH125*AH216</f>
        <v>2514.7143372190853</v>
      </c>
      <c r="AI270" s="59">
        <f t="shared" si="2731"/>
        <v>2887.3931769999999</v>
      </c>
      <c r="AJ270" s="244"/>
      <c r="AK270" s="244"/>
      <c r="AL270" s="244"/>
      <c r="AM270" s="274"/>
      <c r="AN270" s="59">
        <f t="shared" ref="AN270:AP270" si="2732">AN125*AN216</f>
        <v>3063.055429</v>
      </c>
      <c r="AO270" s="59">
        <f t="shared" si="2732"/>
        <v>4229.575875200002</v>
      </c>
      <c r="AP270" s="59">
        <f t="shared" si="2732"/>
        <v>4334.3374535999992</v>
      </c>
      <c r="AQ270" s="59">
        <f t="shared" ref="AQ270" si="2733">AQ125*AQ216</f>
        <v>3876.9049704000004</v>
      </c>
      <c r="AR270" s="59">
        <f t="shared" si="2731"/>
        <v>3063.055429</v>
      </c>
      <c r="AS270" s="59">
        <f t="shared" si="2731"/>
        <v>4229.575875200002</v>
      </c>
      <c r="AT270" s="59">
        <f t="shared" ref="AT270:AZ270" si="2734">AT125*AT216</f>
        <v>4334.3374535999992</v>
      </c>
      <c r="AU270" s="59">
        <f t="shared" si="2734"/>
        <v>4078.6328520000015</v>
      </c>
      <c r="AV270" s="59">
        <f t="shared" ref="AV270:AW270" si="2735">AV125*AV216</f>
        <v>4334.3374535999992</v>
      </c>
      <c r="AW270" s="59">
        <f t="shared" si="2735"/>
        <v>3877.110868400001</v>
      </c>
      <c r="AX270" s="59">
        <f t="shared" si="2734"/>
        <v>4610.3331040000003</v>
      </c>
      <c r="AY270" s="59">
        <f t="shared" ref="AY270" si="2736">AY125*AY216</f>
        <v>4610.3331040000003</v>
      </c>
      <c r="AZ270" s="59">
        <f t="shared" si="2734"/>
        <v>4231.0104780000011</v>
      </c>
      <c r="BA270" s="59">
        <f t="shared" ref="BA270" si="2737">BA125*BA216</f>
        <v>4231.0104780000011</v>
      </c>
      <c r="BB270" s="59">
        <f t="shared" ref="BB270" si="2738">BB125*BB216</f>
        <v>4079.5355105000012</v>
      </c>
      <c r="BC270" s="59">
        <f t="shared" ref="BC270:BG270" si="2739">BC125*BC216</f>
        <v>4079.5355105000012</v>
      </c>
      <c r="BD270" s="59">
        <f t="shared" si="2739"/>
        <v>4398.0052610000002</v>
      </c>
      <c r="BE270" s="59">
        <f t="shared" si="2739"/>
        <v>4468.9687240000003</v>
      </c>
      <c r="BF270" s="59">
        <f t="shared" si="2739"/>
        <v>4371.4152066000015</v>
      </c>
      <c r="BG270" s="59">
        <f t="shared" si="2739"/>
        <v>4285.5537047999987</v>
      </c>
      <c r="BH270" s="59">
        <f t="shared" ref="BH270:BK270" si="2740">BH125*BH216</f>
        <v>4096.8768074999989</v>
      </c>
      <c r="BI270" s="59">
        <f t="shared" si="2740"/>
        <v>4033.1374229999988</v>
      </c>
      <c r="BJ270" s="59">
        <f t="shared" si="2740"/>
        <v>3049.238719200001</v>
      </c>
      <c r="BK270" s="59">
        <f t="shared" si="2740"/>
        <v>2871.7657122490191</v>
      </c>
      <c r="BL270" s="59">
        <f t="shared" ref="BL270:BM270" si="2741">BL125*BL216</f>
        <v>2786.0219319862013</v>
      </c>
      <c r="BM270" s="59">
        <f t="shared" si="2741"/>
        <v>3132.8103235366752</v>
      </c>
      <c r="BO270" s="59">
        <f t="shared" ref="BO270:BR270" si="2742">BO125*BO216</f>
        <v>4398.005043600001</v>
      </c>
      <c r="BP270" s="59">
        <f t="shared" si="2742"/>
        <v>4468.9687240000003</v>
      </c>
      <c r="BQ270" s="59">
        <f t="shared" si="2742"/>
        <v>4371.4152066000015</v>
      </c>
      <c r="BR270" s="59">
        <f t="shared" si="2742"/>
        <v>4285.5537047999987</v>
      </c>
      <c r="BS270" s="59">
        <f t="shared" ref="BS270:BT270" si="2743">BS125*BS216</f>
        <v>4096.8768074999989</v>
      </c>
      <c r="BT270" s="59">
        <f t="shared" si="2743"/>
        <v>4033.1374229999988</v>
      </c>
      <c r="BV270" s="40"/>
      <c r="BW270" s="40"/>
      <c r="BY270" s="40"/>
      <c r="BZ270" s="40"/>
      <c r="CB270" s="16"/>
      <c r="CC270" s="16"/>
    </row>
    <row r="271" spans="2:81" ht="13.5" customHeight="1">
      <c r="B271" s="10" t="str">
        <f>+B126</f>
        <v>Gross total debt (excl. lease liabilities)</v>
      </c>
      <c r="C271" s="79">
        <f t="shared" ref="C271:H271" si="2744">C126*C216</f>
        <v>4961.7274748999998</v>
      </c>
      <c r="D271" s="79">
        <f t="shared" si="2744"/>
        <v>4740.8816496030004</v>
      </c>
      <c r="E271" s="79">
        <f t="shared" si="2744"/>
        <v>4625.8689814080008</v>
      </c>
      <c r="F271" s="79">
        <f t="shared" si="2744"/>
        <v>4112.9900126769999</v>
      </c>
      <c r="G271" s="79">
        <f t="shared" ref="G271" si="2745">G126*G216</f>
        <v>4413.9650059820015</v>
      </c>
      <c r="H271" s="79">
        <f t="shared" si="2744"/>
        <v>4553.0683049999998</v>
      </c>
      <c r="I271" s="79">
        <f t="shared" ref="I271" si="2746">I126*I216</f>
        <v>5778.6447871999999</v>
      </c>
      <c r="J271" s="79">
        <f t="shared" ref="J271:K271" si="2747">J126*J216</f>
        <v>4553.0683049999998</v>
      </c>
      <c r="K271" s="79">
        <f t="shared" si="2747"/>
        <v>5768.8013376000008</v>
      </c>
      <c r="L271" s="79">
        <f t="shared" ref="L271:M271" si="2748">L126*L216</f>
        <v>5483.9222592000015</v>
      </c>
      <c r="M271" s="79">
        <f t="shared" si="2748"/>
        <v>5400.6831926000004</v>
      </c>
      <c r="N271" s="79">
        <f t="shared" ref="N271" si="2749">N126*N216</f>
        <v>5400.6829752000012</v>
      </c>
      <c r="O271" s="79">
        <f t="shared" ref="O271:P271" si="2750">O126*O216</f>
        <v>5183.1851474999985</v>
      </c>
      <c r="P271" s="79">
        <f t="shared" si="2750"/>
        <v>5183.1851474999985</v>
      </c>
      <c r="Q271" s="79">
        <f t="shared" ref="Q271" si="2751">Q126*Q216</f>
        <v>3709.3292262198138</v>
      </c>
      <c r="R271" s="79">
        <f t="shared" ref="R271" si="2752">R126*R216</f>
        <v>3728.7740182761172</v>
      </c>
      <c r="T271" s="79">
        <f t="shared" ref="T271:AC271" si="2753">T126*T216</f>
        <v>4699.0657485609991</v>
      </c>
      <c r="U271" s="79">
        <f t="shared" si="2753"/>
        <v>4623.5967375239998</v>
      </c>
      <c r="V271" s="79">
        <f t="shared" si="2753"/>
        <v>4704.7984276650004</v>
      </c>
      <c r="W271" s="79">
        <f t="shared" si="2753"/>
        <v>4625.8689814080008</v>
      </c>
      <c r="X271" s="79">
        <f t="shared" si="2753"/>
        <v>4703.9325731219997</v>
      </c>
      <c r="Y271" s="79">
        <f t="shared" si="2753"/>
        <v>4295.7143760260014</v>
      </c>
      <c r="Z271" s="79">
        <f t="shared" si="2753"/>
        <v>4116.0728793650005</v>
      </c>
      <c r="AA271" s="79">
        <f t="shared" si="2753"/>
        <v>4112.9900126769999</v>
      </c>
      <c r="AB271" s="79">
        <f t="shared" si="2753"/>
        <v>4145.60645217</v>
      </c>
      <c r="AC271" s="79">
        <f t="shared" si="2753"/>
        <v>4144.9732869841127</v>
      </c>
      <c r="AD271" s="79">
        <f t="shared" ref="AD271:AG271" si="2754">AD126*AD216</f>
        <v>5151.0790617810007</v>
      </c>
      <c r="AE271" s="79">
        <f t="shared" si="2754"/>
        <v>4413.9650059820015</v>
      </c>
      <c r="AF271" s="79">
        <f t="shared" si="2754"/>
        <v>4259.1015359549992</v>
      </c>
      <c r="AG271" s="79">
        <f t="shared" si="2754"/>
        <v>4347.4691325000003</v>
      </c>
      <c r="AH271" s="79">
        <f t="shared" ref="AH271:AS271" si="2755">AH126*AH216</f>
        <v>4274.2953971878396</v>
      </c>
      <c r="AI271" s="79">
        <f t="shared" si="2755"/>
        <v>4553.0683049999998</v>
      </c>
      <c r="AJ271" s="257"/>
      <c r="AK271" s="257"/>
      <c r="AL271" s="257"/>
      <c r="AM271" s="266"/>
      <c r="AN271" s="79">
        <f t="shared" ref="AN271:AP271" si="2756">AN126*AN216</f>
        <v>4437.9924380000002</v>
      </c>
      <c r="AO271" s="79">
        <f t="shared" si="2756"/>
        <v>5725.9777824000012</v>
      </c>
      <c r="AP271" s="79">
        <f t="shared" si="2756"/>
        <v>6003.3694951999996</v>
      </c>
      <c r="AQ271" s="79">
        <f t="shared" ref="AQ271" si="2757">AQ126*AQ216</f>
        <v>5483.6083456000006</v>
      </c>
      <c r="AR271" s="79">
        <f t="shared" si="2755"/>
        <v>4437.9924380000002</v>
      </c>
      <c r="AS271" s="79">
        <f t="shared" si="2755"/>
        <v>5725.9777824000012</v>
      </c>
      <c r="AT271" s="79">
        <f t="shared" ref="AT271:AZ271" si="2758">AT126*AT216</f>
        <v>6003.3694951999996</v>
      </c>
      <c r="AU271" s="79">
        <f t="shared" si="2758"/>
        <v>5768.8013376000008</v>
      </c>
      <c r="AV271" s="79">
        <f t="shared" ref="AV271:AW271" si="2759">AV126*AV216</f>
        <v>6003.3694951999996</v>
      </c>
      <c r="AW271" s="79">
        <f t="shared" si="2759"/>
        <v>5483.9222592000015</v>
      </c>
      <c r="AX271" s="79">
        <f t="shared" si="2758"/>
        <v>5843.2315820000003</v>
      </c>
      <c r="AY271" s="79">
        <f t="shared" ref="AY271" si="2760">AY126*AY216</f>
        <v>5843.2315820000003</v>
      </c>
      <c r="AZ271" s="79">
        <f t="shared" si="2758"/>
        <v>5572.8953380000012</v>
      </c>
      <c r="BA271" s="79">
        <f t="shared" ref="BA271" si="2761">BA126*BA216</f>
        <v>5572.8953380000012</v>
      </c>
      <c r="BB271" s="79">
        <f t="shared" ref="BB271" si="2762">BB126*BB216</f>
        <v>5284.0783628000017</v>
      </c>
      <c r="BC271" s="79">
        <f t="shared" ref="BC271:BG271" si="2763">BC126*BC216</f>
        <v>5284.0783628000017</v>
      </c>
      <c r="BD271" s="79">
        <f t="shared" si="2763"/>
        <v>5400.6831926000004</v>
      </c>
      <c r="BE271" s="79">
        <f t="shared" si="2763"/>
        <v>5402.0055931999996</v>
      </c>
      <c r="BF271" s="79">
        <f t="shared" si="2763"/>
        <v>5468.4912217000019</v>
      </c>
      <c r="BG271" s="79">
        <f t="shared" si="2763"/>
        <v>5385.6490175999998</v>
      </c>
      <c r="BH271" s="79">
        <f t="shared" ref="BH271:BK271" si="2764">BH126*BH216</f>
        <v>5183.1851474999985</v>
      </c>
      <c r="BI271" s="79">
        <f t="shared" si="2764"/>
        <v>5149.6585769999992</v>
      </c>
      <c r="BJ271" s="79">
        <f t="shared" si="2764"/>
        <v>4204.4423128000008</v>
      </c>
      <c r="BK271" s="79">
        <f t="shared" si="2764"/>
        <v>3745.2648211951996</v>
      </c>
      <c r="BL271" s="79">
        <f t="shared" ref="BL271:BM271" si="2765">BL126*BL216</f>
        <v>3709.3292262198138</v>
      </c>
      <c r="BM271" s="79">
        <f t="shared" si="2765"/>
        <v>3728.7740182761172</v>
      </c>
      <c r="BO271" s="79">
        <f t="shared" ref="BO271:BR271" si="2766">BO126*BO216</f>
        <v>5400.6829752000012</v>
      </c>
      <c r="BP271" s="79">
        <f t="shared" si="2766"/>
        <v>5402.0055931999996</v>
      </c>
      <c r="BQ271" s="79">
        <f t="shared" si="2766"/>
        <v>5468.4912217000019</v>
      </c>
      <c r="BR271" s="79">
        <f t="shared" si="2766"/>
        <v>5385.6490175999998</v>
      </c>
      <c r="BS271" s="79">
        <f t="shared" ref="BS271:BT271" si="2767">BS126*BS216</f>
        <v>5183.1851474999985</v>
      </c>
      <c r="BT271" s="79">
        <f t="shared" si="2767"/>
        <v>5149.6585769999992</v>
      </c>
      <c r="BV271" s="40"/>
      <c r="BW271" s="40"/>
      <c r="BY271" s="40"/>
      <c r="BZ271" s="40"/>
      <c r="CB271" s="16"/>
      <c r="CC271" s="16"/>
    </row>
    <row r="272" spans="2:81" ht="13.5" customHeight="1">
      <c r="C272" s="77"/>
      <c r="D272" s="78"/>
      <c r="E272" s="78"/>
      <c r="F272" s="78"/>
      <c r="G272" s="78"/>
      <c r="H272" s="78"/>
      <c r="I272" s="78"/>
      <c r="J272" s="78"/>
      <c r="K272" s="78"/>
      <c r="L272" s="78"/>
      <c r="M272" s="78"/>
      <c r="N272" s="78"/>
      <c r="O272" s="78"/>
      <c r="P272" s="78"/>
      <c r="Q272" s="78"/>
      <c r="R272" s="78"/>
      <c r="T272" s="78"/>
      <c r="U272" s="78"/>
      <c r="V272" s="78"/>
      <c r="W272" s="78"/>
      <c r="X272" s="78"/>
      <c r="Y272" s="78"/>
      <c r="Z272" s="78"/>
      <c r="AA272" s="78"/>
      <c r="AB272" s="78"/>
      <c r="AC272" s="78"/>
      <c r="AD272" s="78"/>
      <c r="AE272" s="78"/>
      <c r="AF272" s="78"/>
      <c r="AG272" s="78"/>
      <c r="AH272" s="78"/>
      <c r="AI272" s="78"/>
      <c r="AJ272" s="256"/>
      <c r="AK272" s="256"/>
      <c r="AL272" s="256"/>
      <c r="AM272" s="269"/>
      <c r="AN272" s="78"/>
      <c r="AO272" s="78"/>
      <c r="AP272" s="78"/>
      <c r="AQ272" s="78"/>
      <c r="AR272" s="78"/>
      <c r="AS272" s="78"/>
      <c r="AT272" s="78"/>
      <c r="AU272" s="78"/>
      <c r="AV272" s="78"/>
      <c r="AW272" s="78"/>
      <c r="AX272" s="78"/>
      <c r="AY272" s="78"/>
      <c r="AZ272" s="78"/>
      <c r="BA272" s="78"/>
      <c r="BB272" s="78"/>
      <c r="BC272" s="78"/>
      <c r="BD272" s="78"/>
      <c r="BE272" s="78"/>
      <c r="BF272" s="78"/>
      <c r="BG272" s="78"/>
      <c r="BH272" s="78"/>
      <c r="BI272" s="78"/>
      <c r="BJ272" s="78"/>
      <c r="BK272" s="78"/>
      <c r="BL272" s="78"/>
      <c r="BM272" s="78"/>
      <c r="BO272" s="78"/>
      <c r="BP272" s="78"/>
      <c r="BQ272" s="78"/>
      <c r="BR272" s="78"/>
      <c r="BS272" s="78"/>
      <c r="BT272" s="78"/>
      <c r="BV272" s="40"/>
      <c r="BW272" s="40"/>
      <c r="BY272" s="40"/>
      <c r="BZ272" s="40"/>
      <c r="CB272" s="16"/>
      <c r="CC272" s="16"/>
    </row>
    <row r="273" spans="2:81" s="6" customFormat="1" ht="13.5" customHeight="1">
      <c r="B273" s="24" t="str">
        <f>+B128</f>
        <v>Net debt (incl. lease liabilities)</v>
      </c>
      <c r="C273" s="59">
        <f t="shared" ref="C273:H273" si="2768">C128*C216</f>
        <v>4915.6513701000003</v>
      </c>
      <c r="D273" s="59">
        <f t="shared" si="2768"/>
        <v>4724.4118706880008</v>
      </c>
      <c r="E273" s="59">
        <f t="shared" si="2768"/>
        <v>3398.9538525600005</v>
      </c>
      <c r="F273" s="59">
        <f t="shared" si="2768"/>
        <v>5239.6626513789997</v>
      </c>
      <c r="G273" s="59">
        <f t="shared" ref="G273" si="2769">G128*G216</f>
        <v>5019.4783663780008</v>
      </c>
      <c r="H273" s="59">
        <f t="shared" si="2768"/>
        <v>5318.2609819999998</v>
      </c>
      <c r="I273" s="59">
        <f t="shared" ref="I273" si="2770">I128*I216</f>
        <v>6458.3474399999996</v>
      </c>
      <c r="J273" s="59">
        <f t="shared" ref="J273:K273" si="2771">J128*J216</f>
        <v>5318.2609819999998</v>
      </c>
      <c r="K273" s="59">
        <f t="shared" si="2771"/>
        <v>6447.3073308000003</v>
      </c>
      <c r="L273" s="59">
        <f t="shared" ref="L273:M273" si="2772">L128*L216</f>
        <v>6128.813768</v>
      </c>
      <c r="M273" s="59">
        <f t="shared" si="2772"/>
        <v>7028.9818002000002</v>
      </c>
      <c r="N273" s="59">
        <f t="shared" ref="N273" si="2773">N128*N216</f>
        <v>7028.9815828000001</v>
      </c>
      <c r="O273" s="59">
        <f t="shared" ref="O273:P273" si="2774">O128*O216</f>
        <v>6563.1964019999996</v>
      </c>
      <c r="P273" s="59">
        <f t="shared" si="2774"/>
        <v>6563.1964019999996</v>
      </c>
      <c r="Q273" s="59">
        <f t="shared" ref="Q273" si="2775">Q128*Q216</f>
        <v>3230.1089206505676</v>
      </c>
      <c r="R273" s="59">
        <f t="shared" ref="R273" si="2776">R128*R216</f>
        <v>3576.5188935539641</v>
      </c>
      <c r="S273"/>
      <c r="T273" s="59">
        <f t="shared" ref="T273:AC273" si="2777">T128*T216</f>
        <v>3219.8721666799997</v>
      </c>
      <c r="U273" s="59">
        <f t="shared" si="2777"/>
        <v>3079.8505889369999</v>
      </c>
      <c r="V273" s="59">
        <f t="shared" si="2777"/>
        <v>3250.4275478949999</v>
      </c>
      <c r="W273" s="59">
        <f t="shared" si="2777"/>
        <v>3398.9538525600005</v>
      </c>
      <c r="X273" s="59">
        <f t="shared" si="2777"/>
        <v>4821.6944776339997</v>
      </c>
      <c r="Y273" s="59">
        <f t="shared" si="2777"/>
        <v>4886.6251969720015</v>
      </c>
      <c r="Z273" s="59">
        <f t="shared" si="2777"/>
        <v>4947.0985829650008</v>
      </c>
      <c r="AA273" s="59">
        <f t="shared" si="2777"/>
        <v>5239.6626513789997</v>
      </c>
      <c r="AB273" s="59">
        <f t="shared" si="2777"/>
        <v>4740.3152809559988</v>
      </c>
      <c r="AC273" s="59">
        <f t="shared" si="2777"/>
        <v>4883.2683199962676</v>
      </c>
      <c r="AD273" s="59">
        <f t="shared" ref="AD273:AG273" si="2778">AD128*AD216</f>
        <v>4703.1320511770009</v>
      </c>
      <c r="AE273" s="59">
        <f t="shared" si="2778"/>
        <v>5019.4783663780008</v>
      </c>
      <c r="AF273" s="59">
        <f t="shared" si="2778"/>
        <v>4926.4184148200002</v>
      </c>
      <c r="AG273" s="59">
        <f t="shared" si="2778"/>
        <v>4915.4933907000004</v>
      </c>
      <c r="AH273" s="59">
        <f t="shared" ref="AH273:AS273" si="2779">AH128*AH216</f>
        <v>4899.9211633217174</v>
      </c>
      <c r="AI273" s="59">
        <f t="shared" si="2779"/>
        <v>5318.2609819999998</v>
      </c>
      <c r="AJ273" s="244"/>
      <c r="AK273" s="244"/>
      <c r="AL273" s="244"/>
      <c r="AM273" s="274"/>
      <c r="AN273" s="59">
        <f t="shared" ref="AN273:AP273" si="2780">AN128*AN216</f>
        <v>5483.7888023999985</v>
      </c>
      <c r="AO273" s="59">
        <f t="shared" si="2780"/>
        <v>6649.3338048000023</v>
      </c>
      <c r="AP273" s="59">
        <f t="shared" si="2780"/>
        <v>6779.5478211999998</v>
      </c>
      <c r="AQ273" s="59">
        <f t="shared" ref="AQ273" si="2781">AQ128*AQ216</f>
        <v>6128.6078699999998</v>
      </c>
      <c r="AR273" s="59">
        <f t="shared" si="2779"/>
        <v>5483.7888023999985</v>
      </c>
      <c r="AS273" s="59">
        <f t="shared" si="2779"/>
        <v>6649.3338048000023</v>
      </c>
      <c r="AT273" s="59">
        <f t="shared" ref="AT273:AZ273" si="2782">AT128*AT216</f>
        <v>6779.5478211999998</v>
      </c>
      <c r="AU273" s="59">
        <f t="shared" si="2782"/>
        <v>6447.3073308000003</v>
      </c>
      <c r="AV273" s="59">
        <f t="shared" ref="AV273:AW273" si="2783">AV128*AV216</f>
        <v>6779.5478211999998</v>
      </c>
      <c r="AW273" s="59">
        <f t="shared" si="2783"/>
        <v>6128.813768</v>
      </c>
      <c r="AX273" s="59">
        <f t="shared" si="2782"/>
        <v>7053.6963960000003</v>
      </c>
      <c r="AY273" s="59">
        <f t="shared" ref="AY273" si="2784">AY128*AY216</f>
        <v>7053.6963960000003</v>
      </c>
      <c r="AZ273" s="59">
        <f t="shared" si="2782"/>
        <v>6739.8456840000017</v>
      </c>
      <c r="BA273" s="59">
        <f t="shared" ref="BA273" si="2785">BA128*BA216</f>
        <v>6739.8456840000017</v>
      </c>
      <c r="BB273" s="59">
        <f t="shared" ref="BB273" si="2786">BB128*BB216</f>
        <v>6618.4461448000011</v>
      </c>
      <c r="BC273" s="59">
        <f t="shared" ref="BC273:BG273" si="2787">BC128*BC216</f>
        <v>6618.4461448000011</v>
      </c>
      <c r="BD273" s="59">
        <f t="shared" si="2787"/>
        <v>7028.9818002000002</v>
      </c>
      <c r="BE273" s="59">
        <f t="shared" si="2787"/>
        <v>6968.9685544000004</v>
      </c>
      <c r="BF273" s="59">
        <f t="shared" si="2787"/>
        <v>6793.8227383000021</v>
      </c>
      <c r="BG273" s="59">
        <f t="shared" si="2787"/>
        <v>6850.5349991999992</v>
      </c>
      <c r="BH273" s="59">
        <f t="shared" ref="BH273:BK273" si="2788">BH128*BH216</f>
        <v>6563.1964019999996</v>
      </c>
      <c r="BI273" s="59">
        <f t="shared" si="2788"/>
        <v>6335.2702405999989</v>
      </c>
      <c r="BJ273" s="59">
        <f t="shared" si="2788"/>
        <v>3447.8169386000004</v>
      </c>
      <c r="BK273" s="59">
        <f t="shared" si="2788"/>
        <v>3279.8412736129262</v>
      </c>
      <c r="BL273" s="59">
        <f t="shared" ref="BL273:BM273" si="2789">BL128*BL216</f>
        <v>3230.1089206505676</v>
      </c>
      <c r="BM273" s="59">
        <f t="shared" si="2789"/>
        <v>3576.5188935539641</v>
      </c>
      <c r="BO273" s="59">
        <f t="shared" ref="BO273:BR273" si="2790">BO128*BO216</f>
        <v>7028.9815828000001</v>
      </c>
      <c r="BP273" s="59">
        <f t="shared" si="2790"/>
        <v>6968.9685544000004</v>
      </c>
      <c r="BQ273" s="59">
        <f t="shared" si="2790"/>
        <v>6793.8227383000021</v>
      </c>
      <c r="BR273" s="59">
        <f t="shared" si="2790"/>
        <v>6850.5349991999992</v>
      </c>
      <c r="BS273" s="59">
        <f t="shared" ref="BS273:BT273" si="2791">BS128*BS216</f>
        <v>6563.1964019999996</v>
      </c>
      <c r="BT273" s="59">
        <f t="shared" si="2791"/>
        <v>6335.2702405999989</v>
      </c>
      <c r="BV273" s="40"/>
      <c r="BW273" s="40"/>
      <c r="BY273" s="40"/>
      <c r="BZ273" s="40"/>
      <c r="CB273" s="16"/>
      <c r="CC273" s="16"/>
    </row>
    <row r="274" spans="2:81" ht="13.5" customHeight="1">
      <c r="B274" s="10" t="str">
        <f>+B129</f>
        <v>Gross total debt (incl. lease liabilities)</v>
      </c>
      <c r="C274" s="79">
        <f t="shared" ref="C274:H274" si="2792">C129*C216</f>
        <v>4961.7274748999998</v>
      </c>
      <c r="D274" s="79">
        <f t="shared" si="2792"/>
        <v>4740.8816496030004</v>
      </c>
      <c r="E274" s="79">
        <f t="shared" si="2792"/>
        <v>4625.8689814080008</v>
      </c>
      <c r="F274" s="79">
        <f t="shared" si="2792"/>
        <v>6273.9082598399991</v>
      </c>
      <c r="G274" s="79">
        <f t="shared" ref="G274" si="2793">G129*G216</f>
        <v>6808.9627178300007</v>
      </c>
      <c r="H274" s="79">
        <f t="shared" si="2792"/>
        <v>6983.9361099999996</v>
      </c>
      <c r="I274" s="79">
        <f t="shared" ref="I274" si="2794">I129*I216</f>
        <v>8151.4968223999995</v>
      </c>
      <c r="J274" s="79">
        <f t="shared" ref="J274:K274" si="2795">J129*J216</f>
        <v>6983.9361099999996</v>
      </c>
      <c r="K274" s="79">
        <f t="shared" si="2795"/>
        <v>8137.4758164000004</v>
      </c>
      <c r="L274" s="79">
        <f t="shared" ref="L274:M274" si="2796">L129*L216</f>
        <v>7735.6251588000005</v>
      </c>
      <c r="M274" s="79">
        <f t="shared" si="2796"/>
        <v>8031.6597318000004</v>
      </c>
      <c r="N274" s="79">
        <f t="shared" ref="N274" si="2797">N129*N216</f>
        <v>8031.6595144000012</v>
      </c>
      <c r="O274" s="79">
        <f t="shared" ref="O274:P274" si="2798">O129*O216</f>
        <v>7649.5047419999992</v>
      </c>
      <c r="P274" s="79">
        <f t="shared" si="2798"/>
        <v>7649.5047419999992</v>
      </c>
      <c r="Q274" s="79">
        <f t="shared" ref="Q274" si="2799">Q129*Q216</f>
        <v>4153.4162148841806</v>
      </c>
      <c r="R274" s="79">
        <f t="shared" ref="R274" si="2800">R129*R216</f>
        <v>4172.4825882934056</v>
      </c>
      <c r="T274" s="79">
        <f t="shared" ref="T274:AC274" si="2801">T129*T216</f>
        <v>4699.0657485609991</v>
      </c>
      <c r="U274" s="79">
        <f t="shared" si="2801"/>
        <v>4623.5967375239998</v>
      </c>
      <c r="V274" s="79">
        <f t="shared" si="2801"/>
        <v>4704.7984276650004</v>
      </c>
      <c r="W274" s="79">
        <f t="shared" si="2801"/>
        <v>4625.8689814080008</v>
      </c>
      <c r="X274" s="79">
        <f t="shared" si="2801"/>
        <v>6475.3395837179996</v>
      </c>
      <c r="Y274" s="79">
        <f t="shared" si="2801"/>
        <v>6197.8940771140014</v>
      </c>
      <c r="Z274" s="79">
        <f t="shared" si="2801"/>
        <v>6136.7174845750005</v>
      </c>
      <c r="AA274" s="79">
        <f t="shared" si="2801"/>
        <v>6273.9082598399991</v>
      </c>
      <c r="AB274" s="79">
        <f t="shared" si="2801"/>
        <v>6120.1502514719996</v>
      </c>
      <c r="AC274" s="79">
        <f t="shared" si="2801"/>
        <v>6261.3293516552749</v>
      </c>
      <c r="AD274" s="79">
        <f t="shared" ref="AD274:AG274" si="2802">AD129*AD216</f>
        <v>7358.7376124390003</v>
      </c>
      <c r="AE274" s="79">
        <f t="shared" si="2802"/>
        <v>6808.9627178300007</v>
      </c>
      <c r="AF274" s="79">
        <f t="shared" si="2802"/>
        <v>6507.1810060600001</v>
      </c>
      <c r="AG274" s="79">
        <f t="shared" si="2802"/>
        <v>6609.2278431000004</v>
      </c>
      <c r="AH274" s="79">
        <f t="shared" ref="AH274:AS274" si="2803">AH129*AH216</f>
        <v>6659.5022232904712</v>
      </c>
      <c r="AI274" s="79">
        <f t="shared" si="2803"/>
        <v>6983.9361099999996</v>
      </c>
      <c r="AJ274" s="257"/>
      <c r="AK274" s="257"/>
      <c r="AL274" s="257"/>
      <c r="AM274" s="266"/>
      <c r="AN274" s="79">
        <f t="shared" ref="AN274:AP274" si="2804">AN129*AN216</f>
        <v>6858.7258113999997</v>
      </c>
      <c r="AO274" s="79">
        <f t="shared" si="2804"/>
        <v>8145.7357120000015</v>
      </c>
      <c r="AP274" s="79">
        <f t="shared" si="2804"/>
        <v>8448.5798627999993</v>
      </c>
      <c r="AQ274" s="79">
        <f t="shared" ref="AQ274" si="2805">AQ129*AQ216</f>
        <v>7735.3112451999996</v>
      </c>
      <c r="AR274" s="79">
        <f t="shared" si="2803"/>
        <v>6858.7258113999997</v>
      </c>
      <c r="AS274" s="79">
        <f t="shared" si="2803"/>
        <v>8145.7357120000015</v>
      </c>
      <c r="AT274" s="79">
        <f t="shared" ref="AT274:AZ274" si="2806">AT129*AT216</f>
        <v>8448.5798627999993</v>
      </c>
      <c r="AU274" s="79">
        <f t="shared" si="2806"/>
        <v>8137.4758164000004</v>
      </c>
      <c r="AV274" s="79">
        <f t="shared" ref="AV274:AW274" si="2807">AV129*AV216</f>
        <v>8448.5798627999993</v>
      </c>
      <c r="AW274" s="79">
        <f t="shared" si="2807"/>
        <v>7735.6251588000005</v>
      </c>
      <c r="AX274" s="79">
        <f t="shared" si="2806"/>
        <v>8286.5948740000003</v>
      </c>
      <c r="AY274" s="79">
        <f t="shared" ref="AY274" si="2808">AY129*AY216</f>
        <v>8286.5948740000003</v>
      </c>
      <c r="AZ274" s="79">
        <f t="shared" si="2806"/>
        <v>8081.7305440000009</v>
      </c>
      <c r="BA274" s="79">
        <f t="shared" ref="BA274" si="2809">BA129*BA216</f>
        <v>8081.7305440000009</v>
      </c>
      <c r="BB274" s="79">
        <f t="shared" ref="BB274" si="2810">BB129*BB216</f>
        <v>7822.9889971000011</v>
      </c>
      <c r="BC274" s="79">
        <f t="shared" ref="BC274:BG274" si="2811">BC129*BC216</f>
        <v>7822.9889971000011</v>
      </c>
      <c r="BD274" s="79">
        <f t="shared" si="2811"/>
        <v>8031.6597318000004</v>
      </c>
      <c r="BE274" s="79">
        <f t="shared" si="2811"/>
        <v>7902.0054235999996</v>
      </c>
      <c r="BF274" s="79">
        <f t="shared" si="2811"/>
        <v>7890.8987534000016</v>
      </c>
      <c r="BG274" s="79">
        <f t="shared" si="2811"/>
        <v>7950.6303119999993</v>
      </c>
      <c r="BH274" s="79">
        <f t="shared" ref="BH274:BK274" si="2812">BH129*BH216</f>
        <v>7649.5047419999992</v>
      </c>
      <c r="BI274" s="79">
        <f t="shared" si="2812"/>
        <v>7451.7913945999999</v>
      </c>
      <c r="BJ274" s="79">
        <f t="shared" si="2812"/>
        <v>4603.0205322000002</v>
      </c>
      <c r="BK274" s="79">
        <f t="shared" si="2812"/>
        <v>4153.3403825591067</v>
      </c>
      <c r="BL274" s="79">
        <f t="shared" ref="BL274:BM274" si="2813">BL129*BL216</f>
        <v>4153.4162148841806</v>
      </c>
      <c r="BM274" s="79">
        <f t="shared" si="2813"/>
        <v>4172.4825882934056</v>
      </c>
      <c r="BO274" s="79">
        <f t="shared" ref="BO274:BR274" si="2814">BO129*BO216</f>
        <v>8031.6595144000012</v>
      </c>
      <c r="BP274" s="79">
        <f t="shared" si="2814"/>
        <v>7902.0054235999996</v>
      </c>
      <c r="BQ274" s="79">
        <f t="shared" si="2814"/>
        <v>7890.8987534000016</v>
      </c>
      <c r="BR274" s="79">
        <f t="shared" si="2814"/>
        <v>7950.6303119999993</v>
      </c>
      <c r="BS274" s="79">
        <f t="shared" ref="BS274:BT274" si="2815">BS129*BS216</f>
        <v>7649.5047419999992</v>
      </c>
      <c r="BT274" s="79">
        <f t="shared" si="2815"/>
        <v>7451.7913945999999</v>
      </c>
      <c r="BV274" s="40"/>
      <c r="BW274" s="40"/>
      <c r="BY274" s="40"/>
      <c r="BZ274" s="40"/>
      <c r="CB274" s="16"/>
      <c r="CC274" s="16"/>
    </row>
    <row r="275" spans="2:81" ht="13.5" customHeight="1">
      <c r="C275" s="79"/>
      <c r="D275" s="79"/>
      <c r="E275" s="79"/>
      <c r="F275" s="79"/>
      <c r="G275" s="79"/>
      <c r="H275" s="79"/>
      <c r="I275" s="79"/>
      <c r="J275" s="79"/>
      <c r="K275" s="79"/>
      <c r="L275" s="79"/>
      <c r="M275" s="79"/>
      <c r="N275" s="79"/>
      <c r="O275" s="79"/>
      <c r="P275" s="79"/>
      <c r="Q275" s="79"/>
      <c r="R275" s="79"/>
      <c r="T275" s="79"/>
      <c r="U275" s="79"/>
      <c r="V275" s="79"/>
      <c r="W275" s="79"/>
      <c r="X275" s="79"/>
      <c r="Y275" s="79"/>
      <c r="Z275" s="79"/>
      <c r="AA275" s="79"/>
      <c r="AB275" s="79"/>
      <c r="AC275" s="79"/>
      <c r="AD275" s="79"/>
      <c r="AE275" s="79"/>
      <c r="AF275" s="79"/>
      <c r="AG275" s="79"/>
      <c r="AH275" s="79"/>
      <c r="AI275" s="79"/>
      <c r="AJ275" s="257"/>
      <c r="AK275" s="257"/>
      <c r="AL275" s="257"/>
      <c r="AM275" s="266"/>
      <c r="AN275" s="79"/>
      <c r="AO275" s="79"/>
      <c r="AP275" s="79"/>
      <c r="AQ275" s="79"/>
      <c r="AR275" s="79"/>
      <c r="AS275" s="79"/>
      <c r="AT275" s="79"/>
      <c r="AU275" s="79"/>
      <c r="AV275" s="79"/>
      <c r="AW275" s="79"/>
      <c r="AX275" s="79"/>
      <c r="AY275" s="79"/>
      <c r="AZ275" s="79"/>
      <c r="BA275" s="79"/>
      <c r="BB275" s="79"/>
      <c r="BC275" s="79"/>
      <c r="BD275" s="79"/>
      <c r="BE275" s="79"/>
      <c r="BF275" s="79"/>
      <c r="BG275" s="79"/>
      <c r="BH275" s="79"/>
      <c r="BI275" s="79"/>
      <c r="BJ275" s="79"/>
      <c r="BK275" s="79"/>
      <c r="BL275" s="79"/>
      <c r="BM275" s="79"/>
      <c r="BO275" s="79"/>
      <c r="BP275" s="79"/>
      <c r="BQ275" s="79"/>
      <c r="BR275" s="79"/>
      <c r="BS275" s="79"/>
      <c r="BT275" s="79"/>
      <c r="BV275" s="40"/>
      <c r="BW275" s="40"/>
      <c r="BY275" s="40"/>
      <c r="BZ275" s="40"/>
      <c r="CB275" s="16"/>
      <c r="CC275" s="16"/>
    </row>
    <row r="276" spans="2:81" ht="13.5" customHeight="1">
      <c r="B276" s="10" t="s">
        <v>291</v>
      </c>
      <c r="C276" s="79">
        <f t="shared" ref="C276:H276" si="2816">C201*C215</f>
        <v>1933.508050936</v>
      </c>
      <c r="D276" s="79">
        <f t="shared" si="2816"/>
        <v>2146.639313142</v>
      </c>
      <c r="E276" s="79">
        <f t="shared" si="2816"/>
        <v>2065.4067585499997</v>
      </c>
      <c r="F276" s="79">
        <f t="shared" si="2816"/>
        <v>2563.7070504499998</v>
      </c>
      <c r="G276" s="79">
        <f t="shared" ref="G276" si="2817">G201*G215</f>
        <v>2536.95434875</v>
      </c>
      <c r="H276" s="79">
        <f t="shared" si="2816"/>
        <v>2759.2529058801551</v>
      </c>
      <c r="I276" s="79">
        <f t="shared" ref="I276" si="2818">I201*I215</f>
        <v>2930.771276012777</v>
      </c>
      <c r="J276" s="79">
        <f t="shared" ref="J276:K276" si="2819">J201*J215</f>
        <v>2153.9413712420601</v>
      </c>
      <c r="K276" s="79">
        <f t="shared" si="2819"/>
        <v>2183.71656975</v>
      </c>
      <c r="L276" s="79">
        <f t="shared" ref="L276:M276" si="2820">L201*L215</f>
        <v>1970.2968425500001</v>
      </c>
      <c r="M276" s="79">
        <f t="shared" si="2820"/>
        <v>2111.3709077999997</v>
      </c>
      <c r="N276" s="79">
        <f t="shared" ref="N276" si="2821">N201*N215</f>
        <v>2172.8617574999998</v>
      </c>
      <c r="O276" s="79">
        <f t="shared" ref="O276:R276" si="2822">O201*O215</f>
        <v>2434.2342700000004</v>
      </c>
      <c r="P276" s="79">
        <f t="shared" ref="P276:Q276" si="2823">P201*P215</f>
        <v>1244.1771358250001</v>
      </c>
      <c r="Q276" s="79">
        <f t="shared" si="2823"/>
        <v>1275.6326250746945</v>
      </c>
      <c r="R276" s="79">
        <f t="shared" si="2822"/>
        <v>1048.8612864998113</v>
      </c>
      <c r="T276" s="170"/>
      <c r="U276" s="170"/>
      <c r="V276" s="170"/>
      <c r="W276" s="79">
        <f>W201*AVERAGE(T215:W215)</f>
        <v>2067.5194615189998</v>
      </c>
      <c r="X276" s="79">
        <f t="shared" ref="X276:Z276" si="2824">X201*AVERAGE(U215:X215)</f>
        <v>2640.1732836505003</v>
      </c>
      <c r="Y276" s="79">
        <f t="shared" si="2824"/>
        <v>3255.2007883702499</v>
      </c>
      <c r="Z276" s="79">
        <f t="shared" si="2824"/>
        <v>3916.9738881935</v>
      </c>
      <c r="AA276" s="79">
        <f>AA201*AVERAGE(X215:AA215)</f>
        <v>2564.0734111249999</v>
      </c>
      <c r="AB276" s="79">
        <f>AB201*AVERAGE(Y215:AB215)</f>
        <v>2570.0342559124997</v>
      </c>
      <c r="AC276" s="79">
        <f t="shared" ref="AC276" si="2825">AC201*AVERAGE(Z215:AC215)</f>
        <v>2523.2361950687914</v>
      </c>
      <c r="AD276" s="79">
        <f t="shared" ref="AD276" si="2826">AD201*AVERAGE(AA215:AD215)</f>
        <v>2526.3932910246835</v>
      </c>
      <c r="AE276" s="79">
        <f>AE201*AVERAGE(AB215:AE215)</f>
        <v>2536.6268390971068</v>
      </c>
      <c r="AF276" s="79">
        <f>AF201*AVERAGE(AC215:AF215)</f>
        <v>2599.3205480530869</v>
      </c>
      <c r="AG276" s="79">
        <f t="shared" ref="AG276:AH276" si="2827">AG201*AVERAGE(AD215:AG215)</f>
        <v>2688.5364009199998</v>
      </c>
      <c r="AH276" s="79">
        <f t="shared" si="2827"/>
        <v>2694.4880621054467</v>
      </c>
      <c r="AI276" s="79">
        <f>AI201*AVERAGE(AF215:AI215)</f>
        <v>2759.2529058801551</v>
      </c>
      <c r="AJ276" s="257"/>
      <c r="AK276" s="257"/>
      <c r="AL276" s="257"/>
      <c r="AM276" s="266"/>
      <c r="AN276" s="79">
        <f>AN201*AVERAGE(AK215:AN215)</f>
        <v>2614.8558895802457</v>
      </c>
      <c r="AO276" s="79">
        <f>AO201*AVERAGE(AL215:AO215)</f>
        <v>2623.8570357505705</v>
      </c>
      <c r="AP276" s="79">
        <f>AP201*AVERAGE(AM215:AP215)</f>
        <v>2661.3312571989063</v>
      </c>
      <c r="AQ276" s="79">
        <f t="shared" ref="AQ276:AV276" si="2828">AQ201*AVERAGE(AN215:AQ215)</f>
        <v>2842.1015499999999</v>
      </c>
      <c r="AR276" s="79">
        <f t="shared" si="2828"/>
        <v>2340.1860505499999</v>
      </c>
      <c r="AS276" s="79">
        <f t="shared" si="2828"/>
        <v>2230.2606758500001</v>
      </c>
      <c r="AT276" s="79">
        <f t="shared" si="2828"/>
        <v>2141.7139209000002</v>
      </c>
      <c r="AU276" s="79">
        <f t="shared" si="2828"/>
        <v>2183.71656975</v>
      </c>
      <c r="AV276" s="79">
        <f t="shared" si="2828"/>
        <v>2059.3043524</v>
      </c>
      <c r="AW276" s="79">
        <f>AW201*AVERAGE($AR$215,$AS$215,$AV$215,$AW$215)</f>
        <v>1970.2968425500001</v>
      </c>
      <c r="AX276" s="79">
        <f>AX201*AVERAGE(AT215:AX215)</f>
        <v>2142.6606291200005</v>
      </c>
      <c r="AY276" s="79">
        <f>AY201*AVERAGE(AU215:AY215)</f>
        <v>1949.1566437200001</v>
      </c>
      <c r="AZ276" s="79">
        <f>AZ201*AVERAGE(AU215:AZ215)</f>
        <v>2235.4463295</v>
      </c>
      <c r="BA276" s="79">
        <f>BA201*AVERAGE(AV215:BA215)</f>
        <v>1953.8682198000001</v>
      </c>
      <c r="BB276" s="79">
        <f>BB201*AVERAGE(AV215:BB215)</f>
        <v>2317.7567833714288</v>
      </c>
      <c r="BC276" s="79">
        <f>BC201*AVERAGE(AX215:BC215)</f>
        <v>2266.0905622666669</v>
      </c>
      <c r="BD276" s="79">
        <f>BD201*AVERAGE($AX$215:$AZ$215,BC$215:BD$215)</f>
        <v>2166.48451712</v>
      </c>
      <c r="BE276" s="79">
        <f>BE201*AVERAGE(AZ215:BB215,BD215:BE215)</f>
        <v>2103.7539585599993</v>
      </c>
      <c r="BF276" s="79">
        <f>SUM(BC243:BF243)</f>
        <v>2138.3472782999997</v>
      </c>
      <c r="BG276" s="79">
        <f>SUM(BD243:BG243)</f>
        <v>2181.6518783000001</v>
      </c>
      <c r="BH276" s="79">
        <f>SUM(BE243:BH243)</f>
        <v>2434.6846289</v>
      </c>
      <c r="BI276" s="79">
        <f>BI201*AVERAGE(BD215:BF215,BH215:BI215)</f>
        <v>2359.9916962599996</v>
      </c>
      <c r="BJ276" s="79">
        <f>SUM(BG243:BJ243)</f>
        <v>2144.400881</v>
      </c>
      <c r="BK276" s="79">
        <f>SUM(BH243:BK243)</f>
        <v>1875.3269244099354</v>
      </c>
      <c r="BL276" s="79">
        <f>SUM(BI243:BL243)</f>
        <v>1257.5926790859558</v>
      </c>
      <c r="BM276" s="79">
        <f>SUM(BJ243:BM243)</f>
        <v>1047.7568335315432</v>
      </c>
      <c r="BO276" s="79">
        <f>BO201*BO217</f>
        <v>2172.8617574999998</v>
      </c>
      <c r="BP276" s="79">
        <f t="shared" ref="BP276:BR276" si="2829">BP201*BP217</f>
        <v>2266.7480151499994</v>
      </c>
      <c r="BQ276" s="79">
        <f t="shared" si="2829"/>
        <v>2031.1739769749995</v>
      </c>
      <c r="BR276" s="79">
        <f t="shared" si="2829"/>
        <v>1809.7074693499999</v>
      </c>
      <c r="BS276" s="79">
        <f>SUM(BP243:BS243)</f>
        <v>1221.0480035999999</v>
      </c>
      <c r="BT276" s="79">
        <f>SUM(BQ243:BT243)</f>
        <v>901.6065066000001</v>
      </c>
      <c r="BU276" s="32"/>
      <c r="BV276" s="40"/>
      <c r="BW276" s="40"/>
      <c r="BY276" s="40"/>
      <c r="BZ276" s="40"/>
      <c r="CB276" s="16"/>
      <c r="CC276" s="16"/>
    </row>
    <row r="277" spans="2:81" ht="13.5" customHeight="1">
      <c r="C277" s="79"/>
      <c r="D277" s="79"/>
      <c r="E277" s="79"/>
      <c r="F277" s="79"/>
      <c r="G277" s="79"/>
      <c r="H277" s="79"/>
      <c r="I277" s="79"/>
      <c r="J277" s="79"/>
      <c r="K277" s="79"/>
      <c r="L277" s="79"/>
      <c r="M277" s="79"/>
      <c r="N277" s="79"/>
      <c r="O277" s="79"/>
      <c r="P277" s="79"/>
      <c r="Q277" s="79"/>
      <c r="R277" s="79"/>
      <c r="T277" s="79"/>
      <c r="U277" s="79"/>
      <c r="V277" s="79"/>
      <c r="W277" s="79"/>
      <c r="X277" s="79"/>
      <c r="Y277" s="79"/>
      <c r="Z277" s="79"/>
      <c r="AA277" s="79"/>
      <c r="AB277" s="79"/>
      <c r="AC277" s="79"/>
      <c r="AD277" s="79"/>
      <c r="AE277" s="79"/>
      <c r="AF277" s="79"/>
      <c r="AG277" s="79"/>
      <c r="AH277" s="79"/>
      <c r="AI277" s="79"/>
      <c r="AJ277" s="257"/>
      <c r="AK277" s="257"/>
      <c r="AL277" s="257"/>
      <c r="AM277" s="266"/>
      <c r="AN277" s="79"/>
      <c r="AO277" s="79"/>
      <c r="AP277" s="79"/>
      <c r="AQ277" s="79"/>
      <c r="AR277" s="79"/>
      <c r="AS277" s="79"/>
      <c r="AT277" s="79"/>
      <c r="AU277" s="79"/>
      <c r="AV277" s="79"/>
      <c r="AW277" s="79"/>
      <c r="AX277" s="79"/>
      <c r="AY277" s="79"/>
      <c r="AZ277" s="79"/>
      <c r="BA277" s="79"/>
      <c r="BB277" s="79"/>
      <c r="BC277" s="79"/>
      <c r="BD277" s="79"/>
      <c r="BE277" s="79"/>
      <c r="BF277" s="79"/>
      <c r="BG277" s="79"/>
      <c r="BH277" s="79"/>
      <c r="BI277" s="79"/>
      <c r="BJ277" s="79"/>
      <c r="BK277" s="79"/>
      <c r="BL277" s="79"/>
      <c r="BM277" s="79"/>
      <c r="BO277" s="79"/>
      <c r="BP277" s="79"/>
      <c r="BQ277" s="79"/>
      <c r="BR277" s="79"/>
      <c r="BS277" s="79"/>
      <c r="BT277" s="79"/>
      <c r="BV277" s="40"/>
      <c r="BW277" s="40"/>
      <c r="BY277" s="40"/>
      <c r="BZ277" s="40"/>
      <c r="CB277" s="16"/>
      <c r="CC277" s="16"/>
    </row>
    <row r="278" spans="2:81" s="6" customFormat="1" ht="13.5" customHeight="1">
      <c r="B278" s="6" t="str">
        <f>+B136</f>
        <v>Total Net Leverage  (excl. lease liabilities)</v>
      </c>
      <c r="C278" s="56">
        <f t="shared" ref="C278:F279" si="2830">C270/C$276</f>
        <v>2.5423485398575725</v>
      </c>
      <c r="D278" s="56">
        <f t="shared" si="2830"/>
        <v>2.2008410270717338</v>
      </c>
      <c r="E278" s="56">
        <f t="shared" si="2830"/>
        <v>1.6456583375113025</v>
      </c>
      <c r="F278" s="56">
        <f t="shared" si="2830"/>
        <v>1.2008955561734704</v>
      </c>
      <c r="G278" s="56">
        <f t="shared" ref="G278:H278" si="2831">G270/G$276</f>
        <v>1.0345005442542263</v>
      </c>
      <c r="H278" s="56">
        <f t="shared" si="2831"/>
        <v>1.0464402051898791</v>
      </c>
      <c r="I278" s="56">
        <f t="shared" ref="I278" si="2832">I270/I$276</f>
        <v>1.3940000839499798</v>
      </c>
      <c r="J278" s="56">
        <f t="shared" ref="J278:K278" si="2833">J270/J$276</f>
        <v>1.3405161419667604</v>
      </c>
      <c r="K278" s="56">
        <f t="shared" si="2833"/>
        <v>1.867748273058595</v>
      </c>
      <c r="L278" s="56">
        <f t="shared" ref="L278:M278" si="2834">L270/L$276</f>
        <v>1.9677800748958019</v>
      </c>
      <c r="M278" s="56">
        <f t="shared" si="2834"/>
        <v>2.0830093115106059</v>
      </c>
      <c r="N278" s="56">
        <f t="shared" ref="N278" si="2835">N270/N$276</f>
        <v>2.0240611389194654</v>
      </c>
      <c r="O278" s="56">
        <f t="shared" ref="O278:P278" si="2836">O270/O$276</f>
        <v>1.6830248665836087</v>
      </c>
      <c r="P278" s="56">
        <f t="shared" si="2836"/>
        <v>3.2928404561810289</v>
      </c>
      <c r="Q278" s="56">
        <f t="shared" ref="Q278" si="2837">Q270/Q$276</f>
        <v>2.1840315755667241</v>
      </c>
      <c r="R278" s="56">
        <f t="shared" ref="R278" si="2838">R270/R$276</f>
        <v>2.9868681053061623</v>
      </c>
      <c r="S278" s="86"/>
      <c r="T278" s="170"/>
      <c r="U278" s="170"/>
      <c r="V278" s="170"/>
      <c r="W278" s="56">
        <f>W270/W$276</f>
        <v>1.6439767150064939</v>
      </c>
      <c r="X278" s="56">
        <f t="shared" ref="X278:Z278" si="2839">X270/X$276</f>
        <v>1.1553360856755752</v>
      </c>
      <c r="Y278" s="56">
        <f t="shared" si="2839"/>
        <v>0.9168237813613318</v>
      </c>
      <c r="Z278" s="56">
        <f t="shared" si="2839"/>
        <v>0.74712113516403211</v>
      </c>
      <c r="AA278" s="56">
        <f>AA270/AA$276</f>
        <v>1.2007239694690277</v>
      </c>
      <c r="AB278" s="56">
        <f>AB270/AB$276</f>
        <v>1.0761613294808021</v>
      </c>
      <c r="AC278" s="56">
        <f t="shared" ref="AC278:AC279" si="2840">AC270/AC$276</f>
        <v>1.0965728300555198</v>
      </c>
      <c r="AD278" s="56">
        <f t="shared" ref="AD278" si="2841">AD270/AD$276</f>
        <v>0.98776129171355509</v>
      </c>
      <c r="AE278" s="56">
        <f>AE270/AE$276</f>
        <v>1.0346341109692607</v>
      </c>
      <c r="AF278" s="56">
        <f>AF270/AF$276</f>
        <v>1.0303996352897291</v>
      </c>
      <c r="AG278" s="56">
        <f t="shared" ref="AG278:AH279" si="2842">AG270/AG$276</f>
        <v>0.98705551436532912</v>
      </c>
      <c r="AH278" s="56">
        <f t="shared" si="2842"/>
        <v>0.93328093472943874</v>
      </c>
      <c r="AI278" s="56">
        <f>AI270/AI$276</f>
        <v>1.0464402051898791</v>
      </c>
      <c r="AJ278" s="240"/>
      <c r="AK278" s="240"/>
      <c r="AL278" s="240"/>
      <c r="AM278" s="267"/>
      <c r="AN278" s="56">
        <f>AN270/AN$276</f>
        <v>1.1714050633557869</v>
      </c>
      <c r="AO278" s="56">
        <f t="shared" ref="AO278:AP278" si="2843">AO270/AO$276</f>
        <v>1.6119688754269745</v>
      </c>
      <c r="AP278" s="56">
        <f t="shared" si="2843"/>
        <v>1.6286350832409937</v>
      </c>
      <c r="AQ278" s="56">
        <f t="shared" ref="AQ278" si="2844">AQ270/AQ$276</f>
        <v>1.364097975457633</v>
      </c>
      <c r="AR278" s="56">
        <f>AR270/AR$276</f>
        <v>1.3088939780151705</v>
      </c>
      <c r="AS278" s="56">
        <f t="shared" ref="AS278:AT278" si="2845">AS270/AS$276</f>
        <v>1.8964491106350247</v>
      </c>
      <c r="AT278" s="56">
        <f t="shared" si="2845"/>
        <v>2.0237705004871076</v>
      </c>
      <c r="AU278" s="56">
        <f t="shared" ref="AU278:AV278" si="2846">AU270/AU$276</f>
        <v>1.867748273058595</v>
      </c>
      <c r="AV278" s="56">
        <f t="shared" si="2846"/>
        <v>2.1047580696600674</v>
      </c>
      <c r="AW278" s="56">
        <f t="shared" ref="AW278" si="2847">AW270/AW$276</f>
        <v>1.9677800748958019</v>
      </c>
      <c r="AX278" s="56">
        <f>AX270/AX$276</f>
        <v>2.1516861052762626</v>
      </c>
      <c r="AY278" s="56">
        <f>AY270/AY$276</f>
        <v>2.3652963546332004</v>
      </c>
      <c r="AZ278" s="56">
        <f t="shared" ref="AZ278:BB278" si="2848">AZ270/AZ$276</f>
        <v>1.8926915945892322</v>
      </c>
      <c r="BA278" s="56">
        <f t="shared" ref="BA278" si="2849">BA270/BA$276</f>
        <v>2.1654533479402676</v>
      </c>
      <c r="BB278" s="56">
        <f t="shared" si="2848"/>
        <v>1.7601223475078667</v>
      </c>
      <c r="BC278" s="56">
        <f t="shared" ref="BC278:BD279" si="2850">BC270/BC$276</f>
        <v>1.8002526370435206</v>
      </c>
      <c r="BD278" s="56">
        <f t="shared" si="2850"/>
        <v>2.030019243731525</v>
      </c>
      <c r="BE278" s="56">
        <f>BE270/BE$276</f>
        <v>2.1242829779671428</v>
      </c>
      <c r="BF278" s="56">
        <f t="shared" ref="BF278:BG278" si="2851">BF270/BF$276</f>
        <v>2.0442961959272141</v>
      </c>
      <c r="BG278" s="56">
        <f t="shared" si="2851"/>
        <v>1.9643618431641869</v>
      </c>
      <c r="BH278" s="56">
        <f t="shared" ref="BH278" si="2852">BH270/BH$276</f>
        <v>1.6827135469085308</v>
      </c>
      <c r="BI278" s="56">
        <f>BI270/BI$276</f>
        <v>1.7089625482121482</v>
      </c>
      <c r="BJ278" s="56">
        <f t="shared" ref="BJ278:BL279" si="2853">BJ270/BJ$276</f>
        <v>1.4219536776995014</v>
      </c>
      <c r="BK278" s="56">
        <f t="shared" si="2853"/>
        <v>1.5313413756657972</v>
      </c>
      <c r="BL278" s="56">
        <f t="shared" si="2853"/>
        <v>2.215361124725328</v>
      </c>
      <c r="BM278" s="56">
        <f>BM270/BM$276</f>
        <v>2.99001659858166</v>
      </c>
      <c r="BO278" s="56">
        <f t="shared" ref="BO278:BR278" si="2854">BO270/BO$276</f>
        <v>2.0240611389194654</v>
      </c>
      <c r="BP278" s="56">
        <f t="shared" si="2854"/>
        <v>1.9715330923998939</v>
      </c>
      <c r="BQ278" s="56">
        <f t="shared" si="2854"/>
        <v>2.1521618808401102</v>
      </c>
      <c r="BR278" s="56">
        <f t="shared" si="2854"/>
        <v>2.3680919581656248</v>
      </c>
      <c r="BS278" s="56">
        <f t="shared" ref="BS278:BT278" si="2855">BS270/BS$276</f>
        <v>3.3552135505084406</v>
      </c>
      <c r="BT278" s="56">
        <f t="shared" si="2855"/>
        <v>4.4732789675721696</v>
      </c>
      <c r="BV278" s="40"/>
      <c r="BW278" s="40"/>
      <c r="BY278" s="40"/>
      <c r="BZ278" s="40"/>
      <c r="CB278" s="16"/>
      <c r="CC278" s="16"/>
    </row>
    <row r="279" spans="2:81" ht="13.5" customHeight="1">
      <c r="B279" s="10" t="str">
        <f>+B137</f>
        <v>Total Gross Leverage  (excl. lease liabilities)</v>
      </c>
      <c r="C279" s="55">
        <f t="shared" si="2830"/>
        <v>2.5661788542840855</v>
      </c>
      <c r="D279" s="55">
        <f t="shared" si="2830"/>
        <v>2.2085133820939165</v>
      </c>
      <c r="E279" s="55">
        <f t="shared" si="2830"/>
        <v>2.2396890889693566</v>
      </c>
      <c r="F279" s="55">
        <f t="shared" si="2830"/>
        <v>1.6043135708329308</v>
      </c>
      <c r="G279" s="55">
        <f t="shared" ref="G279:H279" si="2856">G271/G$276</f>
        <v>1.7398677308311976</v>
      </c>
      <c r="H279" s="55">
        <f t="shared" si="2856"/>
        <v>1.6501090912315803</v>
      </c>
      <c r="I279" s="55">
        <f t="shared" ref="I279" si="2857">I271/I$276</f>
        <v>1.9717146931580638</v>
      </c>
      <c r="J279" s="55">
        <f t="shared" ref="J279:K279" si="2858">J271/J$276</f>
        <v>2.113831121770271</v>
      </c>
      <c r="K279" s="55">
        <f t="shared" si="2858"/>
        <v>2.6417353870518254</v>
      </c>
      <c r="L279" s="55">
        <f t="shared" ref="L279:M279" si="2859">L271/L$276</f>
        <v>2.7832974914087529</v>
      </c>
      <c r="M279" s="55">
        <f t="shared" si="2859"/>
        <v>2.55790357470985</v>
      </c>
      <c r="N279" s="55">
        <f t="shared" ref="N279" si="2860">N271/N$276</f>
        <v>2.4855161431962389</v>
      </c>
      <c r="O279" s="55">
        <f t="shared" ref="O279:P279" si="2861">O271/O$276</f>
        <v>2.1292877236092802</v>
      </c>
      <c r="P279" s="55">
        <f t="shared" si="2861"/>
        <v>4.1659543470577329</v>
      </c>
      <c r="Q279" s="55">
        <f t="shared" ref="Q279" si="2862">Q271/Q$276</f>
        <v>2.9078350249960208</v>
      </c>
      <c r="R279" s="55">
        <f t="shared" ref="R279" si="2863">R271/R$276</f>
        <v>3.5550687838994697</v>
      </c>
      <c r="T279" s="170"/>
      <c r="U279" s="170"/>
      <c r="V279" s="170"/>
      <c r="W279" s="55">
        <f>W271/W$276</f>
        <v>2.2374004537831</v>
      </c>
      <c r="X279" s="55">
        <f t="shared" ref="X279:Z279" si="2864">X271/X$276</f>
        <v>1.7816756961565765</v>
      </c>
      <c r="Y279" s="55">
        <f t="shared" si="2864"/>
        <v>1.3196465150085859</v>
      </c>
      <c r="Z279" s="55">
        <f t="shared" si="2864"/>
        <v>1.0508297979140537</v>
      </c>
      <c r="AA279" s="55">
        <f>AA271/AA$276</f>
        <v>1.6040843428396245</v>
      </c>
      <c r="AB279" s="55">
        <f>AB271/AB$276</f>
        <v>1.6130549398837051</v>
      </c>
      <c r="AC279" s="55">
        <f t="shared" si="2840"/>
        <v>1.6427210798119942</v>
      </c>
      <c r="AD279" s="55">
        <f t="shared" ref="AD279" si="2865">AD271/AD$276</f>
        <v>2.0389062463397245</v>
      </c>
      <c r="AE279" s="55">
        <f>AE271/AE$276</f>
        <v>1.7400923691058632</v>
      </c>
      <c r="AF279" s="55">
        <f>AF271/AF$276</f>
        <v>1.6385441723011431</v>
      </c>
      <c r="AG279" s="55">
        <f t="shared" si="2842"/>
        <v>1.617039341930548</v>
      </c>
      <c r="AH279" s="55">
        <f t="shared" si="2842"/>
        <v>1.5863107568745163</v>
      </c>
      <c r="AI279" s="55">
        <f>AI271/AI$276</f>
        <v>1.6501090912315803</v>
      </c>
      <c r="AJ279" s="239"/>
      <c r="AK279" s="239"/>
      <c r="AL279" s="239"/>
      <c r="AM279" s="268"/>
      <c r="AN279" s="55">
        <f>AN271/AN$276</f>
        <v>1.6972225718765774</v>
      </c>
      <c r="AO279" s="55">
        <f t="shared" ref="AO279:AP279" si="2866">AO271/AO$276</f>
        <v>2.1822750646786098</v>
      </c>
      <c r="AP279" s="55">
        <f t="shared" si="2866"/>
        <v>2.2557768706773622</v>
      </c>
      <c r="AQ279" s="55">
        <f t="shared" ref="AQ279" si="2867">AQ271/AQ$276</f>
        <v>1.9294202719814852</v>
      </c>
      <c r="AR279" s="55">
        <f>AR271/AR$276</f>
        <v>1.8964271823417482</v>
      </c>
      <c r="AS279" s="55">
        <f t="shared" ref="AS279:AT279" si="2868">AS271/AS$276</f>
        <v>2.5674029248700752</v>
      </c>
      <c r="AT279" s="55">
        <f t="shared" si="2868"/>
        <v>2.8030678778411442</v>
      </c>
      <c r="AU279" s="55">
        <f t="shared" ref="AU279:AV279" si="2869">AU271/AU$276</f>
        <v>2.6417353870518254</v>
      </c>
      <c r="AV279" s="55">
        <f t="shared" si="2869"/>
        <v>2.9152414931787134</v>
      </c>
      <c r="AW279" s="55">
        <f t="shared" ref="AW279" si="2870">AW271/AW$276</f>
        <v>2.7832974914087529</v>
      </c>
      <c r="AX279" s="55">
        <f>AX271/AX$276</f>
        <v>2.7270914967060556</v>
      </c>
      <c r="AY279" s="55">
        <f>AY271/AY$276</f>
        <v>2.9978255471802866</v>
      </c>
      <c r="AZ279" s="55">
        <f t="shared" ref="AZ279:BB279" si="2871">AZ271/AZ$276</f>
        <v>2.4929676299795061</v>
      </c>
      <c r="BA279" s="55">
        <f t="shared" ref="BA279" si="2872">BA271/BA$276</f>
        <v>2.8522370554603977</v>
      </c>
      <c r="BB279" s="55">
        <f t="shared" si="2871"/>
        <v>2.2798243546131429</v>
      </c>
      <c r="BC279" s="55">
        <f t="shared" ref="BC279" si="2873">BC271/BC$276</f>
        <v>2.3318037022821274</v>
      </c>
      <c r="BD279" s="55">
        <f t="shared" si="2850"/>
        <v>2.4928325819652559</v>
      </c>
      <c r="BE279" s="55">
        <f>BE271/BE$276</f>
        <v>2.5677934300347669</v>
      </c>
      <c r="BF279" s="55">
        <f t="shared" ref="BF279:BG279" si="2874">BF271/BF$276</f>
        <v>2.5573447667712275</v>
      </c>
      <c r="BG279" s="55">
        <f t="shared" si="2874"/>
        <v>2.4686106299400241</v>
      </c>
      <c r="BH279" s="55">
        <f t="shared" ref="BH279" si="2875">BH271/BH$276</f>
        <v>2.1288938558920387</v>
      </c>
      <c r="BI279" s="55">
        <f>BI271/BI$276</f>
        <v>2.1820663967423819</v>
      </c>
      <c r="BJ279" s="55">
        <f t="shared" ref="BJ279:BK279" si="2876">BJ271/BJ$276</f>
        <v>1.9606605975834799</v>
      </c>
      <c r="BK279" s="55">
        <f t="shared" si="2876"/>
        <v>1.9971263529816985</v>
      </c>
      <c r="BL279" s="55">
        <f t="shared" si="2853"/>
        <v>2.9495474074450168</v>
      </c>
      <c r="BM279" s="55">
        <f>BM271/BM$276</f>
        <v>3.5588162242836479</v>
      </c>
      <c r="BO279" s="55">
        <f t="shared" ref="BO279:BR279" si="2877">BO271/BO$276</f>
        <v>2.4855161431962389</v>
      </c>
      <c r="BP279" s="55">
        <f t="shared" si="2877"/>
        <v>2.3831522326677885</v>
      </c>
      <c r="BQ279" s="55">
        <f t="shared" si="2877"/>
        <v>2.6922810570092834</v>
      </c>
      <c r="BR279" s="55">
        <f t="shared" si="2877"/>
        <v>2.9759776697691289</v>
      </c>
      <c r="BS279" s="55">
        <f t="shared" ref="BS279:BT279" si="2878">BS271/BS$276</f>
        <v>4.2448659939809747</v>
      </c>
      <c r="BT279" s="55">
        <f t="shared" si="2878"/>
        <v>5.7116475306057852</v>
      </c>
      <c r="BV279" s="40"/>
      <c r="BW279" s="40"/>
      <c r="BY279" s="40"/>
      <c r="BZ279" s="40"/>
      <c r="CB279" s="16"/>
      <c r="CC279" s="16"/>
    </row>
    <row r="280" spans="2:81" ht="13.5" customHeight="1">
      <c r="C280" s="77"/>
      <c r="D280" s="78"/>
      <c r="E280" s="78"/>
      <c r="F280" s="78"/>
      <c r="G280" s="78"/>
      <c r="H280" s="78"/>
      <c r="I280" s="78"/>
      <c r="J280" s="78"/>
      <c r="K280" s="78"/>
      <c r="L280" s="78"/>
      <c r="M280" s="78"/>
      <c r="N280" s="78"/>
      <c r="O280" s="78"/>
      <c r="P280" s="78"/>
      <c r="Q280" s="78"/>
      <c r="R280" s="78"/>
      <c r="T280" s="78"/>
      <c r="U280" s="78"/>
      <c r="V280" s="78"/>
      <c r="W280" s="78"/>
      <c r="X280" s="78"/>
      <c r="Y280" s="78"/>
      <c r="Z280" s="78"/>
      <c r="AA280" s="78"/>
      <c r="AB280" s="78"/>
      <c r="AC280" s="78"/>
      <c r="AD280" s="78"/>
      <c r="AE280" s="78"/>
      <c r="AF280" s="78"/>
      <c r="AG280" s="78"/>
      <c r="AH280" s="78"/>
      <c r="AI280" s="78"/>
      <c r="AJ280" s="256"/>
      <c r="AK280" s="256"/>
      <c r="AL280" s="256"/>
      <c r="AM280" s="269"/>
      <c r="AN280" s="78"/>
      <c r="AO280" s="78"/>
      <c r="AP280" s="78"/>
      <c r="AQ280" s="78"/>
      <c r="AR280" s="78"/>
      <c r="AS280" s="78"/>
      <c r="AT280" s="78"/>
      <c r="AU280" s="78"/>
      <c r="AV280" s="78"/>
      <c r="AW280" s="78"/>
      <c r="AX280" s="78"/>
      <c r="AY280" s="78"/>
      <c r="AZ280" s="78"/>
      <c r="BA280" s="78"/>
      <c r="BB280" s="78"/>
      <c r="BC280" s="78"/>
      <c r="BD280" s="78"/>
      <c r="BE280" s="78"/>
      <c r="BF280" s="78"/>
      <c r="BG280" s="78"/>
      <c r="BH280" s="78"/>
      <c r="BI280" s="78"/>
      <c r="BJ280" s="78"/>
      <c r="BK280" s="78"/>
      <c r="BL280" s="78"/>
      <c r="BM280" s="78"/>
      <c r="BO280" s="78"/>
      <c r="BP280" s="78"/>
      <c r="BQ280" s="78"/>
      <c r="BR280" s="78"/>
      <c r="BS280" s="78"/>
      <c r="BT280" s="78"/>
      <c r="BV280" s="40"/>
      <c r="BW280" s="40"/>
      <c r="BY280" s="40"/>
      <c r="BZ280" s="40"/>
      <c r="CB280" s="16"/>
      <c r="CC280" s="16"/>
    </row>
    <row r="281" spans="2:81" s="6" customFormat="1" ht="13.5" customHeight="1">
      <c r="B281" s="6" t="str">
        <f>+B139</f>
        <v>Total Net Leverage (incl. lease liabilities)</v>
      </c>
      <c r="C281" s="56">
        <f t="shared" ref="C281:F282" si="2879">C273/C$276</f>
        <v>2.5423485398575725</v>
      </c>
      <c r="D281" s="56">
        <f t="shared" si="2879"/>
        <v>2.2008410270717338</v>
      </c>
      <c r="E281" s="56">
        <f t="shared" si="2879"/>
        <v>1.6456583375113025</v>
      </c>
      <c r="F281" s="56">
        <f t="shared" si="2879"/>
        <v>2.0437836883349436</v>
      </c>
      <c r="G281" s="56">
        <f t="shared" ref="G281:H281" si="2880">G273/G$276</f>
        <v>1.9785450096298272</v>
      </c>
      <c r="H281" s="56">
        <f t="shared" si="2880"/>
        <v>1.9274278811726264</v>
      </c>
      <c r="I281" s="56">
        <f t="shared" ref="I281" si="2881">I273/I$276</f>
        <v>2.2036340716380911</v>
      </c>
      <c r="J281" s="56">
        <f t="shared" ref="J281:K281" si="2882">J273/J$276</f>
        <v>2.4690834453554555</v>
      </c>
      <c r="K281" s="56">
        <f t="shared" si="2882"/>
        <v>2.952446952187624</v>
      </c>
      <c r="L281" s="56">
        <f t="shared" ref="L281:M281" si="2883">L273/L$276</f>
        <v>3.1106042681710635</v>
      </c>
      <c r="M281" s="56">
        <f t="shared" si="2883"/>
        <v>3.3291080095084</v>
      </c>
      <c r="N281" s="56">
        <f t="shared" ref="N281" si="2884">N273/N$276</f>
        <v>3.234895896408633</v>
      </c>
      <c r="O281" s="56">
        <f t="shared" ref="O281:P281" si="2885">O273/O$276</f>
        <v>2.6962057361882423</v>
      </c>
      <c r="P281" s="56">
        <f t="shared" si="2885"/>
        <v>5.2751302149978967</v>
      </c>
      <c r="Q281" s="56">
        <f t="shared" ref="Q281" si="2886">Q273/Q$276</f>
        <v>2.532162361762603</v>
      </c>
      <c r="R281" s="56">
        <f t="shared" ref="R281" si="2887">R273/R$276</f>
        <v>3.4099064762789371</v>
      </c>
      <c r="S281"/>
      <c r="T281" s="170"/>
      <c r="U281" s="170"/>
      <c r="V281" s="170"/>
      <c r="W281" s="56">
        <f>W273/W$276</f>
        <v>1.6439767150064939</v>
      </c>
      <c r="X281" s="56">
        <f t="shared" ref="X281:Z281" si="2888">X273/X$276</f>
        <v>1.8262795504722196</v>
      </c>
      <c r="Y281" s="56">
        <f t="shared" si="2888"/>
        <v>1.5011747399516149</v>
      </c>
      <c r="Z281" s="56">
        <f t="shared" si="2888"/>
        <v>1.2629899315582602</v>
      </c>
      <c r="AA281" s="56">
        <f>AA273/AA$276</f>
        <v>2.0434916678458408</v>
      </c>
      <c r="AB281" s="56">
        <f>AB273/AB$276</f>
        <v>1.8444560690390226</v>
      </c>
      <c r="AC281" s="56">
        <f t="shared" ref="AC281:AC282" si="2889">AC273/AC$276</f>
        <v>1.9353195430295951</v>
      </c>
      <c r="AD281" s="56">
        <f t="shared" ref="AD281" si="2890">AD273/AD$276</f>
        <v>1.8615993273436262</v>
      </c>
      <c r="AE281" s="56">
        <f>AE273/AE$276</f>
        <v>1.9788004640700902</v>
      </c>
      <c r="AF281" s="56">
        <f>AF273/AF$276</f>
        <v>1.8952716003072145</v>
      </c>
      <c r="AG281" s="56">
        <f t="shared" ref="AG281:AH282" si="2891">AG273/AG$276</f>
        <v>1.8283157293380705</v>
      </c>
      <c r="AH281" s="56">
        <f t="shared" si="2891"/>
        <v>1.8184980042156753</v>
      </c>
      <c r="AI281" s="56">
        <f>AI273/AI$276</f>
        <v>1.9274278811726264</v>
      </c>
      <c r="AJ281" s="240"/>
      <c r="AK281" s="240"/>
      <c r="AL281" s="240"/>
      <c r="AM281" s="267"/>
      <c r="AN281" s="56">
        <f>AN273/AN$276</f>
        <v>2.0971667403362306</v>
      </c>
      <c r="AO281" s="56">
        <f t="shared" ref="AO281:AP281" si="2892">AO273/AO$276</f>
        <v>2.5341829658405604</v>
      </c>
      <c r="AP281" s="56">
        <f t="shared" si="2892"/>
        <v>2.5474272707921308</v>
      </c>
      <c r="AQ281" s="56">
        <f t="shared" ref="AQ281" si="2893">AQ273/AQ$276</f>
        <v>2.1563648455840716</v>
      </c>
      <c r="AR281" s="56">
        <f>AR273/AR$276</f>
        <v>2.3433131742286801</v>
      </c>
      <c r="AS281" s="56">
        <f t="shared" ref="AS281:AT281" si="2894">AS273/AS$276</f>
        <v>2.9814155254590582</v>
      </c>
      <c r="AT281" s="56">
        <f t="shared" si="2894"/>
        <v>3.1654777769530811</v>
      </c>
      <c r="AU281" s="56">
        <f t="shared" ref="AU281:AV281" si="2895">AU273/AU$276</f>
        <v>2.952446952187624</v>
      </c>
      <c r="AV281" s="56">
        <f t="shared" si="2895"/>
        <v>3.2921543691678354</v>
      </c>
      <c r="AW281" s="56">
        <f t="shared" ref="AW281" si="2896">AW273/AW$276</f>
        <v>3.1106042681710635</v>
      </c>
      <c r="AX281" s="56">
        <f>AX273/AX$276</f>
        <v>3.2920268847694198</v>
      </c>
      <c r="AY281" s="56">
        <f>AY273/AY$276</f>
        <v>3.6188453189364478</v>
      </c>
      <c r="AZ281" s="56">
        <f t="shared" ref="AZ281:BB281" si="2897">AZ273/AZ$276</f>
        <v>3.0149888168003995</v>
      </c>
      <c r="BA281" s="56">
        <f t="shared" ref="BA281" si="2898">BA273/BA$276</f>
        <v>3.4494883614463512</v>
      </c>
      <c r="BB281" s="56">
        <f t="shared" si="2897"/>
        <v>2.8555395424936489</v>
      </c>
      <c r="BC281" s="56">
        <f t="shared" ref="BC281:BD282" si="2899">BC273/BC$276</f>
        <v>2.9206450329063069</v>
      </c>
      <c r="BD281" s="56">
        <f t="shared" si="2899"/>
        <v>3.2444182013097995</v>
      </c>
      <c r="BE281" s="56">
        <f>BE273/BE$276</f>
        <v>3.3126347907956863</v>
      </c>
      <c r="BF281" s="56">
        <f t="shared" ref="BF281:BG281" si="2900">BF273/BF$276</f>
        <v>3.1771372252037264</v>
      </c>
      <c r="BG281" s="56">
        <f t="shared" si="2900"/>
        <v>3.1400678849542736</v>
      </c>
      <c r="BH281" s="56">
        <f t="shared" ref="BH281" si="2901">BH273/BH$276</f>
        <v>2.6957070020872793</v>
      </c>
      <c r="BI281" s="56">
        <f>BI273/BI$276</f>
        <v>2.6844459879413254</v>
      </c>
      <c r="BJ281" s="56">
        <f t="shared" ref="BJ281:BL282" si="2902">BJ273/BJ$276</f>
        <v>1.6078229444637131</v>
      </c>
      <c r="BK281" s="56">
        <f t="shared" si="2902"/>
        <v>1.7489437339811649</v>
      </c>
      <c r="BL281" s="56">
        <f t="shared" si="2902"/>
        <v>2.5684857858732744</v>
      </c>
      <c r="BM281" s="56">
        <f>BM273/BM$276</f>
        <v>3.4135008993442097</v>
      </c>
      <c r="BO281" s="56">
        <f t="shared" ref="BO281:BR281" si="2903">BO273/BO$276</f>
        <v>3.234895896408633</v>
      </c>
      <c r="BP281" s="56">
        <f t="shared" si="2903"/>
        <v>3.0744346119737695</v>
      </c>
      <c r="BQ281" s="56">
        <f t="shared" si="2903"/>
        <v>3.344776378248973</v>
      </c>
      <c r="BR281" s="56">
        <f t="shared" si="2903"/>
        <v>3.7854377656188456</v>
      </c>
      <c r="BS281" s="56">
        <f t="shared" ref="BS281:BT281" si="2904">BS273/BS$276</f>
        <v>5.3750519084014821</v>
      </c>
      <c r="BT281" s="56">
        <f t="shared" si="2904"/>
        <v>7.0266465406184748</v>
      </c>
      <c r="BV281" s="40"/>
      <c r="BW281" s="40"/>
      <c r="BY281" s="40"/>
      <c r="BZ281" s="40"/>
      <c r="CB281" s="16"/>
      <c r="CC281" s="16"/>
    </row>
    <row r="282" spans="2:81">
      <c r="B282" s="10" t="str">
        <f>+B140</f>
        <v>Total Gross Leverage (incl. lease liabilities)</v>
      </c>
      <c r="C282" s="55">
        <f t="shared" si="2879"/>
        <v>2.5661788542840855</v>
      </c>
      <c r="D282" s="55">
        <f t="shared" si="2879"/>
        <v>2.2085133820939165</v>
      </c>
      <c r="E282" s="55">
        <f t="shared" si="2879"/>
        <v>2.2396890889693566</v>
      </c>
      <c r="F282" s="55">
        <f t="shared" si="2879"/>
        <v>2.4472017029944038</v>
      </c>
      <c r="G282" s="55">
        <f t="shared" ref="G282:H282" si="2905">G274/G$276</f>
        <v>2.6839121962067987</v>
      </c>
      <c r="H282" s="55">
        <f t="shared" si="2905"/>
        <v>2.5310967672143274</v>
      </c>
      <c r="I282" s="55">
        <f t="shared" ref="I282" si="2906">I274/I$276</f>
        <v>2.7813486808461754</v>
      </c>
      <c r="J282" s="55">
        <f t="shared" ref="J282:K282" si="2907">J274/J$276</f>
        <v>3.2423984251589659</v>
      </c>
      <c r="K282" s="55">
        <f t="shared" si="2907"/>
        <v>3.7264340661808548</v>
      </c>
      <c r="L282" s="55">
        <f t="shared" ref="L282:M282" si="2908">L274/L$276</f>
        <v>3.9261216846840146</v>
      </c>
      <c r="M282" s="55">
        <f t="shared" si="2908"/>
        <v>3.8040022727076441</v>
      </c>
      <c r="N282" s="55">
        <f t="shared" ref="N282" si="2909">N274/N$276</f>
        <v>3.6963509006854069</v>
      </c>
      <c r="O282" s="55">
        <f t="shared" ref="O282:P282" si="2910">O274/O$276</f>
        <v>3.1424685932139136</v>
      </c>
      <c r="P282" s="55">
        <f t="shared" si="2910"/>
        <v>6.1482441058746007</v>
      </c>
      <c r="Q282" s="55">
        <f t="shared" ref="Q282" si="2911">Q274/Q$276</f>
        <v>3.2559658111919001</v>
      </c>
      <c r="R282" s="55">
        <f t="shared" ref="R282" si="2912">R274/R$276</f>
        <v>3.9781071548722435</v>
      </c>
      <c r="T282" s="170"/>
      <c r="U282" s="170"/>
      <c r="V282" s="170"/>
      <c r="W282" s="55">
        <f>W274/W$276</f>
        <v>2.2374004537831</v>
      </c>
      <c r="X282" s="55">
        <f t="shared" ref="X282:Z282" si="2913">X274/X$276</f>
        <v>2.4526191609532209</v>
      </c>
      <c r="Y282" s="55">
        <f t="shared" si="2913"/>
        <v>1.9039974735988687</v>
      </c>
      <c r="Z282" s="55">
        <f t="shared" si="2913"/>
        <v>1.5666985943082816</v>
      </c>
      <c r="AA282" s="55">
        <f>AA274/AA$276</f>
        <v>2.4468520412164372</v>
      </c>
      <c r="AB282" s="55">
        <f>AB274/AB$276</f>
        <v>2.381349679441926</v>
      </c>
      <c r="AC282" s="55">
        <f t="shared" si="2889"/>
        <v>2.48146779278607</v>
      </c>
      <c r="AD282" s="55">
        <f t="shared" ref="AD282" si="2914">AD274/AD$276</f>
        <v>2.9127442819697955</v>
      </c>
      <c r="AE282" s="55">
        <f>AE274/AE$276</f>
        <v>2.6842587222066925</v>
      </c>
      <c r="AF282" s="55">
        <f>AF274/AF$276</f>
        <v>2.503416137318629</v>
      </c>
      <c r="AG282" s="55">
        <f t="shared" si="2891"/>
        <v>2.4582995569032895</v>
      </c>
      <c r="AH282" s="55">
        <f t="shared" si="2891"/>
        <v>2.4715278263607527</v>
      </c>
      <c r="AI282" s="55">
        <f>AI274/AI$276</f>
        <v>2.5310967672143274</v>
      </c>
      <c r="AJ282" s="239"/>
      <c r="AK282" s="239"/>
      <c r="AL282" s="239"/>
      <c r="AM282" s="268"/>
      <c r="AN282" s="55">
        <f>AN274/AN$276</f>
        <v>2.6229842488570214</v>
      </c>
      <c r="AO282" s="55">
        <f t="shared" ref="AO282:AP282" si="2915">AO274/AO$276</f>
        <v>3.1044891550921956</v>
      </c>
      <c r="AP282" s="55">
        <f t="shared" si="2915"/>
        <v>3.1745690582284989</v>
      </c>
      <c r="AQ282" s="55">
        <f t="shared" ref="AQ282" si="2916">AQ274/AQ$276</f>
        <v>2.7216871421079234</v>
      </c>
      <c r="AR282" s="55">
        <f>AR274/AR$276</f>
        <v>2.9308463785552581</v>
      </c>
      <c r="AS282" s="55">
        <f t="shared" ref="AS282:AT282" si="2917">AS274/AS$276</f>
        <v>3.6523693396941086</v>
      </c>
      <c r="AT282" s="55">
        <f t="shared" si="2917"/>
        <v>3.9447751543071172</v>
      </c>
      <c r="AU282" s="55">
        <f t="shared" ref="AU282:AV282" si="2918">AU274/AU$276</f>
        <v>3.7264340661808548</v>
      </c>
      <c r="AV282" s="55">
        <f t="shared" si="2918"/>
        <v>4.1026377926864814</v>
      </c>
      <c r="AW282" s="55">
        <f t="shared" ref="AW282" si="2919">AW274/AW$276</f>
        <v>3.9261216846840146</v>
      </c>
      <c r="AX282" s="55">
        <f>AX274/AX$276</f>
        <v>3.8674322761992124</v>
      </c>
      <c r="AY282" s="55">
        <f>AY274/AY$276</f>
        <v>4.251374511483534</v>
      </c>
      <c r="AZ282" s="55">
        <f t="shared" ref="AZ282:BB282" si="2920">AZ274/AZ$276</f>
        <v>3.6152648521906734</v>
      </c>
      <c r="BA282" s="55">
        <f t="shared" ref="BA282" si="2921">BA274/BA$276</f>
        <v>4.1362720689664805</v>
      </c>
      <c r="BB282" s="55">
        <f t="shared" si="2920"/>
        <v>3.375241549598925</v>
      </c>
      <c r="BC282" s="55">
        <f t="shared" ref="BC282" si="2922">BC274/BC$276</f>
        <v>3.4521960981449138</v>
      </c>
      <c r="BD282" s="55">
        <f t="shared" si="2899"/>
        <v>3.7072315395435309</v>
      </c>
      <c r="BE282" s="55">
        <f>BE274/BE$276</f>
        <v>3.7561452428633104</v>
      </c>
      <c r="BF282" s="55">
        <f t="shared" ref="BF282:BG282" si="2923">BF274/BF$276</f>
        <v>3.6901857960477393</v>
      </c>
      <c r="BG282" s="55">
        <f t="shared" si="2923"/>
        <v>3.6443166717301101</v>
      </c>
      <c r="BH282" s="55">
        <f t="shared" ref="BH282" si="2924">BH274/BH$276</f>
        <v>3.1418873110707874</v>
      </c>
      <c r="BI282" s="55">
        <f>BI274/BI$276</f>
        <v>3.1575498364715595</v>
      </c>
      <c r="BJ282" s="55">
        <f t="shared" ref="BJ282:BK282" si="2925">BJ274/BJ$276</f>
        <v>2.1465298643476913</v>
      </c>
      <c r="BK282" s="55">
        <f t="shared" si="2925"/>
        <v>2.2147287112970662</v>
      </c>
      <c r="BL282" s="55">
        <f t="shared" si="2902"/>
        <v>3.3026720685929636</v>
      </c>
      <c r="BM282" s="55">
        <f>BM274/BM$276</f>
        <v>3.9823005250461971</v>
      </c>
      <c r="BO282" s="55">
        <f t="shared" ref="BO282:BR282" si="2926">BO274/BO$276</f>
        <v>3.6963509006854069</v>
      </c>
      <c r="BP282" s="55">
        <f t="shared" si="2926"/>
        <v>3.4860537522416641</v>
      </c>
      <c r="BQ282" s="55">
        <f t="shared" si="2926"/>
        <v>3.8848955544181463</v>
      </c>
      <c r="BR282" s="55">
        <f t="shared" si="2926"/>
        <v>4.3933234772223493</v>
      </c>
      <c r="BS282" s="55">
        <f t="shared" ref="BS282:BT282" si="2927">BS274/BS$276</f>
        <v>6.2647043518740162</v>
      </c>
      <c r="BT282" s="55">
        <f t="shared" si="2927"/>
        <v>8.2650151036520914</v>
      </c>
      <c r="BV282" s="40"/>
      <c r="BW282" s="40"/>
      <c r="BY282" s="40"/>
      <c r="BZ282" s="40"/>
      <c r="CB282" s="16"/>
      <c r="CC282" s="16"/>
    </row>
    <row r="283" spans="2:81">
      <c r="C283" s="80"/>
      <c r="D283" s="80"/>
      <c r="E283" s="80"/>
      <c r="F283" s="80"/>
      <c r="G283" s="80"/>
      <c r="H283" s="80"/>
      <c r="I283" s="80"/>
      <c r="J283" s="80"/>
      <c r="K283" s="80"/>
      <c r="L283" s="80"/>
      <c r="M283" s="80"/>
      <c r="N283" s="80"/>
      <c r="O283" s="80"/>
      <c r="P283" s="80"/>
      <c r="Q283" s="80"/>
      <c r="R283" s="80"/>
      <c r="T283" s="80"/>
      <c r="U283" s="80"/>
      <c r="V283" s="80"/>
      <c r="W283" s="80"/>
      <c r="X283" s="80"/>
      <c r="Y283" s="80"/>
      <c r="Z283" s="80"/>
      <c r="AA283" s="80"/>
      <c r="AB283" s="80"/>
      <c r="AC283" s="80"/>
      <c r="AD283" s="80"/>
      <c r="AE283" s="80"/>
      <c r="AF283" s="80"/>
      <c r="AG283" s="80"/>
      <c r="AH283" s="80"/>
      <c r="AI283" s="80"/>
      <c r="AJ283" s="258"/>
      <c r="AK283" s="258"/>
      <c r="AL283" s="258"/>
      <c r="AM283" s="270"/>
      <c r="AN283" s="80"/>
      <c r="AO283" s="80"/>
      <c r="AP283" s="80"/>
      <c r="AQ283" s="80"/>
      <c r="AR283" s="80"/>
      <c r="AS283" s="80"/>
      <c r="AT283" s="80"/>
      <c r="AU283" s="80"/>
      <c r="AV283" s="80"/>
      <c r="AW283" s="80"/>
      <c r="AX283" s="80"/>
      <c r="AY283" s="80"/>
      <c r="AZ283" s="80"/>
      <c r="BA283" s="80"/>
      <c r="BB283" s="80"/>
      <c r="BC283" s="80"/>
      <c r="BD283" s="80"/>
      <c r="BE283" s="80"/>
      <c r="BF283" s="80"/>
      <c r="BG283" s="80"/>
      <c r="BH283" s="80"/>
      <c r="BI283" s="80"/>
      <c r="BJ283" s="80"/>
      <c r="BK283" s="80"/>
      <c r="BL283" s="80"/>
      <c r="BM283" s="80"/>
      <c r="BO283" s="80"/>
      <c r="BP283" s="80"/>
      <c r="BQ283" s="80"/>
      <c r="BR283" s="80"/>
      <c r="BS283" s="80"/>
      <c r="BT283" s="80"/>
      <c r="BV283" s="40"/>
      <c r="BW283" s="40"/>
      <c r="BY283" s="40"/>
      <c r="BZ283" s="40"/>
      <c r="CB283" s="16"/>
      <c r="CC283" s="16"/>
    </row>
    <row r="284" spans="2:81" s="6" customFormat="1">
      <c r="B284" s="6" t="str">
        <f>B142</f>
        <v>EBITDA - Capex / Interest</v>
      </c>
      <c r="C284" s="56">
        <f>C142</f>
        <v>2.1922663597569221</v>
      </c>
      <c r="D284" s="56">
        <f>D142</f>
        <v>3.348934933726726</v>
      </c>
      <c r="E284" s="56">
        <f>E142</f>
        <v>1.5396365859987262</v>
      </c>
      <c r="F284" s="56">
        <f t="shared" ref="F284:H284" si="2928">F142</f>
        <v>2.2777219785403431</v>
      </c>
      <c r="G284" s="56">
        <f t="shared" si="2928"/>
        <v>4.3829527886575672</v>
      </c>
      <c r="H284" s="56">
        <f t="shared" si="2928"/>
        <v>3.6014312690442472</v>
      </c>
      <c r="I284" s="56">
        <f t="shared" ref="I284" si="2929">I142</f>
        <v>1.7487224003912312</v>
      </c>
      <c r="J284" s="56">
        <f t="shared" ref="J284:K284" si="2930">J142</f>
        <v>1.8983906270117159</v>
      </c>
      <c r="K284" s="56">
        <f t="shared" si="2930"/>
        <v>-3.4797224670212838E-2</v>
      </c>
      <c r="L284" s="56">
        <f t="shared" ref="L284:M284" si="2931">L142</f>
        <v>-0.69874939351280463</v>
      </c>
      <c r="M284" s="56">
        <f t="shared" si="2931"/>
        <v>1.1634626615770798</v>
      </c>
      <c r="N284" s="56">
        <f t="shared" ref="N284" si="2932">N142</f>
        <v>1.2205906880473656</v>
      </c>
      <c r="O284" s="56">
        <f>(O276+O252)/-O250</f>
        <v>2.8212722007462494</v>
      </c>
      <c r="P284" s="56">
        <f>(P276+P252)/-P250</f>
        <v>0.26052537767865741</v>
      </c>
      <c r="Q284" s="56">
        <f>(Q276+Q252)/-Q250</f>
        <v>2.223621196336667</v>
      </c>
      <c r="R284" s="56">
        <f>(R276+R252)/-R250</f>
        <v>2.251926204079469</v>
      </c>
      <c r="S284" s="86"/>
      <c r="T284" s="426"/>
      <c r="U284" s="426"/>
      <c r="V284" s="426"/>
      <c r="W284" s="56">
        <f t="shared" ref="W284:Z284" si="2933">W142</f>
        <v>1.5396365859987262</v>
      </c>
      <c r="X284" s="56">
        <f t="shared" si="2933"/>
        <v>3.568183914779735</v>
      </c>
      <c r="Y284" s="56">
        <f t="shared" si="2933"/>
        <v>8.2598723689347526</v>
      </c>
      <c r="Z284" s="56">
        <f t="shared" si="2933"/>
        <v>2.9711273888048928</v>
      </c>
      <c r="AA284" s="56">
        <f t="shared" ref="AA284:AG284" si="2934">AA142</f>
        <v>2.2777219785403431</v>
      </c>
      <c r="AB284" s="56">
        <f t="shared" si="2934"/>
        <v>2.571599122643025</v>
      </c>
      <c r="AC284" s="56">
        <f t="shared" si="2934"/>
        <v>1.7134108160349832</v>
      </c>
      <c r="AD284" s="56">
        <f t="shared" si="2934"/>
        <v>3.1666259978835103</v>
      </c>
      <c r="AE284" s="56">
        <f t="shared" si="2934"/>
        <v>4.3829527886575672</v>
      </c>
      <c r="AF284" s="56">
        <f t="shared" si="2934"/>
        <v>4.1741902064058998</v>
      </c>
      <c r="AG284" s="56">
        <f t="shared" si="2934"/>
        <v>6.7481608742773291</v>
      </c>
      <c r="AH284" s="56">
        <f t="shared" ref="AH284:AS284" si="2935">AH142</f>
        <v>3.8476604903477312</v>
      </c>
      <c r="AI284" s="56">
        <f t="shared" si="2935"/>
        <v>3.6014312690442472</v>
      </c>
      <c r="AJ284" s="240"/>
      <c r="AK284" s="240"/>
      <c r="AL284" s="240"/>
      <c r="AM284" s="267"/>
      <c r="AN284" s="56">
        <f t="shared" ref="AN284:AP284" si="2936">AN142</f>
        <v>2.8461324570448294</v>
      </c>
      <c r="AO284" s="56">
        <f t="shared" si="2936"/>
        <v>1.901230358782461</v>
      </c>
      <c r="AP284" s="56">
        <f t="shared" si="2936"/>
        <v>1.3562031541335786</v>
      </c>
      <c r="AQ284" s="56">
        <f t="shared" ref="AQ284" si="2937">AQ142</f>
        <v>1.7487224003912312</v>
      </c>
      <c r="AR284" s="56">
        <f t="shared" si="2935"/>
        <v>2.393706449360431</v>
      </c>
      <c r="AS284" s="56">
        <f t="shared" si="2935"/>
        <v>0.97743152642794118</v>
      </c>
      <c r="AT284" s="56">
        <f t="shared" ref="AT284:AX284" si="2938">AT142</f>
        <v>-3.8130399578062031E-2</v>
      </c>
      <c r="AU284" s="56">
        <f t="shared" si="2938"/>
        <v>-3.4797224670212838E-2</v>
      </c>
      <c r="AV284" s="56">
        <f t="shared" ref="AV284:AW284" si="2939">AV142</f>
        <v>-0.14901738062260167</v>
      </c>
      <c r="AW284" s="56">
        <f t="shared" si="2939"/>
        <v>-0.69874939351280463</v>
      </c>
      <c r="AX284" s="56">
        <f t="shared" si="2938"/>
        <v>-0.10838901584239227</v>
      </c>
      <c r="AY284" s="56">
        <f>AY142</f>
        <v>-0.17560793042656209</v>
      </c>
      <c r="AZ284" s="56">
        <f>AZ142</f>
        <v>0.8343529232665684</v>
      </c>
      <c r="BA284" s="56">
        <f t="shared" ref="BA284" si="2940">BA142</f>
        <v>0.1673172078278653</v>
      </c>
      <c r="BB284" s="56">
        <f t="shared" ref="BB284" si="2941">BB142</f>
        <v>1.3175937849826187</v>
      </c>
      <c r="BC284" s="56">
        <f>BC142</f>
        <v>1.2396269820069448</v>
      </c>
      <c r="BD284" s="56">
        <f>BD142</f>
        <v>1.2398846202110894</v>
      </c>
      <c r="BE284" s="56">
        <f>BE142</f>
        <v>1.22286368169483</v>
      </c>
      <c r="BF284" s="56">
        <f t="shared" ref="BF284:BG284" si="2942">(BF276+SUM(BC252:BF252))/-SUM(BC250:BF250)</f>
        <v>1.6984218398852209</v>
      </c>
      <c r="BG284" s="56">
        <f t="shared" si="2942"/>
        <v>2.2156385954629996</v>
      </c>
      <c r="BH284" s="56">
        <f>(BH276+SUM(BE252:BH252))/-SUM(BE250:BH250)</f>
        <v>2.8504747218720397</v>
      </c>
      <c r="BI284" s="56">
        <f>BI142</f>
        <v>3.1661786645132661</v>
      </c>
      <c r="BJ284" s="56">
        <f t="shared" ref="BJ284" si="2943">(BJ276+SUM(BG252:BJ252))/-SUM(BG250:BJ250)</f>
        <v>3.0632906310340013</v>
      </c>
      <c r="BK284" s="56">
        <f t="shared" ref="BK284" si="2944">(BK276+SUM(BH252:BK252))/-SUM(BH250:BK250)</f>
        <v>3.0300730961358928</v>
      </c>
      <c r="BL284" s="56">
        <f>(BL276+SUM(BI252:BL252))/-SUM(BI250:BL250)</f>
        <v>2.2130051072308223</v>
      </c>
      <c r="BM284" s="56">
        <f>BM142</f>
        <v>2.2519262040794694</v>
      </c>
      <c r="BO284" s="56">
        <f>(BO276+SUM(AY252,BA252,BC252,BO252))/-SUM(AY250,BA250,BC250,BO250)</f>
        <v>1.2137742537359764</v>
      </c>
      <c r="BP284" s="56">
        <f t="shared" ref="BP284:BR285" si="2945">BP142</f>
        <v>1.4847201340469112</v>
      </c>
      <c r="BQ284" s="56">
        <f t="shared" si="2945"/>
        <v>1.4211757361787987</v>
      </c>
      <c r="BR284" s="56">
        <f t="shared" si="2945"/>
        <v>1.3469739927540363</v>
      </c>
      <c r="BS284" s="56">
        <f>(BS276+SUM(BC252,BE252,BG252,BS252))/-SUM(BC250,BE250,BG250,BS250)</f>
        <v>6.3229631463308927E-2</v>
      </c>
      <c r="BT284" s="56">
        <f t="shared" ref="BT284" si="2946">BT142</f>
        <v>-0.17036000383232336</v>
      </c>
      <c r="BV284" s="427"/>
      <c r="BW284" s="427"/>
      <c r="BY284" s="427"/>
      <c r="BZ284" s="427"/>
      <c r="CB284" s="428"/>
      <c r="CC284" s="428"/>
    </row>
    <row r="285" spans="2:81">
      <c r="B285" s="10" t="str">
        <f>B143</f>
        <v>EBITDA/Interest</v>
      </c>
      <c r="C285" s="55">
        <f t="shared" ref="C285:M285" si="2947">C276/-C250</f>
        <v>6.9441634571718787</v>
      </c>
      <c r="D285" s="55">
        <f t="shared" si="2947"/>
        <v>7.1141494229750952</v>
      </c>
      <c r="E285" s="55">
        <f t="shared" si="2947"/>
        <v>7.5612666868684295</v>
      </c>
      <c r="F285" s="55">
        <f t="shared" si="2947"/>
        <v>6.285049204273939</v>
      </c>
      <c r="G285" s="55">
        <f t="shared" si="2947"/>
        <v>7.6098521499137757</v>
      </c>
      <c r="H285" s="55">
        <f t="shared" si="2947"/>
        <v>8.1570297412128241</v>
      </c>
      <c r="I285" s="55">
        <f t="shared" si="2947"/>
        <v>7.8158295377258034</v>
      </c>
      <c r="J285" s="55">
        <f t="shared" si="2947"/>
        <v>6.3675800752471279</v>
      </c>
      <c r="K285" s="55">
        <f t="shared" si="2947"/>
        <v>6.0323099126643598</v>
      </c>
      <c r="L285" s="55">
        <f t="shared" si="2947"/>
        <v>5.4245057955318492</v>
      </c>
      <c r="M285" s="55">
        <f t="shared" si="2947"/>
        <v>4.1810071458873477</v>
      </c>
      <c r="N285" s="55">
        <f t="shared" ref="N285" si="2948">N276/-N250</f>
        <v>4.3152600726634871</v>
      </c>
      <c r="O285" s="55">
        <f>O276/-O250</f>
        <v>5.1591166475291264</v>
      </c>
      <c r="P285" s="55">
        <f>P276/-P250</f>
        <v>2.6369092954680418</v>
      </c>
      <c r="Q285" s="55">
        <f>Q276/-Q250</f>
        <v>3.5376744722425233</v>
      </c>
      <c r="R285" s="55">
        <f>R276/-R250</f>
        <v>3.6134942389909601</v>
      </c>
      <c r="T285" s="170"/>
      <c r="U285" s="170"/>
      <c r="V285" s="170"/>
      <c r="W285" s="55">
        <f t="shared" ref="W285:Z285" si="2949">W143</f>
        <v>7.5612666868684304</v>
      </c>
      <c r="X285" s="55">
        <f t="shared" si="2949"/>
        <v>10.22922965286304</v>
      </c>
      <c r="Y285" s="55">
        <f t="shared" si="2949"/>
        <v>16.178525639480799</v>
      </c>
      <c r="Z285" s="55">
        <f t="shared" si="2949"/>
        <v>4.8080840941096019</v>
      </c>
      <c r="AA285" s="55">
        <f>AA143</f>
        <v>6.285049204273939</v>
      </c>
      <c r="AB285" s="55">
        <f>AB143</f>
        <v>5.6355571822411576</v>
      </c>
      <c r="AC285" s="55">
        <f>AC143</f>
        <v>4.0404151984655208</v>
      </c>
      <c r="AD285" s="55">
        <f t="shared" ref="AD285:AF285" si="2950">AD143</f>
        <v>6.8403559759994241</v>
      </c>
      <c r="AE285" s="55">
        <f t="shared" si="2950"/>
        <v>7.6098521499137748</v>
      </c>
      <c r="AF285" s="55">
        <f t="shared" si="2950"/>
        <v>7.8569264429938634</v>
      </c>
      <c r="AG285" s="55">
        <f>AG143</f>
        <v>12.861340433119478</v>
      </c>
      <c r="AH285" s="55">
        <f>AH143</f>
        <v>7.9949305938982622</v>
      </c>
      <c r="AI285" s="55">
        <f>AI143</f>
        <v>8.1570297412128241</v>
      </c>
      <c r="AJ285" s="239"/>
      <c r="AK285" s="239"/>
      <c r="AL285" s="239"/>
      <c r="AM285" s="268"/>
      <c r="AN285" s="55">
        <f t="shared" ref="AN285:AP285" si="2951">AN143</f>
        <v>7.5516900889856284</v>
      </c>
      <c r="AO285" s="55">
        <f t="shared" si="2951"/>
        <v>7.6852201029052534</v>
      </c>
      <c r="AP285" s="55">
        <f t="shared" si="2951"/>
        <v>7.7219498820559611</v>
      </c>
      <c r="AQ285" s="55">
        <f t="shared" ref="AQ285" si="2952">AQ143</f>
        <v>7.8158295377258034</v>
      </c>
      <c r="AR285" s="55">
        <f>AR143</f>
        <v>7.0992640813012304</v>
      </c>
      <c r="AS285" s="55">
        <f t="shared" ref="AS285:AT285" si="2953">AS143</f>
        <v>6.7614212705507333</v>
      </c>
      <c r="AT285" s="55">
        <f t="shared" si="2953"/>
        <v>6.3276163283443196</v>
      </c>
      <c r="AU285" s="55">
        <f t="shared" ref="AU285:BB285" si="2954">AU143</f>
        <v>6.0323099126643598</v>
      </c>
      <c r="AV285" s="55">
        <f t="shared" si="2954"/>
        <v>6.21672934729978</v>
      </c>
      <c r="AW285" s="55">
        <f t="shared" ref="AW285" si="2955">AW143</f>
        <v>5.4245057955318501</v>
      </c>
      <c r="AX285" s="55">
        <f t="shared" si="2954"/>
        <v>5.9535602294834398</v>
      </c>
      <c r="AY285" s="55">
        <f t="shared" ref="AY285" si="2956">AY143</f>
        <v>4.7599532500106703</v>
      </c>
      <c r="AZ285" s="55">
        <f t="shared" si="2954"/>
        <v>4.9436545787142041</v>
      </c>
      <c r="BA285" s="55">
        <f t="shared" ref="BA285" si="2957">BA143</f>
        <v>4.3190100495004931</v>
      </c>
      <c r="BB285" s="55">
        <f t="shared" si="2954"/>
        <v>4.61076048199432</v>
      </c>
      <c r="BC285" s="55">
        <f t="shared" ref="BC285" si="2958">BC143</f>
        <v>4.5327936790186456</v>
      </c>
      <c r="BD285" s="55">
        <f>BD143</f>
        <v>4.257429104521357</v>
      </c>
      <c r="BE285" s="55">
        <f>BE143</f>
        <v>3.8633503256080064</v>
      </c>
      <c r="BF285" s="55">
        <f>BF143</f>
        <v>4.3242421281323571</v>
      </c>
      <c r="BG285" s="55">
        <f>BG276/-SUM(BD250:BG250)</f>
        <v>4.6418793283556594</v>
      </c>
      <c r="BH285" s="55">
        <f>BH276/-SUM(BE250:BH250)</f>
        <v>5.187753500569575</v>
      </c>
      <c r="BI285" s="55">
        <f>BI143</f>
        <v>5.3019749178298881</v>
      </c>
      <c r="BJ285" s="55">
        <f>BJ143</f>
        <v>4.7325675270108061</v>
      </c>
      <c r="BK285" s="55">
        <f>BK276/-SUM(BH250:BK250)</f>
        <v>4.595393901298455</v>
      </c>
      <c r="BL285" s="55">
        <f>BL276/-SUM(BI250:BL250)</f>
        <v>3.5312629963884521</v>
      </c>
      <c r="BM285" s="55">
        <f>BM143</f>
        <v>3.6134942389909606</v>
      </c>
      <c r="BO285" s="55">
        <f>BO276/-SUM(AY250,BA250,BC250,BO250)</f>
        <v>4.3082483673651675</v>
      </c>
      <c r="BP285" s="55">
        <f t="shared" si="2945"/>
        <v>4.1947608245829162</v>
      </c>
      <c r="BQ285" s="55">
        <f t="shared" si="2945"/>
        <v>4.1182181561198536</v>
      </c>
      <c r="BR285" s="55">
        <f t="shared" si="2945"/>
        <v>3.8632076337868342</v>
      </c>
      <c r="BS285" s="55">
        <f>BS276/-SUM(BC250,BE250,BG250,BS250)</f>
        <v>2.3387411926565065</v>
      </c>
      <c r="BT285" s="55">
        <f t="shared" ref="BT285" si="2959">BT143</f>
        <v>2.0060750157887846</v>
      </c>
      <c r="BV285" s="40"/>
      <c r="BW285" s="40"/>
      <c r="BY285" s="40"/>
      <c r="BZ285" s="40"/>
      <c r="CB285" s="16"/>
      <c r="CC285" s="16"/>
    </row>
    <row r="286" spans="2:81">
      <c r="C286" s="55"/>
      <c r="D286" s="55"/>
      <c r="E286" s="55"/>
      <c r="F286" s="55"/>
      <c r="G286" s="55"/>
      <c r="H286" s="55"/>
      <c r="I286" s="55"/>
      <c r="J286" s="55"/>
      <c r="K286" s="55"/>
      <c r="L286" s="55"/>
      <c r="M286" s="55"/>
      <c r="N286" s="55"/>
      <c r="O286" s="55"/>
      <c r="P286" s="55"/>
      <c r="Q286" s="55"/>
      <c r="R286" s="55"/>
      <c r="T286" s="55"/>
      <c r="U286" s="55"/>
      <c r="V286" s="55"/>
      <c r="W286" s="55"/>
      <c r="X286" s="55"/>
      <c r="Y286" s="55"/>
      <c r="Z286" s="55"/>
      <c r="AA286" s="55"/>
      <c r="AB286" s="55"/>
      <c r="AC286" s="55"/>
      <c r="AD286" s="55"/>
      <c r="AE286" s="55"/>
      <c r="AF286" s="55"/>
      <c r="AG286" s="55"/>
      <c r="AH286" s="55"/>
      <c r="AI286" s="55"/>
      <c r="AJ286" s="239"/>
      <c r="AK286" s="239"/>
      <c r="AL286" s="239"/>
      <c r="AM286" s="268"/>
      <c r="AN286" s="55"/>
      <c r="AO286" s="55"/>
      <c r="AP286" s="55"/>
      <c r="AQ286" s="55"/>
      <c r="AR286" s="55"/>
      <c r="AS286" s="55"/>
      <c r="AT286" s="55"/>
      <c r="AU286" s="55"/>
      <c r="AV286" s="55"/>
      <c r="AW286" s="55"/>
      <c r="AX286" s="55"/>
      <c r="AY286" s="55"/>
      <c r="AZ286" s="55"/>
      <c r="BA286" s="55"/>
      <c r="BB286" s="55"/>
      <c r="BC286" s="55"/>
      <c r="BD286" s="55"/>
      <c r="BE286" s="55"/>
      <c r="BF286" s="55"/>
      <c r="BG286" s="55"/>
      <c r="BH286" s="55"/>
      <c r="BI286" s="55"/>
      <c r="BJ286" s="55"/>
      <c r="BK286" s="55"/>
      <c r="BL286" s="55"/>
      <c r="BM286" s="55"/>
      <c r="BO286" s="55"/>
      <c r="BP286" s="55"/>
      <c r="BQ286" s="55"/>
      <c r="BR286" s="55"/>
      <c r="BS286" s="55"/>
      <c r="BT286" s="55"/>
      <c r="BV286" s="40"/>
      <c r="BW286" s="40"/>
      <c r="BY286" s="40"/>
      <c r="BZ286" s="40"/>
      <c r="CB286" s="16"/>
      <c r="CC286" s="16"/>
    </row>
    <row r="287" spans="2:81" s="6" customFormat="1" ht="12.75" customHeight="1" thickBot="1">
      <c r="B287" s="70" t="str">
        <f t="shared" ref="B287" si="2960">+B145</f>
        <v xml:space="preserve">Gearing (Net debt / Equity) </v>
      </c>
      <c r="C287" s="82">
        <f t="shared" ref="C287:M287" si="2961">C273/C268</f>
        <v>0.77060210948308561</v>
      </c>
      <c r="D287" s="82">
        <f t="shared" si="2961"/>
        <v>0.62670399395395782</v>
      </c>
      <c r="E287" s="82">
        <f t="shared" si="2961"/>
        <v>0.60520085845584271</v>
      </c>
      <c r="F287" s="82">
        <f t="shared" si="2961"/>
        <v>0.96469121566615834</v>
      </c>
      <c r="G287" s="82">
        <f t="shared" si="2961"/>
        <v>0.84506962687132836</v>
      </c>
      <c r="H287" s="82">
        <f t="shared" si="2961"/>
        <v>0.8877479376405224</v>
      </c>
      <c r="I287" s="82">
        <f t="shared" si="2961"/>
        <v>0.92763265520704008</v>
      </c>
      <c r="J287" s="82">
        <f t="shared" si="2961"/>
        <v>0.8877479376405224</v>
      </c>
      <c r="K287" s="82">
        <f t="shared" si="2961"/>
        <v>0.92656312590958068</v>
      </c>
      <c r="L287" s="82">
        <f t="shared" si="2961"/>
        <v>0.92654679623928671</v>
      </c>
      <c r="M287" s="82">
        <f t="shared" si="2961"/>
        <v>1.1450918371358416</v>
      </c>
      <c r="N287" s="82">
        <f t="shared" ref="N287" si="2962">N273/N268</f>
        <v>1.1450918017191949</v>
      </c>
      <c r="O287" s="82">
        <f t="shared" ref="O287:R287" si="2963">O273/O268</f>
        <v>1.0648670129757669</v>
      </c>
      <c r="P287" s="82">
        <f t="shared" ref="P287:Q287" si="2964">P273/P268</f>
        <v>1.0648670129757669</v>
      </c>
      <c r="Q287" s="82">
        <f t="shared" si="2964"/>
        <v>0.54460511836778625</v>
      </c>
      <c r="R287" s="82">
        <f t="shared" si="2963"/>
        <v>0.60943048629365582</v>
      </c>
      <c r="S287"/>
      <c r="T287" s="171"/>
      <c r="U287" s="171"/>
      <c r="V287" s="171"/>
      <c r="W287" s="82">
        <f t="shared" ref="W287:AI287" si="2965">W273/W268</f>
        <v>0.60520085845584271</v>
      </c>
      <c r="X287" s="82">
        <f t="shared" si="2965"/>
        <v>0.86843424887088305</v>
      </c>
      <c r="Y287" s="82">
        <f t="shared" si="2965"/>
        <v>0.87530408491319656</v>
      </c>
      <c r="Z287" s="82">
        <f t="shared" si="2965"/>
        <v>0.91501581264374621</v>
      </c>
      <c r="AA287" s="82">
        <f t="shared" si="2965"/>
        <v>0.96469121566615834</v>
      </c>
      <c r="AB287" s="82">
        <f t="shared" si="2965"/>
        <v>0.94603885933691478</v>
      </c>
      <c r="AC287" s="82">
        <f t="shared" si="2965"/>
        <v>0.93506348521358751</v>
      </c>
      <c r="AD287" s="82">
        <f t="shared" si="2965"/>
        <v>0.89307649286477953</v>
      </c>
      <c r="AE287" s="82">
        <f t="shared" si="2965"/>
        <v>0.84506962687132836</v>
      </c>
      <c r="AF287" s="82">
        <f t="shared" si="2965"/>
        <v>0.85645233748358351</v>
      </c>
      <c r="AG287" s="82">
        <f t="shared" si="2965"/>
        <v>0.83514190610513073</v>
      </c>
      <c r="AH287" s="82">
        <f t="shared" si="2965"/>
        <v>0.82748394389979829</v>
      </c>
      <c r="AI287" s="82">
        <f t="shared" si="2965"/>
        <v>0.8877479376405224</v>
      </c>
      <c r="AJ287" s="260"/>
      <c r="AK287" s="260"/>
      <c r="AL287" s="260"/>
      <c r="AM287" s="171"/>
      <c r="AN287" s="82">
        <f t="shared" ref="AN287:BF287" si="2966">AN273/AN268</f>
        <v>0.96432631581852524</v>
      </c>
      <c r="AO287" s="82">
        <f t="shared" si="2966"/>
        <v>1.2051442002873347</v>
      </c>
      <c r="AP287" s="82">
        <f t="shared" si="2966"/>
        <v>1.288884224398547</v>
      </c>
      <c r="AQ287" s="82">
        <f t="shared" si="2966"/>
        <v>0.92763265520704008</v>
      </c>
      <c r="AR287" s="82">
        <f t="shared" si="2966"/>
        <v>0.96432631581852524</v>
      </c>
      <c r="AS287" s="82">
        <f t="shared" si="2966"/>
        <v>1.2051442002873347</v>
      </c>
      <c r="AT287" s="82">
        <f t="shared" si="2966"/>
        <v>1.288884224398547</v>
      </c>
      <c r="AU287" s="82">
        <f t="shared" si="2966"/>
        <v>0.92656312590958068</v>
      </c>
      <c r="AV287" s="82">
        <f t="shared" si="2966"/>
        <v>1.288884224398547</v>
      </c>
      <c r="AW287" s="82">
        <f t="shared" si="2966"/>
        <v>0.92654679623928671</v>
      </c>
      <c r="AX287" s="82">
        <f t="shared" si="2966"/>
        <v>1.0114409549730716</v>
      </c>
      <c r="AY287" s="82">
        <f t="shared" si="2966"/>
        <v>1.0114409549730716</v>
      </c>
      <c r="AZ287" s="82">
        <f t="shared" si="2966"/>
        <v>1.0115872595262074</v>
      </c>
      <c r="BA287" s="82">
        <f t="shared" si="2966"/>
        <v>1.0115872595262074</v>
      </c>
      <c r="BB287" s="82">
        <f t="shared" si="2966"/>
        <v>1.061505896070865</v>
      </c>
      <c r="BC287" s="82">
        <f t="shared" si="2966"/>
        <v>1.061505896070865</v>
      </c>
      <c r="BD287" s="82">
        <f t="shared" si="2966"/>
        <v>1.1450918371358416</v>
      </c>
      <c r="BE287" s="82">
        <f t="shared" si="2966"/>
        <v>1.1642373833407744</v>
      </c>
      <c r="BF287" s="82">
        <f t="shared" si="2966"/>
        <v>1.1464049983274907</v>
      </c>
      <c r="BG287" s="82">
        <f>BG273/BG268</f>
        <v>1.0446394538491404</v>
      </c>
      <c r="BH287" s="82">
        <f>BH273/BH268</f>
        <v>1.0648670129757669</v>
      </c>
      <c r="BI287" s="82">
        <f t="shared" ref="BI287:BJ287" si="2967">BI273/BI268</f>
        <v>1.0418358793148599</v>
      </c>
      <c r="BJ287" s="82">
        <f t="shared" si="2967"/>
        <v>0.57389346542373476</v>
      </c>
      <c r="BK287" s="82">
        <f>BK273/BK268</f>
        <v>0.56092946327884508</v>
      </c>
      <c r="BL287" s="82">
        <f>BL273/BL268</f>
        <v>0.54460511836778625</v>
      </c>
      <c r="BM287" s="82">
        <f t="shared" ref="BM287" si="2968">BM273/BM268</f>
        <v>0.60943048629365582</v>
      </c>
      <c r="BO287" s="82">
        <f t="shared" ref="BO287:BR287" si="2969">BO273/BO268</f>
        <v>1.1450918017191949</v>
      </c>
      <c r="BP287" s="82">
        <f t="shared" si="2969"/>
        <v>1.1642373833407744</v>
      </c>
      <c r="BQ287" s="82">
        <f t="shared" si="2969"/>
        <v>1.1464049983274907</v>
      </c>
      <c r="BR287" s="82">
        <f t="shared" si="2969"/>
        <v>1.0446394538491404</v>
      </c>
      <c r="BS287" s="82">
        <f t="shared" ref="BS287:BT287" si="2970">BS273/BS268</f>
        <v>1.0648670129757669</v>
      </c>
      <c r="BT287" s="82">
        <f t="shared" si="2970"/>
        <v>1.0418358793148599</v>
      </c>
      <c r="BV287" s="40"/>
      <c r="BW287" s="40"/>
      <c r="BY287" s="40"/>
      <c r="BZ287" s="40"/>
      <c r="CB287" s="16"/>
      <c r="CC287" s="16"/>
    </row>
    <row r="288" spans="2:81" ht="13.5" customHeight="1" thickTop="1">
      <c r="C288" s="32"/>
      <c r="D288" s="32"/>
      <c r="E288" s="32"/>
      <c r="F288" s="32"/>
      <c r="G288" s="32"/>
      <c r="H288" s="32"/>
      <c r="I288" s="32"/>
      <c r="K288" s="32"/>
      <c r="L288" s="32"/>
      <c r="M288" s="32"/>
      <c r="N288" s="32"/>
      <c r="O288" s="32"/>
      <c r="P288" s="32"/>
      <c r="Q288" s="32"/>
      <c r="R288" s="32"/>
      <c r="T288" s="32"/>
      <c r="U288" s="32"/>
      <c r="V288" s="32"/>
      <c r="W288" s="32"/>
      <c r="X288" s="32"/>
      <c r="Y288" s="32"/>
      <c r="Z288" s="32"/>
      <c r="AA288" s="32"/>
      <c r="AB288" s="32"/>
      <c r="AC288" s="32"/>
      <c r="AD288" s="32"/>
      <c r="AE288" s="32"/>
      <c r="AF288" s="32"/>
      <c r="AG288" s="32"/>
      <c r="AH288" s="32"/>
      <c r="AI288" s="32"/>
      <c r="AJ288" s="32"/>
      <c r="AK288" s="32"/>
      <c r="AL288" s="32"/>
      <c r="AM288" s="32"/>
      <c r="AN288" s="32"/>
      <c r="AO288" s="32"/>
      <c r="AP288" s="32"/>
      <c r="AQ288" s="32"/>
      <c r="AR288" s="32"/>
      <c r="AS288" s="32"/>
      <c r="AT288" s="32"/>
      <c r="AU288" s="32"/>
      <c r="AV288" s="32"/>
      <c r="AW288" s="32"/>
      <c r="AX288" s="32"/>
      <c r="AY288" s="32"/>
      <c r="AZ288" s="32"/>
      <c r="BA288" s="32"/>
      <c r="BD288" s="32"/>
      <c r="BE288" s="32"/>
      <c r="BF288" s="32"/>
      <c r="BH288" s="32"/>
      <c r="BI288" s="32"/>
      <c r="BJ288" s="32"/>
      <c r="BL288" s="32"/>
      <c r="BM288" s="32"/>
      <c r="BO288" s="32"/>
      <c r="BP288" s="32"/>
      <c r="BQ288" s="32"/>
      <c r="BR288" s="32"/>
      <c r="BS288" s="32"/>
      <c r="BT288" s="32"/>
      <c r="BV288" s="32"/>
      <c r="BW288" s="32"/>
      <c r="BY288" s="32"/>
      <c r="BZ288" s="32"/>
      <c r="CB288" s="16"/>
      <c r="CC288" s="16"/>
    </row>
    <row r="289" spans="3:81" s="6" customFormat="1" ht="13.5" customHeight="1">
      <c r="C289" s="56"/>
      <c r="D289" s="56"/>
      <c r="E289" s="56"/>
      <c r="F289" s="56"/>
      <c r="G289" s="56"/>
      <c r="H289" s="56"/>
      <c r="I289" s="56"/>
      <c r="J289" s="56"/>
      <c r="K289" s="56"/>
      <c r="L289" s="56"/>
      <c r="M289" s="56"/>
      <c r="N289" s="56"/>
      <c r="O289" s="56"/>
      <c r="P289" s="56"/>
      <c r="Q289" s="56"/>
      <c r="R289" s="56"/>
      <c r="S289"/>
      <c r="T289" s="56"/>
      <c r="U289" s="56"/>
      <c r="V289" s="56"/>
      <c r="W289" s="56"/>
      <c r="X289" s="56"/>
      <c r="Y289" s="56"/>
      <c r="Z289" s="56"/>
      <c r="AA289" s="56"/>
      <c r="AB289" s="56"/>
      <c r="AC289" s="56"/>
      <c r="AD289" s="56"/>
      <c r="AE289" s="56"/>
      <c r="AF289" s="56"/>
      <c r="AG289" s="56"/>
      <c r="AH289" s="56"/>
      <c r="AI289" s="56"/>
      <c r="AJ289" s="56"/>
      <c r="AK289" s="56"/>
      <c r="AL289" s="56"/>
      <c r="AM289" s="56"/>
      <c r="AN289" s="56"/>
      <c r="AO289" s="56"/>
      <c r="AP289" s="56"/>
      <c r="AQ289" s="56"/>
      <c r="AR289" s="56"/>
      <c r="AS289" s="56"/>
      <c r="AT289" s="56"/>
      <c r="AU289" s="56"/>
      <c r="AV289" s="56"/>
      <c r="AW289" s="56"/>
      <c r="AX289" s="56"/>
      <c r="AY289" s="56"/>
      <c r="AZ289" s="56"/>
      <c r="BA289" s="56"/>
      <c r="BD289" s="56"/>
      <c r="BE289" s="56"/>
      <c r="BF289" s="56"/>
      <c r="BH289" s="56"/>
      <c r="BI289" s="56"/>
      <c r="BJ289" s="56"/>
      <c r="BL289" s="56"/>
      <c r="BM289" s="56"/>
      <c r="BO289" s="56"/>
      <c r="BP289" s="56"/>
      <c r="BQ289" s="56"/>
      <c r="BR289" s="56"/>
      <c r="BS289" s="56"/>
      <c r="BT289" s="56"/>
      <c r="BV289" s="56"/>
      <c r="BW289" s="56"/>
      <c r="BY289" s="56"/>
      <c r="BZ289" s="56"/>
      <c r="CB289" s="16"/>
      <c r="CC289" s="16"/>
    </row>
  </sheetData>
  <pageMargins left="0.7" right="0.7" top="0.75" bottom="0.75" header="0.3" footer="0.3"/>
  <pageSetup orientation="portrait" horizontalDpi="90" verticalDpi="90" r:id="rId1"/>
  <headerFooter>
    <oddFooter>&amp;C_x000D_&amp;1#&amp;"Calibri"&amp;10&amp;K000000 Barings-Corporate</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L514"/>
  <sheetViews>
    <sheetView showGridLines="0" zoomScale="85" zoomScaleNormal="85" workbookViewId="0">
      <pane xSplit="2" ySplit="6" topLeftCell="N7" activePane="bottomRight" state="frozen"/>
      <selection pane="bottomRight" activeCell="BB1" sqref="BB1"/>
      <selection pane="bottomLeft" activeCell="E48" sqref="E48"/>
      <selection pane="topRight" activeCell="E48" sqref="E48"/>
    </sheetView>
  </sheetViews>
  <sheetFormatPr defaultRowHeight="12.75" outlineLevelRow="1" outlineLevelCol="1"/>
  <cols>
    <col min="1" max="1" width="2.7109375" style="10" customWidth="1"/>
    <col min="2" max="2" width="50.7109375" style="10" customWidth="1"/>
    <col min="3" max="13" width="12.7109375" style="10" hidden="1" customWidth="1" outlineLevel="1"/>
    <col min="14" max="14" width="12.7109375" style="10" customWidth="1" collapsed="1"/>
    <col min="15" max="16" width="12.7109375" style="10" customWidth="1"/>
    <col min="17" max="32" width="12.7109375" style="10" hidden="1" customWidth="1" outlineLevel="1"/>
    <col min="33" max="33" width="12.7109375" style="10" hidden="1" customWidth="1" outlineLevel="1" collapsed="1"/>
    <col min="34" max="43" width="12.7109375" style="10" hidden="1" customWidth="1" outlineLevel="1"/>
    <col min="44" max="44" width="12.7109375" style="10" customWidth="1" collapsed="1"/>
    <col min="45" max="47" width="12.7109375" style="10" customWidth="1"/>
    <col min="48" max="48" width="12.7109375" style="10" customWidth="1" collapsed="1"/>
    <col min="49" max="50" width="12.7109375" style="10" customWidth="1"/>
    <col min="51" max="52" width="12.7109375" style="10" hidden="1" customWidth="1"/>
    <col min="53" max="60" width="12.7109375" style="10" customWidth="1"/>
    <col min="61" max="276" width="9.140625" style="10"/>
    <col min="277" max="277" width="2.5703125" style="10" customWidth="1"/>
    <col min="278" max="278" width="29.42578125" style="10" customWidth="1"/>
    <col min="279" max="284" width="11.140625" style="10" customWidth="1"/>
    <col min="285" max="285" width="6.140625" style="10" customWidth="1"/>
    <col min="286" max="294" width="11.140625" style="10" customWidth="1"/>
    <col min="295" max="295" width="10.140625" style="10" bestFit="1" customWidth="1"/>
    <col min="296" max="532" width="9.140625" style="10"/>
    <col min="533" max="533" width="2.5703125" style="10" customWidth="1"/>
    <col min="534" max="534" width="29.42578125" style="10" customWidth="1"/>
    <col min="535" max="540" width="11.140625" style="10" customWidth="1"/>
    <col min="541" max="541" width="6.140625" style="10" customWidth="1"/>
    <col min="542" max="550" width="11.140625" style="10" customWidth="1"/>
    <col min="551" max="551" width="10.140625" style="10" bestFit="1" customWidth="1"/>
    <col min="552" max="788" width="9.140625" style="10"/>
    <col min="789" max="789" width="2.5703125" style="10" customWidth="1"/>
    <col min="790" max="790" width="29.42578125" style="10" customWidth="1"/>
    <col min="791" max="796" width="11.140625" style="10" customWidth="1"/>
    <col min="797" max="797" width="6.140625" style="10" customWidth="1"/>
    <col min="798" max="806" width="11.140625" style="10" customWidth="1"/>
    <col min="807" max="807" width="10.140625" style="10" bestFit="1" customWidth="1"/>
    <col min="808" max="1044" width="9.140625" style="10"/>
    <col min="1045" max="1045" width="2.5703125" style="10" customWidth="1"/>
    <col min="1046" max="1046" width="29.42578125" style="10" customWidth="1"/>
    <col min="1047" max="1052" width="11.140625" style="10" customWidth="1"/>
    <col min="1053" max="1053" width="6.140625" style="10" customWidth="1"/>
    <col min="1054" max="1062" width="11.140625" style="10" customWidth="1"/>
    <col min="1063" max="1063" width="10.140625" style="10" bestFit="1" customWidth="1"/>
    <col min="1064" max="1300" width="9.140625" style="10"/>
    <col min="1301" max="1301" width="2.5703125" style="10" customWidth="1"/>
    <col min="1302" max="1302" width="29.42578125" style="10" customWidth="1"/>
    <col min="1303" max="1308" width="11.140625" style="10" customWidth="1"/>
    <col min="1309" max="1309" width="6.140625" style="10" customWidth="1"/>
    <col min="1310" max="1318" width="11.140625" style="10" customWidth="1"/>
    <col min="1319" max="1319" width="10.140625" style="10" bestFit="1" customWidth="1"/>
    <col min="1320" max="1556" width="9.140625" style="10"/>
    <col min="1557" max="1557" width="2.5703125" style="10" customWidth="1"/>
    <col min="1558" max="1558" width="29.42578125" style="10" customWidth="1"/>
    <col min="1559" max="1564" width="11.140625" style="10" customWidth="1"/>
    <col min="1565" max="1565" width="6.140625" style="10" customWidth="1"/>
    <col min="1566" max="1574" width="11.140625" style="10" customWidth="1"/>
    <col min="1575" max="1575" width="10.140625" style="10" bestFit="1" customWidth="1"/>
    <col min="1576" max="1812" width="9.140625" style="10"/>
    <col min="1813" max="1813" width="2.5703125" style="10" customWidth="1"/>
    <col min="1814" max="1814" width="29.42578125" style="10" customWidth="1"/>
    <col min="1815" max="1820" width="11.140625" style="10" customWidth="1"/>
    <col min="1821" max="1821" width="6.140625" style="10" customWidth="1"/>
    <col min="1822" max="1830" width="11.140625" style="10" customWidth="1"/>
    <col min="1831" max="1831" width="10.140625" style="10" bestFit="1" customWidth="1"/>
    <col min="1832" max="2068" width="9.140625" style="10"/>
    <col min="2069" max="2069" width="2.5703125" style="10" customWidth="1"/>
    <col min="2070" max="2070" width="29.42578125" style="10" customWidth="1"/>
    <col min="2071" max="2076" width="11.140625" style="10" customWidth="1"/>
    <col min="2077" max="2077" width="6.140625" style="10" customWidth="1"/>
    <col min="2078" max="2086" width="11.140625" style="10" customWidth="1"/>
    <col min="2087" max="2087" width="10.140625" style="10" bestFit="1" customWidth="1"/>
    <col min="2088" max="2324" width="9.140625" style="10"/>
    <col min="2325" max="2325" width="2.5703125" style="10" customWidth="1"/>
    <col min="2326" max="2326" width="29.42578125" style="10" customWidth="1"/>
    <col min="2327" max="2332" width="11.140625" style="10" customWidth="1"/>
    <col min="2333" max="2333" width="6.140625" style="10" customWidth="1"/>
    <col min="2334" max="2342" width="11.140625" style="10" customWidth="1"/>
    <col min="2343" max="2343" width="10.140625" style="10" bestFit="1" customWidth="1"/>
    <col min="2344" max="2580" width="9.140625" style="10"/>
    <col min="2581" max="2581" width="2.5703125" style="10" customWidth="1"/>
    <col min="2582" max="2582" width="29.42578125" style="10" customWidth="1"/>
    <col min="2583" max="2588" width="11.140625" style="10" customWidth="1"/>
    <col min="2589" max="2589" width="6.140625" style="10" customWidth="1"/>
    <col min="2590" max="2598" width="11.140625" style="10" customWidth="1"/>
    <col min="2599" max="2599" width="10.140625" style="10" bestFit="1" customWidth="1"/>
    <col min="2600" max="2836" width="9.140625" style="10"/>
    <col min="2837" max="2837" width="2.5703125" style="10" customWidth="1"/>
    <col min="2838" max="2838" width="29.42578125" style="10" customWidth="1"/>
    <col min="2839" max="2844" width="11.140625" style="10" customWidth="1"/>
    <col min="2845" max="2845" width="6.140625" style="10" customWidth="1"/>
    <col min="2846" max="2854" width="11.140625" style="10" customWidth="1"/>
    <col min="2855" max="2855" width="10.140625" style="10" bestFit="1" customWidth="1"/>
    <col min="2856" max="3092" width="9.140625" style="10"/>
    <col min="3093" max="3093" width="2.5703125" style="10" customWidth="1"/>
    <col min="3094" max="3094" width="29.42578125" style="10" customWidth="1"/>
    <col min="3095" max="3100" width="11.140625" style="10" customWidth="1"/>
    <col min="3101" max="3101" width="6.140625" style="10" customWidth="1"/>
    <col min="3102" max="3110" width="11.140625" style="10" customWidth="1"/>
    <col min="3111" max="3111" width="10.140625" style="10" bestFit="1" customWidth="1"/>
    <col min="3112" max="3348" width="9.140625" style="10"/>
    <col min="3349" max="3349" width="2.5703125" style="10" customWidth="1"/>
    <col min="3350" max="3350" width="29.42578125" style="10" customWidth="1"/>
    <col min="3351" max="3356" width="11.140625" style="10" customWidth="1"/>
    <col min="3357" max="3357" width="6.140625" style="10" customWidth="1"/>
    <col min="3358" max="3366" width="11.140625" style="10" customWidth="1"/>
    <col min="3367" max="3367" width="10.140625" style="10" bestFit="1" customWidth="1"/>
    <col min="3368" max="3604" width="9.140625" style="10"/>
    <col min="3605" max="3605" width="2.5703125" style="10" customWidth="1"/>
    <col min="3606" max="3606" width="29.42578125" style="10" customWidth="1"/>
    <col min="3607" max="3612" width="11.140625" style="10" customWidth="1"/>
    <col min="3613" max="3613" width="6.140625" style="10" customWidth="1"/>
    <col min="3614" max="3622" width="11.140625" style="10" customWidth="1"/>
    <col min="3623" max="3623" width="10.140625" style="10" bestFit="1" customWidth="1"/>
    <col min="3624" max="3860" width="9.140625" style="10"/>
    <col min="3861" max="3861" width="2.5703125" style="10" customWidth="1"/>
    <col min="3862" max="3862" width="29.42578125" style="10" customWidth="1"/>
    <col min="3863" max="3868" width="11.140625" style="10" customWidth="1"/>
    <col min="3869" max="3869" width="6.140625" style="10" customWidth="1"/>
    <col min="3870" max="3878" width="11.140625" style="10" customWidth="1"/>
    <col min="3879" max="3879" width="10.140625" style="10" bestFit="1" customWidth="1"/>
    <col min="3880" max="4116" width="9.140625" style="10"/>
    <col min="4117" max="4117" width="2.5703125" style="10" customWidth="1"/>
    <col min="4118" max="4118" width="29.42578125" style="10" customWidth="1"/>
    <col min="4119" max="4124" width="11.140625" style="10" customWidth="1"/>
    <col min="4125" max="4125" width="6.140625" style="10" customWidth="1"/>
    <col min="4126" max="4134" width="11.140625" style="10" customWidth="1"/>
    <col min="4135" max="4135" width="10.140625" style="10" bestFit="1" customWidth="1"/>
    <col min="4136" max="4372" width="9.140625" style="10"/>
    <col min="4373" max="4373" width="2.5703125" style="10" customWidth="1"/>
    <col min="4374" max="4374" width="29.42578125" style="10" customWidth="1"/>
    <col min="4375" max="4380" width="11.140625" style="10" customWidth="1"/>
    <col min="4381" max="4381" width="6.140625" style="10" customWidth="1"/>
    <col min="4382" max="4390" width="11.140625" style="10" customWidth="1"/>
    <col min="4391" max="4391" width="10.140625" style="10" bestFit="1" customWidth="1"/>
    <col min="4392" max="4628" width="9.140625" style="10"/>
    <col min="4629" max="4629" width="2.5703125" style="10" customWidth="1"/>
    <col min="4630" max="4630" width="29.42578125" style="10" customWidth="1"/>
    <col min="4631" max="4636" width="11.140625" style="10" customWidth="1"/>
    <col min="4637" max="4637" width="6.140625" style="10" customWidth="1"/>
    <col min="4638" max="4646" width="11.140625" style="10" customWidth="1"/>
    <col min="4647" max="4647" width="10.140625" style="10" bestFit="1" customWidth="1"/>
    <col min="4648" max="4884" width="9.140625" style="10"/>
    <col min="4885" max="4885" width="2.5703125" style="10" customWidth="1"/>
    <col min="4886" max="4886" width="29.42578125" style="10" customWidth="1"/>
    <col min="4887" max="4892" width="11.140625" style="10" customWidth="1"/>
    <col min="4893" max="4893" width="6.140625" style="10" customWidth="1"/>
    <col min="4894" max="4902" width="11.140625" style="10" customWidth="1"/>
    <col min="4903" max="4903" width="10.140625" style="10" bestFit="1" customWidth="1"/>
    <col min="4904" max="5140" width="9.140625" style="10"/>
    <col min="5141" max="5141" width="2.5703125" style="10" customWidth="1"/>
    <col min="5142" max="5142" width="29.42578125" style="10" customWidth="1"/>
    <col min="5143" max="5148" width="11.140625" style="10" customWidth="1"/>
    <col min="5149" max="5149" width="6.140625" style="10" customWidth="1"/>
    <col min="5150" max="5158" width="11.140625" style="10" customWidth="1"/>
    <col min="5159" max="5159" width="10.140625" style="10" bestFit="1" customWidth="1"/>
    <col min="5160" max="5396" width="9.140625" style="10"/>
    <col min="5397" max="5397" width="2.5703125" style="10" customWidth="1"/>
    <col min="5398" max="5398" width="29.42578125" style="10" customWidth="1"/>
    <col min="5399" max="5404" width="11.140625" style="10" customWidth="1"/>
    <col min="5405" max="5405" width="6.140625" style="10" customWidth="1"/>
    <col min="5406" max="5414" width="11.140625" style="10" customWidth="1"/>
    <col min="5415" max="5415" width="10.140625" style="10" bestFit="1" customWidth="1"/>
    <col min="5416" max="5652" width="9.140625" style="10"/>
    <col min="5653" max="5653" width="2.5703125" style="10" customWidth="1"/>
    <col min="5654" max="5654" width="29.42578125" style="10" customWidth="1"/>
    <col min="5655" max="5660" width="11.140625" style="10" customWidth="1"/>
    <col min="5661" max="5661" width="6.140625" style="10" customWidth="1"/>
    <col min="5662" max="5670" width="11.140625" style="10" customWidth="1"/>
    <col min="5671" max="5671" width="10.140625" style="10" bestFit="1" customWidth="1"/>
    <col min="5672" max="5908" width="9.140625" style="10"/>
    <col min="5909" max="5909" width="2.5703125" style="10" customWidth="1"/>
    <col min="5910" max="5910" width="29.42578125" style="10" customWidth="1"/>
    <col min="5911" max="5916" width="11.140625" style="10" customWidth="1"/>
    <col min="5917" max="5917" width="6.140625" style="10" customWidth="1"/>
    <col min="5918" max="5926" width="11.140625" style="10" customWidth="1"/>
    <col min="5927" max="5927" width="10.140625" style="10" bestFit="1" customWidth="1"/>
    <col min="5928" max="6164" width="9.140625" style="10"/>
    <col min="6165" max="6165" width="2.5703125" style="10" customWidth="1"/>
    <col min="6166" max="6166" width="29.42578125" style="10" customWidth="1"/>
    <col min="6167" max="6172" width="11.140625" style="10" customWidth="1"/>
    <col min="6173" max="6173" width="6.140625" style="10" customWidth="1"/>
    <col min="6174" max="6182" width="11.140625" style="10" customWidth="1"/>
    <col min="6183" max="6183" width="10.140625" style="10" bestFit="1" customWidth="1"/>
    <col min="6184" max="6420" width="9.140625" style="10"/>
    <col min="6421" max="6421" width="2.5703125" style="10" customWidth="1"/>
    <col min="6422" max="6422" width="29.42578125" style="10" customWidth="1"/>
    <col min="6423" max="6428" width="11.140625" style="10" customWidth="1"/>
    <col min="6429" max="6429" width="6.140625" style="10" customWidth="1"/>
    <col min="6430" max="6438" width="11.140625" style="10" customWidth="1"/>
    <col min="6439" max="6439" width="10.140625" style="10" bestFit="1" customWidth="1"/>
    <col min="6440" max="6676" width="9.140625" style="10"/>
    <col min="6677" max="6677" width="2.5703125" style="10" customWidth="1"/>
    <col min="6678" max="6678" width="29.42578125" style="10" customWidth="1"/>
    <col min="6679" max="6684" width="11.140625" style="10" customWidth="1"/>
    <col min="6685" max="6685" width="6.140625" style="10" customWidth="1"/>
    <col min="6686" max="6694" width="11.140625" style="10" customWidth="1"/>
    <col min="6695" max="6695" width="10.140625" style="10" bestFit="1" customWidth="1"/>
    <col min="6696" max="6932" width="9.140625" style="10"/>
    <col min="6933" max="6933" width="2.5703125" style="10" customWidth="1"/>
    <col min="6934" max="6934" width="29.42578125" style="10" customWidth="1"/>
    <col min="6935" max="6940" width="11.140625" style="10" customWidth="1"/>
    <col min="6941" max="6941" width="6.140625" style="10" customWidth="1"/>
    <col min="6942" max="6950" width="11.140625" style="10" customWidth="1"/>
    <col min="6951" max="6951" width="10.140625" style="10" bestFit="1" customWidth="1"/>
    <col min="6952" max="7188" width="9.140625" style="10"/>
    <col min="7189" max="7189" width="2.5703125" style="10" customWidth="1"/>
    <col min="7190" max="7190" width="29.42578125" style="10" customWidth="1"/>
    <col min="7191" max="7196" width="11.140625" style="10" customWidth="1"/>
    <col min="7197" max="7197" width="6.140625" style="10" customWidth="1"/>
    <col min="7198" max="7206" width="11.140625" style="10" customWidth="1"/>
    <col min="7207" max="7207" width="10.140625" style="10" bestFit="1" customWidth="1"/>
    <col min="7208" max="7444" width="9.140625" style="10"/>
    <col min="7445" max="7445" width="2.5703125" style="10" customWidth="1"/>
    <col min="7446" max="7446" width="29.42578125" style="10" customWidth="1"/>
    <col min="7447" max="7452" width="11.140625" style="10" customWidth="1"/>
    <col min="7453" max="7453" width="6.140625" style="10" customWidth="1"/>
    <col min="7454" max="7462" width="11.140625" style="10" customWidth="1"/>
    <col min="7463" max="7463" width="10.140625" style="10" bestFit="1" customWidth="1"/>
    <col min="7464" max="7700" width="9.140625" style="10"/>
    <col min="7701" max="7701" width="2.5703125" style="10" customWidth="1"/>
    <col min="7702" max="7702" width="29.42578125" style="10" customWidth="1"/>
    <col min="7703" max="7708" width="11.140625" style="10" customWidth="1"/>
    <col min="7709" max="7709" width="6.140625" style="10" customWidth="1"/>
    <col min="7710" max="7718" width="11.140625" style="10" customWidth="1"/>
    <col min="7719" max="7719" width="10.140625" style="10" bestFit="1" customWidth="1"/>
    <col min="7720" max="7956" width="9.140625" style="10"/>
    <col min="7957" max="7957" width="2.5703125" style="10" customWidth="1"/>
    <col min="7958" max="7958" width="29.42578125" style="10" customWidth="1"/>
    <col min="7959" max="7964" width="11.140625" style="10" customWidth="1"/>
    <col min="7965" max="7965" width="6.140625" style="10" customWidth="1"/>
    <col min="7966" max="7974" width="11.140625" style="10" customWidth="1"/>
    <col min="7975" max="7975" width="10.140625" style="10" bestFit="1" customWidth="1"/>
    <col min="7976" max="8212" width="9.140625" style="10"/>
    <col min="8213" max="8213" width="2.5703125" style="10" customWidth="1"/>
    <col min="8214" max="8214" width="29.42578125" style="10" customWidth="1"/>
    <col min="8215" max="8220" width="11.140625" style="10" customWidth="1"/>
    <col min="8221" max="8221" width="6.140625" style="10" customWidth="1"/>
    <col min="8222" max="8230" width="11.140625" style="10" customWidth="1"/>
    <col min="8231" max="8231" width="10.140625" style="10" bestFit="1" customWidth="1"/>
    <col min="8232" max="8468" width="9.140625" style="10"/>
    <col min="8469" max="8469" width="2.5703125" style="10" customWidth="1"/>
    <col min="8470" max="8470" width="29.42578125" style="10" customWidth="1"/>
    <col min="8471" max="8476" width="11.140625" style="10" customWidth="1"/>
    <col min="8477" max="8477" width="6.140625" style="10" customWidth="1"/>
    <col min="8478" max="8486" width="11.140625" style="10" customWidth="1"/>
    <col min="8487" max="8487" width="10.140625" style="10" bestFit="1" customWidth="1"/>
    <col min="8488" max="8724" width="9.140625" style="10"/>
    <col min="8725" max="8725" width="2.5703125" style="10" customWidth="1"/>
    <col min="8726" max="8726" width="29.42578125" style="10" customWidth="1"/>
    <col min="8727" max="8732" width="11.140625" style="10" customWidth="1"/>
    <col min="8733" max="8733" width="6.140625" style="10" customWidth="1"/>
    <col min="8734" max="8742" width="11.140625" style="10" customWidth="1"/>
    <col min="8743" max="8743" width="10.140625" style="10" bestFit="1" customWidth="1"/>
    <col min="8744" max="8980" width="9.140625" style="10"/>
    <col min="8981" max="8981" width="2.5703125" style="10" customWidth="1"/>
    <col min="8982" max="8982" width="29.42578125" style="10" customWidth="1"/>
    <col min="8983" max="8988" width="11.140625" style="10" customWidth="1"/>
    <col min="8989" max="8989" width="6.140625" style="10" customWidth="1"/>
    <col min="8990" max="8998" width="11.140625" style="10" customWidth="1"/>
    <col min="8999" max="8999" width="10.140625" style="10" bestFit="1" customWidth="1"/>
    <col min="9000" max="9236" width="9.140625" style="10"/>
    <col min="9237" max="9237" width="2.5703125" style="10" customWidth="1"/>
    <col min="9238" max="9238" width="29.42578125" style="10" customWidth="1"/>
    <col min="9239" max="9244" width="11.140625" style="10" customWidth="1"/>
    <col min="9245" max="9245" width="6.140625" style="10" customWidth="1"/>
    <col min="9246" max="9254" width="11.140625" style="10" customWidth="1"/>
    <col min="9255" max="9255" width="10.140625" style="10" bestFit="1" customWidth="1"/>
    <col min="9256" max="9492" width="9.140625" style="10"/>
    <col min="9493" max="9493" width="2.5703125" style="10" customWidth="1"/>
    <col min="9494" max="9494" width="29.42578125" style="10" customWidth="1"/>
    <col min="9495" max="9500" width="11.140625" style="10" customWidth="1"/>
    <col min="9501" max="9501" width="6.140625" style="10" customWidth="1"/>
    <col min="9502" max="9510" width="11.140625" style="10" customWidth="1"/>
    <col min="9511" max="9511" width="10.140625" style="10" bestFit="1" customWidth="1"/>
    <col min="9512" max="9748" width="9.140625" style="10"/>
    <col min="9749" max="9749" width="2.5703125" style="10" customWidth="1"/>
    <col min="9750" max="9750" width="29.42578125" style="10" customWidth="1"/>
    <col min="9751" max="9756" width="11.140625" style="10" customWidth="1"/>
    <col min="9757" max="9757" width="6.140625" style="10" customWidth="1"/>
    <col min="9758" max="9766" width="11.140625" style="10" customWidth="1"/>
    <col min="9767" max="9767" width="10.140625" style="10" bestFit="1" customWidth="1"/>
    <col min="9768" max="10004" width="9.140625" style="10"/>
    <col min="10005" max="10005" width="2.5703125" style="10" customWidth="1"/>
    <col min="10006" max="10006" width="29.42578125" style="10" customWidth="1"/>
    <col min="10007" max="10012" width="11.140625" style="10" customWidth="1"/>
    <col min="10013" max="10013" width="6.140625" style="10" customWidth="1"/>
    <col min="10014" max="10022" width="11.140625" style="10" customWidth="1"/>
    <col min="10023" max="10023" width="10.140625" style="10" bestFit="1" customWidth="1"/>
    <col min="10024" max="10260" width="9.140625" style="10"/>
    <col min="10261" max="10261" width="2.5703125" style="10" customWidth="1"/>
    <col min="10262" max="10262" width="29.42578125" style="10" customWidth="1"/>
    <col min="10263" max="10268" width="11.140625" style="10" customWidth="1"/>
    <col min="10269" max="10269" width="6.140625" style="10" customWidth="1"/>
    <col min="10270" max="10278" width="11.140625" style="10" customWidth="1"/>
    <col min="10279" max="10279" width="10.140625" style="10" bestFit="1" customWidth="1"/>
    <col min="10280" max="10516" width="9.140625" style="10"/>
    <col min="10517" max="10517" width="2.5703125" style="10" customWidth="1"/>
    <col min="10518" max="10518" width="29.42578125" style="10" customWidth="1"/>
    <col min="10519" max="10524" width="11.140625" style="10" customWidth="1"/>
    <col min="10525" max="10525" width="6.140625" style="10" customWidth="1"/>
    <col min="10526" max="10534" width="11.140625" style="10" customWidth="1"/>
    <col min="10535" max="10535" width="10.140625" style="10" bestFit="1" customWidth="1"/>
    <col min="10536" max="10772" width="9.140625" style="10"/>
    <col min="10773" max="10773" width="2.5703125" style="10" customWidth="1"/>
    <col min="10774" max="10774" width="29.42578125" style="10" customWidth="1"/>
    <col min="10775" max="10780" width="11.140625" style="10" customWidth="1"/>
    <col min="10781" max="10781" width="6.140625" style="10" customWidth="1"/>
    <col min="10782" max="10790" width="11.140625" style="10" customWidth="1"/>
    <col min="10791" max="10791" width="10.140625" style="10" bestFit="1" customWidth="1"/>
    <col min="10792" max="11028" width="9.140625" style="10"/>
    <col min="11029" max="11029" width="2.5703125" style="10" customWidth="1"/>
    <col min="11030" max="11030" width="29.42578125" style="10" customWidth="1"/>
    <col min="11031" max="11036" width="11.140625" style="10" customWidth="1"/>
    <col min="11037" max="11037" width="6.140625" style="10" customWidth="1"/>
    <col min="11038" max="11046" width="11.140625" style="10" customWidth="1"/>
    <col min="11047" max="11047" width="10.140625" style="10" bestFit="1" customWidth="1"/>
    <col min="11048" max="11284" width="9.140625" style="10"/>
    <col min="11285" max="11285" width="2.5703125" style="10" customWidth="1"/>
    <col min="11286" max="11286" width="29.42578125" style="10" customWidth="1"/>
    <col min="11287" max="11292" width="11.140625" style="10" customWidth="1"/>
    <col min="11293" max="11293" width="6.140625" style="10" customWidth="1"/>
    <col min="11294" max="11302" width="11.140625" style="10" customWidth="1"/>
    <col min="11303" max="11303" width="10.140625" style="10" bestFit="1" customWidth="1"/>
    <col min="11304" max="11540" width="9.140625" style="10"/>
    <col min="11541" max="11541" width="2.5703125" style="10" customWidth="1"/>
    <col min="11542" max="11542" width="29.42578125" style="10" customWidth="1"/>
    <col min="11543" max="11548" width="11.140625" style="10" customWidth="1"/>
    <col min="11549" max="11549" width="6.140625" style="10" customWidth="1"/>
    <col min="11550" max="11558" width="11.140625" style="10" customWidth="1"/>
    <col min="11559" max="11559" width="10.140625" style="10" bestFit="1" customWidth="1"/>
    <col min="11560" max="11796" width="9.140625" style="10"/>
    <col min="11797" max="11797" width="2.5703125" style="10" customWidth="1"/>
    <col min="11798" max="11798" width="29.42578125" style="10" customWidth="1"/>
    <col min="11799" max="11804" width="11.140625" style="10" customWidth="1"/>
    <col min="11805" max="11805" width="6.140625" style="10" customWidth="1"/>
    <col min="11806" max="11814" width="11.140625" style="10" customWidth="1"/>
    <col min="11815" max="11815" width="10.140625" style="10" bestFit="1" customWidth="1"/>
    <col min="11816" max="12052" width="9.140625" style="10"/>
    <col min="12053" max="12053" width="2.5703125" style="10" customWidth="1"/>
    <col min="12054" max="12054" width="29.42578125" style="10" customWidth="1"/>
    <col min="12055" max="12060" width="11.140625" style="10" customWidth="1"/>
    <col min="12061" max="12061" width="6.140625" style="10" customWidth="1"/>
    <col min="12062" max="12070" width="11.140625" style="10" customWidth="1"/>
    <col min="12071" max="12071" width="10.140625" style="10" bestFit="1" customWidth="1"/>
    <col min="12072" max="12308" width="9.140625" style="10"/>
    <col min="12309" max="12309" width="2.5703125" style="10" customWidth="1"/>
    <col min="12310" max="12310" width="29.42578125" style="10" customWidth="1"/>
    <col min="12311" max="12316" width="11.140625" style="10" customWidth="1"/>
    <col min="12317" max="12317" width="6.140625" style="10" customWidth="1"/>
    <col min="12318" max="12326" width="11.140625" style="10" customWidth="1"/>
    <col min="12327" max="12327" width="10.140625" style="10" bestFit="1" customWidth="1"/>
    <col min="12328" max="12564" width="9.140625" style="10"/>
    <col min="12565" max="12565" width="2.5703125" style="10" customWidth="1"/>
    <col min="12566" max="12566" width="29.42578125" style="10" customWidth="1"/>
    <col min="12567" max="12572" width="11.140625" style="10" customWidth="1"/>
    <col min="12573" max="12573" width="6.140625" style="10" customWidth="1"/>
    <col min="12574" max="12582" width="11.140625" style="10" customWidth="1"/>
    <col min="12583" max="12583" width="10.140625" style="10" bestFit="1" customWidth="1"/>
    <col min="12584" max="12820" width="9.140625" style="10"/>
    <col min="12821" max="12821" width="2.5703125" style="10" customWidth="1"/>
    <col min="12822" max="12822" width="29.42578125" style="10" customWidth="1"/>
    <col min="12823" max="12828" width="11.140625" style="10" customWidth="1"/>
    <col min="12829" max="12829" width="6.140625" style="10" customWidth="1"/>
    <col min="12830" max="12838" width="11.140625" style="10" customWidth="1"/>
    <col min="12839" max="12839" width="10.140625" style="10" bestFit="1" customWidth="1"/>
    <col min="12840" max="13076" width="9.140625" style="10"/>
    <col min="13077" max="13077" width="2.5703125" style="10" customWidth="1"/>
    <col min="13078" max="13078" width="29.42578125" style="10" customWidth="1"/>
    <col min="13079" max="13084" width="11.140625" style="10" customWidth="1"/>
    <col min="13085" max="13085" width="6.140625" style="10" customWidth="1"/>
    <col min="13086" max="13094" width="11.140625" style="10" customWidth="1"/>
    <col min="13095" max="13095" width="10.140625" style="10" bestFit="1" customWidth="1"/>
    <col min="13096" max="13332" width="9.140625" style="10"/>
    <col min="13333" max="13333" width="2.5703125" style="10" customWidth="1"/>
    <col min="13334" max="13334" width="29.42578125" style="10" customWidth="1"/>
    <col min="13335" max="13340" width="11.140625" style="10" customWidth="1"/>
    <col min="13341" max="13341" width="6.140625" style="10" customWidth="1"/>
    <col min="13342" max="13350" width="11.140625" style="10" customWidth="1"/>
    <col min="13351" max="13351" width="10.140625" style="10" bestFit="1" customWidth="1"/>
    <col min="13352" max="13588" width="9.140625" style="10"/>
    <col min="13589" max="13589" width="2.5703125" style="10" customWidth="1"/>
    <col min="13590" max="13590" width="29.42578125" style="10" customWidth="1"/>
    <col min="13591" max="13596" width="11.140625" style="10" customWidth="1"/>
    <col min="13597" max="13597" width="6.140625" style="10" customWidth="1"/>
    <col min="13598" max="13606" width="11.140625" style="10" customWidth="1"/>
    <col min="13607" max="13607" width="10.140625" style="10" bestFit="1" customWidth="1"/>
    <col min="13608" max="13844" width="9.140625" style="10"/>
    <col min="13845" max="13845" width="2.5703125" style="10" customWidth="1"/>
    <col min="13846" max="13846" width="29.42578125" style="10" customWidth="1"/>
    <col min="13847" max="13852" width="11.140625" style="10" customWidth="1"/>
    <col min="13853" max="13853" width="6.140625" style="10" customWidth="1"/>
    <col min="13854" max="13862" width="11.140625" style="10" customWidth="1"/>
    <col min="13863" max="13863" width="10.140625" style="10" bestFit="1" customWidth="1"/>
    <col min="13864" max="14100" width="9.140625" style="10"/>
    <col min="14101" max="14101" width="2.5703125" style="10" customWidth="1"/>
    <col min="14102" max="14102" width="29.42578125" style="10" customWidth="1"/>
    <col min="14103" max="14108" width="11.140625" style="10" customWidth="1"/>
    <col min="14109" max="14109" width="6.140625" style="10" customWidth="1"/>
    <col min="14110" max="14118" width="11.140625" style="10" customWidth="1"/>
    <col min="14119" max="14119" width="10.140625" style="10" bestFit="1" customWidth="1"/>
    <col min="14120" max="14356" width="9.140625" style="10"/>
    <col min="14357" max="14357" width="2.5703125" style="10" customWidth="1"/>
    <col min="14358" max="14358" width="29.42578125" style="10" customWidth="1"/>
    <col min="14359" max="14364" width="11.140625" style="10" customWidth="1"/>
    <col min="14365" max="14365" width="6.140625" style="10" customWidth="1"/>
    <col min="14366" max="14374" width="11.140625" style="10" customWidth="1"/>
    <col min="14375" max="14375" width="10.140625" style="10" bestFit="1" customWidth="1"/>
    <col min="14376" max="14612" width="9.140625" style="10"/>
    <col min="14613" max="14613" width="2.5703125" style="10" customWidth="1"/>
    <col min="14614" max="14614" width="29.42578125" style="10" customWidth="1"/>
    <col min="14615" max="14620" width="11.140625" style="10" customWidth="1"/>
    <col min="14621" max="14621" width="6.140625" style="10" customWidth="1"/>
    <col min="14622" max="14630" width="11.140625" style="10" customWidth="1"/>
    <col min="14631" max="14631" width="10.140625" style="10" bestFit="1" customWidth="1"/>
    <col min="14632" max="14868" width="9.140625" style="10"/>
    <col min="14869" max="14869" width="2.5703125" style="10" customWidth="1"/>
    <col min="14870" max="14870" width="29.42578125" style="10" customWidth="1"/>
    <col min="14871" max="14876" width="11.140625" style="10" customWidth="1"/>
    <col min="14877" max="14877" width="6.140625" style="10" customWidth="1"/>
    <col min="14878" max="14886" width="11.140625" style="10" customWidth="1"/>
    <col min="14887" max="14887" width="10.140625" style="10" bestFit="1" customWidth="1"/>
    <col min="14888" max="15124" width="9.140625" style="10"/>
    <col min="15125" max="15125" width="2.5703125" style="10" customWidth="1"/>
    <col min="15126" max="15126" width="29.42578125" style="10" customWidth="1"/>
    <col min="15127" max="15132" width="11.140625" style="10" customWidth="1"/>
    <col min="15133" max="15133" width="6.140625" style="10" customWidth="1"/>
    <col min="15134" max="15142" width="11.140625" style="10" customWidth="1"/>
    <col min="15143" max="15143" width="10.140625" style="10" bestFit="1" customWidth="1"/>
    <col min="15144" max="15380" width="9.140625" style="10"/>
    <col min="15381" max="15381" width="2.5703125" style="10" customWidth="1"/>
    <col min="15382" max="15382" width="29.42578125" style="10" customWidth="1"/>
    <col min="15383" max="15388" width="11.140625" style="10" customWidth="1"/>
    <col min="15389" max="15389" width="6.140625" style="10" customWidth="1"/>
    <col min="15390" max="15398" width="11.140625" style="10" customWidth="1"/>
    <col min="15399" max="15399" width="10.140625" style="10" bestFit="1" customWidth="1"/>
    <col min="15400" max="15636" width="9.140625" style="10"/>
    <col min="15637" max="15637" width="2.5703125" style="10" customWidth="1"/>
    <col min="15638" max="15638" width="29.42578125" style="10" customWidth="1"/>
    <col min="15639" max="15644" width="11.140625" style="10" customWidth="1"/>
    <col min="15645" max="15645" width="6.140625" style="10" customWidth="1"/>
    <col min="15646" max="15654" width="11.140625" style="10" customWidth="1"/>
    <col min="15655" max="15655" width="10.140625" style="10" bestFit="1" customWidth="1"/>
    <col min="15656" max="15892" width="9.140625" style="10"/>
    <col min="15893" max="15893" width="2.5703125" style="10" customWidth="1"/>
    <col min="15894" max="15894" width="29.42578125" style="10" customWidth="1"/>
    <col min="15895" max="15900" width="11.140625" style="10" customWidth="1"/>
    <col min="15901" max="15901" width="6.140625" style="10" customWidth="1"/>
    <col min="15902" max="15910" width="11.140625" style="10" customWidth="1"/>
    <col min="15911" max="15911" width="10.140625" style="10" bestFit="1" customWidth="1"/>
    <col min="15912" max="16148" width="9.140625" style="10"/>
    <col min="16149" max="16149" width="2.5703125" style="10" customWidth="1"/>
    <col min="16150" max="16150" width="29.42578125" style="10" customWidth="1"/>
    <col min="16151" max="16156" width="11.140625" style="10" customWidth="1"/>
    <col min="16157" max="16157" width="6.140625" style="10" customWidth="1"/>
    <col min="16158" max="16166" width="11.140625" style="10" customWidth="1"/>
    <col min="16167" max="16167" width="10.140625" style="10" bestFit="1" customWidth="1"/>
    <col min="16168" max="16384" width="9.140625" style="10"/>
  </cols>
  <sheetData>
    <row r="2" spans="2:59" ht="21">
      <c r="B2" s="2" t="s">
        <v>213</v>
      </c>
      <c r="C2" s="5" t="s">
        <v>214</v>
      </c>
      <c r="D2" s="5" t="s">
        <v>214</v>
      </c>
      <c r="E2" s="5" t="s">
        <v>214</v>
      </c>
      <c r="F2" s="7" t="s">
        <v>214</v>
      </c>
      <c r="G2" s="7" t="s">
        <v>214</v>
      </c>
      <c r="H2" s="7" t="s">
        <v>214</v>
      </c>
      <c r="I2" s="7" t="s">
        <v>214</v>
      </c>
      <c r="J2" s="7" t="s">
        <v>214</v>
      </c>
      <c r="K2" s="7" t="s">
        <v>214</v>
      </c>
      <c r="L2" s="7" t="s">
        <v>214</v>
      </c>
      <c r="M2" s="7" t="s">
        <v>214</v>
      </c>
      <c r="N2" s="7" t="s">
        <v>214</v>
      </c>
      <c r="O2" s="7" t="s">
        <v>214</v>
      </c>
      <c r="P2" s="375"/>
      <c r="Q2" s="5" t="s">
        <v>216</v>
      </c>
      <c r="R2" s="5" t="s">
        <v>216</v>
      </c>
      <c r="S2" s="5" t="s">
        <v>216</v>
      </c>
      <c r="T2" s="5" t="s">
        <v>216</v>
      </c>
      <c r="U2" s="5" t="s">
        <v>216</v>
      </c>
      <c r="V2" s="5" t="s">
        <v>216</v>
      </c>
      <c r="W2" s="5" t="s">
        <v>216</v>
      </c>
      <c r="X2" s="5" t="s">
        <v>216</v>
      </c>
      <c r="Y2" s="5" t="s">
        <v>216</v>
      </c>
      <c r="Z2" s="5" t="s">
        <v>216</v>
      </c>
      <c r="AA2" s="5" t="s">
        <v>216</v>
      </c>
      <c r="AB2" s="5" t="s">
        <v>216</v>
      </c>
      <c r="AC2" s="5" t="s">
        <v>216</v>
      </c>
      <c r="AD2" s="5" t="s">
        <v>216</v>
      </c>
      <c r="AE2" s="5" t="s">
        <v>216</v>
      </c>
      <c r="AF2" s="5" t="s">
        <v>216</v>
      </c>
      <c r="AG2" s="5" t="s">
        <v>216</v>
      </c>
      <c r="AH2" s="5" t="s">
        <v>216</v>
      </c>
      <c r="AI2" s="5" t="s">
        <v>216</v>
      </c>
      <c r="AJ2" s="5" t="s">
        <v>216</v>
      </c>
      <c r="AK2" s="5" t="s">
        <v>216</v>
      </c>
      <c r="AL2" s="5" t="s">
        <v>216</v>
      </c>
      <c r="AM2" s="5" t="s">
        <v>216</v>
      </c>
      <c r="AN2" s="5" t="s">
        <v>216</v>
      </c>
      <c r="AO2" s="5" t="s">
        <v>216</v>
      </c>
      <c r="AP2" s="5" t="s">
        <v>216</v>
      </c>
      <c r="AQ2" s="5" t="s">
        <v>216</v>
      </c>
      <c r="AR2" s="5" t="s">
        <v>216</v>
      </c>
      <c r="AS2" s="5" t="s">
        <v>216</v>
      </c>
      <c r="AT2" s="5" t="s">
        <v>216</v>
      </c>
      <c r="AU2" s="5" t="s">
        <v>216</v>
      </c>
      <c r="AV2" s="5" t="s">
        <v>216</v>
      </c>
      <c r="AW2" s="5" t="s">
        <v>216</v>
      </c>
      <c r="AY2" s="7" t="s">
        <v>216</v>
      </c>
      <c r="AZ2" s="7" t="s">
        <v>216</v>
      </c>
      <c r="BA2" s="7" t="s">
        <v>216</v>
      </c>
      <c r="BC2" s="5" t="s">
        <v>217</v>
      </c>
      <c r="BD2" s="5" t="s">
        <v>217</v>
      </c>
      <c r="BF2" s="5" t="s">
        <v>218</v>
      </c>
      <c r="BG2" s="5" t="s">
        <v>218</v>
      </c>
    </row>
    <row r="3" spans="2:59">
      <c r="B3" s="4" t="s">
        <v>219</v>
      </c>
      <c r="C3" s="7">
        <v>42735</v>
      </c>
      <c r="D3" s="7">
        <f t="shared" ref="D3:H3" si="0">EDATE(C3,12)</f>
        <v>43100</v>
      </c>
      <c r="E3" s="7">
        <f t="shared" si="0"/>
        <v>43465</v>
      </c>
      <c r="F3" s="7">
        <f t="shared" si="0"/>
        <v>43830</v>
      </c>
      <c r="G3" s="7">
        <f t="shared" si="0"/>
        <v>44196</v>
      </c>
      <c r="H3" s="7">
        <f t="shared" si="0"/>
        <v>44561</v>
      </c>
      <c r="I3" s="7">
        <v>44561</v>
      </c>
      <c r="J3" s="7">
        <f>EDATE(H3,12)</f>
        <v>44926</v>
      </c>
      <c r="K3" s="7">
        <v>44926</v>
      </c>
      <c r="L3" s="7">
        <f>EDATE(J3,12)</f>
        <v>45291</v>
      </c>
      <c r="M3" s="7">
        <f>EDATE(K3,12)</f>
        <v>45291</v>
      </c>
      <c r="N3" s="7">
        <v>45657</v>
      </c>
      <c r="O3" s="7">
        <v>46022</v>
      </c>
      <c r="P3" s="375"/>
      <c r="Q3" s="5">
        <v>43160</v>
      </c>
      <c r="R3" s="5">
        <v>43252</v>
      </c>
      <c r="S3" s="5">
        <v>43344</v>
      </c>
      <c r="T3" s="5">
        <v>43435</v>
      </c>
      <c r="U3" s="5">
        <v>43525</v>
      </c>
      <c r="V3" s="5">
        <v>43617</v>
      </c>
      <c r="W3" s="5">
        <v>43709</v>
      </c>
      <c r="X3" s="5">
        <v>43800</v>
      </c>
      <c r="Y3" s="5">
        <v>43891</v>
      </c>
      <c r="Z3" s="5">
        <v>43983</v>
      </c>
      <c r="AA3" s="5">
        <v>44075</v>
      </c>
      <c r="AB3" s="5">
        <v>44166</v>
      </c>
      <c r="AC3" s="5">
        <v>44256</v>
      </c>
      <c r="AD3" s="5">
        <v>44348</v>
      </c>
      <c r="AE3" s="5">
        <v>44440</v>
      </c>
      <c r="AF3" s="5">
        <v>44531</v>
      </c>
      <c r="AG3" s="5">
        <v>44621</v>
      </c>
      <c r="AH3" s="5">
        <v>44713</v>
      </c>
      <c r="AI3" s="5">
        <v>44805</v>
      </c>
      <c r="AJ3" s="5">
        <v>44896</v>
      </c>
      <c r="AK3" s="5">
        <v>44986</v>
      </c>
      <c r="AL3" s="5">
        <v>45078</v>
      </c>
      <c r="AM3" s="5">
        <v>45199</v>
      </c>
      <c r="AN3" s="5">
        <v>45261</v>
      </c>
      <c r="AO3" s="5">
        <v>45352</v>
      </c>
      <c r="AP3" s="5">
        <v>45444</v>
      </c>
      <c r="AQ3" s="5">
        <v>45565</v>
      </c>
      <c r="AR3" s="5">
        <v>45627</v>
      </c>
      <c r="AS3" s="5">
        <v>45717</v>
      </c>
      <c r="AT3" s="5">
        <v>45809</v>
      </c>
      <c r="AU3" s="5">
        <v>45901</v>
      </c>
      <c r="AV3" s="5">
        <v>45992</v>
      </c>
      <c r="AW3" s="5">
        <v>46082</v>
      </c>
      <c r="AY3" s="7">
        <v>45261</v>
      </c>
      <c r="AZ3" s="7">
        <v>45382</v>
      </c>
      <c r="BA3" s="7">
        <v>45747</v>
      </c>
      <c r="BC3" s="5">
        <v>45444</v>
      </c>
      <c r="BD3" s="5">
        <v>45809</v>
      </c>
      <c r="BF3" s="5">
        <v>45536</v>
      </c>
      <c r="BG3" s="5">
        <v>45901</v>
      </c>
    </row>
    <row r="4" spans="2:59">
      <c r="B4" s="4"/>
      <c r="C4" s="7" t="s">
        <v>220</v>
      </c>
      <c r="D4" s="7" t="s">
        <v>220</v>
      </c>
      <c r="E4" s="7" t="s">
        <v>220</v>
      </c>
      <c r="F4" s="7" t="s">
        <v>220</v>
      </c>
      <c r="G4" s="7" t="s">
        <v>220</v>
      </c>
      <c r="H4" s="7" t="s">
        <v>220</v>
      </c>
      <c r="I4" s="7" t="s">
        <v>220</v>
      </c>
      <c r="J4" s="7" t="s">
        <v>220</v>
      </c>
      <c r="K4" s="7" t="s">
        <v>220</v>
      </c>
      <c r="L4" s="7" t="s">
        <v>220</v>
      </c>
      <c r="M4" s="7" t="s">
        <v>220</v>
      </c>
      <c r="N4" s="7" t="s">
        <v>220</v>
      </c>
      <c r="O4" s="7" t="s">
        <v>220</v>
      </c>
      <c r="P4" s="375"/>
      <c r="Q4" s="7" t="s">
        <v>220</v>
      </c>
      <c r="R4" s="7" t="s">
        <v>220</v>
      </c>
      <c r="S4" s="7" t="s">
        <v>220</v>
      </c>
      <c r="T4" s="7" t="s">
        <v>220</v>
      </c>
      <c r="U4" s="7" t="s">
        <v>220</v>
      </c>
      <c r="V4" s="7" t="s">
        <v>220</v>
      </c>
      <c r="W4" s="7" t="s">
        <v>220</v>
      </c>
      <c r="X4" s="7" t="s">
        <v>220</v>
      </c>
      <c r="Y4" s="7" t="s">
        <v>220</v>
      </c>
      <c r="Z4" s="7" t="s">
        <v>220</v>
      </c>
      <c r="AA4" s="7" t="s">
        <v>220</v>
      </c>
      <c r="AB4" s="7" t="s">
        <v>220</v>
      </c>
      <c r="AC4" s="7" t="s">
        <v>220</v>
      </c>
      <c r="AD4" s="7" t="s">
        <v>220</v>
      </c>
      <c r="AE4" s="7" t="s">
        <v>220</v>
      </c>
      <c r="AF4" s="7" t="s">
        <v>220</v>
      </c>
      <c r="AG4" s="7" t="s">
        <v>220</v>
      </c>
      <c r="AH4" s="7" t="s">
        <v>220</v>
      </c>
      <c r="AI4" s="7" t="s">
        <v>220</v>
      </c>
      <c r="AJ4" s="7" t="s">
        <v>220</v>
      </c>
      <c r="AK4" s="7" t="s">
        <v>220</v>
      </c>
      <c r="AL4" s="7" t="s">
        <v>220</v>
      </c>
      <c r="AM4" s="7" t="s">
        <v>220</v>
      </c>
      <c r="AN4" s="7" t="s">
        <v>220</v>
      </c>
      <c r="AO4" s="7" t="s">
        <v>220</v>
      </c>
      <c r="AP4" s="7" t="s">
        <v>220</v>
      </c>
      <c r="AQ4" s="7" t="s">
        <v>220</v>
      </c>
      <c r="AR4" s="7" t="s">
        <v>220</v>
      </c>
      <c r="AS4" s="7" t="s">
        <v>220</v>
      </c>
      <c r="AT4" s="7" t="s">
        <v>220</v>
      </c>
      <c r="AU4" s="7" t="s">
        <v>220</v>
      </c>
      <c r="AV4" s="7" t="s">
        <v>220</v>
      </c>
      <c r="AW4" s="7" t="s">
        <v>220</v>
      </c>
      <c r="AY4" s="7" t="s">
        <v>220</v>
      </c>
      <c r="AZ4" s="7" t="s">
        <v>220</v>
      </c>
      <c r="BA4" s="7" t="s">
        <v>220</v>
      </c>
      <c r="BC4" s="7" t="s">
        <v>220</v>
      </c>
      <c r="BD4" s="7" t="s">
        <v>220</v>
      </c>
      <c r="BF4" s="7" t="s">
        <v>220</v>
      </c>
      <c r="BG4" s="7" t="s">
        <v>220</v>
      </c>
    </row>
    <row r="5" spans="2:59">
      <c r="B5" s="6"/>
      <c r="C5" s="9" t="s">
        <v>224</v>
      </c>
      <c r="D5" s="9" t="s">
        <v>224</v>
      </c>
      <c r="E5" s="9" t="s">
        <v>224</v>
      </c>
      <c r="F5" s="9" t="s">
        <v>224</v>
      </c>
      <c r="G5" s="9" t="s">
        <v>224</v>
      </c>
      <c r="H5" s="9" t="s">
        <v>224</v>
      </c>
      <c r="I5" s="9" t="s">
        <v>224</v>
      </c>
      <c r="J5" s="9" t="s">
        <v>224</v>
      </c>
      <c r="K5" s="9" t="s">
        <v>224</v>
      </c>
      <c r="L5" s="9" t="s">
        <v>224</v>
      </c>
      <c r="M5" s="9" t="s">
        <v>224</v>
      </c>
      <c r="N5" s="9" t="s">
        <v>224</v>
      </c>
      <c r="O5" s="9" t="s">
        <v>224</v>
      </c>
      <c r="P5" s="375"/>
      <c r="Q5" s="89" t="s">
        <v>225</v>
      </c>
      <c r="R5" s="89" t="s">
        <v>226</v>
      </c>
      <c r="S5" s="89" t="s">
        <v>227</v>
      </c>
      <c r="T5" s="89" t="s">
        <v>228</v>
      </c>
      <c r="U5" s="89" t="s">
        <v>225</v>
      </c>
      <c r="V5" s="89" t="s">
        <v>226</v>
      </c>
      <c r="W5" s="89" t="s">
        <v>227</v>
      </c>
      <c r="X5" s="89" t="s">
        <v>228</v>
      </c>
      <c r="Y5" s="89" t="s">
        <v>225</v>
      </c>
      <c r="Z5" s="89" t="s">
        <v>226</v>
      </c>
      <c r="AA5" s="89" t="s">
        <v>227</v>
      </c>
      <c r="AB5" s="89" t="s">
        <v>228</v>
      </c>
      <c r="AC5" s="89" t="s">
        <v>225</v>
      </c>
      <c r="AD5" s="89" t="s">
        <v>226</v>
      </c>
      <c r="AE5" s="89" t="s">
        <v>227</v>
      </c>
      <c r="AF5" s="89" t="s">
        <v>228</v>
      </c>
      <c r="AG5" s="89" t="s">
        <v>225</v>
      </c>
      <c r="AH5" s="89" t="s">
        <v>226</v>
      </c>
      <c r="AI5" s="89" t="s">
        <v>227</v>
      </c>
      <c r="AJ5" s="89" t="s">
        <v>228</v>
      </c>
      <c r="AK5" s="89" t="s">
        <v>225</v>
      </c>
      <c r="AL5" s="89" t="s">
        <v>226</v>
      </c>
      <c r="AM5" s="89" t="s">
        <v>227</v>
      </c>
      <c r="AN5" s="89" t="s">
        <v>228</v>
      </c>
      <c r="AO5" s="89" t="s">
        <v>225</v>
      </c>
      <c r="AP5" s="89" t="s">
        <v>226</v>
      </c>
      <c r="AQ5" s="89" t="s">
        <v>227</v>
      </c>
      <c r="AR5" s="89" t="s">
        <v>228</v>
      </c>
      <c r="AS5" s="89" t="s">
        <v>225</v>
      </c>
      <c r="AT5" s="89" t="s">
        <v>226</v>
      </c>
      <c r="AU5" s="89" t="s">
        <v>227</v>
      </c>
      <c r="AV5" s="89" t="s">
        <v>228</v>
      </c>
      <c r="AW5" s="89" t="s">
        <v>225</v>
      </c>
      <c r="AY5" s="89" t="s">
        <v>228</v>
      </c>
      <c r="AZ5" s="89" t="s">
        <v>225</v>
      </c>
      <c r="BA5" s="89" t="s">
        <v>225</v>
      </c>
      <c r="BC5" s="89" t="s">
        <v>217</v>
      </c>
      <c r="BD5" s="89" t="s">
        <v>217</v>
      </c>
      <c r="BF5" s="89" t="s">
        <v>218</v>
      </c>
      <c r="BG5" s="89" t="s">
        <v>218</v>
      </c>
    </row>
    <row r="6" spans="2:59" ht="15" customHeight="1">
      <c r="B6" s="332"/>
      <c r="C6" s="333"/>
      <c r="D6" s="333"/>
      <c r="E6" s="333"/>
      <c r="F6" s="333"/>
      <c r="G6" s="333"/>
      <c r="H6" s="333"/>
      <c r="I6" s="334" t="s">
        <v>222</v>
      </c>
      <c r="J6" s="333"/>
      <c r="K6" s="334" t="s">
        <v>222</v>
      </c>
      <c r="L6" s="333"/>
      <c r="M6" s="353" t="s">
        <v>342</v>
      </c>
      <c r="N6" s="354"/>
      <c r="O6" s="354"/>
      <c r="P6" s="375"/>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70"/>
      <c r="AY6" s="383" t="s">
        <v>342</v>
      </c>
      <c r="AZ6" s="353" t="s">
        <v>222</v>
      </c>
      <c r="BA6" s="353" t="s">
        <v>222</v>
      </c>
      <c r="BB6" s="370"/>
      <c r="BC6" s="353" t="s">
        <v>222</v>
      </c>
      <c r="BD6" s="354" t="s">
        <v>220</v>
      </c>
      <c r="BF6" s="353" t="s">
        <v>222</v>
      </c>
      <c r="BG6" s="354" t="s">
        <v>220</v>
      </c>
    </row>
    <row r="7" spans="2:59" ht="24" customHeight="1">
      <c r="B7" s="90"/>
      <c r="C7" s="9"/>
      <c r="D7" s="9"/>
      <c r="E7" s="9"/>
      <c r="F7" s="9"/>
      <c r="G7" s="9"/>
      <c r="H7" s="9"/>
      <c r="I7" s="288"/>
      <c r="J7" s="9"/>
      <c r="K7" s="288"/>
      <c r="L7" s="9"/>
      <c r="M7" s="308"/>
      <c r="N7" s="9"/>
      <c r="O7" s="9"/>
      <c r="P7" s="375"/>
      <c r="Q7" s="89"/>
      <c r="R7" s="89"/>
      <c r="S7" s="89"/>
      <c r="T7" s="89"/>
      <c r="U7" s="89"/>
      <c r="V7" s="89"/>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370"/>
      <c r="AY7" s="308"/>
      <c r="AZ7" s="308"/>
      <c r="BA7" s="308"/>
      <c r="BB7" s="370"/>
      <c r="BC7" s="89"/>
      <c r="BD7" s="89"/>
      <c r="BF7" s="89"/>
      <c r="BG7" s="89"/>
    </row>
    <row r="8" spans="2:59" hidden="1" outlineLevel="1">
      <c r="B8" s="90" t="s">
        <v>343</v>
      </c>
      <c r="C8" s="9"/>
      <c r="D8" s="9"/>
      <c r="E8" s="9"/>
      <c r="F8" s="9"/>
      <c r="G8" s="9"/>
      <c r="H8" s="9"/>
      <c r="I8" s="9"/>
      <c r="J8" s="9"/>
      <c r="K8" s="9"/>
      <c r="L8" s="9"/>
      <c r="M8" s="9"/>
      <c r="N8" s="9"/>
      <c r="O8" s="9"/>
      <c r="P8" s="375"/>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370"/>
      <c r="AY8" s="89"/>
      <c r="BB8" s="370"/>
      <c r="BC8" s="89"/>
      <c r="BD8" s="89"/>
      <c r="BF8" s="89"/>
      <c r="BG8" s="89"/>
    </row>
    <row r="9" spans="2:59" hidden="1" outlineLevel="1">
      <c r="B9" s="90" t="s">
        <v>344</v>
      </c>
      <c r="C9" s="9"/>
      <c r="D9" s="9"/>
      <c r="E9" s="9"/>
      <c r="F9" s="9"/>
      <c r="G9" s="9"/>
      <c r="H9" s="9"/>
      <c r="I9" s="9"/>
      <c r="J9" s="9"/>
      <c r="K9" s="9"/>
      <c r="L9" s="9"/>
      <c r="M9" s="9"/>
      <c r="N9" s="9"/>
      <c r="O9" s="9"/>
      <c r="P9" s="375"/>
      <c r="Q9" s="89"/>
      <c r="R9" s="89"/>
      <c r="S9" s="89"/>
      <c r="T9" s="89"/>
      <c r="U9" s="89"/>
      <c r="V9" s="89"/>
      <c r="W9" s="89"/>
      <c r="X9" s="89"/>
      <c r="Y9" s="116"/>
      <c r="Z9" s="89"/>
      <c r="AA9" s="89"/>
      <c r="AB9" s="89"/>
      <c r="AC9" s="116"/>
      <c r="AD9" s="89"/>
      <c r="AE9" s="89"/>
      <c r="AF9" s="89"/>
      <c r="AG9" s="116"/>
      <c r="AH9" s="89"/>
      <c r="AI9" s="89"/>
      <c r="AJ9" s="89"/>
      <c r="AK9" s="116"/>
      <c r="AL9" s="89"/>
      <c r="AM9" s="89"/>
      <c r="AN9" s="89"/>
      <c r="AO9" s="116"/>
      <c r="AP9" s="89"/>
      <c r="AQ9" s="89"/>
      <c r="AR9" s="89"/>
      <c r="AS9" s="116"/>
      <c r="AT9" s="89"/>
      <c r="AU9" s="89"/>
      <c r="AV9" s="89"/>
      <c r="AW9" s="116"/>
      <c r="AX9" s="370"/>
      <c r="AY9" s="89"/>
      <c r="BB9" s="370"/>
      <c r="BC9" s="116"/>
      <c r="BD9" s="116"/>
      <c r="BF9" s="116"/>
      <c r="BG9" s="116"/>
    </row>
    <row r="10" spans="2:59" hidden="1" outlineLevel="1">
      <c r="B10" s="91" t="s">
        <v>345</v>
      </c>
      <c r="C10" s="122">
        <v>6576.6480000000001</v>
      </c>
      <c r="D10" s="122">
        <v>6549.1379999999999</v>
      </c>
      <c r="E10" s="122">
        <v>7284.6319999999996</v>
      </c>
      <c r="F10" s="123">
        <v>6651.37</v>
      </c>
      <c r="G10" s="123">
        <v>6174.0469999999996</v>
      </c>
      <c r="H10" s="123">
        <v>6603.94</v>
      </c>
      <c r="I10" s="196"/>
      <c r="J10" s="196"/>
      <c r="K10" s="196"/>
      <c r="L10" s="196"/>
      <c r="M10" s="196"/>
      <c r="N10" s="196"/>
      <c r="O10" s="196"/>
      <c r="P10" s="375"/>
      <c r="Q10" s="122">
        <v>1789.9770000000001</v>
      </c>
      <c r="R10" s="122">
        <f>3588.746-Q10</f>
        <v>1798.769</v>
      </c>
      <c r="S10" s="122">
        <f>5388.829-R10-Q10</f>
        <v>1800.0829999999994</v>
      </c>
      <c r="T10" s="92">
        <f t="shared" ref="T10:T15" si="1">+E10-Q10-R10-S10</f>
        <v>1895.8030000000001</v>
      </c>
      <c r="U10" s="117">
        <v>1651.508</v>
      </c>
      <c r="V10" s="122">
        <f>3303.106-U10</f>
        <v>1651.5980000000002</v>
      </c>
      <c r="W10" s="122">
        <f>4924.836-V10-U10</f>
        <v>1621.7300000000002</v>
      </c>
      <c r="X10" s="92">
        <f t="shared" ref="X10:X15" si="2">+F10-U10-V10-W10</f>
        <v>1726.5339999999999</v>
      </c>
      <c r="Y10" s="122">
        <v>1538.068</v>
      </c>
      <c r="Z10" s="122">
        <f>2974.814-Y10</f>
        <v>1436.7459999999999</v>
      </c>
      <c r="AA10" s="122">
        <f>4546.506-Z10-Y10</f>
        <v>1571.6920000000002</v>
      </c>
      <c r="AB10" s="92">
        <f t="shared" ref="AB10:AB15" si="3">+G10-Y10-Z10-AA10</f>
        <v>1627.540999999999</v>
      </c>
      <c r="AC10" s="122">
        <v>1636.4839999999999</v>
      </c>
      <c r="AD10" s="122">
        <f>3260.898-AC10</f>
        <v>1624.4140000000002</v>
      </c>
      <c r="AE10" s="122">
        <f>4859.306-AD10-AC10</f>
        <v>1598.4079999999994</v>
      </c>
      <c r="AF10" s="92">
        <f t="shared" ref="AF10:AF15" si="4">+H10-AC10-AD10-AE10</f>
        <v>1744.6340000000005</v>
      </c>
      <c r="AG10" s="196"/>
      <c r="AH10" s="196"/>
      <c r="AI10" s="196"/>
      <c r="AJ10" s="196"/>
      <c r="AK10" s="196"/>
      <c r="AL10" s="196"/>
      <c r="AM10" s="196"/>
      <c r="AN10" s="196"/>
      <c r="AO10" s="196"/>
      <c r="AP10" s="196"/>
      <c r="AQ10" s="196"/>
      <c r="AR10" s="196"/>
      <c r="AS10" s="379"/>
      <c r="AT10" s="379"/>
      <c r="AU10" s="379"/>
      <c r="AV10" s="196"/>
      <c r="AW10" s="379"/>
      <c r="AX10" s="370"/>
      <c r="AY10" s="379"/>
      <c r="BB10" s="370"/>
      <c r="BC10" s="379"/>
      <c r="BD10" s="379"/>
      <c r="BF10" s="379"/>
      <c r="BG10" s="379"/>
    </row>
    <row r="11" spans="2:59" hidden="1" outlineLevel="1">
      <c r="B11" s="91" t="s">
        <v>346</v>
      </c>
      <c r="C11" s="122">
        <v>6604.17</v>
      </c>
      <c r="D11" s="122">
        <v>7288.3509999999997</v>
      </c>
      <c r="E11" s="122">
        <v>6426.0789999999997</v>
      </c>
      <c r="F11" s="123">
        <v>7261.3680000000004</v>
      </c>
      <c r="G11" s="123">
        <v>7490.1930000000002</v>
      </c>
      <c r="H11" s="123">
        <v>7744.6580000000004</v>
      </c>
      <c r="I11" s="123">
        <v>7755.1279999999997</v>
      </c>
      <c r="J11" s="123">
        <v>8625.7659999999996</v>
      </c>
      <c r="K11" s="123">
        <v>8625.7659999999996</v>
      </c>
      <c r="L11" s="123">
        <v>9574.9940000000006</v>
      </c>
      <c r="M11" s="123">
        <v>9574.9940000000006</v>
      </c>
      <c r="N11" s="123">
        <v>9693.6640000000007</v>
      </c>
      <c r="O11" s="123">
        <v>9693.6640000000007</v>
      </c>
      <c r="P11" s="375"/>
      <c r="Q11" s="122">
        <v>1569.7860000000001</v>
      </c>
      <c r="R11" s="122">
        <f>3124.307-Q11</f>
        <v>1554.5209999999997</v>
      </c>
      <c r="S11" s="122">
        <f>4733.535-R11-Q11</f>
        <v>1609.2280000000001</v>
      </c>
      <c r="T11" s="92">
        <f t="shared" si="1"/>
        <v>1692.5439999999999</v>
      </c>
      <c r="U11" s="117">
        <v>1719.248</v>
      </c>
      <c r="V11" s="122">
        <f>3505.604-U11</f>
        <v>1786.3559999999998</v>
      </c>
      <c r="W11" s="122">
        <f>5392.721-V11-U11</f>
        <v>1887.1169999999997</v>
      </c>
      <c r="X11" s="92">
        <f t="shared" si="2"/>
        <v>1868.6470000000013</v>
      </c>
      <c r="Y11" s="117">
        <v>1878.396</v>
      </c>
      <c r="Z11" s="122">
        <f>3764.315-Y11</f>
        <v>1885.9190000000001</v>
      </c>
      <c r="AA11" s="122">
        <f>5677.409-Z11-Y11</f>
        <v>1913.0939999999998</v>
      </c>
      <c r="AB11" s="92">
        <f t="shared" si="3"/>
        <v>1812.7840000000008</v>
      </c>
      <c r="AC11" s="117">
        <v>1789.5540000000001</v>
      </c>
      <c r="AD11" s="122">
        <f>3715.295-AC11</f>
        <v>1925.741</v>
      </c>
      <c r="AE11" s="122">
        <f>5708.452-AD11-AC11</f>
        <v>1993.1570000000002</v>
      </c>
      <c r="AF11" s="92">
        <f t="shared" si="4"/>
        <v>2036.2060000000001</v>
      </c>
      <c r="AG11" s="117">
        <v>1968.616</v>
      </c>
      <c r="AH11" s="122">
        <f>4154.08-AG11</f>
        <v>2185.4639999999999</v>
      </c>
      <c r="AI11" s="122">
        <f>6413.558-AH11-AG11</f>
        <v>2259.4780000000001</v>
      </c>
      <c r="AJ11" s="92">
        <f>K11-AG11-AH11-AI11</f>
        <v>2212.2079999999996</v>
      </c>
      <c r="AK11" s="117">
        <v>2172.0990000000002</v>
      </c>
      <c r="AL11" s="122">
        <f>4620.759-AK11</f>
        <v>2448.66</v>
      </c>
      <c r="AM11" s="122">
        <f>7063.574-AL11-AK11</f>
        <v>2442.8149999999996</v>
      </c>
      <c r="AN11" s="92">
        <f>L11-AK11-AL11-AM11</f>
        <v>2511.420000000001</v>
      </c>
      <c r="AO11" s="117">
        <v>2503.2950000000001</v>
      </c>
      <c r="AP11" s="122">
        <f>4972.006-AO11</f>
        <v>2468.7110000000002</v>
      </c>
      <c r="AQ11" s="122">
        <f>7260.508-AP11-AO11</f>
        <v>2288.5019999999995</v>
      </c>
      <c r="AR11" s="92">
        <f t="shared" ref="AR11:AR21" si="5">N11-AO11-AP11-AQ11</f>
        <v>2433.1560000000009</v>
      </c>
      <c r="AS11" s="378"/>
      <c r="AT11" s="378"/>
      <c r="AU11" s="378"/>
      <c r="AV11" s="92">
        <f t="shared" ref="AV11:AV21" si="6">R11-AS11-AT11-AU11</f>
        <v>1554.5209999999997</v>
      </c>
      <c r="AW11" s="378"/>
      <c r="AX11" s="370"/>
      <c r="AY11" s="394"/>
      <c r="BB11" s="370"/>
      <c r="BC11" s="378"/>
      <c r="BD11" s="378"/>
      <c r="BF11" s="378"/>
      <c r="BG11" s="378"/>
    </row>
    <row r="12" spans="2:59" hidden="1" outlineLevel="1">
      <c r="B12" s="91" t="s">
        <v>347</v>
      </c>
      <c r="C12" s="122">
        <v>2783.393</v>
      </c>
      <c r="D12" s="122">
        <v>3640.6329999999998</v>
      </c>
      <c r="E12" s="122">
        <v>3272.4989999999998</v>
      </c>
      <c r="F12" s="123">
        <v>3652.7260000000001</v>
      </c>
      <c r="G12" s="123">
        <v>3711.9029999999998</v>
      </c>
      <c r="H12" s="123">
        <v>3858.0479999999998</v>
      </c>
      <c r="I12" s="123">
        <v>3858.0479999999998</v>
      </c>
      <c r="J12" s="123">
        <v>3968.0590000000002</v>
      </c>
      <c r="K12" s="123">
        <v>3968.0639999999999</v>
      </c>
      <c r="L12" s="123">
        <v>4112.9539999999997</v>
      </c>
      <c r="M12" s="123">
        <v>4112.9539999999997</v>
      </c>
      <c r="N12" s="123">
        <v>3867.5039999999999</v>
      </c>
      <c r="O12" s="123">
        <v>3867.5039999999999</v>
      </c>
      <c r="P12" s="375"/>
      <c r="Q12" s="122">
        <v>769.01099999999997</v>
      </c>
      <c r="R12" s="122">
        <f>1546.178-Q12</f>
        <v>777.16700000000014</v>
      </c>
      <c r="S12" s="122">
        <f>2398.035-R12-Q12</f>
        <v>851.85699999999974</v>
      </c>
      <c r="T12" s="92">
        <f t="shared" si="1"/>
        <v>874.46399999999994</v>
      </c>
      <c r="U12" s="117">
        <v>892.44399999999996</v>
      </c>
      <c r="V12" s="122">
        <f>1806.804-U12</f>
        <v>914.36000000000013</v>
      </c>
      <c r="W12" s="122">
        <f>2732.975-V12-U12</f>
        <v>926.17099999999982</v>
      </c>
      <c r="X12" s="92">
        <f t="shared" si="2"/>
        <v>919.7510000000002</v>
      </c>
      <c r="Y12" s="117">
        <v>952.57500000000005</v>
      </c>
      <c r="Z12" s="122">
        <f>1848.337-Y12</f>
        <v>895.76199999999994</v>
      </c>
      <c r="AA12" s="122">
        <f>2795.488-Z12-Y12</f>
        <v>947.15099999999984</v>
      </c>
      <c r="AB12" s="92">
        <f t="shared" si="3"/>
        <v>916.41499999999974</v>
      </c>
      <c r="AC12" s="117">
        <v>942.64300000000003</v>
      </c>
      <c r="AD12" s="122">
        <f>1893.532-AC12</f>
        <v>950.8889999999999</v>
      </c>
      <c r="AE12" s="122">
        <f>2888.534-AD12-AC12</f>
        <v>995.00200000000018</v>
      </c>
      <c r="AF12" s="92">
        <f t="shared" si="4"/>
        <v>969.51399999999967</v>
      </c>
      <c r="AG12" s="117">
        <v>957.09500000000003</v>
      </c>
      <c r="AH12" s="122">
        <f>1967.581-AG12</f>
        <v>1010.4859999999999</v>
      </c>
      <c r="AI12" s="122">
        <f>2982.608-AH12-AG12</f>
        <v>1015.0270000000003</v>
      </c>
      <c r="AJ12" s="92">
        <f>K12-AG12-AH12-AI12</f>
        <v>985.4559999999999</v>
      </c>
      <c r="AK12" s="117">
        <v>954.86599999999999</v>
      </c>
      <c r="AL12" s="122">
        <f>2007.02-AK12</f>
        <v>1052.154</v>
      </c>
      <c r="AM12" s="122">
        <f>3064.641-AL12-AK12</f>
        <v>1057.6210000000001</v>
      </c>
      <c r="AN12" s="92">
        <f>L12-AK12-AL12-AM12</f>
        <v>1048.3129999999996</v>
      </c>
      <c r="AO12" s="117">
        <v>1060.3</v>
      </c>
      <c r="AP12" s="122">
        <f>2119.615-AO12</f>
        <v>1059.3149999999998</v>
      </c>
      <c r="AQ12" s="122">
        <f>3026.902-AP12-AO12</f>
        <v>907.28700000000026</v>
      </c>
      <c r="AR12" s="92">
        <f t="shared" si="5"/>
        <v>840.60199999999963</v>
      </c>
      <c r="AS12" s="378"/>
      <c r="AT12" s="378"/>
      <c r="AU12" s="378"/>
      <c r="AV12" s="92">
        <f t="shared" si="6"/>
        <v>777.16700000000014</v>
      </c>
      <c r="AW12" s="378"/>
      <c r="AX12" s="370"/>
      <c r="AY12" s="394"/>
      <c r="BB12" s="370"/>
      <c r="BC12" s="378"/>
      <c r="BD12" s="378"/>
      <c r="BF12" s="378"/>
      <c r="BG12" s="378"/>
    </row>
    <row r="13" spans="2:59" hidden="1" outlineLevel="1">
      <c r="B13" s="91" t="s">
        <v>348</v>
      </c>
      <c r="C13" s="122">
        <v>2415.6579999999999</v>
      </c>
      <c r="D13" s="122">
        <v>2642.009</v>
      </c>
      <c r="E13" s="122">
        <v>2700.05</v>
      </c>
      <c r="F13" s="123">
        <v>2676.665</v>
      </c>
      <c r="G13" s="123">
        <v>2699.7460000000001</v>
      </c>
      <c r="H13" s="123">
        <v>2923.2080000000001</v>
      </c>
      <c r="I13" s="123">
        <v>2923.377</v>
      </c>
      <c r="J13" s="123">
        <v>2507.4679999999998</v>
      </c>
      <c r="K13" s="123">
        <v>2507.8330000000001</v>
      </c>
      <c r="L13" s="123">
        <v>2622.8449999999998</v>
      </c>
      <c r="M13" s="123">
        <v>2622.8449999999998</v>
      </c>
      <c r="N13" s="123">
        <v>2654.3119999999999</v>
      </c>
      <c r="O13" s="123">
        <v>2654.3119999999999</v>
      </c>
      <c r="P13" s="375"/>
      <c r="Q13" s="122">
        <v>652.21199999999999</v>
      </c>
      <c r="R13" s="122">
        <f>1317.304-Q13</f>
        <v>665.0920000000001</v>
      </c>
      <c r="S13" s="122">
        <f>2023.049-R13-Q13</f>
        <v>705.74499999999989</v>
      </c>
      <c r="T13" s="92">
        <f t="shared" si="1"/>
        <v>677.0010000000002</v>
      </c>
      <c r="U13" s="117">
        <v>660.024</v>
      </c>
      <c r="V13" s="122">
        <f>1345.576-U13</f>
        <v>685.55200000000002</v>
      </c>
      <c r="W13" s="122">
        <f>2010.147-V13-U13</f>
        <v>664.5709999999998</v>
      </c>
      <c r="X13" s="92">
        <f t="shared" si="2"/>
        <v>666.51800000000014</v>
      </c>
      <c r="Y13" s="117">
        <v>651.298</v>
      </c>
      <c r="Z13" s="122">
        <f>1307.873-Y13</f>
        <v>656.57500000000005</v>
      </c>
      <c r="AA13" s="122">
        <f>1996.724-Z13-Y13</f>
        <v>688.85099999999989</v>
      </c>
      <c r="AB13" s="92">
        <f t="shared" si="3"/>
        <v>703.02200000000039</v>
      </c>
      <c r="AC13" s="117">
        <v>677.75699999999995</v>
      </c>
      <c r="AD13" s="122">
        <f>1389.049-AC13</f>
        <v>711.29200000000003</v>
      </c>
      <c r="AE13" s="122">
        <f>2159.259-AD13-AC13</f>
        <v>770.21000000000015</v>
      </c>
      <c r="AF13" s="92">
        <f t="shared" si="4"/>
        <v>763.94899999999996</v>
      </c>
      <c r="AG13" s="117">
        <v>728.35900000000004</v>
      </c>
      <c r="AH13" s="122">
        <f>1284.286-AG13</f>
        <v>555.92700000000002</v>
      </c>
      <c r="AI13" s="122">
        <f>1859.175-AH13-AG13</f>
        <v>574.88900000000001</v>
      </c>
      <c r="AJ13" s="92">
        <f>K13-AG13-AH13-AI13</f>
        <v>648.65800000000002</v>
      </c>
      <c r="AK13" s="117">
        <v>621.86199999999997</v>
      </c>
      <c r="AL13" s="122">
        <f>1317.917-AK13</f>
        <v>696.05499999999995</v>
      </c>
      <c r="AM13" s="122">
        <f>1992.801-AL13-AK13</f>
        <v>674.88400000000013</v>
      </c>
      <c r="AN13" s="92">
        <f>L13-AK13-AL13-AM13</f>
        <v>630.04399999999976</v>
      </c>
      <c r="AO13" s="117">
        <v>652.11099999999999</v>
      </c>
      <c r="AP13" s="122">
        <f>1272.001-AO13</f>
        <v>619.89</v>
      </c>
      <c r="AQ13" s="122">
        <f>1964.061-AP13-AO13</f>
        <v>692.05999999999983</v>
      </c>
      <c r="AR13" s="92">
        <f t="shared" si="5"/>
        <v>690.25100000000032</v>
      </c>
      <c r="AS13" s="378"/>
      <c r="AT13" s="378"/>
      <c r="AU13" s="378"/>
      <c r="AV13" s="92">
        <f t="shared" si="6"/>
        <v>665.0920000000001</v>
      </c>
      <c r="AW13" s="378"/>
      <c r="AX13" s="370"/>
      <c r="AY13" s="394"/>
      <c r="BB13" s="370"/>
      <c r="BC13" s="378"/>
      <c r="BD13" s="378"/>
      <c r="BF13" s="378"/>
      <c r="BG13" s="378"/>
    </row>
    <row r="14" spans="2:59" hidden="1" outlineLevel="1">
      <c r="B14" s="91" t="s">
        <v>349</v>
      </c>
      <c r="C14" s="122">
        <v>1613.0360000000001</v>
      </c>
      <c r="D14" s="122">
        <v>2352.2069999999999</v>
      </c>
      <c r="E14" s="122">
        <v>2098.0390000000002</v>
      </c>
      <c r="F14" s="123">
        <v>1974.4749999999999</v>
      </c>
      <c r="G14" s="123">
        <v>1476.5250000000001</v>
      </c>
      <c r="H14" s="123">
        <v>1437.759</v>
      </c>
      <c r="I14" s="123">
        <v>1437.7850000000001</v>
      </c>
      <c r="J14" s="123">
        <v>1387.643</v>
      </c>
      <c r="K14" s="196"/>
      <c r="L14" s="196"/>
      <c r="M14" s="196"/>
      <c r="N14" s="196"/>
      <c r="O14" s="196"/>
      <c r="P14" s="375"/>
      <c r="Q14" s="122">
        <v>541.00400000000002</v>
      </c>
      <c r="R14" s="122">
        <f>1090.467-Q14</f>
        <v>549.46300000000008</v>
      </c>
      <c r="S14" s="122">
        <f>1586.705-R14-Q14</f>
        <v>496.23799999999972</v>
      </c>
      <c r="T14" s="92">
        <f t="shared" si="1"/>
        <v>511.33400000000051</v>
      </c>
      <c r="U14" s="117">
        <v>497.59500000000003</v>
      </c>
      <c r="V14" s="122">
        <f>1017.926-U14</f>
        <v>520.33100000000002</v>
      </c>
      <c r="W14" s="122">
        <f>1506.468-V14-U14</f>
        <v>488.54200000000003</v>
      </c>
      <c r="X14" s="92">
        <f t="shared" si="2"/>
        <v>468.00699999999983</v>
      </c>
      <c r="Y14" s="117">
        <v>442.80200000000002</v>
      </c>
      <c r="Z14" s="122">
        <f>758.239-Y14</f>
        <v>315.43700000000001</v>
      </c>
      <c r="AA14" s="122">
        <f>1106.947-Z14-Y14</f>
        <v>348.70799999999986</v>
      </c>
      <c r="AB14" s="92">
        <f t="shared" si="3"/>
        <v>369.57800000000009</v>
      </c>
      <c r="AC14" s="117">
        <v>377.28800000000001</v>
      </c>
      <c r="AD14" s="122">
        <f>722.6-AC14</f>
        <v>345.31200000000001</v>
      </c>
      <c r="AE14" s="122">
        <f>1076.261-AD14-AC14</f>
        <v>353.66099999999994</v>
      </c>
      <c r="AF14" s="92">
        <f t="shared" si="4"/>
        <v>361.49800000000005</v>
      </c>
      <c r="AG14" s="117">
        <v>340.12</v>
      </c>
      <c r="AH14" s="122">
        <f>705.079-AG14</f>
        <v>364.95899999999995</v>
      </c>
      <c r="AI14" s="196"/>
      <c r="AJ14" s="92">
        <f>K14-AG14-AH14-AI14</f>
        <v>-705.07899999999995</v>
      </c>
      <c r="AK14" s="117">
        <v>309.86200000000002</v>
      </c>
      <c r="AL14" s="122">
        <f>638.612-AK14</f>
        <v>328.74999999999994</v>
      </c>
      <c r="AM14" s="196"/>
      <c r="AN14" s="92">
        <f>L14-AK14-AL14-AM14</f>
        <v>-638.61199999999997</v>
      </c>
      <c r="AO14" s="196"/>
      <c r="AP14" s="196"/>
      <c r="AQ14" s="196"/>
      <c r="AR14" s="92">
        <f t="shared" si="5"/>
        <v>0</v>
      </c>
      <c r="AS14" s="379"/>
      <c r="AT14" s="379"/>
      <c r="AU14" s="379"/>
      <c r="AV14" s="92">
        <f t="shared" si="6"/>
        <v>549.46300000000008</v>
      </c>
      <c r="AW14" s="379"/>
      <c r="AX14" s="370"/>
      <c r="AY14" s="394"/>
      <c r="BB14" s="370"/>
      <c r="BC14" s="379"/>
      <c r="BD14" s="379"/>
      <c r="BF14" s="379"/>
      <c r="BG14" s="379"/>
    </row>
    <row r="15" spans="2:59" hidden="1" outlineLevel="1">
      <c r="B15" s="91" t="s">
        <v>350</v>
      </c>
      <c r="C15" s="122">
        <v>1078.3979999999999</v>
      </c>
      <c r="D15" s="122">
        <v>1173.8820000000001</v>
      </c>
      <c r="E15" s="122">
        <v>1147.383</v>
      </c>
      <c r="F15" s="123">
        <v>1282.4449999999999</v>
      </c>
      <c r="G15" s="123">
        <v>1361.84</v>
      </c>
      <c r="H15" s="123">
        <v>1420.2139999999999</v>
      </c>
      <c r="I15" s="123">
        <v>1420.33</v>
      </c>
      <c r="J15" s="123">
        <v>1610.741</v>
      </c>
      <c r="K15" s="123">
        <v>1610.7429999999999</v>
      </c>
      <c r="L15" s="123">
        <v>1687.279</v>
      </c>
      <c r="M15" s="123">
        <v>1687.279</v>
      </c>
      <c r="N15" s="123">
        <v>1843.3920000000001</v>
      </c>
      <c r="O15" s="123">
        <v>1843.3920000000001</v>
      </c>
      <c r="P15" s="375"/>
      <c r="Q15" s="122">
        <v>251.22499999999999</v>
      </c>
      <c r="R15" s="122">
        <f>532.584-Q15</f>
        <v>281.35899999999992</v>
      </c>
      <c r="S15" s="122">
        <f>828.729-R15-Q15</f>
        <v>296.1450000000001</v>
      </c>
      <c r="T15" s="92">
        <f t="shared" si="1"/>
        <v>318.654</v>
      </c>
      <c r="U15" s="117">
        <v>302.13200000000001</v>
      </c>
      <c r="V15" s="122">
        <f>620.517-U15</f>
        <v>318.38500000000005</v>
      </c>
      <c r="W15" s="122">
        <f>949.757-V15-U15</f>
        <v>329.23999999999984</v>
      </c>
      <c r="X15" s="92">
        <f t="shared" si="2"/>
        <v>332.68800000000005</v>
      </c>
      <c r="Y15" s="117">
        <v>317.423</v>
      </c>
      <c r="Z15" s="122">
        <f>627.696-Y15</f>
        <v>310.27300000000002</v>
      </c>
      <c r="AA15" s="122">
        <f>953.312-Z15-Y15</f>
        <v>325.61599999999999</v>
      </c>
      <c r="AB15" s="92">
        <f t="shared" si="3"/>
        <v>408.52799999999991</v>
      </c>
      <c r="AC15" s="117">
        <v>337.34100000000001</v>
      </c>
      <c r="AD15" s="122">
        <f>675.664-AC15</f>
        <v>338.32299999999998</v>
      </c>
      <c r="AE15" s="122">
        <f>1039.738-AD15-AC15</f>
        <v>364.07400000000007</v>
      </c>
      <c r="AF15" s="92">
        <f t="shared" si="4"/>
        <v>380.476</v>
      </c>
      <c r="AG15" s="117">
        <v>361.69099999999997</v>
      </c>
      <c r="AH15" s="122">
        <f>746.237-AG15</f>
        <v>384.54599999999999</v>
      </c>
      <c r="AI15" s="122">
        <f>1195.041-AH15-AG15</f>
        <v>448.80399999999992</v>
      </c>
      <c r="AJ15" s="92">
        <f>K15-AG15-AH15-AI15</f>
        <v>415.70199999999994</v>
      </c>
      <c r="AK15" s="117">
        <v>386.97500000000002</v>
      </c>
      <c r="AL15" s="122">
        <f>801.596-AK15</f>
        <v>414.62099999999998</v>
      </c>
      <c r="AM15" s="122">
        <f>1230.243-AL15-AK15</f>
        <v>428.64699999999993</v>
      </c>
      <c r="AN15" s="92">
        <f>L15-AK15-AL15-AM15</f>
        <v>457.03600000000017</v>
      </c>
      <c r="AO15" s="122">
        <v>462.34199999999998</v>
      </c>
      <c r="AP15" s="122">
        <f>941.74-AO15</f>
        <v>479.39800000000002</v>
      </c>
      <c r="AQ15" s="122">
        <f>1387.152-AP15-AO15</f>
        <v>445.41200000000003</v>
      </c>
      <c r="AR15" s="92">
        <f t="shared" si="5"/>
        <v>456.24000000000012</v>
      </c>
      <c r="AS15" s="379"/>
      <c r="AT15" s="379"/>
      <c r="AU15" s="379"/>
      <c r="AV15" s="92">
        <f t="shared" si="6"/>
        <v>281.35899999999992</v>
      </c>
      <c r="AW15" s="379"/>
      <c r="AX15" s="370"/>
      <c r="AY15" s="394"/>
      <c r="BB15" s="370"/>
      <c r="BC15" s="379"/>
      <c r="BD15" s="379"/>
      <c r="BF15" s="379"/>
      <c r="BG15" s="379"/>
    </row>
    <row r="16" spans="2:59" s="6" customFormat="1" hidden="1" outlineLevel="1">
      <c r="B16" s="90" t="s">
        <v>351</v>
      </c>
      <c r="C16" s="186"/>
      <c r="D16" s="186"/>
      <c r="E16" s="186"/>
      <c r="F16" s="187"/>
      <c r="G16" s="187"/>
      <c r="H16" s="187"/>
      <c r="I16" s="187"/>
      <c r="J16" s="187"/>
      <c r="K16" s="187"/>
      <c r="L16" s="187"/>
      <c r="M16" s="187"/>
      <c r="N16" s="187"/>
      <c r="O16" s="187"/>
      <c r="P16" s="375"/>
      <c r="Q16" s="264"/>
      <c r="R16" s="186"/>
      <c r="S16" s="186"/>
      <c r="T16" s="188"/>
      <c r="U16" s="189"/>
      <c r="V16" s="186"/>
      <c r="W16" s="186"/>
      <c r="X16" s="188"/>
      <c r="Y16" s="189"/>
      <c r="Z16" s="186"/>
      <c r="AA16" s="186"/>
      <c r="AB16" s="188"/>
      <c r="AC16" s="189"/>
      <c r="AD16" s="186"/>
      <c r="AE16" s="186"/>
      <c r="AF16" s="188"/>
      <c r="AG16" s="189"/>
      <c r="AH16" s="186"/>
      <c r="AI16" s="186"/>
      <c r="AJ16" s="188"/>
      <c r="AK16" s="189"/>
      <c r="AL16" s="186"/>
      <c r="AM16" s="186"/>
      <c r="AN16" s="188"/>
      <c r="AO16" s="189"/>
      <c r="AP16" s="186"/>
      <c r="AQ16" s="186"/>
      <c r="AR16" s="92">
        <f t="shared" si="5"/>
        <v>0</v>
      </c>
      <c r="AS16" s="395"/>
      <c r="AT16" s="395"/>
      <c r="AU16" s="395"/>
      <c r="AV16" s="92">
        <f t="shared" si="6"/>
        <v>0</v>
      </c>
      <c r="AW16" s="395"/>
      <c r="AX16" s="370"/>
      <c r="AY16" s="394"/>
      <c r="BB16" s="370"/>
      <c r="BC16" s="395"/>
      <c r="BD16" s="395"/>
      <c r="BE16" s="10"/>
      <c r="BF16" s="395"/>
      <c r="BG16" s="395"/>
    </row>
    <row r="17" spans="2:64" hidden="1" outlineLevel="1">
      <c r="B17" s="91" t="s">
        <v>346</v>
      </c>
      <c r="C17" s="122"/>
      <c r="D17" s="122"/>
      <c r="E17" s="122"/>
      <c r="F17" s="123"/>
      <c r="G17" s="123"/>
      <c r="H17" s="123"/>
      <c r="I17" s="123"/>
      <c r="J17" s="123">
        <v>669.26900000000001</v>
      </c>
      <c r="K17" s="123">
        <v>669.26900000000001</v>
      </c>
      <c r="L17" s="123">
        <v>1172.0170000000001</v>
      </c>
      <c r="M17" s="123">
        <v>1172.0170000000001</v>
      </c>
      <c r="N17" s="123">
        <v>938.73099999999999</v>
      </c>
      <c r="O17" s="123">
        <v>938.73099999999999</v>
      </c>
      <c r="P17" s="375"/>
      <c r="Q17" s="264"/>
      <c r="R17" s="122"/>
      <c r="S17" s="122"/>
      <c r="T17" s="92"/>
      <c r="U17" s="117"/>
      <c r="V17" s="122"/>
      <c r="W17" s="122"/>
      <c r="X17" s="92"/>
      <c r="Y17" s="117"/>
      <c r="Z17" s="122"/>
      <c r="AA17" s="122"/>
      <c r="AB17" s="92"/>
      <c r="AC17" s="117"/>
      <c r="AD17" s="122"/>
      <c r="AE17" s="122"/>
      <c r="AF17" s="92"/>
      <c r="AG17" s="117"/>
      <c r="AH17" s="122"/>
      <c r="AI17" s="122">
        <f>320.934-AH17-AG17</f>
        <v>320.93400000000003</v>
      </c>
      <c r="AJ17" s="92">
        <f>K17-AG17-AH17-AI17</f>
        <v>348.33499999999998</v>
      </c>
      <c r="AK17" s="117">
        <v>281.55799999999999</v>
      </c>
      <c r="AL17" s="122">
        <f>581.286-AK17</f>
        <v>299.72799999999995</v>
      </c>
      <c r="AM17" s="122">
        <f>876.511-AK17-AL17</f>
        <v>295.22500000000002</v>
      </c>
      <c r="AN17" s="92">
        <f>L17-AK17-AL17-AM17</f>
        <v>295.50600000000009</v>
      </c>
      <c r="AO17" s="117">
        <v>272.24599999999998</v>
      </c>
      <c r="AP17" s="122">
        <f>537.474-AO17</f>
        <v>265.22800000000007</v>
      </c>
      <c r="AQ17" s="122">
        <f>799.369-AO17-AP17</f>
        <v>261.89499999999998</v>
      </c>
      <c r="AR17" s="92">
        <f t="shared" si="5"/>
        <v>139.36199999999997</v>
      </c>
      <c r="AS17" s="378"/>
      <c r="AT17" s="378"/>
      <c r="AU17" s="378"/>
      <c r="AV17" s="92">
        <f t="shared" si="6"/>
        <v>0</v>
      </c>
      <c r="AW17" s="378"/>
      <c r="AX17" s="370"/>
      <c r="AY17" s="394"/>
      <c r="BB17" s="370"/>
      <c r="BC17" s="378"/>
      <c r="BD17" s="378"/>
      <c r="BF17" s="378"/>
      <c r="BG17" s="378"/>
    </row>
    <row r="18" spans="2:64" hidden="1" outlineLevel="1">
      <c r="B18" s="90" t="s">
        <v>352</v>
      </c>
      <c r="C18" s="124"/>
      <c r="D18" s="124"/>
      <c r="E18" s="124"/>
      <c r="F18" s="96"/>
      <c r="G18" s="96"/>
      <c r="H18" s="96"/>
      <c r="I18" s="96"/>
      <c r="J18" s="96"/>
      <c r="K18" s="96"/>
      <c r="L18" s="96"/>
      <c r="M18" s="96"/>
      <c r="N18" s="96"/>
      <c r="O18" s="96"/>
      <c r="P18" s="375"/>
      <c r="Q18" s="264"/>
      <c r="R18" s="125"/>
      <c r="S18" s="125"/>
      <c r="T18" s="92">
        <f>+E18-Q18-R18-S18</f>
        <v>0</v>
      </c>
      <c r="U18" s="89"/>
      <c r="V18" s="125"/>
      <c r="W18" s="125"/>
      <c r="X18" s="92">
        <f>+F18-U18-V18-W18</f>
        <v>0</v>
      </c>
      <c r="Y18" s="89"/>
      <c r="Z18" s="125"/>
      <c r="AA18" s="125"/>
      <c r="AB18" s="92">
        <f>+G18-Y18-Z18-AA18</f>
        <v>0</v>
      </c>
      <c r="AC18" s="89"/>
      <c r="AD18" s="125"/>
      <c r="AE18" s="125"/>
      <c r="AF18" s="92">
        <f>+H18-AC18-AD18-AE18</f>
        <v>0</v>
      </c>
      <c r="AG18" s="89"/>
      <c r="AH18" s="125"/>
      <c r="AI18" s="125"/>
      <c r="AJ18" s="92"/>
      <c r="AK18" s="89"/>
      <c r="AL18" s="125"/>
      <c r="AM18" s="125"/>
      <c r="AN18" s="92"/>
      <c r="AO18" s="89"/>
      <c r="AP18" s="125"/>
      <c r="AQ18" s="125"/>
      <c r="AR18" s="92">
        <f t="shared" si="5"/>
        <v>0</v>
      </c>
      <c r="AS18" s="396"/>
      <c r="AT18" s="396"/>
      <c r="AU18" s="396"/>
      <c r="AV18" s="92">
        <f t="shared" si="6"/>
        <v>0</v>
      </c>
      <c r="AW18" s="396"/>
      <c r="AX18" s="370"/>
      <c r="AY18" s="394"/>
      <c r="BB18" s="370"/>
      <c r="BC18" s="396"/>
      <c r="BD18" s="396"/>
      <c r="BF18" s="396"/>
      <c r="BG18" s="396"/>
    </row>
    <row r="19" spans="2:64" hidden="1" outlineLevel="1">
      <c r="B19" s="91" t="s">
        <v>345</v>
      </c>
      <c r="C19" s="122">
        <v>231.49199999999999</v>
      </c>
      <c r="D19" s="122">
        <v>429.12299999999999</v>
      </c>
      <c r="E19" s="122">
        <v>576.43299999999999</v>
      </c>
      <c r="F19" s="122">
        <v>663.05700000000002</v>
      </c>
      <c r="G19" s="122">
        <v>761.18700000000001</v>
      </c>
      <c r="H19" s="122">
        <v>793.37599999999998</v>
      </c>
      <c r="I19" s="122">
        <v>1391.518</v>
      </c>
      <c r="J19" s="122">
        <v>1843.4269999999999</v>
      </c>
      <c r="K19" s="122">
        <v>1537.4110000000001</v>
      </c>
      <c r="L19" s="122">
        <v>1865.2570000000001</v>
      </c>
      <c r="M19" s="122">
        <v>2181.3139999999999</v>
      </c>
      <c r="N19" s="122">
        <v>2227.9090000000001</v>
      </c>
      <c r="O19" s="122">
        <v>2227.9090000000001</v>
      </c>
      <c r="P19" s="375"/>
      <c r="Q19" s="117">
        <v>96.162999999999997</v>
      </c>
      <c r="R19" s="122">
        <f>258.37-Q19</f>
        <v>162.20699999999999</v>
      </c>
      <c r="S19" s="122">
        <f>409.119-R19-Q19</f>
        <v>150.74900000000002</v>
      </c>
      <c r="T19" s="92">
        <f>+E19-Q19-R19-S19</f>
        <v>167.31399999999996</v>
      </c>
      <c r="U19" s="117">
        <v>156.37100000000001</v>
      </c>
      <c r="V19" s="122">
        <f>308.713-U19</f>
        <v>152.34200000000001</v>
      </c>
      <c r="W19" s="122">
        <f>482.011-V19-U19</f>
        <v>173.29799999999997</v>
      </c>
      <c r="X19" s="92">
        <f>+F19-U19-V19-W19</f>
        <v>181.04600000000008</v>
      </c>
      <c r="Y19" s="117">
        <v>180.49199999999999</v>
      </c>
      <c r="Z19" s="122">
        <f>362.958-Y19</f>
        <v>182.46600000000004</v>
      </c>
      <c r="AA19" s="122">
        <f>547.219-Z19-Y19</f>
        <v>184.26100000000005</v>
      </c>
      <c r="AB19" s="92">
        <f>+G19-Y19-Z19-AA19</f>
        <v>213.96799999999999</v>
      </c>
      <c r="AC19" s="117">
        <v>186.9</v>
      </c>
      <c r="AD19" s="122">
        <f>373.917-AC19</f>
        <v>187.01699999999997</v>
      </c>
      <c r="AE19" s="122">
        <f>570.366-AD19-AC19</f>
        <v>196.44900000000004</v>
      </c>
      <c r="AF19" s="92">
        <f>+H19-AC19-AD19-AE19</f>
        <v>223.01000000000002</v>
      </c>
      <c r="AG19" s="117">
        <v>407.84800000000001</v>
      </c>
      <c r="AH19" s="122">
        <f>861.255-AG19</f>
        <v>453.40699999999998</v>
      </c>
      <c r="AI19" s="122">
        <f>1323.197-AH19-AG19</f>
        <v>461.94199999999995</v>
      </c>
      <c r="AJ19" s="92">
        <f>K19-AG19-AH19-AI19</f>
        <v>214.21400000000023</v>
      </c>
      <c r="AK19" s="117">
        <v>470.1</v>
      </c>
      <c r="AL19" s="122">
        <f>1026.252-AK19</f>
        <v>556.15199999999993</v>
      </c>
      <c r="AM19" s="122">
        <f>1561.921-AL19-AK19</f>
        <v>535.6690000000001</v>
      </c>
      <c r="AN19" s="92">
        <f>L19-AK19-AL19-AM19</f>
        <v>303.33600000000013</v>
      </c>
      <c r="AO19" s="117">
        <v>443.298</v>
      </c>
      <c r="AP19" s="122">
        <f>1014.617-AO19</f>
        <v>571.31899999999996</v>
      </c>
      <c r="AQ19" s="122">
        <f>1462.852-AP19-AO19</f>
        <v>448.23500000000013</v>
      </c>
      <c r="AR19" s="92">
        <f t="shared" si="5"/>
        <v>765.05700000000002</v>
      </c>
      <c r="AS19" s="378"/>
      <c r="AT19" s="378"/>
      <c r="AU19" s="378"/>
      <c r="AV19" s="92">
        <f t="shared" si="6"/>
        <v>162.20699999999999</v>
      </c>
      <c r="AW19" s="378"/>
      <c r="AX19" s="370"/>
      <c r="AY19" s="394"/>
      <c r="BB19" s="370"/>
      <c r="BC19" s="378"/>
      <c r="BD19" s="378"/>
      <c r="BF19" s="378"/>
      <c r="BG19" s="378"/>
    </row>
    <row r="20" spans="2:64" hidden="1" outlineLevel="1">
      <c r="B20" s="91" t="s">
        <v>38</v>
      </c>
      <c r="C20" s="122">
        <v>262.59699999999998</v>
      </c>
      <c r="D20" s="122">
        <v>327.05799999999999</v>
      </c>
      <c r="E20" s="122">
        <v>380.666</v>
      </c>
      <c r="F20" s="122">
        <v>421.20600000000002</v>
      </c>
      <c r="G20" s="122">
        <v>527.73</v>
      </c>
      <c r="H20" s="122">
        <v>1119.4580000000001</v>
      </c>
      <c r="I20" s="122">
        <v>1208.182</v>
      </c>
      <c r="J20" s="122">
        <v>1113.3620000000001</v>
      </c>
      <c r="K20" s="122">
        <f>87.71+859.778+153.706</f>
        <v>1101.194</v>
      </c>
      <c r="L20" s="122">
        <f>59.403+756.813+150.707</f>
        <v>966.923</v>
      </c>
      <c r="M20" s="122">
        <f>756.813+150.707+59.403</f>
        <v>966.923</v>
      </c>
      <c r="N20" s="122">
        <f>946.707+154.281+8.117</f>
        <v>1109.105</v>
      </c>
      <c r="O20" s="122">
        <f>946.707+154.281+8.117</f>
        <v>1109.105</v>
      </c>
      <c r="P20" s="375"/>
      <c r="Q20" s="122">
        <v>78.870999999999995</v>
      </c>
      <c r="R20" s="122">
        <f>157.358-Q20</f>
        <v>78.487000000000009</v>
      </c>
      <c r="S20" s="122">
        <f>250.785-R20-Q20</f>
        <v>93.427000000000007</v>
      </c>
      <c r="T20" s="92">
        <f>+E20-Q20-R20-S20</f>
        <v>129.88099999999997</v>
      </c>
      <c r="U20" s="117">
        <v>70.114999999999995</v>
      </c>
      <c r="V20" s="122">
        <f>194.805-U20</f>
        <v>124.69000000000001</v>
      </c>
      <c r="W20" s="122">
        <f>317.39-V20-U20</f>
        <v>122.58499999999999</v>
      </c>
      <c r="X20" s="92">
        <f>+F20-U20-V20-W20</f>
        <v>103.81600000000002</v>
      </c>
      <c r="Y20" s="117">
        <v>75.53</v>
      </c>
      <c r="Z20" s="122">
        <f>184.766-Y20</f>
        <v>109.23599999999999</v>
      </c>
      <c r="AA20" s="122">
        <f>317.05-Z20-Y20</f>
        <v>132.28400000000002</v>
      </c>
      <c r="AB20" s="92">
        <f>+G20-Y20-Z20-AA20</f>
        <v>210.68000000000004</v>
      </c>
      <c r="AC20" s="117">
        <v>116.05200000000001</v>
      </c>
      <c r="AD20" s="122">
        <f>423.128-AC20</f>
        <v>307.07599999999996</v>
      </c>
      <c r="AE20" s="122">
        <f>695.13-AD20-AC20</f>
        <v>272.00200000000001</v>
      </c>
      <c r="AF20" s="92">
        <f>+H20-AC20-AD20-AE20</f>
        <v>424.32800000000015</v>
      </c>
      <c r="AG20" s="117">
        <f>173.988+15.576+30.597</f>
        <v>220.161</v>
      </c>
      <c r="AH20" s="122">
        <f>399.224+26.707+37.027-AG20</f>
        <v>242.79699999999997</v>
      </c>
      <c r="AI20" s="122">
        <f>637.671+55.479+56.47-AH20-AG20</f>
        <v>286.66200000000015</v>
      </c>
      <c r="AJ20" s="92">
        <f>K20-AG20-AH20-AI20</f>
        <v>351.57399999999973</v>
      </c>
      <c r="AK20" s="117">
        <f>140.787+25.229+15.378</f>
        <v>181.39400000000001</v>
      </c>
      <c r="AL20" s="122">
        <f>295.053+59.757+24.99-AK20</f>
        <v>198.40600000000001</v>
      </c>
      <c r="AM20" s="122">
        <f>510.132+91.425+38.447-AL20-AK20</f>
        <v>260.20400000000001</v>
      </c>
      <c r="AN20" s="92">
        <f>L20-AK20-AL20-AM20</f>
        <v>326.91900000000004</v>
      </c>
      <c r="AO20" s="117">
        <f>228.75+33.231+6.511</f>
        <v>268.49200000000002</v>
      </c>
      <c r="AP20" s="122">
        <f>462.761+64.134+33.504-AO20</f>
        <v>291.90699999999998</v>
      </c>
      <c r="AQ20" s="122">
        <f>691.382+99.321+47.947-AP20-AO20</f>
        <v>278.25099999999992</v>
      </c>
      <c r="AR20" s="92">
        <f t="shared" si="5"/>
        <v>270.45500000000021</v>
      </c>
      <c r="AS20" s="378"/>
      <c r="AT20" s="378"/>
      <c r="AU20" s="378"/>
      <c r="AV20" s="92">
        <f t="shared" si="6"/>
        <v>78.487000000000009</v>
      </c>
      <c r="AW20" s="378"/>
      <c r="AX20" s="370"/>
      <c r="AY20" s="394"/>
      <c r="BB20" s="370"/>
      <c r="BC20" s="378"/>
      <c r="BD20" s="378"/>
      <c r="BF20" s="378"/>
      <c r="BG20" s="378"/>
    </row>
    <row r="21" spans="2:64" hidden="1" outlineLevel="1">
      <c r="B21" s="91" t="s">
        <v>353</v>
      </c>
      <c r="C21" s="122">
        <v>0</v>
      </c>
      <c r="D21" s="122">
        <v>0</v>
      </c>
      <c r="E21" s="105">
        <v>0</v>
      </c>
      <c r="F21" s="105">
        <v>0</v>
      </c>
      <c r="G21" s="105">
        <v>0</v>
      </c>
      <c r="H21" s="105">
        <v>0</v>
      </c>
      <c r="I21" s="105">
        <v>0</v>
      </c>
      <c r="J21" s="105">
        <v>0</v>
      </c>
      <c r="K21" s="105">
        <v>0</v>
      </c>
      <c r="L21" s="105">
        <v>0</v>
      </c>
      <c r="M21" s="105">
        <v>0</v>
      </c>
      <c r="N21" s="105">
        <v>0</v>
      </c>
      <c r="O21" s="105">
        <v>0</v>
      </c>
      <c r="P21" s="375"/>
      <c r="Q21" s="105">
        <v>0</v>
      </c>
      <c r="R21" s="105">
        <f>0-Q21</f>
        <v>0</v>
      </c>
      <c r="S21" s="105">
        <f>0-R21-Q21</f>
        <v>0</v>
      </c>
      <c r="T21" s="92">
        <f>+E21-Q21-R21-S21</f>
        <v>0</v>
      </c>
      <c r="U21" s="105">
        <v>0</v>
      </c>
      <c r="V21" s="122">
        <f>0-U21</f>
        <v>0</v>
      </c>
      <c r="W21" s="105">
        <f>0-V21-U21</f>
        <v>0</v>
      </c>
      <c r="X21" s="92">
        <f>+F21-U21-V21-W21</f>
        <v>0</v>
      </c>
      <c r="Y21" s="105">
        <v>0</v>
      </c>
      <c r="Z21" s="122">
        <f>0-Y21</f>
        <v>0</v>
      </c>
      <c r="AA21" s="105">
        <f>0-Z21-Y21</f>
        <v>0</v>
      </c>
      <c r="AB21" s="92">
        <f>+G21-Y21-Z21-AA21</f>
        <v>0</v>
      </c>
      <c r="AC21" s="105">
        <v>0</v>
      </c>
      <c r="AD21" s="122">
        <f>0-AC21</f>
        <v>0</v>
      </c>
      <c r="AE21" s="105">
        <f>0-AD21-AC21</f>
        <v>0</v>
      </c>
      <c r="AF21" s="92">
        <f>+H21-AC21-AD21-AE21</f>
        <v>0</v>
      </c>
      <c r="AG21" s="105">
        <v>0</v>
      </c>
      <c r="AH21" s="122">
        <f>0-AG21</f>
        <v>0</v>
      </c>
      <c r="AI21" s="105">
        <v>0</v>
      </c>
      <c r="AJ21" s="92">
        <f>K21-AG21-AH21-AI21</f>
        <v>0</v>
      </c>
      <c r="AK21" s="105">
        <v>0</v>
      </c>
      <c r="AL21" s="122">
        <f>0-AK21</f>
        <v>0</v>
      </c>
      <c r="AM21" s="105">
        <f>0-AL21-AK21</f>
        <v>0</v>
      </c>
      <c r="AN21" s="92">
        <f>L21-AK21-AL21-AM21</f>
        <v>0</v>
      </c>
      <c r="AO21" s="105">
        <v>0</v>
      </c>
      <c r="AP21" s="122">
        <f>0-AO21</f>
        <v>0</v>
      </c>
      <c r="AQ21" s="105">
        <f>0-AP21-AO21</f>
        <v>0</v>
      </c>
      <c r="AR21" s="92">
        <f t="shared" si="5"/>
        <v>0</v>
      </c>
      <c r="AS21" s="373"/>
      <c r="AT21" s="373"/>
      <c r="AU21" s="373"/>
      <c r="AV21" s="92">
        <f t="shared" si="6"/>
        <v>0</v>
      </c>
      <c r="AW21" s="373"/>
      <c r="AX21" s="370"/>
      <c r="AY21" s="394"/>
      <c r="BB21" s="370"/>
      <c r="BC21" s="373"/>
      <c r="BD21" s="373"/>
      <c r="BF21" s="373"/>
      <c r="BG21" s="373"/>
    </row>
    <row r="22" spans="2:64" s="93" customFormat="1" hidden="1" outlineLevel="1">
      <c r="B22" s="94" t="s">
        <v>354</v>
      </c>
      <c r="C22" s="95">
        <f t="shared" ref="C22:J22" si="7">+SUM(C10:C21)</f>
        <v>21565.392</v>
      </c>
      <c r="D22" s="95">
        <f t="shared" si="7"/>
        <v>24402.401000000002</v>
      </c>
      <c r="E22" s="95">
        <f t="shared" si="7"/>
        <v>23885.781000000003</v>
      </c>
      <c r="F22" s="95">
        <f t="shared" si="7"/>
        <v>24583.311999999998</v>
      </c>
      <c r="G22" s="95">
        <f t="shared" si="7"/>
        <v>24203.171000000002</v>
      </c>
      <c r="H22" s="95">
        <f t="shared" si="7"/>
        <v>25900.660999999996</v>
      </c>
      <c r="I22" s="95">
        <f t="shared" ref="I22" si="8">+SUM(I10:I21)</f>
        <v>19994.367999999999</v>
      </c>
      <c r="J22" s="95">
        <f t="shared" si="7"/>
        <v>21725.735000000004</v>
      </c>
      <c r="K22" s="95">
        <f t="shared" ref="K22" si="9">+SUM(K10:K21)</f>
        <v>20020.28</v>
      </c>
      <c r="L22" s="95">
        <f t="shared" ref="L22:N22" si="10">+SUM(L10:L21)</f>
        <v>22002.269</v>
      </c>
      <c r="M22" s="95">
        <f t="shared" ref="M22" si="11">+SUM(M10:M21)</f>
        <v>22318.325999999997</v>
      </c>
      <c r="N22" s="95">
        <f t="shared" si="10"/>
        <v>22334.617000000002</v>
      </c>
      <c r="O22" s="95">
        <f t="shared" ref="O22" si="12">+SUM(O10:O21)</f>
        <v>22334.617000000002</v>
      </c>
      <c r="P22" s="375"/>
      <c r="Q22" s="95">
        <f t="shared" ref="Q22" si="13">+SUM(Q10:Q21)</f>
        <v>5748.2489999999989</v>
      </c>
      <c r="R22" s="95">
        <f t="shared" ref="R22:AK22" si="14">+SUM(R10:R21)</f>
        <v>5867.0650000000014</v>
      </c>
      <c r="S22" s="95">
        <f t="shared" si="14"/>
        <v>6003.4719999999988</v>
      </c>
      <c r="T22" s="95">
        <f t="shared" si="14"/>
        <v>6266.9950000000017</v>
      </c>
      <c r="U22" s="95">
        <f t="shared" si="14"/>
        <v>5949.4370000000008</v>
      </c>
      <c r="V22" s="95">
        <f t="shared" si="14"/>
        <v>6153.6139999999996</v>
      </c>
      <c r="W22" s="95">
        <f t="shared" si="14"/>
        <v>6213.2539999999999</v>
      </c>
      <c r="X22" s="95">
        <f t="shared" si="14"/>
        <v>6267.0070000000014</v>
      </c>
      <c r="Y22" s="95">
        <f t="shared" si="14"/>
        <v>6036.5839999999989</v>
      </c>
      <c r="Z22" s="95">
        <f t="shared" si="14"/>
        <v>5792.4139999999998</v>
      </c>
      <c r="AA22" s="95">
        <f t="shared" si="14"/>
        <v>6111.6569999999992</v>
      </c>
      <c r="AB22" s="95">
        <f t="shared" si="14"/>
        <v>6262.5160000000014</v>
      </c>
      <c r="AC22" s="95">
        <f t="shared" si="14"/>
        <v>6064.0190000000002</v>
      </c>
      <c r="AD22" s="95">
        <f t="shared" si="14"/>
        <v>6390.0640000000003</v>
      </c>
      <c r="AE22" s="95">
        <f t="shared" si="14"/>
        <v>6542.9630000000006</v>
      </c>
      <c r="AF22" s="95">
        <f t="shared" si="14"/>
        <v>6903.6149999999998</v>
      </c>
      <c r="AG22" s="95">
        <f t="shared" si="14"/>
        <v>4983.8900000000003</v>
      </c>
      <c r="AH22" s="95">
        <f t="shared" si="14"/>
        <v>5197.5860000000002</v>
      </c>
      <c r="AI22" s="95">
        <f t="shared" si="14"/>
        <v>5367.7360000000008</v>
      </c>
      <c r="AJ22" s="95">
        <f t="shared" si="14"/>
        <v>4471.0679999999993</v>
      </c>
      <c r="AK22" s="95">
        <f t="shared" si="14"/>
        <v>5378.7160000000013</v>
      </c>
      <c r="AL22" s="95">
        <f>+SUM(AL10:AL21)</f>
        <v>5994.5259999999998</v>
      </c>
      <c r="AM22" s="95">
        <f t="shared" ref="AM22" si="15">+SUM(AM10:AM21)</f>
        <v>5695.0649999999996</v>
      </c>
      <c r="AN22" s="95">
        <f t="shared" ref="AN22:AO22" si="16">+SUM(AN10:AN21)</f>
        <v>4933.9620000000004</v>
      </c>
      <c r="AO22" s="95">
        <f t="shared" si="16"/>
        <v>5662.0839999999998</v>
      </c>
      <c r="AP22" s="95">
        <f>+SUM(AP10:AP21)</f>
        <v>5755.7680000000009</v>
      </c>
      <c r="AQ22" s="95">
        <f t="shared" ref="AQ22:AR22" si="17">+SUM(AQ10:AQ21)</f>
        <v>5321.6419999999998</v>
      </c>
      <c r="AR22" s="95">
        <f t="shared" si="17"/>
        <v>5595.1230000000005</v>
      </c>
      <c r="AS22" s="397"/>
      <c r="AT22" s="397"/>
      <c r="AU22" s="397"/>
      <c r="AV22" s="95">
        <f t="shared" ref="AV22" si="18">+SUM(AV10:AV21)</f>
        <v>4068.2960000000003</v>
      </c>
      <c r="AW22" s="397"/>
      <c r="AX22" s="370"/>
      <c r="AY22" s="397">
        <f t="shared" ref="AY22" si="19">+SUM(AY10:AY21)</f>
        <v>0</v>
      </c>
      <c r="BB22" s="370"/>
      <c r="BC22" s="397"/>
      <c r="BD22" s="397"/>
      <c r="BE22" s="10"/>
      <c r="BF22" s="397"/>
      <c r="BG22" s="397"/>
    </row>
    <row r="23" spans="2:64" s="93" customFormat="1" hidden="1" outlineLevel="1">
      <c r="B23" s="197" t="s">
        <v>355</v>
      </c>
      <c r="C23" s="95"/>
      <c r="D23" s="95"/>
      <c r="E23" s="95"/>
      <c r="F23" s="95"/>
      <c r="G23" s="95"/>
      <c r="H23" s="95"/>
      <c r="I23" s="117">
        <v>5906.2929999999997</v>
      </c>
      <c r="J23" s="117">
        <v>5795.9189999999999</v>
      </c>
      <c r="K23" s="117">
        <v>7475.79</v>
      </c>
      <c r="L23" s="117">
        <v>1487.21</v>
      </c>
      <c r="M23" s="196"/>
      <c r="N23" s="196"/>
      <c r="O23" s="196"/>
      <c r="P23" s="375"/>
      <c r="Q23" s="95"/>
      <c r="R23" s="95"/>
      <c r="S23" s="95"/>
      <c r="T23" s="95"/>
      <c r="U23" s="95"/>
      <c r="V23" s="95"/>
      <c r="W23" s="95"/>
      <c r="X23" s="95"/>
      <c r="Y23" s="95"/>
      <c r="Z23" s="95"/>
      <c r="AA23" s="95"/>
      <c r="AB23" s="95"/>
      <c r="AC23" s="95"/>
      <c r="AD23" s="95"/>
      <c r="AE23" s="95"/>
      <c r="AF23" s="95"/>
      <c r="AG23" s="117">
        <v>1486.0609999999999</v>
      </c>
      <c r="AH23" s="117">
        <f>2992.714-AG23</f>
        <v>1506.653</v>
      </c>
      <c r="AI23" s="95"/>
      <c r="AJ23" s="95"/>
      <c r="AK23" s="95"/>
      <c r="AL23" s="95"/>
      <c r="AM23" s="117">
        <f>953.37-AL23-AK23</f>
        <v>953.37</v>
      </c>
      <c r="AN23" s="92">
        <f>L23-AK23-AL23-AM23</f>
        <v>533.84</v>
      </c>
      <c r="AO23" s="117">
        <v>76.959000000000003</v>
      </c>
      <c r="AP23" s="95"/>
      <c r="AQ23" s="95"/>
      <c r="AR23" s="92">
        <f>N23-AO23-AP23-AQ23</f>
        <v>-76.959000000000003</v>
      </c>
      <c r="AS23" s="378"/>
      <c r="AT23" s="378"/>
      <c r="AU23" s="378"/>
      <c r="AV23" s="92">
        <f>R23-AS23-AT23-AU23</f>
        <v>0</v>
      </c>
      <c r="AW23" s="378"/>
      <c r="AX23" s="370"/>
      <c r="AY23" s="394"/>
      <c r="BB23" s="370"/>
      <c r="BC23" s="378"/>
      <c r="BD23" s="378"/>
      <c r="BE23" s="10"/>
      <c r="BF23" s="378"/>
      <c r="BG23" s="378"/>
    </row>
    <row r="24" spans="2:64" s="104" customFormat="1" hidden="1" outlineLevel="1">
      <c r="B24" s="194" t="s">
        <v>31</v>
      </c>
      <c r="C24" s="195"/>
      <c r="D24" s="195"/>
      <c r="E24" s="195"/>
      <c r="F24" s="195"/>
      <c r="G24" s="95">
        <f>G22+G23</f>
        <v>24203.171000000002</v>
      </c>
      <c r="H24" s="95">
        <f t="shared" ref="H24:AK24" si="20">H22+H23</f>
        <v>25900.660999999996</v>
      </c>
      <c r="I24" s="95">
        <f t="shared" ref="I24" si="21">I22+I23</f>
        <v>25900.661</v>
      </c>
      <c r="J24" s="95">
        <f t="shared" si="20"/>
        <v>27521.654000000002</v>
      </c>
      <c r="K24" s="95">
        <f t="shared" ref="K24" si="22">K22+K23</f>
        <v>27496.07</v>
      </c>
      <c r="L24" s="95">
        <f t="shared" ref="L24:N24" si="23">L22+L23</f>
        <v>23489.478999999999</v>
      </c>
      <c r="M24" s="95">
        <f t="shared" ref="M24" si="24">M22+M23</f>
        <v>22318.325999999997</v>
      </c>
      <c r="N24" s="95">
        <f t="shared" si="23"/>
        <v>22334.617000000002</v>
      </c>
      <c r="O24" s="95">
        <f t="shared" ref="O24" si="25">O22+O23</f>
        <v>22334.617000000002</v>
      </c>
      <c r="P24" s="375"/>
      <c r="Q24" s="95">
        <f t="shared" ref="Q24" si="26">Q22+Q23</f>
        <v>5748.2489999999989</v>
      </c>
      <c r="R24" s="95">
        <f t="shared" si="20"/>
        <v>5867.0650000000014</v>
      </c>
      <c r="S24" s="95">
        <f t="shared" si="20"/>
        <v>6003.4719999999988</v>
      </c>
      <c r="T24" s="95">
        <f t="shared" si="20"/>
        <v>6266.9950000000017</v>
      </c>
      <c r="U24" s="95">
        <f t="shared" si="20"/>
        <v>5949.4370000000008</v>
      </c>
      <c r="V24" s="95">
        <f t="shared" si="20"/>
        <v>6153.6139999999996</v>
      </c>
      <c r="W24" s="95">
        <f t="shared" si="20"/>
        <v>6213.2539999999999</v>
      </c>
      <c r="X24" s="95">
        <f t="shared" si="20"/>
        <v>6267.0070000000014</v>
      </c>
      <c r="Y24" s="95">
        <f t="shared" si="20"/>
        <v>6036.5839999999989</v>
      </c>
      <c r="Z24" s="95">
        <f t="shared" si="20"/>
        <v>5792.4139999999998</v>
      </c>
      <c r="AA24" s="95">
        <f t="shared" si="20"/>
        <v>6111.6569999999992</v>
      </c>
      <c r="AB24" s="95">
        <f t="shared" si="20"/>
        <v>6262.5160000000014</v>
      </c>
      <c r="AC24" s="95">
        <f t="shared" si="20"/>
        <v>6064.0190000000002</v>
      </c>
      <c r="AD24" s="95">
        <f t="shared" si="20"/>
        <v>6390.0640000000003</v>
      </c>
      <c r="AE24" s="95">
        <f t="shared" si="20"/>
        <v>6542.9630000000006</v>
      </c>
      <c r="AF24" s="95">
        <f t="shared" si="20"/>
        <v>6903.6149999999998</v>
      </c>
      <c r="AG24" s="95">
        <f t="shared" si="20"/>
        <v>6469.951</v>
      </c>
      <c r="AH24" s="95">
        <f t="shared" si="20"/>
        <v>6704.2390000000005</v>
      </c>
      <c r="AI24" s="95">
        <f t="shared" si="20"/>
        <v>5367.7360000000008</v>
      </c>
      <c r="AJ24" s="95">
        <f t="shared" si="20"/>
        <v>4471.0679999999993</v>
      </c>
      <c r="AK24" s="95">
        <f t="shared" si="20"/>
        <v>5378.7160000000013</v>
      </c>
      <c r="AL24" s="95">
        <f t="shared" ref="AL24" si="27">AL22+AL23</f>
        <v>5994.5259999999998</v>
      </c>
      <c r="AM24" s="95">
        <f t="shared" ref="AM24:AP24" si="28">AM22+AM23</f>
        <v>6648.4349999999995</v>
      </c>
      <c r="AN24" s="95">
        <f t="shared" si="28"/>
        <v>5467.8020000000006</v>
      </c>
      <c r="AO24" s="95">
        <f t="shared" si="28"/>
        <v>5739.0429999999997</v>
      </c>
      <c r="AP24" s="95">
        <f t="shared" si="28"/>
        <v>5755.7680000000009</v>
      </c>
      <c r="AQ24" s="95">
        <f t="shared" ref="AQ24:AR24" si="29">AQ22+AQ23</f>
        <v>5321.6419999999998</v>
      </c>
      <c r="AR24" s="95">
        <f t="shared" si="29"/>
        <v>5518.1640000000007</v>
      </c>
      <c r="AS24" s="397"/>
      <c r="AT24" s="397"/>
      <c r="AU24" s="397"/>
      <c r="AV24" s="95">
        <f t="shared" ref="AV24" si="30">AV22+AV23</f>
        <v>4068.2960000000003</v>
      </c>
      <c r="AW24" s="397"/>
      <c r="AX24" s="370"/>
      <c r="AY24" s="397">
        <f t="shared" ref="AY24" si="31">AY22+AY23</f>
        <v>0</v>
      </c>
      <c r="BB24" s="370"/>
      <c r="BC24" s="397"/>
      <c r="BD24" s="397"/>
      <c r="BE24" s="10"/>
      <c r="BF24" s="397"/>
      <c r="BG24" s="397"/>
    </row>
    <row r="25" spans="2:64" hidden="1" outlineLevel="1">
      <c r="B25" s="90"/>
      <c r="C25" s="9"/>
      <c r="D25" s="9"/>
      <c r="E25" s="9"/>
      <c r="F25" s="9"/>
      <c r="G25" s="9"/>
      <c r="H25" s="9"/>
      <c r="I25" s="9"/>
      <c r="J25" s="9"/>
      <c r="K25" s="9"/>
      <c r="L25" s="9"/>
      <c r="M25" s="9"/>
      <c r="N25" s="9"/>
      <c r="O25" s="9"/>
      <c r="P25" s="375"/>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89"/>
      <c r="AS25" s="396"/>
      <c r="AT25" s="396"/>
      <c r="AU25" s="396"/>
      <c r="AV25" s="89"/>
      <c r="AW25" s="396"/>
      <c r="AX25" s="370"/>
      <c r="AY25" s="89"/>
      <c r="BB25" s="370"/>
      <c r="BC25" s="396"/>
      <c r="BD25" s="396"/>
      <c r="BF25" s="396"/>
      <c r="BG25" s="396"/>
    </row>
    <row r="26" spans="2:64" s="119" customFormat="1" hidden="1" outlineLevel="1">
      <c r="B26" s="118" t="s">
        <v>356</v>
      </c>
      <c r="C26" s="120">
        <f>+C22-Model!C7</f>
        <v>0</v>
      </c>
      <c r="D26" s="120">
        <f>+D22-Model!D7</f>
        <v>0</v>
      </c>
      <c r="E26" s="120">
        <f>+E22-Model!E7</f>
        <v>0</v>
      </c>
      <c r="F26" s="120">
        <f>+F22-Model!F7</f>
        <v>0</v>
      </c>
      <c r="G26" s="120">
        <f>+G22-Model!G7</f>
        <v>0</v>
      </c>
      <c r="H26" s="120">
        <f>+H22-Model!H7</f>
        <v>0</v>
      </c>
      <c r="I26" s="120">
        <f>+I22-Model!J7</f>
        <v>0</v>
      </c>
      <c r="J26" s="120">
        <f>+J22-Model!K7</f>
        <v>0</v>
      </c>
      <c r="K26" s="120">
        <f>+K22-Model!L7</f>
        <v>0</v>
      </c>
      <c r="L26" s="120">
        <f>+L22-Model!M7</f>
        <v>0</v>
      </c>
      <c r="M26" s="120">
        <f>+M22-Model!N7</f>
        <v>0</v>
      </c>
      <c r="N26" s="120">
        <f>+N22-Model!O7</f>
        <v>0</v>
      </c>
      <c r="O26" s="120">
        <f>+O22-Model!P7</f>
        <v>9792.6990000000023</v>
      </c>
      <c r="P26" s="375"/>
      <c r="Q26" s="120">
        <f>+Q22-Model!T7</f>
        <v>0</v>
      </c>
      <c r="R26" s="120">
        <f>+R22-Model!U7</f>
        <v>0</v>
      </c>
      <c r="S26" s="120">
        <f>+S22-Model!V7</f>
        <v>0</v>
      </c>
      <c r="T26" s="120">
        <f>+T22-Model!W7</f>
        <v>0</v>
      </c>
      <c r="U26" s="120">
        <f>+U22-Model!X7</f>
        <v>0</v>
      </c>
      <c r="V26" s="120">
        <f>+V22-Model!Y7</f>
        <v>0</v>
      </c>
      <c r="W26" s="120">
        <f>+W22-Model!Z7</f>
        <v>0</v>
      </c>
      <c r="X26" s="120">
        <f>+X22-Model!AA7</f>
        <v>0</v>
      </c>
      <c r="Y26" s="120">
        <f>+Y22-Model!AB7</f>
        <v>0</v>
      </c>
      <c r="Z26" s="120">
        <f>+Z22-Model!AC7</f>
        <v>0</v>
      </c>
      <c r="AA26" s="120">
        <f>+AA22-Model!AD7</f>
        <v>0</v>
      </c>
      <c r="AB26" s="120">
        <f>+AB22-Model!AE7</f>
        <v>0</v>
      </c>
      <c r="AC26" s="120">
        <f>+AC22-Model!AF7</f>
        <v>0</v>
      </c>
      <c r="AD26" s="120">
        <f>+AD22-Model!AG7</f>
        <v>0</v>
      </c>
      <c r="AE26" s="120">
        <f>+AE22-Model!AH7</f>
        <v>0</v>
      </c>
      <c r="AF26" s="120">
        <f>+AF22-Model!AI7</f>
        <v>0</v>
      </c>
      <c r="AG26" s="120">
        <f>+AG22-Model!AR7</f>
        <v>0</v>
      </c>
      <c r="AH26" s="120">
        <f>+AH22-Model!AS7</f>
        <v>-1.8999999999323336E-2</v>
      </c>
      <c r="AI26" s="120">
        <f>+AI22-Model!AV7</f>
        <v>0.35300000000097498</v>
      </c>
      <c r="AJ26" s="120">
        <f>+AJ22-Model!AW7</f>
        <v>-0.33400000000074215</v>
      </c>
      <c r="AK26" s="120">
        <f>+AK22-Model!AX7</f>
        <v>0</v>
      </c>
      <c r="AL26" s="120">
        <f>+AL22-Model!AZ7</f>
        <v>0</v>
      </c>
      <c r="AM26" s="120">
        <f>+AM22-Model!BC7</f>
        <v>-0.63200000000051659</v>
      </c>
      <c r="AN26" s="120">
        <f>+AN22-Model!BD7</f>
        <v>0.63200000000051659</v>
      </c>
      <c r="AO26" s="120">
        <f>+AO22-Model!BE7</f>
        <v>0</v>
      </c>
      <c r="AP26" s="120">
        <f>+AP22-Model!BF7</f>
        <v>2.0000000013169483E-3</v>
      </c>
      <c r="AQ26" s="120">
        <f>+AQ22-Model!BG7</f>
        <v>-1.0000000002037268E-3</v>
      </c>
      <c r="AR26" s="120">
        <f>+AR22-Model!BH7</f>
        <v>-9.9999999929423211E-4</v>
      </c>
      <c r="AS26" s="398"/>
      <c r="AT26" s="398"/>
      <c r="AU26" s="398"/>
      <c r="AV26" s="120">
        <f>+AV22-Model!BL7</f>
        <v>3286.0950000000012</v>
      </c>
      <c r="AW26" s="398"/>
      <c r="AX26" s="370"/>
      <c r="AY26" s="120"/>
      <c r="BB26" s="370"/>
      <c r="BC26" s="398"/>
      <c r="BD26" s="398"/>
      <c r="BE26" s="10"/>
      <c r="BF26" s="398"/>
      <c r="BG26" s="398"/>
    </row>
    <row r="27" spans="2:64" hidden="1" outlineLevel="1">
      <c r="B27" s="90"/>
      <c r="C27" s="9"/>
      <c r="D27" s="9"/>
      <c r="E27" s="9"/>
      <c r="F27" s="9"/>
      <c r="G27" s="9"/>
      <c r="H27" s="9"/>
      <c r="I27" s="9"/>
      <c r="J27" s="9"/>
      <c r="K27" s="9"/>
      <c r="L27" s="9"/>
      <c r="M27" s="9"/>
      <c r="N27" s="9"/>
      <c r="O27" s="9"/>
      <c r="P27" s="375"/>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89"/>
      <c r="AT27" s="89"/>
      <c r="AU27" s="89"/>
      <c r="AV27" s="89"/>
      <c r="AW27" s="89"/>
      <c r="AX27" s="370"/>
      <c r="AY27" s="89"/>
      <c r="BB27" s="370"/>
      <c r="BC27" s="89"/>
      <c r="BD27" s="89"/>
      <c r="BF27" s="89"/>
      <c r="BG27" s="89"/>
    </row>
    <row r="28" spans="2:64" hidden="1" outlineLevel="1">
      <c r="B28" s="90" t="s">
        <v>357</v>
      </c>
      <c r="C28" s="97"/>
      <c r="D28" s="97"/>
      <c r="E28" s="97"/>
      <c r="F28" s="97"/>
      <c r="G28" s="97"/>
      <c r="H28" s="97"/>
      <c r="I28" s="97"/>
      <c r="J28" s="97"/>
      <c r="K28" s="97"/>
      <c r="L28" s="97"/>
      <c r="M28" s="97"/>
      <c r="N28" s="97"/>
      <c r="O28" s="97"/>
      <c r="P28" s="375"/>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370"/>
      <c r="AY28" s="98"/>
      <c r="BB28" s="370"/>
      <c r="BC28" s="98"/>
      <c r="BD28" s="98"/>
      <c r="BF28" s="98"/>
      <c r="BG28" s="98"/>
    </row>
    <row r="29" spans="2:64" hidden="1" outlineLevel="1">
      <c r="B29" s="90" t="str">
        <f t="shared" ref="B29:B41" si="32">+B9</f>
        <v>Mobile</v>
      </c>
      <c r="C29" s="97"/>
      <c r="D29" s="97"/>
      <c r="E29" s="97"/>
      <c r="F29" s="97"/>
      <c r="G29" s="97"/>
      <c r="H29" s="97"/>
      <c r="I29" s="97"/>
      <c r="J29" s="97"/>
      <c r="K29" s="97"/>
      <c r="L29" s="97"/>
      <c r="M29" s="97"/>
      <c r="N29" s="97"/>
      <c r="O29" s="97"/>
      <c r="P29" s="375"/>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370"/>
      <c r="AY29" s="98"/>
      <c r="BB29" s="370"/>
      <c r="BC29" s="98"/>
      <c r="BD29" s="98"/>
      <c r="BF29" s="98"/>
      <c r="BG29" s="98"/>
    </row>
    <row r="30" spans="2:64" hidden="1" outlineLevel="1">
      <c r="B30" s="114" t="str">
        <f t="shared" si="32"/>
        <v>Malaysia</v>
      </c>
      <c r="C30" s="101">
        <f t="shared" ref="C30:J35" si="33">+C10/C$22</f>
        <v>0.30496306304100573</v>
      </c>
      <c r="D30" s="101">
        <f t="shared" si="33"/>
        <v>0.26838088596281978</v>
      </c>
      <c r="E30" s="101">
        <f t="shared" si="33"/>
        <v>0.30497776061833604</v>
      </c>
      <c r="F30" s="101">
        <f t="shared" si="33"/>
        <v>0.2705644381847328</v>
      </c>
      <c r="G30" s="101">
        <f t="shared" si="33"/>
        <v>0.2550924835427556</v>
      </c>
      <c r="H30" s="101">
        <f t="shared" si="33"/>
        <v>0.25497187118120268</v>
      </c>
      <c r="I30" s="399"/>
      <c r="J30" s="399"/>
      <c r="K30" s="399"/>
      <c r="L30" s="399"/>
      <c r="M30" s="399"/>
      <c r="N30" s="399"/>
      <c r="O30" s="399"/>
      <c r="P30" s="375"/>
      <c r="Q30" s="101">
        <f t="shared" ref="Q30" si="34">+Q10/Q$22</f>
        <v>0.3113951744261601</v>
      </c>
      <c r="R30" s="101">
        <f t="shared" ref="R30:AF30" si="35">+R10/R$22</f>
        <v>0.30658753567584468</v>
      </c>
      <c r="S30" s="101">
        <f t="shared" si="35"/>
        <v>0.29984032573150998</v>
      </c>
      <c r="T30" s="101">
        <f t="shared" si="35"/>
        <v>0.30250590594056637</v>
      </c>
      <c r="U30" s="101">
        <f t="shared" si="35"/>
        <v>0.27759063588705951</v>
      </c>
      <c r="V30" s="101">
        <f t="shared" si="35"/>
        <v>0.26839480019383738</v>
      </c>
      <c r="W30" s="101">
        <f t="shared" si="35"/>
        <v>0.26101137986633094</v>
      </c>
      <c r="X30" s="101">
        <f t="shared" si="35"/>
        <v>0.27549578291519372</v>
      </c>
      <c r="Y30" s="101">
        <f t="shared" si="35"/>
        <v>0.25479112027597067</v>
      </c>
      <c r="Z30" s="101">
        <f t="shared" si="35"/>
        <v>0.24803924581357617</v>
      </c>
      <c r="AA30" s="101">
        <f t="shared" si="35"/>
        <v>0.25716299196764486</v>
      </c>
      <c r="AB30" s="101">
        <f t="shared" si="35"/>
        <v>0.25988612244663306</v>
      </c>
      <c r="AC30" s="101">
        <f t="shared" si="35"/>
        <v>0.26986788794692101</v>
      </c>
      <c r="AD30" s="101">
        <f t="shared" si="35"/>
        <v>0.25420934751201241</v>
      </c>
      <c r="AE30" s="101">
        <f t="shared" si="35"/>
        <v>0.24429421349318334</v>
      </c>
      <c r="AF30" s="101">
        <f t="shared" si="35"/>
        <v>0.25271310755307191</v>
      </c>
      <c r="AG30" s="399"/>
      <c r="AH30" s="399"/>
      <c r="AI30" s="399"/>
      <c r="AJ30" s="399"/>
      <c r="AK30" s="399"/>
      <c r="AL30" s="399"/>
      <c r="AM30" s="399"/>
      <c r="AN30" s="399"/>
      <c r="AO30" s="399"/>
      <c r="AP30" s="399"/>
      <c r="AQ30" s="399"/>
      <c r="AR30" s="399"/>
      <c r="AS30" s="398"/>
      <c r="AT30" s="398"/>
      <c r="AU30" s="398"/>
      <c r="AV30" s="399"/>
      <c r="AW30" s="398"/>
      <c r="AX30" s="370"/>
      <c r="AY30" s="399"/>
      <c r="BB30" s="370"/>
      <c r="BC30" s="398"/>
      <c r="BD30" s="398"/>
      <c r="BF30" s="398"/>
      <c r="BG30" s="398"/>
    </row>
    <row r="31" spans="2:64" hidden="1" outlineLevel="1">
      <c r="B31" s="114" t="str">
        <f t="shared" si="32"/>
        <v>Indonesia</v>
      </c>
      <c r="C31" s="101">
        <f t="shared" si="33"/>
        <v>0.30623927448200339</v>
      </c>
      <c r="D31" s="101">
        <f t="shared" si="33"/>
        <v>0.29867351987208141</v>
      </c>
      <c r="E31" s="101">
        <f t="shared" si="33"/>
        <v>0.26903365646700012</v>
      </c>
      <c r="F31" s="101">
        <f t="shared" si="33"/>
        <v>0.2953779376839053</v>
      </c>
      <c r="G31" s="101">
        <f t="shared" si="33"/>
        <v>0.30947155643365903</v>
      </c>
      <c r="H31" s="101">
        <f t="shared" si="33"/>
        <v>0.29901391319704163</v>
      </c>
      <c r="I31" s="101">
        <f t="shared" ref="I31" si="36">+I11/I$22</f>
        <v>0.38786562295942539</v>
      </c>
      <c r="J31" s="101">
        <f t="shared" si="33"/>
        <v>0.39702988184289267</v>
      </c>
      <c r="K31" s="101">
        <f t="shared" ref="K31:L31" si="37">+K11/K$22</f>
        <v>0.43085141666350324</v>
      </c>
      <c r="L31" s="101">
        <f t="shared" si="37"/>
        <v>0.43518211689894348</v>
      </c>
      <c r="M31" s="101">
        <f t="shared" ref="M31" si="38">+M11/M$22</f>
        <v>0.42901936283214082</v>
      </c>
      <c r="N31" s="101">
        <f t="shared" ref="N31:O31" si="39">+N11/N$22</f>
        <v>0.43401971029993486</v>
      </c>
      <c r="O31" s="101">
        <f t="shared" si="39"/>
        <v>0.43401971029993486</v>
      </c>
      <c r="P31" s="375"/>
      <c r="Q31" s="101">
        <f t="shared" ref="Q31" si="40">+Q11/Q$22</f>
        <v>0.27308942253545393</v>
      </c>
      <c r="R31" s="101">
        <f t="shared" ref="R31:AK31" si="41">+R11/R$22</f>
        <v>0.26495718046416722</v>
      </c>
      <c r="S31" s="101">
        <f t="shared" si="41"/>
        <v>0.26804955532398589</v>
      </c>
      <c r="T31" s="101">
        <f t="shared" si="41"/>
        <v>0.27007265842720463</v>
      </c>
      <c r="U31" s="101">
        <f t="shared" si="41"/>
        <v>0.2889765871964019</v>
      </c>
      <c r="V31" s="101">
        <f t="shared" si="41"/>
        <v>0.29029380133365529</v>
      </c>
      <c r="W31" s="101">
        <f t="shared" si="41"/>
        <v>0.30372442523675997</v>
      </c>
      <c r="X31" s="101">
        <f t="shared" si="41"/>
        <v>0.29817215777802719</v>
      </c>
      <c r="Y31" s="101">
        <f t="shared" si="41"/>
        <v>0.31116870070887781</v>
      </c>
      <c r="Z31" s="101">
        <f t="shared" si="41"/>
        <v>0.32558429007318884</v>
      </c>
      <c r="AA31" s="101">
        <f t="shared" si="41"/>
        <v>0.3130237838936315</v>
      </c>
      <c r="AB31" s="101">
        <f t="shared" si="41"/>
        <v>0.28946576743276992</v>
      </c>
      <c r="AC31" s="101">
        <f t="shared" si="41"/>
        <v>0.29511022310451207</v>
      </c>
      <c r="AD31" s="101">
        <f t="shared" si="41"/>
        <v>0.30136490025765</v>
      </c>
      <c r="AE31" s="101">
        <f t="shared" si="41"/>
        <v>0.30462605397585163</v>
      </c>
      <c r="AF31" s="101">
        <f t="shared" si="41"/>
        <v>0.29494779184528686</v>
      </c>
      <c r="AG31" s="101">
        <f t="shared" si="41"/>
        <v>0.39499587671477498</v>
      </c>
      <c r="AH31" s="101">
        <f t="shared" si="41"/>
        <v>0.42047673670046054</v>
      </c>
      <c r="AI31" s="101">
        <f t="shared" si="41"/>
        <v>0.42093687170904076</v>
      </c>
      <c r="AJ31" s="101">
        <f t="shared" si="41"/>
        <v>0.49478290198225566</v>
      </c>
      <c r="AK31" s="101">
        <f t="shared" si="41"/>
        <v>0.40383225290199365</v>
      </c>
      <c r="AL31" s="101">
        <f t="shared" ref="AL31" si="42">+AL11/AL$22</f>
        <v>0.40848267235808133</v>
      </c>
      <c r="AM31" s="101">
        <f t="shared" ref="AM31:AR35" si="43">+AM11/AM$22</f>
        <v>0.42893540284439241</v>
      </c>
      <c r="AN31" s="101">
        <f t="shared" si="43"/>
        <v>0.50900675765236958</v>
      </c>
      <c r="AO31" s="101">
        <f t="shared" si="43"/>
        <v>0.44211548256790256</v>
      </c>
      <c r="AP31" s="101">
        <f t="shared" si="43"/>
        <v>0.42891079001099414</v>
      </c>
      <c r="AQ31" s="101">
        <f t="shared" ref="AQ31:AR31" si="44">+AQ11/AQ$22</f>
        <v>0.43003681946286493</v>
      </c>
      <c r="AR31" s="101">
        <f t="shared" si="44"/>
        <v>0.43487086879055215</v>
      </c>
      <c r="AS31" s="398"/>
      <c r="AT31" s="398"/>
      <c r="AU31" s="398"/>
      <c r="AV31" s="101">
        <f t="shared" ref="AV31" si="45">+AV11/AV$22</f>
        <v>0.38210616926595303</v>
      </c>
      <c r="AW31" s="398"/>
      <c r="AX31" s="370"/>
      <c r="AY31" s="399"/>
      <c r="BB31" s="370"/>
      <c r="BC31" s="398"/>
      <c r="BD31" s="398"/>
      <c r="BF31" s="398"/>
      <c r="BG31" s="398"/>
    </row>
    <row r="32" spans="2:64" hidden="1" outlineLevel="1">
      <c r="B32" s="114" t="str">
        <f t="shared" si="32"/>
        <v>Bangladesh</v>
      </c>
      <c r="C32" s="101">
        <f t="shared" si="33"/>
        <v>0.12906758198506199</v>
      </c>
      <c r="D32" s="101">
        <f t="shared" si="33"/>
        <v>0.14919158979479108</v>
      </c>
      <c r="E32" s="101">
        <f t="shared" si="33"/>
        <v>0.13700615441462849</v>
      </c>
      <c r="F32" s="101">
        <f t="shared" si="33"/>
        <v>0.14858559334885391</v>
      </c>
      <c r="G32" s="101">
        <f t="shared" si="33"/>
        <v>0.15336432569104269</v>
      </c>
      <c r="H32" s="101">
        <f t="shared" si="33"/>
        <v>0.14895558070892478</v>
      </c>
      <c r="I32" s="101">
        <f t="shared" ref="I32" si="46">+I12/I$22</f>
        <v>0.19295673661703136</v>
      </c>
      <c r="J32" s="101">
        <f t="shared" si="33"/>
        <v>0.18264325694849906</v>
      </c>
      <c r="K32" s="101">
        <f t="shared" ref="K32:L32" si="47">+K12/K$22</f>
        <v>0.19820222294593282</v>
      </c>
      <c r="L32" s="101">
        <f t="shared" si="47"/>
        <v>0.18693317493754846</v>
      </c>
      <c r="M32" s="101">
        <f t="shared" ref="M32" si="48">+M12/M$22</f>
        <v>0.18428595406304218</v>
      </c>
      <c r="N32" s="101">
        <f t="shared" ref="N32:O32" si="49">+N12/N$22</f>
        <v>0.17316186796487262</v>
      </c>
      <c r="O32" s="101">
        <f t="shared" si="49"/>
        <v>0.17316186796487262</v>
      </c>
      <c r="P32" s="375"/>
      <c r="Q32" s="101">
        <f t="shared" ref="Q32" si="50">+Q12/Q$22</f>
        <v>0.13378178293946558</v>
      </c>
      <c r="R32" s="101">
        <f t="shared" ref="R32:AK32" si="51">+R12/R$22</f>
        <v>0.13246265381413022</v>
      </c>
      <c r="S32" s="101">
        <f t="shared" si="51"/>
        <v>0.14189405730550586</v>
      </c>
      <c r="T32" s="101">
        <f t="shared" si="51"/>
        <v>0.13953481692581526</v>
      </c>
      <c r="U32" s="101">
        <f t="shared" si="51"/>
        <v>0.15000478196508338</v>
      </c>
      <c r="V32" s="101">
        <f t="shared" si="51"/>
        <v>0.14858910552400592</v>
      </c>
      <c r="W32" s="101">
        <f t="shared" si="51"/>
        <v>0.14906375950508377</v>
      </c>
      <c r="X32" s="101">
        <f t="shared" si="51"/>
        <v>0.14676080623493798</v>
      </c>
      <c r="Y32" s="101">
        <f t="shared" si="51"/>
        <v>0.15780033873462213</v>
      </c>
      <c r="Z32" s="101">
        <f t="shared" si="51"/>
        <v>0.15464398780888244</v>
      </c>
      <c r="AA32" s="101">
        <f t="shared" si="51"/>
        <v>0.15497450200493909</v>
      </c>
      <c r="AB32" s="101">
        <f t="shared" si="51"/>
        <v>0.1463333586692632</v>
      </c>
      <c r="AC32" s="101">
        <f t="shared" si="51"/>
        <v>0.15544855647714825</v>
      </c>
      <c r="AD32" s="101">
        <f t="shared" si="51"/>
        <v>0.14880742978474079</v>
      </c>
      <c r="AE32" s="101">
        <f t="shared" si="51"/>
        <v>0.15207208110453935</v>
      </c>
      <c r="AF32" s="101">
        <f t="shared" si="51"/>
        <v>0.14043569926770247</v>
      </c>
      <c r="AG32" s="101">
        <f t="shared" si="51"/>
        <v>0.19203774561637596</v>
      </c>
      <c r="AH32" s="101">
        <f t="shared" si="51"/>
        <v>0.19441448395466662</v>
      </c>
      <c r="AI32" s="101">
        <f t="shared" si="51"/>
        <v>0.18909778722351475</v>
      </c>
      <c r="AJ32" s="101">
        <f t="shared" si="51"/>
        <v>0.22040729418563978</v>
      </c>
      <c r="AK32" s="101">
        <f t="shared" si="51"/>
        <v>0.17752675545613483</v>
      </c>
      <c r="AL32" s="101">
        <f t="shared" ref="AL32" si="52">+AL12/AL$22</f>
        <v>0.17551913195472002</v>
      </c>
      <c r="AM32" s="101">
        <f t="shared" ref="AM32:AO32" si="53">+AM12/AM$22</f>
        <v>0.18570832817535887</v>
      </c>
      <c r="AN32" s="101">
        <f t="shared" si="53"/>
        <v>0.21246880296200082</v>
      </c>
      <c r="AO32" s="101">
        <f t="shared" si="53"/>
        <v>0.18726320556176843</v>
      </c>
      <c r="AP32" s="101">
        <f t="shared" si="43"/>
        <v>0.18404407543875981</v>
      </c>
      <c r="AQ32" s="101">
        <f t="shared" si="43"/>
        <v>0.17049004799646431</v>
      </c>
      <c r="AR32" s="101">
        <f t="shared" si="43"/>
        <v>0.15023834149847995</v>
      </c>
      <c r="AS32" s="398"/>
      <c r="AT32" s="398"/>
      <c r="AU32" s="398"/>
      <c r="AV32" s="101">
        <f t="shared" ref="AV32" si="54">+AV12/AV$22</f>
        <v>0.19103010203780652</v>
      </c>
      <c r="AW32" s="398"/>
      <c r="AX32" s="370"/>
      <c r="AY32" s="399"/>
      <c r="BB32" s="370"/>
      <c r="BC32" s="398"/>
      <c r="BD32" s="398"/>
      <c r="BF32" s="398"/>
      <c r="BG32" s="398"/>
      <c r="BL32" s="32"/>
    </row>
    <row r="33" spans="2:59" hidden="1" outlineLevel="1">
      <c r="B33" s="114" t="str">
        <f t="shared" si="32"/>
        <v>Sri Lanka</v>
      </c>
      <c r="C33" s="101">
        <f t="shared" si="33"/>
        <v>0.11201549222940162</v>
      </c>
      <c r="D33" s="101">
        <f t="shared" si="33"/>
        <v>0.10826840358864687</v>
      </c>
      <c r="E33" s="101">
        <f t="shared" si="33"/>
        <v>0.11304005508549207</v>
      </c>
      <c r="F33" s="101">
        <f t="shared" si="33"/>
        <v>0.10888138262248798</v>
      </c>
      <c r="G33" s="101">
        <f t="shared" si="33"/>
        <v>0.11154513596586166</v>
      </c>
      <c r="H33" s="101">
        <f t="shared" si="33"/>
        <v>0.11286229336000346</v>
      </c>
      <c r="I33" s="101">
        <f t="shared" ref="I33" si="55">+I13/I$22</f>
        <v>0.14621002274240427</v>
      </c>
      <c r="J33" s="101">
        <f t="shared" si="33"/>
        <v>0.11541464535031838</v>
      </c>
      <c r="K33" s="101">
        <f t="shared" ref="K33:L33" si="56">+K13/K$22</f>
        <v>0.12526463166349322</v>
      </c>
      <c r="L33" s="101">
        <f t="shared" si="56"/>
        <v>0.11920793260004228</v>
      </c>
      <c r="M33" s="101">
        <f t="shared" ref="M33" si="57">+M13/M$22</f>
        <v>0.11751979068681048</v>
      </c>
      <c r="N33" s="101">
        <f t="shared" ref="N33:O33" si="58">+N13/N$22</f>
        <v>0.11884296023522586</v>
      </c>
      <c r="O33" s="101">
        <f t="shared" si="58"/>
        <v>0.11884296023522586</v>
      </c>
      <c r="P33" s="375"/>
      <c r="Q33" s="101">
        <f t="shared" ref="Q33" si="59">+Q13/Q$22</f>
        <v>0.11346272577962439</v>
      </c>
      <c r="R33" s="101">
        <f t="shared" ref="R33:AK33" si="60">+R13/R$22</f>
        <v>0.11336025764159761</v>
      </c>
      <c r="S33" s="101">
        <f t="shared" si="60"/>
        <v>0.11755614084649683</v>
      </c>
      <c r="T33" s="101">
        <f t="shared" si="60"/>
        <v>0.10802641457349177</v>
      </c>
      <c r="U33" s="101">
        <f t="shared" si="60"/>
        <v>0.11093890060521691</v>
      </c>
      <c r="V33" s="101">
        <f t="shared" si="60"/>
        <v>0.11140640280654589</v>
      </c>
      <c r="W33" s="101">
        <f t="shared" si="60"/>
        <v>0.10696021762509625</v>
      </c>
      <c r="X33" s="101">
        <f t="shared" si="60"/>
        <v>0.10635347942008043</v>
      </c>
      <c r="Y33" s="101">
        <f t="shared" si="60"/>
        <v>0.10789181431087518</v>
      </c>
      <c r="Z33" s="101">
        <f t="shared" si="60"/>
        <v>0.11335084129000449</v>
      </c>
      <c r="AA33" s="101">
        <f t="shared" si="60"/>
        <v>0.11271100456062896</v>
      </c>
      <c r="AB33" s="101">
        <f t="shared" si="60"/>
        <v>0.11225871518731453</v>
      </c>
      <c r="AC33" s="101">
        <f t="shared" si="60"/>
        <v>0.11176696511010271</v>
      </c>
      <c r="AD33" s="101">
        <f t="shared" si="60"/>
        <v>0.11131218717058233</v>
      </c>
      <c r="AE33" s="101">
        <f t="shared" si="60"/>
        <v>0.11771578106127149</v>
      </c>
      <c r="AF33" s="101">
        <f t="shared" si="60"/>
        <v>0.11065927054159307</v>
      </c>
      <c r="AG33" s="101">
        <f t="shared" si="60"/>
        <v>0.14614267168817932</v>
      </c>
      <c r="AH33" s="101">
        <f t="shared" si="60"/>
        <v>0.10695869197739104</v>
      </c>
      <c r="AI33" s="101">
        <f t="shared" si="60"/>
        <v>0.10710083357303711</v>
      </c>
      <c r="AJ33" s="101">
        <f t="shared" si="60"/>
        <v>0.14507898336594302</v>
      </c>
      <c r="AK33" s="101">
        <f t="shared" si="60"/>
        <v>0.11561532529324839</v>
      </c>
      <c r="AL33" s="101">
        <f t="shared" ref="AL33" si="61">+AL13/AL$22</f>
        <v>0.11611510234503945</v>
      </c>
      <c r="AM33" s="101">
        <f t="shared" ref="AM33:AO33" si="62">+AM13/AM$22</f>
        <v>0.11850330066469833</v>
      </c>
      <c r="AN33" s="101">
        <f t="shared" si="62"/>
        <v>0.12769534909267638</v>
      </c>
      <c r="AO33" s="101">
        <f t="shared" si="62"/>
        <v>0.115171551676026</v>
      </c>
      <c r="AP33" s="101">
        <f t="shared" si="43"/>
        <v>0.10769892045683563</v>
      </c>
      <c r="AQ33" s="101">
        <f t="shared" si="43"/>
        <v>0.13004632780634245</v>
      </c>
      <c r="AR33" s="101">
        <f t="shared" si="43"/>
        <v>0.1233665461867416</v>
      </c>
      <c r="AS33" s="398"/>
      <c r="AT33" s="398"/>
      <c r="AU33" s="398"/>
      <c r="AV33" s="101">
        <f t="shared" ref="AV33" si="63">+AV13/AV$22</f>
        <v>0.16348171322833935</v>
      </c>
      <c r="AW33" s="398"/>
      <c r="AX33" s="370"/>
      <c r="AY33" s="399"/>
      <c r="BB33" s="370"/>
      <c r="BC33" s="398"/>
      <c r="BD33" s="398"/>
      <c r="BF33" s="398"/>
      <c r="BG33" s="398"/>
    </row>
    <row r="34" spans="2:59" hidden="1" outlineLevel="1">
      <c r="B34" s="114" t="str">
        <f t="shared" si="32"/>
        <v>Nepal</v>
      </c>
      <c r="C34" s="101">
        <f t="shared" si="33"/>
        <v>7.4797434704641591E-2</v>
      </c>
      <c r="D34" s="101">
        <f t="shared" si="33"/>
        <v>9.639244105528795E-2</v>
      </c>
      <c r="E34" s="101">
        <f t="shared" si="33"/>
        <v>8.7836315672491505E-2</v>
      </c>
      <c r="F34" s="101">
        <f t="shared" si="33"/>
        <v>8.0317696818069106E-2</v>
      </c>
      <c r="G34" s="101">
        <f t="shared" si="33"/>
        <v>6.1005436023238442E-2</v>
      </c>
      <c r="H34" s="101">
        <f t="shared" si="33"/>
        <v>5.5510513805033787E-2</v>
      </c>
      <c r="I34" s="101">
        <f t="shared" ref="I34" si="64">+I14/I$22</f>
        <v>7.1909499715119785E-2</v>
      </c>
      <c r="J34" s="101">
        <f t="shared" si="33"/>
        <v>6.3870934631210394E-2</v>
      </c>
      <c r="K34" s="101">
        <f t="shared" ref="K34:L34" si="65">+K14/K$22</f>
        <v>0</v>
      </c>
      <c r="L34" s="101">
        <f t="shared" si="65"/>
        <v>0</v>
      </c>
      <c r="M34" s="101">
        <f t="shared" ref="M34" si="66">+M14/M$22</f>
        <v>0</v>
      </c>
      <c r="N34" s="101">
        <f t="shared" ref="N34:O34" si="67">+N14/N$22</f>
        <v>0</v>
      </c>
      <c r="O34" s="101">
        <f t="shared" si="67"/>
        <v>0</v>
      </c>
      <c r="P34" s="375"/>
      <c r="Q34" s="101">
        <f t="shared" ref="Q34" si="68">+Q14/Q$22</f>
        <v>9.4116312637117866E-2</v>
      </c>
      <c r="R34" s="101">
        <f t="shared" ref="R34:AK34" si="69">+R14/R$22</f>
        <v>9.3652107143861532E-2</v>
      </c>
      <c r="S34" s="101">
        <f t="shared" si="69"/>
        <v>8.2658501613732824E-2</v>
      </c>
      <c r="T34" s="101">
        <f t="shared" si="69"/>
        <v>8.1591576186034992E-2</v>
      </c>
      <c r="U34" s="101">
        <f t="shared" si="69"/>
        <v>8.3637325683085642E-2</v>
      </c>
      <c r="V34" s="101">
        <f t="shared" si="69"/>
        <v>8.4556977411972878E-2</v>
      </c>
      <c r="W34" s="101">
        <f t="shared" si="69"/>
        <v>7.8629008245920742E-2</v>
      </c>
      <c r="X34" s="101">
        <f t="shared" si="69"/>
        <v>7.4677912438904204E-2</v>
      </c>
      <c r="Y34" s="101">
        <f t="shared" si="69"/>
        <v>7.3353075182918032E-2</v>
      </c>
      <c r="Z34" s="101">
        <f t="shared" si="69"/>
        <v>5.4456915545056002E-2</v>
      </c>
      <c r="AA34" s="101">
        <f t="shared" si="69"/>
        <v>5.705621241506189E-2</v>
      </c>
      <c r="AB34" s="101">
        <f t="shared" si="69"/>
        <v>5.9014300322745683E-2</v>
      </c>
      <c r="AC34" s="101">
        <f t="shared" si="69"/>
        <v>6.2217483157622031E-2</v>
      </c>
      <c r="AD34" s="101">
        <f t="shared" si="69"/>
        <v>5.4038895385085342E-2</v>
      </c>
      <c r="AE34" s="101">
        <f t="shared" si="69"/>
        <v>5.4052116755054232E-2</v>
      </c>
      <c r="AF34" s="101">
        <f t="shared" si="69"/>
        <v>5.2363580529910789E-2</v>
      </c>
      <c r="AG34" s="101">
        <f t="shared" si="69"/>
        <v>6.8243881787118085E-2</v>
      </c>
      <c r="AH34" s="101">
        <f t="shared" si="69"/>
        <v>7.0217019978120604E-2</v>
      </c>
      <c r="AI34" s="101">
        <f t="shared" si="69"/>
        <v>0</v>
      </c>
      <c r="AJ34" s="101">
        <f t="shared" si="69"/>
        <v>-0.15769811597586977</v>
      </c>
      <c r="AK34" s="101">
        <f t="shared" si="69"/>
        <v>5.7608916328729748E-2</v>
      </c>
      <c r="AL34" s="101">
        <f t="shared" ref="AL34" si="70">+AL14/AL$22</f>
        <v>5.4841700578160804E-2</v>
      </c>
      <c r="AM34" s="101">
        <f t="shared" ref="AM34:AO34" si="71">+AM14/AM$22</f>
        <v>0</v>
      </c>
      <c r="AN34" s="101">
        <f t="shared" si="71"/>
        <v>-0.12943188455849475</v>
      </c>
      <c r="AO34" s="101">
        <f t="shared" si="71"/>
        <v>0</v>
      </c>
      <c r="AP34" s="101">
        <f t="shared" si="43"/>
        <v>0</v>
      </c>
      <c r="AQ34" s="101">
        <f t="shared" si="43"/>
        <v>0</v>
      </c>
      <c r="AR34" s="101">
        <f t="shared" si="43"/>
        <v>0</v>
      </c>
      <c r="AS34" s="398"/>
      <c r="AT34" s="398"/>
      <c r="AU34" s="398"/>
      <c r="AV34" s="101">
        <f t="shared" ref="AV34" si="72">+AV14/AV$22</f>
        <v>0.13505973999925278</v>
      </c>
      <c r="AW34" s="398"/>
      <c r="AX34" s="370"/>
      <c r="AY34" s="399"/>
      <c r="BB34" s="370"/>
      <c r="BC34" s="398"/>
      <c r="BD34" s="398"/>
      <c r="BF34" s="398"/>
      <c r="BG34" s="398"/>
    </row>
    <row r="35" spans="2:59" hidden="1" outlineLevel="1">
      <c r="B35" s="114" t="str">
        <f t="shared" si="32"/>
        <v>Cambodia</v>
      </c>
      <c r="C35" s="101">
        <f t="shared" si="33"/>
        <v>5.0005953984049993E-2</v>
      </c>
      <c r="D35" s="101">
        <f t="shared" si="33"/>
        <v>4.8105184403780595E-2</v>
      </c>
      <c r="E35" s="101">
        <f t="shared" si="33"/>
        <v>4.8036235449031364E-2</v>
      </c>
      <c r="F35" s="101">
        <f t="shared" si="33"/>
        <v>5.2167299507893811E-2</v>
      </c>
      <c r="G35" s="101">
        <f t="shared" si="33"/>
        <v>5.6267007327263016E-2</v>
      </c>
      <c r="H35" s="101">
        <f t="shared" si="33"/>
        <v>5.4833117965599414E-2</v>
      </c>
      <c r="I35" s="101">
        <f t="shared" ref="I35" si="73">+I15/I$22</f>
        <v>7.1036503879492466E-2</v>
      </c>
      <c r="J35" s="101">
        <f t="shared" si="33"/>
        <v>7.4139770184990281E-2</v>
      </c>
      <c r="K35" s="101">
        <f t="shared" ref="K35:L35" si="74">+K15/K$22</f>
        <v>8.0455568053993246E-2</v>
      </c>
      <c r="L35" s="101">
        <f t="shared" si="74"/>
        <v>7.6686590823882753E-2</v>
      </c>
      <c r="M35" s="101">
        <f t="shared" ref="M35" si="75">+M15/M$22</f>
        <v>7.5600607321534785E-2</v>
      </c>
      <c r="N35" s="101">
        <f t="shared" ref="N35:O35" si="76">+N15/N$22</f>
        <v>8.2535196372518937E-2</v>
      </c>
      <c r="O35" s="101">
        <f t="shared" si="76"/>
        <v>8.2535196372518937E-2</v>
      </c>
      <c r="P35" s="375"/>
      <c r="Q35" s="101">
        <f t="shared" ref="Q35" si="77">+Q15/Q$22</f>
        <v>4.3704613352692281E-2</v>
      </c>
      <c r="R35" s="101">
        <f t="shared" ref="R35:AK35" si="78">+R15/R$22</f>
        <v>4.7955664373924588E-2</v>
      </c>
      <c r="S35" s="101">
        <f t="shared" si="78"/>
        <v>4.9328954978052723E-2</v>
      </c>
      <c r="T35" s="101">
        <f t="shared" si="78"/>
        <v>5.0846378527507986E-2</v>
      </c>
      <c r="U35" s="101">
        <f t="shared" si="78"/>
        <v>5.0783292603989248E-2</v>
      </c>
      <c r="V35" s="101">
        <f t="shared" si="78"/>
        <v>5.1739514373179737E-2</v>
      </c>
      <c r="W35" s="101">
        <f t="shared" si="78"/>
        <v>5.2989946974644819E-2</v>
      </c>
      <c r="X35" s="101">
        <f t="shared" si="78"/>
        <v>5.3085627636924607E-2</v>
      </c>
      <c r="Y35" s="101">
        <f t="shared" si="78"/>
        <v>5.2583215938020587E-2</v>
      </c>
      <c r="Z35" s="101">
        <f t="shared" si="78"/>
        <v>5.3565404682745406E-2</v>
      </c>
      <c r="AA35" s="101">
        <f t="shared" si="78"/>
        <v>5.3277859015975544E-2</v>
      </c>
      <c r="AB35" s="101">
        <f t="shared" si="78"/>
        <v>6.5233845310734506E-2</v>
      </c>
      <c r="AC35" s="101">
        <f t="shared" si="78"/>
        <v>5.5629937834957309E-2</v>
      </c>
      <c r="AD35" s="101">
        <f t="shared" si="78"/>
        <v>5.2945166120401919E-2</v>
      </c>
      <c r="AE35" s="101">
        <f t="shared" si="78"/>
        <v>5.5643597556642159E-2</v>
      </c>
      <c r="AF35" s="101">
        <f t="shared" si="78"/>
        <v>5.511257507841906E-2</v>
      </c>
      <c r="AG35" s="101">
        <f t="shared" si="78"/>
        <v>7.2572027071223469E-2</v>
      </c>
      <c r="AH35" s="101">
        <f t="shared" si="78"/>
        <v>7.398550019181982E-2</v>
      </c>
      <c r="AI35" s="101">
        <f t="shared" si="78"/>
        <v>8.3611414570314166E-2</v>
      </c>
      <c r="AJ35" s="101">
        <f t="shared" si="78"/>
        <v>9.2975995891809299E-2</v>
      </c>
      <c r="AK35" s="101">
        <f t="shared" si="78"/>
        <v>7.1945609323860918E-2</v>
      </c>
      <c r="AL35" s="101">
        <f t="shared" ref="AL35" si="79">+AL15/AL$22</f>
        <v>6.9166602997468019E-2</v>
      </c>
      <c r="AM35" s="101">
        <f t="shared" ref="AM35:AO35" si="80">+AM15/AM$22</f>
        <v>7.526639292088852E-2</v>
      </c>
      <c r="AN35" s="101">
        <f t="shared" si="80"/>
        <v>9.2630628286152206E-2</v>
      </c>
      <c r="AO35" s="101">
        <f t="shared" si="80"/>
        <v>8.1655800231858089E-2</v>
      </c>
      <c r="AP35" s="101">
        <f t="shared" si="43"/>
        <v>8.3290014468963988E-2</v>
      </c>
      <c r="AQ35" s="101">
        <f t="shared" si="43"/>
        <v>8.3698226975809351E-2</v>
      </c>
      <c r="AR35" s="101">
        <f t="shared" si="43"/>
        <v>8.1542443302855025E-2</v>
      </c>
      <c r="AS35" s="398"/>
      <c r="AT35" s="398"/>
      <c r="AU35" s="398"/>
      <c r="AV35" s="101">
        <f t="shared" ref="AV35" si="81">+AV15/AV$22</f>
        <v>6.915893042197517E-2</v>
      </c>
      <c r="AW35" s="398"/>
      <c r="AX35" s="370"/>
      <c r="AY35" s="399"/>
      <c r="BB35" s="370"/>
      <c r="BC35" s="398"/>
      <c r="BD35" s="398"/>
      <c r="BF35" s="398"/>
      <c r="BG35" s="398"/>
    </row>
    <row r="36" spans="2:59" hidden="1" outlineLevel="1">
      <c r="B36" s="115" t="str">
        <f t="shared" si="32"/>
        <v>Fixed BB</v>
      </c>
      <c r="C36" s="101">
        <f t="shared" ref="C36:E37" si="82">+C16/C$22</f>
        <v>0</v>
      </c>
      <c r="D36" s="101">
        <f t="shared" si="82"/>
        <v>0</v>
      </c>
      <c r="E36" s="101">
        <f t="shared" si="82"/>
        <v>0</v>
      </c>
      <c r="F36" s="101"/>
      <c r="G36" s="101"/>
      <c r="H36" s="101"/>
      <c r="I36" s="101"/>
      <c r="J36" s="101"/>
      <c r="K36" s="101"/>
      <c r="L36" s="101"/>
      <c r="M36" s="101"/>
      <c r="N36" s="101"/>
      <c r="O36" s="101"/>
      <c r="P36" s="375"/>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398"/>
      <c r="AT36" s="398"/>
      <c r="AU36" s="398"/>
      <c r="AV36" s="101"/>
      <c r="AW36" s="398"/>
      <c r="AX36" s="370"/>
      <c r="AY36" s="399"/>
      <c r="BB36" s="370"/>
      <c r="BC36" s="398"/>
      <c r="BD36" s="398"/>
      <c r="BF36" s="398"/>
      <c r="BG36" s="398"/>
    </row>
    <row r="37" spans="2:59" hidden="1" outlineLevel="1">
      <c r="B37" s="114" t="str">
        <f t="shared" si="32"/>
        <v>Indonesia</v>
      </c>
      <c r="C37" s="101">
        <f t="shared" si="82"/>
        <v>0</v>
      </c>
      <c r="D37" s="101">
        <f t="shared" si="82"/>
        <v>0</v>
      </c>
      <c r="E37" s="101">
        <f t="shared" si="82"/>
        <v>0</v>
      </c>
      <c r="F37" s="101"/>
      <c r="G37" s="101"/>
      <c r="H37" s="101"/>
      <c r="I37" s="101"/>
      <c r="J37" s="101">
        <f t="shared" ref="J37:N37" si="83">+J17/J$22</f>
        <v>3.0805355952284234E-2</v>
      </c>
      <c r="K37" s="101">
        <f t="shared" si="83"/>
        <v>3.3429552433832097E-2</v>
      </c>
      <c r="L37" s="101">
        <f t="shared" si="83"/>
        <v>5.3268006131549438E-2</v>
      </c>
      <c r="M37" s="101">
        <f t="shared" si="83"/>
        <v>5.251366074677824E-2</v>
      </c>
      <c r="N37" s="101">
        <f t="shared" si="83"/>
        <v>4.2030315541117177E-2</v>
      </c>
      <c r="O37" s="101">
        <f t="shared" ref="O37" si="84">+O17/O$22</f>
        <v>4.2030315541117177E-2</v>
      </c>
      <c r="P37" s="375"/>
      <c r="Q37" s="101"/>
      <c r="R37" s="101"/>
      <c r="S37" s="101"/>
      <c r="T37" s="101"/>
      <c r="U37" s="101"/>
      <c r="V37" s="101"/>
      <c r="W37" s="101"/>
      <c r="X37" s="101"/>
      <c r="Y37" s="101"/>
      <c r="Z37" s="101"/>
      <c r="AA37" s="101"/>
      <c r="AB37" s="101"/>
      <c r="AC37" s="101"/>
      <c r="AD37" s="101"/>
      <c r="AE37" s="101"/>
      <c r="AF37" s="101"/>
      <c r="AG37" s="101"/>
      <c r="AH37" s="101"/>
      <c r="AI37" s="101">
        <f t="shared" ref="AI37:AN37" si="85">+AI17/AI$22</f>
        <v>5.9789453132568365E-2</v>
      </c>
      <c r="AJ37" s="101">
        <f t="shared" si="85"/>
        <v>7.7908678642328866E-2</v>
      </c>
      <c r="AK37" s="101">
        <f t="shared" si="85"/>
        <v>5.2346693894974178E-2</v>
      </c>
      <c r="AL37" s="101">
        <f t="shared" si="85"/>
        <v>5.0000283592063821E-2</v>
      </c>
      <c r="AM37" s="101">
        <f t="shared" si="85"/>
        <v>5.1838741085483669E-2</v>
      </c>
      <c r="AN37" s="101">
        <f t="shared" si="85"/>
        <v>5.9892232651974228E-2</v>
      </c>
      <c r="AO37" s="101">
        <f t="shared" ref="AO37:AR37" si="86">+AO17/AO$22</f>
        <v>4.8082296200480247E-2</v>
      </c>
      <c r="AP37" s="101">
        <f t="shared" si="86"/>
        <v>4.6080384059955168E-2</v>
      </c>
      <c r="AQ37" s="101">
        <f t="shared" si="86"/>
        <v>4.9213193972837709E-2</v>
      </c>
      <c r="AR37" s="101">
        <f t="shared" si="86"/>
        <v>2.4907763421822889E-2</v>
      </c>
      <c r="AS37" s="398"/>
      <c r="AT37" s="398"/>
      <c r="AU37" s="398"/>
      <c r="AV37" s="101">
        <f t="shared" ref="AV37" si="87">+AV17/AV$22</f>
        <v>0</v>
      </c>
      <c r="AW37" s="398"/>
      <c r="AX37" s="370"/>
      <c r="AY37" s="399"/>
      <c r="BB37" s="370"/>
      <c r="BC37" s="398"/>
      <c r="BD37" s="398"/>
      <c r="BF37" s="398"/>
      <c r="BG37" s="398"/>
    </row>
    <row r="38" spans="2:59" s="6" customFormat="1" hidden="1" outlineLevel="1">
      <c r="B38" s="115" t="str">
        <f t="shared" si="32"/>
        <v>Infrastructure</v>
      </c>
      <c r="C38" s="100"/>
      <c r="D38" s="100"/>
      <c r="E38" s="100"/>
      <c r="F38" s="100"/>
      <c r="G38" s="100"/>
      <c r="H38" s="100"/>
      <c r="I38" s="100"/>
      <c r="J38" s="100"/>
      <c r="K38" s="100"/>
      <c r="L38" s="100"/>
      <c r="M38" s="100"/>
      <c r="N38" s="100"/>
      <c r="O38" s="100"/>
      <c r="P38" s="375"/>
      <c r="Q38" s="100"/>
      <c r="R38" s="100"/>
      <c r="S38" s="100"/>
      <c r="T38" s="100"/>
      <c r="U38" s="100"/>
      <c r="V38" s="100"/>
      <c r="W38" s="100"/>
      <c r="X38" s="100"/>
      <c r="Y38" s="100"/>
      <c r="Z38" s="100"/>
      <c r="AA38" s="100"/>
      <c r="AB38" s="100"/>
      <c r="AC38" s="100"/>
      <c r="AD38" s="100"/>
      <c r="AE38" s="100"/>
      <c r="AF38" s="100"/>
      <c r="AG38" s="100"/>
      <c r="AH38" s="100"/>
      <c r="AI38" s="100"/>
      <c r="AJ38" s="100"/>
      <c r="AK38" s="100"/>
      <c r="AL38" s="100"/>
      <c r="AM38" s="100"/>
      <c r="AN38" s="100"/>
      <c r="AO38" s="100"/>
      <c r="AP38" s="100"/>
      <c r="AQ38" s="100"/>
      <c r="AR38" s="100"/>
      <c r="AS38" s="398"/>
      <c r="AT38" s="398"/>
      <c r="AU38" s="398"/>
      <c r="AV38" s="100"/>
      <c r="AW38" s="398"/>
      <c r="AX38" s="370"/>
      <c r="AY38" s="399"/>
      <c r="BB38" s="370"/>
      <c r="BC38" s="398"/>
      <c r="BD38" s="398"/>
      <c r="BE38" s="10"/>
      <c r="BF38" s="398"/>
      <c r="BG38" s="398"/>
    </row>
    <row r="39" spans="2:59" hidden="1" outlineLevel="1">
      <c r="B39" s="114" t="str">
        <f t="shared" si="32"/>
        <v>Malaysia</v>
      </c>
      <c r="C39" s="101">
        <f t="shared" ref="C39:J41" si="88">+C19/C$22</f>
        <v>1.0734421150331975E-2</v>
      </c>
      <c r="D39" s="101">
        <f t="shared" si="88"/>
        <v>1.7585277776559771E-2</v>
      </c>
      <c r="E39" s="101">
        <f t="shared" si="88"/>
        <v>2.4132893121644208E-2</v>
      </c>
      <c r="F39" s="101">
        <f t="shared" si="88"/>
        <v>2.6971833575557276E-2</v>
      </c>
      <c r="G39" s="101">
        <f t="shared" si="88"/>
        <v>3.1449887289562183E-2</v>
      </c>
      <c r="H39" s="101">
        <f t="shared" si="88"/>
        <v>3.063149623864812E-2</v>
      </c>
      <c r="I39" s="101">
        <f t="shared" ref="I39" si="89">+I19/I$22</f>
        <v>6.9595498092262786E-2</v>
      </c>
      <c r="J39" s="101">
        <f t="shared" si="88"/>
        <v>8.4849925675702084E-2</v>
      </c>
      <c r="K39" s="101">
        <f t="shared" ref="K39:L39" si="90">+K19/K$22</f>
        <v>7.6792682220228697E-2</v>
      </c>
      <c r="L39" s="101">
        <f t="shared" si="90"/>
        <v>8.4775665637030442E-2</v>
      </c>
      <c r="M39" s="101">
        <f t="shared" ref="M39" si="91">+M19/M$22</f>
        <v>9.7736452097706622E-2</v>
      </c>
      <c r="N39" s="101">
        <f t="shared" ref="N39:O39" si="92">+N19/N$22</f>
        <v>9.9751385931533987E-2</v>
      </c>
      <c r="O39" s="101">
        <f t="shared" si="92"/>
        <v>9.9751385931533987E-2</v>
      </c>
      <c r="P39" s="375"/>
      <c r="Q39" s="101">
        <f t="shared" ref="Q39" si="93">+Q19/Q$22</f>
        <v>1.672909437291252E-2</v>
      </c>
      <c r="R39" s="101">
        <f t="shared" ref="R39:AK39" si="94">+R19/R$22</f>
        <v>2.7647043283140712E-2</v>
      </c>
      <c r="S39" s="101">
        <f t="shared" si="94"/>
        <v>2.5110302838091035E-2</v>
      </c>
      <c r="T39" s="101">
        <f t="shared" si="94"/>
        <v>2.6697643767068575E-2</v>
      </c>
      <c r="U39" s="101">
        <f t="shared" si="94"/>
        <v>2.6283327313155847E-2</v>
      </c>
      <c r="V39" s="101">
        <f t="shared" si="94"/>
        <v>2.4756508939299739E-2</v>
      </c>
      <c r="W39" s="101">
        <f t="shared" si="94"/>
        <v>2.7891665140359619E-2</v>
      </c>
      <c r="X39" s="101">
        <f t="shared" si="94"/>
        <v>2.8888750243936227E-2</v>
      </c>
      <c r="Y39" s="101">
        <f t="shared" si="94"/>
        <v>2.9899691613667602E-2</v>
      </c>
      <c r="Z39" s="101">
        <f t="shared" si="94"/>
        <v>3.1500856119745589E-2</v>
      </c>
      <c r="AA39" s="101">
        <f t="shared" si="94"/>
        <v>3.014910686250882E-2</v>
      </c>
      <c r="AB39" s="101">
        <f t="shared" si="94"/>
        <v>3.4166459614634111E-2</v>
      </c>
      <c r="AC39" s="101">
        <f t="shared" si="94"/>
        <v>3.082114353533523E-2</v>
      </c>
      <c r="AD39" s="101">
        <f t="shared" si="94"/>
        <v>2.9266843023794436E-2</v>
      </c>
      <c r="AE39" s="101">
        <f t="shared" si="94"/>
        <v>3.0024470564788464E-2</v>
      </c>
      <c r="AF39" s="101">
        <f t="shared" si="94"/>
        <v>3.230336570043376E-2</v>
      </c>
      <c r="AG39" s="101">
        <f t="shared" si="94"/>
        <v>8.1833266785583142E-2</v>
      </c>
      <c r="AH39" s="101">
        <f t="shared" si="94"/>
        <v>8.7234150623000745E-2</v>
      </c>
      <c r="AI39" s="101">
        <f t="shared" si="94"/>
        <v>8.6059001411395775E-2</v>
      </c>
      <c r="AJ39" s="101">
        <f t="shared" si="94"/>
        <v>4.7911147851028048E-2</v>
      </c>
      <c r="AK39" s="101">
        <f t="shared" si="94"/>
        <v>8.7400041199423781E-2</v>
      </c>
      <c r="AL39" s="101">
        <f t="shared" ref="AL39" si="95">+AL19/AL$22</f>
        <v>9.2776643224168176E-2</v>
      </c>
      <c r="AM39" s="101">
        <f t="shared" ref="AM39:AR41" si="96">+AM19/AM$22</f>
        <v>9.405845236182557E-2</v>
      </c>
      <c r="AN39" s="101">
        <f t="shared" si="96"/>
        <v>6.1479192583972088E-2</v>
      </c>
      <c r="AO39" s="101">
        <f t="shared" si="96"/>
        <v>7.8292374327191189E-2</v>
      </c>
      <c r="AP39" s="101">
        <f t="shared" si="96"/>
        <v>9.9260255104097292E-2</v>
      </c>
      <c r="AQ39" s="101">
        <f t="shared" ref="AQ39:AR39" si="97">+AQ19/AQ$22</f>
        <v>8.4228702344126147E-2</v>
      </c>
      <c r="AR39" s="101">
        <f t="shared" si="97"/>
        <v>0.13673640418628866</v>
      </c>
      <c r="AS39" s="398"/>
      <c r="AT39" s="398"/>
      <c r="AU39" s="398"/>
      <c r="AV39" s="101">
        <f t="shared" ref="AV39" si="98">+AV19/AV$22</f>
        <v>3.9870992671133067E-2</v>
      </c>
      <c r="AW39" s="398"/>
      <c r="AX39" s="370"/>
      <c r="AY39" s="399"/>
      <c r="BB39" s="370"/>
      <c r="BC39" s="398"/>
      <c r="BD39" s="398"/>
      <c r="BF39" s="398"/>
      <c r="BG39" s="398"/>
    </row>
    <row r="40" spans="2:59" hidden="1" outlineLevel="1">
      <c r="B40" s="114" t="str">
        <f t="shared" si="32"/>
        <v>Others</v>
      </c>
      <c r="C40" s="101">
        <f t="shared" si="88"/>
        <v>1.2176778423503731E-2</v>
      </c>
      <c r="D40" s="101">
        <f t="shared" si="88"/>
        <v>1.3402697546032457E-2</v>
      </c>
      <c r="E40" s="101">
        <f t="shared" si="88"/>
        <v>1.5936929171376058E-2</v>
      </c>
      <c r="F40" s="101">
        <f t="shared" si="88"/>
        <v>1.7133818258499914E-2</v>
      </c>
      <c r="G40" s="101">
        <f t="shared" si="88"/>
        <v>2.1804167726617307E-2</v>
      </c>
      <c r="H40" s="101">
        <f t="shared" si="88"/>
        <v>4.3221213543546251E-2</v>
      </c>
      <c r="I40" s="101">
        <f t="shared" ref="I40" si="99">+I20/I$22</f>
        <v>6.0426115994263993E-2</v>
      </c>
      <c r="J40" s="101">
        <f t="shared" si="88"/>
        <v>5.1246229414102673E-2</v>
      </c>
      <c r="K40" s="101">
        <f t="shared" ref="K40:L40" si="100">+K20/K$22</f>
        <v>5.500392601901672E-2</v>
      </c>
      <c r="L40" s="101">
        <f t="shared" si="100"/>
        <v>4.3946512971003125E-2</v>
      </c>
      <c r="M40" s="101">
        <f t="shared" ref="M40" si="101">+M20/M$22</f>
        <v>4.3324172251987002E-2</v>
      </c>
      <c r="N40" s="101">
        <f t="shared" ref="N40:O40" si="102">+N20/N$22</f>
        <v>4.9658563654796498E-2</v>
      </c>
      <c r="O40" s="101">
        <f t="shared" si="102"/>
        <v>4.9658563654796498E-2</v>
      </c>
      <c r="P40" s="375"/>
      <c r="Q40" s="101">
        <f t="shared" ref="Q40" si="103">+Q20/Q$22</f>
        <v>1.372087395657356E-2</v>
      </c>
      <c r="R40" s="101">
        <f t="shared" ref="R40:AK40" si="104">+R20/R$22</f>
        <v>1.337755760333318E-2</v>
      </c>
      <c r="S40" s="101">
        <f t="shared" si="104"/>
        <v>1.5562161362624833E-2</v>
      </c>
      <c r="T40" s="101">
        <f t="shared" si="104"/>
        <v>2.0724605652310227E-2</v>
      </c>
      <c r="U40" s="101">
        <f t="shared" si="104"/>
        <v>1.1785148746007394E-2</v>
      </c>
      <c r="V40" s="101">
        <f t="shared" si="104"/>
        <v>2.0262889417503278E-2</v>
      </c>
      <c r="W40" s="101">
        <f t="shared" si="104"/>
        <v>1.9729597405803784E-2</v>
      </c>
      <c r="X40" s="101">
        <f t="shared" si="104"/>
        <v>1.6565483331995638E-2</v>
      </c>
      <c r="Y40" s="101">
        <f t="shared" si="104"/>
        <v>1.2512043235048169E-2</v>
      </c>
      <c r="Z40" s="101">
        <f t="shared" si="104"/>
        <v>1.8858458666801095E-2</v>
      </c>
      <c r="AA40" s="101">
        <f t="shared" si="104"/>
        <v>2.1644539279609448E-2</v>
      </c>
      <c r="AB40" s="101">
        <f t="shared" si="104"/>
        <v>3.3641431015904791E-2</v>
      </c>
      <c r="AC40" s="101">
        <f t="shared" si="104"/>
        <v>1.9137802833401413E-2</v>
      </c>
      <c r="AD40" s="101">
        <f t="shared" si="104"/>
        <v>4.8055230745732744E-2</v>
      </c>
      <c r="AE40" s="101">
        <f t="shared" si="104"/>
        <v>4.1571685488669276E-2</v>
      </c>
      <c r="AF40" s="101">
        <f t="shared" si="104"/>
        <v>6.1464609483582178E-2</v>
      </c>
      <c r="AG40" s="101">
        <f t="shared" si="104"/>
        <v>4.417453033674499E-2</v>
      </c>
      <c r="AH40" s="101">
        <f t="shared" si="104"/>
        <v>4.6713416574540555E-2</v>
      </c>
      <c r="AI40" s="101">
        <f t="shared" si="104"/>
        <v>5.3404638380128995E-2</v>
      </c>
      <c r="AJ40" s="101">
        <f t="shared" si="104"/>
        <v>7.8633114056865114E-2</v>
      </c>
      <c r="AK40" s="101">
        <f t="shared" si="104"/>
        <v>3.372440560163429E-2</v>
      </c>
      <c r="AL40" s="101">
        <f t="shared" ref="AL40" si="105">+AL20/AL$22</f>
        <v>3.3097862950298325E-2</v>
      </c>
      <c r="AM40" s="101">
        <f t="shared" ref="AM40:AO40" si="106">+AM20/AM$22</f>
        <v>4.568938194735267E-2</v>
      </c>
      <c r="AN40" s="101">
        <f t="shared" si="106"/>
        <v>6.6258921329349518E-2</v>
      </c>
      <c r="AO40" s="101">
        <f t="shared" si="106"/>
        <v>4.7419289434773491E-2</v>
      </c>
      <c r="AP40" s="101">
        <f t="shared" si="96"/>
        <v>5.0715560460393806E-2</v>
      </c>
      <c r="AQ40" s="101">
        <f t="shared" si="96"/>
        <v>5.2286681441555058E-2</v>
      </c>
      <c r="AR40" s="101">
        <f t="shared" si="96"/>
        <v>4.833763261325983E-2</v>
      </c>
      <c r="AS40" s="398"/>
      <c r="AT40" s="398"/>
      <c r="AU40" s="398"/>
      <c r="AV40" s="101">
        <f t="shared" ref="AV40" si="107">+AV20/AV$22</f>
        <v>1.9292352375540032E-2</v>
      </c>
      <c r="AW40" s="398"/>
      <c r="AX40" s="370"/>
      <c r="AY40" s="399"/>
      <c r="BB40" s="370"/>
      <c r="BC40" s="398"/>
      <c r="BD40" s="398"/>
      <c r="BF40" s="398"/>
      <c r="BG40" s="398"/>
    </row>
    <row r="41" spans="2:59" hidden="1" outlineLevel="1">
      <c r="B41" s="114" t="str">
        <f t="shared" si="32"/>
        <v>Eliminations</v>
      </c>
      <c r="C41" s="101">
        <f t="shared" si="88"/>
        <v>0</v>
      </c>
      <c r="D41" s="101">
        <f t="shared" si="88"/>
        <v>0</v>
      </c>
      <c r="E41" s="101">
        <f t="shared" si="88"/>
        <v>0</v>
      </c>
      <c r="F41" s="101">
        <f t="shared" si="88"/>
        <v>0</v>
      </c>
      <c r="G41" s="101">
        <f t="shared" si="88"/>
        <v>0</v>
      </c>
      <c r="H41" s="101">
        <f t="shared" si="88"/>
        <v>0</v>
      </c>
      <c r="I41" s="101">
        <f t="shared" ref="I41" si="108">+I21/I$22</f>
        <v>0</v>
      </c>
      <c r="J41" s="101">
        <f t="shared" si="88"/>
        <v>0</v>
      </c>
      <c r="K41" s="101">
        <f t="shared" ref="K41:L41" si="109">+K21/K$22</f>
        <v>0</v>
      </c>
      <c r="L41" s="101">
        <f t="shared" si="109"/>
        <v>0</v>
      </c>
      <c r="M41" s="101">
        <f t="shared" ref="M41" si="110">+M21/M$22</f>
        <v>0</v>
      </c>
      <c r="N41" s="101">
        <f t="shared" ref="N41:O41" si="111">+N21/N$22</f>
        <v>0</v>
      </c>
      <c r="O41" s="101">
        <f t="shared" si="111"/>
        <v>0</v>
      </c>
      <c r="P41" s="375"/>
      <c r="Q41" s="101">
        <f t="shared" ref="Q41" si="112">+Q21/Q$22</f>
        <v>0</v>
      </c>
      <c r="R41" s="101">
        <f t="shared" ref="R41:AK41" si="113">+R21/R$22</f>
        <v>0</v>
      </c>
      <c r="S41" s="101">
        <f t="shared" si="113"/>
        <v>0</v>
      </c>
      <c r="T41" s="101">
        <f t="shared" si="113"/>
        <v>0</v>
      </c>
      <c r="U41" s="101">
        <f t="shared" si="113"/>
        <v>0</v>
      </c>
      <c r="V41" s="101">
        <f t="shared" si="113"/>
        <v>0</v>
      </c>
      <c r="W41" s="101">
        <f t="shared" si="113"/>
        <v>0</v>
      </c>
      <c r="X41" s="101">
        <f t="shared" si="113"/>
        <v>0</v>
      </c>
      <c r="Y41" s="101">
        <f t="shared" si="113"/>
        <v>0</v>
      </c>
      <c r="Z41" s="101">
        <f t="shared" si="113"/>
        <v>0</v>
      </c>
      <c r="AA41" s="101">
        <f t="shared" si="113"/>
        <v>0</v>
      </c>
      <c r="AB41" s="101">
        <f t="shared" si="113"/>
        <v>0</v>
      </c>
      <c r="AC41" s="101">
        <f t="shared" si="113"/>
        <v>0</v>
      </c>
      <c r="AD41" s="101">
        <f t="shared" si="113"/>
        <v>0</v>
      </c>
      <c r="AE41" s="101">
        <f t="shared" si="113"/>
        <v>0</v>
      </c>
      <c r="AF41" s="101">
        <f t="shared" si="113"/>
        <v>0</v>
      </c>
      <c r="AG41" s="101">
        <f t="shared" si="113"/>
        <v>0</v>
      </c>
      <c r="AH41" s="101">
        <f t="shared" si="113"/>
        <v>0</v>
      </c>
      <c r="AI41" s="101">
        <f t="shared" si="113"/>
        <v>0</v>
      </c>
      <c r="AJ41" s="101">
        <f t="shared" si="113"/>
        <v>0</v>
      </c>
      <c r="AK41" s="101">
        <f t="shared" si="113"/>
        <v>0</v>
      </c>
      <c r="AL41" s="101">
        <f t="shared" ref="AL41" si="114">+AL21/AL$22</f>
        <v>0</v>
      </c>
      <c r="AM41" s="101">
        <f t="shared" ref="AM41:AO41" si="115">+AM21/AM$22</f>
        <v>0</v>
      </c>
      <c r="AN41" s="101">
        <f t="shared" si="115"/>
        <v>0</v>
      </c>
      <c r="AO41" s="101">
        <f t="shared" si="115"/>
        <v>0</v>
      </c>
      <c r="AP41" s="101">
        <f t="shared" si="96"/>
        <v>0</v>
      </c>
      <c r="AQ41" s="101">
        <f t="shared" si="96"/>
        <v>0</v>
      </c>
      <c r="AR41" s="101">
        <f t="shared" si="96"/>
        <v>0</v>
      </c>
      <c r="AS41" s="398"/>
      <c r="AT41" s="398"/>
      <c r="AU41" s="398"/>
      <c r="AV41" s="101">
        <f t="shared" ref="AV41" si="116">+AV21/AV$22</f>
        <v>0</v>
      </c>
      <c r="AW41" s="398"/>
      <c r="AX41" s="370"/>
      <c r="AY41" s="399"/>
      <c r="BB41" s="370"/>
      <c r="BC41" s="398"/>
      <c r="BD41" s="398"/>
      <c r="BF41" s="398"/>
      <c r="BG41" s="398"/>
    </row>
    <row r="42" spans="2:59" s="93" customFormat="1" hidden="1" outlineLevel="1">
      <c r="B42" s="94" t="s">
        <v>31</v>
      </c>
      <c r="C42" s="100">
        <f>+SUM(C30:C41)</f>
        <v>1</v>
      </c>
      <c r="D42" s="100">
        <f t="shared" ref="D42:F42" si="117">+SUM(D30:D41)</f>
        <v>1</v>
      </c>
      <c r="E42" s="100">
        <f t="shared" si="117"/>
        <v>0.99999999999999978</v>
      </c>
      <c r="F42" s="100">
        <f t="shared" si="117"/>
        <v>1.0000000000000002</v>
      </c>
      <c r="G42" s="100">
        <f t="shared" ref="G42:I42" si="118">+SUM(G30:G41)</f>
        <v>1</v>
      </c>
      <c r="H42" s="100">
        <f t="shared" si="118"/>
        <v>1.0000000000000002</v>
      </c>
      <c r="I42" s="100">
        <f t="shared" si="118"/>
        <v>1.0000000000000002</v>
      </c>
      <c r="J42" s="100">
        <f t="shared" ref="J42:L42" si="119">+SUM(J30:J41)</f>
        <v>0.99999999999999978</v>
      </c>
      <c r="K42" s="100">
        <f t="shared" ref="K42" si="120">+SUM(K30:K41)</f>
        <v>1</v>
      </c>
      <c r="L42" s="100">
        <f t="shared" si="119"/>
        <v>1</v>
      </c>
      <c r="M42" s="100">
        <f t="shared" ref="M42" si="121">+SUM(M30:M41)</f>
        <v>1.0000000000000002</v>
      </c>
      <c r="N42" s="100">
        <f t="shared" ref="N42:O42" si="122">+SUM(N30:N41)</f>
        <v>0.99999999999999989</v>
      </c>
      <c r="O42" s="100">
        <f t="shared" si="122"/>
        <v>0.99999999999999989</v>
      </c>
      <c r="P42" s="375"/>
      <c r="Q42" s="100">
        <f t="shared" ref="Q42" si="123">+SUM(Q30:Q41)</f>
        <v>1</v>
      </c>
      <c r="R42" s="100">
        <f t="shared" ref="R42:Z42" si="124">+SUM(R30:R41)</f>
        <v>0.99999999999999978</v>
      </c>
      <c r="S42" s="100">
        <f t="shared" si="124"/>
        <v>0.99999999999999978</v>
      </c>
      <c r="T42" s="100">
        <f t="shared" si="124"/>
        <v>0.99999999999999978</v>
      </c>
      <c r="U42" s="100">
        <f t="shared" si="124"/>
        <v>1</v>
      </c>
      <c r="V42" s="100">
        <f t="shared" si="124"/>
        <v>1</v>
      </c>
      <c r="W42" s="100">
        <f t="shared" si="124"/>
        <v>0.99999999999999978</v>
      </c>
      <c r="X42" s="100">
        <f t="shared" si="124"/>
        <v>1</v>
      </c>
      <c r="Y42" s="100">
        <f t="shared" si="124"/>
        <v>1</v>
      </c>
      <c r="Z42" s="100">
        <f t="shared" si="124"/>
        <v>1</v>
      </c>
      <c r="AA42" s="100">
        <f t="shared" ref="AA42:AD42" si="125">+SUM(AA30:AA41)</f>
        <v>1.0000000000000002</v>
      </c>
      <c r="AB42" s="100">
        <f t="shared" si="125"/>
        <v>0.99999999999999989</v>
      </c>
      <c r="AC42" s="100">
        <f t="shared" si="125"/>
        <v>1.0000000000000002</v>
      </c>
      <c r="AD42" s="100">
        <f t="shared" si="125"/>
        <v>0.99999999999999989</v>
      </c>
      <c r="AE42" s="100">
        <f t="shared" ref="AE42:AH42" si="126">+SUM(AE30:AE41)</f>
        <v>0.99999999999999989</v>
      </c>
      <c r="AF42" s="100">
        <f t="shared" si="126"/>
        <v>1</v>
      </c>
      <c r="AG42" s="100">
        <f t="shared" si="126"/>
        <v>0.99999999999999989</v>
      </c>
      <c r="AH42" s="100">
        <f t="shared" si="126"/>
        <v>0.99999999999999989</v>
      </c>
      <c r="AI42" s="100">
        <f t="shared" ref="AI42:AM42" si="127">+SUM(AI30:AI41)</f>
        <v>0.99999999999999989</v>
      </c>
      <c r="AJ42" s="100">
        <f t="shared" si="127"/>
        <v>1</v>
      </c>
      <c r="AK42" s="100">
        <f t="shared" si="127"/>
        <v>0.99999999999999978</v>
      </c>
      <c r="AL42" s="100">
        <f t="shared" si="127"/>
        <v>0.99999999999999989</v>
      </c>
      <c r="AM42" s="100">
        <f t="shared" si="127"/>
        <v>1</v>
      </c>
      <c r="AN42" s="100">
        <f t="shared" ref="AN42:AQ42" si="128">+SUM(AN30:AN41)</f>
        <v>1</v>
      </c>
      <c r="AO42" s="100">
        <f t="shared" si="128"/>
        <v>0.99999999999999989</v>
      </c>
      <c r="AP42" s="100">
        <f t="shared" si="128"/>
        <v>0.99999999999999989</v>
      </c>
      <c r="AQ42" s="100">
        <f t="shared" si="128"/>
        <v>1</v>
      </c>
      <c r="AR42" s="100">
        <f t="shared" ref="AR42" si="129">+SUM(AR30:AR41)</f>
        <v>1</v>
      </c>
      <c r="AS42" s="398"/>
      <c r="AT42" s="398"/>
      <c r="AU42" s="398"/>
      <c r="AV42" s="100">
        <f t="shared" ref="AV42" si="130">+SUM(AV30:AV41)</f>
        <v>1</v>
      </c>
      <c r="AW42" s="398"/>
      <c r="AX42" s="370"/>
      <c r="AY42" s="399"/>
      <c r="BB42" s="370"/>
      <c r="BC42" s="398"/>
      <c r="BD42" s="398"/>
      <c r="BE42" s="10"/>
      <c r="BF42" s="398"/>
      <c r="BG42" s="398"/>
    </row>
    <row r="43" spans="2:59" s="93" customFormat="1" hidden="1" outlineLevel="1">
      <c r="B43" s="94"/>
      <c r="C43" s="95"/>
      <c r="D43" s="95"/>
      <c r="E43" s="95"/>
      <c r="F43" s="95"/>
      <c r="G43" s="95"/>
      <c r="H43" s="95"/>
      <c r="I43" s="95"/>
      <c r="J43" s="95"/>
      <c r="K43" s="95"/>
      <c r="L43" s="95"/>
      <c r="M43" s="95"/>
      <c r="N43" s="95"/>
      <c r="O43" s="95"/>
      <c r="P43" s="375"/>
      <c r="Q43" s="95"/>
      <c r="R43" s="95"/>
      <c r="S43" s="95"/>
      <c r="T43" s="95"/>
      <c r="U43" s="95"/>
      <c r="V43" s="95"/>
      <c r="W43" s="95"/>
      <c r="X43" s="95"/>
      <c r="Y43" s="95"/>
      <c r="Z43" s="95"/>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370"/>
      <c r="AY43" s="95"/>
      <c r="BB43" s="370"/>
      <c r="BC43" s="95"/>
      <c r="BD43" s="95"/>
      <c r="BE43" s="10"/>
      <c r="BF43" s="95"/>
      <c r="BG43" s="95"/>
    </row>
    <row r="44" spans="2:59" hidden="1" outlineLevel="1">
      <c r="B44" s="90" t="s">
        <v>358</v>
      </c>
      <c r="C44" s="9"/>
      <c r="D44" s="9"/>
      <c r="E44" s="9"/>
      <c r="F44" s="9"/>
      <c r="G44" s="9"/>
      <c r="H44" s="9"/>
      <c r="I44" s="9"/>
      <c r="J44" s="9"/>
      <c r="K44" s="9"/>
      <c r="L44" s="9"/>
      <c r="M44" s="9"/>
      <c r="N44" s="9"/>
      <c r="O44" s="9"/>
      <c r="P44" s="375"/>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370"/>
      <c r="AY44" s="89"/>
      <c r="BB44" s="370"/>
      <c r="BC44" s="89"/>
      <c r="BD44" s="89"/>
      <c r="BF44" s="89"/>
      <c r="BG44" s="89"/>
    </row>
    <row r="45" spans="2:59" s="6" customFormat="1" ht="15" hidden="1" outlineLevel="1">
      <c r="B45" s="90" t="str">
        <f t="shared" ref="B45:B57" si="131">+B9</f>
        <v>Mobile</v>
      </c>
      <c r="C45"/>
      <c r="D45"/>
      <c r="E45"/>
      <c r="F45"/>
      <c r="G45"/>
      <c r="H45"/>
      <c r="I45"/>
      <c r="J45"/>
      <c r="K45"/>
      <c r="L45"/>
      <c r="M45"/>
      <c r="N45"/>
      <c r="O45"/>
      <c r="P45" s="375"/>
      <c r="Q45"/>
      <c r="R45"/>
      <c r="S45"/>
      <c r="T45"/>
      <c r="U45"/>
      <c r="V45"/>
      <c r="W45"/>
      <c r="X45"/>
      <c r="Y45"/>
      <c r="Z45"/>
      <c r="AA45"/>
      <c r="AB45"/>
      <c r="AC45"/>
      <c r="AD45"/>
      <c r="AE45"/>
      <c r="AF45"/>
      <c r="AG45"/>
      <c r="AH45"/>
      <c r="AI45"/>
      <c r="AJ45"/>
      <c r="AK45"/>
      <c r="AL45"/>
      <c r="AM45"/>
      <c r="AN45"/>
      <c r="AO45"/>
      <c r="AP45"/>
      <c r="AQ45"/>
      <c r="AR45"/>
      <c r="AS45"/>
      <c r="AT45"/>
      <c r="AU45"/>
      <c r="AV45"/>
      <c r="AW45"/>
      <c r="AX45" s="370"/>
      <c r="AY45"/>
      <c r="BB45" s="370"/>
      <c r="BC45"/>
      <c r="BD45"/>
      <c r="BE45" s="10"/>
      <c r="BF45"/>
      <c r="BG45"/>
    </row>
    <row r="46" spans="2:59" hidden="1" outlineLevel="1">
      <c r="B46" s="91" t="str">
        <f t="shared" si="131"/>
        <v>Malaysia</v>
      </c>
      <c r="C46" s="372"/>
      <c r="D46" s="100">
        <f t="shared" ref="D46:H51" si="132">+D10/C10-1</f>
        <v>-4.1829819689300773E-3</v>
      </c>
      <c r="E46" s="100">
        <f t="shared" si="132"/>
        <v>0.11230393984674003</v>
      </c>
      <c r="F46" s="100">
        <f t="shared" si="132"/>
        <v>-8.6931227274074985E-2</v>
      </c>
      <c r="G46" s="100">
        <f t="shared" si="132"/>
        <v>-7.1763110456943502E-2</v>
      </c>
      <c r="H46" s="100">
        <f t="shared" si="132"/>
        <v>6.9629045583877058E-2</v>
      </c>
      <c r="I46" s="100"/>
      <c r="J46" s="399"/>
      <c r="K46" s="399"/>
      <c r="L46" s="399"/>
      <c r="M46" s="399"/>
      <c r="N46" s="399"/>
      <c r="O46" s="399"/>
      <c r="P46" s="375"/>
      <c r="Q46" s="372"/>
      <c r="R46" s="372"/>
      <c r="S46" s="372"/>
      <c r="T46" s="372"/>
      <c r="U46" s="101">
        <f t="shared" ref="U46:AG46" si="133">+U10/T10-1</f>
        <v>-0.12886096287430715</v>
      </c>
      <c r="V46" s="101">
        <f t="shared" si="133"/>
        <v>5.4495648825314547E-5</v>
      </c>
      <c r="W46" s="101">
        <f t="shared" si="133"/>
        <v>-1.8084303807585078E-2</v>
      </c>
      <c r="X46" s="101">
        <f t="shared" si="133"/>
        <v>6.4624814241581285E-2</v>
      </c>
      <c r="Y46" s="101">
        <f t="shared" si="133"/>
        <v>-0.1091585801380105</v>
      </c>
      <c r="Z46" s="101">
        <f t="shared" si="133"/>
        <v>-6.5876151119456439E-2</v>
      </c>
      <c r="AA46" s="101">
        <f t="shared" si="133"/>
        <v>9.3924743830851476E-2</v>
      </c>
      <c r="AB46" s="101">
        <f t="shared" si="133"/>
        <v>3.5534315883772871E-2</v>
      </c>
      <c r="AC46" s="101">
        <f t="shared" si="133"/>
        <v>5.4947924506976165E-3</v>
      </c>
      <c r="AD46" s="101">
        <f t="shared" si="133"/>
        <v>-7.3755685970652296E-3</v>
      </c>
      <c r="AE46" s="101">
        <f t="shared" si="133"/>
        <v>-1.6009465567275782E-2</v>
      </c>
      <c r="AF46" s="101">
        <f t="shared" si="133"/>
        <v>9.148227486348981E-2</v>
      </c>
      <c r="AG46" s="101">
        <f t="shared" si="133"/>
        <v>-1</v>
      </c>
      <c r="AH46" s="399"/>
      <c r="AI46" s="399"/>
      <c r="AJ46" s="399"/>
      <c r="AK46" s="399"/>
      <c r="AL46" s="399"/>
      <c r="AM46" s="399"/>
      <c r="AN46" s="399"/>
      <c r="AO46" s="399"/>
      <c r="AP46" s="399"/>
      <c r="AQ46" s="399"/>
      <c r="AR46" s="399"/>
      <c r="AS46" s="398"/>
      <c r="AT46" s="398"/>
      <c r="AU46" s="398"/>
      <c r="AV46" s="399"/>
      <c r="AW46" s="398"/>
      <c r="AX46" s="370"/>
      <c r="AY46" s="399"/>
      <c r="BB46" s="370"/>
      <c r="BC46" s="398"/>
      <c r="BD46" s="398"/>
      <c r="BF46" s="398"/>
      <c r="BG46" s="398"/>
    </row>
    <row r="47" spans="2:59" hidden="1" outlineLevel="1">
      <c r="B47" s="91" t="str">
        <f t="shared" si="131"/>
        <v>Indonesia</v>
      </c>
      <c r="C47" s="372"/>
      <c r="D47" s="101">
        <f t="shared" si="132"/>
        <v>0.10359833256866491</v>
      </c>
      <c r="E47" s="101">
        <f t="shared" si="132"/>
        <v>-0.11830824283846919</v>
      </c>
      <c r="F47" s="101">
        <f t="shared" si="132"/>
        <v>0.12998424077886384</v>
      </c>
      <c r="G47" s="101">
        <f t="shared" si="132"/>
        <v>3.1512657119154408E-2</v>
      </c>
      <c r="H47" s="101">
        <f t="shared" si="132"/>
        <v>3.3973089878992502E-2</v>
      </c>
      <c r="I47" s="101"/>
      <c r="J47" s="101">
        <f t="shared" ref="J47:K49" si="134">+J11/H11-1</f>
        <v>0.1137697752437874</v>
      </c>
      <c r="K47" s="101">
        <f t="shared" si="134"/>
        <v>0.11226610315135988</v>
      </c>
      <c r="L47" s="101">
        <f t="shared" ref="L47:L49" si="135">+L11/K11-1</f>
        <v>0.11004564696051355</v>
      </c>
      <c r="M47" s="101">
        <f>+M11/K11-1</f>
        <v>0.11004564696051355</v>
      </c>
      <c r="N47" s="101">
        <f>+N11/M11-1</f>
        <v>1.2393741447775275E-2</v>
      </c>
      <c r="O47" s="101">
        <f>+O11/N11-1</f>
        <v>0</v>
      </c>
      <c r="P47" s="375"/>
      <c r="Q47" s="372"/>
      <c r="R47" s="372"/>
      <c r="S47" s="372"/>
      <c r="T47" s="372"/>
      <c r="U47" s="101">
        <f t="shared" ref="U47:AR47" si="136">+U11/T11-1</f>
        <v>1.5777433260228513E-2</v>
      </c>
      <c r="V47" s="101">
        <f t="shared" si="136"/>
        <v>3.9033344811219672E-2</v>
      </c>
      <c r="W47" s="101">
        <f t="shared" si="136"/>
        <v>5.64058899793769E-2</v>
      </c>
      <c r="X47" s="101">
        <f t="shared" si="136"/>
        <v>-9.7874164664927266E-3</v>
      </c>
      <c r="Y47" s="101">
        <f t="shared" si="136"/>
        <v>5.2171437408985444E-3</v>
      </c>
      <c r="Z47" s="101">
        <f t="shared" si="136"/>
        <v>4.0050127875059793E-3</v>
      </c>
      <c r="AA47" s="101">
        <f t="shared" si="136"/>
        <v>1.4409420553056496E-2</v>
      </c>
      <c r="AB47" s="101">
        <f t="shared" si="136"/>
        <v>-5.2433388009161641E-2</v>
      </c>
      <c r="AC47" s="101">
        <f t="shared" si="136"/>
        <v>-1.2814543817686319E-2</v>
      </c>
      <c r="AD47" s="101">
        <f t="shared" si="136"/>
        <v>7.6101084404270436E-2</v>
      </c>
      <c r="AE47" s="101">
        <f t="shared" si="136"/>
        <v>3.5007822962693336E-2</v>
      </c>
      <c r="AF47" s="101">
        <f t="shared" si="136"/>
        <v>2.1598398921911288E-2</v>
      </c>
      <c r="AG47" s="101">
        <f t="shared" si="136"/>
        <v>-3.319408743516139E-2</v>
      </c>
      <c r="AH47" s="101">
        <f t="shared" si="136"/>
        <v>0.11015251323772635</v>
      </c>
      <c r="AI47" s="101">
        <f t="shared" si="136"/>
        <v>3.3866492424492023E-2</v>
      </c>
      <c r="AJ47" s="101">
        <f>+AJ11/AI11-1</f>
        <v>-2.0920761343992011E-2</v>
      </c>
      <c r="AK47" s="101">
        <f t="shared" si="136"/>
        <v>-1.8130754431771146E-2</v>
      </c>
      <c r="AL47" s="101">
        <f t="shared" si="136"/>
        <v>0.12732430704125353</v>
      </c>
      <c r="AM47" s="101">
        <f>+AM11/AL11-1</f>
        <v>-2.3870198394224662E-3</v>
      </c>
      <c r="AN47" s="101">
        <f t="shared" si="136"/>
        <v>2.8084402625659921E-2</v>
      </c>
      <c r="AO47" s="101">
        <f t="shared" si="136"/>
        <v>-3.2352215081511426E-3</v>
      </c>
      <c r="AP47" s="101">
        <f t="shared" si="136"/>
        <v>-1.3815391314247805E-2</v>
      </c>
      <c r="AQ47" s="101">
        <f>+AQ11/AP11-1</f>
        <v>-7.2997203803928712E-2</v>
      </c>
      <c r="AR47" s="101">
        <f t="shared" si="136"/>
        <v>6.3209033682295912E-2</v>
      </c>
      <c r="AS47" s="398"/>
      <c r="AT47" s="398"/>
      <c r="AU47" s="398"/>
      <c r="AV47" s="101" t="e">
        <f t="shared" ref="AV47:AV49" si="137">+AV11/AU11-1</f>
        <v>#DIV/0!</v>
      </c>
      <c r="AW47" s="398"/>
      <c r="AX47" s="370"/>
      <c r="AY47" s="399"/>
      <c r="BB47" s="370"/>
      <c r="BC47" s="398"/>
      <c r="BD47" s="398"/>
      <c r="BF47" s="398"/>
      <c r="BG47" s="398"/>
    </row>
    <row r="48" spans="2:59" hidden="1" outlineLevel="1">
      <c r="B48" s="91" t="str">
        <f t="shared" si="131"/>
        <v>Bangladesh</v>
      </c>
      <c r="C48" s="372"/>
      <c r="D48" s="101">
        <f t="shared" si="132"/>
        <v>0.30798381687386578</v>
      </c>
      <c r="E48" s="101">
        <f t="shared" si="132"/>
        <v>-0.10111812973183509</v>
      </c>
      <c r="F48" s="101">
        <f t="shared" si="132"/>
        <v>0.11618857637542446</v>
      </c>
      <c r="G48" s="101">
        <f t="shared" si="132"/>
        <v>1.6200777172993508E-2</v>
      </c>
      <c r="H48" s="101">
        <f t="shared" si="132"/>
        <v>3.9371987899468275E-2</v>
      </c>
      <c r="I48" s="101"/>
      <c r="J48" s="101">
        <f t="shared" si="134"/>
        <v>2.8514678925716019E-2</v>
      </c>
      <c r="K48" s="101">
        <f t="shared" si="134"/>
        <v>2.8515974917886044E-2</v>
      </c>
      <c r="L48" s="101">
        <f t="shared" si="135"/>
        <v>3.6514027999548393E-2</v>
      </c>
      <c r="M48" s="101">
        <f t="shared" ref="M48:M56" si="138">+M12/K12-1</f>
        <v>3.6514027999548393E-2</v>
      </c>
      <c r="N48" s="101">
        <f t="shared" ref="N48:O58" si="139">+N12/M12-1</f>
        <v>-5.96773024935362E-2</v>
      </c>
      <c r="O48" s="101">
        <f t="shared" si="139"/>
        <v>0</v>
      </c>
      <c r="P48" s="375"/>
      <c r="Q48" s="372"/>
      <c r="R48" s="372"/>
      <c r="S48" s="372"/>
      <c r="T48" s="372"/>
      <c r="U48" s="101">
        <f t="shared" ref="U48:AR48" si="140">+U12/T12-1</f>
        <v>2.0561166611775983E-2</v>
      </c>
      <c r="V48" s="101">
        <f t="shared" si="140"/>
        <v>2.4557283146057429E-2</v>
      </c>
      <c r="W48" s="101">
        <f t="shared" si="140"/>
        <v>1.2917231724921985E-2</v>
      </c>
      <c r="X48" s="101">
        <f t="shared" si="140"/>
        <v>-6.9317653003598823E-3</v>
      </c>
      <c r="Y48" s="101">
        <f t="shared" si="140"/>
        <v>3.5687919882663621E-2</v>
      </c>
      <c r="Z48" s="101">
        <f t="shared" si="140"/>
        <v>-5.9641498044773478E-2</v>
      </c>
      <c r="AA48" s="101">
        <f t="shared" si="140"/>
        <v>5.7369033292325344E-2</v>
      </c>
      <c r="AB48" s="101">
        <f t="shared" si="140"/>
        <v>-3.2451003060758099E-2</v>
      </c>
      <c r="AC48" s="101">
        <f t="shared" si="140"/>
        <v>2.8620221187999118E-2</v>
      </c>
      <c r="AD48" s="101">
        <f t="shared" si="140"/>
        <v>8.7477443740628935E-3</v>
      </c>
      <c r="AE48" s="101">
        <f t="shared" si="140"/>
        <v>4.639132432912807E-2</v>
      </c>
      <c r="AF48" s="101">
        <f t="shared" si="140"/>
        <v>-2.5616028912505251E-2</v>
      </c>
      <c r="AG48" s="101">
        <f t="shared" si="140"/>
        <v>-1.2809510744558272E-2</v>
      </c>
      <c r="AH48" s="101">
        <f t="shared" si="140"/>
        <v>5.5784431012595226E-2</v>
      </c>
      <c r="AI48" s="101">
        <f t="shared" si="140"/>
        <v>4.4938772036429153E-3</v>
      </c>
      <c r="AJ48" s="101">
        <f>+AJ12/AI12-1</f>
        <v>-2.9133215175557226E-2</v>
      </c>
      <c r="AK48" s="101">
        <f t="shared" si="140"/>
        <v>-3.1041467097465469E-2</v>
      </c>
      <c r="AL48" s="101">
        <f t="shared" si="140"/>
        <v>0.10188654743178627</v>
      </c>
      <c r="AM48" s="101">
        <f>+AM12/AL12-1</f>
        <v>5.1960074285704039E-3</v>
      </c>
      <c r="AN48" s="101">
        <f t="shared" si="140"/>
        <v>-8.8008842487057315E-3</v>
      </c>
      <c r="AO48" s="101">
        <f t="shared" si="140"/>
        <v>1.1434562005813387E-2</v>
      </c>
      <c r="AP48" s="101">
        <f t="shared" si="140"/>
        <v>-9.289823634821559E-4</v>
      </c>
      <c r="AQ48" s="101">
        <f>+AQ12/AP12-1</f>
        <v>-0.14351538494215565</v>
      </c>
      <c r="AR48" s="101">
        <f t="shared" si="140"/>
        <v>-7.3499344749787698E-2</v>
      </c>
      <c r="AS48" s="398"/>
      <c r="AT48" s="398"/>
      <c r="AU48" s="398"/>
      <c r="AV48" s="101" t="e">
        <f t="shared" si="137"/>
        <v>#DIV/0!</v>
      </c>
      <c r="AW48" s="398"/>
      <c r="AX48" s="370"/>
      <c r="AY48" s="399"/>
      <c r="BB48" s="370"/>
      <c r="BC48" s="398"/>
      <c r="BD48" s="398"/>
      <c r="BF48" s="398"/>
      <c r="BG48" s="398"/>
    </row>
    <row r="49" spans="2:59" hidden="1" outlineLevel="1">
      <c r="B49" s="91" t="str">
        <f t="shared" si="131"/>
        <v>Sri Lanka</v>
      </c>
      <c r="C49" s="372"/>
      <c r="D49" s="101">
        <f t="shared" si="132"/>
        <v>9.3701591864411293E-2</v>
      </c>
      <c r="E49" s="101">
        <f t="shared" si="132"/>
        <v>2.1968509569801009E-2</v>
      </c>
      <c r="F49" s="101">
        <f t="shared" si="132"/>
        <v>-8.6609507231348859E-3</v>
      </c>
      <c r="G49" s="101">
        <f t="shared" si="132"/>
        <v>8.6230439744980902E-3</v>
      </c>
      <c r="H49" s="101">
        <f t="shared" si="132"/>
        <v>8.2771490355018518E-2</v>
      </c>
      <c r="I49" s="101"/>
      <c r="J49" s="101">
        <f t="shared" si="134"/>
        <v>-0.14222046464021731</v>
      </c>
      <c r="K49" s="101">
        <f t="shared" si="134"/>
        <v>-0.14214519714699814</v>
      </c>
      <c r="L49" s="101">
        <f t="shared" si="135"/>
        <v>4.5861107976487903E-2</v>
      </c>
      <c r="M49" s="101">
        <f t="shared" si="138"/>
        <v>4.5861107976487903E-2</v>
      </c>
      <c r="N49" s="101">
        <f t="shared" si="139"/>
        <v>1.1997277765174896E-2</v>
      </c>
      <c r="O49" s="101">
        <f t="shared" si="139"/>
        <v>0</v>
      </c>
      <c r="P49" s="375"/>
      <c r="Q49" s="372"/>
      <c r="R49" s="372"/>
      <c r="S49" s="372"/>
      <c r="T49" s="372"/>
      <c r="U49" s="101">
        <f t="shared" ref="U49:AR49" si="141">+U13/T13-1</f>
        <v>-2.5076772412448767E-2</v>
      </c>
      <c r="V49" s="101">
        <f t="shared" si="141"/>
        <v>3.8677381428554147E-2</v>
      </c>
      <c r="W49" s="101">
        <f t="shared" si="141"/>
        <v>-3.0604534739888778E-2</v>
      </c>
      <c r="X49" s="101">
        <f t="shared" si="141"/>
        <v>2.9297095419456021E-3</v>
      </c>
      <c r="Y49" s="101">
        <f t="shared" si="141"/>
        <v>-2.2835092225566456E-2</v>
      </c>
      <c r="Z49" s="101">
        <f t="shared" si="141"/>
        <v>8.1022819047502637E-3</v>
      </c>
      <c r="AA49" s="101">
        <f t="shared" si="141"/>
        <v>4.9158131211209488E-2</v>
      </c>
      <c r="AB49" s="101">
        <f t="shared" si="141"/>
        <v>2.0571937908198556E-2</v>
      </c>
      <c r="AC49" s="101">
        <f t="shared" si="141"/>
        <v>-3.5937708919493883E-2</v>
      </c>
      <c r="AD49" s="101">
        <f t="shared" si="141"/>
        <v>4.9479385679528365E-2</v>
      </c>
      <c r="AE49" s="101">
        <f t="shared" si="141"/>
        <v>8.2832367016640207E-2</v>
      </c>
      <c r="AF49" s="101">
        <f t="shared" si="141"/>
        <v>-8.1289518443024011E-3</v>
      </c>
      <c r="AG49" s="101">
        <f t="shared" si="141"/>
        <v>-4.6586879490646549E-2</v>
      </c>
      <c r="AH49" s="101">
        <f t="shared" si="141"/>
        <v>-0.23674039862210805</v>
      </c>
      <c r="AI49" s="101">
        <f t="shared" si="141"/>
        <v>3.4108794859756708E-2</v>
      </c>
      <c r="AJ49" s="101">
        <f>+AJ13/AI13-1</f>
        <v>0.12831868412858838</v>
      </c>
      <c r="AK49" s="101">
        <f t="shared" si="141"/>
        <v>-4.130990444887761E-2</v>
      </c>
      <c r="AL49" s="101">
        <f t="shared" si="141"/>
        <v>0.11930782070620172</v>
      </c>
      <c r="AM49" s="101">
        <f>+AM13/AL13-1</f>
        <v>-3.0415699908771354E-2</v>
      </c>
      <c r="AN49" s="101">
        <f t="shared" si="141"/>
        <v>-6.6441047646707219E-2</v>
      </c>
      <c r="AO49" s="101">
        <f t="shared" si="141"/>
        <v>3.5024537968777247E-2</v>
      </c>
      <c r="AP49" s="101">
        <f t="shared" si="141"/>
        <v>-4.9410299780252132E-2</v>
      </c>
      <c r="AQ49" s="101">
        <f>+AQ13/AP13-1</f>
        <v>0.1164238816564227</v>
      </c>
      <c r="AR49" s="101">
        <f t="shared" si="141"/>
        <v>-2.6139352079292966E-3</v>
      </c>
      <c r="AS49" s="398"/>
      <c r="AT49" s="398"/>
      <c r="AU49" s="398"/>
      <c r="AV49" s="101" t="e">
        <f t="shared" si="137"/>
        <v>#DIV/0!</v>
      </c>
      <c r="AW49" s="398"/>
      <c r="AX49" s="370"/>
      <c r="AY49" s="399"/>
      <c r="BB49" s="370"/>
      <c r="BC49" s="398"/>
      <c r="BD49" s="398"/>
      <c r="BF49" s="398"/>
      <c r="BG49" s="398"/>
    </row>
    <row r="50" spans="2:59" hidden="1" outlineLevel="1">
      <c r="B50" s="91" t="str">
        <f t="shared" si="131"/>
        <v>Nepal</v>
      </c>
      <c r="C50" s="372"/>
      <c r="D50" s="101">
        <f t="shared" si="132"/>
        <v>0.45824829700019087</v>
      </c>
      <c r="E50" s="101">
        <f t="shared" si="132"/>
        <v>-0.1080551158975378</v>
      </c>
      <c r="F50" s="101">
        <f t="shared" si="132"/>
        <v>-5.8894996708831582E-2</v>
      </c>
      <c r="G50" s="101">
        <f t="shared" si="132"/>
        <v>-0.25219362108915022</v>
      </c>
      <c r="H50" s="101">
        <f t="shared" si="132"/>
        <v>-2.6254889013054394E-2</v>
      </c>
      <c r="I50" s="101"/>
      <c r="J50" s="101">
        <f>+J14/H14-1</f>
        <v>-3.4857024021411109E-2</v>
      </c>
      <c r="K50" s="101"/>
      <c r="L50" s="101"/>
      <c r="M50" s="101"/>
      <c r="N50" s="101"/>
      <c r="O50" s="101"/>
      <c r="P50" s="375"/>
      <c r="Q50" s="372"/>
      <c r="R50" s="372"/>
      <c r="S50" s="372"/>
      <c r="T50" s="372"/>
      <c r="U50" s="101">
        <f t="shared" ref="U50:AL50" si="142">+U14/T14-1</f>
        <v>-2.6868934981832737E-2</v>
      </c>
      <c r="V50" s="101">
        <f t="shared" si="142"/>
        <v>4.5691777449532234E-2</v>
      </c>
      <c r="W50" s="101">
        <f t="shared" si="142"/>
        <v>-6.109380375184259E-2</v>
      </c>
      <c r="X50" s="101">
        <f t="shared" si="142"/>
        <v>-4.2033233580736518E-2</v>
      </c>
      <c r="Y50" s="101">
        <f t="shared" si="142"/>
        <v>-5.385603206789602E-2</v>
      </c>
      <c r="Z50" s="101">
        <f t="shared" si="142"/>
        <v>-0.28763420219420865</v>
      </c>
      <c r="AA50" s="101">
        <f t="shared" si="142"/>
        <v>0.10547589534518731</v>
      </c>
      <c r="AB50" s="101">
        <f t="shared" si="142"/>
        <v>5.9849501588722376E-2</v>
      </c>
      <c r="AC50" s="101">
        <f t="shared" si="142"/>
        <v>2.0861631374161638E-2</v>
      </c>
      <c r="AD50" s="101">
        <f t="shared" si="142"/>
        <v>-8.4752231716884729E-2</v>
      </c>
      <c r="AE50" s="101">
        <f t="shared" si="142"/>
        <v>2.4178134556574804E-2</v>
      </c>
      <c r="AF50" s="101">
        <f t="shared" si="142"/>
        <v>2.215963875010285E-2</v>
      </c>
      <c r="AG50" s="101">
        <f t="shared" si="142"/>
        <v>-5.9137256637657898E-2</v>
      </c>
      <c r="AH50" s="101">
        <f t="shared" si="142"/>
        <v>7.3030107021051283E-2</v>
      </c>
      <c r="AI50" s="101">
        <f t="shared" si="142"/>
        <v>-1</v>
      </c>
      <c r="AJ50" s="101" t="e">
        <f>+AJ14/AI14-1</f>
        <v>#DIV/0!</v>
      </c>
      <c r="AK50" s="101">
        <f t="shared" si="142"/>
        <v>-1.4394713216533184</v>
      </c>
      <c r="AL50" s="101">
        <f t="shared" si="142"/>
        <v>6.0956167584279131E-2</v>
      </c>
      <c r="AM50" s="399"/>
      <c r="AN50" s="399"/>
      <c r="AO50" s="399"/>
      <c r="AP50" s="399"/>
      <c r="AQ50" s="399"/>
      <c r="AR50" s="399"/>
      <c r="AS50" s="398"/>
      <c r="AT50" s="398"/>
      <c r="AU50" s="398"/>
      <c r="AV50" s="399"/>
      <c r="AW50" s="398"/>
      <c r="AX50" s="370"/>
      <c r="AY50" s="399"/>
      <c r="BB50" s="370"/>
      <c r="BC50" s="398"/>
      <c r="BD50" s="398"/>
      <c r="BF50" s="398"/>
      <c r="BG50" s="398"/>
    </row>
    <row r="51" spans="2:59" hidden="1" outlineLevel="1">
      <c r="B51" s="91" t="str">
        <f t="shared" si="131"/>
        <v>Cambodia</v>
      </c>
      <c r="C51" s="372"/>
      <c r="D51" s="101">
        <f t="shared" si="132"/>
        <v>8.8542449077242402E-2</v>
      </c>
      <c r="E51" s="101">
        <f t="shared" si="132"/>
        <v>-2.2573819174329324E-2</v>
      </c>
      <c r="F51" s="101">
        <f t="shared" si="132"/>
        <v>0.11771309144374631</v>
      </c>
      <c r="G51" s="101">
        <f t="shared" si="132"/>
        <v>6.1909087719161482E-2</v>
      </c>
      <c r="H51" s="101">
        <f t="shared" si="132"/>
        <v>4.2864066263290868E-2</v>
      </c>
      <c r="I51" s="101"/>
      <c r="J51" s="101">
        <f>+J15/H15-1</f>
        <v>0.13415372612859766</v>
      </c>
      <c r="K51" s="101">
        <f>+K15/I15-1</f>
        <v>0.13406250660057872</v>
      </c>
      <c r="L51" s="101">
        <f>+L15/K15-1</f>
        <v>4.7515960025901194E-2</v>
      </c>
      <c r="M51" s="101">
        <f t="shared" si="138"/>
        <v>4.7515960025901194E-2</v>
      </c>
      <c r="N51" s="101">
        <f t="shared" si="139"/>
        <v>9.252352456232793E-2</v>
      </c>
      <c r="O51" s="101">
        <f t="shared" si="139"/>
        <v>0</v>
      </c>
      <c r="P51" s="375"/>
      <c r="Q51" s="372"/>
      <c r="R51" s="372"/>
      <c r="S51" s="372"/>
      <c r="T51" s="372"/>
      <c r="U51" s="101">
        <f t="shared" ref="U51:AR51" si="143">+U15/T15-1</f>
        <v>-5.1849341291808626E-2</v>
      </c>
      <c r="V51" s="101">
        <f t="shared" si="143"/>
        <v>5.379436802457227E-2</v>
      </c>
      <c r="W51" s="101">
        <f t="shared" si="143"/>
        <v>3.4093942867910787E-2</v>
      </c>
      <c r="X51" s="101">
        <f t="shared" si="143"/>
        <v>1.0472603571863193E-2</v>
      </c>
      <c r="Y51" s="101">
        <f t="shared" si="143"/>
        <v>-4.5883831097003891E-2</v>
      </c>
      <c r="Z51" s="101">
        <f t="shared" si="143"/>
        <v>-2.2525147831127468E-2</v>
      </c>
      <c r="AA51" s="101">
        <f t="shared" si="143"/>
        <v>4.9450000483445056E-2</v>
      </c>
      <c r="AB51" s="101">
        <f t="shared" si="143"/>
        <v>0.25463122205297006</v>
      </c>
      <c r="AC51" s="101">
        <f t="shared" si="143"/>
        <v>-0.1742524380213839</v>
      </c>
      <c r="AD51" s="101">
        <f t="shared" si="143"/>
        <v>2.9110010345614334E-3</v>
      </c>
      <c r="AE51" s="101">
        <f t="shared" si="143"/>
        <v>7.6113654702754774E-2</v>
      </c>
      <c r="AF51" s="101">
        <f t="shared" si="143"/>
        <v>4.5051280783576786E-2</v>
      </c>
      <c r="AG51" s="101">
        <f t="shared" si="143"/>
        <v>-4.9372365142610897E-2</v>
      </c>
      <c r="AH51" s="101">
        <f t="shared" si="143"/>
        <v>6.3189296941311923E-2</v>
      </c>
      <c r="AI51" s="101">
        <f t="shared" si="143"/>
        <v>0.16710094501047967</v>
      </c>
      <c r="AJ51" s="101">
        <f>+AJ15/AI15-1</f>
        <v>-7.375602712988294E-2</v>
      </c>
      <c r="AK51" s="101">
        <f t="shared" si="143"/>
        <v>-6.9104791413079347E-2</v>
      </c>
      <c r="AL51" s="101">
        <f t="shared" si="143"/>
        <v>7.1441307578008706E-2</v>
      </c>
      <c r="AM51" s="101">
        <f>+AM15/AL15-1</f>
        <v>3.3828484326650088E-2</v>
      </c>
      <c r="AN51" s="101">
        <f t="shared" si="143"/>
        <v>6.6229321562965016E-2</v>
      </c>
      <c r="AO51" s="101">
        <f t="shared" si="143"/>
        <v>1.160958874136786E-2</v>
      </c>
      <c r="AP51" s="101">
        <f t="shared" si="143"/>
        <v>3.6890440409913072E-2</v>
      </c>
      <c r="AQ51" s="101">
        <f>+AQ15/AP15-1</f>
        <v>-7.0893078402496479E-2</v>
      </c>
      <c r="AR51" s="101">
        <f t="shared" si="143"/>
        <v>2.4310076962452909E-2</v>
      </c>
      <c r="AS51" s="398"/>
      <c r="AT51" s="398"/>
      <c r="AU51" s="398"/>
      <c r="AV51" s="101" t="e">
        <f t="shared" ref="AV51" si="144">+AV15/AU15-1</f>
        <v>#DIV/0!</v>
      </c>
      <c r="AW51" s="398"/>
      <c r="AX51" s="370"/>
      <c r="AY51" s="399"/>
      <c r="BB51" s="370"/>
      <c r="BC51" s="398"/>
      <c r="BD51" s="398"/>
      <c r="BF51" s="398"/>
      <c r="BG51" s="398"/>
    </row>
    <row r="52" spans="2:59" hidden="1" outlineLevel="1">
      <c r="B52" s="90" t="str">
        <f t="shared" si="131"/>
        <v>Fixed BB</v>
      </c>
      <c r="C52" s="372"/>
      <c r="D52" s="101"/>
      <c r="E52" s="101"/>
      <c r="F52" s="101"/>
      <c r="G52" s="101"/>
      <c r="H52" s="101"/>
      <c r="I52" s="101"/>
      <c r="J52" s="101"/>
      <c r="K52" s="101"/>
      <c r="L52" s="101"/>
      <c r="M52" s="101"/>
      <c r="N52" s="101"/>
      <c r="O52" s="101"/>
      <c r="P52" s="375"/>
      <c r="Q52" s="372"/>
      <c r="R52" s="372"/>
      <c r="S52" s="372"/>
      <c r="T52" s="372"/>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398"/>
      <c r="AT52" s="398"/>
      <c r="AU52" s="398"/>
      <c r="AV52" s="101"/>
      <c r="AW52" s="398"/>
      <c r="AX52" s="370"/>
      <c r="AY52" s="399"/>
      <c r="BB52" s="370"/>
      <c r="BC52" s="398"/>
      <c r="BD52" s="398"/>
      <c r="BF52" s="398"/>
      <c r="BG52" s="398"/>
    </row>
    <row r="53" spans="2:59" hidden="1" outlineLevel="1">
      <c r="B53" s="91" t="str">
        <f t="shared" si="131"/>
        <v>Indonesia</v>
      </c>
      <c r="C53" s="372"/>
      <c r="D53" s="101"/>
      <c r="E53" s="101"/>
      <c r="F53" s="101"/>
      <c r="G53" s="101"/>
      <c r="H53" s="101"/>
      <c r="I53" s="101"/>
      <c r="J53" s="101"/>
      <c r="K53" s="101"/>
      <c r="L53" s="101">
        <f>+L17/K17-1</f>
        <v>0.75118973088548846</v>
      </c>
      <c r="M53" s="101">
        <f t="shared" si="138"/>
        <v>0.75118973088548846</v>
      </c>
      <c r="N53" s="101">
        <f t="shared" si="139"/>
        <v>-0.19904660085988513</v>
      </c>
      <c r="O53" s="101">
        <f t="shared" si="139"/>
        <v>0</v>
      </c>
      <c r="P53" s="375"/>
      <c r="Q53" s="372"/>
      <c r="R53" s="372"/>
      <c r="S53" s="372"/>
      <c r="T53" s="372"/>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398"/>
      <c r="AT53" s="398"/>
      <c r="AU53" s="398"/>
      <c r="AV53" s="101"/>
      <c r="AW53" s="398"/>
      <c r="AX53" s="370"/>
      <c r="AY53" s="399"/>
      <c r="BB53" s="370"/>
      <c r="BC53" s="398"/>
      <c r="BD53" s="398"/>
      <c r="BF53" s="398"/>
      <c r="BG53" s="398"/>
    </row>
    <row r="54" spans="2:59" s="6" customFormat="1" hidden="1" outlineLevel="1">
      <c r="B54" s="90" t="str">
        <f t="shared" si="131"/>
        <v>Infrastructure</v>
      </c>
      <c r="C54" s="400"/>
      <c r="D54" s="100"/>
      <c r="E54" s="100"/>
      <c r="F54" s="100"/>
      <c r="G54" s="100"/>
      <c r="H54" s="100"/>
      <c r="I54" s="100"/>
      <c r="J54" s="100"/>
      <c r="K54" s="100"/>
      <c r="L54" s="100"/>
      <c r="M54" s="101"/>
      <c r="N54" s="101"/>
      <c r="O54" s="101"/>
      <c r="P54" s="375"/>
      <c r="Q54" s="400"/>
      <c r="R54" s="400"/>
      <c r="S54" s="400"/>
      <c r="T54" s="400"/>
      <c r="U54" s="100"/>
      <c r="V54" s="100"/>
      <c r="W54" s="100"/>
      <c r="X54" s="100"/>
      <c r="Y54" s="100"/>
      <c r="Z54" s="100"/>
      <c r="AA54" s="100"/>
      <c r="AB54" s="100"/>
      <c r="AC54" s="100"/>
      <c r="AD54" s="100"/>
      <c r="AE54" s="100"/>
      <c r="AF54" s="100"/>
      <c r="AG54" s="100"/>
      <c r="AH54" s="100"/>
      <c r="AI54" s="100"/>
      <c r="AJ54" s="100"/>
      <c r="AK54" s="100"/>
      <c r="AL54" s="100"/>
      <c r="AM54" s="100"/>
      <c r="AN54" s="100"/>
      <c r="AO54" s="100"/>
      <c r="AP54" s="100"/>
      <c r="AQ54" s="100"/>
      <c r="AR54" s="100"/>
      <c r="AS54" s="398"/>
      <c r="AT54" s="398"/>
      <c r="AU54" s="398"/>
      <c r="AV54" s="100"/>
      <c r="AW54" s="398"/>
      <c r="AX54" s="370"/>
      <c r="AY54" s="399"/>
      <c r="BB54" s="370"/>
      <c r="BC54" s="398"/>
      <c r="BD54" s="398"/>
      <c r="BE54" s="10"/>
      <c r="BF54" s="398"/>
      <c r="BG54" s="398"/>
    </row>
    <row r="55" spans="2:59" hidden="1" outlineLevel="1">
      <c r="B55" s="91" t="str">
        <f t="shared" si="131"/>
        <v>Malaysia</v>
      </c>
      <c r="C55" s="372"/>
      <c r="D55" s="101">
        <f t="shared" ref="D55:H56" si="145">+D19/C19-1</f>
        <v>0.85372712663936556</v>
      </c>
      <c r="E55" s="101">
        <f t="shared" si="145"/>
        <v>0.34328153000421802</v>
      </c>
      <c r="F55" s="101">
        <f t="shared" si="145"/>
        <v>0.15027592105240339</v>
      </c>
      <c r="G55" s="101">
        <f t="shared" si="145"/>
        <v>0.14799632610771019</v>
      </c>
      <c r="H55" s="101">
        <f t="shared" si="145"/>
        <v>4.2287900345118867E-2</v>
      </c>
      <c r="I55" s="101"/>
      <c r="J55" s="101">
        <f>+J19/H19-1</f>
        <v>1.3235225164360909</v>
      </c>
      <c r="K55" s="101">
        <f>+K19/I19-1</f>
        <v>0.10484449356745662</v>
      </c>
      <c r="L55" s="101">
        <f>+L19/K19-1</f>
        <v>0.21324551469971276</v>
      </c>
      <c r="M55" s="101">
        <f t="shared" si="138"/>
        <v>0.41882294324679603</v>
      </c>
      <c r="N55" s="101">
        <f t="shared" si="139"/>
        <v>2.1360977832627581E-2</v>
      </c>
      <c r="O55" s="101">
        <f t="shared" si="139"/>
        <v>0</v>
      </c>
      <c r="P55" s="375"/>
      <c r="Q55" s="400"/>
      <c r="R55" s="372"/>
      <c r="S55" s="372"/>
      <c r="T55" s="372"/>
      <c r="U55" s="101">
        <f t="shared" ref="U55:AR55" si="146">+U19/T19-1</f>
        <v>-6.5403970976726122E-2</v>
      </c>
      <c r="V55" s="101">
        <f t="shared" si="146"/>
        <v>-2.5765647082898968E-2</v>
      </c>
      <c r="W55" s="101">
        <f t="shared" si="146"/>
        <v>0.13755891349726257</v>
      </c>
      <c r="X55" s="101">
        <f t="shared" si="146"/>
        <v>4.4709113780886822E-2</v>
      </c>
      <c r="Y55" s="101">
        <f t="shared" si="146"/>
        <v>-3.0599958021723106E-3</v>
      </c>
      <c r="Z55" s="101">
        <f t="shared" si="146"/>
        <v>1.0936772820956397E-2</v>
      </c>
      <c r="AA55" s="101">
        <f t="shared" si="146"/>
        <v>9.8374491686123999E-3</v>
      </c>
      <c r="AB55" s="101">
        <f t="shared" si="146"/>
        <v>0.16122239649193215</v>
      </c>
      <c r="AC55" s="101">
        <f t="shared" si="146"/>
        <v>-0.12650489792866215</v>
      </c>
      <c r="AD55" s="101">
        <f t="shared" si="146"/>
        <v>6.2600321027272976E-4</v>
      </c>
      <c r="AE55" s="101">
        <f t="shared" si="146"/>
        <v>5.0433917772181536E-2</v>
      </c>
      <c r="AF55" s="101">
        <f t="shared" si="146"/>
        <v>0.1352055749838379</v>
      </c>
      <c r="AG55" s="101">
        <f t="shared" si="146"/>
        <v>0.82883278776736469</v>
      </c>
      <c r="AH55" s="101">
        <f t="shared" si="146"/>
        <v>0.11170583158431557</v>
      </c>
      <c r="AI55" s="101">
        <f t="shared" si="146"/>
        <v>1.882414695847201E-2</v>
      </c>
      <c r="AJ55" s="101">
        <f>+AJ19/AI19-1</f>
        <v>-0.5362751167895532</v>
      </c>
      <c r="AK55" s="101">
        <f t="shared" si="146"/>
        <v>1.1945344375250895</v>
      </c>
      <c r="AL55" s="101">
        <f t="shared" si="146"/>
        <v>0.18305041480536044</v>
      </c>
      <c r="AM55" s="101">
        <f>+AM19/AL19-1</f>
        <v>-3.682985946288031E-2</v>
      </c>
      <c r="AN55" s="101">
        <f t="shared" si="146"/>
        <v>-0.43372493088082364</v>
      </c>
      <c r="AO55" s="101">
        <f t="shared" si="146"/>
        <v>0.46140913046918208</v>
      </c>
      <c r="AP55" s="101">
        <f t="shared" si="146"/>
        <v>0.28879218945269303</v>
      </c>
      <c r="AQ55" s="101">
        <f>+AQ19/AP19-1</f>
        <v>-0.21543831029599902</v>
      </c>
      <c r="AR55" s="101">
        <f t="shared" si="146"/>
        <v>0.70682119870157356</v>
      </c>
      <c r="AS55" s="398"/>
      <c r="AT55" s="398"/>
      <c r="AU55" s="398"/>
      <c r="AV55" s="101" t="e">
        <f t="shared" ref="AV55:AV56" si="147">+AV19/AU19-1</f>
        <v>#DIV/0!</v>
      </c>
      <c r="AW55" s="398"/>
      <c r="AX55" s="370"/>
      <c r="AY55" s="399"/>
      <c r="BB55" s="370"/>
      <c r="BC55" s="398"/>
      <c r="BD55" s="398"/>
      <c r="BF55" s="398"/>
      <c r="BG55" s="398"/>
    </row>
    <row r="56" spans="2:59" hidden="1" outlineLevel="1">
      <c r="B56" s="91" t="str">
        <f t="shared" si="131"/>
        <v>Others</v>
      </c>
      <c r="C56" s="372"/>
      <c r="D56" s="101">
        <f t="shared" si="145"/>
        <v>0.2454750054265662</v>
      </c>
      <c r="E56" s="101">
        <f t="shared" si="145"/>
        <v>0.16390976524041601</v>
      </c>
      <c r="F56" s="101">
        <f t="shared" si="145"/>
        <v>0.10649755954038453</v>
      </c>
      <c r="G56" s="101">
        <f t="shared" si="145"/>
        <v>0.25290238030797285</v>
      </c>
      <c r="H56" s="101">
        <f t="shared" si="145"/>
        <v>1.121270346578743</v>
      </c>
      <c r="I56" s="101"/>
      <c r="J56" s="101">
        <f>+J20/H20-1</f>
        <v>-5.4454923722015991E-3</v>
      </c>
      <c r="K56" s="101">
        <f>+K20/I20-1</f>
        <v>-8.8552883588730924E-2</v>
      </c>
      <c r="L56" s="101">
        <f>+L20/K20-1</f>
        <v>-0.12193219360076424</v>
      </c>
      <c r="M56" s="101">
        <f t="shared" si="138"/>
        <v>-0.12193219360076424</v>
      </c>
      <c r="N56" s="101">
        <f t="shared" si="139"/>
        <v>0.14704583508717861</v>
      </c>
      <c r="O56" s="101">
        <f t="shared" si="139"/>
        <v>0</v>
      </c>
      <c r="P56" s="375"/>
      <c r="Q56" s="372"/>
      <c r="R56" s="372"/>
      <c r="S56" s="372"/>
      <c r="T56" s="372"/>
      <c r="U56" s="101">
        <f t="shared" ref="U56:AR56" si="148">+U20/T20-1</f>
        <v>-0.46015968463439605</v>
      </c>
      <c r="V56" s="101">
        <f t="shared" si="148"/>
        <v>0.77836411609498701</v>
      </c>
      <c r="W56" s="101">
        <f t="shared" si="148"/>
        <v>-1.6881867030235087E-2</v>
      </c>
      <c r="X56" s="101">
        <f t="shared" si="148"/>
        <v>-0.15311008687849226</v>
      </c>
      <c r="Y56" s="101">
        <f t="shared" si="148"/>
        <v>-0.27246281883332057</v>
      </c>
      <c r="Z56" s="101">
        <f t="shared" si="148"/>
        <v>0.44625976433205339</v>
      </c>
      <c r="AA56" s="101">
        <f t="shared" si="148"/>
        <v>0.21099271302501044</v>
      </c>
      <c r="AB56" s="101">
        <f t="shared" si="148"/>
        <v>0.59263402981464131</v>
      </c>
      <c r="AC56" s="101">
        <f t="shared" si="148"/>
        <v>-0.44915511676476183</v>
      </c>
      <c r="AD56" s="101">
        <f t="shared" si="148"/>
        <v>1.6460207493192702</v>
      </c>
      <c r="AE56" s="101">
        <f t="shared" si="148"/>
        <v>-0.11421928122028413</v>
      </c>
      <c r="AF56" s="101">
        <f t="shared" si="148"/>
        <v>0.5600179410445516</v>
      </c>
      <c r="AG56" s="101">
        <f t="shared" si="148"/>
        <v>-0.48115373013329332</v>
      </c>
      <c r="AH56" s="101">
        <f t="shared" si="148"/>
        <v>0.10281566671663001</v>
      </c>
      <c r="AI56" s="101">
        <f t="shared" si="148"/>
        <v>0.18066532947277025</v>
      </c>
      <c r="AJ56" s="101">
        <f>+AJ20/AI20-1</f>
        <v>0.22644089554946079</v>
      </c>
      <c r="AK56" s="101">
        <f t="shared" si="148"/>
        <v>-0.4840517216859036</v>
      </c>
      <c r="AL56" s="101">
        <f t="shared" si="148"/>
        <v>9.3784799938255947E-2</v>
      </c>
      <c r="AM56" s="101">
        <f>+AM20/AL20-1</f>
        <v>0.31147243530941604</v>
      </c>
      <c r="AN56" s="101">
        <f t="shared" si="148"/>
        <v>0.25639498239842595</v>
      </c>
      <c r="AO56" s="101">
        <f t="shared" si="148"/>
        <v>-0.17872011109785613</v>
      </c>
      <c r="AP56" s="101">
        <f t="shared" si="148"/>
        <v>8.7209302325581328E-2</v>
      </c>
      <c r="AQ56" s="101">
        <f>+AQ20/AP20-1</f>
        <v>-4.6782023041585408E-2</v>
      </c>
      <c r="AR56" s="101">
        <f t="shared" si="148"/>
        <v>-2.8017868758781539E-2</v>
      </c>
      <c r="AS56" s="398"/>
      <c r="AT56" s="398"/>
      <c r="AU56" s="398"/>
      <c r="AV56" s="101" t="e">
        <f t="shared" si="147"/>
        <v>#DIV/0!</v>
      </c>
      <c r="AW56" s="398"/>
      <c r="AX56" s="370"/>
      <c r="AY56" s="399"/>
      <c r="BB56" s="370"/>
      <c r="BC56" s="398"/>
      <c r="BD56" s="398"/>
      <c r="BF56" s="398"/>
      <c r="BG56" s="398"/>
    </row>
    <row r="57" spans="2:59" hidden="1" outlineLevel="1">
      <c r="B57" s="91" t="str">
        <f t="shared" si="131"/>
        <v>Eliminations</v>
      </c>
      <c r="C57" s="372"/>
      <c r="D57" s="372"/>
      <c r="E57" s="372"/>
      <c r="F57" s="372"/>
      <c r="G57" s="372"/>
      <c r="H57" s="372"/>
      <c r="I57" s="372"/>
      <c r="J57" s="372"/>
      <c r="K57" s="372"/>
      <c r="L57" s="372"/>
      <c r="M57" s="372"/>
      <c r="N57" s="372"/>
      <c r="O57" s="372"/>
      <c r="P57" s="375"/>
      <c r="Q57" s="372"/>
      <c r="R57" s="372"/>
      <c r="S57" s="372"/>
      <c r="T57" s="372"/>
      <c r="U57" s="372"/>
      <c r="V57" s="372"/>
      <c r="W57" s="372"/>
      <c r="X57" s="372"/>
      <c r="Y57" s="372"/>
      <c r="Z57" s="372"/>
      <c r="AA57" s="372"/>
      <c r="AB57" s="372"/>
      <c r="AC57" s="372"/>
      <c r="AD57" s="372"/>
      <c r="AE57" s="372"/>
      <c r="AF57" s="372"/>
      <c r="AG57" s="372"/>
      <c r="AH57" s="372"/>
      <c r="AI57" s="372"/>
      <c r="AJ57" s="372"/>
      <c r="AK57" s="372"/>
      <c r="AL57" s="372"/>
      <c r="AM57" s="372"/>
      <c r="AN57" s="372"/>
      <c r="AO57" s="372"/>
      <c r="AP57" s="372"/>
      <c r="AQ57" s="372"/>
      <c r="AR57" s="372"/>
      <c r="AS57" s="398"/>
      <c r="AT57" s="398"/>
      <c r="AU57" s="398"/>
      <c r="AV57" s="372"/>
      <c r="AW57" s="398"/>
      <c r="AX57" s="370"/>
      <c r="AY57" s="399"/>
      <c r="BB57" s="370"/>
      <c r="BC57" s="398"/>
      <c r="BD57" s="398"/>
      <c r="BF57" s="398"/>
      <c r="BG57" s="398"/>
    </row>
    <row r="58" spans="2:59" s="6" customFormat="1" hidden="1" outlineLevel="1">
      <c r="B58" s="94" t="s">
        <v>31</v>
      </c>
      <c r="C58" s="400"/>
      <c r="D58" s="100">
        <f t="shared" ref="D58:H58" si="149">+D22/C22-1</f>
        <v>0.1315537876612678</v>
      </c>
      <c r="E58" s="100">
        <f t="shared" si="149"/>
        <v>-2.1170867571596697E-2</v>
      </c>
      <c r="F58" s="100">
        <f t="shared" si="149"/>
        <v>2.9202771305656405E-2</v>
      </c>
      <c r="G58" s="100">
        <f t="shared" si="149"/>
        <v>-1.5463376130929629E-2</v>
      </c>
      <c r="H58" s="100">
        <f t="shared" si="149"/>
        <v>7.0135024869261819E-2</v>
      </c>
      <c r="I58" s="100"/>
      <c r="J58" s="100">
        <f>+J22/H22-1</f>
        <v>-0.16118994028762401</v>
      </c>
      <c r="K58" s="100">
        <f>+K22/I22-1</f>
        <v>1.2959649437280785E-3</v>
      </c>
      <c r="L58" s="100">
        <f>+L22/K22-1</f>
        <v>9.8999064948142701E-2</v>
      </c>
      <c r="M58" s="100">
        <f>+M22/K22-1</f>
        <v>0.11478590709021042</v>
      </c>
      <c r="N58" s="100">
        <f t="shared" si="139"/>
        <v>7.299382579144531E-4</v>
      </c>
      <c r="O58" s="100">
        <f t="shared" si="139"/>
        <v>0</v>
      </c>
      <c r="P58" s="375"/>
      <c r="Q58" s="400"/>
      <c r="R58" s="400"/>
      <c r="S58" s="400"/>
      <c r="T58" s="400"/>
      <c r="U58" s="100">
        <f t="shared" ref="U58:AR58" si="150">+U22/T22-1</f>
        <v>-5.0671494073315948E-2</v>
      </c>
      <c r="V58" s="100">
        <f t="shared" si="150"/>
        <v>3.4318709484611576E-2</v>
      </c>
      <c r="W58" s="100">
        <f t="shared" si="150"/>
        <v>9.6918656256308466E-3</v>
      </c>
      <c r="X58" s="100">
        <f t="shared" si="150"/>
        <v>8.6513443680238389E-3</v>
      </c>
      <c r="Y58" s="100">
        <f t="shared" si="150"/>
        <v>-3.6767630864302903E-2</v>
      </c>
      <c r="Z58" s="100">
        <f t="shared" si="150"/>
        <v>-4.0448372788318587E-2</v>
      </c>
      <c r="AA58" s="100">
        <f t="shared" si="150"/>
        <v>5.5113981839005177E-2</v>
      </c>
      <c r="AB58" s="100">
        <f t="shared" si="150"/>
        <v>2.4683813244100961E-2</v>
      </c>
      <c r="AC58" s="100">
        <f t="shared" si="150"/>
        <v>-3.1696046764591257E-2</v>
      </c>
      <c r="AD58" s="100">
        <f t="shared" si="150"/>
        <v>5.3767146837765623E-2</v>
      </c>
      <c r="AE58" s="100">
        <f t="shared" si="150"/>
        <v>2.3927616374421312E-2</v>
      </c>
      <c r="AF58" s="100">
        <f t="shared" si="150"/>
        <v>5.5120592917917932E-2</v>
      </c>
      <c r="AG58" s="100">
        <f t="shared" si="150"/>
        <v>-0.27807532720176309</v>
      </c>
      <c r="AH58" s="100">
        <f t="shared" si="150"/>
        <v>4.2877350824356064E-2</v>
      </c>
      <c r="AI58" s="100">
        <f t="shared" si="150"/>
        <v>3.2736351067591762E-2</v>
      </c>
      <c r="AJ58" s="100">
        <f>+AJ22/AI22-1</f>
        <v>-0.16704770875467823</v>
      </c>
      <c r="AK58" s="100">
        <f t="shared" si="150"/>
        <v>0.20300474070177454</v>
      </c>
      <c r="AL58" s="100">
        <f t="shared" si="150"/>
        <v>0.11449014969371851</v>
      </c>
      <c r="AM58" s="100">
        <f>+AM22/AL22-1</f>
        <v>-4.9955742956157012E-2</v>
      </c>
      <c r="AN58" s="100">
        <f t="shared" si="150"/>
        <v>-0.13364254841691869</v>
      </c>
      <c r="AO58" s="100">
        <f t="shared" si="150"/>
        <v>0.14757349164829381</v>
      </c>
      <c r="AP58" s="100">
        <f t="shared" si="150"/>
        <v>1.6545851315522997E-2</v>
      </c>
      <c r="AQ58" s="100">
        <f>+AQ22/AP22-1</f>
        <v>-7.5424513288235517E-2</v>
      </c>
      <c r="AR58" s="100">
        <f t="shared" si="150"/>
        <v>5.1390341552475904E-2</v>
      </c>
      <c r="AS58" s="398"/>
      <c r="AT58" s="398"/>
      <c r="AU58" s="398"/>
      <c r="AV58" s="100" t="e">
        <f t="shared" ref="AV58" si="151">+AV22/AU22-1</f>
        <v>#DIV/0!</v>
      </c>
      <c r="AW58" s="398"/>
      <c r="AX58" s="370"/>
      <c r="AY58" s="399"/>
      <c r="BB58" s="370"/>
      <c r="BC58" s="398"/>
      <c r="BD58" s="398"/>
      <c r="BE58" s="10"/>
      <c r="BF58" s="398"/>
      <c r="BG58" s="398"/>
    </row>
    <row r="59" spans="2:59" s="93" customFormat="1" hidden="1" outlineLevel="1">
      <c r="B59" s="94"/>
      <c r="C59" s="102"/>
      <c r="D59" s="102"/>
      <c r="E59" s="102"/>
      <c r="F59" s="102"/>
      <c r="G59" s="102"/>
      <c r="H59" s="102"/>
      <c r="I59" s="102"/>
      <c r="J59" s="102"/>
      <c r="K59" s="102"/>
      <c r="L59" s="102"/>
      <c r="M59" s="102"/>
      <c r="N59" s="102"/>
      <c r="O59" s="102"/>
      <c r="P59" s="375"/>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370"/>
      <c r="AY59" s="102"/>
      <c r="BB59" s="370"/>
      <c r="BC59" s="102"/>
      <c r="BD59" s="102"/>
      <c r="BE59" s="10"/>
      <c r="BF59" s="102"/>
      <c r="BG59" s="102"/>
    </row>
    <row r="60" spans="2:59" hidden="1" outlineLevel="1">
      <c r="B60" s="90" t="s">
        <v>359</v>
      </c>
      <c r="C60" s="9"/>
      <c r="D60" s="9"/>
      <c r="E60" s="9"/>
      <c r="F60" s="9"/>
      <c r="G60" s="9"/>
      <c r="H60" s="9"/>
      <c r="I60" s="9"/>
      <c r="J60" s="9"/>
      <c r="K60" s="9"/>
      <c r="L60" s="9"/>
      <c r="M60" s="9"/>
      <c r="N60" s="9"/>
      <c r="O60" s="9"/>
      <c r="P60" s="375"/>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c r="AP60" s="89"/>
      <c r="AQ60" s="89"/>
      <c r="AR60" s="89"/>
      <c r="AS60" s="89"/>
      <c r="AT60" s="89"/>
      <c r="AU60" s="89"/>
      <c r="AV60" s="89"/>
      <c r="AW60" s="89"/>
      <c r="AX60" s="370"/>
      <c r="AY60" s="89"/>
      <c r="BB60" s="370"/>
      <c r="BC60" s="89"/>
      <c r="BD60" s="89"/>
      <c r="BF60" s="89"/>
      <c r="BG60" s="89"/>
    </row>
    <row r="61" spans="2:59" hidden="1" outlineLevel="1">
      <c r="B61" s="90" t="s">
        <v>344</v>
      </c>
      <c r="C61" s="9"/>
      <c r="D61" s="9"/>
      <c r="E61" s="9"/>
      <c r="F61" s="9"/>
      <c r="G61" s="9"/>
      <c r="H61" s="9"/>
      <c r="I61" s="9"/>
      <c r="J61" s="9"/>
      <c r="K61" s="9"/>
      <c r="L61" s="9"/>
      <c r="M61" s="9"/>
      <c r="N61" s="9"/>
      <c r="O61" s="9"/>
      <c r="P61" s="375"/>
      <c r="Q61" s="89"/>
      <c r="R61" s="89"/>
      <c r="S61" s="89"/>
      <c r="T61" s="89"/>
      <c r="U61" s="89"/>
      <c r="V61" s="89"/>
      <c r="W61" s="89"/>
      <c r="X61" s="89"/>
      <c r="Y61" s="116"/>
      <c r="Z61" s="89"/>
      <c r="AA61" s="89"/>
      <c r="AB61" s="89"/>
      <c r="AC61" s="116"/>
      <c r="AD61" s="89"/>
      <c r="AE61" s="89"/>
      <c r="AF61" s="89"/>
      <c r="AG61" s="116"/>
      <c r="AH61" s="89"/>
      <c r="AI61" s="89"/>
      <c r="AJ61" s="89"/>
      <c r="AK61" s="116"/>
      <c r="AL61" s="89"/>
      <c r="AM61" s="89"/>
      <c r="AN61" s="89"/>
      <c r="AO61" s="116"/>
      <c r="AP61" s="89"/>
      <c r="AQ61" s="89"/>
      <c r="AR61" s="89"/>
      <c r="AS61" s="116"/>
      <c r="AT61" s="89"/>
      <c r="AU61" s="89"/>
      <c r="AV61" s="89"/>
      <c r="AW61" s="116"/>
      <c r="AX61" s="370"/>
      <c r="AY61" s="89"/>
      <c r="BB61" s="370"/>
      <c r="BC61" s="116"/>
      <c r="BD61" s="116"/>
      <c r="BF61" s="116"/>
      <c r="BG61" s="116"/>
    </row>
    <row r="62" spans="2:59" hidden="1" outlineLevel="1">
      <c r="B62" s="91" t="s">
        <v>345</v>
      </c>
      <c r="C62" s="122">
        <v>2304.248</v>
      </c>
      <c r="D62" s="122">
        <v>2317.9050000000002</v>
      </c>
      <c r="E62" s="122">
        <v>1906.001</v>
      </c>
      <c r="F62" s="122">
        <v>2618.4580000000001</v>
      </c>
      <c r="G62" s="122">
        <v>2589.9479999999999</v>
      </c>
      <c r="H62" s="122">
        <v>2825.9569999999999</v>
      </c>
      <c r="I62" s="196"/>
      <c r="J62" s="196"/>
      <c r="K62" s="196"/>
      <c r="L62" s="196"/>
      <c r="M62" s="196"/>
      <c r="N62" s="196"/>
      <c r="O62" s="196"/>
      <c r="P62" s="375"/>
      <c r="Q62" s="122">
        <v>456.62900000000002</v>
      </c>
      <c r="R62" s="122">
        <f>951.574-Q62</f>
        <v>494.94499999999994</v>
      </c>
      <c r="S62" s="122">
        <f>1439.753-R62-Q62</f>
        <v>488.17899999999997</v>
      </c>
      <c r="T62" s="92">
        <f t="shared" ref="T62:T67" si="152">+E62-Q62-R62-S62</f>
        <v>466.24799999999993</v>
      </c>
      <c r="U62" s="117">
        <v>570.37699999999995</v>
      </c>
      <c r="V62" s="122">
        <f>1280.477-U62</f>
        <v>710.10000000000014</v>
      </c>
      <c r="W62" s="117">
        <f>1920.977-V62-U62</f>
        <v>640.5</v>
      </c>
      <c r="X62" s="92">
        <f t="shared" ref="X62:X67" si="153">+F62-U62-V62-W62</f>
        <v>697.48099999999999</v>
      </c>
      <c r="Y62" s="122">
        <v>514.03300000000002</v>
      </c>
      <c r="Z62" s="122">
        <f>1085.357-Y62</f>
        <v>571.32399999999996</v>
      </c>
      <c r="AA62" s="117">
        <f>1795.099-Z62-Y62</f>
        <v>709.74200000000008</v>
      </c>
      <c r="AB62" s="92">
        <f t="shared" ref="AB62:AB67" si="154">+G62-Y62-Z62-AA62</f>
        <v>794.84899999999982</v>
      </c>
      <c r="AC62" s="122">
        <v>645.87900000000002</v>
      </c>
      <c r="AD62" s="122">
        <f>1323.618-AC62</f>
        <v>677.73899999999992</v>
      </c>
      <c r="AE62" s="117">
        <f>2025.347-AD62-AC62</f>
        <v>701.72900000000016</v>
      </c>
      <c r="AF62" s="92">
        <f t="shared" ref="AF62:AF67" si="155">+H62-AC62-AD62-AE62</f>
        <v>800.60999999999979</v>
      </c>
      <c r="AG62" s="196"/>
      <c r="AH62" s="196"/>
      <c r="AI62" s="196"/>
      <c r="AJ62" s="196"/>
      <c r="AK62" s="196"/>
      <c r="AL62" s="196"/>
      <c r="AM62" s="196"/>
      <c r="AN62" s="196"/>
      <c r="AO62" s="196"/>
      <c r="AP62" s="196"/>
      <c r="AQ62" s="196"/>
      <c r="AR62" s="196"/>
      <c r="AS62" s="196"/>
      <c r="AT62" s="196"/>
      <c r="AU62" s="196"/>
      <c r="AV62" s="196"/>
      <c r="AW62" s="196"/>
      <c r="AX62" s="370"/>
      <c r="AY62" s="399"/>
      <c r="BB62" s="370"/>
      <c r="BC62" s="196"/>
      <c r="BD62" s="196"/>
      <c r="BF62" s="196"/>
      <c r="BG62" s="196"/>
    </row>
    <row r="63" spans="2:59" hidden="1" outlineLevel="1">
      <c r="B63" s="91" t="s">
        <v>346</v>
      </c>
      <c r="C63" s="122">
        <v>2612.2310000000002</v>
      </c>
      <c r="D63" s="122">
        <v>2761.9789999999998</v>
      </c>
      <c r="E63" s="122">
        <v>2527.143</v>
      </c>
      <c r="F63" s="122">
        <v>3721.0540000000001</v>
      </c>
      <c r="G63" s="122">
        <v>3776.6529999999998</v>
      </c>
      <c r="H63" s="122">
        <v>3889.7109999999998</v>
      </c>
      <c r="I63" s="122">
        <v>3889.7109999999998</v>
      </c>
      <c r="J63" s="122">
        <v>4219.018</v>
      </c>
      <c r="K63" s="122">
        <v>4219.018</v>
      </c>
      <c r="L63" s="122">
        <v>4776.5789999999997</v>
      </c>
      <c r="M63" s="122">
        <v>4776.5789999999997</v>
      </c>
      <c r="N63" s="122">
        <v>5205.1940000000004</v>
      </c>
      <c r="O63" s="122">
        <v>5205.1940000000004</v>
      </c>
      <c r="P63" s="375"/>
      <c r="Q63" s="122">
        <v>603.03399999999999</v>
      </c>
      <c r="R63" s="122">
        <f>1214.147-Q63</f>
        <v>611.11299999999994</v>
      </c>
      <c r="S63" s="122">
        <f>1844.17-R63-Q63</f>
        <v>630.02300000000025</v>
      </c>
      <c r="T63" s="92">
        <f t="shared" si="152"/>
        <v>682.97299999999984</v>
      </c>
      <c r="U63" s="117">
        <v>829.58600000000001</v>
      </c>
      <c r="V63" s="122">
        <f>1771.033-U63</f>
        <v>941.44699999999989</v>
      </c>
      <c r="W63" s="117">
        <f>2738.37-V63-U63</f>
        <v>967.33699999999999</v>
      </c>
      <c r="X63" s="92">
        <f t="shared" si="153"/>
        <v>982.68399999999997</v>
      </c>
      <c r="Y63" s="117">
        <v>932.45799999999997</v>
      </c>
      <c r="Z63" s="122">
        <f>1900.18-Y63</f>
        <v>967.72200000000009</v>
      </c>
      <c r="AA63" s="117">
        <f>2877.807-Z63-Y63</f>
        <v>977.62699999999961</v>
      </c>
      <c r="AB63" s="92">
        <f t="shared" si="154"/>
        <v>898.84599999999989</v>
      </c>
      <c r="AC63" s="117">
        <v>900.99400000000003</v>
      </c>
      <c r="AD63" s="122">
        <f>1873.133-AC63</f>
        <v>972.13900000000001</v>
      </c>
      <c r="AE63" s="117">
        <f>2885.777-AD63-AC63</f>
        <v>1012.6439999999999</v>
      </c>
      <c r="AF63" s="92">
        <f t="shared" si="155"/>
        <v>1003.9339999999996</v>
      </c>
      <c r="AG63" s="117">
        <v>933.46600000000001</v>
      </c>
      <c r="AH63" s="122">
        <f>1992.907-AG63</f>
        <v>1059.4409999999998</v>
      </c>
      <c r="AI63" s="117">
        <f>3087.236-AH63-AG63</f>
        <v>1094.3290000000002</v>
      </c>
      <c r="AJ63" s="92">
        <f>K63-AG63-AH63-AI63</f>
        <v>1131.7820000000002</v>
      </c>
      <c r="AK63" s="117">
        <v>1038.5170000000001</v>
      </c>
      <c r="AL63" s="122">
        <f>2275.258-AK63</f>
        <v>1236.7409999999998</v>
      </c>
      <c r="AM63" s="117">
        <f>3528.819-AL63-AK63</f>
        <v>1253.5610000000004</v>
      </c>
      <c r="AN63" s="92">
        <f>L63-AK63-AL63-AM63</f>
        <v>1247.7599999999995</v>
      </c>
      <c r="AO63" s="117">
        <v>1355.8209999999999</v>
      </c>
      <c r="AP63" s="122">
        <f>2680.119-AO63</f>
        <v>1324.2980000000002</v>
      </c>
      <c r="AQ63" s="117">
        <f>3909.734-AP63-AO63</f>
        <v>1229.6149999999998</v>
      </c>
      <c r="AR63" s="92">
        <f t="shared" ref="AR63:AR73" si="156">N63-AO63-AP63-AQ63</f>
        <v>1295.4600000000005</v>
      </c>
      <c r="AS63" s="349"/>
      <c r="AT63" s="349"/>
      <c r="AU63" s="349"/>
      <c r="AV63" s="92">
        <f t="shared" ref="AV63:AV73" si="157">R63-AS63-AT63-AU63</f>
        <v>611.11299999999994</v>
      </c>
      <c r="AW63" s="349"/>
      <c r="AX63" s="370"/>
      <c r="AY63" s="399"/>
      <c r="BB63" s="370"/>
      <c r="BC63" s="117"/>
      <c r="BD63" s="117"/>
      <c r="BF63" s="117"/>
      <c r="BG63" s="117"/>
    </row>
    <row r="64" spans="2:59" hidden="1" outlineLevel="1">
      <c r="B64" s="91" t="s">
        <v>347</v>
      </c>
      <c r="C64" s="122">
        <v>758.35199999999998</v>
      </c>
      <c r="D64" s="122">
        <v>693.173</v>
      </c>
      <c r="E64" s="122">
        <v>794.74599999999998</v>
      </c>
      <c r="F64" s="122">
        <v>1404.249</v>
      </c>
      <c r="G64" s="122">
        <v>1580.7049999999999</v>
      </c>
      <c r="H64" s="122">
        <v>1592.9970000000001</v>
      </c>
      <c r="I64" s="122">
        <v>1592.9970000000001</v>
      </c>
      <c r="J64" s="122">
        <v>1804.99</v>
      </c>
      <c r="K64" s="122">
        <v>1804.99</v>
      </c>
      <c r="L64" s="122">
        <v>1922.829</v>
      </c>
      <c r="M64" s="122">
        <v>1922.829</v>
      </c>
      <c r="N64" s="122">
        <v>1979.4559999999999</v>
      </c>
      <c r="O64" s="122">
        <v>1979.4559999999999</v>
      </c>
      <c r="P64" s="375"/>
      <c r="Q64" s="122">
        <v>182.50299999999999</v>
      </c>
      <c r="R64" s="122">
        <f>329.989-Q64</f>
        <v>147.48599999999999</v>
      </c>
      <c r="S64" s="122">
        <f>547.611-R64-Q64</f>
        <v>217.62200000000001</v>
      </c>
      <c r="T64" s="92">
        <f t="shared" si="152"/>
        <v>247.13499999999993</v>
      </c>
      <c r="U64" s="117">
        <v>348.608</v>
      </c>
      <c r="V64" s="122">
        <f>763.433-U64</f>
        <v>414.82499999999999</v>
      </c>
      <c r="W64" s="117">
        <f>1111.057-V64-U64</f>
        <v>347.62399999999997</v>
      </c>
      <c r="X64" s="92">
        <f t="shared" si="153"/>
        <v>293.19200000000006</v>
      </c>
      <c r="Y64" s="117">
        <v>383.31400000000002</v>
      </c>
      <c r="Z64" s="122">
        <f>826.741-Y64</f>
        <v>443.42699999999996</v>
      </c>
      <c r="AA64" s="117">
        <f>1212.671-Z64-Y64</f>
        <v>385.93000000000012</v>
      </c>
      <c r="AB64" s="92">
        <f t="shared" si="154"/>
        <v>368.03399999999982</v>
      </c>
      <c r="AC64" s="117">
        <v>384.96499999999997</v>
      </c>
      <c r="AD64" s="122">
        <f>795.964-AC64</f>
        <v>410.99900000000008</v>
      </c>
      <c r="AE64" s="117">
        <f>1216.548-AD64-AC64</f>
        <v>420.584</v>
      </c>
      <c r="AF64" s="92">
        <f t="shared" si="155"/>
        <v>376.44900000000013</v>
      </c>
      <c r="AG64" s="117">
        <v>407.70800000000003</v>
      </c>
      <c r="AH64" s="122">
        <f>880.453-AG64</f>
        <v>472.74499999999995</v>
      </c>
      <c r="AI64" s="117">
        <f>1331.813-AH64-AG64</f>
        <v>451.36000000000018</v>
      </c>
      <c r="AJ64" s="92">
        <f>K64-AG64-AH64-AI64</f>
        <v>473.17699999999985</v>
      </c>
      <c r="AK64" s="117">
        <v>432.96300000000002</v>
      </c>
      <c r="AL64" s="122">
        <f>880.814-AK64</f>
        <v>447.85099999999994</v>
      </c>
      <c r="AM64" s="117">
        <f>1379.76-AL64-AK64</f>
        <v>498.94600000000008</v>
      </c>
      <c r="AN64" s="92">
        <f>L64-AK64-AL64-AM64</f>
        <v>543.06899999999996</v>
      </c>
      <c r="AO64" s="117">
        <v>518.95500000000004</v>
      </c>
      <c r="AP64" s="122">
        <f>1020.862-AO64</f>
        <v>501.90699999999993</v>
      </c>
      <c r="AQ64" s="117">
        <f>1509.436-AP64-AO64</f>
        <v>488.57399999999996</v>
      </c>
      <c r="AR64" s="92">
        <f t="shared" si="156"/>
        <v>470.01999999999987</v>
      </c>
      <c r="AS64" s="349"/>
      <c r="AT64" s="349"/>
      <c r="AU64" s="349"/>
      <c r="AV64" s="92">
        <f t="shared" si="157"/>
        <v>147.48599999999999</v>
      </c>
      <c r="AW64" s="349"/>
      <c r="AX64" s="370"/>
      <c r="AY64" s="399"/>
      <c r="BB64" s="370"/>
      <c r="BC64" s="117"/>
      <c r="BD64" s="117"/>
      <c r="BF64" s="117"/>
      <c r="BG64" s="117"/>
    </row>
    <row r="65" spans="2:59" hidden="1" outlineLevel="1">
      <c r="B65" s="91" t="s">
        <v>348</v>
      </c>
      <c r="C65" s="122">
        <v>828.42</v>
      </c>
      <c r="D65" s="122">
        <v>954.96600000000001</v>
      </c>
      <c r="E65" s="122">
        <v>1081.7739999999999</v>
      </c>
      <c r="F65" s="122">
        <v>1082.8</v>
      </c>
      <c r="G65" s="122">
        <v>1153.6790000000001</v>
      </c>
      <c r="H65" s="122">
        <v>1223.1949999999999</v>
      </c>
      <c r="I65" s="122">
        <v>1223.1949999999999</v>
      </c>
      <c r="J65" s="122">
        <v>727.75400000000002</v>
      </c>
      <c r="K65" s="122">
        <v>729.85599999999999</v>
      </c>
      <c r="L65" s="122">
        <v>859.29200000000003</v>
      </c>
      <c r="M65" s="122">
        <v>859.29200000000003</v>
      </c>
      <c r="N65" s="122">
        <v>1033.5350000000001</v>
      </c>
      <c r="O65" s="122">
        <v>1033.5350000000001</v>
      </c>
      <c r="P65" s="375"/>
      <c r="Q65" s="122">
        <v>252.53700000000001</v>
      </c>
      <c r="R65" s="122">
        <f>525.02-Q65</f>
        <v>272.48299999999995</v>
      </c>
      <c r="S65" s="122">
        <f>808.339-R65-Q65</f>
        <v>283.31900000000007</v>
      </c>
      <c r="T65" s="92">
        <f t="shared" si="152"/>
        <v>273.43499999999983</v>
      </c>
      <c r="U65" s="117">
        <v>274.60000000000002</v>
      </c>
      <c r="V65" s="122">
        <f>536.211-U65</f>
        <v>261.61099999999999</v>
      </c>
      <c r="W65" s="117">
        <f>814.639-V65-U65</f>
        <v>278.428</v>
      </c>
      <c r="X65" s="92">
        <f t="shared" si="153"/>
        <v>268.16099999999994</v>
      </c>
      <c r="Y65" s="117">
        <v>278.20100000000002</v>
      </c>
      <c r="Z65" s="122">
        <f>523.491-Y65</f>
        <v>245.28999999999996</v>
      </c>
      <c r="AA65" s="117">
        <f>832.958-Z65-Y65</f>
        <v>309.46699999999998</v>
      </c>
      <c r="AB65" s="92">
        <f t="shared" si="154"/>
        <v>320.72100000000012</v>
      </c>
      <c r="AC65" s="117">
        <v>284.81</v>
      </c>
      <c r="AD65" s="122">
        <f>580.289-AC65</f>
        <v>295.47899999999998</v>
      </c>
      <c r="AE65" s="117">
        <f>907.288-AD65-AC65</f>
        <v>326.99899999999997</v>
      </c>
      <c r="AF65" s="92">
        <f t="shared" si="155"/>
        <v>315.90699999999998</v>
      </c>
      <c r="AG65" s="117">
        <v>283.20600000000002</v>
      </c>
      <c r="AH65" s="122">
        <f>434.883-AG65</f>
        <v>151.67699999999996</v>
      </c>
      <c r="AI65" s="117">
        <f>608.925-AH65-AG65</f>
        <v>174.04199999999997</v>
      </c>
      <c r="AJ65" s="92">
        <f>K65-AG65-AH65-AI65</f>
        <v>120.93100000000004</v>
      </c>
      <c r="AK65" s="117">
        <v>162.05699999999999</v>
      </c>
      <c r="AL65" s="122">
        <f>367.367-AK65</f>
        <v>205.31000000000003</v>
      </c>
      <c r="AM65" s="117">
        <f>615.797-AL65-AK65</f>
        <v>248.42999999999998</v>
      </c>
      <c r="AN65" s="92">
        <f>L65-AK65-AL65-AM65</f>
        <v>243.49499999999998</v>
      </c>
      <c r="AO65" s="117">
        <v>204.89400000000001</v>
      </c>
      <c r="AP65" s="122">
        <f>417.497-AO65</f>
        <v>212.60300000000001</v>
      </c>
      <c r="AQ65" s="117">
        <f>707.562-AP65-AO65</f>
        <v>290.065</v>
      </c>
      <c r="AR65" s="92">
        <f t="shared" si="156"/>
        <v>325.97300000000001</v>
      </c>
      <c r="AS65" s="349"/>
      <c r="AT65" s="349"/>
      <c r="AU65" s="349"/>
      <c r="AV65" s="92">
        <f t="shared" si="157"/>
        <v>272.48299999999995</v>
      </c>
      <c r="AW65" s="349"/>
      <c r="AX65" s="370"/>
      <c r="AY65" s="399"/>
      <c r="BB65" s="370"/>
      <c r="BC65" s="117"/>
      <c r="BD65" s="117"/>
      <c r="BF65" s="117"/>
      <c r="BG65" s="117"/>
    </row>
    <row r="66" spans="2:59" hidden="1" outlineLevel="1">
      <c r="B66" s="91" t="s">
        <v>349</v>
      </c>
      <c r="C66" s="122">
        <v>1021.197</v>
      </c>
      <c r="D66" s="122">
        <v>1560.896</v>
      </c>
      <c r="E66" s="122">
        <v>1301.146</v>
      </c>
      <c r="F66" s="122">
        <v>1193.287</v>
      </c>
      <c r="G66" s="122">
        <v>850.21</v>
      </c>
      <c r="H66" s="122">
        <v>841.529</v>
      </c>
      <c r="I66" s="122">
        <v>841.529</v>
      </c>
      <c r="J66" s="122">
        <v>736.73699999999997</v>
      </c>
      <c r="K66" s="196"/>
      <c r="L66" s="196"/>
      <c r="M66" s="196"/>
      <c r="N66" s="196"/>
      <c r="O66" s="196"/>
      <c r="P66" s="375"/>
      <c r="Q66" s="122">
        <v>342.60899999999998</v>
      </c>
      <c r="R66" s="122">
        <f>691.843-Q66</f>
        <v>349.23399999999998</v>
      </c>
      <c r="S66" s="122">
        <f>1015.917-R66-Q66</f>
        <v>324.07400000000001</v>
      </c>
      <c r="T66" s="92">
        <f t="shared" si="152"/>
        <v>285.2290000000001</v>
      </c>
      <c r="U66" s="117">
        <v>315.19600000000003</v>
      </c>
      <c r="V66" s="122">
        <f>609.81-U66</f>
        <v>294.61399999999992</v>
      </c>
      <c r="W66" s="117">
        <f>908.381-V66-U66</f>
        <v>298.57100000000003</v>
      </c>
      <c r="X66" s="92">
        <f t="shared" si="153"/>
        <v>284.90600000000006</v>
      </c>
      <c r="Y66" s="117">
        <v>261.036</v>
      </c>
      <c r="Z66" s="122">
        <f>414.858-Y66</f>
        <v>153.822</v>
      </c>
      <c r="AA66" s="117">
        <f>632.423-Z66-Y66</f>
        <v>217.565</v>
      </c>
      <c r="AB66" s="92">
        <f t="shared" si="154"/>
        <v>217.78699999999998</v>
      </c>
      <c r="AC66" s="117">
        <v>224.13300000000001</v>
      </c>
      <c r="AD66" s="122">
        <f>427.919-AC66</f>
        <v>203.78599999999997</v>
      </c>
      <c r="AE66" s="117">
        <f>635.612-AD66-AC66</f>
        <v>207.69300000000001</v>
      </c>
      <c r="AF66" s="92">
        <f t="shared" si="155"/>
        <v>205.917</v>
      </c>
      <c r="AG66" s="117">
        <v>196.93899999999999</v>
      </c>
      <c r="AH66" s="122">
        <f>384.995-AG66</f>
        <v>188.05600000000001</v>
      </c>
      <c r="AI66" s="196"/>
      <c r="AJ66" s="92">
        <f>K66-AG66-AH66-AI66</f>
        <v>-384.995</v>
      </c>
      <c r="AK66" s="117">
        <v>172.31800000000001</v>
      </c>
      <c r="AL66" s="122">
        <f>329.844-AK66</f>
        <v>157.52599999999998</v>
      </c>
      <c r="AM66" s="196"/>
      <c r="AN66" s="92">
        <f>L66-AK66-AL66-AM66</f>
        <v>-329.84399999999999</v>
      </c>
      <c r="AO66" s="378"/>
      <c r="AP66" s="378"/>
      <c r="AQ66" s="196"/>
      <c r="AR66" s="92">
        <f t="shared" si="156"/>
        <v>0</v>
      </c>
      <c r="AS66" s="349"/>
      <c r="AT66" s="349"/>
      <c r="AU66" s="349"/>
      <c r="AV66" s="92">
        <f t="shared" si="157"/>
        <v>349.23399999999998</v>
      </c>
      <c r="AW66" s="349"/>
      <c r="AX66" s="370"/>
      <c r="AY66" s="399"/>
      <c r="BB66" s="370"/>
      <c r="BC66" s="378"/>
      <c r="BD66" s="378"/>
      <c r="BF66" s="378"/>
      <c r="BG66" s="378"/>
    </row>
    <row r="67" spans="2:59" hidden="1" outlineLevel="1">
      <c r="B67" s="91" t="s">
        <v>350</v>
      </c>
      <c r="C67" s="122">
        <v>538.01199999999994</v>
      </c>
      <c r="D67" s="122">
        <v>589.43299999999999</v>
      </c>
      <c r="E67" s="122">
        <v>543.77200000000005</v>
      </c>
      <c r="F67" s="122">
        <v>695.17899999999997</v>
      </c>
      <c r="G67" s="122">
        <v>751.947</v>
      </c>
      <c r="H67" s="122">
        <v>774.66300000000001</v>
      </c>
      <c r="I67" s="122">
        <v>774.66300000000001</v>
      </c>
      <c r="J67" s="122">
        <v>827.85900000000004</v>
      </c>
      <c r="K67" s="122">
        <v>827.85900000000004</v>
      </c>
      <c r="L67" s="122">
        <v>918.61900000000003</v>
      </c>
      <c r="M67" s="122">
        <v>918.61900000000003</v>
      </c>
      <c r="N67" s="122">
        <v>1082.7180000000001</v>
      </c>
      <c r="O67" s="122">
        <v>1082.7180000000001</v>
      </c>
      <c r="P67" s="375"/>
      <c r="Q67" s="122">
        <v>118.45</v>
      </c>
      <c r="R67" s="122">
        <f>246.87-Q67</f>
        <v>128.42000000000002</v>
      </c>
      <c r="S67" s="122">
        <f>390.125-R67-Q67</f>
        <v>143.255</v>
      </c>
      <c r="T67" s="92">
        <f t="shared" si="152"/>
        <v>153.64700000000005</v>
      </c>
      <c r="U67" s="117">
        <v>159.387</v>
      </c>
      <c r="V67" s="122">
        <f>330.32-U67</f>
        <v>170.93299999999999</v>
      </c>
      <c r="W67" s="117">
        <f>515.105-V67-U67</f>
        <v>184.78500000000003</v>
      </c>
      <c r="X67" s="92">
        <f t="shared" si="153"/>
        <v>180.0739999999999</v>
      </c>
      <c r="Y67" s="117">
        <v>182.536</v>
      </c>
      <c r="Z67" s="122">
        <f>367.094-Y67</f>
        <v>184.55799999999999</v>
      </c>
      <c r="AA67" s="117">
        <f>559.688-Z67-Y67</f>
        <v>192.59399999999999</v>
      </c>
      <c r="AB67" s="92">
        <f t="shared" si="154"/>
        <v>192.25900000000007</v>
      </c>
      <c r="AC67" s="117">
        <v>181.28100000000001</v>
      </c>
      <c r="AD67" s="122">
        <f>370.823-AC67</f>
        <v>189.54199999999997</v>
      </c>
      <c r="AE67" s="117">
        <f>575.344-AD67-AC67</f>
        <v>204.52100000000007</v>
      </c>
      <c r="AF67" s="92">
        <f t="shared" si="155"/>
        <v>199.31900000000002</v>
      </c>
      <c r="AG67" s="117">
        <v>196.43199999999999</v>
      </c>
      <c r="AH67" s="122">
        <f>406.876-AG67</f>
        <v>210.44399999999999</v>
      </c>
      <c r="AI67" s="117">
        <f>593.727-AH67-AG67</f>
        <v>186.85100000000003</v>
      </c>
      <c r="AJ67" s="92">
        <f>K67-AG67-AH67-AI67</f>
        <v>234.13200000000003</v>
      </c>
      <c r="AK67" s="117">
        <v>225.92500000000001</v>
      </c>
      <c r="AL67" s="122">
        <f>430.697-AK67</f>
        <v>204.77199999999999</v>
      </c>
      <c r="AM67" s="117">
        <f>671.92-AL67-AK67</f>
        <v>241.22299999999996</v>
      </c>
      <c r="AN67" s="92">
        <f>L67-AK67-AL67-AM67</f>
        <v>246.69900000000001</v>
      </c>
      <c r="AO67" s="117">
        <v>254.39099999999999</v>
      </c>
      <c r="AP67" s="122">
        <f>572.626-AO67</f>
        <v>318.23500000000001</v>
      </c>
      <c r="AQ67" s="117">
        <f>828.284-AP67-AO67</f>
        <v>255.65799999999999</v>
      </c>
      <c r="AR67" s="92">
        <f t="shared" si="156"/>
        <v>254.43400000000011</v>
      </c>
      <c r="AS67" s="349"/>
      <c r="AT67" s="349"/>
      <c r="AU67" s="349"/>
      <c r="AV67" s="92">
        <f t="shared" si="157"/>
        <v>128.42000000000002</v>
      </c>
      <c r="AW67" s="349"/>
      <c r="AX67" s="370"/>
      <c r="AY67" s="399"/>
      <c r="BB67" s="370"/>
      <c r="BC67" s="117"/>
      <c r="BD67" s="117"/>
      <c r="BF67" s="117"/>
      <c r="BG67" s="117"/>
    </row>
    <row r="68" spans="2:59" hidden="1" outlineLevel="1">
      <c r="B68" s="90" t="s">
        <v>351</v>
      </c>
      <c r="C68" s="122"/>
      <c r="D68" s="122"/>
      <c r="E68" s="122"/>
      <c r="F68" s="122"/>
      <c r="G68" s="122"/>
      <c r="H68" s="122"/>
      <c r="I68" s="122"/>
      <c r="J68" s="122"/>
      <c r="K68" s="122"/>
      <c r="L68" s="122"/>
      <c r="M68" s="122"/>
      <c r="N68" s="122"/>
      <c r="O68" s="122"/>
      <c r="P68" s="375"/>
      <c r="Q68" s="122"/>
      <c r="R68" s="122"/>
      <c r="S68" s="122"/>
      <c r="T68" s="92"/>
      <c r="U68" s="117"/>
      <c r="V68" s="122"/>
      <c r="W68" s="117"/>
      <c r="X68" s="92"/>
      <c r="Y68" s="117"/>
      <c r="Z68" s="122"/>
      <c r="AA68" s="117"/>
      <c r="AB68" s="92"/>
      <c r="AC68" s="117"/>
      <c r="AD68" s="122"/>
      <c r="AE68" s="117"/>
      <c r="AF68" s="92"/>
      <c r="AG68" s="117"/>
      <c r="AH68" s="122"/>
      <c r="AI68" s="117"/>
      <c r="AJ68" s="92"/>
      <c r="AK68" s="117"/>
      <c r="AL68" s="122"/>
      <c r="AM68" s="117"/>
      <c r="AN68" s="92"/>
      <c r="AO68" s="117"/>
      <c r="AP68" s="122"/>
      <c r="AQ68" s="117"/>
      <c r="AR68" s="92">
        <f t="shared" si="156"/>
        <v>0</v>
      </c>
      <c r="AS68" s="349"/>
      <c r="AT68" s="349"/>
      <c r="AU68" s="349"/>
      <c r="AV68" s="92">
        <f t="shared" si="157"/>
        <v>0</v>
      </c>
      <c r="AW68" s="349"/>
      <c r="AX68" s="370"/>
      <c r="AY68" s="399"/>
      <c r="BB68" s="370"/>
      <c r="BC68" s="117"/>
      <c r="BD68" s="117"/>
      <c r="BF68" s="117"/>
      <c r="BG68" s="117"/>
    </row>
    <row r="69" spans="2:59" hidden="1" outlineLevel="1">
      <c r="B69" s="91" t="s">
        <v>346</v>
      </c>
      <c r="C69" s="122"/>
      <c r="D69" s="122"/>
      <c r="E69" s="122"/>
      <c r="F69" s="122"/>
      <c r="G69" s="122"/>
      <c r="H69" s="122"/>
      <c r="I69" s="122"/>
      <c r="J69" s="122">
        <v>307.572</v>
      </c>
      <c r="K69" s="122">
        <v>309.07400000000001</v>
      </c>
      <c r="L69" s="122">
        <v>488.63799999999998</v>
      </c>
      <c r="M69" s="122">
        <v>488.63799999999998</v>
      </c>
      <c r="N69" s="122">
        <v>392.88</v>
      </c>
      <c r="O69" s="122">
        <v>392.88</v>
      </c>
      <c r="P69" s="375"/>
      <c r="Q69" s="122"/>
      <c r="R69" s="122"/>
      <c r="S69" s="122"/>
      <c r="T69" s="92"/>
      <c r="U69" s="117"/>
      <c r="V69" s="122"/>
      <c r="W69" s="117"/>
      <c r="X69" s="92"/>
      <c r="Y69" s="117"/>
      <c r="Z69" s="122"/>
      <c r="AA69" s="117"/>
      <c r="AB69" s="92"/>
      <c r="AC69" s="117"/>
      <c r="AD69" s="122"/>
      <c r="AE69" s="117"/>
      <c r="AF69" s="92"/>
      <c r="AG69" s="117"/>
      <c r="AH69" s="122"/>
      <c r="AI69" s="117">
        <f>173.921-AH69-AG69</f>
        <v>173.92099999999999</v>
      </c>
      <c r="AJ69" s="92">
        <f>K69-AG69-AH69-AI69</f>
        <v>135.15300000000002</v>
      </c>
      <c r="AK69" s="117">
        <v>122</v>
      </c>
      <c r="AL69" s="122">
        <f>268.621-AK69</f>
        <v>146.62099999999998</v>
      </c>
      <c r="AM69" s="117">
        <f>388.473-SUM(AK69:AL69)</f>
        <v>119.85200000000003</v>
      </c>
      <c r="AN69" s="92">
        <f>L69-AK69-AL69-AM69</f>
        <v>100.16499999999996</v>
      </c>
      <c r="AO69" s="117">
        <v>135.57900000000001</v>
      </c>
      <c r="AP69" s="122">
        <f>261.238-AO69</f>
        <v>125.65899999999999</v>
      </c>
      <c r="AQ69" s="117">
        <f>364.782-SUM(AO69:AP69)</f>
        <v>103.54399999999998</v>
      </c>
      <c r="AR69" s="92">
        <f t="shared" si="156"/>
        <v>28.098000000000013</v>
      </c>
      <c r="AS69" s="349"/>
      <c r="AT69" s="349"/>
      <c r="AU69" s="349"/>
      <c r="AV69" s="92">
        <f t="shared" si="157"/>
        <v>0</v>
      </c>
      <c r="AW69" s="349"/>
      <c r="AX69" s="370"/>
      <c r="AY69" s="399"/>
      <c r="BB69" s="370"/>
      <c r="BC69" s="117"/>
      <c r="BD69" s="117"/>
      <c r="BF69" s="117"/>
      <c r="BG69" s="117"/>
    </row>
    <row r="70" spans="2:59" hidden="1" outlineLevel="1">
      <c r="B70" s="90" t="s">
        <v>352</v>
      </c>
      <c r="C70" s="124"/>
      <c r="D70" s="124"/>
      <c r="E70" s="124"/>
      <c r="F70" s="124"/>
      <c r="G70" s="124"/>
      <c r="H70" s="124"/>
      <c r="I70" s="124"/>
      <c r="J70" s="124"/>
      <c r="K70" s="124"/>
      <c r="L70" s="124"/>
      <c r="M70" s="124"/>
      <c r="N70" s="124"/>
      <c r="O70" s="124"/>
      <c r="P70" s="375"/>
      <c r="Q70" s="122"/>
      <c r="R70" s="125"/>
      <c r="S70" s="125"/>
      <c r="T70" s="92"/>
      <c r="U70" s="89"/>
      <c r="V70" s="125"/>
      <c r="W70" s="116"/>
      <c r="X70" s="92"/>
      <c r="Y70" s="89"/>
      <c r="Z70" s="125"/>
      <c r="AA70" s="116"/>
      <c r="AB70" s="92"/>
      <c r="AC70" s="89"/>
      <c r="AD70" s="125"/>
      <c r="AE70" s="116"/>
      <c r="AF70" s="92"/>
      <c r="AG70" s="89"/>
      <c r="AH70" s="125"/>
      <c r="AI70" s="116"/>
      <c r="AJ70" s="92"/>
      <c r="AK70" s="89"/>
      <c r="AL70" s="125"/>
      <c r="AM70" s="116"/>
      <c r="AN70" s="92"/>
      <c r="AO70" s="89"/>
      <c r="AP70" s="125"/>
      <c r="AQ70" s="116"/>
      <c r="AR70" s="92">
        <f t="shared" si="156"/>
        <v>0</v>
      </c>
      <c r="AS70" s="350"/>
      <c r="AT70" s="350"/>
      <c r="AU70" s="350"/>
      <c r="AV70" s="92">
        <f t="shared" si="157"/>
        <v>0</v>
      </c>
      <c r="AW70" s="350"/>
      <c r="AX70" s="370"/>
      <c r="AY70" s="399"/>
      <c r="BB70" s="370"/>
      <c r="BC70" s="89"/>
      <c r="BD70" s="89"/>
      <c r="BF70" s="89"/>
      <c r="BG70" s="89"/>
    </row>
    <row r="71" spans="2:59" hidden="1" outlineLevel="1">
      <c r="B71" s="91" t="s">
        <v>345</v>
      </c>
      <c r="C71" s="122">
        <v>254.78200000000001</v>
      </c>
      <c r="D71" s="122">
        <v>626.31899999999996</v>
      </c>
      <c r="E71" s="122">
        <v>684.22799999999995</v>
      </c>
      <c r="F71" s="122">
        <v>1112.5840000000001</v>
      </c>
      <c r="G71" s="122">
        <v>1087.192</v>
      </c>
      <c r="H71" s="122">
        <v>1238.069</v>
      </c>
      <c r="I71" s="122">
        <v>1238.069</v>
      </c>
      <c r="J71" s="122">
        <v>1647.2139999999999</v>
      </c>
      <c r="K71" s="122">
        <v>1395.009</v>
      </c>
      <c r="L71" s="122">
        <v>1595.5730000000001</v>
      </c>
      <c r="M71" s="122">
        <v>1876.0440000000001</v>
      </c>
      <c r="N71" s="122">
        <v>2065.5230000000001</v>
      </c>
      <c r="O71" s="122">
        <v>2065.5230000000001</v>
      </c>
      <c r="P71" s="375"/>
      <c r="Q71" s="122">
        <v>156.84200000000001</v>
      </c>
      <c r="R71" s="122">
        <f>320.368-Q71</f>
        <v>163.52599999999998</v>
      </c>
      <c r="S71" s="122">
        <f>515.453-R71-Q71</f>
        <v>195.08500000000001</v>
      </c>
      <c r="T71" s="92">
        <f>+E71-Q71-R71-S71</f>
        <v>168.77500000000001</v>
      </c>
      <c r="U71" s="117">
        <v>228.82599999999999</v>
      </c>
      <c r="V71" s="122">
        <f>476.104-U71</f>
        <v>247.27799999999999</v>
      </c>
      <c r="W71" s="117">
        <f>836.033-V71-U71</f>
        <v>359.92899999999997</v>
      </c>
      <c r="X71" s="92">
        <f>+F71-U71-V71-W71</f>
        <v>276.55100000000004</v>
      </c>
      <c r="Y71" s="117">
        <v>274.61</v>
      </c>
      <c r="Z71" s="122">
        <f>577.223-Y71</f>
        <v>302.61299999999994</v>
      </c>
      <c r="AA71" s="117">
        <f>860.935-Z71-Y71</f>
        <v>283.71199999999999</v>
      </c>
      <c r="AB71" s="92">
        <f>+G71-Y71-Z71-AA71</f>
        <v>226.25700000000006</v>
      </c>
      <c r="AC71" s="117">
        <v>303.18200000000002</v>
      </c>
      <c r="AD71" s="122">
        <f>619.233-AC71</f>
        <v>316.05099999999993</v>
      </c>
      <c r="AE71" s="117">
        <f>892.957-AD71-AC71</f>
        <v>273.72400000000005</v>
      </c>
      <c r="AF71" s="92">
        <f>+H71-AC71-AD71-AE71</f>
        <v>345.11199999999997</v>
      </c>
      <c r="AG71" s="117">
        <v>392.55799999999999</v>
      </c>
      <c r="AH71" s="122">
        <f>820.791-AG71</f>
        <v>428.23300000000006</v>
      </c>
      <c r="AI71" s="117">
        <f>1264.816-AH71-AG71</f>
        <v>444.02499999999998</v>
      </c>
      <c r="AJ71" s="92">
        <f>K71-AG71-AH71-AI71</f>
        <v>130.19299999999998</v>
      </c>
      <c r="AK71" s="117">
        <v>447.815</v>
      </c>
      <c r="AL71" s="122">
        <f>927.511-AK71</f>
        <v>479.69599999999997</v>
      </c>
      <c r="AM71" s="117">
        <f>1371.863-AL71-AK71</f>
        <v>444.35200000000015</v>
      </c>
      <c r="AN71" s="92">
        <f>L71-AK71-AL71-AM71</f>
        <v>223.70999999999998</v>
      </c>
      <c r="AO71" s="117">
        <v>438.67500000000001</v>
      </c>
      <c r="AP71" s="122">
        <f>935.859-AO71</f>
        <v>497.18400000000003</v>
      </c>
      <c r="AQ71" s="117">
        <f>1358.132-AP71-AO71</f>
        <v>422.27300000000008</v>
      </c>
      <c r="AR71" s="92">
        <f t="shared" si="156"/>
        <v>707.39100000000008</v>
      </c>
      <c r="AS71" s="349"/>
      <c r="AT71" s="349"/>
      <c r="AU71" s="349"/>
      <c r="AV71" s="92">
        <f t="shared" si="157"/>
        <v>163.52599999999998</v>
      </c>
      <c r="AW71" s="349"/>
      <c r="AX71" s="370"/>
      <c r="AY71" s="399"/>
      <c r="BB71" s="370"/>
      <c r="BC71" s="117"/>
      <c r="BD71" s="117"/>
      <c r="BF71" s="117"/>
      <c r="BG71" s="117"/>
    </row>
    <row r="72" spans="2:59" hidden="1" outlineLevel="1">
      <c r="B72" s="91" t="s">
        <v>38</v>
      </c>
      <c r="C72" s="122">
        <v>-286.423</v>
      </c>
      <c r="D72" s="122">
        <v>-802.61500000000001</v>
      </c>
      <c r="E72" s="122">
        <v>-5169.732</v>
      </c>
      <c r="F72" s="122">
        <v>-2074.9850000000001</v>
      </c>
      <c r="G72" s="122">
        <v>-553.28200000000004</v>
      </c>
      <c r="H72" s="122">
        <v>-407.517</v>
      </c>
      <c r="I72" s="122">
        <v>-407.517</v>
      </c>
      <c r="J72" s="122">
        <v>-347.05200000000002</v>
      </c>
      <c r="K72" s="122">
        <f>118.175-132.343-263.809</f>
        <v>-277.97700000000003</v>
      </c>
      <c r="L72" s="122">
        <f>16.55-129.194-441.454</f>
        <v>-554.09799999999996</v>
      </c>
      <c r="M72" s="122">
        <f>16.55-129.194-441.453</f>
        <v>-554.09699999999998</v>
      </c>
      <c r="N72" s="122">
        <f>66.931-110.139-274.829</f>
        <v>-318.03700000000003</v>
      </c>
      <c r="O72" s="122">
        <f>66.931-110.139-274.829</f>
        <v>-318.03700000000003</v>
      </c>
      <c r="P72" s="375"/>
      <c r="Q72" s="122">
        <v>-131.50200000000001</v>
      </c>
      <c r="R72" s="122">
        <f>-266.374-Q72</f>
        <v>-134.87200000000001</v>
      </c>
      <c r="S72" s="122">
        <f>-385.509-R72-Q72</f>
        <v>-119.13499999999999</v>
      </c>
      <c r="T72" s="92">
        <f>+E72-Q72-R72-S72</f>
        <v>-4784.222999999999</v>
      </c>
      <c r="U72" s="117">
        <v>-148.262</v>
      </c>
      <c r="V72" s="122">
        <f>-331.518-U72</f>
        <v>-183.25599999999997</v>
      </c>
      <c r="W72" s="117">
        <f>-548.777-V72-U72</f>
        <v>-217.25900000000007</v>
      </c>
      <c r="X72" s="92">
        <f>+F72-U72-V72-W72</f>
        <v>-1526.2080000000001</v>
      </c>
      <c r="Y72" s="117">
        <v>-93.644000000000005</v>
      </c>
      <c r="Z72" s="122">
        <f>-179.836-Y72</f>
        <v>-86.192000000000007</v>
      </c>
      <c r="AA72" s="117">
        <f>-452.876-Z72-Y72</f>
        <v>-273.03999999999996</v>
      </c>
      <c r="AB72" s="92">
        <f>+G72-Y72-Z72-AA72</f>
        <v>-100.40600000000006</v>
      </c>
      <c r="AC72" s="117">
        <v>-86.429000000000002</v>
      </c>
      <c r="AD72" s="122">
        <f>-199.975-AC72</f>
        <v>-113.54599999999999</v>
      </c>
      <c r="AE72" s="117">
        <f>-312.987-AD72-AC72</f>
        <v>-113.01200000000003</v>
      </c>
      <c r="AF72" s="92">
        <f>+H72-AC72-AD72-AE72</f>
        <v>-94.529999999999944</v>
      </c>
      <c r="AG72" s="117">
        <f>18.026-41.588-63.729</f>
        <v>-87.290999999999997</v>
      </c>
      <c r="AH72" s="122">
        <f>-202.49-AG72</f>
        <v>-115.19900000000001</v>
      </c>
      <c r="AI72" s="117">
        <f>73.428-136.636-253.847-AH72-AG72</f>
        <v>-114.565</v>
      </c>
      <c r="AJ72" s="92">
        <f>K72-AG72-AH72-AI72</f>
        <v>39.077999999999975</v>
      </c>
      <c r="AK72" s="117">
        <f>4.024-41.548-54.82</f>
        <v>-92.343999999999994</v>
      </c>
      <c r="AL72" s="122">
        <f>-0.371-88.076-70.361-AK72</f>
        <v>-66.463999999999999</v>
      </c>
      <c r="AM72" s="117">
        <f>-9.263-129.629-200.644-AL72-AK72</f>
        <v>-180.72800000000001</v>
      </c>
      <c r="AN72" s="92">
        <f>L72-AK72-AL72-AM72</f>
        <v>-214.56199999999995</v>
      </c>
      <c r="AO72" s="117">
        <f>12.812-31.617-46.038</f>
        <v>-64.842999999999989</v>
      </c>
      <c r="AP72" s="122">
        <f>31.963-72.164-78.991-AO72</f>
        <v>-54.349000000000018</v>
      </c>
      <c r="AQ72" s="117">
        <f>44.752-99.966-141.441-AP72-AO72</f>
        <v>-77.462999999999994</v>
      </c>
      <c r="AR72" s="92">
        <f t="shared" si="156"/>
        <v>-121.38200000000003</v>
      </c>
      <c r="AS72" s="349"/>
      <c r="AT72" s="349"/>
      <c r="AU72" s="349"/>
      <c r="AV72" s="92">
        <f t="shared" si="157"/>
        <v>-134.87200000000001</v>
      </c>
      <c r="AW72" s="349"/>
      <c r="AX72" s="370"/>
      <c r="AY72" s="399"/>
      <c r="BB72" s="370"/>
      <c r="BC72" s="117"/>
      <c r="BD72" s="117"/>
      <c r="BF72" s="117"/>
      <c r="BG72" s="117"/>
    </row>
    <row r="73" spans="2:59" hidden="1" outlineLevel="1">
      <c r="B73" s="91" t="s">
        <v>353</v>
      </c>
      <c r="C73" s="122">
        <v>-18.170999999999999</v>
      </c>
      <c r="D73" s="122">
        <v>528.06200000000001</v>
      </c>
      <c r="E73" s="122">
        <v>4665.0559999999996</v>
      </c>
      <c r="F73" s="122">
        <v>866.524</v>
      </c>
      <c r="G73" s="122">
        <v>-580.17700000000002</v>
      </c>
      <c r="H73" s="122">
        <v>-574.58699999999999</v>
      </c>
      <c r="I73" s="122">
        <v>-250.38800000000001</v>
      </c>
      <c r="J73" s="122">
        <v>-327.447</v>
      </c>
      <c r="K73" s="122">
        <v>-387.91500000000002</v>
      </c>
      <c r="L73" s="122">
        <v>-378.56</v>
      </c>
      <c r="M73" s="122">
        <v>-378.56</v>
      </c>
      <c r="N73" s="122">
        <v>-312.02499999999998</v>
      </c>
      <c r="O73" s="122">
        <v>-312.02499999999998</v>
      </c>
      <c r="P73" s="375"/>
      <c r="Q73" s="122">
        <v>55.308</v>
      </c>
      <c r="R73" s="122">
        <f>66.141-Q73</f>
        <v>10.833000000000006</v>
      </c>
      <c r="S73" s="122">
        <f>74.736-R73-Q73</f>
        <v>8.5949999999999989</v>
      </c>
      <c r="T73" s="92">
        <f>+E73-Q73-R73-S73</f>
        <v>4590.32</v>
      </c>
      <c r="U73" s="122">
        <v>-156.55000000000001</v>
      </c>
      <c r="V73" s="122">
        <f>-343.575-U73</f>
        <v>-187.02499999999998</v>
      </c>
      <c r="W73" s="117">
        <f>-401.813-V73-U73</f>
        <v>-58.238</v>
      </c>
      <c r="X73" s="92">
        <f>+F73-U73-V73-W73</f>
        <v>1268.3370000000002</v>
      </c>
      <c r="Y73" s="105">
        <v>-228.65100000000001</v>
      </c>
      <c r="Z73" s="122">
        <f>-427.465-Y73</f>
        <v>-198.81399999999996</v>
      </c>
      <c r="AA73" s="117">
        <f>-391.424-Z73-Y73</f>
        <v>36.040999999999997</v>
      </c>
      <c r="AB73" s="92">
        <f>+G73-Y73-Z73-AA73</f>
        <v>-188.75300000000004</v>
      </c>
      <c r="AC73" s="105">
        <v>-146.96</v>
      </c>
      <c r="AD73" s="122">
        <f>-288.281-AC73</f>
        <v>-141.321</v>
      </c>
      <c r="AE73" s="117">
        <f>-463.777-AD73-AC73</f>
        <v>-175.49600000000001</v>
      </c>
      <c r="AF73" s="92">
        <f>+H73-AC73-AD73-AE73</f>
        <v>-110.80999999999992</v>
      </c>
      <c r="AG73" s="117">
        <v>-77.018000000000001</v>
      </c>
      <c r="AH73" s="122">
        <f>-142.462-AG73</f>
        <v>-65.443999999999988</v>
      </c>
      <c r="AI73" s="117">
        <f>-244.545-AH73-AG73</f>
        <v>-102.083</v>
      </c>
      <c r="AJ73" s="92">
        <f>K73-AG73-AH73-AI73</f>
        <v>-143.37000000000006</v>
      </c>
      <c r="AK73" s="117">
        <v>-92.52</v>
      </c>
      <c r="AL73" s="122">
        <f>-175.8-AK73</f>
        <v>-83.280000000000015</v>
      </c>
      <c r="AM73" s="117">
        <f>-268.188-AL73-AK73</f>
        <v>-92.387999999999963</v>
      </c>
      <c r="AN73" s="92">
        <f>L73-AK73-AL73-AM73</f>
        <v>-110.37200000000003</v>
      </c>
      <c r="AO73" s="117">
        <v>-106.60299999999999</v>
      </c>
      <c r="AP73" s="122">
        <f>-206.942-AO73</f>
        <v>-100.33900000000001</v>
      </c>
      <c r="AQ73" s="117">
        <f>-284.42-AP73-AO73</f>
        <v>-77.478000000000023</v>
      </c>
      <c r="AR73" s="92">
        <f t="shared" si="156"/>
        <v>-27.604999999999933</v>
      </c>
      <c r="AS73" s="349"/>
      <c r="AT73" s="349"/>
      <c r="AU73" s="349"/>
      <c r="AV73" s="92">
        <f t="shared" si="157"/>
        <v>10.833000000000006</v>
      </c>
      <c r="AW73" s="349"/>
      <c r="AX73" s="370"/>
      <c r="AY73" s="399"/>
      <c r="BB73" s="370"/>
      <c r="BC73" s="117"/>
      <c r="BD73" s="117"/>
      <c r="BF73" s="117"/>
      <c r="BG73" s="117"/>
    </row>
    <row r="74" spans="2:59" s="93" customFormat="1" hidden="1" outlineLevel="1">
      <c r="B74" s="94" t="s">
        <v>360</v>
      </c>
      <c r="C74" s="95">
        <f t="shared" ref="C74:G74" si="158">+SUM(C62:C73)</f>
        <v>8012.6480000000001</v>
      </c>
      <c r="D74" s="95">
        <f t="shared" si="158"/>
        <v>9230.1179999999986</v>
      </c>
      <c r="E74" s="95">
        <f t="shared" si="158"/>
        <v>8334.1339999999982</v>
      </c>
      <c r="F74" s="95">
        <f t="shared" si="158"/>
        <v>10619.15</v>
      </c>
      <c r="G74" s="95">
        <f t="shared" si="158"/>
        <v>10656.875</v>
      </c>
      <c r="H74" s="95">
        <f t="shared" ref="H74:J74" si="159">+SUM(H62:H73)</f>
        <v>11404.017</v>
      </c>
      <c r="I74" s="95">
        <f t="shared" ref="I74" si="160">+SUM(I62:I73)</f>
        <v>8902.2589999999982</v>
      </c>
      <c r="J74" s="95">
        <f t="shared" si="159"/>
        <v>9596.6450000000004</v>
      </c>
      <c r="K74" s="95">
        <f t="shared" ref="K74:L74" si="161">+SUM(K62:K73)</f>
        <v>8619.9139999999989</v>
      </c>
      <c r="L74" s="95">
        <f t="shared" si="161"/>
        <v>9628.8720000000012</v>
      </c>
      <c r="M74" s="95">
        <f t="shared" ref="M74" si="162">+SUM(M62:M73)</f>
        <v>9909.344000000001</v>
      </c>
      <c r="N74" s="95">
        <f t="shared" ref="N74:O74" si="163">+SUM(N62:N73)</f>
        <v>11129.244000000001</v>
      </c>
      <c r="O74" s="95">
        <f t="shared" si="163"/>
        <v>11129.244000000001</v>
      </c>
      <c r="P74" s="375"/>
      <c r="Q74" s="95">
        <f t="shared" ref="Q74:Z74" si="164">+SUM(Q62:Q73)</f>
        <v>2036.4099999999999</v>
      </c>
      <c r="R74" s="95">
        <f t="shared" si="164"/>
        <v>2043.1679999999999</v>
      </c>
      <c r="S74" s="95">
        <f t="shared" si="164"/>
        <v>2171.0170000000003</v>
      </c>
      <c r="T74" s="95">
        <f t="shared" si="164"/>
        <v>2083.5390000000007</v>
      </c>
      <c r="U74" s="95">
        <f t="shared" si="164"/>
        <v>2421.7679999999996</v>
      </c>
      <c r="V74" s="95">
        <f t="shared" si="164"/>
        <v>2670.5269999999996</v>
      </c>
      <c r="W74" s="95">
        <f t="shared" si="164"/>
        <v>2801.6770000000001</v>
      </c>
      <c r="X74" s="95">
        <f t="shared" si="164"/>
        <v>2725.1779999999999</v>
      </c>
      <c r="Y74" s="95">
        <f t="shared" si="164"/>
        <v>2503.8930000000009</v>
      </c>
      <c r="Z74" s="95">
        <f t="shared" si="164"/>
        <v>2583.75</v>
      </c>
      <c r="AA74" s="95">
        <f t="shared" ref="AA74:AB74" si="165">+SUM(AA62:AA73)</f>
        <v>2839.6380000000004</v>
      </c>
      <c r="AB74" s="95">
        <f t="shared" si="165"/>
        <v>2729.5939999999991</v>
      </c>
      <c r="AC74" s="95">
        <f t="shared" ref="AC74" si="166">+SUM(AC62:AC73)</f>
        <v>2691.8549999999996</v>
      </c>
      <c r="AD74" s="95">
        <f t="shared" ref="AD74:AG74" si="167">+SUM(AD62:AD73)</f>
        <v>2810.8679999999999</v>
      </c>
      <c r="AE74" s="95">
        <f t="shared" si="167"/>
        <v>2859.386</v>
      </c>
      <c r="AF74" s="95">
        <f t="shared" si="167"/>
        <v>3041.9079999999999</v>
      </c>
      <c r="AG74" s="95">
        <f t="shared" si="167"/>
        <v>2246</v>
      </c>
      <c r="AH74" s="95">
        <f t="shared" ref="AH74:AK74" si="168">+SUM(AH62:AH73)</f>
        <v>2329.953</v>
      </c>
      <c r="AI74" s="95">
        <f t="shared" si="168"/>
        <v>2307.88</v>
      </c>
      <c r="AJ74" s="95">
        <f t="shared" si="168"/>
        <v>1736.0809999999999</v>
      </c>
      <c r="AK74" s="95">
        <f t="shared" si="168"/>
        <v>2416.7309999999998</v>
      </c>
      <c r="AL74" s="95">
        <f t="shared" ref="AL74" si="169">+SUM(AL62:AL73)</f>
        <v>2728.7729999999997</v>
      </c>
      <c r="AM74" s="95">
        <f t="shared" ref="AM74:AP74" si="170">+SUM(AM62:AM73)</f>
        <v>2533.248000000001</v>
      </c>
      <c r="AN74" s="95">
        <f t="shared" si="170"/>
        <v>1950.1199999999992</v>
      </c>
      <c r="AO74" s="95">
        <f t="shared" si="170"/>
        <v>2736.8690000000006</v>
      </c>
      <c r="AP74" s="95">
        <f t="shared" si="170"/>
        <v>2825.1980000000003</v>
      </c>
      <c r="AQ74" s="95">
        <f t="shared" ref="AQ74:AR74" si="171">+SUM(AQ62:AQ73)</f>
        <v>2634.7879999999996</v>
      </c>
      <c r="AR74" s="95">
        <f t="shared" si="171"/>
        <v>2932.3890000000006</v>
      </c>
      <c r="AS74" s="351"/>
      <c r="AT74" s="351"/>
      <c r="AU74" s="351"/>
      <c r="AV74" s="95">
        <f t="shared" ref="AV74" si="172">+SUM(AV62:AV73)</f>
        <v>1548.223</v>
      </c>
      <c r="AW74" s="351"/>
      <c r="AX74" s="370"/>
      <c r="AY74" s="399"/>
      <c r="BB74" s="370"/>
      <c r="BC74" s="95"/>
      <c r="BD74" s="95"/>
      <c r="BE74" s="10"/>
      <c r="BF74" s="95"/>
      <c r="BG74" s="95"/>
    </row>
    <row r="75" spans="2:59" s="93" customFormat="1" hidden="1" outlineLevel="1">
      <c r="B75" s="197" t="s">
        <v>355</v>
      </c>
      <c r="C75" s="95"/>
      <c r="D75" s="95"/>
      <c r="E75" s="95"/>
      <c r="F75" s="95"/>
      <c r="G75" s="95"/>
      <c r="H75" s="95"/>
      <c r="I75" s="117">
        <v>2501.7579999999998</v>
      </c>
      <c r="J75" s="95"/>
      <c r="K75" s="117">
        <v>3814.34</v>
      </c>
      <c r="L75" s="117">
        <v>931.40200000000004</v>
      </c>
      <c r="M75" s="372"/>
      <c r="N75" s="372"/>
      <c r="O75" s="372"/>
      <c r="P75" s="375"/>
      <c r="Q75" s="95"/>
      <c r="R75" s="95"/>
      <c r="S75" s="95"/>
      <c r="T75" s="95"/>
      <c r="U75" s="95"/>
      <c r="V75" s="95"/>
      <c r="W75" s="95"/>
      <c r="X75" s="95"/>
      <c r="Y75" s="95"/>
      <c r="Z75" s="95"/>
      <c r="AA75" s="95"/>
      <c r="AB75" s="95"/>
      <c r="AC75" s="95"/>
      <c r="AD75" s="95"/>
      <c r="AE75" s="95"/>
      <c r="AF75" s="95"/>
      <c r="AG75" s="117">
        <v>652.18399999999997</v>
      </c>
      <c r="AH75" s="117">
        <f>1333.148-AG75</f>
        <v>680.96399999999994</v>
      </c>
      <c r="AI75" s="117">
        <f>2064.298+549.569-AG75-AH75</f>
        <v>1280.7189999999998</v>
      </c>
      <c r="AJ75" s="92">
        <f>K75-AG75-AH75-AI75</f>
        <v>1200.4730000000002</v>
      </c>
      <c r="AK75" s="95"/>
      <c r="AL75" s="95"/>
      <c r="AM75" s="117">
        <f>510.295-AL75-AK75</f>
        <v>510.29500000000002</v>
      </c>
      <c r="AN75" s="92">
        <f>L75-AK75-AL75-AM75</f>
        <v>421.10700000000003</v>
      </c>
      <c r="AO75" s="117">
        <v>66.677000000000007</v>
      </c>
      <c r="AP75" s="95"/>
      <c r="AQ75" s="95"/>
      <c r="AR75" s="92">
        <f>N75-AO75-AP75-AQ75</f>
        <v>-66.677000000000007</v>
      </c>
      <c r="AS75" s="349"/>
      <c r="AT75" s="349"/>
      <c r="AU75" s="349"/>
      <c r="AV75" s="92">
        <f>R75-AS75-AT75-AU75</f>
        <v>0</v>
      </c>
      <c r="AW75" s="349"/>
      <c r="AX75" s="370"/>
      <c r="AY75" s="399"/>
      <c r="BB75" s="370"/>
      <c r="BC75" s="117"/>
      <c r="BD75" s="117"/>
      <c r="BE75" s="10"/>
      <c r="BF75" s="117"/>
      <c r="BG75" s="117"/>
    </row>
    <row r="76" spans="2:59" s="93" customFormat="1" hidden="1" outlineLevel="1">
      <c r="B76" s="194" t="s">
        <v>31</v>
      </c>
      <c r="C76" s="195"/>
      <c r="D76" s="195"/>
      <c r="E76" s="195"/>
      <c r="F76" s="195"/>
      <c r="G76" s="95">
        <f>G74+G75</f>
        <v>10656.875</v>
      </c>
      <c r="H76" s="95">
        <f t="shared" ref="H76:AM76" si="173">H74+H75</f>
        <v>11404.017</v>
      </c>
      <c r="I76" s="95">
        <f t="shared" ref="I76" si="174">I74+I75</f>
        <v>11404.016999999998</v>
      </c>
      <c r="J76" s="95">
        <f t="shared" si="173"/>
        <v>9596.6450000000004</v>
      </c>
      <c r="K76" s="95">
        <f t="shared" ref="K76:L76" si="175">K74+K75</f>
        <v>12434.253999999999</v>
      </c>
      <c r="L76" s="95">
        <f t="shared" si="175"/>
        <v>10560.274000000001</v>
      </c>
      <c r="M76" s="95">
        <f t="shared" ref="M76" si="176">M74+M75</f>
        <v>9909.344000000001</v>
      </c>
      <c r="N76" s="95">
        <f t="shared" ref="N76:O76" si="177">N74+N75</f>
        <v>11129.244000000001</v>
      </c>
      <c r="O76" s="95">
        <f t="shared" si="177"/>
        <v>11129.244000000001</v>
      </c>
      <c r="P76" s="375"/>
      <c r="Q76" s="95">
        <f t="shared" ref="Q76" si="178">Q74+Q75</f>
        <v>2036.4099999999999</v>
      </c>
      <c r="R76" s="95">
        <f t="shared" si="173"/>
        <v>2043.1679999999999</v>
      </c>
      <c r="S76" s="95">
        <f t="shared" si="173"/>
        <v>2171.0170000000003</v>
      </c>
      <c r="T76" s="95">
        <f t="shared" si="173"/>
        <v>2083.5390000000007</v>
      </c>
      <c r="U76" s="95">
        <f t="shared" si="173"/>
        <v>2421.7679999999996</v>
      </c>
      <c r="V76" s="95">
        <f t="shared" si="173"/>
        <v>2670.5269999999996</v>
      </c>
      <c r="W76" s="95">
        <f t="shared" si="173"/>
        <v>2801.6770000000001</v>
      </c>
      <c r="X76" s="95">
        <f t="shared" si="173"/>
        <v>2725.1779999999999</v>
      </c>
      <c r="Y76" s="95">
        <f t="shared" si="173"/>
        <v>2503.8930000000009</v>
      </c>
      <c r="Z76" s="95">
        <f t="shared" si="173"/>
        <v>2583.75</v>
      </c>
      <c r="AA76" s="95">
        <f t="shared" si="173"/>
        <v>2839.6380000000004</v>
      </c>
      <c r="AB76" s="95">
        <f t="shared" si="173"/>
        <v>2729.5939999999991</v>
      </c>
      <c r="AC76" s="95">
        <f t="shared" si="173"/>
        <v>2691.8549999999996</v>
      </c>
      <c r="AD76" s="95">
        <f t="shared" si="173"/>
        <v>2810.8679999999999</v>
      </c>
      <c r="AE76" s="95">
        <f t="shared" si="173"/>
        <v>2859.386</v>
      </c>
      <c r="AF76" s="95">
        <f t="shared" si="173"/>
        <v>3041.9079999999999</v>
      </c>
      <c r="AG76" s="95">
        <f t="shared" si="173"/>
        <v>2898.1840000000002</v>
      </c>
      <c r="AH76" s="95">
        <f t="shared" si="173"/>
        <v>3010.9169999999999</v>
      </c>
      <c r="AI76" s="95">
        <f t="shared" si="173"/>
        <v>3588.5990000000002</v>
      </c>
      <c r="AJ76" s="95">
        <f t="shared" si="173"/>
        <v>2936.5540000000001</v>
      </c>
      <c r="AK76" s="95">
        <f t="shared" si="173"/>
        <v>2416.7309999999998</v>
      </c>
      <c r="AL76" s="95">
        <f t="shared" si="173"/>
        <v>2728.7729999999997</v>
      </c>
      <c r="AM76" s="95">
        <f t="shared" si="173"/>
        <v>3043.543000000001</v>
      </c>
      <c r="AN76" s="95">
        <f t="shared" ref="AN76:AQ76" si="179">AN74+AN75</f>
        <v>2371.2269999999994</v>
      </c>
      <c r="AO76" s="95">
        <f t="shared" si="179"/>
        <v>2803.5460000000007</v>
      </c>
      <c r="AP76" s="95">
        <f t="shared" si="179"/>
        <v>2825.1980000000003</v>
      </c>
      <c r="AQ76" s="95">
        <f t="shared" si="179"/>
        <v>2634.7879999999996</v>
      </c>
      <c r="AR76" s="95">
        <f t="shared" ref="AR76:AY76" si="180">AR74+AR75</f>
        <v>2865.7120000000004</v>
      </c>
      <c r="AS76" s="351">
        <f>AS74+AS75</f>
        <v>0</v>
      </c>
      <c r="AT76" s="351">
        <f>AT74+AT75</f>
        <v>0</v>
      </c>
      <c r="AU76" s="351">
        <f>AU74+AU75</f>
        <v>0</v>
      </c>
      <c r="AV76" s="95">
        <f t="shared" ref="AV76" si="181">AV74+AV75</f>
        <v>1548.223</v>
      </c>
      <c r="AW76" s="351">
        <f>AW74+AW75</f>
        <v>0</v>
      </c>
      <c r="AX76" s="370"/>
      <c r="AY76" s="95">
        <f t="shared" si="180"/>
        <v>0</v>
      </c>
      <c r="BB76" s="370"/>
      <c r="BC76" s="95">
        <f t="shared" ref="BC76:BD76" si="182">BC74+BC75</f>
        <v>0</v>
      </c>
      <c r="BD76" s="95">
        <f t="shared" si="182"/>
        <v>0</v>
      </c>
      <c r="BE76" s="10"/>
      <c r="BF76" s="95">
        <f t="shared" ref="BF76:BG76" si="183">BF74+BF75</f>
        <v>0</v>
      </c>
      <c r="BG76" s="95">
        <f t="shared" si="183"/>
        <v>0</v>
      </c>
    </row>
    <row r="77" spans="2:59" hidden="1" outlineLevel="1">
      <c r="B77" s="90"/>
      <c r="C77" s="9"/>
      <c r="D77" s="9"/>
      <c r="E77" s="9"/>
      <c r="F77" s="9"/>
      <c r="G77" s="9"/>
      <c r="H77" s="9"/>
      <c r="I77" s="9"/>
      <c r="J77" s="9"/>
      <c r="K77" s="9"/>
      <c r="L77" s="9"/>
      <c r="M77" s="9"/>
      <c r="N77" s="9"/>
      <c r="O77" s="9"/>
      <c r="P77" s="375"/>
      <c r="Q77" s="89"/>
      <c r="R77" s="89"/>
      <c r="S77" s="89"/>
      <c r="T77" s="89"/>
      <c r="U77" s="89"/>
      <c r="V77" s="89"/>
      <c r="W77" s="89"/>
      <c r="X77" s="89"/>
      <c r="Y77" s="89"/>
      <c r="Z77" s="89"/>
      <c r="AA77" s="89"/>
      <c r="AB77" s="89"/>
      <c r="AC77" s="89"/>
      <c r="AD77" s="89"/>
      <c r="AE77" s="89"/>
      <c r="AF77" s="89"/>
      <c r="AG77" s="89"/>
      <c r="AH77" s="89"/>
      <c r="AI77" s="89"/>
      <c r="AJ77" s="89"/>
      <c r="AK77" s="89"/>
      <c r="AL77" s="89"/>
      <c r="AM77" s="89"/>
      <c r="AN77" s="89"/>
      <c r="AO77" s="89"/>
      <c r="AP77" s="89"/>
      <c r="AQ77" s="89"/>
      <c r="AR77" s="89"/>
      <c r="AS77" s="89"/>
      <c r="AT77" s="89"/>
      <c r="AU77" s="89"/>
      <c r="AV77" s="89"/>
      <c r="AW77" s="89"/>
      <c r="AX77" s="370"/>
      <c r="AY77" s="89"/>
      <c r="BB77" s="370"/>
      <c r="BC77" s="89"/>
      <c r="BD77" s="89"/>
      <c r="BF77" s="89"/>
      <c r="BG77" s="89"/>
    </row>
    <row r="78" spans="2:59" s="119" customFormat="1" hidden="1" outlineLevel="1">
      <c r="B78" s="118" t="s">
        <v>356</v>
      </c>
      <c r="C78" s="120">
        <f>+C74-Model!C59</f>
        <v>0</v>
      </c>
      <c r="D78" s="120">
        <f>+D74-Model!D59</f>
        <v>0</v>
      </c>
      <c r="E78" s="120">
        <f>+E74-Model!E59</f>
        <v>0</v>
      </c>
      <c r="F78" s="120">
        <f>+F74-Model!F59</f>
        <v>0</v>
      </c>
      <c r="G78" s="120">
        <f>+G74-Model!G59</f>
        <v>0</v>
      </c>
      <c r="H78" s="120">
        <f>+H74-Model!H59</f>
        <v>0</v>
      </c>
      <c r="I78" s="120">
        <f>+I74-Model!J59</f>
        <v>0</v>
      </c>
      <c r="J78" s="120">
        <f>+J74-Model!K59</f>
        <v>0</v>
      </c>
      <c r="K78" s="120">
        <f>+K74-Model!L59</f>
        <v>0</v>
      </c>
      <c r="L78" s="120">
        <f>+L74-Model!M59</f>
        <v>0</v>
      </c>
      <c r="M78" s="120">
        <f>+M74-Model!N59</f>
        <v>4.4000000001688022E-2</v>
      </c>
      <c r="N78" s="120">
        <f>+N74-Model!O59</f>
        <v>4.3999999999869033E-2</v>
      </c>
      <c r="O78" s="120">
        <f>+O74-Model!P59</f>
        <v>5440.9270000000006</v>
      </c>
      <c r="P78" s="375"/>
      <c r="Q78" s="120">
        <f>+Q74-Model!T59</f>
        <v>2036.4099999999999</v>
      </c>
      <c r="R78" s="120">
        <f>+R74-Model!U59</f>
        <v>2043.1679999999999</v>
      </c>
      <c r="S78" s="120">
        <f>+S74-Model!V59</f>
        <v>2171.0170000000003</v>
      </c>
      <c r="T78" s="120">
        <f>+T74-Model!W59</f>
        <v>-6250.5949999999993</v>
      </c>
      <c r="U78" s="120">
        <f>+U74-Model!X59</f>
        <v>0</v>
      </c>
      <c r="V78" s="120">
        <f>+V74-Model!Y59</f>
        <v>0</v>
      </c>
      <c r="W78" s="120">
        <f>+W74-Model!Z59</f>
        <v>0</v>
      </c>
      <c r="X78" s="120">
        <f>+X74-Model!AA59</f>
        <v>0</v>
      </c>
      <c r="Y78" s="120">
        <f>+Y74-Model!AB59</f>
        <v>0</v>
      </c>
      <c r="Z78" s="120">
        <f>+Z74-Model!AC59</f>
        <v>0</v>
      </c>
      <c r="AA78" s="120">
        <f>+AA74-Model!AD59</f>
        <v>0</v>
      </c>
      <c r="AB78" s="120">
        <f>+AB74-Model!AE59</f>
        <v>0</v>
      </c>
      <c r="AC78" s="120">
        <f>+AC74-Model!AF59</f>
        <v>0</v>
      </c>
      <c r="AD78" s="120">
        <f>+AD74-Model!AG59</f>
        <v>0</v>
      </c>
      <c r="AE78" s="120">
        <f>+AE74-Model!AH59</f>
        <v>0</v>
      </c>
      <c r="AF78" s="120">
        <f>+AF74-Model!AI59</f>
        <v>0</v>
      </c>
      <c r="AG78" s="212">
        <f>+AG74-Model!AR59</f>
        <v>0</v>
      </c>
      <c r="AH78" s="120">
        <f>+AH74-Model!AS59</f>
        <v>9.9999999974897946E-4</v>
      </c>
      <c r="AI78" s="120">
        <f>+AI74-Model!AV59</f>
        <v>7.999999999992724E-2</v>
      </c>
      <c r="AJ78" s="120">
        <f>+AJ74-Model!AW59</f>
        <v>-8.1000000000358341E-2</v>
      </c>
      <c r="AK78" s="120">
        <f>+AK74-Model!AX59</f>
        <v>0</v>
      </c>
      <c r="AL78" s="120">
        <f>+AL74-Model!AZ59</f>
        <v>0</v>
      </c>
      <c r="AM78" s="120">
        <f>+AM74-Model!BC59</f>
        <v>-4.7519999999990432</v>
      </c>
      <c r="AN78" s="120">
        <f>+AN74-Model!BD59</f>
        <v>4.7519999999997253</v>
      </c>
      <c r="AO78" s="120">
        <f>+AO74-Model!BE59</f>
        <v>0</v>
      </c>
      <c r="AP78" s="120">
        <f>+AP74-Model!BF59</f>
        <v>0</v>
      </c>
      <c r="AQ78" s="120">
        <f>+AQ74-Model!BG59</f>
        <v>-1.2000000000625732E-2</v>
      </c>
      <c r="AR78" s="120">
        <f>+AR74-Model!BH59</f>
        <v>5.6000000000040018E-2</v>
      </c>
      <c r="AS78" s="120"/>
      <c r="AT78" s="120"/>
      <c r="AU78" s="120"/>
      <c r="AV78" s="120">
        <f>+AV74-Model!BL59</f>
        <v>1344.3959999999997</v>
      </c>
      <c r="AW78" s="120"/>
      <c r="AX78" s="370"/>
      <c r="AY78" s="120"/>
      <c r="BB78" s="370"/>
      <c r="BC78" s="120"/>
      <c r="BD78" s="120"/>
      <c r="BE78" s="10"/>
      <c r="BF78" s="120"/>
      <c r="BG78" s="120"/>
    </row>
    <row r="79" spans="2:59" hidden="1" outlineLevel="1">
      <c r="B79" s="90"/>
      <c r="C79" s="9"/>
      <c r="D79" s="9"/>
      <c r="E79" s="9"/>
      <c r="F79" s="9"/>
      <c r="G79" s="9"/>
      <c r="H79" s="9"/>
      <c r="I79" s="9"/>
      <c r="J79" s="9"/>
      <c r="K79" s="9"/>
      <c r="L79" s="9"/>
      <c r="M79" s="9"/>
      <c r="N79" s="9"/>
      <c r="O79" s="9"/>
      <c r="P79" s="375"/>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c r="AR79" s="89"/>
      <c r="AS79" s="89"/>
      <c r="AT79" s="89"/>
      <c r="AU79" s="89"/>
      <c r="AV79" s="89"/>
      <c r="AW79" s="89"/>
      <c r="AX79" s="370"/>
      <c r="AY79" s="89"/>
      <c r="BB79" s="370"/>
      <c r="BC79" s="89"/>
      <c r="BD79" s="89"/>
      <c r="BF79" s="89"/>
      <c r="BG79" s="89"/>
    </row>
    <row r="80" spans="2:59" hidden="1" outlineLevel="1">
      <c r="B80" s="90" t="s">
        <v>361</v>
      </c>
      <c r="C80" s="97"/>
      <c r="D80" s="97"/>
      <c r="E80" s="97"/>
      <c r="F80" s="97"/>
      <c r="G80" s="97"/>
      <c r="H80" s="97"/>
      <c r="I80" s="97"/>
      <c r="J80" s="97"/>
      <c r="K80" s="97"/>
      <c r="L80" s="97"/>
      <c r="M80" s="97"/>
      <c r="N80" s="97"/>
      <c r="O80" s="97"/>
      <c r="P80" s="375"/>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370"/>
      <c r="AY80" s="98"/>
      <c r="BB80" s="370"/>
      <c r="BC80" s="98"/>
      <c r="BD80" s="98"/>
      <c r="BF80" s="98"/>
      <c r="BG80" s="98"/>
    </row>
    <row r="81" spans="2:59" hidden="1" outlineLevel="1">
      <c r="B81" s="90" t="str">
        <f t="shared" ref="B81:B93" si="184">+B61</f>
        <v>Mobile</v>
      </c>
      <c r="C81" s="97"/>
      <c r="D81" s="97"/>
      <c r="E81" s="97"/>
      <c r="F81" s="97"/>
      <c r="G81" s="97"/>
      <c r="H81" s="97"/>
      <c r="I81" s="97"/>
      <c r="J81" s="97"/>
      <c r="K81" s="97"/>
      <c r="L81" s="97"/>
      <c r="M81" s="97"/>
      <c r="N81" s="97"/>
      <c r="O81" s="97"/>
      <c r="P81" s="375"/>
      <c r="Q81" s="98"/>
      <c r="R81" s="98"/>
      <c r="S81" s="98"/>
      <c r="T81" s="98"/>
      <c r="U81" s="98"/>
      <c r="V81" s="98"/>
      <c r="W81" s="98"/>
      <c r="X81" s="98"/>
      <c r="Y81" s="98"/>
      <c r="Z81" s="98"/>
      <c r="AA81" s="98"/>
      <c r="AB81" s="98"/>
      <c r="AC81" s="98"/>
      <c r="AD81" s="98"/>
      <c r="AE81" s="98"/>
      <c r="AF81" s="98"/>
      <c r="AG81" s="98"/>
      <c r="AH81" s="98"/>
      <c r="AI81" s="98"/>
      <c r="AJ81" s="98"/>
      <c r="AK81" s="98"/>
      <c r="AL81" s="98"/>
      <c r="AM81" s="98"/>
      <c r="AN81" s="98"/>
      <c r="AO81" s="98"/>
      <c r="AP81" s="98"/>
      <c r="AQ81" s="98"/>
      <c r="AR81" s="98"/>
      <c r="AS81" s="98"/>
      <c r="AT81" s="98"/>
      <c r="AU81" s="98"/>
      <c r="AV81" s="98"/>
      <c r="AW81" s="98"/>
      <c r="AX81" s="370"/>
      <c r="AY81" s="98"/>
      <c r="BB81" s="370"/>
      <c r="BC81" s="98"/>
      <c r="BD81" s="98"/>
      <c r="BF81" s="98"/>
      <c r="BG81" s="98"/>
    </row>
    <row r="82" spans="2:59" hidden="1" outlineLevel="1">
      <c r="B82" s="114" t="str">
        <f t="shared" si="184"/>
        <v>Malaysia</v>
      </c>
      <c r="C82" s="109">
        <f t="shared" ref="C82:G82" si="185">+C62/C$74</f>
        <v>0.28757634180360847</v>
      </c>
      <c r="D82" s="101">
        <f t="shared" si="185"/>
        <v>0.25112409180467687</v>
      </c>
      <c r="E82" s="101">
        <f t="shared" si="185"/>
        <v>0.22869814668206684</v>
      </c>
      <c r="F82" s="101">
        <f t="shared" si="185"/>
        <v>0.24657886930686546</v>
      </c>
      <c r="G82" s="101">
        <f t="shared" si="185"/>
        <v>0.24303071960588821</v>
      </c>
      <c r="H82" s="101">
        <f t="shared" ref="H82" si="186">+H62/H$74</f>
        <v>0.24780364673255045</v>
      </c>
      <c r="I82" s="399"/>
      <c r="J82" s="399"/>
      <c r="K82" s="399"/>
      <c r="L82" s="399"/>
      <c r="M82" s="399"/>
      <c r="N82" s="399"/>
      <c r="O82" s="399"/>
      <c r="P82" s="375"/>
      <c r="Q82" s="101">
        <f t="shared" ref="Q82" si="187">+Q62/Q$74</f>
        <v>0.22423235006702974</v>
      </c>
      <c r="R82" s="101">
        <f t="shared" ref="R82:Z82" si="188">+R62/R$74</f>
        <v>0.242243907500509</v>
      </c>
      <c r="S82" s="101">
        <f t="shared" si="188"/>
        <v>0.22486189652130772</v>
      </c>
      <c r="T82" s="101">
        <f t="shared" si="188"/>
        <v>0.22377694873962031</v>
      </c>
      <c r="U82" s="101">
        <f t="shared" si="188"/>
        <v>0.23552090869150144</v>
      </c>
      <c r="V82" s="101">
        <f t="shared" si="188"/>
        <v>0.26590257278806778</v>
      </c>
      <c r="W82" s="101">
        <f t="shared" si="188"/>
        <v>0.22861307709632481</v>
      </c>
      <c r="X82" s="101">
        <f t="shared" si="188"/>
        <v>0.25593961201800397</v>
      </c>
      <c r="Y82" s="101">
        <f t="shared" si="188"/>
        <v>0.20529351693542808</v>
      </c>
      <c r="Z82" s="101">
        <f t="shared" si="188"/>
        <v>0.22112201257861633</v>
      </c>
      <c r="AA82" s="101">
        <f t="shared" ref="AA82:AD82" si="189">+AA62/AA$74</f>
        <v>0.24994101360807258</v>
      </c>
      <c r="AB82" s="101">
        <f t="shared" si="189"/>
        <v>0.29119678604217331</v>
      </c>
      <c r="AC82" s="101">
        <f t="shared" si="189"/>
        <v>0.23993825818998427</v>
      </c>
      <c r="AD82" s="101">
        <f t="shared" si="189"/>
        <v>0.24111377695430733</v>
      </c>
      <c r="AE82" s="101">
        <f t="shared" ref="AE82:AF82" si="190">+AE62/AE$74</f>
        <v>0.24541247666457069</v>
      </c>
      <c r="AF82" s="101">
        <f t="shared" si="190"/>
        <v>0.26319336416485961</v>
      </c>
      <c r="AG82" s="399"/>
      <c r="AH82" s="399"/>
      <c r="AI82" s="399"/>
      <c r="AJ82" s="399"/>
      <c r="AK82" s="399"/>
      <c r="AL82" s="399"/>
      <c r="AM82" s="399"/>
      <c r="AN82" s="399"/>
      <c r="AO82" s="399"/>
      <c r="AP82" s="399"/>
      <c r="AQ82" s="399"/>
      <c r="AR82" s="399"/>
      <c r="AS82" s="399"/>
      <c r="AT82" s="399"/>
      <c r="AU82" s="399"/>
      <c r="AV82" s="399"/>
      <c r="AW82" s="399"/>
      <c r="AX82" s="370"/>
      <c r="AY82" s="399"/>
      <c r="BB82" s="370"/>
      <c r="BC82" s="399"/>
      <c r="BD82" s="399"/>
      <c r="BF82" s="399"/>
      <c r="BG82" s="399"/>
    </row>
    <row r="83" spans="2:59" hidden="1" outlineLevel="1">
      <c r="B83" s="114" t="str">
        <f t="shared" si="184"/>
        <v>Indonesia</v>
      </c>
      <c r="C83" s="101">
        <f t="shared" ref="C83:D87" si="191">+C63/C$74</f>
        <v>0.32601344773912444</v>
      </c>
      <c r="D83" s="101">
        <f t="shared" si="191"/>
        <v>0.29923550273138438</v>
      </c>
      <c r="E83" s="101">
        <f t="shared" ref="E83:F83" si="192">+E63/E$74</f>
        <v>0.30322802585127628</v>
      </c>
      <c r="F83" s="101">
        <f t="shared" si="192"/>
        <v>0.35040977856043093</v>
      </c>
      <c r="G83" s="101">
        <f t="shared" ref="G83:I83" si="193">+G63/G$74</f>
        <v>0.35438653451410473</v>
      </c>
      <c r="H83" s="101">
        <f t="shared" si="193"/>
        <v>0.34108253258479004</v>
      </c>
      <c r="I83" s="101">
        <f t="shared" si="193"/>
        <v>0.43693527676514471</v>
      </c>
      <c r="J83" s="101">
        <f t="shared" ref="J83:L83" si="194">+J63/J$74</f>
        <v>0.43963468482995877</v>
      </c>
      <c r="K83" s="101">
        <f t="shared" ref="K83" si="195">+K63/K$74</f>
        <v>0.48945012676460586</v>
      </c>
      <c r="L83" s="101">
        <f t="shared" si="194"/>
        <v>0.49606838682661886</v>
      </c>
      <c r="M83" s="101">
        <f t="shared" ref="M83" si="196">+M63/M$74</f>
        <v>0.48202777096041871</v>
      </c>
      <c r="N83" s="101">
        <f t="shared" ref="N83:O83" si="197">+N63/N$74</f>
        <v>0.46770418547746823</v>
      </c>
      <c r="O83" s="101">
        <f t="shared" si="197"/>
        <v>0.46770418547746823</v>
      </c>
      <c r="P83" s="375"/>
      <c r="Q83" s="101">
        <f t="shared" ref="Q83" si="198">+Q63/Q$74</f>
        <v>0.2961260257020934</v>
      </c>
      <c r="R83" s="101">
        <f t="shared" ref="R83:Y83" si="199">+R63/R$74</f>
        <v>0.29910071026954221</v>
      </c>
      <c r="S83" s="101">
        <f t="shared" si="199"/>
        <v>0.29019717487242164</v>
      </c>
      <c r="T83" s="101">
        <f t="shared" si="199"/>
        <v>0.32779468010917945</v>
      </c>
      <c r="U83" s="101">
        <f t="shared" si="199"/>
        <v>0.34255386973483842</v>
      </c>
      <c r="V83" s="101">
        <f t="shared" si="199"/>
        <v>0.3525322904430474</v>
      </c>
      <c r="W83" s="101">
        <f t="shared" si="199"/>
        <v>0.34527070750839584</v>
      </c>
      <c r="X83" s="101">
        <f t="shared" si="199"/>
        <v>0.36059442722640506</v>
      </c>
      <c r="Y83" s="101">
        <f t="shared" si="199"/>
        <v>0.3724032935912196</v>
      </c>
      <c r="Z83" s="101">
        <f>+Z63/Z$74</f>
        <v>0.3745416545718433</v>
      </c>
      <c r="AA83" s="101">
        <f t="shared" ref="AA83:AD83" si="200">+AA63/AA$74</f>
        <v>0.34427874257211638</v>
      </c>
      <c r="AB83" s="101">
        <f t="shared" si="200"/>
        <v>0.32929659136120615</v>
      </c>
      <c r="AC83" s="101">
        <f t="shared" si="200"/>
        <v>0.33471119358212092</v>
      </c>
      <c r="AD83" s="101">
        <f t="shared" si="200"/>
        <v>0.3458501075112741</v>
      </c>
      <c r="AE83" s="101">
        <f t="shared" ref="AE83:AH83" si="201">+AE63/AE$74</f>
        <v>0.35414735890852089</v>
      </c>
      <c r="AF83" s="101">
        <f t="shared" si="201"/>
        <v>0.33003430741495127</v>
      </c>
      <c r="AG83" s="101">
        <f t="shared" si="201"/>
        <v>0.4156126447016919</v>
      </c>
      <c r="AH83" s="101">
        <f t="shared" si="201"/>
        <v>0.4547048803130363</v>
      </c>
      <c r="AI83" s="101">
        <f t="shared" ref="AI83:AM83" si="202">+AI63/AI$74</f>
        <v>0.47417066745238057</v>
      </c>
      <c r="AJ83" s="101">
        <f t="shared" si="202"/>
        <v>0.65191773886126292</v>
      </c>
      <c r="AK83" s="101">
        <f t="shared" si="202"/>
        <v>0.42971973297814287</v>
      </c>
      <c r="AL83" s="101">
        <f t="shared" si="202"/>
        <v>0.4532223823674596</v>
      </c>
      <c r="AM83" s="101">
        <f t="shared" si="202"/>
        <v>0.49484337893486935</v>
      </c>
      <c r="AN83" s="101">
        <f t="shared" ref="AN83:AQ83" si="203">+AN63/AN$74</f>
        <v>0.63983754845855645</v>
      </c>
      <c r="AO83" s="101">
        <f t="shared" si="203"/>
        <v>0.49539126644351617</v>
      </c>
      <c r="AP83" s="101">
        <f t="shared" si="203"/>
        <v>0.4687451994515075</v>
      </c>
      <c r="AQ83" s="101">
        <f t="shared" si="203"/>
        <v>0.46668460612390827</v>
      </c>
      <c r="AR83" s="101">
        <f>+AR63/AR$74</f>
        <v>0.44177631276068768</v>
      </c>
      <c r="AS83" s="399"/>
      <c r="AT83" s="399"/>
      <c r="AU83" s="399"/>
      <c r="AV83" s="101">
        <f>+AV63/AV$74</f>
        <v>0.39471897782167037</v>
      </c>
      <c r="AW83" s="399"/>
      <c r="AX83" s="370"/>
      <c r="AY83" s="399"/>
      <c r="BB83" s="370"/>
      <c r="BC83" s="399"/>
      <c r="BD83" s="399"/>
      <c r="BF83" s="399"/>
      <c r="BG83" s="399"/>
    </row>
    <row r="84" spans="2:59" hidden="1" outlineLevel="1">
      <c r="B84" s="114" t="str">
        <f t="shared" si="184"/>
        <v>Bangladesh</v>
      </c>
      <c r="C84" s="101">
        <f t="shared" si="191"/>
        <v>9.4644367255369261E-2</v>
      </c>
      <c r="D84" s="101">
        <f t="shared" si="191"/>
        <v>7.5099039903931894E-2</v>
      </c>
      <c r="E84" s="101">
        <f t="shared" ref="E84:F84" si="204">+E64/E$74</f>
        <v>9.536035777682482E-2</v>
      </c>
      <c r="F84" s="101">
        <f t="shared" si="204"/>
        <v>0.13223742013249648</v>
      </c>
      <c r="G84" s="101">
        <f t="shared" ref="G84:I84" si="205">+G64/G$74</f>
        <v>0.14832725353351708</v>
      </c>
      <c r="H84" s="101">
        <f t="shared" si="205"/>
        <v>0.13968735753375325</v>
      </c>
      <c r="I84" s="101">
        <f t="shared" si="205"/>
        <v>0.17894300761188822</v>
      </c>
      <c r="J84" s="101">
        <f t="shared" ref="J84:L84" si="206">+J64/J$74</f>
        <v>0.18808552363872999</v>
      </c>
      <c r="K84" s="101">
        <f t="shared" ref="K84" si="207">+K64/K$74</f>
        <v>0.2093976807657246</v>
      </c>
      <c r="L84" s="101">
        <f t="shared" si="206"/>
        <v>0.1996941074717786</v>
      </c>
      <c r="M84" s="101">
        <f>+M64/M$74</f>
        <v>0.19404200722065959</v>
      </c>
      <c r="N84" s="101">
        <f t="shared" ref="N84:O84" si="208">+N64/N$74</f>
        <v>0.17786077832420602</v>
      </c>
      <c r="O84" s="101">
        <f t="shared" si="208"/>
        <v>0.17786077832420602</v>
      </c>
      <c r="P84" s="375"/>
      <c r="Q84" s="101">
        <f t="shared" ref="Q84" si="209">+Q64/Q$74</f>
        <v>8.9619968473932068E-2</v>
      </c>
      <c r="R84" s="101">
        <f t="shared" ref="R84:Y84" si="210">+R64/R$74</f>
        <v>7.2184959827092041E-2</v>
      </c>
      <c r="S84" s="101">
        <f t="shared" si="210"/>
        <v>0.10023965726661743</v>
      </c>
      <c r="T84" s="101">
        <f t="shared" si="210"/>
        <v>0.11861309051570422</v>
      </c>
      <c r="U84" s="101">
        <f t="shared" si="210"/>
        <v>0.14394772744540354</v>
      </c>
      <c r="V84" s="101">
        <f t="shared" si="210"/>
        <v>0.15533450888158032</v>
      </c>
      <c r="W84" s="101">
        <f t="shared" si="210"/>
        <v>0.12407711524204966</v>
      </c>
      <c r="X84" s="101">
        <f t="shared" si="210"/>
        <v>0.10758636683548747</v>
      </c>
      <c r="Y84" s="101">
        <f t="shared" si="210"/>
        <v>0.15308721259255084</v>
      </c>
      <c r="Z84" s="101">
        <f>+Z64/Z$74</f>
        <v>0.17162148040638606</v>
      </c>
      <c r="AA84" s="101">
        <f t="shared" ref="AA84:AD84" si="211">+AA64/AA$74</f>
        <v>0.13590816857641716</v>
      </c>
      <c r="AB84" s="101">
        <f t="shared" si="211"/>
        <v>0.13483104080680128</v>
      </c>
      <c r="AC84" s="101">
        <f t="shared" si="211"/>
        <v>0.14301104628592551</v>
      </c>
      <c r="AD84" s="101">
        <f t="shared" si="211"/>
        <v>0.14621782310659914</v>
      </c>
      <c r="AE84" s="101">
        <f t="shared" ref="AE84:AH84" si="212">+AE64/AE$74</f>
        <v>0.14708892048852445</v>
      </c>
      <c r="AF84" s="101">
        <f t="shared" si="212"/>
        <v>0.12375423582830254</v>
      </c>
      <c r="AG84" s="101">
        <f t="shared" si="212"/>
        <v>0.18152626892252896</v>
      </c>
      <c r="AH84" s="101">
        <f t="shared" si="212"/>
        <v>0.20289894259669614</v>
      </c>
      <c r="AI84" s="101">
        <f t="shared" ref="AI84:AM84" si="213">+AI64/AI$74</f>
        <v>0.1955734266946289</v>
      </c>
      <c r="AJ84" s="101">
        <f t="shared" si="213"/>
        <v>0.2725546791883558</v>
      </c>
      <c r="AK84" s="101">
        <f t="shared" si="213"/>
        <v>0.17915233428958377</v>
      </c>
      <c r="AL84" s="101">
        <f t="shared" si="213"/>
        <v>0.16412174995868106</v>
      </c>
      <c r="AM84" s="101">
        <f t="shared" si="213"/>
        <v>0.19695900282956896</v>
      </c>
      <c r="AN84" s="101">
        <f t="shared" ref="AN84:AQ84" si="214">+AN64/AN$74</f>
        <v>0.27847978585933181</v>
      </c>
      <c r="AO84" s="101">
        <f t="shared" si="214"/>
        <v>0.18961630973203319</v>
      </c>
      <c r="AP84" s="101">
        <f t="shared" si="214"/>
        <v>0.17765374320667077</v>
      </c>
      <c r="AQ84" s="101">
        <f t="shared" si="214"/>
        <v>0.18543199680581512</v>
      </c>
      <c r="AR84" s="101">
        <f>+AR64/AR$74</f>
        <v>0.16028569197333634</v>
      </c>
      <c r="AS84" s="399"/>
      <c r="AT84" s="399"/>
      <c r="AU84" s="399"/>
      <c r="AV84" s="101">
        <f>+AV64/AV$74</f>
        <v>9.5261470731283535E-2</v>
      </c>
      <c r="AW84" s="399"/>
      <c r="AX84" s="370"/>
      <c r="AY84" s="399"/>
      <c r="BB84" s="370"/>
      <c r="BC84" s="399"/>
      <c r="BD84" s="399"/>
      <c r="BF84" s="399"/>
      <c r="BG84" s="399"/>
    </row>
    <row r="85" spans="2:59" hidden="1" outlineLevel="1">
      <c r="B85" s="114" t="str">
        <f t="shared" si="184"/>
        <v>Sri Lanka</v>
      </c>
      <c r="C85" s="101">
        <f t="shared" si="191"/>
        <v>0.10338904192471701</v>
      </c>
      <c r="D85" s="101">
        <f t="shared" si="191"/>
        <v>0.10346194924051894</v>
      </c>
      <c r="E85" s="101">
        <f t="shared" ref="E85:F85" si="215">+E65/E$74</f>
        <v>0.12980040877672475</v>
      </c>
      <c r="F85" s="101">
        <f t="shared" si="215"/>
        <v>0.10196672991717792</v>
      </c>
      <c r="G85" s="101">
        <f t="shared" ref="G85:I85" si="216">+G65/G$74</f>
        <v>0.10825678259339629</v>
      </c>
      <c r="H85" s="101">
        <f t="shared" si="216"/>
        <v>0.10726001197648162</v>
      </c>
      <c r="I85" s="101">
        <f t="shared" si="216"/>
        <v>0.13740276484878727</v>
      </c>
      <c r="J85" s="101">
        <f t="shared" ref="J85:L85" si="217">+J65/J$74</f>
        <v>7.5834210810132086E-2</v>
      </c>
      <c r="K85" s="101">
        <f t="shared" ref="K85" si="218">+K65/K$74</f>
        <v>8.4670914350189586E-2</v>
      </c>
      <c r="L85" s="101">
        <f t="shared" si="217"/>
        <v>8.9241190453045793E-2</v>
      </c>
      <c r="M85" s="101">
        <f t="shared" ref="M85" si="219">+M65/M$74</f>
        <v>8.6715326463588302E-2</v>
      </c>
      <c r="N85" s="101">
        <f t="shared" ref="N85:O85" si="220">+N65/N$74</f>
        <v>9.2866595430920559E-2</v>
      </c>
      <c r="O85" s="101">
        <f t="shared" si="220"/>
        <v>9.2866595430920559E-2</v>
      </c>
      <c r="P85" s="375"/>
      <c r="Q85" s="101">
        <f t="shared" ref="Q85" si="221">+Q65/Q$74</f>
        <v>0.12401088189509972</v>
      </c>
      <c r="R85" s="101">
        <f t="shared" ref="R85:Y85" si="222">+R65/R$74</f>
        <v>0.13336299315572678</v>
      </c>
      <c r="S85" s="101">
        <f t="shared" si="222"/>
        <v>0.13050059027635438</v>
      </c>
      <c r="T85" s="101">
        <f t="shared" si="222"/>
        <v>0.13123584439744096</v>
      </c>
      <c r="U85" s="101">
        <f t="shared" si="222"/>
        <v>0.11338823537184407</v>
      </c>
      <c r="V85" s="101">
        <f t="shared" si="222"/>
        <v>9.7962312307645655E-2</v>
      </c>
      <c r="W85" s="101">
        <f t="shared" si="222"/>
        <v>9.9379050475840003E-2</v>
      </c>
      <c r="X85" s="101">
        <f t="shared" si="222"/>
        <v>9.8401278742159218E-2</v>
      </c>
      <c r="Y85" s="101">
        <f t="shared" si="222"/>
        <v>0.11110738358228563</v>
      </c>
      <c r="Z85" s="101">
        <f>+Z65/Z$74</f>
        <v>9.4935655539429106E-2</v>
      </c>
      <c r="AA85" s="101">
        <f t="shared" ref="AA85:AD85" si="223">+AA65/AA$74</f>
        <v>0.1089811447797219</v>
      </c>
      <c r="AB85" s="101">
        <f t="shared" si="223"/>
        <v>0.11749769379622033</v>
      </c>
      <c r="AC85" s="101">
        <f t="shared" si="223"/>
        <v>0.10580436167624187</v>
      </c>
      <c r="AD85" s="101">
        <f t="shared" si="223"/>
        <v>0.10512019774674584</v>
      </c>
      <c r="AE85" s="101">
        <f t="shared" ref="AE85:AH85" si="224">+AE65/AE$74</f>
        <v>0.11435986606914911</v>
      </c>
      <c r="AF85" s="101">
        <f t="shared" si="224"/>
        <v>0.10385159577475715</v>
      </c>
      <c r="AG85" s="101">
        <f t="shared" si="224"/>
        <v>0.12609349955476404</v>
      </c>
      <c r="AH85" s="101">
        <f t="shared" si="224"/>
        <v>6.5098738043213727E-2</v>
      </c>
      <c r="AI85" s="101">
        <f t="shared" ref="AI85:AM85" si="225">+AI65/AI$74</f>
        <v>7.541206648525918E-2</v>
      </c>
      <c r="AJ85" s="101">
        <f t="shared" si="225"/>
        <v>6.9657464139058059E-2</v>
      </c>
      <c r="AK85" s="101">
        <f t="shared" si="225"/>
        <v>6.7056283880994619E-2</v>
      </c>
      <c r="AL85" s="101">
        <f t="shared" si="225"/>
        <v>7.5238944390024404E-2</v>
      </c>
      <c r="AM85" s="101">
        <f t="shared" si="225"/>
        <v>9.8067777019857472E-2</v>
      </c>
      <c r="AN85" s="101">
        <f t="shared" ref="AN85:AQ85" si="226">+AN65/AN$74</f>
        <v>0.12486154698172423</v>
      </c>
      <c r="AO85" s="101">
        <f t="shared" si="226"/>
        <v>7.486437969811488E-2</v>
      </c>
      <c r="AP85" s="101">
        <f t="shared" si="226"/>
        <v>7.5252424785802616E-2</v>
      </c>
      <c r="AQ85" s="101">
        <f t="shared" si="226"/>
        <v>0.11009045130006666</v>
      </c>
      <c r="AR85" s="101">
        <f>+AR65/AR$74</f>
        <v>0.11116294598022293</v>
      </c>
      <c r="AS85" s="399"/>
      <c r="AT85" s="399"/>
      <c r="AU85" s="399"/>
      <c r="AV85" s="101">
        <f>+AV65/AV$74</f>
        <v>0.1759972562092153</v>
      </c>
      <c r="AW85" s="399"/>
      <c r="AX85" s="370"/>
      <c r="AY85" s="399"/>
      <c r="BB85" s="370"/>
      <c r="BC85" s="399"/>
      <c r="BD85" s="399"/>
      <c r="BF85" s="399"/>
      <c r="BG85" s="399"/>
    </row>
    <row r="86" spans="2:59" hidden="1" outlineLevel="1">
      <c r="B86" s="114" t="str">
        <f t="shared" si="184"/>
        <v>Nepal</v>
      </c>
      <c r="C86" s="101">
        <f t="shared" si="191"/>
        <v>0.12744812950724904</v>
      </c>
      <c r="D86" s="101">
        <f t="shared" si="191"/>
        <v>0.16910899730642664</v>
      </c>
      <c r="E86" s="101">
        <f t="shared" ref="E86:F86" si="227">+E66/E$74</f>
        <v>0.1561225197483026</v>
      </c>
      <c r="F86" s="101">
        <f t="shared" si="227"/>
        <v>0.11237123498585104</v>
      </c>
      <c r="G86" s="101">
        <f t="shared" ref="G86:I86" si="228">+G66/G$74</f>
        <v>7.9780423435575634E-2</v>
      </c>
      <c r="H86" s="101">
        <f t="shared" si="228"/>
        <v>7.3792331246086362E-2</v>
      </c>
      <c r="I86" s="101">
        <f t="shared" si="228"/>
        <v>9.452982664287797E-2</v>
      </c>
      <c r="J86" s="101">
        <f t="shared" ref="J86:L86" si="229">+J66/J$74</f>
        <v>7.6770267108974014E-2</v>
      </c>
      <c r="K86" s="101">
        <f t="shared" ref="K86" si="230">+K66/K$74</f>
        <v>0</v>
      </c>
      <c r="L86" s="101">
        <f t="shared" si="229"/>
        <v>0</v>
      </c>
      <c r="M86" s="101">
        <f t="shared" ref="M86" si="231">+M66/M$74</f>
        <v>0</v>
      </c>
      <c r="N86" s="101">
        <f t="shared" ref="N86:O86" si="232">+N66/N$74</f>
        <v>0</v>
      </c>
      <c r="O86" s="101">
        <f t="shared" si="232"/>
        <v>0</v>
      </c>
      <c r="P86" s="375"/>
      <c r="Q86" s="101">
        <f t="shared" ref="Q86" si="233">+Q66/Q$74</f>
        <v>0.16824166056933526</v>
      </c>
      <c r="R86" s="101">
        <f t="shared" ref="R86:Y86" si="234">+R66/R$74</f>
        <v>0.17092769659665774</v>
      </c>
      <c r="S86" s="101">
        <f t="shared" si="234"/>
        <v>0.14927289836975019</v>
      </c>
      <c r="T86" s="101">
        <f t="shared" si="234"/>
        <v>0.13689640558684046</v>
      </c>
      <c r="U86" s="101">
        <f t="shared" si="234"/>
        <v>0.13015119532506833</v>
      </c>
      <c r="V86" s="101">
        <f t="shared" si="234"/>
        <v>0.11032054721783377</v>
      </c>
      <c r="W86" s="101">
        <f t="shared" si="234"/>
        <v>0.10656867297693488</v>
      </c>
      <c r="X86" s="101">
        <f t="shared" si="234"/>
        <v>0.10454583150164873</v>
      </c>
      <c r="Y86" s="101">
        <f t="shared" si="234"/>
        <v>0.10425205869420136</v>
      </c>
      <c r="Z86" s="101">
        <f>+Z66/Z$74</f>
        <v>5.9534397677793907E-2</v>
      </c>
      <c r="AA86" s="101">
        <f t="shared" ref="AA86:AD86" si="235">+AA66/AA$74</f>
        <v>7.6617160356355268E-2</v>
      </c>
      <c r="AB86" s="101">
        <f t="shared" si="235"/>
        <v>7.9787323682569661E-2</v>
      </c>
      <c r="AC86" s="101">
        <f t="shared" si="235"/>
        <v>8.3263400145995994E-2</v>
      </c>
      <c r="AD86" s="101">
        <f t="shared" si="235"/>
        <v>7.2499313379354696E-2</v>
      </c>
      <c r="AE86" s="101">
        <f t="shared" ref="AE86:AH86" si="236">+AE66/AE$74</f>
        <v>7.2635523850225189E-2</v>
      </c>
      <c r="AF86" s="101">
        <f t="shared" si="236"/>
        <v>6.7693368767234252E-2</v>
      </c>
      <c r="AG86" s="101">
        <f t="shared" si="236"/>
        <v>8.7684327693677649E-2</v>
      </c>
      <c r="AH86" s="101">
        <f t="shared" si="236"/>
        <v>8.0712357717086999E-2</v>
      </c>
      <c r="AI86" s="101">
        <f t="shared" ref="AI86:AM86" si="237">+AI66/AI$74</f>
        <v>0</v>
      </c>
      <c r="AJ86" s="101">
        <f t="shared" si="237"/>
        <v>-0.22176096622219818</v>
      </c>
      <c r="AK86" s="101">
        <f t="shared" si="237"/>
        <v>7.130210188887387E-2</v>
      </c>
      <c r="AL86" s="101">
        <f t="shared" si="237"/>
        <v>5.7727777283049925E-2</v>
      </c>
      <c r="AM86" s="101">
        <f t="shared" si="237"/>
        <v>0</v>
      </c>
      <c r="AN86" s="101">
        <f t="shared" ref="AN86:AQ87" si="238">+AN66/AN$74</f>
        <v>-0.16914036059319434</v>
      </c>
      <c r="AO86" s="101">
        <f t="shared" si="238"/>
        <v>0</v>
      </c>
      <c r="AP86" s="101">
        <f t="shared" si="238"/>
        <v>0</v>
      </c>
      <c r="AQ86" s="101">
        <f t="shared" si="238"/>
        <v>0</v>
      </c>
      <c r="AR86" s="101">
        <f>+AR66/AR$74</f>
        <v>0</v>
      </c>
      <c r="AS86" s="399"/>
      <c r="AT86" s="399"/>
      <c r="AU86" s="399"/>
      <c r="AV86" s="101">
        <f>+AV66/AV$74</f>
        <v>0.22557086414553976</v>
      </c>
      <c r="AW86" s="399"/>
      <c r="AX86" s="370"/>
      <c r="AY86" s="399"/>
      <c r="BB86" s="370"/>
      <c r="BC86" s="399"/>
      <c r="BD86" s="399"/>
      <c r="BF86" s="399"/>
      <c r="BG86" s="399"/>
    </row>
    <row r="87" spans="2:59" hidden="1" outlineLevel="1">
      <c r="B87" s="114" t="str">
        <f t="shared" si="184"/>
        <v>Cambodia</v>
      </c>
      <c r="C87" s="101">
        <f t="shared" si="191"/>
        <v>6.714534321238122E-2</v>
      </c>
      <c r="D87" s="101">
        <f t="shared" si="191"/>
        <v>6.385974697181554E-2</v>
      </c>
      <c r="E87" s="101">
        <f t="shared" ref="E87:F87" si="239">+E67/E$74</f>
        <v>6.5246371128661981E-2</v>
      </c>
      <c r="F87" s="101">
        <f t="shared" si="239"/>
        <v>6.5464655834035684E-2</v>
      </c>
      <c r="G87" s="101">
        <f t="shared" ref="G87:I87" si="240">+G67/G$74</f>
        <v>7.0559802944108851E-2</v>
      </c>
      <c r="H87" s="101">
        <f t="shared" si="240"/>
        <v>6.7928958716915275E-2</v>
      </c>
      <c r="I87" s="101">
        <f t="shared" si="240"/>
        <v>8.7018699411014686E-2</v>
      </c>
      <c r="J87" s="101">
        <f t="shared" ref="J87:L87" si="241">+J67/J$74</f>
        <v>8.6265460481241105E-2</v>
      </c>
      <c r="K87" s="101">
        <f t="shared" ref="K87" si="242">+K67/K$74</f>
        <v>9.6040285320712029E-2</v>
      </c>
      <c r="L87" s="101">
        <f t="shared" si="241"/>
        <v>9.5402555979558143E-2</v>
      </c>
      <c r="M87" s="101">
        <f t="shared" ref="M87" si="243">+M67/M$74</f>
        <v>9.2702301988910663E-2</v>
      </c>
      <c r="N87" s="101">
        <f t="shared" ref="N87:O87" si="244">+N67/N$74</f>
        <v>9.7285853378720061E-2</v>
      </c>
      <c r="O87" s="101">
        <f t="shared" si="244"/>
        <v>9.7285853378720061E-2</v>
      </c>
      <c r="P87" s="375"/>
      <c r="Q87" s="101">
        <f t="shared" ref="Q87" si="245">+Q67/Q$74</f>
        <v>5.816608639714007E-2</v>
      </c>
      <c r="R87" s="101">
        <f t="shared" ref="R87:Y87" si="246">+R67/R$74</f>
        <v>6.2853372801453436E-2</v>
      </c>
      <c r="S87" s="101">
        <f t="shared" si="246"/>
        <v>6.598520416929024E-2</v>
      </c>
      <c r="T87" s="101">
        <f t="shared" si="246"/>
        <v>7.3743280063392147E-2</v>
      </c>
      <c r="U87" s="101">
        <f t="shared" si="246"/>
        <v>6.5814314170473814E-2</v>
      </c>
      <c r="V87" s="101">
        <f t="shared" si="246"/>
        <v>6.4007216553137278E-2</v>
      </c>
      <c r="W87" s="101">
        <f t="shared" si="246"/>
        <v>6.5955140439101306E-2</v>
      </c>
      <c r="X87" s="101">
        <f t="shared" si="246"/>
        <v>6.6077885554631621E-2</v>
      </c>
      <c r="Y87" s="101">
        <f t="shared" si="246"/>
        <v>7.2900878751607973E-2</v>
      </c>
      <c r="Z87" s="101">
        <f>+Z67/Z$74</f>
        <v>7.14302854378326E-2</v>
      </c>
      <c r="AA87" s="101">
        <f t="shared" ref="AA87:AD87" si="247">+AA67/AA$74</f>
        <v>6.7823433832058869E-2</v>
      </c>
      <c r="AB87" s="101">
        <f t="shared" si="247"/>
        <v>7.0435017075799605E-2</v>
      </c>
      <c r="AC87" s="101">
        <f t="shared" si="247"/>
        <v>6.7344266314493181E-2</v>
      </c>
      <c r="AD87" s="101">
        <f t="shared" si="247"/>
        <v>6.7431839559879719E-2</v>
      </c>
      <c r="AE87" s="101">
        <f t="shared" ref="AE87:AH87" si="248">+AE67/AE$74</f>
        <v>7.1526194784474736E-2</v>
      </c>
      <c r="AF87" s="101">
        <f t="shared" si="248"/>
        <v>6.5524335384239116E-2</v>
      </c>
      <c r="AG87" s="101">
        <f t="shared" si="248"/>
        <v>8.7458593054318787E-2</v>
      </c>
      <c r="AH87" s="101">
        <f t="shared" si="248"/>
        <v>9.0321135233199984E-2</v>
      </c>
      <c r="AI87" s="101">
        <f>+AI67/AI$74</f>
        <v>8.0962181742551612E-2</v>
      </c>
      <c r="AJ87" s="101">
        <f>+AJ67/AJ$74</f>
        <v>0.13486237105296356</v>
      </c>
      <c r="AK87" s="101">
        <f>+AK67/AK$74</f>
        <v>9.3483718295499188E-2</v>
      </c>
      <c r="AL87" s="101">
        <f>+AL67/AL$74</f>
        <v>7.5041786180088998E-2</v>
      </c>
      <c r="AM87" s="101">
        <f t="shared" ref="AM87" si="249">+AM67/AM$74</f>
        <v>9.5222812768430046E-2</v>
      </c>
      <c r="AN87" s="101">
        <f>+AN67/AN$74</f>
        <v>0.12650452279859706</v>
      </c>
      <c r="AO87" s="101">
        <f>+AO67/AO$74</f>
        <v>9.2949644283303268E-2</v>
      </c>
      <c r="AP87" s="101">
        <f>+AP67/AP$74</f>
        <v>0.11264166263745054</v>
      </c>
      <c r="AQ87" s="101">
        <f t="shared" si="238"/>
        <v>9.7031715644674263E-2</v>
      </c>
      <c r="AR87" s="101">
        <f>+AR67/AR$74</f>
        <v>8.6766796628960224E-2</v>
      </c>
      <c r="AS87" s="399"/>
      <c r="AT87" s="399"/>
      <c r="AU87" s="399"/>
      <c r="AV87" s="101">
        <f>+AV67/AV$74</f>
        <v>8.2946707289582977E-2</v>
      </c>
      <c r="AW87" s="399"/>
      <c r="AX87" s="370"/>
      <c r="AY87" s="399"/>
      <c r="BB87" s="370"/>
      <c r="BC87" s="399"/>
      <c r="BD87" s="399"/>
      <c r="BF87" s="399"/>
      <c r="BG87" s="399"/>
    </row>
    <row r="88" spans="2:59" hidden="1" outlineLevel="1">
      <c r="B88" s="115" t="str">
        <f t="shared" si="184"/>
        <v>Fixed BB</v>
      </c>
      <c r="C88" s="101">
        <f t="shared" ref="C88:E88" si="250">+C68/C$74</f>
        <v>0</v>
      </c>
      <c r="D88" s="101">
        <f t="shared" si="250"/>
        <v>0</v>
      </c>
      <c r="E88" s="101">
        <f t="shared" si="250"/>
        <v>0</v>
      </c>
      <c r="F88" s="101"/>
      <c r="G88" s="101"/>
      <c r="H88" s="101"/>
      <c r="I88" s="101"/>
      <c r="J88" s="101"/>
      <c r="K88" s="101"/>
      <c r="L88" s="101"/>
      <c r="M88" s="101"/>
      <c r="N88" s="101"/>
      <c r="O88" s="101"/>
      <c r="P88" s="375"/>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399"/>
      <c r="AT88" s="399"/>
      <c r="AU88" s="399"/>
      <c r="AV88" s="101"/>
      <c r="AW88" s="399"/>
      <c r="AX88" s="370"/>
      <c r="AY88" s="399"/>
      <c r="BB88" s="370"/>
      <c r="BC88" s="399"/>
      <c r="BD88" s="399"/>
      <c r="BF88" s="399"/>
      <c r="BG88" s="399"/>
    </row>
    <row r="89" spans="2:59" hidden="1" outlineLevel="1">
      <c r="B89" s="114" t="str">
        <f t="shared" si="184"/>
        <v>Indonesia</v>
      </c>
      <c r="C89" s="101">
        <f t="shared" ref="C89:E89" si="251">+C69/C$74</f>
        <v>0</v>
      </c>
      <c r="D89" s="101">
        <f t="shared" si="251"/>
        <v>0</v>
      </c>
      <c r="E89" s="101">
        <f t="shared" si="251"/>
        <v>0</v>
      </c>
      <c r="F89" s="101"/>
      <c r="G89" s="101"/>
      <c r="H89" s="101"/>
      <c r="I89" s="101"/>
      <c r="J89" s="101">
        <f t="shared" ref="J89:N89" si="252">+J69/J$74</f>
        <v>3.2049950790093831E-2</v>
      </c>
      <c r="K89" s="101">
        <f t="shared" si="252"/>
        <v>3.5855810162375178E-2</v>
      </c>
      <c r="L89" s="101">
        <f t="shared" si="252"/>
        <v>5.0747169554232308E-2</v>
      </c>
      <c r="M89" s="101">
        <f t="shared" si="252"/>
        <v>4.9310832281127787E-2</v>
      </c>
      <c r="N89" s="101">
        <f t="shared" si="252"/>
        <v>3.5301589218459044E-2</v>
      </c>
      <c r="O89" s="101">
        <f t="shared" ref="O89" si="253">+O69/O$74</f>
        <v>3.5301589218459044E-2</v>
      </c>
      <c r="P89" s="375"/>
      <c r="Q89" s="101"/>
      <c r="R89" s="101"/>
      <c r="S89" s="101"/>
      <c r="T89" s="101"/>
      <c r="U89" s="101"/>
      <c r="V89" s="101"/>
      <c r="W89" s="101"/>
      <c r="X89" s="101"/>
      <c r="Y89" s="101"/>
      <c r="Z89" s="101"/>
      <c r="AA89" s="101"/>
      <c r="AB89" s="101"/>
      <c r="AC89" s="101"/>
      <c r="AD89" s="101"/>
      <c r="AE89" s="101"/>
      <c r="AF89" s="101"/>
      <c r="AG89" s="101"/>
      <c r="AH89" s="101"/>
      <c r="AI89" s="101">
        <f>+AI69/AI$74</f>
        <v>7.5359637416156811E-2</v>
      </c>
      <c r="AJ89" s="101">
        <f>+AJ69/AJ$74</f>
        <v>7.7849478221350285E-2</v>
      </c>
      <c r="AK89" s="101">
        <f t="shared" ref="AK89:AM89" si="254">+AK69/AK$74</f>
        <v>5.04814147706137E-2</v>
      </c>
      <c r="AL89" s="101">
        <f t="shared" si="254"/>
        <v>5.3731475648579052E-2</v>
      </c>
      <c r="AM89" s="101">
        <f t="shared" si="254"/>
        <v>4.7311593653680963E-2</v>
      </c>
      <c r="AN89" s="101">
        <f>+AN69/AN$74</f>
        <v>5.136350583553833E-2</v>
      </c>
      <c r="AO89" s="101">
        <f t="shared" ref="AO89:AQ89" si="255">+AO69/AO$74</f>
        <v>4.9537993963174702E-2</v>
      </c>
      <c r="AP89" s="101">
        <f t="shared" si="255"/>
        <v>4.4477944554682534E-2</v>
      </c>
      <c r="AQ89" s="101">
        <f t="shared" si="255"/>
        <v>3.9298797474407808E-2</v>
      </c>
      <c r="AR89" s="101">
        <f>+AR69/AR$74</f>
        <v>9.5819483704242536E-3</v>
      </c>
      <c r="AS89" s="399"/>
      <c r="AT89" s="399"/>
      <c r="AU89" s="399"/>
      <c r="AV89" s="101">
        <f>+AV69/AV$74</f>
        <v>0</v>
      </c>
      <c r="AW89" s="399"/>
      <c r="AX89" s="370"/>
      <c r="AY89" s="399"/>
      <c r="BB89" s="370"/>
      <c r="BC89" s="399"/>
      <c r="BD89" s="399"/>
      <c r="BF89" s="399"/>
      <c r="BG89" s="399"/>
    </row>
    <row r="90" spans="2:59" s="6" customFormat="1" hidden="1" outlineLevel="1">
      <c r="B90" s="115" t="str">
        <f t="shared" si="184"/>
        <v>Infrastructure</v>
      </c>
      <c r="C90" s="100"/>
      <c r="D90" s="100"/>
      <c r="E90" s="100"/>
      <c r="F90" s="100"/>
      <c r="G90" s="100"/>
      <c r="H90" s="100"/>
      <c r="I90" s="100"/>
      <c r="J90" s="100"/>
      <c r="K90" s="100"/>
      <c r="L90" s="100"/>
      <c r="M90" s="100"/>
      <c r="N90" s="100"/>
      <c r="O90" s="100"/>
      <c r="P90" s="375"/>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399"/>
      <c r="AT90" s="399"/>
      <c r="AU90" s="399"/>
      <c r="AV90" s="100"/>
      <c r="AW90" s="399"/>
      <c r="AX90" s="370"/>
      <c r="AY90" s="399"/>
      <c r="BB90" s="370"/>
      <c r="BC90" s="399"/>
      <c r="BD90" s="399"/>
      <c r="BE90" s="10"/>
      <c r="BF90" s="399"/>
      <c r="BG90" s="399"/>
    </row>
    <row r="91" spans="2:59" hidden="1" outlineLevel="1">
      <c r="B91" s="114" t="str">
        <f t="shared" si="184"/>
        <v>Malaysia</v>
      </c>
      <c r="C91" s="101">
        <f t="shared" ref="C91:D93" si="256">+C71/C$74</f>
        <v>3.1797478186986375E-2</v>
      </c>
      <c r="D91" s="101">
        <f t="shared" si="256"/>
        <v>6.7856012241663655E-2</v>
      </c>
      <c r="E91" s="101">
        <f t="shared" ref="E91:F91" si="257">+E71/E$74</f>
        <v>8.2099471882741512E-2</v>
      </c>
      <c r="F91" s="101">
        <f t="shared" si="257"/>
        <v>0.10477147417637006</v>
      </c>
      <c r="G91" s="101">
        <f t="shared" ref="G91:I91" si="258">+G71/G$74</f>
        <v>0.10201789924344613</v>
      </c>
      <c r="H91" s="101">
        <f t="shared" si="258"/>
        <v>0.10856428923246958</v>
      </c>
      <c r="I91" s="101">
        <f t="shared" si="258"/>
        <v>0.13907357671799936</v>
      </c>
      <c r="J91" s="101">
        <f t="shared" ref="J91:L91" si="259">+J71/J$74</f>
        <v>0.17164477794062402</v>
      </c>
      <c r="K91" s="101">
        <f t="shared" ref="K91" si="260">+K71/K$74</f>
        <v>0.16183560532042435</v>
      </c>
      <c r="L91" s="101">
        <f t="shared" si="259"/>
        <v>0.1657071565599792</v>
      </c>
      <c r="M91" s="101">
        <f t="shared" ref="M91" si="261">+M71/M$74</f>
        <v>0.18932070579041357</v>
      </c>
      <c r="N91" s="101">
        <f t="shared" ref="N91:O91" si="262">+N71/N$74</f>
        <v>0.18559418770942573</v>
      </c>
      <c r="O91" s="101">
        <f t="shared" si="262"/>
        <v>0.18559418770942573</v>
      </c>
      <c r="P91" s="375"/>
      <c r="Q91" s="101">
        <f t="shared" ref="Q91:Z91" si="263">+Q71/Q$74</f>
        <v>7.7018871445337644E-2</v>
      </c>
      <c r="R91" s="101">
        <f t="shared" si="263"/>
        <v>8.0035513477110048E-2</v>
      </c>
      <c r="S91" s="101">
        <f t="shared" si="263"/>
        <v>8.9858808106983948E-2</v>
      </c>
      <c r="T91" s="101">
        <f t="shared" si="263"/>
        <v>8.1004003284795706E-2</v>
      </c>
      <c r="U91" s="101">
        <f t="shared" si="263"/>
        <v>9.4487168052431125E-2</v>
      </c>
      <c r="V91" s="101">
        <f t="shared" si="263"/>
        <v>9.2595206863664001E-2</v>
      </c>
      <c r="W91" s="101">
        <f t="shared" si="263"/>
        <v>0.12846912759750675</v>
      </c>
      <c r="X91" s="101">
        <f t="shared" si="263"/>
        <v>0.10147997672078669</v>
      </c>
      <c r="Y91" s="101">
        <f t="shared" si="263"/>
        <v>0.10967321686669515</v>
      </c>
      <c r="Z91" s="101">
        <f t="shared" si="263"/>
        <v>0.11712162554426703</v>
      </c>
      <c r="AA91" s="101">
        <f t="shared" ref="AA91:AD91" si="264">+AA71/AA$74</f>
        <v>9.9911326725448793E-2</v>
      </c>
      <c r="AB91" s="101">
        <f t="shared" si="264"/>
        <v>8.289034926073259E-2</v>
      </c>
      <c r="AC91" s="101">
        <f t="shared" si="264"/>
        <v>0.11262939497112588</v>
      </c>
      <c r="AD91" s="101">
        <f t="shared" si="264"/>
        <v>0.11243893345400778</v>
      </c>
      <c r="AE91" s="101">
        <f t="shared" ref="AE91:AH91" si="265">+AE71/AE$74</f>
        <v>9.5728243755827322E-2</v>
      </c>
      <c r="AF91" s="101">
        <f t="shared" si="265"/>
        <v>0.11345247785271612</v>
      </c>
      <c r="AG91" s="101">
        <f t="shared" si="265"/>
        <v>0.17478094390026713</v>
      </c>
      <c r="AH91" s="101">
        <f t="shared" si="265"/>
        <v>0.18379469457109224</v>
      </c>
      <c r="AI91" s="101">
        <f t="shared" ref="AI91:AM91" si="266">+AI71/AI$74</f>
        <v>0.1923951851916044</v>
      </c>
      <c r="AJ91" s="101">
        <f t="shared" si="266"/>
        <v>7.4992468669376602E-2</v>
      </c>
      <c r="AK91" s="101">
        <f t="shared" si="266"/>
        <v>0.18529782586477356</v>
      </c>
      <c r="AL91" s="101">
        <f t="shared" si="266"/>
        <v>0.17579183024751419</v>
      </c>
      <c r="AM91" s="101">
        <f t="shared" si="266"/>
        <v>0.17540801374362083</v>
      </c>
      <c r="AN91" s="101">
        <f t="shared" ref="AN91:AQ91" si="267">+AN71/AN$74</f>
        <v>0.11471601747584767</v>
      </c>
      <c r="AO91" s="101">
        <f t="shared" si="267"/>
        <v>0.16028352106001417</v>
      </c>
      <c r="AP91" s="101">
        <f t="shared" si="267"/>
        <v>0.17598200196941949</v>
      </c>
      <c r="AQ91" s="101">
        <f t="shared" si="267"/>
        <v>0.16026830242129544</v>
      </c>
      <c r="AR91" s="101">
        <f>+AR71/AR$74</f>
        <v>0.2412336835256168</v>
      </c>
      <c r="AS91" s="399"/>
      <c r="AT91" s="399"/>
      <c r="AU91" s="399"/>
      <c r="AV91" s="101">
        <f>+AV71/AV$74</f>
        <v>0.10562173537016308</v>
      </c>
      <c r="AW91" s="399"/>
      <c r="AX91" s="370"/>
      <c r="AY91" s="399"/>
      <c r="BB91" s="370"/>
      <c r="BC91" s="399"/>
      <c r="BD91" s="399"/>
      <c r="BF91" s="399"/>
      <c r="BG91" s="399"/>
    </row>
    <row r="92" spans="2:59" hidden="1" outlineLevel="1">
      <c r="B92" s="114" t="str">
        <f t="shared" si="184"/>
        <v>Others</v>
      </c>
      <c r="C92" s="101">
        <f t="shared" si="256"/>
        <v>-3.5746360004832362E-2</v>
      </c>
      <c r="D92" s="101">
        <f t="shared" si="256"/>
        <v>-8.6956093085700542E-2</v>
      </c>
      <c r="E92" s="101">
        <f t="shared" ref="E92:F92" si="268">+E72/E$74</f>
        <v>-0.62030824078422553</v>
      </c>
      <c r="F92" s="101">
        <f t="shared" si="268"/>
        <v>-0.19540029098374165</v>
      </c>
      <c r="G92" s="101">
        <f t="shared" ref="G92:I92" si="269">+G72/G$74</f>
        <v>-5.1917846460618151E-2</v>
      </c>
      <c r="H92" s="101">
        <f t="shared" si="269"/>
        <v>-3.5734513549041537E-2</v>
      </c>
      <c r="I92" s="101">
        <f t="shared" si="269"/>
        <v>-4.5776807886627434E-2</v>
      </c>
      <c r="J92" s="101">
        <f t="shared" ref="J92:L92" si="270">+J72/J$74</f>
        <v>-3.6163888525625361E-2</v>
      </c>
      <c r="K92" s="101">
        <f t="shared" ref="K92" si="271">+K72/K$74</f>
        <v>-3.2248233567063439E-2</v>
      </c>
      <c r="L92" s="101">
        <f t="shared" si="270"/>
        <v>-5.7545473654650292E-2</v>
      </c>
      <c r="M92" s="101">
        <f t="shared" ref="M92" si="272">+M72/M$74</f>
        <v>-5.5916617689324329E-2</v>
      </c>
      <c r="N92" s="101">
        <f t="shared" ref="N92:O92" si="273">+N72/N$74</f>
        <v>-2.8576693978494858E-2</v>
      </c>
      <c r="O92" s="101">
        <f t="shared" si="273"/>
        <v>-2.8576693978494858E-2</v>
      </c>
      <c r="P92" s="375"/>
      <c r="Q92" s="101">
        <f t="shared" ref="Q92:Y92" si="274">+Q72/Q$74</f>
        <v>-6.4575404756409577E-2</v>
      </c>
      <c r="R92" s="101">
        <f t="shared" si="274"/>
        <v>-6.6011213957932011E-2</v>
      </c>
      <c r="S92" s="101">
        <f t="shared" si="274"/>
        <v>-5.487520364879684E-2</v>
      </c>
      <c r="T92" s="101">
        <f t="shared" si="274"/>
        <v>-2.2962003591005482</v>
      </c>
      <c r="U92" s="101">
        <f t="shared" si="274"/>
        <v>-6.1220562828479042E-2</v>
      </c>
      <c r="V92" s="101">
        <f t="shared" si="274"/>
        <v>-6.8621661567173822E-2</v>
      </c>
      <c r="W92" s="101">
        <f t="shared" si="274"/>
        <v>-7.7546055451788359E-2</v>
      </c>
      <c r="X92" s="101">
        <f t="shared" si="274"/>
        <v>-0.56003974786234156</v>
      </c>
      <c r="Y92" s="101">
        <f t="shared" si="274"/>
        <v>-3.7399361713939039E-2</v>
      </c>
      <c r="Z92" s="101">
        <f>+Z72/Z$74</f>
        <v>-3.3359264634736333E-2</v>
      </c>
      <c r="AA92" s="101">
        <f t="shared" ref="AA92:AD92" si="275">+AA72/AA$74</f>
        <v>-9.6153101205153593E-2</v>
      </c>
      <c r="AB92" s="101">
        <f t="shared" si="275"/>
        <v>-3.6784225053249714E-2</v>
      </c>
      <c r="AC92" s="101">
        <f t="shared" si="275"/>
        <v>-3.2107598663375266E-2</v>
      </c>
      <c r="AD92" s="101">
        <f t="shared" si="275"/>
        <v>-4.0395351186893157E-2</v>
      </c>
      <c r="AE92" s="101">
        <f t="shared" ref="AE92:AH92" si="276">+AE72/AE$74</f>
        <v>-3.9523170358951198E-2</v>
      </c>
      <c r="AF92" s="101">
        <f t="shared" si="276"/>
        <v>-3.1075890526603679E-2</v>
      </c>
      <c r="AG92" s="101">
        <f t="shared" si="276"/>
        <v>-3.8865093499554762E-2</v>
      </c>
      <c r="AH92" s="101">
        <f t="shared" si="276"/>
        <v>-4.9442628241857245E-2</v>
      </c>
      <c r="AI92" s="101">
        <f t="shared" ref="AI92:AM92" si="277">+AI72/AI$74</f>
        <v>-4.9640795881934929E-2</v>
      </c>
      <c r="AJ92" s="101">
        <f t="shared" si="277"/>
        <v>2.2509318401618343E-2</v>
      </c>
      <c r="AK92" s="101">
        <f t="shared" si="277"/>
        <v>-3.8210293160471732E-2</v>
      </c>
      <c r="AL92" s="101">
        <f t="shared" si="277"/>
        <v>-2.4356734693578398E-2</v>
      </c>
      <c r="AM92" s="101">
        <f t="shared" si="277"/>
        <v>-7.1342403112525876E-2</v>
      </c>
      <c r="AN92" s="101">
        <f t="shared" ref="AN92:AQ92" si="278">+AN72/AN$74</f>
        <v>-0.11002502410108098</v>
      </c>
      <c r="AO92" s="101">
        <f t="shared" si="278"/>
        <v>-2.3692401791974689E-2</v>
      </c>
      <c r="AP92" s="101">
        <f t="shared" si="278"/>
        <v>-1.9237235761882888E-2</v>
      </c>
      <c r="AQ92" s="101">
        <f t="shared" si="278"/>
        <v>-2.940008835625485E-2</v>
      </c>
      <c r="AR92" s="101">
        <f>+AR72/AR$74</f>
        <v>-4.1393553174561767E-2</v>
      </c>
      <c r="AS92" s="399"/>
      <c r="AT92" s="399"/>
      <c r="AU92" s="399"/>
      <c r="AV92" s="101">
        <f>+AV72/AV$74</f>
        <v>-8.7114065609411581E-2</v>
      </c>
      <c r="AW92" s="399"/>
      <c r="AX92" s="370"/>
      <c r="AY92" s="399"/>
      <c r="BB92" s="370"/>
      <c r="BC92" s="399"/>
      <c r="BD92" s="399"/>
      <c r="BF92" s="399"/>
      <c r="BG92" s="399"/>
    </row>
    <row r="93" spans="2:59" hidden="1" outlineLevel="1">
      <c r="B93" s="114" t="str">
        <f t="shared" si="184"/>
        <v>Eliminations</v>
      </c>
      <c r="C93" s="101">
        <f t="shared" si="256"/>
        <v>-2.2677896246035018E-3</v>
      </c>
      <c r="D93" s="101">
        <f t="shared" si="256"/>
        <v>5.7210752885282733E-2</v>
      </c>
      <c r="E93" s="101">
        <f t="shared" ref="E93:F93" si="279">+E73/E$74</f>
        <v>0.5597529389376269</v>
      </c>
      <c r="F93" s="101">
        <f t="shared" si="279"/>
        <v>8.1600128070514116E-2</v>
      </c>
      <c r="G93" s="101">
        <f t="shared" ref="G93:I93" si="280">+G73/G$74</f>
        <v>-5.4441569409418807E-2</v>
      </c>
      <c r="H93" s="101">
        <f t="shared" si="280"/>
        <v>-5.0384614474005079E-2</v>
      </c>
      <c r="I93" s="101">
        <f t="shared" si="280"/>
        <v>-2.8126344111084618E-2</v>
      </c>
      <c r="J93" s="101">
        <f t="shared" ref="J93:L93" si="281">+J73/J$74</f>
        <v>-3.4120987074128507E-2</v>
      </c>
      <c r="K93" s="101">
        <f t="shared" ref="K93" si="282">+K73/K$74</f>
        <v>-4.5002189116967996E-2</v>
      </c>
      <c r="L93" s="101">
        <f t="shared" si="281"/>
        <v>-3.9315093190562714E-2</v>
      </c>
      <c r="M93" s="101">
        <f t="shared" ref="M93" si="283">+M73/M$74</f>
        <v>-3.8202327015794381E-2</v>
      </c>
      <c r="N93" s="101">
        <f t="shared" ref="N93:O93" si="284">+N73/N$74</f>
        <v>-2.8036495560704748E-2</v>
      </c>
      <c r="O93" s="101">
        <f t="shared" si="284"/>
        <v>-2.8036495560704748E-2</v>
      </c>
      <c r="P93" s="375"/>
      <c r="Q93" s="101">
        <f t="shared" ref="Q93:Y93" si="285">+Q73/Q$74</f>
        <v>2.7159560206441731E-2</v>
      </c>
      <c r="R93" s="101">
        <f t="shared" si="285"/>
        <v>5.3020603298407206E-3</v>
      </c>
      <c r="S93" s="101">
        <f t="shared" si="285"/>
        <v>3.9589740660713382E-3</v>
      </c>
      <c r="T93" s="101">
        <f t="shared" si="285"/>
        <v>2.203136106403575</v>
      </c>
      <c r="U93" s="101">
        <f t="shared" si="285"/>
        <v>-6.464285596308153E-2</v>
      </c>
      <c r="V93" s="101">
        <f t="shared" si="285"/>
        <v>-7.0032993487802217E-2</v>
      </c>
      <c r="W93" s="101">
        <f t="shared" si="285"/>
        <v>-2.078683588436497E-2</v>
      </c>
      <c r="X93" s="101">
        <f t="shared" si="285"/>
        <v>0.46541436926321889</v>
      </c>
      <c r="Y93" s="101">
        <f t="shared" si="285"/>
        <v>-9.1318199300049932E-2</v>
      </c>
      <c r="Z93" s="101">
        <f>+Z73/Z$74</f>
        <v>-7.6947847121432017E-2</v>
      </c>
      <c r="AA93" s="101">
        <f t="shared" ref="AA93:AD93" si="286">+AA73/AA$74</f>
        <v>1.2692110754962425E-2</v>
      </c>
      <c r="AB93" s="101">
        <f t="shared" si="286"/>
        <v>-6.9150576972253047E-2</v>
      </c>
      <c r="AC93" s="101">
        <f t="shared" si="286"/>
        <v>-5.459432250251222E-2</v>
      </c>
      <c r="AD93" s="101">
        <f t="shared" si="286"/>
        <v>-5.0276640525275466E-2</v>
      </c>
      <c r="AE93" s="101">
        <f t="shared" ref="AE93:AH93" si="287">+AE73/AE$74</f>
        <v>-6.1375414162341151E-2</v>
      </c>
      <c r="AF93" s="101">
        <f t="shared" si="287"/>
        <v>-3.6427794660456501E-2</v>
      </c>
      <c r="AG93" s="101">
        <f t="shared" si="287"/>
        <v>-3.429118432769368E-2</v>
      </c>
      <c r="AH93" s="101">
        <f t="shared" si="287"/>
        <v>-2.8088120232468206E-2</v>
      </c>
      <c r="AI93" s="101">
        <f t="shared" ref="AI93:AM93" si="288">+AI73/AI$74</f>
        <v>-4.4232369100646478E-2</v>
      </c>
      <c r="AJ93" s="101">
        <f t="shared" si="288"/>
        <v>-8.2582552311787336E-2</v>
      </c>
      <c r="AK93" s="101">
        <f t="shared" si="288"/>
        <v>-3.8283118808009664E-2</v>
      </c>
      <c r="AL93" s="101">
        <f t="shared" si="288"/>
        <v>-3.0519211381818869E-2</v>
      </c>
      <c r="AM93" s="101">
        <f t="shared" si="288"/>
        <v>-3.6470175837501867E-2</v>
      </c>
      <c r="AN93" s="101">
        <f t="shared" ref="AN93:AQ93" si="289">+AN73/AN$74</f>
        <v>-5.6597542715320123E-2</v>
      </c>
      <c r="AO93" s="101">
        <f t="shared" si="289"/>
        <v>-3.8950713388181887E-2</v>
      </c>
      <c r="AP93" s="101">
        <f t="shared" si="289"/>
        <v>-3.5515740843650605E-2</v>
      </c>
      <c r="AQ93" s="101">
        <f t="shared" si="289"/>
        <v>-2.9405781413912632E-2</v>
      </c>
      <c r="AR93" s="101">
        <f>+AR73/AR$74</f>
        <v>-9.413826064686482E-3</v>
      </c>
      <c r="AS93" s="399"/>
      <c r="AT93" s="399"/>
      <c r="AU93" s="399"/>
      <c r="AV93" s="101">
        <f>+AV73/AV$74</f>
        <v>6.997054041956492E-3</v>
      </c>
      <c r="AW93" s="399"/>
      <c r="AX93" s="370"/>
      <c r="AY93" s="399"/>
      <c r="BB93" s="370"/>
      <c r="BC93" s="399"/>
      <c r="BD93" s="399"/>
      <c r="BF93" s="399"/>
      <c r="BG93" s="399"/>
    </row>
    <row r="94" spans="2:59" s="93" customFormat="1" hidden="1" outlineLevel="1">
      <c r="B94" s="94" t="s">
        <v>31</v>
      </c>
      <c r="C94" s="100">
        <f>+SUM(C82:C93)</f>
        <v>0.99999999999999978</v>
      </c>
      <c r="D94" s="100">
        <f t="shared" ref="D94" si="290">+SUM(D82:D93)</f>
        <v>1.0000000000000002</v>
      </c>
      <c r="E94" s="100">
        <f t="shared" ref="E94" si="291">+SUM(E82:E93)</f>
        <v>1</v>
      </c>
      <c r="F94" s="100">
        <f t="shared" ref="F94:G94" si="292">+SUM(F82:F93)</f>
        <v>0.99999999999999989</v>
      </c>
      <c r="G94" s="100">
        <f t="shared" si="292"/>
        <v>0.99999999999999989</v>
      </c>
      <c r="H94" s="100">
        <f t="shared" ref="H94:J94" si="293">+SUM(H82:H93)</f>
        <v>1.0000000000000002</v>
      </c>
      <c r="I94" s="100">
        <f t="shared" ref="I94" si="294">+SUM(I82:I93)</f>
        <v>1.0000000000000002</v>
      </c>
      <c r="J94" s="100">
        <f t="shared" si="293"/>
        <v>0.99999999999999989</v>
      </c>
      <c r="K94" s="100">
        <f t="shared" ref="K94" si="295">+SUM(K82:K93)</f>
        <v>1</v>
      </c>
      <c r="L94" s="100">
        <f t="shared" ref="L94:N94" si="296">+SUM(L82:L93)</f>
        <v>0.99999999999999989</v>
      </c>
      <c r="M94" s="100">
        <f t="shared" ref="M94" si="297">+SUM(M82:M93)</f>
        <v>0.99999999999999967</v>
      </c>
      <c r="N94" s="100">
        <f t="shared" si="296"/>
        <v>1.0000000000000002</v>
      </c>
      <c r="O94" s="100">
        <f t="shared" ref="O94" si="298">+SUM(O82:O93)</f>
        <v>1.0000000000000002</v>
      </c>
      <c r="P94" s="375"/>
      <c r="Q94" s="100">
        <f t="shared" ref="Q94" si="299">+SUM(Q82:Q93)</f>
        <v>1.0000000000000002</v>
      </c>
      <c r="R94" s="100">
        <f t="shared" ref="R94" si="300">+SUM(R82:R93)</f>
        <v>1</v>
      </c>
      <c r="S94" s="100">
        <f t="shared" ref="S94" si="301">+SUM(S82:S93)</f>
        <v>1</v>
      </c>
      <c r="T94" s="100">
        <f t="shared" ref="T94" si="302">+SUM(T82:T93)</f>
        <v>1</v>
      </c>
      <c r="U94" s="100">
        <f t="shared" ref="U94" si="303">+SUM(U82:U93)</f>
        <v>1</v>
      </c>
      <c r="V94" s="100">
        <f t="shared" ref="V94" si="304">+SUM(V82:V93)</f>
        <v>1.0000000000000002</v>
      </c>
      <c r="W94" s="100">
        <f t="shared" ref="W94" si="305">+SUM(W82:W93)</f>
        <v>1</v>
      </c>
      <c r="X94" s="100">
        <f t="shared" ref="X94" si="306">+SUM(X82:X93)</f>
        <v>1.0000000000000002</v>
      </c>
      <c r="Y94" s="100">
        <f t="shared" ref="Y94:Z94" si="307">+SUM(Y82:Y93)</f>
        <v>0.99999999999999989</v>
      </c>
      <c r="Z94" s="100">
        <f t="shared" si="307"/>
        <v>1</v>
      </c>
      <c r="AA94" s="100">
        <f t="shared" ref="AA94:AD94" si="308">+SUM(AA82:AA93)</f>
        <v>0.99999999999999989</v>
      </c>
      <c r="AB94" s="100">
        <f t="shared" si="308"/>
        <v>1.0000000000000002</v>
      </c>
      <c r="AC94" s="100">
        <f t="shared" si="308"/>
        <v>1.0000000000000002</v>
      </c>
      <c r="AD94" s="100">
        <f t="shared" si="308"/>
        <v>1</v>
      </c>
      <c r="AE94" s="100">
        <f t="shared" ref="AE94:AH94" si="309">+SUM(AE82:AE93)</f>
        <v>1.0000000000000002</v>
      </c>
      <c r="AF94" s="100">
        <f t="shared" si="309"/>
        <v>0.99999999999999956</v>
      </c>
      <c r="AG94" s="100">
        <f t="shared" si="309"/>
        <v>1.0000000000000002</v>
      </c>
      <c r="AH94" s="100">
        <f t="shared" si="309"/>
        <v>0.99999999999999989</v>
      </c>
      <c r="AI94" s="100">
        <f t="shared" ref="AI94:AM94" si="310">+SUM(AI82:AI93)</f>
        <v>1</v>
      </c>
      <c r="AJ94" s="100">
        <f t="shared" si="310"/>
        <v>1</v>
      </c>
      <c r="AK94" s="100">
        <f t="shared" si="310"/>
        <v>1</v>
      </c>
      <c r="AL94" s="100">
        <f t="shared" si="310"/>
        <v>0.99999999999999978</v>
      </c>
      <c r="AM94" s="100">
        <f t="shared" si="310"/>
        <v>1</v>
      </c>
      <c r="AN94" s="100">
        <f t="shared" ref="AN94:AQ94" si="311">+SUM(AN82:AN93)</f>
        <v>1.0000000000000004</v>
      </c>
      <c r="AO94" s="100">
        <f t="shared" si="311"/>
        <v>0.99999999999999978</v>
      </c>
      <c r="AP94" s="100">
        <f t="shared" si="311"/>
        <v>1</v>
      </c>
      <c r="AQ94" s="100">
        <f t="shared" si="311"/>
        <v>1.0000000000000002</v>
      </c>
      <c r="AR94" s="100">
        <f t="shared" ref="AR94" si="312">+SUM(AR82:AR93)</f>
        <v>1</v>
      </c>
      <c r="AS94" s="399"/>
      <c r="AT94" s="399"/>
      <c r="AU94" s="399"/>
      <c r="AV94" s="100">
        <f t="shared" ref="AV94" si="313">+SUM(AV82:AV93)</f>
        <v>0.99999999999999989</v>
      </c>
      <c r="AW94" s="399"/>
      <c r="AX94" s="370"/>
      <c r="AY94" s="399"/>
      <c r="BB94" s="370"/>
      <c r="BC94" s="399"/>
      <c r="BD94" s="399"/>
      <c r="BE94" s="10"/>
      <c r="BF94" s="399"/>
      <c r="BG94" s="399"/>
    </row>
    <row r="95" spans="2:59" s="93" customFormat="1" hidden="1" outlineLevel="1">
      <c r="B95" s="94"/>
      <c r="C95" s="95"/>
      <c r="D95" s="95"/>
      <c r="E95" s="95"/>
      <c r="F95" s="95"/>
      <c r="G95" s="95"/>
      <c r="H95" s="95"/>
      <c r="I95" s="95"/>
      <c r="J95" s="95"/>
      <c r="K95" s="95"/>
      <c r="L95" s="95"/>
      <c r="M95" s="95"/>
      <c r="N95" s="95"/>
      <c r="O95" s="95"/>
      <c r="P95" s="375"/>
      <c r="Q95" s="95"/>
      <c r="R95" s="95"/>
      <c r="S95" s="95"/>
      <c r="T95" s="95"/>
      <c r="U95" s="95"/>
      <c r="V95" s="95"/>
      <c r="W95" s="95"/>
      <c r="X95" s="95"/>
      <c r="Y95" s="95"/>
      <c r="Z95" s="95"/>
      <c r="AA95" s="95"/>
      <c r="AB95" s="95"/>
      <c r="AC95" s="95"/>
      <c r="AD95" s="95"/>
      <c r="AE95" s="95"/>
      <c r="AF95" s="95"/>
      <c r="AG95" s="95"/>
      <c r="AH95" s="95"/>
      <c r="AI95" s="95"/>
      <c r="AJ95" s="95"/>
      <c r="AK95" s="95"/>
      <c r="AL95" s="95"/>
      <c r="AM95" s="95"/>
      <c r="AN95" s="95"/>
      <c r="AO95" s="95"/>
      <c r="AP95" s="95"/>
      <c r="AQ95" s="95"/>
      <c r="AR95" s="95"/>
      <c r="AS95" s="95"/>
      <c r="AT95" s="95"/>
      <c r="AU95" s="95"/>
      <c r="AV95" s="95"/>
      <c r="AW95" s="95"/>
      <c r="AX95" s="370"/>
      <c r="AY95" s="95"/>
      <c r="BB95" s="370"/>
      <c r="BC95" s="95"/>
      <c r="BD95" s="95"/>
      <c r="BE95" s="10"/>
      <c r="BF95" s="95"/>
      <c r="BG95" s="95"/>
    </row>
    <row r="96" spans="2:59" hidden="1" outlineLevel="1">
      <c r="B96" s="90" t="s">
        <v>362</v>
      </c>
      <c r="C96" s="9"/>
      <c r="D96" s="9"/>
      <c r="E96" s="9"/>
      <c r="F96" s="9"/>
      <c r="G96" s="9"/>
      <c r="H96" s="9"/>
      <c r="I96" s="9"/>
      <c r="J96" s="9"/>
      <c r="K96" s="9"/>
      <c r="L96" s="9"/>
      <c r="M96" s="9"/>
      <c r="N96" s="9"/>
      <c r="O96" s="9"/>
      <c r="P96" s="375"/>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c r="AR96" s="89"/>
      <c r="AS96" s="89"/>
      <c r="AT96" s="89"/>
      <c r="AU96" s="89"/>
      <c r="AV96" s="89"/>
      <c r="AW96" s="89"/>
      <c r="AX96" s="370"/>
      <c r="AY96" s="89"/>
      <c r="BB96" s="370"/>
      <c r="BC96" s="89"/>
      <c r="BD96" s="89"/>
      <c r="BF96" s="89"/>
      <c r="BG96" s="89"/>
    </row>
    <row r="97" spans="1:64" s="6" customFormat="1" ht="15" hidden="1" outlineLevel="1">
      <c r="B97" s="90" t="str">
        <f t="shared" ref="B97:B103" si="314">+B61</f>
        <v>Mobile</v>
      </c>
      <c r="C97"/>
      <c r="D97"/>
      <c r="E97"/>
      <c r="F97"/>
      <c r="G97"/>
      <c r="H97"/>
      <c r="I97"/>
      <c r="J97"/>
      <c r="K97"/>
      <c r="L97"/>
      <c r="M97"/>
      <c r="N97"/>
      <c r="O97"/>
      <c r="P97" s="375"/>
      <c r="Q97"/>
      <c r="R97"/>
      <c r="S97"/>
      <c r="T97"/>
      <c r="U97"/>
      <c r="V97"/>
      <c r="W97"/>
      <c r="X97"/>
      <c r="Y97"/>
      <c r="Z97"/>
      <c r="AA97"/>
      <c r="AB97"/>
      <c r="AC97"/>
      <c r="AD97"/>
      <c r="AE97"/>
      <c r="AF97"/>
      <c r="AG97"/>
      <c r="AH97"/>
      <c r="AI97"/>
      <c r="AJ97"/>
      <c r="AK97"/>
      <c r="AL97"/>
      <c r="AM97"/>
      <c r="AN97"/>
      <c r="AO97"/>
      <c r="AP97"/>
      <c r="AQ97"/>
      <c r="AR97"/>
      <c r="AS97"/>
      <c r="AT97"/>
      <c r="AU97"/>
      <c r="AV97"/>
      <c r="AW97"/>
      <c r="AX97" s="370"/>
      <c r="AY97"/>
      <c r="BB97" s="370"/>
      <c r="BC97"/>
      <c r="BD97"/>
      <c r="BE97" s="10"/>
      <c r="BF97"/>
      <c r="BG97"/>
      <c r="BL97" s="263"/>
    </row>
    <row r="98" spans="1:64" hidden="1" outlineLevel="1">
      <c r="B98" s="91" t="str">
        <f t="shared" si="314"/>
        <v>Malaysia</v>
      </c>
      <c r="C98" s="372"/>
      <c r="D98" s="101">
        <f t="shared" ref="D98:D103" si="315">+D62/C62-1</f>
        <v>5.9268793983981993E-3</v>
      </c>
      <c r="E98" s="101">
        <f t="shared" ref="E98:F98" si="316">+E62/D62-1</f>
        <v>-0.17770529853466821</v>
      </c>
      <c r="F98" s="101">
        <f t="shared" si="316"/>
        <v>0.3737967608621402</v>
      </c>
      <c r="G98" s="101">
        <f t="shared" ref="G98:H103" si="317">+G62/F62-1</f>
        <v>-1.0888087569096094E-2</v>
      </c>
      <c r="H98" s="101">
        <f t="shared" si="317"/>
        <v>9.1124995559756394E-2</v>
      </c>
      <c r="I98" s="101"/>
      <c r="J98" s="399"/>
      <c r="K98" s="399"/>
      <c r="L98" s="399"/>
      <c r="M98" s="399"/>
      <c r="N98" s="399"/>
      <c r="O98" s="399"/>
      <c r="P98" s="375"/>
      <c r="Q98" s="372"/>
      <c r="R98" s="372"/>
      <c r="S98" s="372"/>
      <c r="T98" s="372"/>
      <c r="U98" s="101">
        <f t="shared" ref="U98:AG98" si="318">+U62/T62-1</f>
        <v>0.22333393387210254</v>
      </c>
      <c r="V98" s="101">
        <f t="shared" si="318"/>
        <v>0.24496604877125172</v>
      </c>
      <c r="W98" s="101">
        <f t="shared" si="318"/>
        <v>-9.8014364174060176E-2</v>
      </c>
      <c r="X98" s="101">
        <f t="shared" si="318"/>
        <v>8.8963309914129596E-2</v>
      </c>
      <c r="Y98" s="101">
        <f t="shared" si="318"/>
        <v>-0.26301504987232627</v>
      </c>
      <c r="Z98" s="101">
        <f t="shared" si="318"/>
        <v>0.11145393389140379</v>
      </c>
      <c r="AA98" s="101">
        <f t="shared" si="318"/>
        <v>0.24227583647807571</v>
      </c>
      <c r="AB98" s="101">
        <f t="shared" si="318"/>
        <v>0.11991258795449578</v>
      </c>
      <c r="AC98" s="101">
        <f t="shared" si="318"/>
        <v>-0.18741924566804491</v>
      </c>
      <c r="AD98" s="101">
        <f t="shared" si="318"/>
        <v>4.9328124927424222E-2</v>
      </c>
      <c r="AE98" s="101">
        <f t="shared" si="318"/>
        <v>3.5397107145966666E-2</v>
      </c>
      <c r="AF98" s="101">
        <f t="shared" si="318"/>
        <v>0.14091052243814861</v>
      </c>
      <c r="AG98" s="101">
        <f t="shared" si="318"/>
        <v>-1</v>
      </c>
      <c r="AH98" s="101"/>
      <c r="AI98" s="101"/>
      <c r="AJ98" s="101"/>
      <c r="AK98" s="101"/>
      <c r="AL98" s="101"/>
      <c r="AM98" s="101"/>
      <c r="AN98" s="101"/>
      <c r="AO98" s="101"/>
      <c r="AP98" s="101"/>
      <c r="AQ98" s="101"/>
      <c r="AR98" s="101"/>
      <c r="AS98" s="101"/>
      <c r="AT98" s="101"/>
      <c r="AU98" s="101"/>
      <c r="AV98" s="101"/>
      <c r="AW98" s="101"/>
      <c r="AX98" s="370"/>
      <c r="AY98" s="101"/>
      <c r="BB98" s="370"/>
      <c r="BC98" s="101"/>
      <c r="BD98" s="101"/>
      <c r="BF98" s="101"/>
      <c r="BG98" s="101"/>
    </row>
    <row r="99" spans="1:64" hidden="1" outlineLevel="1">
      <c r="B99" s="91" t="str">
        <f t="shared" si="314"/>
        <v>Indonesia</v>
      </c>
      <c r="C99" s="372"/>
      <c r="D99" s="101">
        <f t="shared" si="315"/>
        <v>5.7325711240697963E-2</v>
      </c>
      <c r="E99" s="101">
        <f t="shared" ref="E99:F103" si="319">+E63/D63-1</f>
        <v>-8.5024542185150542E-2</v>
      </c>
      <c r="F99" s="101">
        <f t="shared" si="319"/>
        <v>0.47243507787252237</v>
      </c>
      <c r="G99" s="101">
        <f t="shared" si="317"/>
        <v>1.4941734250564442E-2</v>
      </c>
      <c r="H99" s="101">
        <f t="shared" si="317"/>
        <v>2.9936030659952095E-2</v>
      </c>
      <c r="I99" s="101"/>
      <c r="J99" s="101">
        <f t="shared" ref="J99" si="320">+J63/H63-1</f>
        <v>8.4661045512121724E-2</v>
      </c>
      <c r="K99" s="101">
        <f>+K63/I63-1</f>
        <v>8.4661045512121724E-2</v>
      </c>
      <c r="L99" s="101">
        <f t="shared" ref="L99:L101" si="321">+L63/K63-1</f>
        <v>0.13215421218871293</v>
      </c>
      <c r="M99" s="101">
        <f>+M63/K63-1</f>
        <v>0.13215421218871293</v>
      </c>
      <c r="N99" s="101">
        <f t="shared" ref="N99:O101" si="322">+N63/M63-1</f>
        <v>8.9732630822184856E-2</v>
      </c>
      <c r="O99" s="101">
        <f t="shared" si="322"/>
        <v>0</v>
      </c>
      <c r="P99" s="375"/>
      <c r="Q99" s="372"/>
      <c r="R99" s="372"/>
      <c r="S99" s="372"/>
      <c r="T99" s="372"/>
      <c r="U99" s="101">
        <f t="shared" ref="U99:AK99" si="323">+U63/T63-1</f>
        <v>0.2146688082837831</v>
      </c>
      <c r="V99" s="101">
        <f t="shared" si="323"/>
        <v>0.13483954647257779</v>
      </c>
      <c r="W99" s="101">
        <f t="shared" si="323"/>
        <v>2.7500220405397346E-2</v>
      </c>
      <c r="X99" s="101">
        <f t="shared" si="323"/>
        <v>1.5865205197361343E-2</v>
      </c>
      <c r="Y99" s="101">
        <f t="shared" si="323"/>
        <v>-5.1111038746942006E-2</v>
      </c>
      <c r="Z99" s="101">
        <f>+Z63/Y63-1</f>
        <v>3.7818325329398439E-2</v>
      </c>
      <c r="AA99" s="101">
        <f t="shared" si="323"/>
        <v>1.0235377515442901E-2</v>
      </c>
      <c r="AB99" s="101">
        <f t="shared" si="323"/>
        <v>-8.0583903676964441E-2</v>
      </c>
      <c r="AC99" s="101">
        <f t="shared" si="323"/>
        <v>2.3897308326454869E-3</v>
      </c>
      <c r="AD99" s="101">
        <f>+AD63/AC63-1</f>
        <v>7.8962789985282944E-2</v>
      </c>
      <c r="AE99" s="101">
        <f t="shared" si="323"/>
        <v>4.1665852311243423E-2</v>
      </c>
      <c r="AF99" s="101">
        <f t="shared" si="323"/>
        <v>-8.6012458475044351E-3</v>
      </c>
      <c r="AG99" s="101">
        <f t="shared" si="323"/>
        <v>-7.0191865202293813E-2</v>
      </c>
      <c r="AH99" s="101">
        <f>+AH63/AG63-1</f>
        <v>0.13495403153408891</v>
      </c>
      <c r="AI99" s="101">
        <f t="shared" si="323"/>
        <v>3.2930573764844207E-2</v>
      </c>
      <c r="AJ99" s="101">
        <f>+AJ63/AI63-1</f>
        <v>3.4224625318345803E-2</v>
      </c>
      <c r="AK99" s="101">
        <f t="shared" si="323"/>
        <v>-8.240544557167373E-2</v>
      </c>
      <c r="AL99" s="101">
        <f t="shared" ref="AL99:AL103" si="324">+AL63/AK63-1</f>
        <v>0.19087217638228338</v>
      </c>
      <c r="AM99" s="101">
        <f>+AM63/AL63-1</f>
        <v>1.3600260685139975E-2</v>
      </c>
      <c r="AN99" s="101">
        <f t="shared" ref="AN99:AP103" si="325">+AN63/AM63-1</f>
        <v>-4.627616845132243E-3</v>
      </c>
      <c r="AO99" s="101">
        <f t="shared" si="325"/>
        <v>8.6603994357889569E-2</v>
      </c>
      <c r="AP99" s="101">
        <f t="shared" si="325"/>
        <v>-2.3250119300408878E-2</v>
      </c>
      <c r="AQ99" s="101">
        <f t="shared" ref="AQ99:AR101" si="326">+AQ63/AP63-1</f>
        <v>-7.1496747710863007E-2</v>
      </c>
      <c r="AR99" s="101">
        <f t="shared" si="326"/>
        <v>5.3549281685731476E-2</v>
      </c>
      <c r="AS99" s="399"/>
      <c r="AT99" s="399"/>
      <c r="AU99" s="399"/>
      <c r="AV99" s="101" t="e">
        <f t="shared" ref="AV99:AV101" si="327">+AV63/AU63-1</f>
        <v>#DIV/0!</v>
      </c>
      <c r="AW99" s="399"/>
      <c r="AX99" s="370"/>
      <c r="AY99" s="399"/>
      <c r="BB99" s="370"/>
      <c r="BC99" s="399"/>
      <c r="BD99" s="399"/>
      <c r="BF99" s="399"/>
      <c r="BG99" s="399"/>
    </row>
    <row r="100" spans="1:64" hidden="1" outlineLevel="1">
      <c r="B100" s="91" t="str">
        <f t="shared" si="314"/>
        <v>Bangladesh</v>
      </c>
      <c r="C100" s="372"/>
      <c r="D100" s="101">
        <f t="shared" si="315"/>
        <v>-8.5948214021984493E-2</v>
      </c>
      <c r="E100" s="101">
        <f t="shared" si="319"/>
        <v>0.14653340508069412</v>
      </c>
      <c r="F100" s="101">
        <f t="shared" si="319"/>
        <v>0.76691546733170113</v>
      </c>
      <c r="G100" s="101">
        <f t="shared" si="317"/>
        <v>0.12565862606987777</v>
      </c>
      <c r="H100" s="101">
        <f t="shared" si="317"/>
        <v>7.7762770409406379E-3</v>
      </c>
      <c r="I100" s="101"/>
      <c r="J100" s="101">
        <f t="shared" ref="J100" si="328">+J64/H64-1</f>
        <v>0.1330780911702909</v>
      </c>
      <c r="K100" s="101">
        <f>+K64/I64-1</f>
        <v>0.1330780911702909</v>
      </c>
      <c r="L100" s="101">
        <f t="shared" si="321"/>
        <v>6.5285126233386226E-2</v>
      </c>
      <c r="M100" s="101">
        <f t="shared" ref="M100:M103" si="329">+M64/K64-1</f>
        <v>6.5285126233386226E-2</v>
      </c>
      <c r="N100" s="101">
        <f t="shared" si="322"/>
        <v>2.9449836672943874E-2</v>
      </c>
      <c r="O100" s="101">
        <f t="shared" si="322"/>
        <v>0</v>
      </c>
      <c r="P100" s="375"/>
      <c r="Q100" s="372"/>
      <c r="R100" s="372"/>
      <c r="S100" s="372"/>
      <c r="T100" s="372"/>
      <c r="U100" s="101">
        <f t="shared" ref="U100:AK100" si="330">+U64/T64-1</f>
        <v>0.41059744673963672</v>
      </c>
      <c r="V100" s="101">
        <f t="shared" si="330"/>
        <v>0.18994687442628955</v>
      </c>
      <c r="W100" s="101">
        <f t="shared" si="330"/>
        <v>-0.16199843307418793</v>
      </c>
      <c r="X100" s="101">
        <f t="shared" si="330"/>
        <v>-0.15658297470830529</v>
      </c>
      <c r="Y100" s="101">
        <f t="shared" si="330"/>
        <v>0.30738219323856009</v>
      </c>
      <c r="Z100" s="101">
        <f>+Z64/Y64-1</f>
        <v>0.15682443114522271</v>
      </c>
      <c r="AA100" s="101">
        <f t="shared" si="330"/>
        <v>-0.12966508579766201</v>
      </c>
      <c r="AB100" s="101">
        <f t="shared" si="330"/>
        <v>-4.6371103568005334E-2</v>
      </c>
      <c r="AC100" s="101">
        <f t="shared" si="330"/>
        <v>4.6003901813419956E-2</v>
      </c>
      <c r="AD100" s="101">
        <f>+AD64/AC64-1</f>
        <v>6.7626927123245251E-2</v>
      </c>
      <c r="AE100" s="101">
        <f t="shared" si="330"/>
        <v>2.3321224625850512E-2</v>
      </c>
      <c r="AF100" s="101">
        <f t="shared" si="330"/>
        <v>-0.10493742034884801</v>
      </c>
      <c r="AG100" s="101">
        <f t="shared" si="330"/>
        <v>8.3036480373171129E-2</v>
      </c>
      <c r="AH100" s="101">
        <f>+AH64/AG64-1</f>
        <v>0.15951857702080874</v>
      </c>
      <c r="AI100" s="101">
        <f t="shared" si="330"/>
        <v>-4.523580365736235E-2</v>
      </c>
      <c r="AJ100" s="101">
        <f>+AJ64/AI64-1</f>
        <v>4.8336139666784073E-2</v>
      </c>
      <c r="AK100" s="101">
        <f t="shared" si="330"/>
        <v>-8.4987224653776172E-2</v>
      </c>
      <c r="AL100" s="101">
        <f t="shared" si="324"/>
        <v>3.4386310146594434E-2</v>
      </c>
      <c r="AM100" s="101">
        <f>+AM64/AL64-1</f>
        <v>0.11408928415924069</v>
      </c>
      <c r="AN100" s="101">
        <f t="shared" si="325"/>
        <v>8.8432415531941144E-2</v>
      </c>
      <c r="AO100" s="101">
        <f t="shared" si="325"/>
        <v>-4.4403197383757753E-2</v>
      </c>
      <c r="AP100" s="101">
        <f t="shared" si="325"/>
        <v>-3.2850632521124412E-2</v>
      </c>
      <c r="AQ100" s="101">
        <f t="shared" si="326"/>
        <v>-2.6564682301701281E-2</v>
      </c>
      <c r="AR100" s="101">
        <f t="shared" si="326"/>
        <v>-3.7975823519057705E-2</v>
      </c>
      <c r="AS100" s="399"/>
      <c r="AT100" s="399"/>
      <c r="AU100" s="399"/>
      <c r="AV100" s="101" t="e">
        <f t="shared" si="327"/>
        <v>#DIV/0!</v>
      </c>
      <c r="AW100" s="399"/>
      <c r="AX100" s="370"/>
      <c r="AY100" s="399"/>
      <c r="BB100" s="370"/>
      <c r="BC100" s="399"/>
      <c r="BD100" s="399"/>
      <c r="BF100" s="399"/>
      <c r="BG100" s="399"/>
    </row>
    <row r="101" spans="1:64" hidden="1" outlineLevel="1">
      <c r="B101" s="91" t="str">
        <f t="shared" si="314"/>
        <v>Sri Lanka</v>
      </c>
      <c r="C101" s="372"/>
      <c r="D101" s="101">
        <f t="shared" si="315"/>
        <v>0.15275584848265389</v>
      </c>
      <c r="E101" s="101">
        <f t="shared" si="319"/>
        <v>0.13278797360324868</v>
      </c>
      <c r="F101" s="101">
        <f t="shared" si="319"/>
        <v>9.4844209603861529E-4</v>
      </c>
      <c r="G101" s="101">
        <f t="shared" si="317"/>
        <v>6.5458995197635872E-2</v>
      </c>
      <c r="H101" s="101">
        <f t="shared" si="317"/>
        <v>6.0255929075591963E-2</v>
      </c>
      <c r="I101" s="101"/>
      <c r="J101" s="101">
        <f t="shared" ref="J101" si="331">+J65/H65-1</f>
        <v>-0.40503844440175107</v>
      </c>
      <c r="K101" s="101">
        <f>+K65/I65-1</f>
        <v>-0.40331999395026952</v>
      </c>
      <c r="L101" s="101">
        <f t="shared" si="321"/>
        <v>0.17734457207997201</v>
      </c>
      <c r="M101" s="101">
        <f t="shared" si="329"/>
        <v>0.17734457207997201</v>
      </c>
      <c r="N101" s="101">
        <f t="shared" si="322"/>
        <v>0.20277507529454497</v>
      </c>
      <c r="O101" s="101">
        <f t="shared" si="322"/>
        <v>0</v>
      </c>
      <c r="P101" s="375"/>
      <c r="Q101" s="372"/>
      <c r="R101" s="372"/>
      <c r="S101" s="372"/>
      <c r="T101" s="372"/>
      <c r="U101" s="101">
        <f t="shared" ref="U101:AK101" si="332">+U65/T65-1</f>
        <v>4.2606103827242947E-3</v>
      </c>
      <c r="V101" s="101">
        <f t="shared" si="332"/>
        <v>-4.7301529497450923E-2</v>
      </c>
      <c r="W101" s="101">
        <f t="shared" si="332"/>
        <v>6.4282465186861426E-2</v>
      </c>
      <c r="X101" s="101">
        <f t="shared" si="332"/>
        <v>-3.6874883273234182E-2</v>
      </c>
      <c r="Y101" s="101">
        <f t="shared" si="332"/>
        <v>3.7440194510014901E-2</v>
      </c>
      <c r="Z101" s="101">
        <f>+Z65/Y65-1</f>
        <v>-0.11829935909648082</v>
      </c>
      <c r="AA101" s="101">
        <f t="shared" si="332"/>
        <v>0.26163724570916069</v>
      </c>
      <c r="AB101" s="101">
        <f t="shared" si="332"/>
        <v>3.6365751437148708E-2</v>
      </c>
      <c r="AC101" s="101">
        <f t="shared" si="332"/>
        <v>-0.11196959350962399</v>
      </c>
      <c r="AD101" s="101">
        <f>+AD65/AC65-1</f>
        <v>3.7460061093360419E-2</v>
      </c>
      <c r="AE101" s="101">
        <f t="shared" si="332"/>
        <v>0.10667424757766208</v>
      </c>
      <c r="AF101" s="101">
        <f t="shared" si="332"/>
        <v>-3.3920593029336477E-2</v>
      </c>
      <c r="AG101" s="101">
        <f t="shared" si="332"/>
        <v>-0.10351464196741433</v>
      </c>
      <c r="AH101" s="101">
        <f>+AH65/AG65-1</f>
        <v>-0.46442871973051436</v>
      </c>
      <c r="AI101" s="101">
        <f t="shared" si="332"/>
        <v>0.14745149231590826</v>
      </c>
      <c r="AJ101" s="101">
        <f>+AJ65/AI65-1</f>
        <v>-0.3051619723974669</v>
      </c>
      <c r="AK101" s="101">
        <f t="shared" si="332"/>
        <v>0.34007822642663954</v>
      </c>
      <c r="AL101" s="101">
        <f t="shared" si="324"/>
        <v>0.26689991793011125</v>
      </c>
      <c r="AM101" s="101">
        <f>+AM65/AL65-1</f>
        <v>0.21002386634844838</v>
      </c>
      <c r="AN101" s="101">
        <f t="shared" si="325"/>
        <v>-1.9864750633981409E-2</v>
      </c>
      <c r="AO101" s="101">
        <f t="shared" si="325"/>
        <v>-0.15852892256514495</v>
      </c>
      <c r="AP101" s="101">
        <f t="shared" si="325"/>
        <v>3.7624332581725151E-2</v>
      </c>
      <c r="AQ101" s="101">
        <f t="shared" si="326"/>
        <v>0.36435045601426119</v>
      </c>
      <c r="AR101" s="101">
        <f t="shared" si="326"/>
        <v>0.12379294296106047</v>
      </c>
      <c r="AS101" s="399"/>
      <c r="AT101" s="399"/>
      <c r="AU101" s="399"/>
      <c r="AV101" s="101" t="e">
        <f t="shared" si="327"/>
        <v>#DIV/0!</v>
      </c>
      <c r="AW101" s="399"/>
      <c r="AX101" s="370"/>
      <c r="AY101" s="399"/>
      <c r="BB101" s="370"/>
      <c r="BC101" s="399"/>
      <c r="BD101" s="399"/>
      <c r="BF101" s="399"/>
      <c r="BG101" s="399"/>
    </row>
    <row r="102" spans="1:64" hidden="1" outlineLevel="1">
      <c r="B102" s="91" t="str">
        <f t="shared" si="314"/>
        <v>Nepal</v>
      </c>
      <c r="C102" s="372"/>
      <c r="D102" s="101">
        <f t="shared" si="315"/>
        <v>0.52849646052622545</v>
      </c>
      <c r="E102" s="101">
        <f t="shared" si="319"/>
        <v>-0.16641083070236584</v>
      </c>
      <c r="F102" s="101">
        <f t="shared" si="319"/>
        <v>-8.2895386067359023E-2</v>
      </c>
      <c r="G102" s="101">
        <f t="shared" si="317"/>
        <v>-0.28750585567428455</v>
      </c>
      <c r="H102" s="101">
        <f t="shared" si="317"/>
        <v>-1.0210418602462967E-2</v>
      </c>
      <c r="I102" s="101"/>
      <c r="J102" s="101">
        <f t="shared" ref="J102" si="333">+J66/H66-1</f>
        <v>-0.12452571450300587</v>
      </c>
      <c r="K102" s="101"/>
      <c r="L102" s="101"/>
      <c r="M102" s="101"/>
      <c r="N102" s="101"/>
      <c r="O102" s="101"/>
      <c r="P102" s="375"/>
      <c r="Q102" s="372"/>
      <c r="R102" s="372"/>
      <c r="S102" s="372"/>
      <c r="T102" s="372"/>
      <c r="U102" s="101">
        <f t="shared" ref="U102:AK102" si="334">+U66/T66-1</f>
        <v>0.10506294941958894</v>
      </c>
      <c r="V102" s="101">
        <f t="shared" si="334"/>
        <v>-6.5299052018427006E-2</v>
      </c>
      <c r="W102" s="101">
        <f t="shared" si="334"/>
        <v>1.3431133618905022E-2</v>
      </c>
      <c r="X102" s="101">
        <f t="shared" si="334"/>
        <v>-4.5768008279437611E-2</v>
      </c>
      <c r="Y102" s="101">
        <f t="shared" si="334"/>
        <v>-8.3782019332692359E-2</v>
      </c>
      <c r="Z102" s="101">
        <f>+Z66/Y66-1</f>
        <v>-0.41072495747712956</v>
      </c>
      <c r="AA102" s="101">
        <f t="shared" si="334"/>
        <v>0.41439455994591157</v>
      </c>
      <c r="AB102" s="101">
        <f t="shared" si="334"/>
        <v>1.0203847126144527E-3</v>
      </c>
      <c r="AC102" s="101">
        <f t="shared" si="334"/>
        <v>2.9138561989466849E-2</v>
      </c>
      <c r="AD102" s="101">
        <f>+AD66/AC66-1</f>
        <v>-9.0780920257168884E-2</v>
      </c>
      <c r="AE102" s="101">
        <f t="shared" si="334"/>
        <v>1.917207266446197E-2</v>
      </c>
      <c r="AF102" s="101">
        <f t="shared" si="334"/>
        <v>-8.5510826075024804E-3</v>
      </c>
      <c r="AG102" s="101">
        <f t="shared" si="334"/>
        <v>-4.3600091298921506E-2</v>
      </c>
      <c r="AH102" s="101">
        <f>+AH66/AG66-1</f>
        <v>-4.5105337185625927E-2</v>
      </c>
      <c r="AI102" s="399"/>
      <c r="AJ102" s="399"/>
      <c r="AK102" s="101">
        <f t="shared" si="334"/>
        <v>-1.4475850335718645</v>
      </c>
      <c r="AL102" s="101">
        <f t="shared" si="324"/>
        <v>-8.5841293422625808E-2</v>
      </c>
      <c r="AM102" s="399"/>
      <c r="AN102" s="399"/>
      <c r="AO102" s="399"/>
      <c r="AP102" s="399"/>
      <c r="AQ102" s="399"/>
      <c r="AR102" s="399"/>
      <c r="AS102" s="399"/>
      <c r="AT102" s="399"/>
      <c r="AU102" s="399"/>
      <c r="AV102" s="399"/>
      <c r="AW102" s="399"/>
      <c r="AX102" s="370"/>
      <c r="AY102" s="399"/>
      <c r="BB102" s="370"/>
      <c r="BC102" s="399"/>
      <c r="BD102" s="399"/>
      <c r="BF102" s="399"/>
      <c r="BG102" s="399"/>
    </row>
    <row r="103" spans="1:64" hidden="1" outlineLevel="1">
      <c r="B103" s="91" t="str">
        <f t="shared" si="314"/>
        <v>Cambodia</v>
      </c>
      <c r="C103" s="372"/>
      <c r="D103" s="101">
        <f t="shared" si="315"/>
        <v>9.5575935109254218E-2</v>
      </c>
      <c r="E103" s="101">
        <f t="shared" si="319"/>
        <v>-7.7465971535356726E-2</v>
      </c>
      <c r="F103" s="101">
        <f t="shared" si="319"/>
        <v>0.27843838961917844</v>
      </c>
      <c r="G103" s="101">
        <f t="shared" si="317"/>
        <v>8.1659543800949086E-2</v>
      </c>
      <c r="H103" s="101">
        <f t="shared" si="317"/>
        <v>3.0209575940857603E-2</v>
      </c>
      <c r="I103" s="101"/>
      <c r="J103" s="101">
        <f t="shared" ref="J103" si="335">+J67/H67-1</f>
        <v>6.8669860313452569E-2</v>
      </c>
      <c r="K103" s="101">
        <f>+K67/I67-1</f>
        <v>6.8669860313452569E-2</v>
      </c>
      <c r="L103" s="101">
        <f>+L67/K67-1</f>
        <v>0.10963219582078598</v>
      </c>
      <c r="M103" s="101">
        <f t="shared" si="329"/>
        <v>0.10963219582078598</v>
      </c>
      <c r="N103" s="101">
        <f>+N67/M67-1</f>
        <v>0.17863662737217512</v>
      </c>
      <c r="O103" s="101">
        <f>+O67/N67-1</f>
        <v>0</v>
      </c>
      <c r="P103" s="375"/>
      <c r="Q103" s="372"/>
      <c r="R103" s="372"/>
      <c r="S103" s="372"/>
      <c r="T103" s="372"/>
      <c r="U103" s="101">
        <f t="shared" ref="U103:AK103" si="336">+U67/T67-1</f>
        <v>3.7358360397534263E-2</v>
      </c>
      <c r="V103" s="101">
        <f t="shared" si="336"/>
        <v>7.2440035887493925E-2</v>
      </c>
      <c r="W103" s="101">
        <f t="shared" si="336"/>
        <v>8.1037599527300275E-2</v>
      </c>
      <c r="X103" s="101">
        <f t="shared" si="336"/>
        <v>-2.5494493600671686E-2</v>
      </c>
      <c r="Y103" s="101">
        <f t="shared" si="336"/>
        <v>1.3672157002121876E-2</v>
      </c>
      <c r="Z103" s="101">
        <f>+Z67/Y67-1</f>
        <v>1.1077266950080933E-2</v>
      </c>
      <c r="AA103" s="101">
        <f t="shared" si="336"/>
        <v>4.3541867597178152E-2</v>
      </c>
      <c r="AB103" s="101">
        <f t="shared" si="336"/>
        <v>-1.7394103658469051E-3</v>
      </c>
      <c r="AC103" s="101">
        <f t="shared" si="336"/>
        <v>-5.7100057734618681E-2</v>
      </c>
      <c r="AD103" s="101">
        <f>+AD67/AC67-1</f>
        <v>4.5570136969676822E-2</v>
      </c>
      <c r="AE103" s="101">
        <f t="shared" si="336"/>
        <v>7.9027339587004919E-2</v>
      </c>
      <c r="AF103" s="101">
        <f t="shared" si="336"/>
        <v>-2.5435040900445682E-2</v>
      </c>
      <c r="AG103" s="101">
        <f t="shared" si="336"/>
        <v>-1.4484319106558008E-2</v>
      </c>
      <c r="AH103" s="101">
        <f>+AH67/AG67-1</f>
        <v>7.1332573104178509E-2</v>
      </c>
      <c r="AI103" s="101">
        <f t="shared" si="336"/>
        <v>-0.11211058523882822</v>
      </c>
      <c r="AJ103" s="101">
        <f>+AJ67/AI67-1</f>
        <v>0.25304119325023677</v>
      </c>
      <c r="AK103" s="101">
        <f t="shared" si="336"/>
        <v>-3.5052876155331258E-2</v>
      </c>
      <c r="AL103" s="101">
        <f t="shared" si="324"/>
        <v>-9.3628416509903833E-2</v>
      </c>
      <c r="AM103" s="101">
        <f>+AM67/AL67-1</f>
        <v>0.17800773543257842</v>
      </c>
      <c r="AN103" s="101">
        <f t="shared" si="325"/>
        <v>2.2700986224365227E-2</v>
      </c>
      <c r="AO103" s="101">
        <f t="shared" si="325"/>
        <v>3.1179696715430527E-2</v>
      </c>
      <c r="AP103" s="101">
        <f t="shared" si="325"/>
        <v>0.25096799808169323</v>
      </c>
      <c r="AQ103" s="101">
        <f>+AQ67/AP67-1</f>
        <v>-0.19663770484076237</v>
      </c>
      <c r="AR103" s="101">
        <f>+AR67/AQ67-1</f>
        <v>-4.787645995822043E-3</v>
      </c>
      <c r="AS103" s="399"/>
      <c r="AT103" s="399"/>
      <c r="AU103" s="399"/>
      <c r="AV103" s="101" t="e">
        <f>+AV67/AU67-1</f>
        <v>#DIV/0!</v>
      </c>
      <c r="AW103" s="399"/>
      <c r="AX103" s="370"/>
      <c r="AY103" s="399"/>
      <c r="BB103" s="370"/>
      <c r="BC103" s="399"/>
      <c r="BD103" s="399"/>
      <c r="BF103" s="399"/>
      <c r="BG103" s="399"/>
    </row>
    <row r="104" spans="1:64" s="6" customFormat="1" hidden="1" outlineLevel="1">
      <c r="B104" s="90" t="str">
        <f>+B70</f>
        <v>Infrastructure</v>
      </c>
      <c r="C104" s="400"/>
      <c r="D104" s="100"/>
      <c r="E104" s="100"/>
      <c r="F104" s="100"/>
      <c r="G104" s="100"/>
      <c r="H104" s="100"/>
      <c r="I104" s="100"/>
      <c r="J104" s="100"/>
      <c r="K104" s="100"/>
      <c r="L104" s="100"/>
      <c r="M104" s="101"/>
      <c r="N104" s="100"/>
      <c r="O104" s="100"/>
      <c r="P104" s="375"/>
      <c r="Q104" s="400"/>
      <c r="R104" s="400"/>
      <c r="S104" s="400"/>
      <c r="T104" s="400"/>
      <c r="U104" s="100"/>
      <c r="V104" s="100"/>
      <c r="W104" s="100"/>
      <c r="X104" s="100"/>
      <c r="Y104" s="100"/>
      <c r="Z104" s="100"/>
      <c r="AA104" s="100"/>
      <c r="AB104" s="100"/>
      <c r="AC104" s="100"/>
      <c r="AD104" s="100"/>
      <c r="AE104" s="100"/>
      <c r="AF104" s="100"/>
      <c r="AG104" s="100"/>
      <c r="AH104" s="100"/>
      <c r="AI104" s="100"/>
      <c r="AJ104" s="100"/>
      <c r="AK104" s="100"/>
      <c r="AL104" s="100"/>
      <c r="AM104" s="100"/>
      <c r="AN104" s="100"/>
      <c r="AO104" s="100"/>
      <c r="AP104" s="100"/>
      <c r="AQ104" s="100"/>
      <c r="AR104" s="100"/>
      <c r="AS104" s="399"/>
      <c r="AT104" s="399"/>
      <c r="AU104" s="399"/>
      <c r="AV104" s="100"/>
      <c r="AW104" s="399"/>
      <c r="AX104" s="370"/>
      <c r="AY104" s="399"/>
      <c r="BB104" s="370"/>
      <c r="BC104" s="399"/>
      <c r="BD104" s="399"/>
      <c r="BE104" s="10"/>
      <c r="BF104" s="399"/>
      <c r="BG104" s="399"/>
    </row>
    <row r="105" spans="1:64" hidden="1" outlineLevel="1">
      <c r="B105" s="91" t="str">
        <f>+B71</f>
        <v>Malaysia</v>
      </c>
      <c r="C105" s="372"/>
      <c r="D105" s="101">
        <f>+D71/C71-1</f>
        <v>1.4582545077752744</v>
      </c>
      <c r="E105" s="101">
        <f t="shared" ref="E105:F105" si="337">+E71/D71-1</f>
        <v>9.2459273948259479E-2</v>
      </c>
      <c r="F105" s="101">
        <f t="shared" si="337"/>
        <v>0.62604278106128386</v>
      </c>
      <c r="G105" s="101">
        <f t="shared" ref="G105:H108" si="338">+G71/F71-1</f>
        <v>-2.2822546432449187E-2</v>
      </c>
      <c r="H105" s="101">
        <f t="shared" si="338"/>
        <v>0.13877677539937738</v>
      </c>
      <c r="I105" s="101"/>
      <c r="J105" s="101">
        <f t="shared" ref="J105" si="339">+J71/H71-1</f>
        <v>0.33047027265847051</v>
      </c>
      <c r="K105" s="101">
        <f>+K71/I71-1</f>
        <v>0.12676191714678264</v>
      </c>
      <c r="L105" s="101">
        <f t="shared" ref="L105:L108" si="340">+L71/K71-1</f>
        <v>0.14377254913767579</v>
      </c>
      <c r="M105" s="101">
        <f>+M71/K71-1</f>
        <v>0.34482573230710356</v>
      </c>
      <c r="N105" s="101">
        <f t="shared" ref="N105:O108" si="341">+N71/M71-1</f>
        <v>0.10099923029523827</v>
      </c>
      <c r="O105" s="101">
        <f t="shared" si="341"/>
        <v>0</v>
      </c>
      <c r="P105" s="375"/>
      <c r="Q105" s="372"/>
      <c r="R105" s="372"/>
      <c r="S105" s="372"/>
      <c r="T105" s="372"/>
      <c r="U105" s="101">
        <f t="shared" ref="U105:AL105" si="342">+U71/T71-1</f>
        <v>0.35580506591616046</v>
      </c>
      <c r="V105" s="101">
        <f t="shared" si="342"/>
        <v>8.063768977301522E-2</v>
      </c>
      <c r="W105" s="101">
        <f t="shared" si="342"/>
        <v>0.45556418282257205</v>
      </c>
      <c r="X105" s="101">
        <f t="shared" si="342"/>
        <v>-0.23165124232834788</v>
      </c>
      <c r="Y105" s="101">
        <f t="shared" si="342"/>
        <v>-7.018596931488319E-3</v>
      </c>
      <c r="Z105" s="101">
        <f t="shared" si="342"/>
        <v>0.10197370816794704</v>
      </c>
      <c r="AA105" s="101">
        <f t="shared" si="342"/>
        <v>-6.2459312719545967E-2</v>
      </c>
      <c r="AB105" s="101">
        <f t="shared" si="342"/>
        <v>-0.20251170200766955</v>
      </c>
      <c r="AC105" s="101">
        <f t="shared" si="342"/>
        <v>0.33998948098843318</v>
      </c>
      <c r="AD105" s="101">
        <f t="shared" si="342"/>
        <v>4.244645130647573E-2</v>
      </c>
      <c r="AE105" s="101">
        <f t="shared" si="342"/>
        <v>-0.13392458812027142</v>
      </c>
      <c r="AF105" s="101">
        <f t="shared" si="342"/>
        <v>0.26080285250836566</v>
      </c>
      <c r="AG105" s="101">
        <f t="shared" si="342"/>
        <v>0.13748000649064651</v>
      </c>
      <c r="AH105" s="101">
        <f t="shared" si="342"/>
        <v>9.0878290596549061E-2</v>
      </c>
      <c r="AI105" s="101">
        <f t="shared" si="342"/>
        <v>3.6877120632926363E-2</v>
      </c>
      <c r="AJ105" s="101">
        <f>+AJ71/AI71-1</f>
        <v>-0.70678903214909072</v>
      </c>
      <c r="AK105" s="101">
        <f t="shared" si="342"/>
        <v>2.4396242501516983</v>
      </c>
      <c r="AL105" s="101">
        <f t="shared" si="342"/>
        <v>7.1192345053202821E-2</v>
      </c>
      <c r="AM105" s="101">
        <f>+AM71/AL71-1</f>
        <v>-7.3679997331642988E-2</v>
      </c>
      <c r="AN105" s="101">
        <f t="shared" ref="AN105:AP108" si="343">+AN71/AM71-1</f>
        <v>-0.49654778193864346</v>
      </c>
      <c r="AO105" s="101">
        <f t="shared" si="343"/>
        <v>0.96090921282016928</v>
      </c>
      <c r="AP105" s="101">
        <f t="shared" si="343"/>
        <v>0.13337664558044104</v>
      </c>
      <c r="AQ105" s="101">
        <f t="shared" ref="AQ105:AR108" si="344">+AQ71/AP71-1</f>
        <v>-0.15067057668790618</v>
      </c>
      <c r="AR105" s="101">
        <f t="shared" si="344"/>
        <v>0.67519827220778961</v>
      </c>
      <c r="AS105" s="399"/>
      <c r="AT105" s="399"/>
      <c r="AU105" s="399"/>
      <c r="AV105" s="101" t="e">
        <f t="shared" ref="AV105:AV108" si="345">+AV71/AU71-1</f>
        <v>#DIV/0!</v>
      </c>
      <c r="AW105" s="399"/>
      <c r="AX105" s="370"/>
      <c r="AY105" s="399"/>
      <c r="BB105" s="370"/>
      <c r="BC105" s="399"/>
      <c r="BD105" s="399"/>
      <c r="BF105" s="399"/>
      <c r="BG105" s="399"/>
    </row>
    <row r="106" spans="1:64" hidden="1" outlineLevel="1">
      <c r="B106" s="91" t="str">
        <f>+B72</f>
        <v>Others</v>
      </c>
      <c r="C106" s="372"/>
      <c r="D106" s="101">
        <f>+D72/C72-1</f>
        <v>1.8022016388348701</v>
      </c>
      <c r="E106" s="101">
        <f t="shared" ref="E106:F108" si="346">+E72/D72-1</f>
        <v>5.4411106196619796</v>
      </c>
      <c r="F106" s="101">
        <f t="shared" si="346"/>
        <v>-0.59862813004619964</v>
      </c>
      <c r="G106" s="101">
        <f t="shared" si="338"/>
        <v>-0.73335614474321509</v>
      </c>
      <c r="H106" s="101">
        <f t="shared" si="338"/>
        <v>-0.26345516391279677</v>
      </c>
      <c r="I106" s="101"/>
      <c r="J106" s="101">
        <f t="shared" ref="J106" si="347">+J72/H72-1</f>
        <v>-0.14837417825514021</v>
      </c>
      <c r="K106" s="101">
        <f>+K72/I72-1</f>
        <v>-0.31787630945457479</v>
      </c>
      <c r="L106" s="101">
        <f t="shared" si="340"/>
        <v>0.99332318860912916</v>
      </c>
      <c r="M106" s="101">
        <f>+M72/K72-1</f>
        <v>0.99331959118919877</v>
      </c>
      <c r="N106" s="101">
        <f t="shared" si="341"/>
        <v>-0.426026489946706</v>
      </c>
      <c r="O106" s="101">
        <f t="shared" si="341"/>
        <v>0</v>
      </c>
      <c r="P106" s="375"/>
      <c r="Q106" s="372"/>
      <c r="R106" s="372"/>
      <c r="S106" s="372"/>
      <c r="T106" s="372"/>
      <c r="U106" s="101">
        <f t="shared" ref="U106:AK106" si="348">+U72/T72-1</f>
        <v>-0.96901022381272783</v>
      </c>
      <c r="V106" s="101">
        <f t="shared" si="348"/>
        <v>0.23602811239562382</v>
      </c>
      <c r="W106" s="101">
        <f t="shared" si="348"/>
        <v>0.1855491771074349</v>
      </c>
      <c r="X106" s="101">
        <f t="shared" si="348"/>
        <v>6.0248321128238631</v>
      </c>
      <c r="Y106" s="101">
        <f t="shared" si="348"/>
        <v>-0.93864270138801531</v>
      </c>
      <c r="Z106" s="101">
        <f>+Z72/Y72-1</f>
        <v>-7.9577976165050579E-2</v>
      </c>
      <c r="AA106" s="101">
        <f t="shared" si="348"/>
        <v>2.1678113978095408</v>
      </c>
      <c r="AB106" s="101">
        <f t="shared" si="348"/>
        <v>-0.63226633460298831</v>
      </c>
      <c r="AC106" s="101">
        <f t="shared" si="348"/>
        <v>-0.13920482839670989</v>
      </c>
      <c r="AD106" s="101">
        <f>+AD72/AC72-1</f>
        <v>0.31374885744368197</v>
      </c>
      <c r="AE106" s="101">
        <f t="shared" si="348"/>
        <v>-4.7029397777109683E-3</v>
      </c>
      <c r="AF106" s="101">
        <f t="shared" si="348"/>
        <v>-0.16354015502778541</v>
      </c>
      <c r="AG106" s="101">
        <f t="shared" si="348"/>
        <v>-7.6578863852744705E-2</v>
      </c>
      <c r="AH106" s="101">
        <f>+AH72/AG72-1</f>
        <v>0.31971222691915568</v>
      </c>
      <c r="AI106" s="101">
        <f t="shared" si="348"/>
        <v>-5.503519995833428E-3</v>
      </c>
      <c r="AJ106" s="101">
        <f>+AJ72/AI72-1</f>
        <v>-1.3410989394666781</v>
      </c>
      <c r="AK106" s="101">
        <f t="shared" si="348"/>
        <v>-3.3630687343262209</v>
      </c>
      <c r="AL106" s="101">
        <f t="shared" ref="AL106:AL108" si="349">+AL72/AK72-1</f>
        <v>-0.28025643246989518</v>
      </c>
      <c r="AM106" s="101">
        <f>+AM72/AL72-1</f>
        <v>1.7191863264323546</v>
      </c>
      <c r="AN106" s="101">
        <f t="shared" si="343"/>
        <v>0.18720950821123417</v>
      </c>
      <c r="AO106" s="101">
        <f t="shared" si="343"/>
        <v>-0.69778898406987255</v>
      </c>
      <c r="AP106" s="101">
        <f t="shared" si="343"/>
        <v>-0.16183705257313774</v>
      </c>
      <c r="AQ106" s="101">
        <f t="shared" si="344"/>
        <v>0.42528841377026194</v>
      </c>
      <c r="AR106" s="101">
        <f t="shared" si="344"/>
        <v>0.566967455430335</v>
      </c>
      <c r="AS106" s="399"/>
      <c r="AT106" s="399"/>
      <c r="AU106" s="399"/>
      <c r="AV106" s="101" t="e">
        <f t="shared" si="345"/>
        <v>#DIV/0!</v>
      </c>
      <c r="AW106" s="399"/>
      <c r="AX106" s="370"/>
      <c r="AY106" s="399"/>
      <c r="BB106" s="370"/>
      <c r="BC106" s="399"/>
      <c r="BD106" s="399"/>
      <c r="BF106" s="399"/>
      <c r="BG106" s="399"/>
    </row>
    <row r="107" spans="1:64" hidden="1" outlineLevel="1">
      <c r="B107" s="91" t="str">
        <f>+B73</f>
        <v>Eliminations</v>
      </c>
      <c r="C107" s="372"/>
      <c r="D107" s="101">
        <f>+D73/C73-1</f>
        <v>-30.060701117164715</v>
      </c>
      <c r="E107" s="101">
        <f t="shared" si="346"/>
        <v>7.8342959728213728</v>
      </c>
      <c r="F107" s="101">
        <f t="shared" si="346"/>
        <v>-0.81425217617966428</v>
      </c>
      <c r="G107" s="101">
        <f t="shared" si="338"/>
        <v>-1.6695452174434868</v>
      </c>
      <c r="H107" s="101">
        <f t="shared" si="338"/>
        <v>-9.6349907011137326E-3</v>
      </c>
      <c r="I107" s="101"/>
      <c r="J107" s="101">
        <f t="shared" ref="J107" si="350">+J73/H73-1</f>
        <v>-0.43011763231677713</v>
      </c>
      <c r="K107" s="101">
        <f>+K73/I73-1</f>
        <v>0.54925555537805337</v>
      </c>
      <c r="L107" s="101">
        <f t="shared" si="340"/>
        <v>-2.4116107910238105E-2</v>
      </c>
      <c r="M107" s="101">
        <f>+M73/K73-1</f>
        <v>-2.4116107910238105E-2</v>
      </c>
      <c r="N107" s="101">
        <f t="shared" si="341"/>
        <v>-0.17575813609467461</v>
      </c>
      <c r="O107" s="101">
        <f t="shared" si="341"/>
        <v>0</v>
      </c>
      <c r="P107" s="375"/>
      <c r="Q107" s="372"/>
      <c r="R107" s="372"/>
      <c r="S107" s="372"/>
      <c r="T107" s="372"/>
      <c r="U107" s="101">
        <f t="shared" ref="U107:AK107" si="351">+U73/T73-1</f>
        <v>-1.034104376165496</v>
      </c>
      <c r="V107" s="101">
        <f t="shared" si="351"/>
        <v>0.19466624081762984</v>
      </c>
      <c r="W107" s="101">
        <f t="shared" si="351"/>
        <v>-0.68860847480283383</v>
      </c>
      <c r="X107" s="101">
        <f t="shared" si="351"/>
        <v>-22.778512311549164</v>
      </c>
      <c r="Y107" s="101">
        <f t="shared" si="351"/>
        <v>-1.1802762199636216</v>
      </c>
      <c r="Z107" s="101">
        <f>+Z73/Y73-1</f>
        <v>-0.13049144766478193</v>
      </c>
      <c r="AA107" s="101">
        <f t="shared" si="351"/>
        <v>-1.1812799903427325</v>
      </c>
      <c r="AB107" s="101">
        <f t="shared" si="351"/>
        <v>-6.237174329236149</v>
      </c>
      <c r="AC107" s="101">
        <f t="shared" si="351"/>
        <v>-0.22141634834943036</v>
      </c>
      <c r="AD107" s="101">
        <f>+AD73/AC73-1</f>
        <v>-3.8370985302123128E-2</v>
      </c>
      <c r="AE107" s="101">
        <f t="shared" si="351"/>
        <v>0.24182534796668587</v>
      </c>
      <c r="AF107" s="101">
        <f t="shared" si="351"/>
        <v>-0.36858959748370379</v>
      </c>
      <c r="AG107" s="101">
        <f t="shared" si="351"/>
        <v>-0.30495442649580307</v>
      </c>
      <c r="AH107" s="101">
        <f>+AH73/AG73-1</f>
        <v>-0.15027655872653167</v>
      </c>
      <c r="AI107" s="101">
        <f t="shared" si="351"/>
        <v>0.55985269849031249</v>
      </c>
      <c r="AJ107" s="101">
        <f>+AJ73/AI73-1</f>
        <v>0.40444540227070203</v>
      </c>
      <c r="AK107" s="101">
        <f t="shared" si="351"/>
        <v>-0.35467671060891426</v>
      </c>
      <c r="AL107" s="101">
        <f t="shared" si="349"/>
        <v>-9.9870298313877837E-2</v>
      </c>
      <c r="AM107" s="101">
        <f>+AM73/AL73-1</f>
        <v>0.10936599423631055</v>
      </c>
      <c r="AN107" s="101">
        <f t="shared" si="343"/>
        <v>0.19465731480278903</v>
      </c>
      <c r="AO107" s="101">
        <f t="shared" si="343"/>
        <v>-3.4148153517196689E-2</v>
      </c>
      <c r="AP107" s="101">
        <f t="shared" si="343"/>
        <v>-5.8760072418224452E-2</v>
      </c>
      <c r="AQ107" s="101">
        <f t="shared" si="344"/>
        <v>-0.22783763043283256</v>
      </c>
      <c r="AR107" s="101">
        <f t="shared" si="344"/>
        <v>-0.64370530989442254</v>
      </c>
      <c r="AS107" s="399"/>
      <c r="AT107" s="399"/>
      <c r="AU107" s="399"/>
      <c r="AV107" s="101" t="e">
        <f t="shared" si="345"/>
        <v>#DIV/0!</v>
      </c>
      <c r="AW107" s="399"/>
      <c r="AX107" s="370"/>
      <c r="AY107" s="399"/>
      <c r="BB107" s="370"/>
      <c r="BC107" s="399"/>
      <c r="BD107" s="399"/>
      <c r="BF107" s="399"/>
      <c r="BG107" s="399"/>
    </row>
    <row r="108" spans="1:64" s="6" customFormat="1" hidden="1" outlineLevel="1">
      <c r="B108" s="94" t="s">
        <v>31</v>
      </c>
      <c r="C108" s="400"/>
      <c r="D108" s="100">
        <f>+D74/C74-1</f>
        <v>0.15194352728336491</v>
      </c>
      <c r="E108" s="100">
        <f t="shared" si="346"/>
        <v>-9.7071781747535724E-2</v>
      </c>
      <c r="F108" s="100">
        <f t="shared" si="346"/>
        <v>0.27417557721054187</v>
      </c>
      <c r="G108" s="100">
        <f t="shared" si="338"/>
        <v>3.5525442243493632E-3</v>
      </c>
      <c r="H108" s="100">
        <f t="shared" si="338"/>
        <v>7.01089202979297E-2</v>
      </c>
      <c r="I108" s="100"/>
      <c r="J108" s="100">
        <f t="shared" ref="J108" si="352">+J74/H74-1</f>
        <v>-0.15848555820286825</v>
      </c>
      <c r="K108" s="100">
        <f>+K74/I74-1</f>
        <v>-3.1716107113935799E-2</v>
      </c>
      <c r="L108" s="100">
        <f t="shared" si="340"/>
        <v>0.11704965966017777</v>
      </c>
      <c r="M108" s="100">
        <f>+M74/K74-1</f>
        <v>0.14958733927043855</v>
      </c>
      <c r="N108" s="100">
        <f t="shared" si="341"/>
        <v>0.12310603002580178</v>
      </c>
      <c r="O108" s="100">
        <f t="shared" si="341"/>
        <v>0</v>
      </c>
      <c r="P108" s="375"/>
      <c r="Q108" s="400"/>
      <c r="R108" s="400"/>
      <c r="S108" s="400"/>
      <c r="T108" s="400"/>
      <c r="U108" s="100">
        <f t="shared" ref="U108:AK108" si="353">+U74/T74-1</f>
        <v>0.16233389439794443</v>
      </c>
      <c r="V108" s="100">
        <f t="shared" si="353"/>
        <v>0.10271793169287902</v>
      </c>
      <c r="W108" s="100">
        <f t="shared" si="353"/>
        <v>4.9110156909104585E-2</v>
      </c>
      <c r="X108" s="100">
        <f t="shared" si="353"/>
        <v>-2.7304717852914662E-2</v>
      </c>
      <c r="Y108" s="100">
        <f t="shared" si="353"/>
        <v>-8.1200200500664121E-2</v>
      </c>
      <c r="Z108" s="100">
        <f>+Z74/Y74-1</f>
        <v>3.1893136008606993E-2</v>
      </c>
      <c r="AA108" s="100">
        <f t="shared" si="353"/>
        <v>9.9037445573294747E-2</v>
      </c>
      <c r="AB108" s="100">
        <f t="shared" si="353"/>
        <v>-3.8752826944843388E-2</v>
      </c>
      <c r="AC108" s="100">
        <f t="shared" si="353"/>
        <v>-1.3825865678192328E-2</v>
      </c>
      <c r="AD108" s="100">
        <f>+AD74/AC74-1</f>
        <v>4.4212262547574266E-2</v>
      </c>
      <c r="AE108" s="100">
        <f t="shared" si="353"/>
        <v>1.7260860346341333E-2</v>
      </c>
      <c r="AF108" s="100">
        <f t="shared" si="353"/>
        <v>6.3832585037487011E-2</v>
      </c>
      <c r="AG108" s="100">
        <f t="shared" si="353"/>
        <v>-0.26164762379401352</v>
      </c>
      <c r="AH108" s="100">
        <f>+AH74/AG74-1</f>
        <v>3.7378895814781821E-2</v>
      </c>
      <c r="AI108" s="100">
        <f t="shared" si="353"/>
        <v>-9.473581655938923E-3</v>
      </c>
      <c r="AJ108" s="100">
        <f>+AJ74/AI74-1</f>
        <v>-0.24775941556753389</v>
      </c>
      <c r="AK108" s="100">
        <f t="shared" si="353"/>
        <v>0.39206119990945121</v>
      </c>
      <c r="AL108" s="100">
        <f t="shared" si="349"/>
        <v>0.12911739039222825</v>
      </c>
      <c r="AM108" s="100">
        <f>+AM74/AL74-1</f>
        <v>-7.1653083638689941E-2</v>
      </c>
      <c r="AN108" s="100">
        <f t="shared" si="343"/>
        <v>-0.23018985902683098</v>
      </c>
      <c r="AO108" s="100">
        <f t="shared" si="343"/>
        <v>0.4034361987980235</v>
      </c>
      <c r="AP108" s="100">
        <f t="shared" si="343"/>
        <v>3.2273740540741835E-2</v>
      </c>
      <c r="AQ108" s="100">
        <f t="shared" si="344"/>
        <v>-6.7397046153933493E-2</v>
      </c>
      <c r="AR108" s="100">
        <f t="shared" si="344"/>
        <v>0.11295064346733064</v>
      </c>
      <c r="AS108" s="399"/>
      <c r="AT108" s="399"/>
      <c r="AU108" s="399"/>
      <c r="AV108" s="100" t="e">
        <f t="shared" si="345"/>
        <v>#DIV/0!</v>
      </c>
      <c r="AW108" s="399"/>
      <c r="AX108" s="370"/>
      <c r="AY108" s="399"/>
      <c r="BB108" s="370"/>
      <c r="BC108" s="399"/>
      <c r="BD108" s="399"/>
      <c r="BE108" s="10"/>
      <c r="BF108" s="399"/>
      <c r="BG108" s="399"/>
    </row>
    <row r="109" spans="1:64" s="93" customFormat="1" hidden="1" outlineLevel="1">
      <c r="B109" s="94"/>
      <c r="C109" s="102"/>
      <c r="D109" s="102"/>
      <c r="E109" s="102"/>
      <c r="F109" s="102"/>
      <c r="G109" s="102"/>
      <c r="H109" s="102"/>
      <c r="I109" s="102"/>
      <c r="J109" s="102"/>
      <c r="K109" s="102"/>
      <c r="L109" s="102"/>
      <c r="M109" s="102"/>
      <c r="N109" s="102"/>
      <c r="O109" s="102"/>
      <c r="P109" s="375"/>
      <c r="Q109" s="102"/>
      <c r="R109" s="102"/>
      <c r="S109" s="102"/>
      <c r="T109" s="102"/>
      <c r="U109" s="102"/>
      <c r="V109" s="102"/>
      <c r="W109" s="102"/>
      <c r="X109" s="102"/>
      <c r="Y109" s="102"/>
      <c r="Z109" s="102"/>
      <c r="AA109" s="102"/>
      <c r="AB109" s="102"/>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370"/>
      <c r="AY109" s="102"/>
      <c r="BB109" s="370"/>
      <c r="BC109" s="102"/>
      <c r="BD109" s="102"/>
      <c r="BE109" s="10"/>
      <c r="BF109" s="102"/>
      <c r="BG109" s="102"/>
    </row>
    <row r="110" spans="1:64" s="113" customFormat="1" hidden="1" outlineLevel="1">
      <c r="A110" s="93"/>
      <c r="B110" s="111"/>
      <c r="C110" s="112"/>
      <c r="D110" s="112"/>
      <c r="E110" s="112"/>
      <c r="F110" s="112"/>
      <c r="G110" s="112"/>
      <c r="H110" s="112"/>
      <c r="I110" s="112"/>
      <c r="J110" s="112"/>
      <c r="K110" s="112"/>
      <c r="L110" s="112"/>
      <c r="M110" s="112"/>
      <c r="N110" s="112"/>
      <c r="O110" s="112"/>
      <c r="P110" s="375"/>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370"/>
      <c r="AY110" s="112"/>
      <c r="BB110" s="370"/>
      <c r="BC110" s="112"/>
      <c r="BD110" s="112"/>
      <c r="BE110" s="10"/>
      <c r="BF110" s="112"/>
      <c r="BG110" s="112"/>
    </row>
    <row r="111" spans="1:64" s="27" customFormat="1" hidden="1" outlineLevel="1">
      <c r="B111" s="90" t="s">
        <v>363</v>
      </c>
      <c r="P111" s="375"/>
      <c r="AX111" s="370"/>
      <c r="BB111" s="370"/>
      <c r="BE111" s="10"/>
    </row>
    <row r="112" spans="1:64" s="104" customFormat="1" hidden="1" outlineLevel="1">
      <c r="P112" s="375"/>
      <c r="AX112" s="370"/>
      <c r="BB112" s="370"/>
      <c r="BE112" s="10"/>
    </row>
    <row r="113" spans="2:59" s="27" customFormat="1" hidden="1" outlineLevel="1">
      <c r="B113" s="27" t="s">
        <v>364</v>
      </c>
      <c r="P113" s="375"/>
      <c r="AX113" s="370"/>
      <c r="BB113" s="370"/>
      <c r="BE113" s="10"/>
    </row>
    <row r="114" spans="2:59" s="27" customFormat="1" hidden="1" outlineLevel="1">
      <c r="B114" s="27" t="s">
        <v>365</v>
      </c>
      <c r="P114" s="375"/>
      <c r="AX114" s="370"/>
      <c r="BB114" s="370"/>
      <c r="BE114" s="10"/>
    </row>
    <row r="115" spans="2:59" s="104" customFormat="1" hidden="1" outlineLevel="1">
      <c r="B115" s="104" t="s">
        <v>366</v>
      </c>
      <c r="C115" s="105">
        <v>2960</v>
      </c>
      <c r="D115" s="105">
        <v>2822</v>
      </c>
      <c r="E115" s="105">
        <v>2991</v>
      </c>
      <c r="F115" s="105">
        <v>2964</v>
      </c>
      <c r="G115" s="105">
        <v>3035</v>
      </c>
      <c r="H115" s="105">
        <v>3239</v>
      </c>
      <c r="I115" s="401"/>
      <c r="J115" s="401"/>
      <c r="K115" s="401"/>
      <c r="L115" s="401"/>
      <c r="M115" s="401"/>
      <c r="N115" s="401"/>
      <c r="O115" s="401"/>
      <c r="P115" s="375"/>
      <c r="Q115" s="105">
        <v>2826</v>
      </c>
      <c r="R115" s="105">
        <v>2836</v>
      </c>
      <c r="S115" s="105">
        <v>2889</v>
      </c>
      <c r="T115" s="105">
        <v>2991</v>
      </c>
      <c r="U115" s="105">
        <v>2981</v>
      </c>
      <c r="V115" s="105">
        <v>3009</v>
      </c>
      <c r="W115" s="105">
        <v>2979</v>
      </c>
      <c r="X115" s="105">
        <v>2964</v>
      </c>
      <c r="Y115" s="105">
        <v>2942</v>
      </c>
      <c r="Z115" s="105">
        <v>2928</v>
      </c>
      <c r="AA115" s="105">
        <v>2960</v>
      </c>
      <c r="AB115" s="105">
        <v>3035</v>
      </c>
      <c r="AC115" s="105">
        <v>3062</v>
      </c>
      <c r="AD115" s="105">
        <v>3106</v>
      </c>
      <c r="AE115" s="105">
        <v>3160</v>
      </c>
      <c r="AF115" s="105">
        <v>3239</v>
      </c>
      <c r="AG115" s="105">
        <v>3250</v>
      </c>
      <c r="AH115" s="105">
        <v>3249</v>
      </c>
      <c r="AI115" s="122">
        <v>3249.31</v>
      </c>
      <c r="AJ115" s="401"/>
      <c r="AK115" s="401"/>
      <c r="AL115" s="401"/>
      <c r="AM115" s="401"/>
      <c r="AN115" s="401"/>
      <c r="AO115" s="401"/>
      <c r="AP115" s="401"/>
      <c r="AQ115" s="401"/>
      <c r="AR115" s="401"/>
      <c r="AS115" s="401"/>
      <c r="AT115" s="401"/>
      <c r="AU115" s="401"/>
      <c r="AV115" s="401"/>
      <c r="AW115" s="401"/>
      <c r="AX115" s="370"/>
      <c r="AY115" s="401"/>
      <c r="BB115" s="370"/>
      <c r="BC115" s="401"/>
      <c r="BD115" s="401"/>
      <c r="BE115" s="10"/>
      <c r="BF115" s="401"/>
      <c r="BG115" s="401"/>
    </row>
    <row r="116" spans="2:59" s="104" customFormat="1" hidden="1" outlineLevel="1">
      <c r="B116" s="104" t="s">
        <v>367</v>
      </c>
      <c r="C116" s="105">
        <v>7596</v>
      </c>
      <c r="D116" s="105">
        <v>6724</v>
      </c>
      <c r="E116" s="105">
        <v>6085</v>
      </c>
      <c r="F116" s="105">
        <v>5408</v>
      </c>
      <c r="G116" s="105">
        <v>5642</v>
      </c>
      <c r="H116" s="105">
        <v>6356</v>
      </c>
      <c r="I116" s="401"/>
      <c r="J116" s="401"/>
      <c r="K116" s="401"/>
      <c r="L116" s="401"/>
      <c r="M116" s="401"/>
      <c r="N116" s="401"/>
      <c r="O116" s="401"/>
      <c r="P116" s="375"/>
      <c r="Q116" s="105">
        <v>6771</v>
      </c>
      <c r="R116" s="105">
        <v>6788</v>
      </c>
      <c r="S116" s="105">
        <v>6341</v>
      </c>
      <c r="T116" s="105">
        <v>6085</v>
      </c>
      <c r="U116" s="105">
        <v>5967</v>
      </c>
      <c r="V116" s="105">
        <v>5767</v>
      </c>
      <c r="W116" s="105">
        <v>5644</v>
      </c>
      <c r="X116" s="105">
        <v>5408</v>
      </c>
      <c r="Y116" s="105">
        <v>5040</v>
      </c>
      <c r="Z116" s="105">
        <v>5100</v>
      </c>
      <c r="AA116" s="105">
        <v>5439</v>
      </c>
      <c r="AB116" s="105">
        <v>5642</v>
      </c>
      <c r="AC116" s="105">
        <v>5933</v>
      </c>
      <c r="AD116" s="105">
        <v>6117</v>
      </c>
      <c r="AE116" s="105">
        <v>6220</v>
      </c>
      <c r="AF116" s="105">
        <v>6356</v>
      </c>
      <c r="AG116" s="105">
        <v>6334</v>
      </c>
      <c r="AH116" s="105">
        <v>6252</v>
      </c>
      <c r="AI116" s="122">
        <v>6134.81</v>
      </c>
      <c r="AJ116" s="401"/>
      <c r="AK116" s="401"/>
      <c r="AL116" s="401"/>
      <c r="AM116" s="401"/>
      <c r="AN116" s="401"/>
      <c r="AO116" s="401"/>
      <c r="AP116" s="401"/>
      <c r="AQ116" s="401"/>
      <c r="AR116" s="401"/>
      <c r="AS116" s="401"/>
      <c r="AT116" s="401"/>
      <c r="AU116" s="401"/>
      <c r="AV116" s="401"/>
      <c r="AW116" s="401"/>
      <c r="AX116" s="370"/>
      <c r="AY116" s="401"/>
      <c r="BB116" s="370"/>
      <c r="BC116" s="401"/>
      <c r="BD116" s="401"/>
      <c r="BE116" s="10"/>
      <c r="BF116" s="401"/>
      <c r="BG116" s="401"/>
    </row>
    <row r="117" spans="2:59" s="104" customFormat="1" hidden="1" outlineLevel="1">
      <c r="B117" s="104" t="s">
        <v>31</v>
      </c>
      <c r="C117" s="105">
        <v>10556</v>
      </c>
      <c r="D117" s="105">
        <v>9546</v>
      </c>
      <c r="E117" s="105">
        <v>9076</v>
      </c>
      <c r="F117" s="105">
        <v>8372</v>
      </c>
      <c r="G117" s="105">
        <v>8678</v>
      </c>
      <c r="H117" s="105">
        <v>9595</v>
      </c>
      <c r="I117" s="401"/>
      <c r="J117" s="401"/>
      <c r="K117" s="401"/>
      <c r="L117" s="401"/>
      <c r="M117" s="401"/>
      <c r="N117" s="401"/>
      <c r="O117" s="401"/>
      <c r="P117" s="375"/>
      <c r="Q117" s="105">
        <v>9597</v>
      </c>
      <c r="R117" s="105">
        <v>9624</v>
      </c>
      <c r="S117" s="105">
        <v>9230</v>
      </c>
      <c r="T117" s="105">
        <v>9076</v>
      </c>
      <c r="U117" s="105">
        <v>8948</v>
      </c>
      <c r="V117" s="105">
        <v>8776</v>
      </c>
      <c r="W117" s="105">
        <v>8623</v>
      </c>
      <c r="X117" s="105">
        <v>8372</v>
      </c>
      <c r="Y117" s="105">
        <v>7982</v>
      </c>
      <c r="Z117" s="105">
        <v>8027</v>
      </c>
      <c r="AA117" s="105">
        <v>8400</v>
      </c>
      <c r="AB117" s="105">
        <v>8678</v>
      </c>
      <c r="AC117" s="105">
        <v>8994</v>
      </c>
      <c r="AD117" s="105">
        <v>9223</v>
      </c>
      <c r="AE117" s="105">
        <v>9380</v>
      </c>
      <c r="AF117" s="105">
        <v>9595</v>
      </c>
      <c r="AG117" s="105">
        <v>9584</v>
      </c>
      <c r="AH117" s="105">
        <v>9502</v>
      </c>
      <c r="AI117" s="122">
        <v>9384.1200000000008</v>
      </c>
      <c r="AJ117" s="401"/>
      <c r="AK117" s="401"/>
      <c r="AL117" s="401"/>
      <c r="AM117" s="401"/>
      <c r="AN117" s="401"/>
      <c r="AO117" s="401"/>
      <c r="AP117" s="401"/>
      <c r="AQ117" s="401"/>
      <c r="AR117" s="401"/>
      <c r="AS117" s="401"/>
      <c r="AT117" s="401"/>
      <c r="AU117" s="401"/>
      <c r="AV117" s="401"/>
      <c r="AW117" s="401"/>
      <c r="AX117" s="370"/>
      <c r="AY117" s="401"/>
      <c r="BB117" s="370"/>
      <c r="BC117" s="401"/>
      <c r="BD117" s="401"/>
      <c r="BE117" s="10"/>
      <c r="BF117" s="401"/>
      <c r="BG117" s="401"/>
    </row>
    <row r="118" spans="2:59" s="104" customFormat="1" hidden="1" outlineLevel="1">
      <c r="C118" s="105"/>
      <c r="D118" s="105"/>
      <c r="E118" s="105"/>
      <c r="F118" s="105"/>
      <c r="G118" s="105"/>
      <c r="H118" s="105"/>
      <c r="I118" s="401"/>
      <c r="J118" s="401"/>
      <c r="K118" s="401"/>
      <c r="L118" s="401"/>
      <c r="M118" s="401"/>
      <c r="N118" s="401"/>
      <c r="O118" s="401"/>
      <c r="P118" s="375"/>
      <c r="Q118" s="105"/>
      <c r="R118" s="105"/>
      <c r="S118" s="105"/>
      <c r="T118" s="105"/>
      <c r="U118" s="105"/>
      <c r="V118" s="105"/>
      <c r="W118" s="105"/>
      <c r="X118" s="105"/>
      <c r="Y118" s="105"/>
      <c r="Z118" s="105"/>
      <c r="AA118" s="105"/>
      <c r="AB118" s="105"/>
      <c r="AC118" s="105"/>
      <c r="AD118" s="105"/>
      <c r="AE118" s="105"/>
      <c r="AF118" s="105"/>
      <c r="AG118" s="105"/>
      <c r="AH118" s="105" t="s">
        <v>368</v>
      </c>
      <c r="AI118" s="105"/>
      <c r="AJ118" s="401"/>
      <c r="AK118" s="401"/>
      <c r="AL118" s="401"/>
      <c r="AM118" s="401"/>
      <c r="AN118" s="401"/>
      <c r="AO118" s="401"/>
      <c r="AP118" s="401"/>
      <c r="AQ118" s="401"/>
      <c r="AR118" s="401"/>
      <c r="AS118" s="401"/>
      <c r="AT118" s="401"/>
      <c r="AU118" s="401"/>
      <c r="AV118" s="401"/>
      <c r="AW118" s="401"/>
      <c r="AX118" s="370"/>
      <c r="AY118" s="401"/>
      <c r="BB118" s="370"/>
      <c r="BC118" s="401"/>
      <c r="BD118" s="401"/>
      <c r="BE118" s="10"/>
      <c r="BF118" s="401"/>
      <c r="BG118" s="401"/>
    </row>
    <row r="119" spans="2:59" s="104" customFormat="1" hidden="1" outlineLevel="1">
      <c r="B119" s="104" t="s">
        <v>369</v>
      </c>
      <c r="C119" s="103">
        <v>0.61899999999999999</v>
      </c>
      <c r="D119" s="103">
        <v>0.70299999999999996</v>
      </c>
      <c r="E119" s="103">
        <v>0.72989999999999999</v>
      </c>
      <c r="F119" s="103">
        <v>0.77100000000000002</v>
      </c>
      <c r="G119" s="103">
        <v>0.80649999999999999</v>
      </c>
      <c r="H119" s="103">
        <v>0.83299999999999996</v>
      </c>
      <c r="I119" s="401"/>
      <c r="J119" s="401"/>
      <c r="K119" s="401"/>
      <c r="L119" s="401"/>
      <c r="M119" s="401"/>
      <c r="N119" s="401"/>
      <c r="O119" s="401"/>
      <c r="P119" s="375"/>
      <c r="Q119" s="103">
        <v>0.71150000000000002</v>
      </c>
      <c r="R119" s="103">
        <v>0.7117</v>
      </c>
      <c r="S119" s="103">
        <v>0.71850000000000003</v>
      </c>
      <c r="T119" s="103">
        <v>0.72989999999999999</v>
      </c>
      <c r="U119" s="103">
        <v>0.77</v>
      </c>
      <c r="V119" s="103">
        <v>0.76239999999999997</v>
      </c>
      <c r="W119" s="103">
        <v>0.76160000000000005</v>
      </c>
      <c r="X119" s="103">
        <v>0.77100000000000002</v>
      </c>
      <c r="Y119" s="103">
        <v>0.78100000000000003</v>
      </c>
      <c r="Z119" s="103">
        <v>0.80779999999999996</v>
      </c>
      <c r="AA119" s="103">
        <v>0.8054</v>
      </c>
      <c r="AB119" s="103">
        <v>0.80649999999999999</v>
      </c>
      <c r="AC119" s="103">
        <v>0.81599999999999995</v>
      </c>
      <c r="AD119" s="103">
        <v>0.81699999999999995</v>
      </c>
      <c r="AE119" s="103">
        <v>0.82269999999999999</v>
      </c>
      <c r="AF119" s="103">
        <v>0.83299999999999996</v>
      </c>
      <c r="AG119" s="103">
        <v>0.82709999999999995</v>
      </c>
      <c r="AH119" s="103">
        <v>0.8367</v>
      </c>
      <c r="AI119" s="103">
        <v>0.84499999999999997</v>
      </c>
      <c r="AJ119" s="401"/>
      <c r="AK119" s="401"/>
      <c r="AL119" s="401"/>
      <c r="AM119" s="401"/>
      <c r="AN119" s="401"/>
      <c r="AO119" s="401"/>
      <c r="AP119" s="401"/>
      <c r="AQ119" s="401"/>
      <c r="AR119" s="401"/>
      <c r="AS119" s="401"/>
      <c r="AT119" s="401"/>
      <c r="AU119" s="401"/>
      <c r="AV119" s="401"/>
      <c r="AW119" s="401"/>
      <c r="AX119" s="370"/>
      <c r="AY119" s="401"/>
      <c r="BB119" s="370"/>
      <c r="BC119" s="401"/>
      <c r="BD119" s="401"/>
      <c r="BE119" s="10"/>
      <c r="BF119" s="401"/>
      <c r="BG119" s="401"/>
    </row>
    <row r="120" spans="2:59" s="104" customFormat="1" hidden="1" outlineLevel="1">
      <c r="C120" s="105"/>
      <c r="D120" s="105"/>
      <c r="E120" s="105"/>
      <c r="F120" s="105"/>
      <c r="G120" s="105"/>
      <c r="H120" s="105"/>
      <c r="I120" s="401"/>
      <c r="J120" s="401"/>
      <c r="K120" s="401"/>
      <c r="L120" s="401"/>
      <c r="M120" s="401"/>
      <c r="N120" s="401"/>
      <c r="O120" s="401"/>
      <c r="P120" s="375"/>
      <c r="Q120" s="105"/>
      <c r="R120" s="105"/>
      <c r="S120" s="105"/>
      <c r="T120" s="105"/>
      <c r="U120" s="105"/>
      <c r="V120" s="105"/>
      <c r="W120" s="105"/>
      <c r="X120" s="105"/>
      <c r="Y120" s="105"/>
      <c r="Z120" s="105"/>
      <c r="AA120" s="105"/>
      <c r="AB120" s="105"/>
      <c r="AC120" s="105"/>
      <c r="AD120" s="105"/>
      <c r="AE120" s="105"/>
      <c r="AF120" s="105"/>
      <c r="AG120" s="105"/>
      <c r="AH120" s="105"/>
      <c r="AI120" s="105"/>
      <c r="AJ120" s="401"/>
      <c r="AK120" s="401"/>
      <c r="AL120" s="401"/>
      <c r="AM120" s="401"/>
      <c r="AN120" s="401"/>
      <c r="AO120" s="401"/>
      <c r="AP120" s="401"/>
      <c r="AQ120" s="401"/>
      <c r="AR120" s="401"/>
      <c r="AS120" s="401"/>
      <c r="AT120" s="401"/>
      <c r="AU120" s="401"/>
      <c r="AV120" s="401"/>
      <c r="AW120" s="401"/>
      <c r="AX120" s="370"/>
      <c r="AY120" s="401"/>
      <c r="BB120" s="370"/>
      <c r="BC120" s="401"/>
      <c r="BD120" s="401"/>
      <c r="BE120" s="10"/>
      <c r="BF120" s="401"/>
      <c r="BG120" s="401"/>
    </row>
    <row r="121" spans="2:59" s="27" customFormat="1" hidden="1" outlineLevel="1">
      <c r="B121" s="27" t="s">
        <v>370</v>
      </c>
      <c r="C121" s="105"/>
      <c r="D121" s="105"/>
      <c r="E121" s="105"/>
      <c r="F121" s="105"/>
      <c r="G121" s="105"/>
      <c r="H121" s="105"/>
      <c r="I121" s="401"/>
      <c r="J121" s="401"/>
      <c r="K121" s="401"/>
      <c r="L121" s="401"/>
      <c r="M121" s="401"/>
      <c r="N121" s="401"/>
      <c r="O121" s="401"/>
      <c r="P121" s="375"/>
      <c r="Q121" s="105"/>
      <c r="R121" s="105"/>
      <c r="S121" s="105"/>
      <c r="T121" s="105"/>
      <c r="U121" s="105"/>
      <c r="V121" s="105"/>
      <c r="W121" s="105"/>
      <c r="X121" s="105"/>
      <c r="Y121" s="105"/>
      <c r="Z121" s="105"/>
      <c r="AA121" s="105"/>
      <c r="AB121" s="105"/>
      <c r="AC121" s="105"/>
      <c r="AD121" s="105"/>
      <c r="AE121" s="105"/>
      <c r="AF121" s="105"/>
      <c r="AG121" s="105"/>
      <c r="AH121" s="105"/>
      <c r="AI121" s="105"/>
      <c r="AJ121" s="401"/>
      <c r="AK121" s="401"/>
      <c r="AL121" s="401"/>
      <c r="AM121" s="401"/>
      <c r="AN121" s="401"/>
      <c r="AO121" s="401"/>
      <c r="AP121" s="401"/>
      <c r="AQ121" s="401"/>
      <c r="AR121" s="401"/>
      <c r="AS121" s="401"/>
      <c r="AT121" s="401"/>
      <c r="AU121" s="401"/>
      <c r="AV121" s="401"/>
      <c r="AW121" s="401"/>
      <c r="AX121" s="370"/>
      <c r="AY121" s="401"/>
      <c r="BB121" s="370"/>
      <c r="BC121" s="401"/>
      <c r="BD121" s="401"/>
      <c r="BE121" s="10"/>
      <c r="BF121" s="401"/>
      <c r="BG121" s="401"/>
    </row>
    <row r="122" spans="2:59" s="104" customFormat="1" hidden="1" outlineLevel="1">
      <c r="B122" s="104" t="s">
        <v>366</v>
      </c>
      <c r="C122" s="105">
        <v>78</v>
      </c>
      <c r="D122" s="105">
        <v>84</v>
      </c>
      <c r="E122" s="105">
        <v>86</v>
      </c>
      <c r="F122" s="105">
        <v>86</v>
      </c>
      <c r="G122" s="105">
        <v>84</v>
      </c>
      <c r="H122" s="105">
        <v>82</v>
      </c>
      <c r="I122" s="401"/>
      <c r="J122" s="401"/>
      <c r="K122" s="401"/>
      <c r="L122" s="401"/>
      <c r="M122" s="401"/>
      <c r="N122" s="401"/>
      <c r="O122" s="401"/>
      <c r="P122" s="375"/>
      <c r="Q122" s="105">
        <v>85</v>
      </c>
      <c r="R122" s="105">
        <v>84</v>
      </c>
      <c r="S122" s="105">
        <v>86</v>
      </c>
      <c r="T122" s="105">
        <v>87</v>
      </c>
      <c r="U122" s="105">
        <v>84</v>
      </c>
      <c r="V122" s="105">
        <v>85</v>
      </c>
      <c r="W122" s="105">
        <v>86</v>
      </c>
      <c r="X122" s="105">
        <v>88</v>
      </c>
      <c r="Y122" s="105">
        <v>85</v>
      </c>
      <c r="Z122" s="105">
        <v>84</v>
      </c>
      <c r="AA122" s="105">
        <v>84</v>
      </c>
      <c r="AB122" s="105">
        <v>84</v>
      </c>
      <c r="AC122" s="105">
        <v>83</v>
      </c>
      <c r="AD122" s="105">
        <v>83</v>
      </c>
      <c r="AE122" s="105">
        <v>82</v>
      </c>
      <c r="AF122" s="105">
        <v>81</v>
      </c>
      <c r="AG122" s="105">
        <v>80</v>
      </c>
      <c r="AH122" s="105">
        <v>80</v>
      </c>
      <c r="AI122" s="105">
        <v>81</v>
      </c>
      <c r="AJ122" s="401"/>
      <c r="AK122" s="401"/>
      <c r="AL122" s="401"/>
      <c r="AM122" s="401"/>
      <c r="AN122" s="401"/>
      <c r="AO122" s="401"/>
      <c r="AP122" s="401"/>
      <c r="AQ122" s="401"/>
      <c r="AR122" s="401"/>
      <c r="AS122" s="401"/>
      <c r="AT122" s="401"/>
      <c r="AU122" s="401"/>
      <c r="AV122" s="401"/>
      <c r="AW122" s="401"/>
      <c r="AX122" s="370"/>
      <c r="AY122" s="401"/>
      <c r="BB122" s="370"/>
      <c r="BC122" s="401"/>
      <c r="BD122" s="401"/>
      <c r="BE122" s="10"/>
      <c r="BF122" s="401"/>
      <c r="BG122" s="401"/>
    </row>
    <row r="123" spans="2:59" s="104" customFormat="1" hidden="1" outlineLevel="1">
      <c r="B123" s="104" t="s">
        <v>367</v>
      </c>
      <c r="C123" s="105">
        <v>30</v>
      </c>
      <c r="D123" s="105">
        <v>32</v>
      </c>
      <c r="E123" s="105">
        <v>35</v>
      </c>
      <c r="F123" s="105">
        <v>36</v>
      </c>
      <c r="G123" s="105">
        <v>31</v>
      </c>
      <c r="H123" s="105">
        <v>30</v>
      </c>
      <c r="I123" s="401"/>
      <c r="J123" s="401"/>
      <c r="K123" s="401"/>
      <c r="L123" s="401"/>
      <c r="M123" s="401"/>
      <c r="N123" s="401"/>
      <c r="O123" s="401"/>
      <c r="P123" s="375"/>
      <c r="Q123" s="105">
        <v>34</v>
      </c>
      <c r="R123" s="105">
        <v>35</v>
      </c>
      <c r="S123" s="105">
        <v>34</v>
      </c>
      <c r="T123" s="105">
        <v>36</v>
      </c>
      <c r="U123" s="105">
        <v>34</v>
      </c>
      <c r="V123" s="105">
        <v>37</v>
      </c>
      <c r="W123" s="105">
        <v>36</v>
      </c>
      <c r="X123" s="105">
        <v>36</v>
      </c>
      <c r="Y123" s="105">
        <v>32</v>
      </c>
      <c r="Z123" s="105">
        <v>30</v>
      </c>
      <c r="AA123" s="105">
        <v>32</v>
      </c>
      <c r="AB123" s="105">
        <v>30</v>
      </c>
      <c r="AC123" s="105">
        <v>30</v>
      </c>
      <c r="AD123" s="105">
        <v>30</v>
      </c>
      <c r="AE123" s="105">
        <v>30</v>
      </c>
      <c r="AF123" s="105">
        <v>30</v>
      </c>
      <c r="AG123" s="105">
        <v>29</v>
      </c>
      <c r="AH123" s="105">
        <v>30</v>
      </c>
      <c r="AI123" s="105">
        <v>31</v>
      </c>
      <c r="AJ123" s="401"/>
      <c r="AK123" s="401"/>
      <c r="AL123" s="401"/>
      <c r="AM123" s="401"/>
      <c r="AN123" s="401"/>
      <c r="AO123" s="401"/>
      <c r="AP123" s="401"/>
      <c r="AQ123" s="401"/>
      <c r="AR123" s="401"/>
      <c r="AS123" s="401"/>
      <c r="AT123" s="401"/>
      <c r="AU123" s="401"/>
      <c r="AV123" s="401"/>
      <c r="AW123" s="401"/>
      <c r="AX123" s="370"/>
      <c r="AY123" s="401"/>
      <c r="BB123" s="370"/>
      <c r="BC123" s="401"/>
      <c r="BD123" s="401"/>
      <c r="BE123" s="10"/>
      <c r="BF123" s="401"/>
      <c r="BG123" s="401"/>
    </row>
    <row r="124" spans="2:59" s="104" customFormat="1" hidden="1" outlineLevel="1">
      <c r="B124" s="104" t="s">
        <v>371</v>
      </c>
      <c r="C124" s="105">
        <v>41</v>
      </c>
      <c r="D124" s="105">
        <v>45</v>
      </c>
      <c r="E124" s="105">
        <v>48</v>
      </c>
      <c r="F124" s="105">
        <v>51</v>
      </c>
      <c r="G124" s="105">
        <v>48</v>
      </c>
      <c r="H124" s="105">
        <v>45</v>
      </c>
      <c r="I124" s="401"/>
      <c r="J124" s="401"/>
      <c r="K124" s="401"/>
      <c r="L124" s="401"/>
      <c r="M124" s="401"/>
      <c r="N124" s="401"/>
      <c r="O124" s="401"/>
      <c r="P124" s="375"/>
      <c r="Q124" s="105">
        <v>47</v>
      </c>
      <c r="R124" s="105">
        <v>48</v>
      </c>
      <c r="S124" s="105">
        <v>48</v>
      </c>
      <c r="T124" s="105">
        <v>50</v>
      </c>
      <c r="U124" s="105">
        <v>49</v>
      </c>
      <c r="V124" s="105">
        <v>51</v>
      </c>
      <c r="W124" s="105">
        <v>52</v>
      </c>
      <c r="X124" s="105">
        <v>53</v>
      </c>
      <c r="Y124" s="105">
        <v>48</v>
      </c>
      <c r="Z124" s="105">
        <v>47</v>
      </c>
      <c r="AA124" s="105">
        <v>48</v>
      </c>
      <c r="AB124" s="105">
        <v>46</v>
      </c>
      <c r="AC124" s="105">
        <v>45</v>
      </c>
      <c r="AD124" s="105">
        <v>47</v>
      </c>
      <c r="AE124" s="105">
        <v>45</v>
      </c>
      <c r="AF124" s="105">
        <v>45</v>
      </c>
      <c r="AG124" s="105">
        <v>43</v>
      </c>
      <c r="AH124" s="105">
        <v>44</v>
      </c>
      <c r="AI124" s="105">
        <v>45</v>
      </c>
      <c r="AJ124" s="401"/>
      <c r="AK124" s="401"/>
      <c r="AL124" s="401"/>
      <c r="AM124" s="401"/>
      <c r="AN124" s="401"/>
      <c r="AO124" s="401"/>
      <c r="AP124" s="401"/>
      <c r="AQ124" s="401"/>
      <c r="AR124" s="401"/>
      <c r="AS124" s="401"/>
      <c r="AT124" s="401"/>
      <c r="AU124" s="401"/>
      <c r="AV124" s="401"/>
      <c r="AW124" s="401"/>
      <c r="AX124" s="370"/>
      <c r="AY124" s="401"/>
      <c r="BB124" s="370"/>
      <c r="BC124" s="401"/>
      <c r="BD124" s="401"/>
      <c r="BE124" s="10"/>
      <c r="BF124" s="401"/>
      <c r="BG124" s="401"/>
    </row>
    <row r="125" spans="2:59" s="104" customFormat="1" hidden="1" outlineLevel="1">
      <c r="I125" s="401"/>
      <c r="J125" s="401"/>
      <c r="K125" s="401"/>
      <c r="L125" s="401"/>
      <c r="M125" s="401"/>
      <c r="N125" s="401"/>
      <c r="O125" s="401"/>
      <c r="P125" s="375"/>
      <c r="AJ125" s="401"/>
      <c r="AK125" s="401"/>
      <c r="AL125" s="401"/>
      <c r="AM125" s="401"/>
      <c r="AN125" s="401"/>
      <c r="AO125" s="401"/>
      <c r="AP125" s="401"/>
      <c r="AQ125" s="401"/>
      <c r="AR125" s="401"/>
      <c r="AS125" s="401"/>
      <c r="AT125" s="401"/>
      <c r="AU125" s="401"/>
      <c r="AV125" s="401"/>
      <c r="AW125" s="401"/>
      <c r="AX125" s="370"/>
      <c r="AY125" s="401"/>
      <c r="BB125" s="370"/>
      <c r="BC125" s="401"/>
      <c r="BD125" s="401"/>
      <c r="BE125" s="10"/>
      <c r="BF125" s="401"/>
      <c r="BG125" s="401"/>
    </row>
    <row r="126" spans="2:59" s="27" customFormat="1" hidden="1" outlineLevel="1">
      <c r="B126" s="27" t="s">
        <v>372</v>
      </c>
      <c r="I126" s="401"/>
      <c r="J126" s="401"/>
      <c r="K126" s="401"/>
      <c r="L126" s="401"/>
      <c r="M126" s="401"/>
      <c r="N126" s="401"/>
      <c r="O126" s="401"/>
      <c r="P126" s="375"/>
      <c r="AJ126" s="401"/>
      <c r="AK126" s="401"/>
      <c r="AL126" s="401"/>
      <c r="AM126" s="401"/>
      <c r="AN126" s="401"/>
      <c r="AO126" s="401"/>
      <c r="AP126" s="401"/>
      <c r="AQ126" s="401"/>
      <c r="AR126" s="401"/>
      <c r="AS126" s="401"/>
      <c r="AT126" s="401"/>
      <c r="AU126" s="401"/>
      <c r="AV126" s="401"/>
      <c r="AW126" s="401"/>
      <c r="AX126" s="370"/>
      <c r="AY126" s="401"/>
      <c r="BB126" s="370"/>
      <c r="BC126" s="401"/>
      <c r="BD126" s="401"/>
      <c r="BE126" s="10"/>
      <c r="BF126" s="401"/>
      <c r="BG126" s="401"/>
    </row>
    <row r="127" spans="2:59" s="104" customFormat="1" hidden="1" outlineLevel="1">
      <c r="B127" s="104" t="s">
        <v>373</v>
      </c>
      <c r="C127" s="105">
        <v>243.4</v>
      </c>
      <c r="D127" s="105">
        <v>528.5</v>
      </c>
      <c r="E127" s="105">
        <v>841.6</v>
      </c>
      <c r="F127" s="105">
        <v>1083</v>
      </c>
      <c r="G127" s="105">
        <v>1456.9</v>
      </c>
      <c r="H127" s="105">
        <v>2168.5</v>
      </c>
      <c r="I127" s="401"/>
      <c r="J127" s="401"/>
      <c r="K127" s="401"/>
      <c r="L127" s="401"/>
      <c r="M127" s="401"/>
      <c r="N127" s="401"/>
      <c r="O127" s="401"/>
      <c r="P127" s="375"/>
      <c r="Q127" s="105">
        <v>169.44</v>
      </c>
      <c r="R127" s="105">
        <v>197.17</v>
      </c>
      <c r="S127" s="105">
        <v>219.64</v>
      </c>
      <c r="T127" s="105">
        <v>255.35</v>
      </c>
      <c r="U127" s="105">
        <v>254.48</v>
      </c>
      <c r="V127" s="105">
        <v>264.55</v>
      </c>
      <c r="W127" s="105">
        <v>277.10000000000002</v>
      </c>
      <c r="X127" s="105">
        <v>286.89999999999998</v>
      </c>
      <c r="Y127" s="175">
        <v>280.7</v>
      </c>
      <c r="Z127" s="175">
        <v>367.56</v>
      </c>
      <c r="AA127" s="175">
        <v>377.24</v>
      </c>
      <c r="AB127" s="175">
        <v>431.4</v>
      </c>
      <c r="AC127" s="175">
        <v>474.488</v>
      </c>
      <c r="AD127" s="175">
        <v>536</v>
      </c>
      <c r="AE127" s="175">
        <v>581.9</v>
      </c>
      <c r="AF127" s="175">
        <v>576.20000000000005</v>
      </c>
      <c r="AG127" s="175">
        <v>571.02</v>
      </c>
      <c r="AH127" s="175">
        <v>585.52</v>
      </c>
      <c r="AI127" s="175">
        <v>621.62</v>
      </c>
      <c r="AJ127" s="401"/>
      <c r="AK127" s="401"/>
      <c r="AL127" s="401"/>
      <c r="AM127" s="401"/>
      <c r="AN127" s="401"/>
      <c r="AO127" s="401"/>
      <c r="AP127" s="401"/>
      <c r="AQ127" s="401"/>
      <c r="AR127" s="401"/>
      <c r="AS127" s="401"/>
      <c r="AT127" s="401"/>
      <c r="AU127" s="401"/>
      <c r="AV127" s="401"/>
      <c r="AW127" s="401"/>
      <c r="AX127" s="370"/>
      <c r="AY127" s="401"/>
      <c r="BB127" s="370"/>
      <c r="BC127" s="401"/>
      <c r="BD127" s="401"/>
      <c r="BE127" s="10"/>
      <c r="BF127" s="401"/>
      <c r="BG127" s="401"/>
    </row>
    <row r="128" spans="2:59" s="104" customFormat="1" hidden="1" outlineLevel="1">
      <c r="B128" s="104" t="s">
        <v>374</v>
      </c>
      <c r="C128" s="105">
        <v>3.1</v>
      </c>
      <c r="D128" s="105">
        <v>6.7</v>
      </c>
      <c r="E128" s="105">
        <v>10.4</v>
      </c>
      <c r="F128" s="105">
        <v>13.7</v>
      </c>
      <c r="G128" s="105">
        <v>18.5</v>
      </c>
      <c r="H128" s="105">
        <v>23.9</v>
      </c>
      <c r="I128" s="401"/>
      <c r="J128" s="401"/>
      <c r="K128" s="401"/>
      <c r="L128" s="401"/>
      <c r="M128" s="401"/>
      <c r="N128" s="401"/>
      <c r="O128" s="401"/>
      <c r="P128" s="375"/>
      <c r="Q128" s="105">
        <v>8.3000000000000007</v>
      </c>
      <c r="R128" s="105">
        <v>9.6</v>
      </c>
      <c r="S128" s="105">
        <v>10.9</v>
      </c>
      <c r="T128" s="105">
        <v>12.9</v>
      </c>
      <c r="U128" s="105">
        <v>12.5</v>
      </c>
      <c r="V128" s="105">
        <v>13.3</v>
      </c>
      <c r="W128" s="105">
        <v>14</v>
      </c>
      <c r="X128" s="105">
        <v>14.9</v>
      </c>
      <c r="Y128" s="175">
        <v>14.9</v>
      </c>
      <c r="Z128" s="175">
        <v>19.648</v>
      </c>
      <c r="AA128" s="175">
        <v>18.5</v>
      </c>
      <c r="AB128" s="175">
        <v>20.8</v>
      </c>
      <c r="AC128" s="175">
        <v>21.84</v>
      </c>
      <c r="AD128" s="175">
        <v>23.9</v>
      </c>
      <c r="AE128" s="175">
        <v>25.4</v>
      </c>
      <c r="AF128" s="175">
        <v>24.3</v>
      </c>
      <c r="AG128" s="175">
        <v>23.89</v>
      </c>
      <c r="AH128" s="175">
        <v>24.6</v>
      </c>
      <c r="AI128" s="175">
        <v>26.19</v>
      </c>
      <c r="AJ128" s="401"/>
      <c r="AK128" s="401"/>
      <c r="AL128" s="401"/>
      <c r="AM128" s="401"/>
      <c r="AN128" s="401"/>
      <c r="AO128" s="401"/>
      <c r="AP128" s="401"/>
      <c r="AQ128" s="401"/>
      <c r="AR128" s="401"/>
      <c r="AS128" s="401"/>
      <c r="AT128" s="401"/>
      <c r="AU128" s="401"/>
      <c r="AV128" s="401"/>
      <c r="AW128" s="401"/>
      <c r="AX128" s="370"/>
      <c r="AY128" s="401"/>
      <c r="BB128" s="370"/>
      <c r="BC128" s="401"/>
      <c r="BD128" s="401"/>
      <c r="BE128" s="10"/>
      <c r="BF128" s="401"/>
      <c r="BG128" s="401"/>
    </row>
    <row r="129" spans="1:59" s="104" customFormat="1" hidden="1" outlineLevel="1">
      <c r="I129" s="401"/>
      <c r="J129" s="401"/>
      <c r="K129" s="401"/>
      <c r="L129" s="401"/>
      <c r="M129" s="401"/>
      <c r="N129" s="401"/>
      <c r="O129" s="401"/>
      <c r="P129" s="375"/>
      <c r="AH129" s="104" t="s">
        <v>368</v>
      </c>
      <c r="AJ129" s="401"/>
      <c r="AK129" s="401"/>
      <c r="AL129" s="401"/>
      <c r="AM129" s="401"/>
      <c r="AN129" s="401"/>
      <c r="AO129" s="401"/>
      <c r="AP129" s="401"/>
      <c r="AQ129" s="401"/>
      <c r="AR129" s="401"/>
      <c r="AS129" s="401"/>
      <c r="AT129" s="401"/>
      <c r="AU129" s="401"/>
      <c r="AV129" s="401"/>
      <c r="AW129" s="401"/>
      <c r="AX129" s="370"/>
      <c r="AY129" s="401"/>
      <c r="BB129" s="370"/>
      <c r="BC129" s="401"/>
      <c r="BD129" s="401"/>
      <c r="BE129" s="10"/>
      <c r="BF129" s="401"/>
      <c r="BG129" s="401"/>
    </row>
    <row r="130" spans="1:59" s="104" customFormat="1" hidden="1" outlineLevel="1">
      <c r="B130" s="104" t="s">
        <v>375</v>
      </c>
      <c r="C130" s="99">
        <v>0.64</v>
      </c>
      <c r="D130" s="99">
        <v>0.74</v>
      </c>
      <c r="E130" s="99">
        <v>0.78</v>
      </c>
      <c r="F130" s="99">
        <v>0.84</v>
      </c>
      <c r="G130" s="99">
        <v>0.88</v>
      </c>
      <c r="H130" s="99">
        <v>0.92</v>
      </c>
      <c r="I130" s="401"/>
      <c r="J130" s="401"/>
      <c r="K130" s="401"/>
      <c r="L130" s="401"/>
      <c r="M130" s="401"/>
      <c r="N130" s="401"/>
      <c r="O130" s="401"/>
      <c r="P130" s="375"/>
      <c r="Q130" s="99">
        <v>0.75</v>
      </c>
      <c r="R130" s="99">
        <v>0.76</v>
      </c>
      <c r="S130" s="99">
        <v>0.78</v>
      </c>
      <c r="T130" s="99">
        <v>0.78</v>
      </c>
      <c r="U130" s="99">
        <v>0.8</v>
      </c>
      <c r="V130" s="99">
        <v>0.82</v>
      </c>
      <c r="W130" s="99">
        <v>0.83</v>
      </c>
      <c r="X130" s="99">
        <v>0.84</v>
      </c>
      <c r="Y130" s="99">
        <v>0.85</v>
      </c>
      <c r="Z130" s="99">
        <v>0.85</v>
      </c>
      <c r="AA130" s="99">
        <v>0.86</v>
      </c>
      <c r="AB130" s="99">
        <v>0.88</v>
      </c>
      <c r="AC130" s="99">
        <v>0.89</v>
      </c>
      <c r="AD130" s="99">
        <v>0.9</v>
      </c>
      <c r="AE130" s="99">
        <v>0.91</v>
      </c>
      <c r="AF130" s="99">
        <v>0.92</v>
      </c>
      <c r="AG130" s="99">
        <v>0.92600000000000005</v>
      </c>
      <c r="AH130" s="99">
        <v>0.93159999999999998</v>
      </c>
      <c r="AI130" s="99">
        <v>0.93600000000000005</v>
      </c>
      <c r="AJ130" s="401"/>
      <c r="AK130" s="401"/>
      <c r="AL130" s="401"/>
      <c r="AM130" s="401"/>
      <c r="AN130" s="401"/>
      <c r="AO130" s="401"/>
      <c r="AP130" s="401"/>
      <c r="AQ130" s="401"/>
      <c r="AR130" s="401"/>
      <c r="AS130" s="401"/>
      <c r="AT130" s="401"/>
      <c r="AU130" s="401"/>
      <c r="AV130" s="401"/>
      <c r="AW130" s="401"/>
      <c r="AX130" s="370"/>
      <c r="AY130" s="401"/>
      <c r="BB130" s="370"/>
      <c r="BC130" s="401"/>
      <c r="BD130" s="401"/>
      <c r="BE130" s="10"/>
      <c r="BF130" s="401"/>
      <c r="BG130" s="401"/>
    </row>
    <row r="131" spans="1:59" s="104" customFormat="1" hidden="1" outlineLevel="1">
      <c r="B131" s="104" t="s">
        <v>376</v>
      </c>
      <c r="C131" s="99">
        <v>0.76</v>
      </c>
      <c r="D131" s="99">
        <v>0.87</v>
      </c>
      <c r="E131" s="99">
        <v>0.91</v>
      </c>
      <c r="F131" s="99">
        <v>0.93</v>
      </c>
      <c r="G131" s="99">
        <v>0.92</v>
      </c>
      <c r="H131" s="99">
        <v>0.94</v>
      </c>
      <c r="I131" s="401"/>
      <c r="J131" s="401"/>
      <c r="K131" s="401"/>
      <c r="L131" s="401"/>
      <c r="M131" s="401"/>
      <c r="N131" s="401"/>
      <c r="O131" s="401"/>
      <c r="P131" s="375"/>
      <c r="Q131" s="99">
        <v>0.88</v>
      </c>
      <c r="R131" s="99">
        <v>0.89</v>
      </c>
      <c r="S131" s="99">
        <v>0.9</v>
      </c>
      <c r="T131" s="99">
        <v>0.91</v>
      </c>
      <c r="U131" s="99">
        <v>0.93</v>
      </c>
      <c r="V131" s="99">
        <v>0.93</v>
      </c>
      <c r="W131" s="99">
        <v>0.93</v>
      </c>
      <c r="X131" s="99">
        <v>0.93</v>
      </c>
      <c r="Y131" s="99">
        <v>0.93</v>
      </c>
      <c r="Z131" s="99">
        <v>0.93</v>
      </c>
      <c r="AA131" s="99">
        <v>0.93500000000000005</v>
      </c>
      <c r="AB131" s="99">
        <v>0.92</v>
      </c>
      <c r="AC131" s="99">
        <v>0.93</v>
      </c>
      <c r="AD131" s="99">
        <v>0.93</v>
      </c>
      <c r="AE131" s="99">
        <v>0.94</v>
      </c>
      <c r="AF131" s="99">
        <v>0.94</v>
      </c>
      <c r="AG131" s="99">
        <v>0.95860000000000001</v>
      </c>
      <c r="AH131" s="99">
        <v>0.96209999999999996</v>
      </c>
      <c r="AI131" s="99">
        <v>0.96350000000000002</v>
      </c>
      <c r="AJ131" s="401"/>
      <c r="AK131" s="401"/>
      <c r="AL131" s="401"/>
      <c r="AM131" s="401"/>
      <c r="AN131" s="401"/>
      <c r="AO131" s="401"/>
      <c r="AP131" s="401"/>
      <c r="AQ131" s="401"/>
      <c r="AR131" s="401"/>
      <c r="AS131" s="401"/>
      <c r="AT131" s="401"/>
      <c r="AU131" s="401"/>
      <c r="AV131" s="401"/>
      <c r="AW131" s="401"/>
      <c r="AX131" s="370"/>
      <c r="AY131" s="401"/>
      <c r="BB131" s="370"/>
      <c r="BC131" s="401"/>
      <c r="BD131" s="401"/>
      <c r="BE131" s="10"/>
      <c r="BF131" s="401"/>
      <c r="BG131" s="401"/>
    </row>
    <row r="132" spans="1:59" s="104" customFormat="1" hidden="1" outlineLevel="1">
      <c r="B132" s="104" t="s">
        <v>377</v>
      </c>
      <c r="C132" s="372"/>
      <c r="D132" s="99">
        <v>0.74</v>
      </c>
      <c r="E132" s="99">
        <v>0.78</v>
      </c>
      <c r="F132" s="99">
        <v>0.81</v>
      </c>
      <c r="G132" s="99">
        <v>0.86</v>
      </c>
      <c r="H132" s="99">
        <v>0.9</v>
      </c>
      <c r="I132" s="401"/>
      <c r="J132" s="401"/>
      <c r="K132" s="401"/>
      <c r="L132" s="401"/>
      <c r="M132" s="401"/>
      <c r="N132" s="401"/>
      <c r="O132" s="401"/>
      <c r="P132" s="375"/>
      <c r="Q132" s="99">
        <v>0.76</v>
      </c>
      <c r="R132" s="99">
        <v>0.76</v>
      </c>
      <c r="S132" s="99">
        <v>0.78</v>
      </c>
      <c r="T132" s="99">
        <v>0.78</v>
      </c>
      <c r="U132" s="99">
        <v>0.81</v>
      </c>
      <c r="V132" s="99">
        <v>0.81</v>
      </c>
      <c r="W132" s="99">
        <v>0.81</v>
      </c>
      <c r="X132" s="99">
        <v>0.81</v>
      </c>
      <c r="Y132" s="99">
        <v>0.81</v>
      </c>
      <c r="Z132" s="99">
        <v>0.81</v>
      </c>
      <c r="AA132" s="99">
        <v>0.8368000000000001</v>
      </c>
      <c r="AB132" s="99">
        <v>0.86</v>
      </c>
      <c r="AC132" s="99">
        <v>0.89</v>
      </c>
      <c r="AD132" s="99">
        <v>0.9</v>
      </c>
      <c r="AE132" s="99">
        <v>0.9</v>
      </c>
      <c r="AF132" s="99">
        <v>0.9</v>
      </c>
      <c r="AG132" s="99">
        <v>0.89890000000000003</v>
      </c>
      <c r="AH132" s="99">
        <v>0.90200000000000002</v>
      </c>
      <c r="AI132" s="99">
        <v>0.90290000000000004</v>
      </c>
      <c r="AJ132" s="401"/>
      <c r="AK132" s="401"/>
      <c r="AL132" s="401"/>
      <c r="AM132" s="401"/>
      <c r="AN132" s="401"/>
      <c r="AO132" s="401"/>
      <c r="AP132" s="401"/>
      <c r="AQ132" s="401"/>
      <c r="AR132" s="401"/>
      <c r="AS132" s="401"/>
      <c r="AT132" s="401"/>
      <c r="AU132" s="401"/>
      <c r="AV132" s="401"/>
      <c r="AW132" s="401"/>
      <c r="AX132" s="370"/>
      <c r="AY132" s="401"/>
      <c r="BB132" s="370"/>
      <c r="BC132" s="401"/>
      <c r="BD132" s="401"/>
      <c r="BE132" s="10"/>
      <c r="BF132" s="401"/>
      <c r="BG132" s="401"/>
    </row>
    <row r="133" spans="1:59" s="107" customFormat="1" hidden="1" outlineLevel="1">
      <c r="A133" s="104"/>
      <c r="P133" s="375"/>
      <c r="AX133" s="370"/>
      <c r="BB133" s="370"/>
      <c r="BE133" s="10"/>
    </row>
    <row r="134" spans="1:59" s="104" customFormat="1" hidden="1" outlineLevel="1">
      <c r="P134" s="375"/>
      <c r="AX134" s="370"/>
      <c r="BB134" s="370"/>
      <c r="BE134" s="10"/>
    </row>
    <row r="135" spans="1:59" s="104" customFormat="1" hidden="1" outlineLevel="1">
      <c r="B135" s="27" t="s">
        <v>378</v>
      </c>
      <c r="P135" s="375"/>
      <c r="AX135" s="370"/>
      <c r="BB135" s="370"/>
      <c r="BE135" s="10"/>
    </row>
    <row r="136" spans="1:59" s="104" customFormat="1" hidden="1" outlineLevel="1">
      <c r="B136" s="360" t="s">
        <v>379</v>
      </c>
      <c r="C136" s="361"/>
      <c r="D136" s="361"/>
      <c r="E136" s="361"/>
      <c r="F136" s="361"/>
      <c r="G136" s="361"/>
      <c r="H136" s="361"/>
      <c r="I136" s="361"/>
      <c r="J136" s="361"/>
      <c r="K136" s="361"/>
      <c r="L136" s="361"/>
      <c r="M136" s="361"/>
      <c r="N136" s="361"/>
      <c r="O136" s="361"/>
      <c r="P136" s="375"/>
      <c r="Q136" s="361"/>
      <c r="R136" s="361"/>
      <c r="S136" s="361"/>
      <c r="T136" s="361"/>
      <c r="U136" s="361"/>
      <c r="V136" s="361"/>
      <c r="W136" s="361"/>
      <c r="X136" s="361"/>
      <c r="Y136" s="361"/>
      <c r="Z136" s="361"/>
      <c r="AA136" s="361"/>
      <c r="AB136" s="361"/>
      <c r="AC136" s="361"/>
      <c r="AD136" s="361"/>
      <c r="AE136" s="361"/>
      <c r="AF136" s="361"/>
      <c r="AG136" s="361"/>
      <c r="AH136" s="361"/>
      <c r="AI136" s="361"/>
      <c r="AJ136" s="361"/>
      <c r="AK136" s="361"/>
      <c r="AL136" s="361"/>
      <c r="AM136" s="361"/>
      <c r="AN136" s="361"/>
      <c r="AO136" s="361"/>
      <c r="AP136" s="361"/>
      <c r="AQ136" s="361"/>
      <c r="AR136" s="361"/>
      <c r="AS136" s="361"/>
      <c r="AT136" s="361"/>
      <c r="AU136" s="361"/>
      <c r="AV136" s="361"/>
      <c r="AW136" s="361"/>
      <c r="AX136" s="370"/>
      <c r="AY136" s="361"/>
      <c r="AZ136" s="361"/>
      <c r="BA136" s="361"/>
      <c r="BB136" s="370"/>
      <c r="BC136" s="361"/>
      <c r="BD136" s="361"/>
      <c r="BE136" s="10"/>
      <c r="BF136" s="361"/>
      <c r="BG136" s="361"/>
    </row>
    <row r="137" spans="1:59" s="104" customFormat="1" hidden="1" outlineLevel="1">
      <c r="B137" s="310" t="s">
        <v>380</v>
      </c>
      <c r="P137" s="375"/>
      <c r="AX137" s="370"/>
      <c r="BB137" s="370"/>
      <c r="BE137" s="10"/>
    </row>
    <row r="138" spans="1:59" s="104" customFormat="1" hidden="1" outlineLevel="1">
      <c r="B138" s="309" t="s">
        <v>346</v>
      </c>
      <c r="M138" s="60"/>
      <c r="N138" s="60"/>
      <c r="O138" s="60"/>
      <c r="P138" s="375"/>
      <c r="AK138" s="369"/>
      <c r="AL138" s="369"/>
      <c r="AM138" s="369"/>
      <c r="AN138" s="369"/>
      <c r="AO138" s="382"/>
      <c r="AP138" s="369"/>
      <c r="AQ138" s="369"/>
      <c r="AR138" s="369"/>
      <c r="AS138" s="175">
        <v>2240.4720000000002</v>
      </c>
      <c r="AT138" s="368"/>
      <c r="AU138" s="368"/>
      <c r="AV138" s="368"/>
      <c r="AW138" s="368"/>
      <c r="AX138" s="370"/>
      <c r="AY138" s="369"/>
      <c r="AZ138" s="175">
        <v>2503.2950000000001</v>
      </c>
      <c r="BA138" s="175">
        <v>2503.2950000000001</v>
      </c>
      <c r="BB138" s="370"/>
      <c r="BC138" s="175">
        <v>0</v>
      </c>
      <c r="BD138" s="175">
        <v>0</v>
      </c>
      <c r="BE138" s="10"/>
      <c r="BF138" s="175">
        <v>0</v>
      </c>
      <c r="BG138" s="175">
        <v>0</v>
      </c>
    </row>
    <row r="139" spans="1:59" s="104" customFormat="1" hidden="1" outlineLevel="1">
      <c r="B139" s="309" t="s">
        <v>347</v>
      </c>
      <c r="M139" s="60"/>
      <c r="N139" s="60"/>
      <c r="O139" s="60"/>
      <c r="P139" s="375"/>
      <c r="AK139" s="369"/>
      <c r="AL139" s="369"/>
      <c r="AM139" s="369"/>
      <c r="AN139" s="369"/>
      <c r="AO139" s="382"/>
      <c r="AP139" s="369"/>
      <c r="AQ139" s="369"/>
      <c r="AR139" s="369"/>
      <c r="AS139" s="175">
        <v>835.71</v>
      </c>
      <c r="AT139" s="369"/>
      <c r="AU139" s="369"/>
      <c r="AV139" s="369"/>
      <c r="AW139" s="369"/>
      <c r="AX139" s="370"/>
      <c r="AY139" s="369"/>
      <c r="AZ139" s="175">
        <v>1060.3</v>
      </c>
      <c r="BA139" s="175">
        <v>1060.3</v>
      </c>
      <c r="BB139" s="370"/>
      <c r="BC139" s="175">
        <v>2119.6149999999998</v>
      </c>
      <c r="BD139" s="175">
        <v>1720.44</v>
      </c>
      <c r="BE139" s="10"/>
      <c r="BF139" s="175">
        <v>3026.902</v>
      </c>
      <c r="BG139" s="175">
        <v>2575.4209999999998</v>
      </c>
    </row>
    <row r="140" spans="1:59" s="104" customFormat="1" hidden="1" outlineLevel="1">
      <c r="B140" s="309" t="s">
        <v>348</v>
      </c>
      <c r="M140" s="60"/>
      <c r="N140" s="60"/>
      <c r="O140" s="369"/>
      <c r="P140" s="375"/>
      <c r="AK140" s="369"/>
      <c r="AL140" s="369"/>
      <c r="AM140" s="369"/>
      <c r="AN140" s="369"/>
      <c r="AO140" s="382"/>
      <c r="AP140" s="369"/>
      <c r="AQ140" s="369"/>
      <c r="AR140" s="369"/>
      <c r="AS140" s="175">
        <v>649.03099999999995</v>
      </c>
      <c r="AT140" s="369"/>
      <c r="AU140" s="369"/>
      <c r="AV140" s="369"/>
      <c r="AW140" s="369"/>
      <c r="AX140" s="370"/>
      <c r="AY140" s="369"/>
      <c r="AZ140" s="175">
        <v>652.11099999999999</v>
      </c>
      <c r="BA140" s="175">
        <v>652.11099999999999</v>
      </c>
      <c r="BB140" s="370"/>
      <c r="BC140" s="175">
        <v>1272.001</v>
      </c>
      <c r="BD140" s="175">
        <v>1284.0150000000001</v>
      </c>
      <c r="BE140" s="10"/>
      <c r="BF140" s="175">
        <v>1964.0609999999999</v>
      </c>
      <c r="BG140" s="175">
        <v>1926.489</v>
      </c>
    </row>
    <row r="141" spans="1:59" s="104" customFormat="1" hidden="1" outlineLevel="1">
      <c r="B141" s="309" t="s">
        <v>350</v>
      </c>
      <c r="M141" s="60"/>
      <c r="N141" s="60"/>
      <c r="O141" s="369"/>
      <c r="P141" s="375"/>
      <c r="AK141" s="369"/>
      <c r="AL141" s="369"/>
      <c r="AM141" s="369"/>
      <c r="AN141" s="369"/>
      <c r="AO141" s="382"/>
      <c r="AP141" s="369"/>
      <c r="AQ141" s="369"/>
      <c r="AR141" s="369"/>
      <c r="AS141" s="175">
        <v>456.43299999999999</v>
      </c>
      <c r="AT141" s="369"/>
      <c r="AU141" s="369"/>
      <c r="AV141" s="369"/>
      <c r="AW141" s="369"/>
      <c r="AX141" s="370"/>
      <c r="AY141" s="369"/>
      <c r="AZ141" s="175">
        <v>462.34199999999998</v>
      </c>
      <c r="BA141" s="175">
        <v>462.34199999999998</v>
      </c>
      <c r="BB141" s="370"/>
      <c r="BC141" s="175">
        <v>941.74</v>
      </c>
      <c r="BD141" s="175">
        <v>909.53499999999997</v>
      </c>
      <c r="BE141" s="10"/>
      <c r="BF141" s="175">
        <v>1387.152</v>
      </c>
      <c r="BG141" s="175">
        <v>1360.623</v>
      </c>
    </row>
    <row r="142" spans="1:59" s="104" customFormat="1" hidden="1" outlineLevel="1">
      <c r="B142" s="310" t="s">
        <v>381</v>
      </c>
      <c r="M142" s="60"/>
      <c r="N142" s="60"/>
      <c r="O142" s="369"/>
      <c r="P142" s="375"/>
      <c r="AK142" s="369"/>
      <c r="AL142" s="369"/>
      <c r="AM142" s="369"/>
      <c r="AN142" s="369"/>
      <c r="AO142" s="382"/>
      <c r="AP142" s="369"/>
      <c r="AQ142" s="369"/>
      <c r="AR142" s="369"/>
      <c r="AS142" s="175"/>
      <c r="AT142" s="369"/>
      <c r="AU142" s="369"/>
      <c r="AV142" s="369"/>
      <c r="AW142" s="369"/>
      <c r="AX142" s="370"/>
      <c r="AY142" s="369"/>
      <c r="AZ142" s="175"/>
      <c r="BA142" s="175"/>
      <c r="BB142" s="370"/>
      <c r="BE142" s="10"/>
      <c r="BF142" s="175"/>
      <c r="BG142" s="175"/>
    </row>
    <row r="143" spans="1:59" s="104" customFormat="1" hidden="1" outlineLevel="1">
      <c r="B143" s="309" t="s">
        <v>382</v>
      </c>
      <c r="M143" s="60"/>
      <c r="N143" s="60"/>
      <c r="O143" s="369"/>
      <c r="P143" s="375"/>
      <c r="AK143" s="369"/>
      <c r="AL143" s="369"/>
      <c r="AM143" s="369"/>
      <c r="AN143" s="369"/>
      <c r="AO143" s="382"/>
      <c r="AP143" s="369"/>
      <c r="AQ143" s="369"/>
      <c r="AR143" s="369"/>
      <c r="AS143" s="175">
        <v>127.746</v>
      </c>
      <c r="AT143" s="369"/>
      <c r="AU143" s="369"/>
      <c r="AV143" s="369"/>
      <c r="AW143" s="369"/>
      <c r="AX143" s="370"/>
      <c r="AY143" s="369"/>
      <c r="AZ143" s="175">
        <v>272.24599999999998</v>
      </c>
      <c r="BA143" s="175">
        <v>272.24599999999998</v>
      </c>
      <c r="BB143" s="370"/>
      <c r="BC143" s="175">
        <v>542.73</v>
      </c>
      <c r="BD143" s="175">
        <v>420.916</v>
      </c>
      <c r="BE143" s="10"/>
      <c r="BF143" s="175">
        <v>810.20699999999999</v>
      </c>
      <c r="BG143" s="175">
        <v>632.16399999999999</v>
      </c>
    </row>
    <row r="144" spans="1:59" s="104" customFormat="1" hidden="1" outlineLevel="1">
      <c r="B144" s="309" t="s">
        <v>383</v>
      </c>
      <c r="M144" s="60"/>
      <c r="N144" s="60"/>
      <c r="O144" s="369"/>
      <c r="P144" s="375"/>
      <c r="AK144" s="369"/>
      <c r="AL144" s="369"/>
      <c r="AM144" s="369"/>
      <c r="AN144" s="369"/>
      <c r="AO144" s="382"/>
      <c r="AP144" s="369"/>
      <c r="AQ144" s="369"/>
      <c r="AR144" s="369"/>
      <c r="AS144" s="175">
        <v>514.09199999999998</v>
      </c>
      <c r="AT144" s="369"/>
      <c r="AU144" s="369"/>
      <c r="AV144" s="369"/>
      <c r="AW144" s="369"/>
      <c r="AX144" s="370"/>
      <c r="AY144" s="369"/>
      <c r="AZ144" s="175">
        <v>520.25699999999995</v>
      </c>
      <c r="BA144" s="175">
        <v>520.25699999999995</v>
      </c>
      <c r="BB144" s="370"/>
      <c r="BC144" s="175">
        <v>1028.886</v>
      </c>
      <c r="BD144" s="175">
        <v>932.50900000000001</v>
      </c>
      <c r="BE144" s="10"/>
      <c r="BF144" s="175">
        <v>1483.17</v>
      </c>
      <c r="BG144" s="175">
        <v>1385.5619999999999</v>
      </c>
    </row>
    <row r="145" spans="2:59" s="104" customFormat="1" hidden="1" outlineLevel="1">
      <c r="B145" s="310" t="s">
        <v>384</v>
      </c>
      <c r="M145" s="60"/>
      <c r="N145" s="60"/>
      <c r="O145" s="369"/>
      <c r="P145" s="375"/>
      <c r="AK145" s="369"/>
      <c r="AL145" s="369"/>
      <c r="AM145" s="369"/>
      <c r="AN145" s="369"/>
      <c r="AO145" s="382"/>
      <c r="AP145" s="369"/>
      <c r="AQ145" s="369"/>
      <c r="AR145" s="369"/>
      <c r="AS145" s="175"/>
      <c r="AT145" s="369"/>
      <c r="AU145" s="369"/>
      <c r="AV145" s="369"/>
      <c r="AW145" s="369"/>
      <c r="AX145" s="370"/>
      <c r="AY145" s="369"/>
      <c r="AZ145" s="175"/>
      <c r="BA145" s="175"/>
      <c r="BB145" s="370"/>
      <c r="BE145" s="10"/>
      <c r="BF145" s="175"/>
      <c r="BG145" s="175"/>
    </row>
    <row r="146" spans="2:59" s="104" customFormat="1" hidden="1" outlineLevel="1">
      <c r="B146" s="309" t="s">
        <v>385</v>
      </c>
      <c r="M146" s="60"/>
      <c r="N146" s="60"/>
      <c r="O146" s="369"/>
      <c r="P146" s="375"/>
      <c r="AK146" s="369"/>
      <c r="AL146" s="369"/>
      <c r="AM146" s="369"/>
      <c r="AN146" s="369"/>
      <c r="AO146" s="382"/>
      <c r="AP146" s="369"/>
      <c r="AQ146" s="369"/>
      <c r="AR146" s="369"/>
      <c r="AS146" s="175">
        <v>218.762</v>
      </c>
      <c r="AT146" s="369"/>
      <c r="AU146" s="369"/>
      <c r="AV146" s="369"/>
      <c r="AW146" s="369"/>
      <c r="AX146" s="370"/>
      <c r="AY146" s="369"/>
      <c r="AZ146" s="175">
        <v>228.75</v>
      </c>
      <c r="BA146" s="175">
        <v>228.75</v>
      </c>
      <c r="BB146" s="370"/>
      <c r="BC146" s="175">
        <v>462.76100000000002</v>
      </c>
      <c r="BD146" s="175">
        <v>452.37400000000002</v>
      </c>
      <c r="BE146" s="10"/>
      <c r="BF146" s="175">
        <v>691.38199999999995</v>
      </c>
      <c r="BG146" s="175">
        <v>684.154</v>
      </c>
    </row>
    <row r="147" spans="2:59" s="104" customFormat="1" hidden="1" outlineLevel="1">
      <c r="B147" s="309" t="s">
        <v>386</v>
      </c>
      <c r="M147" s="60"/>
      <c r="N147" s="60"/>
      <c r="O147" s="369"/>
      <c r="P147" s="375"/>
      <c r="AK147" s="369"/>
      <c r="AL147" s="369"/>
      <c r="AM147" s="369"/>
      <c r="AN147" s="369"/>
      <c r="AO147" s="382"/>
      <c r="AP147" s="369"/>
      <c r="AQ147" s="369"/>
      <c r="AR147" s="369"/>
      <c r="AS147" s="175">
        <v>45.417999999999999</v>
      </c>
      <c r="AT147" s="369"/>
      <c r="AU147" s="369"/>
      <c r="AV147" s="369"/>
      <c r="AW147" s="369"/>
      <c r="AX147" s="370"/>
      <c r="AY147" s="369"/>
      <c r="AZ147" s="175">
        <v>33.231000000000002</v>
      </c>
      <c r="BA147" s="175">
        <v>33.231000000000002</v>
      </c>
      <c r="BB147" s="370"/>
      <c r="BC147" s="175">
        <v>64.134</v>
      </c>
      <c r="BD147" s="175">
        <v>95.524000000000001</v>
      </c>
      <c r="BE147" s="10"/>
      <c r="BF147" s="175">
        <v>99.320999999999998</v>
      </c>
      <c r="BG147" s="175">
        <v>148.68</v>
      </c>
    </row>
    <row r="148" spans="2:59" s="104" customFormat="1" hidden="1" outlineLevel="1">
      <c r="B148" s="310" t="s">
        <v>38</v>
      </c>
      <c r="C148" s="310" t="s">
        <v>38</v>
      </c>
      <c r="D148" s="310" t="s">
        <v>38</v>
      </c>
      <c r="E148" s="310" t="s">
        <v>38</v>
      </c>
      <c r="F148" s="310" t="s">
        <v>38</v>
      </c>
      <c r="G148" s="310" t="s">
        <v>38</v>
      </c>
      <c r="H148" s="310" t="s">
        <v>38</v>
      </c>
      <c r="I148" s="310" t="s">
        <v>38</v>
      </c>
      <c r="M148" s="60"/>
      <c r="N148" s="60"/>
      <c r="O148" s="369"/>
      <c r="P148" s="375"/>
      <c r="AK148" s="369"/>
      <c r="AL148" s="369"/>
      <c r="AM148" s="369"/>
      <c r="AN148" s="369"/>
      <c r="AO148" s="382"/>
      <c r="AP148" s="369"/>
      <c r="AQ148" s="369"/>
      <c r="AR148" s="369"/>
      <c r="AS148" s="175">
        <v>1.2330000000000001</v>
      </c>
      <c r="AT148" s="369"/>
      <c r="AU148" s="369"/>
      <c r="AV148" s="369"/>
      <c r="AW148" s="369"/>
      <c r="AX148" s="370"/>
      <c r="AY148" s="369"/>
      <c r="AZ148" s="175">
        <v>6.5110000000000001</v>
      </c>
      <c r="BA148" s="175">
        <v>6.5110000000000001</v>
      </c>
      <c r="BB148" s="370"/>
      <c r="BC148" s="175">
        <v>76.876999999999995</v>
      </c>
      <c r="BD148" s="175">
        <v>42.963000000000001</v>
      </c>
      <c r="BE148" s="10"/>
      <c r="BF148" s="175">
        <v>111.545</v>
      </c>
      <c r="BG148" s="175">
        <v>65.662999999999997</v>
      </c>
    </row>
    <row r="149" spans="2:59" s="104" customFormat="1" hidden="1" outlineLevel="1">
      <c r="B149" s="310" t="s">
        <v>387</v>
      </c>
      <c r="M149" s="60"/>
      <c r="N149" s="60"/>
      <c r="O149" s="369"/>
      <c r="P149" s="375"/>
      <c r="AK149" s="369"/>
      <c r="AL149" s="369"/>
      <c r="AM149" s="369"/>
      <c r="AN149" s="369"/>
      <c r="AO149" s="382"/>
      <c r="AP149" s="369"/>
      <c r="AQ149" s="369"/>
      <c r="AR149" s="369"/>
      <c r="AS149" s="175">
        <v>0</v>
      </c>
      <c r="AT149" s="369"/>
      <c r="AU149" s="369"/>
      <c r="AV149" s="369"/>
      <c r="AW149" s="369"/>
      <c r="AX149" s="370"/>
      <c r="AY149" s="369"/>
      <c r="AZ149" s="175">
        <v>0</v>
      </c>
      <c r="BA149" s="175">
        <v>0</v>
      </c>
      <c r="BB149" s="370"/>
      <c r="BC149" s="175">
        <v>0</v>
      </c>
      <c r="BD149" s="175">
        <v>0</v>
      </c>
      <c r="BE149" s="10"/>
      <c r="BF149" s="175">
        <v>0</v>
      </c>
      <c r="BG149" s="175">
        <v>0</v>
      </c>
    </row>
    <row r="150" spans="2:59" s="104" customFormat="1" hidden="1" outlineLevel="1">
      <c r="B150" s="311" t="s">
        <v>31</v>
      </c>
      <c r="M150" s="60"/>
      <c r="N150" s="60"/>
      <c r="O150" s="369"/>
      <c r="P150" s="375"/>
      <c r="AK150" s="369"/>
      <c r="AL150" s="369"/>
      <c r="AM150" s="369"/>
      <c r="AN150" s="369"/>
      <c r="AO150" s="402"/>
      <c r="AP150" s="369"/>
      <c r="AQ150" s="369"/>
      <c r="AR150" s="369"/>
      <c r="AS150" s="312">
        <f>SUM(AS138:AS149)</f>
        <v>5088.8969999999999</v>
      </c>
      <c r="AT150" s="369"/>
      <c r="AU150" s="369"/>
      <c r="AV150" s="369"/>
      <c r="AW150" s="369"/>
      <c r="AX150" s="370"/>
      <c r="AY150" s="369"/>
      <c r="AZ150" s="312">
        <f>SUM(AZ138:AZ149)</f>
        <v>5739.0429999999997</v>
      </c>
      <c r="BA150" s="312">
        <f>SUM(BA138:BA149)</f>
        <v>5739.0429999999997</v>
      </c>
      <c r="BB150" s="370"/>
      <c r="BC150" s="312">
        <f>SUM(BC138:BC149)</f>
        <v>6508.7440000000006</v>
      </c>
      <c r="BD150" s="312">
        <f>SUM(BD138:BD149)</f>
        <v>5858.2759999999998</v>
      </c>
      <c r="BE150" s="10"/>
      <c r="BF150" s="312">
        <f>SUM(BF138:BF149)</f>
        <v>9573.74</v>
      </c>
      <c r="BG150" s="312">
        <f>SUM(BG138:BG149)</f>
        <v>8778.7559999999994</v>
      </c>
    </row>
    <row r="151" spans="2:59" s="104" customFormat="1" hidden="1" outlineLevel="1">
      <c r="B151" s="313" t="s">
        <v>24</v>
      </c>
      <c r="C151" s="314"/>
      <c r="D151" s="314"/>
      <c r="E151" s="314"/>
      <c r="F151" s="314"/>
      <c r="G151" s="314"/>
      <c r="H151" s="314"/>
      <c r="I151" s="314"/>
      <c r="J151" s="314"/>
      <c r="K151" s="314"/>
      <c r="L151" s="314"/>
      <c r="M151" s="314"/>
      <c r="N151" s="314"/>
      <c r="O151" s="314"/>
      <c r="P151" s="375"/>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316"/>
      <c r="AR151" s="16"/>
      <c r="AS151" s="315">
        <f>AS150-Model!BI7</f>
        <v>0</v>
      </c>
      <c r="AT151" s="315"/>
      <c r="AU151" s="315"/>
      <c r="AV151" s="16"/>
      <c r="AW151" s="315"/>
      <c r="AX151" s="370"/>
      <c r="AZ151" s="316">
        <f>AZ150-Model!BP7</f>
        <v>0</v>
      </c>
      <c r="BA151" s="316">
        <f>BA150-Model!BQ7</f>
        <v>2419.4069999999997</v>
      </c>
      <c r="BB151" s="370"/>
      <c r="BC151" s="316">
        <f>BC150-Model!BV7</f>
        <v>0</v>
      </c>
      <c r="BD151" s="316">
        <f>BD150-Model!BW7</f>
        <v>0</v>
      </c>
      <c r="BE151" s="10"/>
      <c r="BF151" s="316">
        <f>BF150-Model!BY7</f>
        <v>0</v>
      </c>
      <c r="BG151" s="316">
        <f>BG150-Model!BZ7</f>
        <v>0</v>
      </c>
    </row>
    <row r="152" spans="2:59" s="104" customFormat="1" hidden="1" outlineLevel="1">
      <c r="B152" s="313"/>
      <c r="C152" s="314"/>
      <c r="D152" s="314"/>
      <c r="E152" s="314"/>
      <c r="F152" s="314"/>
      <c r="G152" s="314"/>
      <c r="H152" s="314"/>
      <c r="I152" s="314"/>
      <c r="J152" s="314"/>
      <c r="K152" s="314"/>
      <c r="L152" s="314"/>
      <c r="M152" s="314"/>
      <c r="N152" s="314"/>
      <c r="O152" s="314"/>
      <c r="P152" s="375"/>
      <c r="Q152" s="314"/>
      <c r="R152" s="314"/>
      <c r="S152" s="314"/>
      <c r="T152" s="314"/>
      <c r="U152" s="314"/>
      <c r="V152" s="314"/>
      <c r="W152" s="314"/>
      <c r="X152" s="314"/>
      <c r="Y152" s="314"/>
      <c r="Z152" s="314"/>
      <c r="AA152" s="314"/>
      <c r="AB152" s="314"/>
      <c r="AC152" s="314"/>
      <c r="AD152" s="314"/>
      <c r="AE152" s="314"/>
      <c r="AF152" s="314"/>
      <c r="AG152" s="314"/>
      <c r="AH152" s="314"/>
      <c r="AI152" s="314"/>
      <c r="AJ152" s="314"/>
      <c r="AK152" s="314"/>
      <c r="AL152" s="314"/>
      <c r="AM152" s="314"/>
      <c r="AN152" s="314"/>
      <c r="AO152" s="316"/>
      <c r="AP152" s="314"/>
      <c r="AQ152" s="314"/>
      <c r="AR152" s="314"/>
      <c r="AS152" s="315"/>
      <c r="AV152" s="314"/>
      <c r="AW152" s="315"/>
      <c r="AX152" s="370"/>
      <c r="AZ152" s="316"/>
      <c r="BA152" s="316"/>
      <c r="BB152" s="370"/>
      <c r="BC152" s="316"/>
      <c r="BD152" s="316"/>
      <c r="BE152" s="10"/>
      <c r="BF152" s="316"/>
      <c r="BG152" s="316"/>
    </row>
    <row r="153" spans="2:59" s="104" customFormat="1" hidden="1" outlineLevel="1">
      <c r="B153" s="360" t="s">
        <v>388</v>
      </c>
      <c r="C153" s="363"/>
      <c r="D153" s="363"/>
      <c r="E153" s="363"/>
      <c r="F153" s="363"/>
      <c r="G153" s="363"/>
      <c r="H153" s="363"/>
      <c r="I153" s="363"/>
      <c r="J153" s="363"/>
      <c r="K153" s="363"/>
      <c r="L153" s="363"/>
      <c r="M153" s="363"/>
      <c r="N153" s="363"/>
      <c r="O153" s="363"/>
      <c r="P153" s="375"/>
      <c r="Q153" s="363"/>
      <c r="R153" s="363"/>
      <c r="S153" s="363"/>
      <c r="T153" s="363"/>
      <c r="U153" s="363"/>
      <c r="V153" s="363"/>
      <c r="W153" s="363"/>
      <c r="X153" s="363"/>
      <c r="Y153" s="363"/>
      <c r="Z153" s="363"/>
      <c r="AA153" s="363"/>
      <c r="AB153" s="363"/>
      <c r="AC153" s="363"/>
      <c r="AD153" s="363"/>
      <c r="AE153" s="363"/>
      <c r="AF153" s="363"/>
      <c r="AG153" s="363"/>
      <c r="AH153" s="363"/>
      <c r="AI153" s="363"/>
      <c r="AJ153" s="363"/>
      <c r="AK153" s="363"/>
      <c r="AL153" s="363"/>
      <c r="AM153" s="363"/>
      <c r="AN153" s="363"/>
      <c r="AO153" s="364"/>
      <c r="AP153" s="363"/>
      <c r="AQ153" s="363"/>
      <c r="AR153" s="363"/>
      <c r="AS153" s="365"/>
      <c r="AT153" s="361"/>
      <c r="AU153" s="361"/>
      <c r="AV153" s="363"/>
      <c r="AW153" s="365"/>
      <c r="AX153" s="370"/>
      <c r="AY153" s="361"/>
      <c r="AZ153" s="364"/>
      <c r="BA153" s="364"/>
      <c r="BB153" s="370"/>
      <c r="BC153" s="364"/>
      <c r="BD153" s="364"/>
      <c r="BE153" s="10"/>
      <c r="BF153" s="364"/>
      <c r="BG153" s="364"/>
    </row>
    <row r="154" spans="2:59" s="104" customFormat="1" hidden="1" outlineLevel="1">
      <c r="B154" s="310" t="s">
        <v>380</v>
      </c>
      <c r="C154" s="314"/>
      <c r="D154" s="314"/>
      <c r="E154" s="314"/>
      <c r="F154" s="314"/>
      <c r="G154" s="314"/>
      <c r="H154" s="314"/>
      <c r="I154" s="314"/>
      <c r="J154" s="314"/>
      <c r="K154" s="314"/>
      <c r="L154" s="314"/>
      <c r="M154" s="314"/>
      <c r="N154" s="314"/>
      <c r="O154" s="314"/>
      <c r="P154" s="375"/>
      <c r="AX154" s="370"/>
      <c r="BB154" s="370"/>
      <c r="BE154" s="10"/>
      <c r="BF154" s="316"/>
      <c r="BG154" s="316"/>
    </row>
    <row r="155" spans="2:59" s="104" customFormat="1" hidden="1" outlineLevel="1">
      <c r="B155" s="309" t="s">
        <v>346</v>
      </c>
      <c r="C155" s="314"/>
      <c r="D155" s="314"/>
      <c r="E155" s="314"/>
      <c r="F155" s="314"/>
      <c r="G155" s="314"/>
      <c r="H155" s="314"/>
      <c r="I155" s="314"/>
      <c r="J155" s="314"/>
      <c r="K155" s="314"/>
      <c r="L155" s="314"/>
      <c r="M155" s="60"/>
      <c r="N155" s="60"/>
      <c r="O155" s="101" t="e">
        <f>O138/O$150</f>
        <v>#DIV/0!</v>
      </c>
      <c r="P155" s="375"/>
      <c r="Q155" s="314"/>
      <c r="R155" s="314"/>
      <c r="S155" s="314"/>
      <c r="T155" s="314"/>
      <c r="U155" s="314"/>
      <c r="V155" s="314"/>
      <c r="W155" s="314"/>
      <c r="X155" s="314"/>
      <c r="Y155" s="314"/>
      <c r="Z155" s="314"/>
      <c r="AA155" s="314"/>
      <c r="AB155" s="314"/>
      <c r="AC155" s="314"/>
      <c r="AD155" s="314"/>
      <c r="AE155" s="314"/>
      <c r="AF155" s="314"/>
      <c r="AG155" s="314"/>
      <c r="AH155" s="314"/>
      <c r="AI155" s="314"/>
      <c r="AJ155" s="314"/>
      <c r="AK155" s="403"/>
      <c r="AL155" s="403"/>
      <c r="AM155" s="403"/>
      <c r="AN155" s="403"/>
      <c r="AO155" s="404"/>
      <c r="AP155" s="403"/>
      <c r="AQ155" s="403"/>
      <c r="AR155" s="403"/>
      <c r="AS155" s="60"/>
      <c r="AT155" s="368"/>
      <c r="AU155" s="368"/>
      <c r="AV155" s="403"/>
      <c r="AW155" s="60"/>
      <c r="AX155" s="370"/>
      <c r="AY155" s="60"/>
      <c r="AZ155" s="101">
        <f>AZ138/AZ$150</f>
        <v>0.43618683463427615</v>
      </c>
      <c r="BA155" s="101">
        <f>BA138/BA$150</f>
        <v>0.43618683463427615</v>
      </c>
      <c r="BB155" s="370"/>
      <c r="BC155" s="101">
        <f>BC138/BC$150</f>
        <v>0</v>
      </c>
      <c r="BD155" s="101">
        <f>BD138/BD$150</f>
        <v>0</v>
      </c>
      <c r="BE155" s="10"/>
      <c r="BF155" s="101">
        <f>BF138/BF$150</f>
        <v>0</v>
      </c>
      <c r="BG155" s="101">
        <f>BG138/BG$150</f>
        <v>0</v>
      </c>
    </row>
    <row r="156" spans="2:59" s="104" customFormat="1" hidden="1" outlineLevel="1">
      <c r="B156" s="309" t="s">
        <v>347</v>
      </c>
      <c r="C156" s="314"/>
      <c r="D156" s="314"/>
      <c r="E156" s="314"/>
      <c r="F156" s="314"/>
      <c r="G156" s="314"/>
      <c r="H156" s="314"/>
      <c r="I156" s="314"/>
      <c r="J156" s="314"/>
      <c r="K156" s="314"/>
      <c r="L156" s="314"/>
      <c r="M156" s="60"/>
      <c r="N156" s="60"/>
      <c r="O156" s="101" t="e">
        <f t="shared" ref="O156:O166" si="354">O139/O$150</f>
        <v>#DIV/0!</v>
      </c>
      <c r="P156" s="375"/>
      <c r="Q156" s="314"/>
      <c r="R156" s="314"/>
      <c r="S156" s="314"/>
      <c r="T156" s="314"/>
      <c r="U156" s="314"/>
      <c r="V156" s="314"/>
      <c r="W156" s="314"/>
      <c r="X156" s="314"/>
      <c r="Y156" s="314"/>
      <c r="Z156" s="314"/>
      <c r="AA156" s="314"/>
      <c r="AB156" s="314"/>
      <c r="AC156" s="314"/>
      <c r="AD156" s="314"/>
      <c r="AE156" s="314"/>
      <c r="AF156" s="314"/>
      <c r="AG156" s="314"/>
      <c r="AH156" s="314"/>
      <c r="AI156" s="314"/>
      <c r="AJ156" s="314"/>
      <c r="AK156" s="403"/>
      <c r="AL156" s="403"/>
      <c r="AM156" s="403"/>
      <c r="AN156" s="403"/>
      <c r="AO156" s="404"/>
      <c r="AP156" s="403"/>
      <c r="AQ156" s="403"/>
      <c r="AR156" s="403"/>
      <c r="AS156" s="60"/>
      <c r="AT156" s="60"/>
      <c r="AU156" s="60"/>
      <c r="AV156" s="403"/>
      <c r="AW156" s="60"/>
      <c r="AX156" s="370"/>
      <c r="AY156" s="60"/>
      <c r="AZ156" s="101">
        <f t="shared" ref="AZ156:BC167" si="355">AZ139/AZ$150</f>
        <v>0.18475205709383952</v>
      </c>
      <c r="BA156" s="101">
        <f t="shared" ref="BA156" si="356">BA139/BA$150</f>
        <v>0.18475205709383952</v>
      </c>
      <c r="BB156" s="370"/>
      <c r="BC156" s="101">
        <f t="shared" si="355"/>
        <v>0.32565653219730251</v>
      </c>
      <c r="BD156" s="101">
        <f t="shared" ref="BD156:BD167" si="357">BD139/BD$150</f>
        <v>0.29367684281177603</v>
      </c>
      <c r="BE156" s="10"/>
      <c r="BF156" s="101">
        <f t="shared" ref="BF156:BG156" si="358">BF139/BF$150</f>
        <v>0.31616714053233114</v>
      </c>
      <c r="BG156" s="101">
        <f t="shared" si="358"/>
        <v>0.29336969839462446</v>
      </c>
    </row>
    <row r="157" spans="2:59" s="104" customFormat="1" hidden="1" outlineLevel="1">
      <c r="B157" s="309" t="s">
        <v>348</v>
      </c>
      <c r="C157" s="314"/>
      <c r="D157" s="314"/>
      <c r="E157" s="314"/>
      <c r="F157" s="314"/>
      <c r="G157" s="314"/>
      <c r="H157" s="314"/>
      <c r="I157" s="314"/>
      <c r="J157" s="314"/>
      <c r="K157" s="314"/>
      <c r="L157" s="314"/>
      <c r="M157" s="60"/>
      <c r="N157" s="60"/>
      <c r="O157" s="101" t="e">
        <f t="shared" si="354"/>
        <v>#DIV/0!</v>
      </c>
      <c r="P157" s="375"/>
      <c r="Q157" s="314"/>
      <c r="R157" s="314"/>
      <c r="S157" s="314"/>
      <c r="T157" s="314"/>
      <c r="U157" s="314"/>
      <c r="V157" s="314"/>
      <c r="W157" s="314"/>
      <c r="X157" s="314"/>
      <c r="Y157" s="314"/>
      <c r="Z157" s="314"/>
      <c r="AA157" s="314"/>
      <c r="AB157" s="314"/>
      <c r="AC157" s="314"/>
      <c r="AD157" s="314"/>
      <c r="AE157" s="314"/>
      <c r="AF157" s="314"/>
      <c r="AG157" s="314"/>
      <c r="AH157" s="314"/>
      <c r="AI157" s="314"/>
      <c r="AJ157" s="314"/>
      <c r="AK157" s="403"/>
      <c r="AL157" s="403"/>
      <c r="AM157" s="403"/>
      <c r="AN157" s="403"/>
      <c r="AO157" s="404"/>
      <c r="AP157" s="403"/>
      <c r="AQ157" s="403"/>
      <c r="AR157" s="403"/>
      <c r="AS157" s="60"/>
      <c r="AT157" s="60"/>
      <c r="AU157" s="60"/>
      <c r="AV157" s="403"/>
      <c r="AW157" s="60"/>
      <c r="AX157" s="370"/>
      <c r="AY157" s="60"/>
      <c r="AZ157" s="101">
        <f t="shared" si="355"/>
        <v>0.11362713260730056</v>
      </c>
      <c r="BA157" s="101">
        <f t="shared" ref="BA157" si="359">BA140/BA$150</f>
        <v>0.11362713260730056</v>
      </c>
      <c r="BB157" s="370"/>
      <c r="BC157" s="101">
        <f t="shared" si="355"/>
        <v>0.19542956367618697</v>
      </c>
      <c r="BD157" s="101">
        <f t="shared" si="357"/>
        <v>0.21917966992336996</v>
      </c>
      <c r="BE157" s="10"/>
      <c r="BF157" s="101">
        <f t="shared" ref="BF157:BG157" si="360">BF140/BF$150</f>
        <v>0.20515086058322035</v>
      </c>
      <c r="BG157" s="101">
        <f t="shared" si="360"/>
        <v>0.21944897431936827</v>
      </c>
    </row>
    <row r="158" spans="2:59" s="104" customFormat="1" hidden="1" outlineLevel="1">
      <c r="B158" s="309" t="s">
        <v>350</v>
      </c>
      <c r="C158" s="314"/>
      <c r="D158" s="314"/>
      <c r="E158" s="314"/>
      <c r="F158" s="314"/>
      <c r="G158" s="314"/>
      <c r="H158" s="314"/>
      <c r="I158" s="314"/>
      <c r="J158" s="314"/>
      <c r="K158" s="314"/>
      <c r="L158" s="314"/>
      <c r="M158" s="60"/>
      <c r="N158" s="60"/>
      <c r="O158" s="101" t="e">
        <f t="shared" si="354"/>
        <v>#DIV/0!</v>
      </c>
      <c r="P158" s="375"/>
      <c r="Q158" s="314"/>
      <c r="R158" s="314"/>
      <c r="S158" s="314"/>
      <c r="T158" s="314"/>
      <c r="U158" s="314"/>
      <c r="V158" s="314"/>
      <c r="W158" s="314"/>
      <c r="X158" s="314"/>
      <c r="Y158" s="314"/>
      <c r="Z158" s="314"/>
      <c r="AA158" s="314"/>
      <c r="AB158" s="314"/>
      <c r="AC158" s="314"/>
      <c r="AD158" s="314"/>
      <c r="AE158" s="314"/>
      <c r="AF158" s="314"/>
      <c r="AG158" s="314"/>
      <c r="AH158" s="314"/>
      <c r="AI158" s="314"/>
      <c r="AJ158" s="314"/>
      <c r="AK158" s="403"/>
      <c r="AL158" s="403"/>
      <c r="AM158" s="403"/>
      <c r="AN158" s="403"/>
      <c r="AO158" s="404"/>
      <c r="AP158" s="403"/>
      <c r="AQ158" s="403"/>
      <c r="AR158" s="403"/>
      <c r="AS158" s="60"/>
      <c r="AT158" s="60"/>
      <c r="AU158" s="60"/>
      <c r="AV158" s="403"/>
      <c r="AW158" s="60"/>
      <c r="AX158" s="370"/>
      <c r="AY158" s="60"/>
      <c r="AZ158" s="101">
        <f t="shared" si="355"/>
        <v>8.0560818240950627E-2</v>
      </c>
      <c r="BA158" s="101">
        <f t="shared" ref="BA158" si="361">BA141/BA$150</f>
        <v>8.0560818240950627E-2</v>
      </c>
      <c r="BB158" s="370"/>
      <c r="BC158" s="101">
        <f t="shared" si="355"/>
        <v>0.14468843758488581</v>
      </c>
      <c r="BD158" s="101">
        <f t="shared" si="357"/>
        <v>0.15525642697612746</v>
      </c>
      <c r="BE158" s="10"/>
      <c r="BF158" s="101">
        <f t="shared" ref="BF158:BG158" si="362">BF141/BF$150</f>
        <v>0.14489133818131683</v>
      </c>
      <c r="BG158" s="101">
        <f t="shared" si="362"/>
        <v>0.15499041094205149</v>
      </c>
    </row>
    <row r="159" spans="2:59" s="104" customFormat="1" hidden="1" outlineLevel="1">
      <c r="B159" s="310" t="s">
        <v>381</v>
      </c>
      <c r="C159" s="314"/>
      <c r="D159" s="314"/>
      <c r="E159" s="314"/>
      <c r="F159" s="314"/>
      <c r="G159" s="314"/>
      <c r="H159" s="314"/>
      <c r="I159" s="314"/>
      <c r="J159" s="314"/>
      <c r="K159" s="314"/>
      <c r="L159" s="314"/>
      <c r="M159" s="60"/>
      <c r="N159" s="60"/>
      <c r="O159" s="101" t="e">
        <f t="shared" si="354"/>
        <v>#DIV/0!</v>
      </c>
      <c r="P159" s="375"/>
      <c r="Q159" s="314"/>
      <c r="R159" s="314"/>
      <c r="S159" s="314"/>
      <c r="T159" s="314"/>
      <c r="U159" s="314"/>
      <c r="V159" s="314"/>
      <c r="W159" s="314"/>
      <c r="X159" s="314"/>
      <c r="Y159" s="314"/>
      <c r="Z159" s="314"/>
      <c r="AA159" s="314"/>
      <c r="AB159" s="314"/>
      <c r="AC159" s="314"/>
      <c r="AD159" s="314"/>
      <c r="AE159" s="314"/>
      <c r="AF159" s="314"/>
      <c r="AG159" s="314"/>
      <c r="AH159" s="314"/>
      <c r="AI159" s="314"/>
      <c r="AJ159" s="314"/>
      <c r="AK159" s="403"/>
      <c r="AL159" s="403"/>
      <c r="AM159" s="403"/>
      <c r="AN159" s="403"/>
      <c r="AO159" s="404"/>
      <c r="AP159" s="403"/>
      <c r="AQ159" s="403"/>
      <c r="AR159" s="403"/>
      <c r="AS159" s="60"/>
      <c r="AT159" s="60"/>
      <c r="AU159" s="60"/>
      <c r="AV159" s="403"/>
      <c r="AW159" s="60"/>
      <c r="AX159" s="370"/>
      <c r="AY159" s="60"/>
      <c r="AZ159" s="101"/>
      <c r="BA159" s="101"/>
      <c r="BB159" s="370"/>
      <c r="BC159" s="101"/>
      <c r="BD159" s="101"/>
      <c r="BE159" s="10"/>
      <c r="BF159" s="101"/>
      <c r="BG159" s="101"/>
    </row>
    <row r="160" spans="2:59" s="104" customFormat="1" hidden="1" outlineLevel="1">
      <c r="B160" s="309" t="s">
        <v>382</v>
      </c>
      <c r="C160" s="314"/>
      <c r="D160" s="314"/>
      <c r="E160" s="314"/>
      <c r="F160" s="314"/>
      <c r="G160" s="314"/>
      <c r="H160" s="314"/>
      <c r="I160" s="314"/>
      <c r="J160" s="314"/>
      <c r="K160" s="314"/>
      <c r="L160" s="314"/>
      <c r="M160" s="60"/>
      <c r="N160" s="60"/>
      <c r="O160" s="101" t="e">
        <f t="shared" si="354"/>
        <v>#DIV/0!</v>
      </c>
      <c r="P160" s="375"/>
      <c r="Q160" s="314"/>
      <c r="R160" s="314"/>
      <c r="S160" s="314"/>
      <c r="T160" s="314"/>
      <c r="U160" s="314"/>
      <c r="V160" s="314"/>
      <c r="W160" s="314"/>
      <c r="X160" s="314"/>
      <c r="Y160" s="314"/>
      <c r="Z160" s="314"/>
      <c r="AA160" s="314"/>
      <c r="AB160" s="314"/>
      <c r="AC160" s="314"/>
      <c r="AD160" s="314"/>
      <c r="AE160" s="314"/>
      <c r="AF160" s="314"/>
      <c r="AG160" s="314"/>
      <c r="AH160" s="314"/>
      <c r="AI160" s="314"/>
      <c r="AJ160" s="314"/>
      <c r="AK160" s="403"/>
      <c r="AL160" s="403"/>
      <c r="AM160" s="403"/>
      <c r="AN160" s="403"/>
      <c r="AO160" s="404"/>
      <c r="AP160" s="403"/>
      <c r="AQ160" s="403"/>
      <c r="AR160" s="403"/>
      <c r="AS160" s="60"/>
      <c r="AT160" s="60"/>
      <c r="AU160" s="60"/>
      <c r="AV160" s="403"/>
      <c r="AW160" s="60"/>
      <c r="AX160" s="370"/>
      <c r="AY160" s="60"/>
      <c r="AZ160" s="101">
        <f t="shared" si="355"/>
        <v>4.7437525733820082E-2</v>
      </c>
      <c r="BA160" s="101">
        <f t="shared" ref="BA160" si="363">BA143/BA$150</f>
        <v>4.7437525733820082E-2</v>
      </c>
      <c r="BB160" s="370"/>
      <c r="BC160" s="101">
        <f t="shared" si="355"/>
        <v>8.3384751343730829E-2</v>
      </c>
      <c r="BD160" s="101">
        <f t="shared" si="357"/>
        <v>7.1849807008068589E-2</v>
      </c>
      <c r="BE160" s="10"/>
      <c r="BF160" s="101">
        <f t="shared" ref="BF160:BG160" si="364">BF143/BF$150</f>
        <v>8.4628055493464416E-2</v>
      </c>
      <c r="BG160" s="101">
        <f t="shared" si="364"/>
        <v>7.2010658457758711E-2</v>
      </c>
    </row>
    <row r="161" spans="2:59" s="104" customFormat="1" hidden="1" outlineLevel="1">
      <c r="B161" s="309" t="s">
        <v>383</v>
      </c>
      <c r="C161" s="314"/>
      <c r="D161" s="314"/>
      <c r="E161" s="314"/>
      <c r="F161" s="314"/>
      <c r="G161" s="314"/>
      <c r="H161" s="314"/>
      <c r="I161" s="314"/>
      <c r="J161" s="314"/>
      <c r="K161" s="314"/>
      <c r="L161" s="314"/>
      <c r="M161" s="60"/>
      <c r="N161" s="60"/>
      <c r="O161" s="101" t="e">
        <f t="shared" si="354"/>
        <v>#DIV/0!</v>
      </c>
      <c r="P161" s="375"/>
      <c r="Q161" s="314"/>
      <c r="R161" s="314"/>
      <c r="S161" s="314"/>
      <c r="T161" s="314"/>
      <c r="U161" s="314"/>
      <c r="V161" s="314"/>
      <c r="W161" s="314"/>
      <c r="X161" s="314"/>
      <c r="Y161" s="314"/>
      <c r="Z161" s="314"/>
      <c r="AA161" s="314"/>
      <c r="AB161" s="314"/>
      <c r="AC161" s="314"/>
      <c r="AD161" s="314"/>
      <c r="AE161" s="314"/>
      <c r="AF161" s="314"/>
      <c r="AG161" s="314"/>
      <c r="AH161" s="314"/>
      <c r="AI161" s="314"/>
      <c r="AJ161" s="314"/>
      <c r="AK161" s="403"/>
      <c r="AL161" s="403"/>
      <c r="AM161" s="403"/>
      <c r="AN161" s="403"/>
      <c r="AO161" s="404"/>
      <c r="AP161" s="403"/>
      <c r="AQ161" s="403"/>
      <c r="AR161" s="403"/>
      <c r="AS161" s="60"/>
      <c r="AT161" s="60"/>
      <c r="AU161" s="60"/>
      <c r="AV161" s="403"/>
      <c r="AW161" s="60"/>
      <c r="AX161" s="370"/>
      <c r="AY161" s="60"/>
      <c r="AZ161" s="101">
        <f t="shared" si="355"/>
        <v>9.0652221981957617E-2</v>
      </c>
      <c r="BA161" s="101">
        <f t="shared" ref="BA161" si="365">BA144/BA$150</f>
        <v>9.0652221981957617E-2</v>
      </c>
      <c r="BB161" s="370"/>
      <c r="BC161" s="101">
        <f t="shared" si="355"/>
        <v>0.15807750312502686</v>
      </c>
      <c r="BD161" s="101">
        <f t="shared" si="357"/>
        <v>0.15917805852779898</v>
      </c>
      <c r="BE161" s="10"/>
      <c r="BF161" s="101">
        <f t="shared" ref="BF161:BG161" si="366">BF144/BF$150</f>
        <v>0.15492064752124041</v>
      </c>
      <c r="BG161" s="101">
        <f t="shared" si="366"/>
        <v>0.15783124624946859</v>
      </c>
    </row>
    <row r="162" spans="2:59" s="104" customFormat="1" hidden="1" outlineLevel="1">
      <c r="B162" s="310" t="s">
        <v>384</v>
      </c>
      <c r="C162" s="314"/>
      <c r="D162" s="314"/>
      <c r="E162" s="314"/>
      <c r="F162" s="314"/>
      <c r="G162" s="314"/>
      <c r="H162" s="314"/>
      <c r="I162" s="314"/>
      <c r="J162" s="314"/>
      <c r="K162" s="314"/>
      <c r="L162" s="314"/>
      <c r="M162" s="60"/>
      <c r="N162" s="60"/>
      <c r="O162" s="101" t="e">
        <f t="shared" si="354"/>
        <v>#DIV/0!</v>
      </c>
      <c r="P162" s="375"/>
      <c r="Q162" s="314"/>
      <c r="R162" s="314"/>
      <c r="S162" s="314"/>
      <c r="T162" s="314"/>
      <c r="U162" s="314"/>
      <c r="V162" s="314"/>
      <c r="W162" s="314"/>
      <c r="X162" s="314"/>
      <c r="Y162" s="314"/>
      <c r="Z162" s="314"/>
      <c r="AA162" s="314"/>
      <c r="AB162" s="314"/>
      <c r="AC162" s="314"/>
      <c r="AD162" s="314"/>
      <c r="AE162" s="314"/>
      <c r="AF162" s="314"/>
      <c r="AG162" s="314"/>
      <c r="AH162" s="314"/>
      <c r="AI162" s="314"/>
      <c r="AJ162" s="314"/>
      <c r="AK162" s="403"/>
      <c r="AL162" s="403"/>
      <c r="AM162" s="403"/>
      <c r="AN162" s="403"/>
      <c r="AO162" s="404"/>
      <c r="AP162" s="403"/>
      <c r="AQ162" s="403"/>
      <c r="AR162" s="403"/>
      <c r="AS162" s="60"/>
      <c r="AT162" s="60"/>
      <c r="AU162" s="60"/>
      <c r="AV162" s="403"/>
      <c r="AW162" s="60"/>
      <c r="AX162" s="370"/>
      <c r="AY162" s="60"/>
      <c r="AZ162" s="101"/>
      <c r="BA162" s="101"/>
      <c r="BB162" s="370"/>
      <c r="BC162" s="101"/>
      <c r="BD162" s="101"/>
      <c r="BE162" s="10"/>
      <c r="BF162" s="101"/>
      <c r="BG162" s="101"/>
    </row>
    <row r="163" spans="2:59" s="104" customFormat="1" hidden="1" outlineLevel="1">
      <c r="B163" s="309" t="s">
        <v>385</v>
      </c>
      <c r="C163" s="314"/>
      <c r="D163" s="314"/>
      <c r="E163" s="314"/>
      <c r="F163" s="314"/>
      <c r="G163" s="314"/>
      <c r="H163" s="314"/>
      <c r="I163" s="314"/>
      <c r="J163" s="314"/>
      <c r="K163" s="314"/>
      <c r="L163" s="314"/>
      <c r="M163" s="60"/>
      <c r="N163" s="60"/>
      <c r="O163" s="101" t="e">
        <f t="shared" si="354"/>
        <v>#DIV/0!</v>
      </c>
      <c r="P163" s="375"/>
      <c r="Q163" s="314"/>
      <c r="R163" s="314"/>
      <c r="S163" s="314"/>
      <c r="T163" s="314"/>
      <c r="U163" s="314"/>
      <c r="V163" s="314"/>
      <c r="W163" s="314"/>
      <c r="X163" s="314"/>
      <c r="Y163" s="314"/>
      <c r="Z163" s="314"/>
      <c r="AA163" s="314"/>
      <c r="AB163" s="314"/>
      <c r="AC163" s="314"/>
      <c r="AD163" s="314"/>
      <c r="AE163" s="314"/>
      <c r="AF163" s="314"/>
      <c r="AG163" s="314"/>
      <c r="AH163" s="314"/>
      <c r="AI163" s="314"/>
      <c r="AJ163" s="314"/>
      <c r="AK163" s="403"/>
      <c r="AL163" s="403"/>
      <c r="AM163" s="403"/>
      <c r="AN163" s="403"/>
      <c r="AO163" s="404"/>
      <c r="AP163" s="403"/>
      <c r="AQ163" s="403"/>
      <c r="AR163" s="403"/>
      <c r="AS163" s="60"/>
      <c r="AT163" s="60"/>
      <c r="AU163" s="60"/>
      <c r="AV163" s="403"/>
      <c r="AW163" s="60"/>
      <c r="AX163" s="370"/>
      <c r="AY163" s="60"/>
      <c r="AZ163" s="101">
        <f t="shared" si="355"/>
        <v>3.985856178460416E-2</v>
      </c>
      <c r="BA163" s="101">
        <f t="shared" ref="BA163" si="367">BA146/BA$150</f>
        <v>3.985856178460416E-2</v>
      </c>
      <c r="BB163" s="370"/>
      <c r="BC163" s="101">
        <f t="shared" si="355"/>
        <v>7.1098356303458857E-2</v>
      </c>
      <c r="BD163" s="101">
        <f t="shared" si="357"/>
        <v>7.721964618942502E-2</v>
      </c>
      <c r="BE163" s="10"/>
      <c r="BF163" s="101">
        <f t="shared" ref="BF163:BG163" si="368">BF146/BF$150</f>
        <v>7.2216500552553131E-2</v>
      </c>
      <c r="BG163" s="101">
        <f t="shared" si="368"/>
        <v>7.793290985647626E-2</v>
      </c>
    </row>
    <row r="164" spans="2:59" s="104" customFormat="1" hidden="1" outlineLevel="1">
      <c r="B164" s="309" t="s">
        <v>386</v>
      </c>
      <c r="C164" s="314"/>
      <c r="D164" s="314"/>
      <c r="E164" s="314"/>
      <c r="F164" s="314"/>
      <c r="G164" s="314"/>
      <c r="H164" s="314"/>
      <c r="I164" s="314"/>
      <c r="J164" s="314"/>
      <c r="K164" s="314"/>
      <c r="L164" s="314"/>
      <c r="M164" s="60"/>
      <c r="N164" s="60"/>
      <c r="O164" s="101" t="e">
        <f t="shared" si="354"/>
        <v>#DIV/0!</v>
      </c>
      <c r="P164" s="375"/>
      <c r="Q164" s="314"/>
      <c r="R164" s="314"/>
      <c r="S164" s="314"/>
      <c r="T164" s="314"/>
      <c r="U164" s="314"/>
      <c r="V164" s="314"/>
      <c r="W164" s="314"/>
      <c r="X164" s="314"/>
      <c r="Y164" s="314"/>
      <c r="Z164" s="314"/>
      <c r="AA164" s="314"/>
      <c r="AB164" s="314"/>
      <c r="AC164" s="314"/>
      <c r="AD164" s="314"/>
      <c r="AE164" s="314"/>
      <c r="AF164" s="314"/>
      <c r="AG164" s="314"/>
      <c r="AH164" s="314"/>
      <c r="AI164" s="314"/>
      <c r="AJ164" s="314"/>
      <c r="AK164" s="403"/>
      <c r="AL164" s="403"/>
      <c r="AM164" s="403"/>
      <c r="AN164" s="403"/>
      <c r="AO164" s="404"/>
      <c r="AP164" s="403"/>
      <c r="AQ164" s="403"/>
      <c r="AR164" s="403"/>
      <c r="AS164" s="60"/>
      <c r="AT164" s="60"/>
      <c r="AU164" s="60"/>
      <c r="AV164" s="403"/>
      <c r="AW164" s="60"/>
      <c r="AX164" s="370"/>
      <c r="AY164" s="60"/>
      <c r="AZ164" s="101">
        <f t="shared" si="355"/>
        <v>5.7903382149253812E-3</v>
      </c>
      <c r="BA164" s="101">
        <f t="shared" ref="BA164" si="369">BA147/BA$150</f>
        <v>5.7903382149253812E-3</v>
      </c>
      <c r="BB164" s="370"/>
      <c r="BC164" s="101">
        <f t="shared" si="355"/>
        <v>9.8535139805775111E-3</v>
      </c>
      <c r="BD164" s="101">
        <f t="shared" si="357"/>
        <v>1.6305821029941232E-2</v>
      </c>
      <c r="BE164" s="10"/>
      <c r="BF164" s="101">
        <f t="shared" ref="BF164:BG164" si="370">BF147/BF$150</f>
        <v>1.0374315575731114E-2</v>
      </c>
      <c r="BG164" s="101">
        <f t="shared" si="370"/>
        <v>1.6936340410873708E-2</v>
      </c>
    </row>
    <row r="165" spans="2:59" s="104" customFormat="1" hidden="1" outlineLevel="1">
      <c r="B165" s="310" t="s">
        <v>38</v>
      </c>
      <c r="C165" s="314"/>
      <c r="D165" s="314"/>
      <c r="E165" s="314"/>
      <c r="F165" s="314"/>
      <c r="G165" s="314"/>
      <c r="H165" s="314"/>
      <c r="I165" s="314"/>
      <c r="J165" s="314"/>
      <c r="K165" s="314"/>
      <c r="L165" s="314"/>
      <c r="M165" s="60"/>
      <c r="N165" s="60"/>
      <c r="O165" s="101" t="e">
        <f t="shared" si="354"/>
        <v>#DIV/0!</v>
      </c>
      <c r="P165" s="375"/>
      <c r="Q165" s="314"/>
      <c r="R165" s="314"/>
      <c r="S165" s="314"/>
      <c r="T165" s="314"/>
      <c r="U165" s="314"/>
      <c r="V165" s="314"/>
      <c r="W165" s="314"/>
      <c r="X165" s="314"/>
      <c r="Y165" s="314"/>
      <c r="Z165" s="314"/>
      <c r="AA165" s="314"/>
      <c r="AB165" s="314"/>
      <c r="AC165" s="314"/>
      <c r="AD165" s="314"/>
      <c r="AE165" s="314"/>
      <c r="AF165" s="314"/>
      <c r="AG165" s="314"/>
      <c r="AH165" s="314"/>
      <c r="AI165" s="314"/>
      <c r="AJ165" s="314"/>
      <c r="AK165" s="403"/>
      <c r="AL165" s="403"/>
      <c r="AM165" s="403"/>
      <c r="AN165" s="403"/>
      <c r="AO165" s="404"/>
      <c r="AP165" s="403"/>
      <c r="AQ165" s="403"/>
      <c r="AR165" s="403"/>
      <c r="AS165" s="60"/>
      <c r="AT165" s="60"/>
      <c r="AU165" s="60"/>
      <c r="AV165" s="403"/>
      <c r="AW165" s="60"/>
      <c r="AX165" s="370"/>
      <c r="AY165" s="60"/>
      <c r="AZ165" s="101">
        <f t="shared" si="355"/>
        <v>1.1345097083259354E-3</v>
      </c>
      <c r="BA165" s="101">
        <f t="shared" ref="BA165" si="371">BA148/BA$150</f>
        <v>1.1345097083259354E-3</v>
      </c>
      <c r="BB165" s="370"/>
      <c r="BC165" s="101">
        <f t="shared" si="355"/>
        <v>1.1811341788830532E-2</v>
      </c>
      <c r="BD165" s="101">
        <f t="shared" si="357"/>
        <v>7.333727533492789E-3</v>
      </c>
      <c r="BE165" s="10"/>
      <c r="BF165" s="101">
        <f t="shared" ref="BF165:BG165" si="372">BF148/BF$150</f>
        <v>1.1651141560142641E-2</v>
      </c>
      <c r="BG165" s="101">
        <f t="shared" si="372"/>
        <v>7.4797613693785318E-3</v>
      </c>
    </row>
    <row r="166" spans="2:59" s="104" customFormat="1" hidden="1" outlineLevel="1">
      <c r="B166" s="367" t="s">
        <v>387</v>
      </c>
      <c r="C166" s="314"/>
      <c r="D166" s="314"/>
      <c r="E166" s="314"/>
      <c r="F166" s="314"/>
      <c r="G166" s="314"/>
      <c r="H166" s="314"/>
      <c r="I166" s="314"/>
      <c r="J166" s="314"/>
      <c r="K166" s="314"/>
      <c r="L166" s="314"/>
      <c r="M166" s="60"/>
      <c r="N166" s="60"/>
      <c r="O166" s="101" t="e">
        <f t="shared" si="354"/>
        <v>#DIV/0!</v>
      </c>
      <c r="P166" s="375"/>
      <c r="Q166" s="314"/>
      <c r="R166" s="314"/>
      <c r="S166" s="314"/>
      <c r="T166" s="314"/>
      <c r="U166" s="314"/>
      <c r="V166" s="314"/>
      <c r="W166" s="314"/>
      <c r="X166" s="314"/>
      <c r="Y166" s="314"/>
      <c r="Z166" s="314"/>
      <c r="AA166" s="314"/>
      <c r="AB166" s="314"/>
      <c r="AC166" s="314"/>
      <c r="AD166" s="314"/>
      <c r="AE166" s="314"/>
      <c r="AF166" s="314"/>
      <c r="AG166" s="314"/>
      <c r="AH166" s="314"/>
      <c r="AI166" s="314"/>
      <c r="AJ166" s="314"/>
      <c r="AK166" s="403"/>
      <c r="AL166" s="403"/>
      <c r="AM166" s="403"/>
      <c r="AN166" s="403"/>
      <c r="AO166" s="404"/>
      <c r="AP166" s="403"/>
      <c r="AQ166" s="403"/>
      <c r="AR166" s="403"/>
      <c r="AS166" s="60"/>
      <c r="AT166" s="60"/>
      <c r="AU166" s="60"/>
      <c r="AV166" s="403"/>
      <c r="AW166" s="60"/>
      <c r="AX166" s="370"/>
      <c r="AY166" s="60"/>
      <c r="AZ166" s="101">
        <f t="shared" si="355"/>
        <v>0</v>
      </c>
      <c r="BA166" s="101">
        <f t="shared" ref="BA166" si="373">BA149/BA$150</f>
        <v>0</v>
      </c>
      <c r="BB166" s="370"/>
      <c r="BC166" s="101">
        <f t="shared" si="355"/>
        <v>0</v>
      </c>
      <c r="BD166" s="101">
        <f t="shared" si="357"/>
        <v>0</v>
      </c>
      <c r="BE166" s="10"/>
      <c r="BF166" s="101">
        <f t="shared" ref="BF166:BG166" si="374">BF149/BF$150</f>
        <v>0</v>
      </c>
      <c r="BG166" s="101">
        <f t="shared" si="374"/>
        <v>0</v>
      </c>
    </row>
    <row r="167" spans="2:59" s="27" customFormat="1" hidden="1" outlineLevel="1">
      <c r="B167" s="311" t="s">
        <v>31</v>
      </c>
      <c r="C167" s="366"/>
      <c r="D167" s="366"/>
      <c r="E167" s="366"/>
      <c r="F167" s="366"/>
      <c r="G167" s="366"/>
      <c r="H167" s="366"/>
      <c r="I167" s="366"/>
      <c r="J167" s="366"/>
      <c r="K167" s="366"/>
      <c r="L167" s="366"/>
      <c r="M167" s="60"/>
      <c r="N167" s="60"/>
      <c r="O167" s="100" t="e">
        <f t="shared" ref="O167" si="375">O150/O$150</f>
        <v>#DIV/0!</v>
      </c>
      <c r="P167" s="375"/>
      <c r="Q167" s="366"/>
      <c r="R167" s="366"/>
      <c r="S167" s="366"/>
      <c r="T167" s="366"/>
      <c r="U167" s="366"/>
      <c r="V167" s="366"/>
      <c r="W167" s="366"/>
      <c r="X167" s="366"/>
      <c r="Y167" s="366"/>
      <c r="Z167" s="366"/>
      <c r="AA167" s="366"/>
      <c r="AB167" s="366"/>
      <c r="AC167" s="366"/>
      <c r="AD167" s="366"/>
      <c r="AE167" s="366"/>
      <c r="AF167" s="366"/>
      <c r="AG167" s="366"/>
      <c r="AH167" s="366"/>
      <c r="AI167" s="366"/>
      <c r="AJ167" s="366"/>
      <c r="AK167" s="405"/>
      <c r="AL167" s="405"/>
      <c r="AM167" s="405"/>
      <c r="AN167" s="405"/>
      <c r="AO167" s="406"/>
      <c r="AP167" s="405"/>
      <c r="AQ167" s="405"/>
      <c r="AR167" s="405"/>
      <c r="AS167" s="60"/>
      <c r="AT167" s="60"/>
      <c r="AU167" s="60"/>
      <c r="AV167" s="405"/>
      <c r="AW167" s="60"/>
      <c r="AX167" s="370"/>
      <c r="AY167" s="60"/>
      <c r="AZ167" s="100">
        <f t="shared" si="355"/>
        <v>1</v>
      </c>
      <c r="BA167" s="100">
        <f t="shared" ref="BA167" si="376">BA150/BA$150</f>
        <v>1</v>
      </c>
      <c r="BB167" s="370"/>
      <c r="BC167" s="100">
        <f t="shared" si="355"/>
        <v>1</v>
      </c>
      <c r="BD167" s="100">
        <f t="shared" si="357"/>
        <v>1</v>
      </c>
      <c r="BE167" s="10"/>
      <c r="BF167" s="100">
        <f t="shared" ref="BF167:BG167" si="377">BF150/BF$150</f>
        <v>1</v>
      </c>
      <c r="BG167" s="100">
        <f t="shared" si="377"/>
        <v>1</v>
      </c>
    </row>
    <row r="168" spans="2:59" s="104" customFormat="1" hidden="1" outlineLevel="1">
      <c r="B168" s="313"/>
      <c r="C168" s="314"/>
      <c r="D168" s="314"/>
      <c r="E168" s="314"/>
      <c r="F168" s="314"/>
      <c r="G168" s="314"/>
      <c r="H168" s="314"/>
      <c r="I168" s="314"/>
      <c r="J168" s="314"/>
      <c r="K168" s="314"/>
      <c r="L168" s="314"/>
      <c r="M168" s="315"/>
      <c r="N168" s="315"/>
      <c r="O168" s="315"/>
      <c r="P168" s="375"/>
      <c r="Q168" s="315"/>
      <c r="R168" s="315"/>
      <c r="S168" s="315"/>
      <c r="T168" s="315"/>
      <c r="U168" s="315"/>
      <c r="V168" s="315"/>
      <c r="W168" s="315"/>
      <c r="X168" s="315"/>
      <c r="Y168" s="315"/>
      <c r="Z168" s="315"/>
      <c r="AA168" s="315"/>
      <c r="AB168" s="315"/>
      <c r="AC168" s="315"/>
      <c r="AD168" s="315"/>
      <c r="AE168" s="315"/>
      <c r="AF168" s="315"/>
      <c r="AG168" s="315"/>
      <c r="AH168" s="315"/>
      <c r="AI168" s="315"/>
      <c r="AJ168" s="315"/>
      <c r="AK168" s="315"/>
      <c r="AL168" s="315"/>
      <c r="AM168" s="315"/>
      <c r="AN168" s="315"/>
      <c r="AO168" s="315"/>
      <c r="AP168" s="315"/>
      <c r="AQ168" s="315"/>
      <c r="AR168" s="315"/>
      <c r="AS168" s="315"/>
      <c r="AT168" s="315"/>
      <c r="AU168" s="315"/>
      <c r="AV168" s="315"/>
      <c r="AW168" s="315"/>
      <c r="AX168" s="370"/>
      <c r="AZ168" s="316"/>
      <c r="BA168" s="316"/>
      <c r="BB168" s="370"/>
      <c r="BC168" s="315"/>
      <c r="BD168" s="315"/>
      <c r="BE168" s="10"/>
      <c r="BF168" s="315"/>
      <c r="BG168" s="315"/>
    </row>
    <row r="169" spans="2:59" s="104" customFormat="1" hidden="1" outlineLevel="1">
      <c r="B169" s="27"/>
      <c r="C169" s="314"/>
      <c r="D169" s="314"/>
      <c r="E169" s="314"/>
      <c r="F169" s="314"/>
      <c r="G169" s="314"/>
      <c r="H169" s="314"/>
      <c r="I169" s="314"/>
      <c r="J169" s="314"/>
      <c r="K169" s="314"/>
      <c r="L169" s="314"/>
      <c r="M169" s="315"/>
      <c r="N169" s="315"/>
      <c r="O169" s="315"/>
      <c r="P169" s="375"/>
      <c r="Q169" s="315"/>
      <c r="R169" s="315"/>
      <c r="S169" s="315"/>
      <c r="T169" s="315"/>
      <c r="U169" s="315"/>
      <c r="V169" s="315"/>
      <c r="W169" s="315"/>
      <c r="X169" s="315"/>
      <c r="Y169" s="315"/>
      <c r="Z169" s="315"/>
      <c r="AA169" s="315"/>
      <c r="AB169" s="315"/>
      <c r="AC169" s="315"/>
      <c r="AD169" s="315"/>
      <c r="AE169" s="315"/>
      <c r="AF169" s="315"/>
      <c r="AG169" s="315"/>
      <c r="AH169" s="315"/>
      <c r="AI169" s="315"/>
      <c r="AJ169" s="315"/>
      <c r="AK169" s="315"/>
      <c r="AL169" s="315"/>
      <c r="AM169" s="315"/>
      <c r="AN169" s="315"/>
      <c r="AO169" s="315"/>
      <c r="AP169" s="315"/>
      <c r="AQ169" s="315"/>
      <c r="AR169" s="315"/>
      <c r="AS169" s="315"/>
      <c r="AT169" s="315"/>
      <c r="AU169" s="315"/>
      <c r="AV169" s="315"/>
      <c r="AW169" s="315"/>
      <c r="AX169" s="370"/>
      <c r="AZ169" s="316"/>
      <c r="BA169" s="316"/>
      <c r="BB169" s="370"/>
      <c r="BC169" s="315"/>
      <c r="BD169" s="315"/>
      <c r="BE169" s="10"/>
      <c r="BF169" s="315"/>
      <c r="BG169" s="315"/>
    </row>
    <row r="170" spans="2:59" s="104" customFormat="1" hidden="1" outlineLevel="1">
      <c r="B170" s="360" t="s">
        <v>389</v>
      </c>
      <c r="C170" s="363"/>
      <c r="D170" s="363"/>
      <c r="E170" s="363"/>
      <c r="F170" s="363"/>
      <c r="G170" s="363"/>
      <c r="H170" s="363"/>
      <c r="I170" s="363"/>
      <c r="J170" s="363"/>
      <c r="K170" s="363"/>
      <c r="L170" s="363"/>
      <c r="M170" s="365"/>
      <c r="N170" s="365"/>
      <c r="O170" s="365"/>
      <c r="P170" s="375"/>
      <c r="Q170" s="365"/>
      <c r="R170" s="365"/>
      <c r="S170" s="365"/>
      <c r="T170" s="365"/>
      <c r="U170" s="365"/>
      <c r="V170" s="365"/>
      <c r="W170" s="365"/>
      <c r="X170" s="365"/>
      <c r="Y170" s="365"/>
      <c r="Z170" s="365"/>
      <c r="AA170" s="365"/>
      <c r="AB170" s="365"/>
      <c r="AC170" s="365"/>
      <c r="AD170" s="365"/>
      <c r="AE170" s="365"/>
      <c r="AF170" s="365"/>
      <c r="AG170" s="365"/>
      <c r="AH170" s="365"/>
      <c r="AI170" s="365"/>
      <c r="AJ170" s="365"/>
      <c r="AK170" s="365"/>
      <c r="AL170" s="365"/>
      <c r="AM170" s="365"/>
      <c r="AN170" s="365"/>
      <c r="AO170" s="365"/>
      <c r="AP170" s="365"/>
      <c r="AQ170" s="365"/>
      <c r="AR170" s="365"/>
      <c r="AS170" s="365"/>
      <c r="AT170" s="365"/>
      <c r="AU170" s="365"/>
      <c r="AV170" s="365"/>
      <c r="AW170" s="365"/>
      <c r="AX170" s="370"/>
      <c r="AY170" s="361"/>
      <c r="AZ170" s="364"/>
      <c r="BA170" s="364"/>
      <c r="BB170" s="370"/>
      <c r="BC170" s="365"/>
      <c r="BD170" s="365"/>
      <c r="BE170" s="10"/>
      <c r="BF170" s="365"/>
      <c r="BG170" s="365"/>
    </row>
    <row r="171" spans="2:59" s="104" customFormat="1" hidden="1" outlineLevel="1">
      <c r="B171" s="310" t="s">
        <v>380</v>
      </c>
      <c r="C171" s="314"/>
      <c r="D171" s="314"/>
      <c r="E171" s="314"/>
      <c r="F171" s="314"/>
      <c r="G171" s="314"/>
      <c r="H171" s="314"/>
      <c r="I171" s="314"/>
      <c r="J171" s="314"/>
      <c r="K171" s="314"/>
      <c r="L171" s="314"/>
      <c r="M171" s="315"/>
      <c r="N171" s="315"/>
      <c r="O171" s="315"/>
      <c r="P171" s="375"/>
      <c r="Q171" s="315"/>
      <c r="R171" s="315"/>
      <c r="S171" s="315"/>
      <c r="T171" s="315"/>
      <c r="U171" s="315"/>
      <c r="V171" s="315"/>
      <c r="W171" s="315"/>
      <c r="X171" s="315"/>
      <c r="Y171" s="315"/>
      <c r="Z171" s="315"/>
      <c r="AA171" s="315"/>
      <c r="AB171" s="315"/>
      <c r="AC171" s="315"/>
      <c r="AD171" s="315"/>
      <c r="AE171" s="315"/>
      <c r="AF171" s="315"/>
      <c r="AG171" s="315"/>
      <c r="AH171" s="315"/>
      <c r="AI171" s="315"/>
      <c r="AJ171" s="315"/>
      <c r="AK171" s="315"/>
      <c r="AL171" s="315"/>
      <c r="AM171" s="315"/>
      <c r="AN171" s="315"/>
      <c r="AO171" s="315"/>
      <c r="AP171" s="315"/>
      <c r="AQ171" s="315"/>
      <c r="AR171" s="315"/>
      <c r="AS171" s="315"/>
      <c r="AT171" s="315"/>
      <c r="AU171" s="315"/>
      <c r="AV171" s="315"/>
      <c r="AW171" s="315"/>
      <c r="AX171" s="370"/>
      <c r="AZ171" s="316"/>
      <c r="BA171" s="316"/>
      <c r="BB171" s="370"/>
      <c r="BC171" s="315"/>
      <c r="BD171" s="315"/>
      <c r="BE171" s="10"/>
      <c r="BF171" s="315"/>
      <c r="BG171" s="315"/>
    </row>
    <row r="172" spans="2:59" s="104" customFormat="1" hidden="1" outlineLevel="1">
      <c r="B172" s="309" t="s">
        <v>346</v>
      </c>
      <c r="C172" s="314"/>
      <c r="D172" s="314"/>
      <c r="E172" s="314"/>
      <c r="F172" s="314"/>
      <c r="G172" s="314"/>
      <c r="H172" s="314"/>
      <c r="I172" s="314"/>
      <c r="J172" s="314"/>
      <c r="K172" s="314"/>
      <c r="L172" s="314"/>
      <c r="M172" s="60"/>
      <c r="N172" s="60"/>
      <c r="O172" s="60"/>
      <c r="P172" s="375"/>
      <c r="Q172" s="314"/>
      <c r="R172" s="314"/>
      <c r="S172" s="314"/>
      <c r="T172" s="314"/>
      <c r="U172" s="314"/>
      <c r="V172" s="314"/>
      <c r="W172" s="314"/>
      <c r="X172" s="314"/>
      <c r="Y172" s="314"/>
      <c r="Z172" s="314"/>
      <c r="AA172" s="314"/>
      <c r="AB172" s="314"/>
      <c r="AC172" s="314"/>
      <c r="AD172" s="314"/>
      <c r="AE172" s="314"/>
      <c r="AF172" s="314"/>
      <c r="AG172" s="314"/>
      <c r="AH172" s="314"/>
      <c r="AI172" s="314"/>
      <c r="AJ172" s="314"/>
      <c r="AK172" s="403"/>
      <c r="AL172" s="403"/>
      <c r="AM172" s="403"/>
      <c r="AN172" s="403"/>
      <c r="AO172" s="404"/>
      <c r="AP172" s="403"/>
      <c r="AQ172" s="403"/>
      <c r="AR172" s="403"/>
      <c r="AS172" s="101">
        <f>AS138/AZ138-1</f>
        <v>-0.10499082209647681</v>
      </c>
      <c r="AT172" s="368"/>
      <c r="AU172" s="368"/>
      <c r="AV172" s="403"/>
      <c r="AW172" s="101" t="e">
        <f>AW138/BE138-1</f>
        <v>#DIV/0!</v>
      </c>
      <c r="AX172" s="370"/>
      <c r="AY172" s="60"/>
      <c r="AZ172" s="60"/>
      <c r="BA172" s="60"/>
      <c r="BB172" s="370"/>
      <c r="BC172" s="60"/>
      <c r="BD172" s="60"/>
      <c r="BE172" s="10"/>
      <c r="BF172" s="60"/>
      <c r="BG172" s="60"/>
    </row>
    <row r="173" spans="2:59" s="104" customFormat="1" hidden="1" outlineLevel="1">
      <c r="B173" s="309" t="s">
        <v>347</v>
      </c>
      <c r="C173" s="314"/>
      <c r="D173" s="314"/>
      <c r="E173" s="314"/>
      <c r="F173" s="314"/>
      <c r="G173" s="314"/>
      <c r="H173" s="314"/>
      <c r="I173" s="314"/>
      <c r="J173" s="314"/>
      <c r="K173" s="314"/>
      <c r="L173" s="314"/>
      <c r="M173" s="60"/>
      <c r="N173" s="60"/>
      <c r="O173" s="60"/>
      <c r="P173" s="375"/>
      <c r="Q173" s="314"/>
      <c r="R173" s="314"/>
      <c r="S173" s="314"/>
      <c r="T173" s="314"/>
      <c r="U173" s="314"/>
      <c r="V173" s="314"/>
      <c r="W173" s="314"/>
      <c r="X173" s="314"/>
      <c r="Y173" s="314"/>
      <c r="Z173" s="314"/>
      <c r="AA173" s="314"/>
      <c r="AB173" s="314"/>
      <c r="AC173" s="314"/>
      <c r="AD173" s="314"/>
      <c r="AE173" s="314"/>
      <c r="AF173" s="314"/>
      <c r="AG173" s="314"/>
      <c r="AH173" s="314"/>
      <c r="AI173" s="314"/>
      <c r="AJ173" s="314"/>
      <c r="AK173" s="403"/>
      <c r="AL173" s="403"/>
      <c r="AM173" s="403"/>
      <c r="AN173" s="403"/>
      <c r="AO173" s="404"/>
      <c r="AP173" s="403"/>
      <c r="AQ173" s="403"/>
      <c r="AR173" s="403"/>
      <c r="AS173" s="101">
        <f>AS139/AZ139-1</f>
        <v>-0.21181741016693378</v>
      </c>
      <c r="AT173" s="60"/>
      <c r="AU173" s="60"/>
      <c r="AV173" s="403"/>
      <c r="AW173" s="101" t="e">
        <f>AW139/BE139-1</f>
        <v>#DIV/0!</v>
      </c>
      <c r="AX173" s="370"/>
      <c r="AY173" s="60"/>
      <c r="AZ173" s="60"/>
      <c r="BA173" s="60"/>
      <c r="BB173" s="370"/>
      <c r="BC173" s="60"/>
      <c r="BD173" s="101">
        <f>BD139/BC139-1</f>
        <v>-0.18832429474220547</v>
      </c>
      <c r="BE173" s="10"/>
      <c r="BF173" s="60"/>
      <c r="BG173" s="101">
        <f>BG139/BF139-1</f>
        <v>-0.14915613389531612</v>
      </c>
    </row>
    <row r="174" spans="2:59" s="104" customFormat="1" hidden="1" outlineLevel="1">
      <c r="B174" s="309" t="s">
        <v>348</v>
      </c>
      <c r="C174" s="314"/>
      <c r="D174" s="314"/>
      <c r="E174" s="314"/>
      <c r="F174" s="314"/>
      <c r="G174" s="314"/>
      <c r="H174" s="314"/>
      <c r="I174" s="314"/>
      <c r="J174" s="314"/>
      <c r="K174" s="314"/>
      <c r="L174" s="314"/>
      <c r="M174" s="60"/>
      <c r="N174" s="60"/>
      <c r="O174" s="60"/>
      <c r="P174" s="375"/>
      <c r="Q174" s="314"/>
      <c r="R174" s="314"/>
      <c r="S174" s="314"/>
      <c r="T174" s="314"/>
      <c r="U174" s="314"/>
      <c r="V174" s="314"/>
      <c r="W174" s="314"/>
      <c r="X174" s="314"/>
      <c r="Y174" s="314"/>
      <c r="Z174" s="314"/>
      <c r="AA174" s="314"/>
      <c r="AB174" s="314"/>
      <c r="AC174" s="314"/>
      <c r="AD174" s="314"/>
      <c r="AE174" s="314"/>
      <c r="AF174" s="314"/>
      <c r="AG174" s="314"/>
      <c r="AH174" s="314"/>
      <c r="AI174" s="314"/>
      <c r="AJ174" s="314"/>
      <c r="AK174" s="403"/>
      <c r="AL174" s="403"/>
      <c r="AM174" s="403"/>
      <c r="AN174" s="403"/>
      <c r="AO174" s="404"/>
      <c r="AP174" s="403"/>
      <c r="AQ174" s="403"/>
      <c r="AR174" s="403"/>
      <c r="AS174" s="101">
        <f>AS140/AZ140-1</f>
        <v>-4.7231222905304016E-3</v>
      </c>
      <c r="AT174" s="60"/>
      <c r="AU174" s="60"/>
      <c r="AV174" s="403"/>
      <c r="AW174" s="101" t="e">
        <f>AW140/BE140-1</f>
        <v>#DIV/0!</v>
      </c>
      <c r="AX174" s="370"/>
      <c r="AY174" s="60"/>
      <c r="AZ174" s="60"/>
      <c r="BA174" s="60"/>
      <c r="BB174" s="370"/>
      <c r="BC174" s="60"/>
      <c r="BD174" s="101">
        <f>BD140/BC140-1</f>
        <v>9.4449611281752777E-3</v>
      </c>
      <c r="BE174" s="10"/>
      <c r="BF174" s="60"/>
      <c r="BG174" s="101">
        <f>BG140/BF140-1</f>
        <v>-1.9129752080001561E-2</v>
      </c>
    </row>
    <row r="175" spans="2:59" s="104" customFormat="1" hidden="1" outlineLevel="1">
      <c r="B175" s="309" t="s">
        <v>350</v>
      </c>
      <c r="C175" s="314"/>
      <c r="D175" s="314"/>
      <c r="E175" s="314"/>
      <c r="F175" s="314"/>
      <c r="G175" s="314"/>
      <c r="H175" s="314"/>
      <c r="I175" s="314"/>
      <c r="J175" s="314"/>
      <c r="K175" s="314"/>
      <c r="L175" s="314"/>
      <c r="M175" s="60"/>
      <c r="N175" s="60"/>
      <c r="O175" s="60"/>
      <c r="P175" s="375"/>
      <c r="Q175" s="314"/>
      <c r="R175" s="314"/>
      <c r="S175" s="314"/>
      <c r="T175" s="314"/>
      <c r="U175" s="314"/>
      <c r="V175" s="314"/>
      <c r="W175" s="314"/>
      <c r="X175" s="314"/>
      <c r="Y175" s="314"/>
      <c r="Z175" s="314"/>
      <c r="AA175" s="314"/>
      <c r="AB175" s="314"/>
      <c r="AC175" s="314"/>
      <c r="AD175" s="314"/>
      <c r="AE175" s="314"/>
      <c r="AF175" s="314"/>
      <c r="AG175" s="314"/>
      <c r="AH175" s="314"/>
      <c r="AI175" s="314"/>
      <c r="AJ175" s="314"/>
      <c r="AK175" s="403"/>
      <c r="AL175" s="403"/>
      <c r="AM175" s="403"/>
      <c r="AN175" s="403"/>
      <c r="AO175" s="404"/>
      <c r="AP175" s="403"/>
      <c r="AQ175" s="403"/>
      <c r="AR175" s="403"/>
      <c r="AS175" s="101">
        <f>AS141/AZ141-1</f>
        <v>-1.2780582339480318E-2</v>
      </c>
      <c r="AT175" s="60"/>
      <c r="AU175" s="60"/>
      <c r="AV175" s="403"/>
      <c r="AW175" s="101" t="e">
        <f>AW141/BE141-1</f>
        <v>#DIV/0!</v>
      </c>
      <c r="AX175" s="370"/>
      <c r="AY175" s="60"/>
      <c r="AZ175" s="60"/>
      <c r="BA175" s="60"/>
      <c r="BB175" s="370"/>
      <c r="BC175" s="60"/>
      <c r="BD175" s="101">
        <f>BD141/BC141-1</f>
        <v>-3.4197336844564385E-2</v>
      </c>
      <c r="BE175" s="10"/>
      <c r="BF175" s="60"/>
      <c r="BG175" s="101">
        <f>BG141/BF141-1</f>
        <v>-1.9124796705768388E-2</v>
      </c>
    </row>
    <row r="176" spans="2:59" s="104" customFormat="1" hidden="1" outlineLevel="1">
      <c r="B176" s="310" t="s">
        <v>381</v>
      </c>
      <c r="C176" s="314"/>
      <c r="D176" s="314"/>
      <c r="E176" s="314"/>
      <c r="F176" s="314"/>
      <c r="G176" s="314"/>
      <c r="H176" s="314"/>
      <c r="I176" s="314"/>
      <c r="J176" s="314"/>
      <c r="K176" s="314"/>
      <c r="L176" s="314"/>
      <c r="P176" s="375"/>
      <c r="AX176" s="370"/>
      <c r="BB176" s="370"/>
      <c r="BE176" s="10"/>
    </row>
    <row r="177" spans="2:59" s="104" customFormat="1" hidden="1" outlineLevel="1">
      <c r="B177" s="309" t="s">
        <v>382</v>
      </c>
      <c r="C177" s="314"/>
      <c r="D177" s="314"/>
      <c r="E177" s="314"/>
      <c r="F177" s="314"/>
      <c r="G177" s="314"/>
      <c r="H177" s="314"/>
      <c r="I177" s="314"/>
      <c r="J177" s="314"/>
      <c r="K177" s="314"/>
      <c r="L177" s="314"/>
      <c r="M177" s="60"/>
      <c r="N177" s="60"/>
      <c r="O177" s="60"/>
      <c r="P177" s="375"/>
      <c r="Q177" s="314"/>
      <c r="R177" s="314"/>
      <c r="S177" s="314"/>
      <c r="T177" s="314"/>
      <c r="U177" s="314"/>
      <c r="V177" s="314"/>
      <c r="W177" s="314"/>
      <c r="X177" s="314"/>
      <c r="Y177" s="314"/>
      <c r="Z177" s="314"/>
      <c r="AA177" s="314"/>
      <c r="AB177" s="314"/>
      <c r="AC177" s="314"/>
      <c r="AD177" s="314"/>
      <c r="AE177" s="314"/>
      <c r="AF177" s="314"/>
      <c r="AG177" s="314"/>
      <c r="AH177" s="314"/>
      <c r="AI177" s="314"/>
      <c r="AJ177" s="314"/>
      <c r="AK177" s="403"/>
      <c r="AL177" s="403"/>
      <c r="AM177" s="403"/>
      <c r="AN177" s="403"/>
      <c r="AO177" s="404"/>
      <c r="AP177" s="403"/>
      <c r="AQ177" s="403"/>
      <c r="AR177" s="403"/>
      <c r="AS177" s="101">
        <f>AS143/AZ143-1</f>
        <v>-0.53076996539894061</v>
      </c>
      <c r="AT177" s="60"/>
      <c r="AU177" s="60"/>
      <c r="AV177" s="403"/>
      <c r="AW177" s="101" t="e">
        <f>AW143/BE143-1</f>
        <v>#DIV/0!</v>
      </c>
      <c r="AX177" s="370"/>
      <c r="AY177" s="60"/>
      <c r="AZ177" s="60"/>
      <c r="BA177" s="60"/>
      <c r="BB177" s="370"/>
      <c r="BC177" s="60"/>
      <c r="BD177" s="101">
        <f>BD143/BC143-1</f>
        <v>-0.22444677832439708</v>
      </c>
      <c r="BE177" s="10"/>
      <c r="BF177" s="60"/>
      <c r="BG177" s="101">
        <f>BG143/BF143-1</f>
        <v>-0.21975001450246667</v>
      </c>
    </row>
    <row r="178" spans="2:59" s="104" customFormat="1" hidden="1" outlineLevel="1">
      <c r="B178" s="309" t="s">
        <v>383</v>
      </c>
      <c r="C178" s="314"/>
      <c r="D178" s="314"/>
      <c r="E178" s="314"/>
      <c r="F178" s="314"/>
      <c r="G178" s="314"/>
      <c r="H178" s="314"/>
      <c r="I178" s="314"/>
      <c r="J178" s="314"/>
      <c r="K178" s="314"/>
      <c r="L178" s="314"/>
      <c r="M178" s="60"/>
      <c r="N178" s="60"/>
      <c r="O178" s="60"/>
      <c r="P178" s="375"/>
      <c r="Q178" s="314"/>
      <c r="R178" s="314"/>
      <c r="S178" s="314"/>
      <c r="T178" s="314"/>
      <c r="U178" s="314"/>
      <c r="V178" s="314"/>
      <c r="W178" s="314"/>
      <c r="X178" s="314"/>
      <c r="Y178" s="314"/>
      <c r="Z178" s="314"/>
      <c r="AA178" s="314"/>
      <c r="AB178" s="314"/>
      <c r="AC178" s="314"/>
      <c r="AD178" s="314"/>
      <c r="AE178" s="314"/>
      <c r="AF178" s="314"/>
      <c r="AG178" s="314"/>
      <c r="AH178" s="314"/>
      <c r="AI178" s="314"/>
      <c r="AJ178" s="314"/>
      <c r="AK178" s="403"/>
      <c r="AL178" s="403"/>
      <c r="AM178" s="403"/>
      <c r="AN178" s="403"/>
      <c r="AO178" s="404"/>
      <c r="AP178" s="403"/>
      <c r="AQ178" s="403"/>
      <c r="AR178" s="403"/>
      <c r="AS178" s="101">
        <f>AS144/AZ144-1</f>
        <v>-1.1849912639330107E-2</v>
      </c>
      <c r="AT178" s="60"/>
      <c r="AU178" s="60"/>
      <c r="AV178" s="403"/>
      <c r="AW178" s="101" t="e">
        <f>AW144/BE144-1</f>
        <v>#DIV/0!</v>
      </c>
      <c r="AX178" s="370"/>
      <c r="AY178" s="60"/>
      <c r="AZ178" s="60"/>
      <c r="BA178" s="60"/>
      <c r="BB178" s="370"/>
      <c r="BC178" s="60"/>
      <c r="BD178" s="101">
        <f>BD144/BC144-1</f>
        <v>-9.3671213331700476E-2</v>
      </c>
      <c r="BE178" s="10"/>
      <c r="BF178" s="60"/>
      <c r="BG178" s="101">
        <f>BG144/BF144-1</f>
        <v>-6.5810392605028523E-2</v>
      </c>
    </row>
    <row r="179" spans="2:59" s="104" customFormat="1" hidden="1" outlineLevel="1">
      <c r="B179" s="310" t="s">
        <v>384</v>
      </c>
      <c r="C179" s="314"/>
      <c r="D179" s="314"/>
      <c r="E179" s="314"/>
      <c r="F179" s="314"/>
      <c r="G179" s="314"/>
      <c r="H179" s="314"/>
      <c r="I179" s="314"/>
      <c r="J179" s="314"/>
      <c r="K179" s="314"/>
      <c r="L179" s="314"/>
      <c r="M179" s="101"/>
      <c r="N179" s="101"/>
      <c r="O179" s="101"/>
      <c r="P179" s="375"/>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370"/>
      <c r="AY179" s="101"/>
      <c r="AZ179" s="101"/>
      <c r="BA179" s="101"/>
      <c r="BB179" s="370"/>
      <c r="BC179" s="101"/>
      <c r="BD179" s="101"/>
      <c r="BE179" s="10"/>
      <c r="BF179" s="101"/>
      <c r="BG179" s="101"/>
    </row>
    <row r="180" spans="2:59" s="104" customFormat="1" hidden="1" outlineLevel="1">
      <c r="B180" s="309" t="s">
        <v>385</v>
      </c>
      <c r="C180" s="314"/>
      <c r="D180" s="314"/>
      <c r="E180" s="314"/>
      <c r="F180" s="314"/>
      <c r="G180" s="314"/>
      <c r="H180" s="314"/>
      <c r="I180" s="314"/>
      <c r="J180" s="314"/>
      <c r="K180" s="314"/>
      <c r="L180" s="314"/>
      <c r="M180" s="60"/>
      <c r="N180" s="60"/>
      <c r="O180" s="60"/>
      <c r="P180" s="375"/>
      <c r="Q180" s="314"/>
      <c r="R180" s="314"/>
      <c r="S180" s="314"/>
      <c r="T180" s="314"/>
      <c r="U180" s="314"/>
      <c r="V180" s="314"/>
      <c r="W180" s="314"/>
      <c r="X180" s="314"/>
      <c r="Y180" s="314"/>
      <c r="Z180" s="314"/>
      <c r="AA180" s="314"/>
      <c r="AB180" s="314"/>
      <c r="AC180" s="314"/>
      <c r="AD180" s="314"/>
      <c r="AE180" s="314"/>
      <c r="AF180" s="314"/>
      <c r="AG180" s="314"/>
      <c r="AH180" s="314"/>
      <c r="AI180" s="314"/>
      <c r="AJ180" s="314"/>
      <c r="AK180" s="403"/>
      <c r="AL180" s="403"/>
      <c r="AM180" s="403"/>
      <c r="AN180" s="403"/>
      <c r="AO180" s="404"/>
      <c r="AP180" s="403"/>
      <c r="AQ180" s="403"/>
      <c r="AR180" s="403"/>
      <c r="AS180" s="101">
        <f>AS146/AZ146-1</f>
        <v>-4.3663387978142065E-2</v>
      </c>
      <c r="AT180" s="60"/>
      <c r="AU180" s="60"/>
      <c r="AV180" s="403"/>
      <c r="AW180" s="101" t="e">
        <f>AW146/BE146-1</f>
        <v>#DIV/0!</v>
      </c>
      <c r="AX180" s="370"/>
      <c r="AY180" s="60"/>
      <c r="AZ180" s="60"/>
      <c r="BA180" s="60"/>
      <c r="BB180" s="370"/>
      <c r="BC180" s="60"/>
      <c r="BD180" s="101">
        <f>BD146/BC146-1</f>
        <v>-2.2445711717279493E-2</v>
      </c>
      <c r="BE180" s="10"/>
      <c r="BF180" s="60"/>
      <c r="BG180" s="101">
        <f>BG146/BF146-1</f>
        <v>-1.0454423169825033E-2</v>
      </c>
    </row>
    <row r="181" spans="2:59" s="104" customFormat="1" hidden="1" outlineLevel="1">
      <c r="B181" s="309" t="s">
        <v>386</v>
      </c>
      <c r="C181" s="314"/>
      <c r="D181" s="314"/>
      <c r="E181" s="314"/>
      <c r="F181" s="314"/>
      <c r="G181" s="314"/>
      <c r="H181" s="314"/>
      <c r="I181" s="314"/>
      <c r="J181" s="314"/>
      <c r="K181" s="314"/>
      <c r="L181" s="314"/>
      <c r="M181" s="60"/>
      <c r="N181" s="60"/>
      <c r="O181" s="60"/>
      <c r="P181" s="375"/>
      <c r="Q181" s="314"/>
      <c r="R181" s="314"/>
      <c r="S181" s="314"/>
      <c r="T181" s="314"/>
      <c r="U181" s="314"/>
      <c r="V181" s="314"/>
      <c r="W181" s="314"/>
      <c r="X181" s="314"/>
      <c r="Y181" s="314"/>
      <c r="Z181" s="314"/>
      <c r="AA181" s="314"/>
      <c r="AB181" s="314"/>
      <c r="AC181" s="314"/>
      <c r="AD181" s="314"/>
      <c r="AE181" s="314"/>
      <c r="AF181" s="314"/>
      <c r="AG181" s="314"/>
      <c r="AH181" s="314"/>
      <c r="AI181" s="314"/>
      <c r="AJ181" s="314"/>
      <c r="AK181" s="403"/>
      <c r="AL181" s="403"/>
      <c r="AM181" s="403"/>
      <c r="AN181" s="403"/>
      <c r="AO181" s="404"/>
      <c r="AP181" s="403"/>
      <c r="AQ181" s="403"/>
      <c r="AR181" s="403"/>
      <c r="AS181" s="101">
        <f>AS147/AZ147-1</f>
        <v>0.3667358791489872</v>
      </c>
      <c r="AT181" s="60"/>
      <c r="AU181" s="60"/>
      <c r="AV181" s="403"/>
      <c r="AW181" s="101" t="e">
        <f>AW147/BE147-1</f>
        <v>#DIV/0!</v>
      </c>
      <c r="AX181" s="370"/>
      <c r="AY181" s="60"/>
      <c r="AZ181" s="60"/>
      <c r="BA181" s="60"/>
      <c r="BB181" s="370"/>
      <c r="BC181" s="60"/>
      <c r="BD181" s="101">
        <f>BD147/BC147-1</f>
        <v>0.48944397667383921</v>
      </c>
      <c r="BE181" s="10"/>
      <c r="BF181" s="60"/>
      <c r="BG181" s="101">
        <f>BG147/BF147-1</f>
        <v>0.49696438819584987</v>
      </c>
    </row>
    <row r="182" spans="2:59" s="104" customFormat="1" hidden="1" outlineLevel="1">
      <c r="B182" s="310" t="s">
        <v>38</v>
      </c>
      <c r="C182" s="314"/>
      <c r="D182" s="314"/>
      <c r="E182" s="314"/>
      <c r="F182" s="314"/>
      <c r="G182" s="314"/>
      <c r="H182" s="314"/>
      <c r="I182" s="314"/>
      <c r="J182" s="314"/>
      <c r="K182" s="314"/>
      <c r="L182" s="314"/>
      <c r="M182" s="60"/>
      <c r="N182" s="60"/>
      <c r="O182" s="60"/>
      <c r="P182" s="375"/>
      <c r="Q182" s="314"/>
      <c r="R182" s="314"/>
      <c r="S182" s="314"/>
      <c r="T182" s="314"/>
      <c r="U182" s="314"/>
      <c r="V182" s="314"/>
      <c r="W182" s="314"/>
      <c r="X182" s="314"/>
      <c r="Y182" s="314"/>
      <c r="Z182" s="314"/>
      <c r="AA182" s="314"/>
      <c r="AB182" s="314"/>
      <c r="AC182" s="314"/>
      <c r="AD182" s="314"/>
      <c r="AE182" s="314"/>
      <c r="AF182" s="314"/>
      <c r="AG182" s="314"/>
      <c r="AH182" s="314"/>
      <c r="AI182" s="314"/>
      <c r="AJ182" s="314"/>
      <c r="AK182" s="403"/>
      <c r="AL182" s="403"/>
      <c r="AM182" s="403"/>
      <c r="AN182" s="403"/>
      <c r="AO182" s="404"/>
      <c r="AP182" s="403"/>
      <c r="AQ182" s="403"/>
      <c r="AR182" s="403"/>
      <c r="AS182" s="101">
        <f>AS148/AZ148-1</f>
        <v>-0.81062816771617263</v>
      </c>
      <c r="AT182" s="60"/>
      <c r="AU182" s="60"/>
      <c r="AV182" s="403"/>
      <c r="AW182" s="101" t="e">
        <f>AW148/BE148-1</f>
        <v>#DIV/0!</v>
      </c>
      <c r="AX182" s="370"/>
      <c r="AY182" s="60"/>
      <c r="AZ182" s="60"/>
      <c r="BA182" s="60"/>
      <c r="BB182" s="370"/>
      <c r="BC182" s="60"/>
      <c r="BD182" s="101">
        <f>BD148/BC148-1</f>
        <v>-0.44114624660171442</v>
      </c>
      <c r="BE182" s="10"/>
      <c r="BF182" s="60"/>
      <c r="BG182" s="101">
        <f>BG148/BF148-1</f>
        <v>-0.41133174951813178</v>
      </c>
    </row>
    <row r="183" spans="2:59" s="104" customFormat="1" hidden="1" outlineLevel="1">
      <c r="B183" s="310" t="s">
        <v>387</v>
      </c>
      <c r="C183" s="314"/>
      <c r="D183" s="314"/>
      <c r="E183" s="314"/>
      <c r="F183" s="314"/>
      <c r="G183" s="314"/>
      <c r="H183" s="314"/>
      <c r="I183" s="314"/>
      <c r="J183" s="314"/>
      <c r="K183" s="314"/>
      <c r="L183" s="314"/>
      <c r="M183" s="101"/>
      <c r="N183" s="101"/>
      <c r="O183" s="101"/>
      <c r="P183" s="375"/>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370"/>
      <c r="AY183" s="101"/>
      <c r="AZ183" s="101"/>
      <c r="BA183" s="101"/>
      <c r="BB183" s="370"/>
      <c r="BC183" s="101"/>
      <c r="BD183" s="101"/>
      <c r="BE183" s="10"/>
      <c r="BF183" s="101"/>
      <c r="BG183" s="101"/>
    </row>
    <row r="184" spans="2:59" s="104" customFormat="1" hidden="1" outlineLevel="1">
      <c r="B184" s="311" t="s">
        <v>31</v>
      </c>
      <c r="C184" s="314"/>
      <c r="D184" s="314"/>
      <c r="E184" s="314"/>
      <c r="F184" s="314"/>
      <c r="G184" s="314"/>
      <c r="H184" s="314"/>
      <c r="I184" s="314"/>
      <c r="J184" s="314"/>
      <c r="K184" s="314"/>
      <c r="L184" s="314"/>
      <c r="M184" s="60"/>
      <c r="N184" s="60"/>
      <c r="O184" s="60"/>
      <c r="P184" s="375"/>
      <c r="Q184" s="314"/>
      <c r="R184" s="314"/>
      <c r="S184" s="314"/>
      <c r="T184" s="314"/>
      <c r="U184" s="314"/>
      <c r="V184" s="314"/>
      <c r="W184" s="314"/>
      <c r="X184" s="314"/>
      <c r="Y184" s="314"/>
      <c r="Z184" s="314"/>
      <c r="AA184" s="314"/>
      <c r="AB184" s="314"/>
      <c r="AC184" s="314"/>
      <c r="AD184" s="314"/>
      <c r="AE184" s="314"/>
      <c r="AF184" s="314"/>
      <c r="AG184" s="314"/>
      <c r="AH184" s="314"/>
      <c r="AI184" s="314"/>
      <c r="AJ184" s="314"/>
      <c r="AK184" s="403"/>
      <c r="AL184" s="403"/>
      <c r="AM184" s="403"/>
      <c r="AN184" s="403"/>
      <c r="AO184" s="404"/>
      <c r="AP184" s="403"/>
      <c r="AQ184" s="403"/>
      <c r="AR184" s="403"/>
      <c r="AS184" s="101">
        <f>AS150/AZ150-1</f>
        <v>-0.11328474102738029</v>
      </c>
      <c r="AT184" s="60"/>
      <c r="AU184" s="60"/>
      <c r="AV184" s="403"/>
      <c r="AW184" s="101" t="e">
        <f>AW150/BE150-1</f>
        <v>#DIV/0!</v>
      </c>
      <c r="AX184" s="370"/>
      <c r="AY184" s="60"/>
      <c r="AZ184" s="60"/>
      <c r="BA184" s="60"/>
      <c r="BB184" s="370"/>
      <c r="BC184" s="60"/>
      <c r="BD184" s="101">
        <f>BD150/BC150-1</f>
        <v>-9.9937560918051282E-2</v>
      </c>
      <c r="BE184" s="10"/>
      <c r="BF184" s="60"/>
      <c r="BG184" s="101">
        <f>BG150/BF150-1</f>
        <v>-8.3037976799035684E-2</v>
      </c>
    </row>
    <row r="185" spans="2:59" s="104" customFormat="1" hidden="1" outlineLevel="1">
      <c r="B185" s="313"/>
      <c r="C185" s="314"/>
      <c r="D185" s="314"/>
      <c r="E185" s="314"/>
      <c r="F185" s="314"/>
      <c r="G185" s="314"/>
      <c r="H185" s="314"/>
      <c r="I185" s="314"/>
      <c r="J185" s="314"/>
      <c r="K185" s="314"/>
      <c r="L185" s="314"/>
      <c r="M185" s="314"/>
      <c r="N185" s="315"/>
      <c r="O185" s="315"/>
      <c r="P185" s="375"/>
      <c r="Q185" s="315"/>
      <c r="R185" s="315"/>
      <c r="S185" s="315"/>
      <c r="T185" s="315"/>
      <c r="U185" s="315"/>
      <c r="V185" s="315"/>
      <c r="W185" s="315"/>
      <c r="X185" s="315"/>
      <c r="Y185" s="315"/>
      <c r="Z185" s="315"/>
      <c r="AA185" s="315"/>
      <c r="AB185" s="315"/>
      <c r="AC185" s="315"/>
      <c r="AD185" s="315"/>
      <c r="AE185" s="315"/>
      <c r="AF185" s="315"/>
      <c r="AG185" s="315"/>
      <c r="AH185" s="315"/>
      <c r="AI185" s="315"/>
      <c r="AJ185" s="315"/>
      <c r="AK185" s="315"/>
      <c r="AL185" s="315"/>
      <c r="AM185" s="315"/>
      <c r="AN185" s="315"/>
      <c r="AO185" s="315"/>
      <c r="AP185" s="315"/>
      <c r="AQ185" s="315"/>
      <c r="AR185" s="315"/>
      <c r="AS185" s="315"/>
      <c r="AT185" s="315"/>
      <c r="AU185" s="315"/>
      <c r="AV185" s="315"/>
      <c r="AW185" s="315"/>
      <c r="AX185" s="370"/>
      <c r="AZ185" s="316"/>
      <c r="BA185" s="316"/>
      <c r="BB185" s="370"/>
      <c r="BC185" s="315"/>
      <c r="BD185" s="315"/>
      <c r="BE185" s="10"/>
      <c r="BF185" s="315"/>
      <c r="BG185" s="315"/>
    </row>
    <row r="186" spans="2:59" s="104" customFormat="1" hidden="1" outlineLevel="1">
      <c r="B186" s="27"/>
      <c r="C186" s="314"/>
      <c r="D186" s="314"/>
      <c r="E186" s="314"/>
      <c r="F186" s="314"/>
      <c r="G186" s="314"/>
      <c r="H186" s="314"/>
      <c r="I186" s="314"/>
      <c r="J186" s="314"/>
      <c r="K186" s="314"/>
      <c r="L186" s="314"/>
      <c r="M186" s="314"/>
      <c r="N186" s="315"/>
      <c r="O186" s="315"/>
      <c r="P186" s="375"/>
      <c r="Q186" s="315"/>
      <c r="R186" s="315"/>
      <c r="S186" s="315"/>
      <c r="T186" s="315"/>
      <c r="U186" s="315"/>
      <c r="V186" s="315"/>
      <c r="W186" s="315"/>
      <c r="X186" s="315"/>
      <c r="Y186" s="315"/>
      <c r="Z186" s="315"/>
      <c r="AA186" s="315"/>
      <c r="AB186" s="315"/>
      <c r="AC186" s="315"/>
      <c r="AD186" s="315"/>
      <c r="AE186" s="315"/>
      <c r="AF186" s="315"/>
      <c r="AG186" s="315"/>
      <c r="AH186" s="315"/>
      <c r="AI186" s="315"/>
      <c r="AJ186" s="315"/>
      <c r="AK186" s="315"/>
      <c r="AL186" s="315"/>
      <c r="AM186" s="315"/>
      <c r="AN186" s="315"/>
      <c r="AO186" s="315"/>
      <c r="AP186" s="315"/>
      <c r="AQ186" s="315"/>
      <c r="AR186" s="315"/>
      <c r="AS186" s="315"/>
      <c r="AT186" s="315"/>
      <c r="AU186" s="315"/>
      <c r="AV186" s="315"/>
      <c r="AW186" s="315"/>
      <c r="AX186" s="370"/>
      <c r="AZ186" s="316"/>
      <c r="BA186" s="316"/>
      <c r="BB186" s="370"/>
      <c r="BC186" s="315"/>
      <c r="BD186" s="315"/>
      <c r="BE186" s="10"/>
      <c r="BF186" s="315"/>
      <c r="BG186" s="315"/>
    </row>
    <row r="187" spans="2:59" s="104" customFormat="1" hidden="1" outlineLevel="1">
      <c r="B187" s="360" t="s">
        <v>290</v>
      </c>
      <c r="C187" s="363"/>
      <c r="D187" s="363"/>
      <c r="E187" s="363"/>
      <c r="F187" s="363"/>
      <c r="G187" s="363"/>
      <c r="H187" s="363"/>
      <c r="I187" s="363"/>
      <c r="J187" s="363"/>
      <c r="K187" s="363"/>
      <c r="L187" s="363"/>
      <c r="M187" s="363"/>
      <c r="N187" s="365"/>
      <c r="O187" s="365"/>
      <c r="P187" s="375"/>
      <c r="Q187" s="365"/>
      <c r="R187" s="365"/>
      <c r="S187" s="365"/>
      <c r="T187" s="365"/>
      <c r="U187" s="365"/>
      <c r="V187" s="365"/>
      <c r="W187" s="365"/>
      <c r="X187" s="365"/>
      <c r="Y187" s="365"/>
      <c r="Z187" s="365"/>
      <c r="AA187" s="365"/>
      <c r="AB187" s="365"/>
      <c r="AC187" s="365"/>
      <c r="AD187" s="365"/>
      <c r="AE187" s="365"/>
      <c r="AF187" s="365"/>
      <c r="AG187" s="365"/>
      <c r="AH187" s="365"/>
      <c r="AI187" s="365"/>
      <c r="AJ187" s="365"/>
      <c r="AK187" s="365"/>
      <c r="AL187" s="365"/>
      <c r="AM187" s="365"/>
      <c r="AN187" s="365"/>
      <c r="AO187" s="365"/>
      <c r="AP187" s="365"/>
      <c r="AQ187" s="365"/>
      <c r="AR187" s="365"/>
      <c r="AS187" s="365"/>
      <c r="AT187" s="365"/>
      <c r="AU187" s="365"/>
      <c r="AV187" s="365"/>
      <c r="AW187" s="365"/>
      <c r="AX187" s="370"/>
      <c r="AY187" s="361"/>
      <c r="AZ187" s="364"/>
      <c r="BA187" s="364"/>
      <c r="BB187" s="370"/>
      <c r="BC187" s="365"/>
      <c r="BD187" s="365"/>
      <c r="BE187" s="10"/>
      <c r="BF187" s="365"/>
      <c r="BG187" s="365"/>
    </row>
    <row r="188" spans="2:59" s="104" customFormat="1" hidden="1" outlineLevel="1">
      <c r="B188" s="310" t="s">
        <v>380</v>
      </c>
      <c r="C188" s="314"/>
      <c r="D188" s="314"/>
      <c r="E188" s="314"/>
      <c r="F188" s="314"/>
      <c r="G188" s="314"/>
      <c r="H188" s="314"/>
      <c r="I188" s="314"/>
      <c r="J188" s="314"/>
      <c r="K188" s="314"/>
      <c r="L188" s="314"/>
      <c r="M188" s="314"/>
      <c r="N188" s="315"/>
      <c r="O188" s="315"/>
      <c r="P188" s="375"/>
      <c r="Q188" s="315"/>
      <c r="R188" s="315"/>
      <c r="S188" s="315"/>
      <c r="T188" s="315"/>
      <c r="U188" s="315"/>
      <c r="V188" s="315"/>
      <c r="W188" s="315"/>
      <c r="X188" s="315"/>
      <c r="Y188" s="315"/>
      <c r="Z188" s="315"/>
      <c r="AA188" s="315"/>
      <c r="AB188" s="315"/>
      <c r="AC188" s="315"/>
      <c r="AD188" s="315"/>
      <c r="AE188" s="315"/>
      <c r="AF188" s="315"/>
      <c r="AG188" s="315"/>
      <c r="AH188" s="315"/>
      <c r="AI188" s="315"/>
      <c r="AJ188" s="315"/>
      <c r="AK188" s="315"/>
      <c r="AL188" s="315"/>
      <c r="AM188" s="315"/>
      <c r="AN188" s="315"/>
      <c r="AO188" s="315"/>
      <c r="AP188" s="315"/>
      <c r="AQ188" s="315"/>
      <c r="AR188" s="315"/>
      <c r="AT188" s="315"/>
      <c r="AU188" s="315"/>
      <c r="AV188" s="315"/>
      <c r="AX188" s="370"/>
      <c r="AZ188" s="316"/>
      <c r="BA188" s="316"/>
      <c r="BB188" s="370"/>
      <c r="BE188" s="10"/>
    </row>
    <row r="189" spans="2:59" s="104" customFormat="1" hidden="1" outlineLevel="1">
      <c r="B189" s="309" t="s">
        <v>346</v>
      </c>
      <c r="C189" s="314"/>
      <c r="D189" s="314"/>
      <c r="E189" s="314"/>
      <c r="F189" s="314"/>
      <c r="G189" s="314"/>
      <c r="H189" s="314"/>
      <c r="I189" s="314"/>
      <c r="J189" s="314"/>
      <c r="K189" s="314"/>
      <c r="L189" s="314"/>
      <c r="M189" s="371"/>
      <c r="N189" s="371"/>
      <c r="O189" s="371"/>
      <c r="P189" s="375"/>
      <c r="Q189" s="315"/>
      <c r="R189" s="315"/>
      <c r="S189" s="315"/>
      <c r="T189" s="315"/>
      <c r="U189" s="315"/>
      <c r="V189" s="315"/>
      <c r="W189" s="315"/>
      <c r="X189" s="315"/>
      <c r="Y189" s="315"/>
      <c r="Z189" s="315"/>
      <c r="AA189" s="315"/>
      <c r="AB189" s="315"/>
      <c r="AC189" s="315"/>
      <c r="AD189" s="315"/>
      <c r="AE189" s="315"/>
      <c r="AF189" s="315"/>
      <c r="AG189" s="315"/>
      <c r="AH189" s="315"/>
      <c r="AI189" s="315"/>
      <c r="AJ189" s="315"/>
      <c r="AK189" s="403"/>
      <c r="AL189" s="403"/>
      <c r="AM189" s="403"/>
      <c r="AN189" s="403"/>
      <c r="AO189" s="404"/>
      <c r="AP189" s="403"/>
      <c r="AQ189" s="403"/>
      <c r="AR189" s="403"/>
      <c r="AS189" s="175">
        <v>1180.93</v>
      </c>
      <c r="AT189" s="368"/>
      <c r="AU189" s="368"/>
      <c r="AV189" s="368"/>
      <c r="AW189" s="368"/>
      <c r="AX189" s="370"/>
      <c r="AY189" s="371"/>
      <c r="AZ189" s="175">
        <v>1355.8209999999999</v>
      </c>
      <c r="BA189" s="175">
        <v>1355.8209999999999</v>
      </c>
      <c r="BB189" s="370"/>
      <c r="BC189" s="371"/>
      <c r="BD189" s="371"/>
      <c r="BE189" s="10"/>
      <c r="BF189" s="371"/>
      <c r="BG189" s="371"/>
    </row>
    <row r="190" spans="2:59" s="104" customFormat="1" hidden="1" outlineLevel="1">
      <c r="B190" s="309" t="s">
        <v>347</v>
      </c>
      <c r="C190" s="314"/>
      <c r="D190" s="314"/>
      <c r="E190" s="314"/>
      <c r="F190" s="314"/>
      <c r="G190" s="314"/>
      <c r="H190" s="314"/>
      <c r="I190" s="314"/>
      <c r="J190" s="314"/>
      <c r="K190" s="314"/>
      <c r="L190" s="314"/>
      <c r="M190" s="371"/>
      <c r="N190" s="371"/>
      <c r="O190" s="371"/>
      <c r="P190" s="375"/>
      <c r="Q190" s="315"/>
      <c r="R190" s="315"/>
      <c r="S190" s="315"/>
      <c r="T190" s="315"/>
      <c r="U190" s="315"/>
      <c r="V190" s="315"/>
      <c r="W190" s="315"/>
      <c r="X190" s="315"/>
      <c r="Y190" s="315"/>
      <c r="Z190" s="315"/>
      <c r="AA190" s="315"/>
      <c r="AB190" s="315"/>
      <c r="AC190" s="315"/>
      <c r="AD190" s="315"/>
      <c r="AE190" s="315"/>
      <c r="AF190" s="315"/>
      <c r="AG190" s="315"/>
      <c r="AH190" s="315"/>
      <c r="AI190" s="315"/>
      <c r="AJ190" s="315"/>
      <c r="AK190" s="403"/>
      <c r="AL190" s="403"/>
      <c r="AM190" s="403"/>
      <c r="AN190" s="403"/>
      <c r="AO190" s="404"/>
      <c r="AP190" s="403"/>
      <c r="AQ190" s="403"/>
      <c r="AR190" s="403"/>
      <c r="AS190" s="175">
        <v>402.03899999999999</v>
      </c>
      <c r="AT190" s="371"/>
      <c r="AU190" s="371"/>
      <c r="AV190" s="371"/>
      <c r="AW190" s="371"/>
      <c r="AX190" s="370"/>
      <c r="AY190" s="371"/>
      <c r="AZ190" s="175">
        <v>518.95500000000004</v>
      </c>
      <c r="BA190" s="175">
        <v>518.95500000000004</v>
      </c>
      <c r="BB190" s="370"/>
      <c r="BC190" s="175">
        <v>1020.862</v>
      </c>
      <c r="BD190" s="175">
        <v>871.57600000000002</v>
      </c>
      <c r="BE190" s="10"/>
      <c r="BF190" s="175">
        <v>1509.4359999999999</v>
      </c>
      <c r="BG190" s="175">
        <v>1314.375</v>
      </c>
    </row>
    <row r="191" spans="2:59" s="104" customFormat="1" hidden="1" outlineLevel="1">
      <c r="B191" s="309" t="s">
        <v>348</v>
      </c>
      <c r="C191" s="314"/>
      <c r="D191" s="314"/>
      <c r="E191" s="314"/>
      <c r="F191" s="314"/>
      <c r="G191" s="314"/>
      <c r="H191" s="314"/>
      <c r="I191" s="314"/>
      <c r="J191" s="314"/>
      <c r="K191" s="314"/>
      <c r="L191" s="314"/>
      <c r="M191" s="371"/>
      <c r="N191" s="371"/>
      <c r="O191" s="371"/>
      <c r="P191" s="375"/>
      <c r="Q191" s="315"/>
      <c r="R191" s="315"/>
      <c r="S191" s="315"/>
      <c r="T191" s="315"/>
      <c r="U191" s="315"/>
      <c r="V191" s="315"/>
      <c r="W191" s="315"/>
      <c r="X191" s="315"/>
      <c r="Y191" s="315"/>
      <c r="Z191" s="315"/>
      <c r="AA191" s="315"/>
      <c r="AB191" s="315"/>
      <c r="AC191" s="315"/>
      <c r="AD191" s="315"/>
      <c r="AE191" s="315"/>
      <c r="AF191" s="315"/>
      <c r="AG191" s="315"/>
      <c r="AH191" s="315"/>
      <c r="AI191" s="315"/>
      <c r="AJ191" s="315"/>
      <c r="AK191" s="403"/>
      <c r="AL191" s="403"/>
      <c r="AM191" s="403"/>
      <c r="AN191" s="403"/>
      <c r="AO191" s="404"/>
      <c r="AP191" s="403"/>
      <c r="AQ191" s="403"/>
      <c r="AR191" s="403"/>
      <c r="AS191" s="175">
        <v>295.89400000000001</v>
      </c>
      <c r="AT191" s="371"/>
      <c r="AU191" s="371"/>
      <c r="AV191" s="371"/>
      <c r="AW191" s="371"/>
      <c r="AX191" s="370"/>
      <c r="AY191" s="371"/>
      <c r="AZ191" s="175">
        <v>204.89400000000001</v>
      </c>
      <c r="BA191" s="175">
        <v>204.89400000000001</v>
      </c>
      <c r="BB191" s="370"/>
      <c r="BC191" s="175">
        <v>417.49700000000001</v>
      </c>
      <c r="BD191" s="175">
        <v>598.11900000000003</v>
      </c>
      <c r="BE191" s="10"/>
      <c r="BF191" s="175">
        <v>707.56200000000001</v>
      </c>
      <c r="BG191" s="175">
        <v>914.32799999999997</v>
      </c>
    </row>
    <row r="192" spans="2:59" s="104" customFormat="1" hidden="1" outlineLevel="1">
      <c r="B192" s="309" t="s">
        <v>350</v>
      </c>
      <c r="C192" s="314"/>
      <c r="D192" s="314"/>
      <c r="E192" s="314"/>
      <c r="F192" s="314"/>
      <c r="G192" s="314"/>
      <c r="H192" s="314"/>
      <c r="I192" s="314"/>
      <c r="J192" s="314"/>
      <c r="K192" s="314"/>
      <c r="L192" s="314"/>
      <c r="M192" s="371"/>
      <c r="N192" s="371"/>
      <c r="O192" s="371"/>
      <c r="P192" s="375"/>
      <c r="Q192" s="315"/>
      <c r="R192" s="315"/>
      <c r="S192" s="315"/>
      <c r="T192" s="315"/>
      <c r="U192" s="315"/>
      <c r="V192" s="315"/>
      <c r="W192" s="315"/>
      <c r="X192" s="315"/>
      <c r="Y192" s="315"/>
      <c r="Z192" s="315"/>
      <c r="AA192" s="315"/>
      <c r="AB192" s="315"/>
      <c r="AC192" s="315"/>
      <c r="AD192" s="315"/>
      <c r="AE192" s="315"/>
      <c r="AF192" s="315"/>
      <c r="AG192" s="315"/>
      <c r="AH192" s="315"/>
      <c r="AI192" s="315"/>
      <c r="AJ192" s="315"/>
      <c r="AK192" s="403"/>
      <c r="AL192" s="403"/>
      <c r="AM192" s="403"/>
      <c r="AN192" s="403"/>
      <c r="AO192" s="404"/>
      <c r="AP192" s="403"/>
      <c r="AQ192" s="403"/>
      <c r="AR192" s="403"/>
      <c r="AS192" s="175">
        <v>267.96100000000001</v>
      </c>
      <c r="AT192" s="371"/>
      <c r="AU192" s="371"/>
      <c r="AV192" s="371"/>
      <c r="AW192" s="371"/>
      <c r="AX192" s="370"/>
      <c r="AY192" s="371"/>
      <c r="AZ192" s="175">
        <v>254.39099999999999</v>
      </c>
      <c r="BA192" s="175">
        <v>254.39099999999999</v>
      </c>
      <c r="BB192" s="370"/>
      <c r="BC192" s="175">
        <v>572.62599999999998</v>
      </c>
      <c r="BD192" s="175">
        <v>561.62099999999998</v>
      </c>
      <c r="BE192" s="10"/>
      <c r="BF192" s="175">
        <v>828.28399999999999</v>
      </c>
      <c r="BG192" s="175">
        <v>825.83100000000002</v>
      </c>
    </row>
    <row r="193" spans="2:59" s="104" customFormat="1" hidden="1" outlineLevel="1">
      <c r="B193" s="310" t="s">
        <v>381</v>
      </c>
      <c r="C193" s="314"/>
      <c r="D193" s="314"/>
      <c r="E193" s="314"/>
      <c r="F193" s="314"/>
      <c r="G193" s="314"/>
      <c r="H193" s="314"/>
      <c r="I193" s="314"/>
      <c r="J193" s="314"/>
      <c r="K193" s="314"/>
      <c r="L193" s="314"/>
      <c r="M193" s="371"/>
      <c r="N193" s="371"/>
      <c r="O193" s="371"/>
      <c r="P193" s="375"/>
      <c r="Q193" s="315"/>
      <c r="R193" s="315"/>
      <c r="S193" s="315"/>
      <c r="T193" s="315"/>
      <c r="U193" s="315"/>
      <c r="V193" s="315"/>
      <c r="W193" s="315"/>
      <c r="X193" s="315"/>
      <c r="Y193" s="315"/>
      <c r="Z193" s="315"/>
      <c r="AA193" s="315"/>
      <c r="AB193" s="315"/>
      <c r="AC193" s="315"/>
      <c r="AD193" s="315"/>
      <c r="AE193" s="315"/>
      <c r="AF193" s="315"/>
      <c r="AG193" s="315"/>
      <c r="AH193" s="315"/>
      <c r="AI193" s="315"/>
      <c r="AJ193" s="315"/>
      <c r="AK193" s="403"/>
      <c r="AL193" s="403"/>
      <c r="AM193" s="403"/>
      <c r="AN193" s="403"/>
      <c r="AO193" s="404"/>
      <c r="AP193" s="403"/>
      <c r="AQ193" s="403"/>
      <c r="AR193" s="403"/>
      <c r="AS193" s="315"/>
      <c r="AT193" s="371"/>
      <c r="AU193" s="371"/>
      <c r="AV193" s="371"/>
      <c r="AW193" s="371"/>
      <c r="AX193" s="370"/>
      <c r="AY193" s="371"/>
      <c r="AZ193" s="316"/>
      <c r="BA193" s="316"/>
      <c r="BB193" s="370"/>
      <c r="BC193" s="316"/>
      <c r="BD193" s="316"/>
      <c r="BE193" s="10"/>
      <c r="BF193" s="316"/>
      <c r="BG193" s="316"/>
    </row>
    <row r="194" spans="2:59" s="104" customFormat="1" hidden="1" outlineLevel="1">
      <c r="B194" s="309" t="s">
        <v>382</v>
      </c>
      <c r="C194" s="314"/>
      <c r="D194" s="314"/>
      <c r="E194" s="314"/>
      <c r="F194" s="314"/>
      <c r="G194" s="314"/>
      <c r="H194" s="314"/>
      <c r="I194" s="314"/>
      <c r="J194" s="314"/>
      <c r="K194" s="314"/>
      <c r="L194" s="314"/>
      <c r="M194" s="371"/>
      <c r="N194" s="371"/>
      <c r="O194" s="371"/>
      <c r="P194" s="375"/>
      <c r="Q194" s="315"/>
      <c r="R194" s="315"/>
      <c r="S194" s="315"/>
      <c r="T194" s="315"/>
      <c r="U194" s="315"/>
      <c r="V194" s="315"/>
      <c r="W194" s="315"/>
      <c r="X194" s="315"/>
      <c r="Y194" s="315"/>
      <c r="Z194" s="315"/>
      <c r="AA194" s="315"/>
      <c r="AB194" s="315"/>
      <c r="AC194" s="315"/>
      <c r="AD194" s="315"/>
      <c r="AE194" s="315"/>
      <c r="AF194" s="315"/>
      <c r="AG194" s="315"/>
      <c r="AH194" s="315"/>
      <c r="AI194" s="315"/>
      <c r="AJ194" s="315"/>
      <c r="AK194" s="403"/>
      <c r="AL194" s="403"/>
      <c r="AM194" s="403"/>
      <c r="AN194" s="403"/>
      <c r="AO194" s="404"/>
      <c r="AP194" s="403"/>
      <c r="AQ194" s="403"/>
      <c r="AR194" s="403"/>
      <c r="AS194" s="175">
        <v>52.534999999999997</v>
      </c>
      <c r="AT194" s="371"/>
      <c r="AU194" s="371"/>
      <c r="AV194" s="371"/>
      <c r="AW194" s="371"/>
      <c r="AX194" s="370"/>
      <c r="AY194" s="371"/>
      <c r="AZ194" s="175">
        <v>135.57900000000001</v>
      </c>
      <c r="BA194" s="175">
        <v>135.57900000000001</v>
      </c>
      <c r="BB194" s="370"/>
      <c r="BC194" s="175">
        <v>261.238</v>
      </c>
      <c r="BD194" s="175">
        <v>114.16800000000001</v>
      </c>
      <c r="BE194" s="10"/>
      <c r="BF194" s="175">
        <v>364.78199999999998</v>
      </c>
      <c r="BG194" s="175">
        <v>174.34899999999999</v>
      </c>
    </row>
    <row r="195" spans="2:59" s="104" customFormat="1" hidden="1" outlineLevel="1">
      <c r="B195" s="309" t="s">
        <v>383</v>
      </c>
      <c r="C195" s="314"/>
      <c r="D195" s="314"/>
      <c r="E195" s="314"/>
      <c r="F195" s="314"/>
      <c r="G195" s="314"/>
      <c r="H195" s="314"/>
      <c r="I195" s="314"/>
      <c r="J195" s="314"/>
      <c r="K195" s="314"/>
      <c r="L195" s="314"/>
      <c r="M195" s="371"/>
      <c r="N195" s="371"/>
      <c r="O195" s="371"/>
      <c r="P195" s="375"/>
      <c r="Q195" s="315"/>
      <c r="R195" s="315"/>
      <c r="S195" s="315"/>
      <c r="T195" s="315"/>
      <c r="U195" s="315"/>
      <c r="V195" s="315"/>
      <c r="W195" s="315"/>
      <c r="X195" s="315"/>
      <c r="Y195" s="315"/>
      <c r="Z195" s="315"/>
      <c r="AA195" s="315"/>
      <c r="AB195" s="315"/>
      <c r="AC195" s="315"/>
      <c r="AD195" s="315"/>
      <c r="AE195" s="315"/>
      <c r="AF195" s="315"/>
      <c r="AG195" s="315"/>
      <c r="AH195" s="315"/>
      <c r="AI195" s="315"/>
      <c r="AJ195" s="315"/>
      <c r="AK195" s="403"/>
      <c r="AL195" s="403"/>
      <c r="AM195" s="403"/>
      <c r="AN195" s="403"/>
      <c r="AO195" s="404"/>
      <c r="AP195" s="403"/>
      <c r="AQ195" s="403"/>
      <c r="AR195" s="403"/>
      <c r="AS195" s="175">
        <v>468.59800000000001</v>
      </c>
      <c r="AT195" s="371"/>
      <c r="AU195" s="371"/>
      <c r="AV195" s="371"/>
      <c r="AW195" s="371"/>
      <c r="AX195" s="370"/>
      <c r="AY195" s="371"/>
      <c r="AZ195" s="175">
        <v>505.35300000000001</v>
      </c>
      <c r="BA195" s="175">
        <v>505.35300000000001</v>
      </c>
      <c r="BB195" s="370"/>
      <c r="BC195" s="175">
        <v>942.74099999999999</v>
      </c>
      <c r="BD195" s="175">
        <v>884.59500000000003</v>
      </c>
      <c r="BE195" s="10"/>
      <c r="BF195" s="175">
        <v>1367.646</v>
      </c>
      <c r="BG195" s="175">
        <v>1305.742</v>
      </c>
    </row>
    <row r="196" spans="2:59" s="104" customFormat="1" hidden="1" outlineLevel="1">
      <c r="B196" s="310" t="s">
        <v>384</v>
      </c>
      <c r="C196" s="314"/>
      <c r="D196" s="314"/>
      <c r="E196" s="314"/>
      <c r="F196" s="314"/>
      <c r="G196" s="314"/>
      <c r="H196" s="314"/>
      <c r="I196" s="314"/>
      <c r="J196" s="314"/>
      <c r="K196" s="314"/>
      <c r="L196" s="314"/>
      <c r="M196" s="371"/>
      <c r="N196" s="371"/>
      <c r="O196" s="371"/>
      <c r="P196" s="375"/>
      <c r="Q196" s="315"/>
      <c r="R196" s="315"/>
      <c r="S196" s="315"/>
      <c r="T196" s="315"/>
      <c r="U196" s="315"/>
      <c r="V196" s="315"/>
      <c r="W196" s="315"/>
      <c r="X196" s="315"/>
      <c r="Y196" s="315"/>
      <c r="Z196" s="315"/>
      <c r="AA196" s="315"/>
      <c r="AB196" s="315"/>
      <c r="AC196" s="315"/>
      <c r="AD196" s="315"/>
      <c r="AE196" s="315"/>
      <c r="AF196" s="315"/>
      <c r="AG196" s="315"/>
      <c r="AH196" s="315"/>
      <c r="AI196" s="315"/>
      <c r="AJ196" s="315"/>
      <c r="AK196" s="403"/>
      <c r="AL196" s="403"/>
      <c r="AM196" s="403"/>
      <c r="AN196" s="403"/>
      <c r="AO196" s="404"/>
      <c r="AP196" s="403"/>
      <c r="AQ196" s="403"/>
      <c r="AR196" s="403"/>
      <c r="AS196" s="315"/>
      <c r="AT196" s="371"/>
      <c r="AU196" s="371"/>
      <c r="AV196" s="371"/>
      <c r="AW196" s="371"/>
      <c r="AX196" s="370"/>
      <c r="AY196" s="371"/>
      <c r="AZ196" s="316"/>
      <c r="BA196" s="316"/>
      <c r="BB196" s="370"/>
      <c r="BC196" s="316"/>
      <c r="BD196" s="316"/>
      <c r="BE196" s="10"/>
      <c r="BF196" s="316"/>
      <c r="BG196" s="316"/>
    </row>
    <row r="197" spans="2:59" s="104" customFormat="1" hidden="1" outlineLevel="1">
      <c r="B197" s="309" t="s">
        <v>385</v>
      </c>
      <c r="C197" s="314"/>
      <c r="D197" s="314"/>
      <c r="E197" s="314"/>
      <c r="F197" s="314"/>
      <c r="G197" s="314"/>
      <c r="H197" s="314"/>
      <c r="I197" s="314"/>
      <c r="J197" s="314"/>
      <c r="K197" s="314"/>
      <c r="L197" s="314"/>
      <c r="M197" s="371"/>
      <c r="N197" s="371"/>
      <c r="O197" s="371"/>
      <c r="P197" s="375"/>
      <c r="Q197" s="315"/>
      <c r="R197" s="315"/>
      <c r="S197" s="315"/>
      <c r="T197" s="315"/>
      <c r="U197" s="315"/>
      <c r="V197" s="315"/>
      <c r="W197" s="315"/>
      <c r="X197" s="315"/>
      <c r="Y197" s="315"/>
      <c r="Z197" s="315"/>
      <c r="AA197" s="315"/>
      <c r="AB197" s="315"/>
      <c r="AC197" s="315"/>
      <c r="AD197" s="315"/>
      <c r="AE197" s="315"/>
      <c r="AF197" s="315"/>
      <c r="AG197" s="315"/>
      <c r="AH197" s="315"/>
      <c r="AI197" s="315"/>
      <c r="AJ197" s="315"/>
      <c r="AK197" s="403"/>
      <c r="AL197" s="403"/>
      <c r="AM197" s="403"/>
      <c r="AN197" s="403"/>
      <c r="AO197" s="404"/>
      <c r="AP197" s="403"/>
      <c r="AQ197" s="403"/>
      <c r="AR197" s="403"/>
      <c r="AS197" s="175">
        <v>23.036000000000001</v>
      </c>
      <c r="AT197" s="371"/>
      <c r="AU197" s="371"/>
      <c r="AV197" s="371"/>
      <c r="AW197" s="371"/>
      <c r="AX197" s="370"/>
      <c r="AY197" s="371"/>
      <c r="AZ197" s="175">
        <v>12.811999999999999</v>
      </c>
      <c r="BA197" s="175">
        <v>12.811999999999999</v>
      </c>
      <c r="BB197" s="370"/>
      <c r="BC197" s="175">
        <v>31.963000000000001</v>
      </c>
      <c r="BD197" s="175">
        <v>39.939</v>
      </c>
      <c r="BE197" s="10"/>
      <c r="BF197" s="175">
        <v>44.752000000000002</v>
      </c>
      <c r="BG197" s="175">
        <v>60.651000000000003</v>
      </c>
    </row>
    <row r="198" spans="2:59" s="104" customFormat="1" hidden="1" outlineLevel="1">
      <c r="B198" s="309" t="s">
        <v>386</v>
      </c>
      <c r="C198" s="314"/>
      <c r="D198" s="314"/>
      <c r="E198" s="314"/>
      <c r="F198" s="314"/>
      <c r="G198" s="314"/>
      <c r="H198" s="314"/>
      <c r="I198" s="314"/>
      <c r="J198" s="314"/>
      <c r="K198" s="314"/>
      <c r="L198" s="314"/>
      <c r="M198" s="371"/>
      <c r="N198" s="371"/>
      <c r="O198" s="371"/>
      <c r="P198" s="375"/>
      <c r="Q198" s="315"/>
      <c r="R198" s="315"/>
      <c r="S198" s="315"/>
      <c r="T198" s="315"/>
      <c r="U198" s="315"/>
      <c r="V198" s="315"/>
      <c r="W198" s="315"/>
      <c r="X198" s="315"/>
      <c r="Y198" s="315"/>
      <c r="Z198" s="315"/>
      <c r="AA198" s="315"/>
      <c r="AB198" s="315"/>
      <c r="AC198" s="315"/>
      <c r="AD198" s="315"/>
      <c r="AE198" s="315"/>
      <c r="AF198" s="315"/>
      <c r="AG198" s="315"/>
      <c r="AH198" s="315"/>
      <c r="AI198" s="315"/>
      <c r="AJ198" s="315"/>
      <c r="AK198" s="403"/>
      <c r="AL198" s="403"/>
      <c r="AM198" s="403"/>
      <c r="AN198" s="403"/>
      <c r="AO198" s="404"/>
      <c r="AP198" s="403"/>
      <c r="AQ198" s="403"/>
      <c r="AR198" s="403"/>
      <c r="AS198" s="175">
        <v>-33.991</v>
      </c>
      <c r="AT198" s="371"/>
      <c r="AU198" s="371"/>
      <c r="AV198" s="371"/>
      <c r="AW198" s="371"/>
      <c r="AX198" s="370"/>
      <c r="AY198" s="371"/>
      <c r="AZ198" s="175">
        <v>-31.617000000000001</v>
      </c>
      <c r="BA198" s="175">
        <v>-31.617000000000001</v>
      </c>
      <c r="BB198" s="370"/>
      <c r="BC198" s="175">
        <v>-72.164000000000001</v>
      </c>
      <c r="BD198" s="175">
        <v>-81.36</v>
      </c>
      <c r="BE198" s="10"/>
      <c r="BF198" s="175">
        <v>-99.965999999999994</v>
      </c>
      <c r="BG198" s="175">
        <v>-108.96899999999999</v>
      </c>
    </row>
    <row r="199" spans="2:59" s="104" customFormat="1" hidden="1" outlineLevel="1">
      <c r="B199" s="310" t="s">
        <v>38</v>
      </c>
      <c r="C199" s="314"/>
      <c r="D199" s="314"/>
      <c r="E199" s="314"/>
      <c r="F199" s="314"/>
      <c r="G199" s="314"/>
      <c r="H199" s="314"/>
      <c r="I199" s="314"/>
      <c r="J199" s="314"/>
      <c r="K199" s="314"/>
      <c r="L199" s="314"/>
      <c r="M199" s="371"/>
      <c r="N199" s="371"/>
      <c r="O199" s="371"/>
      <c r="P199" s="375"/>
      <c r="Q199" s="315"/>
      <c r="R199" s="315"/>
      <c r="S199" s="315"/>
      <c r="T199" s="315"/>
      <c r="U199" s="315"/>
      <c r="V199" s="315"/>
      <c r="W199" s="315"/>
      <c r="X199" s="315"/>
      <c r="Y199" s="315"/>
      <c r="Z199" s="315"/>
      <c r="AA199" s="315"/>
      <c r="AB199" s="315"/>
      <c r="AC199" s="315"/>
      <c r="AD199" s="315"/>
      <c r="AE199" s="315"/>
      <c r="AF199" s="315"/>
      <c r="AG199" s="315"/>
      <c r="AH199" s="315"/>
      <c r="AI199" s="315"/>
      <c r="AJ199" s="315"/>
      <c r="AK199" s="403"/>
      <c r="AL199" s="403"/>
      <c r="AM199" s="403"/>
      <c r="AN199" s="403"/>
      <c r="AO199" s="404"/>
      <c r="AP199" s="403"/>
      <c r="AQ199" s="403"/>
      <c r="AR199" s="403"/>
      <c r="AS199" s="175">
        <v>-21.332000000000001</v>
      </c>
      <c r="AT199" s="371"/>
      <c r="AU199" s="371"/>
      <c r="AV199" s="371"/>
      <c r="AW199" s="371"/>
      <c r="AX199" s="370"/>
      <c r="AY199" s="371"/>
      <c r="AZ199" s="175">
        <v>-46.039000000000001</v>
      </c>
      <c r="BA199" s="175">
        <v>-46.039000000000001</v>
      </c>
      <c r="BB199" s="370"/>
      <c r="BC199" s="175">
        <v>-78.991</v>
      </c>
      <c r="BD199" s="175">
        <v>-61.987000000000002</v>
      </c>
      <c r="BE199" s="10"/>
      <c r="BF199" s="175">
        <v>-141.441</v>
      </c>
      <c r="BG199" s="175">
        <v>-128.50800000000001</v>
      </c>
    </row>
    <row r="200" spans="2:59" s="104" customFormat="1" hidden="1" outlineLevel="1">
      <c r="B200" s="310" t="s">
        <v>387</v>
      </c>
      <c r="C200" s="314"/>
      <c r="D200" s="314"/>
      <c r="E200" s="314"/>
      <c r="F200" s="314"/>
      <c r="G200" s="314"/>
      <c r="H200" s="314"/>
      <c r="I200" s="314"/>
      <c r="J200" s="314"/>
      <c r="K200" s="314"/>
      <c r="L200" s="314"/>
      <c r="M200" s="371"/>
      <c r="N200" s="371"/>
      <c r="O200" s="371"/>
      <c r="P200" s="375"/>
      <c r="Q200" s="315"/>
      <c r="R200" s="315"/>
      <c r="S200" s="315"/>
      <c r="T200" s="315"/>
      <c r="U200" s="315"/>
      <c r="V200" s="315"/>
      <c r="W200" s="315"/>
      <c r="X200" s="315"/>
      <c r="Y200" s="315"/>
      <c r="Z200" s="315"/>
      <c r="AA200" s="315"/>
      <c r="AB200" s="315"/>
      <c r="AC200" s="315"/>
      <c r="AD200" s="315"/>
      <c r="AE200" s="315"/>
      <c r="AF200" s="315"/>
      <c r="AG200" s="315"/>
      <c r="AH200" s="315"/>
      <c r="AI200" s="315"/>
      <c r="AJ200" s="315"/>
      <c r="AK200" s="403"/>
      <c r="AL200" s="403"/>
      <c r="AM200" s="403"/>
      <c r="AN200" s="403"/>
      <c r="AO200" s="404"/>
      <c r="AP200" s="403"/>
      <c r="AQ200" s="403"/>
      <c r="AR200" s="403"/>
      <c r="AS200" s="175">
        <v>-181.45400000000001</v>
      </c>
      <c r="AT200" s="371"/>
      <c r="AU200" s="371"/>
      <c r="AV200" s="371"/>
      <c r="AW200" s="371"/>
      <c r="AX200" s="370"/>
      <c r="AY200" s="371"/>
      <c r="AZ200" s="175">
        <v>-106.60299999999999</v>
      </c>
      <c r="BA200" s="175">
        <v>-106.60299999999999</v>
      </c>
      <c r="BB200" s="370"/>
      <c r="BC200" s="175">
        <v>-190.02199999999999</v>
      </c>
      <c r="BD200" s="175">
        <v>-267.45600000000002</v>
      </c>
      <c r="BE200" s="10"/>
      <c r="BF200" s="175">
        <v>-261.45499999999998</v>
      </c>
      <c r="BG200" s="175">
        <v>-336.16399999999999</v>
      </c>
    </row>
    <row r="201" spans="2:59" s="104" customFormat="1" hidden="1" outlineLevel="1">
      <c r="B201" s="311" t="s">
        <v>31</v>
      </c>
      <c r="C201" s="314"/>
      <c r="D201" s="314"/>
      <c r="E201" s="314"/>
      <c r="F201" s="314"/>
      <c r="G201" s="314"/>
      <c r="H201" s="314"/>
      <c r="I201" s="314"/>
      <c r="J201" s="314"/>
      <c r="K201" s="314"/>
      <c r="L201" s="314"/>
      <c r="M201" s="371"/>
      <c r="N201" s="371"/>
      <c r="O201" s="371"/>
      <c r="P201" s="375"/>
      <c r="Q201" s="315"/>
      <c r="R201" s="315"/>
      <c r="S201" s="315"/>
      <c r="T201" s="315"/>
      <c r="U201" s="315"/>
      <c r="V201" s="315"/>
      <c r="W201" s="315"/>
      <c r="X201" s="315"/>
      <c r="Y201" s="315"/>
      <c r="Z201" s="315"/>
      <c r="AA201" s="315"/>
      <c r="AB201" s="315"/>
      <c r="AC201" s="315"/>
      <c r="AD201" s="315"/>
      <c r="AE201" s="315"/>
      <c r="AF201" s="315"/>
      <c r="AG201" s="315"/>
      <c r="AH201" s="315"/>
      <c r="AI201" s="315"/>
      <c r="AJ201" s="315"/>
      <c r="AK201" s="403"/>
      <c r="AL201" s="403"/>
      <c r="AM201" s="403"/>
      <c r="AN201" s="403"/>
      <c r="AO201" s="404"/>
      <c r="AP201" s="403"/>
      <c r="AQ201" s="403"/>
      <c r="AR201" s="403"/>
      <c r="AS201" s="312">
        <f>SUM(AS189:AS200)</f>
        <v>2454.2159999999999</v>
      </c>
      <c r="AT201" s="371"/>
      <c r="AU201" s="371"/>
      <c r="AV201" s="371"/>
      <c r="AW201" s="371"/>
      <c r="AX201" s="370"/>
      <c r="AY201" s="371"/>
      <c r="AZ201" s="312">
        <f>SUM(AZ189:AZ200)</f>
        <v>2803.5459999999998</v>
      </c>
      <c r="BA201" s="312">
        <f>SUM(BA189:BA200)</f>
        <v>2803.5459999999998</v>
      </c>
      <c r="BB201" s="370"/>
      <c r="BC201" s="312">
        <f>SUM(BC189:BC200)</f>
        <v>2905.75</v>
      </c>
      <c r="BD201" s="312">
        <f>SUM(BD189:BD200)</f>
        <v>2659.2150000000001</v>
      </c>
      <c r="BE201" s="10"/>
      <c r="BF201" s="312">
        <f>SUM(BF189:BF200)</f>
        <v>4319.6000000000004</v>
      </c>
      <c r="BG201" s="312">
        <f>SUM(BG189:BG200)</f>
        <v>4021.6350000000002</v>
      </c>
    </row>
    <row r="202" spans="2:59" s="104" customFormat="1" hidden="1" outlineLevel="1">
      <c r="B202" s="313" t="s">
        <v>24</v>
      </c>
      <c r="C202" s="314"/>
      <c r="D202" s="314"/>
      <c r="E202" s="314"/>
      <c r="F202" s="314"/>
      <c r="G202" s="314"/>
      <c r="H202" s="314"/>
      <c r="I202" s="314"/>
      <c r="J202" s="314"/>
      <c r="K202" s="314"/>
      <c r="L202" s="314"/>
      <c r="M202" s="314"/>
      <c r="N202" s="315"/>
      <c r="O202" s="315"/>
      <c r="P202" s="375"/>
      <c r="Q202" s="315"/>
      <c r="R202" s="315"/>
      <c r="S202" s="315"/>
      <c r="T202" s="315"/>
      <c r="U202" s="315"/>
      <c r="V202" s="315"/>
      <c r="W202" s="315"/>
      <c r="X202" s="315"/>
      <c r="Y202" s="315"/>
      <c r="Z202" s="315"/>
      <c r="AA202" s="315"/>
      <c r="AB202" s="315"/>
      <c r="AC202" s="315"/>
      <c r="AD202" s="315"/>
      <c r="AE202" s="315"/>
      <c r="AF202" s="315"/>
      <c r="AG202" s="315"/>
      <c r="AH202" s="315"/>
      <c r="AI202" s="315"/>
      <c r="AJ202" s="315"/>
      <c r="AK202" s="315"/>
      <c r="AL202" s="315"/>
      <c r="AM202" s="315"/>
      <c r="AN202" s="315"/>
      <c r="AO202" s="315"/>
      <c r="AP202" s="315"/>
      <c r="AQ202" s="315"/>
      <c r="AR202" s="315"/>
      <c r="AS202" s="316">
        <f>AS201-Model!BI59</f>
        <v>0</v>
      </c>
      <c r="AT202" s="315"/>
      <c r="AU202" s="315"/>
      <c r="AV202" s="315"/>
      <c r="AW202" s="315"/>
      <c r="AX202" s="370"/>
      <c r="AZ202" s="316">
        <f>AZ201-Model!BP59</f>
        <v>0</v>
      </c>
      <c r="BA202" s="316">
        <f>BA201-Model!BQ59</f>
        <v>1290.5459999999998</v>
      </c>
      <c r="BB202" s="370"/>
      <c r="BC202" s="316">
        <f>BC201-Model!BV59</f>
        <v>0</v>
      </c>
      <c r="BD202" s="316">
        <f>BD201-Model!BW59</f>
        <v>0</v>
      </c>
      <c r="BE202" s="10"/>
      <c r="BF202" s="316">
        <f>BF201-Model!BY59</f>
        <v>0</v>
      </c>
      <c r="BG202" s="316">
        <f>BG201-Model!BZ59</f>
        <v>0</v>
      </c>
    </row>
    <row r="203" spans="2:59" s="104" customFormat="1" hidden="1" outlineLevel="1">
      <c r="B203" s="313"/>
      <c r="C203" s="314"/>
      <c r="D203" s="314"/>
      <c r="E203" s="314"/>
      <c r="F203" s="314"/>
      <c r="G203" s="314"/>
      <c r="H203" s="314"/>
      <c r="I203" s="314"/>
      <c r="J203" s="314"/>
      <c r="K203" s="314"/>
      <c r="L203" s="314"/>
      <c r="M203" s="314"/>
      <c r="N203" s="315"/>
      <c r="O203" s="315"/>
      <c r="P203" s="375"/>
      <c r="Q203" s="315"/>
      <c r="R203" s="315"/>
      <c r="S203" s="315"/>
      <c r="T203" s="315"/>
      <c r="U203" s="315"/>
      <c r="V203" s="315"/>
      <c r="W203" s="315"/>
      <c r="X203" s="315"/>
      <c r="Y203" s="315"/>
      <c r="Z203" s="315"/>
      <c r="AA203" s="315"/>
      <c r="AB203" s="315"/>
      <c r="AC203" s="315"/>
      <c r="AD203" s="315"/>
      <c r="AE203" s="315"/>
      <c r="AF203" s="315"/>
      <c r="AG203" s="315"/>
      <c r="AH203" s="315"/>
      <c r="AI203" s="315"/>
      <c r="AJ203" s="315"/>
      <c r="AK203" s="315"/>
      <c r="AL203" s="315"/>
      <c r="AM203" s="315"/>
      <c r="AN203" s="315"/>
      <c r="AO203" s="315"/>
      <c r="AP203" s="315"/>
      <c r="AQ203" s="315"/>
      <c r="AR203" s="315"/>
      <c r="AS203" s="315"/>
      <c r="AT203" s="315"/>
      <c r="AU203" s="315"/>
      <c r="AV203" s="315"/>
      <c r="AW203" s="315"/>
      <c r="AX203" s="370"/>
      <c r="AZ203" s="316"/>
      <c r="BA203" s="316"/>
      <c r="BB203" s="370"/>
      <c r="BC203" s="315"/>
      <c r="BD203" s="315"/>
      <c r="BE203" s="10"/>
      <c r="BF203" s="315"/>
      <c r="BG203" s="315"/>
    </row>
    <row r="204" spans="2:59" s="104" customFormat="1" hidden="1" outlineLevel="1">
      <c r="B204" s="27"/>
      <c r="C204" s="314"/>
      <c r="D204" s="314"/>
      <c r="E204" s="314"/>
      <c r="F204" s="314"/>
      <c r="G204" s="314"/>
      <c r="H204" s="314"/>
      <c r="I204" s="314"/>
      <c r="J204" s="314"/>
      <c r="K204" s="314"/>
      <c r="L204" s="314"/>
      <c r="M204" s="314"/>
      <c r="N204" s="315"/>
      <c r="O204" s="315"/>
      <c r="P204" s="375"/>
      <c r="Q204" s="315"/>
      <c r="R204" s="315"/>
      <c r="S204" s="315"/>
      <c r="T204" s="315"/>
      <c r="U204" s="315"/>
      <c r="V204" s="315"/>
      <c r="W204" s="315"/>
      <c r="X204" s="315"/>
      <c r="Y204" s="315"/>
      <c r="Z204" s="315"/>
      <c r="AA204" s="315"/>
      <c r="AB204" s="315"/>
      <c r="AC204" s="315"/>
      <c r="AD204" s="315"/>
      <c r="AE204" s="315"/>
      <c r="AF204" s="315"/>
      <c r="AG204" s="315"/>
      <c r="AH204" s="315"/>
      <c r="AI204" s="315"/>
      <c r="AJ204" s="315"/>
      <c r="AK204" s="315"/>
      <c r="AL204" s="315"/>
      <c r="AM204" s="315"/>
      <c r="AN204" s="315"/>
      <c r="AO204" s="315"/>
      <c r="AP204" s="315"/>
      <c r="AQ204" s="315"/>
      <c r="AR204" s="315"/>
      <c r="AS204" s="315"/>
      <c r="AT204" s="315"/>
      <c r="AU204" s="315"/>
      <c r="AV204" s="315"/>
      <c r="AW204" s="315"/>
      <c r="AX204" s="370"/>
      <c r="AZ204" s="316"/>
      <c r="BA204" s="316"/>
      <c r="BB204" s="370"/>
      <c r="BC204" s="315"/>
      <c r="BD204" s="315"/>
      <c r="BE204" s="10"/>
      <c r="BF204" s="315"/>
      <c r="BG204" s="315"/>
    </row>
    <row r="205" spans="2:59" s="104" customFormat="1" hidden="1" outlineLevel="1">
      <c r="B205" s="360" t="s">
        <v>390</v>
      </c>
      <c r="C205" s="363"/>
      <c r="D205" s="363"/>
      <c r="E205" s="363"/>
      <c r="F205" s="363"/>
      <c r="G205" s="363"/>
      <c r="H205" s="363"/>
      <c r="I205" s="363"/>
      <c r="J205" s="363"/>
      <c r="K205" s="363"/>
      <c r="L205" s="363"/>
      <c r="M205" s="363"/>
      <c r="N205" s="365"/>
      <c r="O205" s="365"/>
      <c r="P205" s="375"/>
      <c r="Q205" s="365"/>
      <c r="R205" s="365"/>
      <c r="S205" s="365"/>
      <c r="T205" s="365"/>
      <c r="U205" s="365"/>
      <c r="V205" s="365"/>
      <c r="W205" s="365"/>
      <c r="X205" s="365"/>
      <c r="Y205" s="365"/>
      <c r="Z205" s="365"/>
      <c r="AA205" s="365"/>
      <c r="AB205" s="365"/>
      <c r="AC205" s="365"/>
      <c r="AD205" s="365"/>
      <c r="AE205" s="365"/>
      <c r="AF205" s="365"/>
      <c r="AG205" s="365"/>
      <c r="AH205" s="365"/>
      <c r="AI205" s="365"/>
      <c r="AJ205" s="365"/>
      <c r="AK205" s="365"/>
      <c r="AL205" s="365"/>
      <c r="AM205" s="365"/>
      <c r="AN205" s="365"/>
      <c r="AO205" s="365"/>
      <c r="AP205" s="365"/>
      <c r="AQ205" s="365"/>
      <c r="AR205" s="365"/>
      <c r="AS205" s="365"/>
      <c r="AT205" s="365"/>
      <c r="AU205" s="365"/>
      <c r="AV205" s="365"/>
      <c r="AW205" s="365"/>
      <c r="AX205" s="370"/>
      <c r="AY205" s="361"/>
      <c r="AZ205" s="364"/>
      <c r="BA205" s="364"/>
      <c r="BB205" s="370"/>
      <c r="BC205" s="365"/>
      <c r="BD205" s="365"/>
      <c r="BE205" s="10"/>
      <c r="BF205" s="365"/>
      <c r="BG205" s="365"/>
    </row>
    <row r="206" spans="2:59" s="104" customFormat="1" hidden="1" outlineLevel="1">
      <c r="B206" s="310" t="s">
        <v>380</v>
      </c>
      <c r="P206" s="375"/>
      <c r="AX206" s="370"/>
      <c r="BB206" s="370"/>
      <c r="BE206" s="10"/>
    </row>
    <row r="207" spans="2:59" s="104" customFormat="1" hidden="1" outlineLevel="1">
      <c r="B207" s="309" t="s">
        <v>346</v>
      </c>
      <c r="M207" s="371"/>
      <c r="N207" s="371"/>
      <c r="O207" s="371"/>
      <c r="P207" s="375"/>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403"/>
      <c r="AL207" s="403"/>
      <c r="AM207" s="403"/>
      <c r="AN207" s="403"/>
      <c r="AO207" s="404"/>
      <c r="AP207" s="403"/>
      <c r="AQ207" s="403"/>
      <c r="AR207" s="403"/>
      <c r="AS207" s="101">
        <f>AS189/AZ189-1</f>
        <v>-0.12899269151311266</v>
      </c>
      <c r="AT207" s="368"/>
      <c r="AU207" s="368"/>
      <c r="AV207" s="403"/>
      <c r="AW207" s="101" t="e">
        <f>AW189/BE189-1</f>
        <v>#DIV/0!</v>
      </c>
      <c r="AX207" s="370"/>
      <c r="AY207" s="371"/>
      <c r="AZ207" s="371"/>
      <c r="BA207" s="371"/>
      <c r="BB207" s="370"/>
      <c r="BC207" s="371"/>
      <c r="BD207" s="371"/>
      <c r="BE207" s="10"/>
      <c r="BF207" s="371"/>
      <c r="BG207" s="371"/>
    </row>
    <row r="208" spans="2:59" s="104" customFormat="1" hidden="1" outlineLevel="1">
      <c r="B208" s="309" t="s">
        <v>347</v>
      </c>
      <c r="M208" s="371"/>
      <c r="N208" s="371"/>
      <c r="O208" s="371"/>
      <c r="P208" s="375"/>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403"/>
      <c r="AL208" s="403"/>
      <c r="AM208" s="403"/>
      <c r="AN208" s="403"/>
      <c r="AO208" s="404"/>
      <c r="AP208" s="403"/>
      <c r="AQ208" s="403"/>
      <c r="AR208" s="403"/>
      <c r="AS208" s="101">
        <f>AS190/AZ190-1</f>
        <v>-0.22529121022053944</v>
      </c>
      <c r="AT208" s="371"/>
      <c r="AU208" s="371"/>
      <c r="AV208" s="403"/>
      <c r="AW208" s="101" t="e">
        <f>AW190/BE190-1</f>
        <v>#DIV/0!</v>
      </c>
      <c r="AX208" s="370"/>
      <c r="AY208" s="371"/>
      <c r="AZ208" s="371"/>
      <c r="BA208" s="371"/>
      <c r="BB208" s="370"/>
      <c r="BC208" s="371"/>
      <c r="BD208" s="101">
        <f>BD190/BC190-1</f>
        <v>-0.14623524041447322</v>
      </c>
      <c r="BE208" s="10"/>
      <c r="BF208" s="371"/>
      <c r="BG208" s="101">
        <f>BG190/BF190-1</f>
        <v>-0.12922773804255361</v>
      </c>
    </row>
    <row r="209" spans="2:59" s="104" customFormat="1" hidden="1" outlineLevel="1">
      <c r="B209" s="309" t="s">
        <v>348</v>
      </c>
      <c r="M209" s="371"/>
      <c r="N209" s="371"/>
      <c r="O209" s="371"/>
      <c r="P209" s="375"/>
      <c r="Q209" s="315"/>
      <c r="R209" s="315"/>
      <c r="S209" s="315"/>
      <c r="T209" s="315"/>
      <c r="U209" s="315"/>
      <c r="V209" s="315"/>
      <c r="W209" s="315"/>
      <c r="X209" s="315"/>
      <c r="Y209" s="315"/>
      <c r="Z209" s="315"/>
      <c r="AA209" s="315"/>
      <c r="AB209" s="315"/>
      <c r="AC209" s="315"/>
      <c r="AD209" s="315"/>
      <c r="AE209" s="315"/>
      <c r="AF209" s="315"/>
      <c r="AG209" s="315"/>
      <c r="AH209" s="315"/>
      <c r="AI209" s="315"/>
      <c r="AJ209" s="315"/>
      <c r="AK209" s="403"/>
      <c r="AL209" s="403"/>
      <c r="AM209" s="403"/>
      <c r="AN209" s="403"/>
      <c r="AO209" s="404"/>
      <c r="AP209" s="403"/>
      <c r="AQ209" s="403"/>
      <c r="AR209" s="403"/>
      <c r="AS209" s="101">
        <f>AS191/AZ191-1</f>
        <v>0.44413208781125846</v>
      </c>
      <c r="AT209" s="371"/>
      <c r="AU209" s="371"/>
      <c r="AV209" s="403"/>
      <c r="AW209" s="101" t="e">
        <f>AW191/BE191-1</f>
        <v>#DIV/0!</v>
      </c>
      <c r="AX209" s="370"/>
      <c r="AY209" s="371"/>
      <c r="AZ209" s="371"/>
      <c r="BA209" s="371"/>
      <c r="BB209" s="370"/>
      <c r="BC209" s="371"/>
      <c r="BD209" s="101">
        <f t="shared" ref="BD209:BD210" si="378">BD191/BC191-1</f>
        <v>0.43263065363343922</v>
      </c>
      <c r="BE209" s="10"/>
      <c r="BF209" s="371"/>
      <c r="BG209" s="101">
        <f t="shared" ref="BG209:BG210" si="379">BG191/BF191-1</f>
        <v>0.29222315500267104</v>
      </c>
    </row>
    <row r="210" spans="2:59" s="104" customFormat="1" hidden="1" outlineLevel="1">
      <c r="B210" s="309" t="s">
        <v>350</v>
      </c>
      <c r="M210" s="371"/>
      <c r="N210" s="371"/>
      <c r="O210" s="371"/>
      <c r="P210" s="375"/>
      <c r="Q210" s="315"/>
      <c r="R210" s="315"/>
      <c r="S210" s="315"/>
      <c r="T210" s="315"/>
      <c r="U210" s="315"/>
      <c r="V210" s="315"/>
      <c r="W210" s="315"/>
      <c r="X210" s="315"/>
      <c r="Y210" s="315"/>
      <c r="Z210" s="315"/>
      <c r="AA210" s="315"/>
      <c r="AB210" s="315"/>
      <c r="AC210" s="315"/>
      <c r="AD210" s="315"/>
      <c r="AE210" s="315"/>
      <c r="AF210" s="315"/>
      <c r="AG210" s="315"/>
      <c r="AH210" s="315"/>
      <c r="AI210" s="315"/>
      <c r="AJ210" s="315"/>
      <c r="AK210" s="403"/>
      <c r="AL210" s="403"/>
      <c r="AM210" s="403"/>
      <c r="AN210" s="403"/>
      <c r="AO210" s="404"/>
      <c r="AP210" s="403"/>
      <c r="AQ210" s="403"/>
      <c r="AR210" s="403"/>
      <c r="AS210" s="101">
        <f>AS192/AZ192-1</f>
        <v>5.3343082105892226E-2</v>
      </c>
      <c r="AT210" s="371"/>
      <c r="AU210" s="371"/>
      <c r="AV210" s="403"/>
      <c r="AW210" s="101" t="e">
        <f>AW192/BE192-1</f>
        <v>#DIV/0!</v>
      </c>
      <c r="AX210" s="370"/>
      <c r="AY210" s="371"/>
      <c r="AZ210" s="371"/>
      <c r="BA210" s="371"/>
      <c r="BB210" s="370"/>
      <c r="BC210" s="371"/>
      <c r="BD210" s="101">
        <f t="shared" si="378"/>
        <v>-1.9218477680021495E-2</v>
      </c>
      <c r="BE210" s="10"/>
      <c r="BF210" s="371"/>
      <c r="BG210" s="101">
        <f t="shared" si="379"/>
        <v>-2.9615445909856319E-3</v>
      </c>
    </row>
    <row r="211" spans="2:59" s="104" customFormat="1" hidden="1" outlineLevel="1">
      <c r="B211" s="310" t="s">
        <v>381</v>
      </c>
      <c r="M211" s="371"/>
      <c r="N211" s="371"/>
      <c r="O211" s="371"/>
      <c r="P211" s="375"/>
      <c r="Q211" s="315"/>
      <c r="R211" s="315"/>
      <c r="S211" s="315"/>
      <c r="T211" s="315"/>
      <c r="U211" s="315"/>
      <c r="V211" s="315"/>
      <c r="W211" s="315"/>
      <c r="X211" s="315"/>
      <c r="Y211" s="315"/>
      <c r="Z211" s="315"/>
      <c r="AA211" s="315"/>
      <c r="AB211" s="315"/>
      <c r="AC211" s="315"/>
      <c r="AD211" s="315"/>
      <c r="AE211" s="315"/>
      <c r="AF211" s="315"/>
      <c r="AG211" s="315"/>
      <c r="AH211" s="315"/>
      <c r="AI211" s="315"/>
      <c r="AJ211" s="315"/>
      <c r="AK211" s="403"/>
      <c r="AL211" s="403"/>
      <c r="AM211" s="403"/>
      <c r="AN211" s="403"/>
      <c r="AO211" s="404"/>
      <c r="AP211" s="403"/>
      <c r="AQ211" s="403"/>
      <c r="AR211" s="403"/>
      <c r="AS211" s="101"/>
      <c r="AT211" s="371"/>
      <c r="AU211" s="371"/>
      <c r="AV211" s="403"/>
      <c r="AW211" s="101"/>
      <c r="AX211" s="370"/>
      <c r="AY211" s="371"/>
      <c r="AZ211" s="371"/>
      <c r="BA211" s="371"/>
      <c r="BB211" s="370"/>
      <c r="BC211" s="371"/>
      <c r="BD211" s="101"/>
      <c r="BE211" s="10"/>
      <c r="BF211" s="371"/>
      <c r="BG211" s="101"/>
    </row>
    <row r="212" spans="2:59" s="104" customFormat="1" hidden="1" outlineLevel="1">
      <c r="B212" s="309" t="s">
        <v>382</v>
      </c>
      <c r="M212" s="371"/>
      <c r="N212" s="371"/>
      <c r="O212" s="371"/>
      <c r="P212" s="375"/>
      <c r="Q212" s="315"/>
      <c r="R212" s="315"/>
      <c r="S212" s="315"/>
      <c r="T212" s="315"/>
      <c r="U212" s="315"/>
      <c r="V212" s="315"/>
      <c r="W212" s="315"/>
      <c r="X212" s="315"/>
      <c r="Y212" s="315"/>
      <c r="Z212" s="315"/>
      <c r="AA212" s="315"/>
      <c r="AB212" s="315"/>
      <c r="AC212" s="315"/>
      <c r="AD212" s="315"/>
      <c r="AE212" s="315"/>
      <c r="AF212" s="315"/>
      <c r="AG212" s="315"/>
      <c r="AH212" s="315"/>
      <c r="AI212" s="315"/>
      <c r="AJ212" s="315"/>
      <c r="AK212" s="403"/>
      <c r="AL212" s="403"/>
      <c r="AM212" s="403"/>
      <c r="AN212" s="403"/>
      <c r="AO212" s="404"/>
      <c r="AP212" s="403"/>
      <c r="AQ212" s="403"/>
      <c r="AR212" s="403"/>
      <c r="AS212" s="101">
        <f>AS194/AZ194-1</f>
        <v>-0.61251373737820758</v>
      </c>
      <c r="AT212" s="371"/>
      <c r="AU212" s="371"/>
      <c r="AV212" s="403"/>
      <c r="AW212" s="101" t="e">
        <f>AW194/BE194-1</f>
        <v>#DIV/0!</v>
      </c>
      <c r="AX212" s="370"/>
      <c r="AY212" s="371"/>
      <c r="AZ212" s="371"/>
      <c r="BA212" s="371"/>
      <c r="BB212" s="370"/>
      <c r="BC212" s="371"/>
      <c r="BD212" s="101">
        <f t="shared" ref="BD212:BD213" si="380">BD194/BC194-1</f>
        <v>-0.5629732274783914</v>
      </c>
      <c r="BE212" s="10"/>
      <c r="BF212" s="371"/>
      <c r="BG212" s="101">
        <f t="shared" ref="BG212:BG213" si="381">BG194/BF194-1</f>
        <v>-0.52204604393857146</v>
      </c>
    </row>
    <row r="213" spans="2:59" s="104" customFormat="1" hidden="1" outlineLevel="1">
      <c r="B213" s="309" t="s">
        <v>383</v>
      </c>
      <c r="M213" s="371"/>
      <c r="N213" s="371"/>
      <c r="O213" s="371"/>
      <c r="P213" s="375"/>
      <c r="Q213" s="315"/>
      <c r="R213" s="315"/>
      <c r="S213" s="315"/>
      <c r="T213" s="315"/>
      <c r="U213" s="315"/>
      <c r="V213" s="315"/>
      <c r="W213" s="315"/>
      <c r="X213" s="315"/>
      <c r="Y213" s="315"/>
      <c r="Z213" s="315"/>
      <c r="AA213" s="315"/>
      <c r="AB213" s="315"/>
      <c r="AC213" s="315"/>
      <c r="AD213" s="315"/>
      <c r="AE213" s="315"/>
      <c r="AF213" s="315"/>
      <c r="AG213" s="315"/>
      <c r="AH213" s="315"/>
      <c r="AI213" s="315"/>
      <c r="AJ213" s="315"/>
      <c r="AK213" s="403"/>
      <c r="AL213" s="403"/>
      <c r="AM213" s="403"/>
      <c r="AN213" s="403"/>
      <c r="AO213" s="404"/>
      <c r="AP213" s="403"/>
      <c r="AQ213" s="403"/>
      <c r="AR213" s="403"/>
      <c r="AS213" s="101">
        <f>AS195/AZ195-1</f>
        <v>-7.2731338292243208E-2</v>
      </c>
      <c r="AT213" s="371"/>
      <c r="AU213" s="371"/>
      <c r="AV213" s="403"/>
      <c r="AW213" s="101" t="e">
        <f>AW195/BE195-1</f>
        <v>#DIV/0!</v>
      </c>
      <c r="AX213" s="370"/>
      <c r="AY213" s="371"/>
      <c r="AZ213" s="371"/>
      <c r="BA213" s="371"/>
      <c r="BB213" s="370"/>
      <c r="BC213" s="371"/>
      <c r="BD213" s="101">
        <f t="shared" si="380"/>
        <v>-6.1677597558608355E-2</v>
      </c>
      <c r="BE213" s="10"/>
      <c r="BF213" s="371"/>
      <c r="BG213" s="101">
        <f t="shared" si="381"/>
        <v>-4.5263174827404162E-2</v>
      </c>
    </row>
    <row r="214" spans="2:59" s="104" customFormat="1" hidden="1" outlineLevel="1">
      <c r="B214" s="310" t="s">
        <v>384</v>
      </c>
      <c r="M214" s="371"/>
      <c r="N214" s="371"/>
      <c r="O214" s="371"/>
      <c r="P214" s="375"/>
      <c r="Q214" s="315"/>
      <c r="R214" s="315"/>
      <c r="S214" s="315"/>
      <c r="T214" s="315"/>
      <c r="U214" s="315"/>
      <c r="V214" s="315"/>
      <c r="W214" s="315"/>
      <c r="X214" s="315"/>
      <c r="Y214" s="315"/>
      <c r="Z214" s="315"/>
      <c r="AA214" s="315"/>
      <c r="AB214" s="315"/>
      <c r="AC214" s="315"/>
      <c r="AD214" s="315"/>
      <c r="AE214" s="315"/>
      <c r="AF214" s="315"/>
      <c r="AG214" s="315"/>
      <c r="AH214" s="315"/>
      <c r="AI214" s="315"/>
      <c r="AJ214" s="315"/>
      <c r="AK214" s="403"/>
      <c r="AL214" s="403"/>
      <c r="AM214" s="403"/>
      <c r="AN214" s="403"/>
      <c r="AO214" s="404"/>
      <c r="AP214" s="403"/>
      <c r="AQ214" s="403"/>
      <c r="AR214" s="403"/>
      <c r="AS214" s="101"/>
      <c r="AT214" s="371"/>
      <c r="AU214" s="371"/>
      <c r="AV214" s="403"/>
      <c r="AW214" s="101"/>
      <c r="AX214" s="370"/>
      <c r="AY214" s="371"/>
      <c r="AZ214" s="371"/>
      <c r="BA214" s="371"/>
      <c r="BB214" s="370"/>
      <c r="BC214" s="371"/>
      <c r="BD214" s="101"/>
      <c r="BE214" s="10"/>
      <c r="BF214" s="371"/>
      <c r="BG214" s="101"/>
    </row>
    <row r="215" spans="2:59" s="104" customFormat="1" hidden="1" outlineLevel="1">
      <c r="B215" s="309" t="s">
        <v>385</v>
      </c>
      <c r="M215" s="371"/>
      <c r="N215" s="371"/>
      <c r="O215" s="371"/>
      <c r="P215" s="375"/>
      <c r="Q215" s="315"/>
      <c r="R215" s="315"/>
      <c r="S215" s="315"/>
      <c r="T215" s="315"/>
      <c r="U215" s="315"/>
      <c r="V215" s="315"/>
      <c r="W215" s="315"/>
      <c r="X215" s="315"/>
      <c r="Y215" s="315"/>
      <c r="Z215" s="315"/>
      <c r="AA215" s="315"/>
      <c r="AB215" s="315"/>
      <c r="AC215" s="315"/>
      <c r="AD215" s="315"/>
      <c r="AE215" s="315"/>
      <c r="AF215" s="315"/>
      <c r="AG215" s="315"/>
      <c r="AH215" s="315"/>
      <c r="AI215" s="315"/>
      <c r="AJ215" s="315"/>
      <c r="AK215" s="403"/>
      <c r="AL215" s="403"/>
      <c r="AM215" s="403"/>
      <c r="AN215" s="403"/>
      <c r="AO215" s="404"/>
      <c r="AP215" s="403"/>
      <c r="AQ215" s="403"/>
      <c r="AR215" s="403"/>
      <c r="AS215" s="101">
        <f>AS197/AZ197-1</f>
        <v>0.79800187324383409</v>
      </c>
      <c r="AT215" s="371"/>
      <c r="AU215" s="371"/>
      <c r="AV215" s="403"/>
      <c r="AW215" s="101" t="e">
        <f>AW197/BE197-1</f>
        <v>#DIV/0!</v>
      </c>
      <c r="AX215" s="370"/>
      <c r="AY215" s="371"/>
      <c r="AZ215" s="371"/>
      <c r="BA215" s="371"/>
      <c r="BB215" s="370"/>
      <c r="BC215" s="371"/>
      <c r="BD215" s="101">
        <f t="shared" ref="BD215:BD217" si="382">BD197/BC197-1</f>
        <v>0.24953852892406836</v>
      </c>
      <c r="BE215" s="10"/>
      <c r="BF215" s="371"/>
      <c r="BG215" s="101">
        <f t="shared" ref="BG215:BG217" si="383">BG197/BF197-1</f>
        <v>0.35526903825527345</v>
      </c>
    </row>
    <row r="216" spans="2:59" s="104" customFormat="1" hidden="1" outlineLevel="1">
      <c r="B216" s="309" t="s">
        <v>386</v>
      </c>
      <c r="M216" s="371"/>
      <c r="N216" s="371"/>
      <c r="O216" s="371"/>
      <c r="P216" s="375"/>
      <c r="Q216" s="315"/>
      <c r="R216" s="315"/>
      <c r="S216" s="315"/>
      <c r="T216" s="315"/>
      <c r="U216" s="315"/>
      <c r="V216" s="315"/>
      <c r="W216" s="315"/>
      <c r="X216" s="315"/>
      <c r="Y216" s="315"/>
      <c r="Z216" s="315"/>
      <c r="AA216" s="315"/>
      <c r="AB216" s="315"/>
      <c r="AC216" s="315"/>
      <c r="AD216" s="315"/>
      <c r="AE216" s="315"/>
      <c r="AF216" s="315"/>
      <c r="AG216" s="315"/>
      <c r="AH216" s="315"/>
      <c r="AI216" s="315"/>
      <c r="AJ216" s="315"/>
      <c r="AK216" s="403"/>
      <c r="AL216" s="403"/>
      <c r="AM216" s="403"/>
      <c r="AN216" s="403"/>
      <c r="AO216" s="404"/>
      <c r="AP216" s="403"/>
      <c r="AQ216" s="403"/>
      <c r="AR216" s="403"/>
      <c r="AS216" s="101">
        <f>AS198/AZ198-1</f>
        <v>7.5086187810355254E-2</v>
      </c>
      <c r="AT216" s="371"/>
      <c r="AU216" s="371"/>
      <c r="AV216" s="403"/>
      <c r="AW216" s="101" t="e">
        <f>AW198/BE198-1</f>
        <v>#DIV/0!</v>
      </c>
      <c r="AX216" s="370"/>
      <c r="AY216" s="371"/>
      <c r="AZ216" s="371"/>
      <c r="BA216" s="371"/>
      <c r="BB216" s="370"/>
      <c r="BC216" s="371"/>
      <c r="BD216" s="101">
        <f t="shared" si="382"/>
        <v>0.12743196053433836</v>
      </c>
      <c r="BE216" s="10"/>
      <c r="BF216" s="371"/>
      <c r="BG216" s="101">
        <f t="shared" si="383"/>
        <v>9.0060620611007725E-2</v>
      </c>
    </row>
    <row r="217" spans="2:59" s="104" customFormat="1" hidden="1" outlineLevel="1">
      <c r="B217" s="310" t="s">
        <v>38</v>
      </c>
      <c r="M217" s="371"/>
      <c r="N217" s="371"/>
      <c r="O217" s="371"/>
      <c r="P217" s="375"/>
      <c r="Q217" s="315"/>
      <c r="R217" s="315"/>
      <c r="S217" s="315"/>
      <c r="T217" s="315"/>
      <c r="U217" s="315"/>
      <c r="V217" s="315"/>
      <c r="W217" s="315"/>
      <c r="X217" s="315"/>
      <c r="Y217" s="315"/>
      <c r="Z217" s="315"/>
      <c r="AA217" s="315"/>
      <c r="AB217" s="315"/>
      <c r="AC217" s="315"/>
      <c r="AD217" s="315"/>
      <c r="AE217" s="315"/>
      <c r="AF217" s="315"/>
      <c r="AG217" s="315"/>
      <c r="AH217" s="315"/>
      <c r="AI217" s="315"/>
      <c r="AJ217" s="315"/>
      <c r="AK217" s="403"/>
      <c r="AL217" s="403"/>
      <c r="AM217" s="403"/>
      <c r="AN217" s="403"/>
      <c r="AO217" s="404"/>
      <c r="AP217" s="403"/>
      <c r="AQ217" s="403"/>
      <c r="AR217" s="403"/>
      <c r="AS217" s="101">
        <f>AS199/AZ199-1</f>
        <v>-0.53665370664002254</v>
      </c>
      <c r="AT217" s="371"/>
      <c r="AU217" s="371"/>
      <c r="AV217" s="403"/>
      <c r="AW217" s="101" t="e">
        <f>AW199/BE199-1</f>
        <v>#DIV/0!</v>
      </c>
      <c r="AX217" s="370"/>
      <c r="AY217" s="371"/>
      <c r="AZ217" s="371"/>
      <c r="BA217" s="371"/>
      <c r="BB217" s="370"/>
      <c r="BC217" s="371"/>
      <c r="BD217" s="101">
        <f t="shared" si="382"/>
        <v>-0.21526503019331311</v>
      </c>
      <c r="BE217" s="10"/>
      <c r="BF217" s="371"/>
      <c r="BG217" s="101">
        <f t="shared" si="383"/>
        <v>-9.1437419135894094E-2</v>
      </c>
    </row>
    <row r="218" spans="2:59" s="104" customFormat="1" hidden="1" outlineLevel="1">
      <c r="B218" s="310" t="s">
        <v>387</v>
      </c>
      <c r="M218" s="371"/>
      <c r="N218" s="371"/>
      <c r="O218" s="371"/>
      <c r="P218" s="375"/>
      <c r="Q218" s="315"/>
      <c r="R218" s="315"/>
      <c r="S218" s="315"/>
      <c r="T218" s="315"/>
      <c r="U218" s="315"/>
      <c r="V218" s="315"/>
      <c r="W218" s="315"/>
      <c r="X218" s="315"/>
      <c r="Y218" s="315"/>
      <c r="Z218" s="315"/>
      <c r="AA218" s="315"/>
      <c r="AB218" s="315"/>
      <c r="AC218" s="315"/>
      <c r="AD218" s="315"/>
      <c r="AE218" s="315"/>
      <c r="AF218" s="315"/>
      <c r="AG218" s="315"/>
      <c r="AH218" s="315"/>
      <c r="AI218" s="315"/>
      <c r="AJ218" s="315"/>
      <c r="AK218" s="403"/>
      <c r="AL218" s="403"/>
      <c r="AM218" s="403"/>
      <c r="AN218" s="403"/>
      <c r="AO218" s="404"/>
      <c r="AP218" s="403"/>
      <c r="AQ218" s="403"/>
      <c r="AR218" s="403"/>
      <c r="AS218" s="101"/>
      <c r="AT218" s="371"/>
      <c r="AU218" s="371"/>
      <c r="AV218" s="403"/>
      <c r="AW218" s="101"/>
      <c r="AX218" s="370"/>
      <c r="AY218" s="371"/>
      <c r="AZ218" s="371"/>
      <c r="BA218" s="371"/>
      <c r="BB218" s="370"/>
      <c r="BC218" s="371"/>
      <c r="BD218" s="101"/>
      <c r="BE218" s="10"/>
      <c r="BF218" s="371"/>
      <c r="BG218" s="101"/>
    </row>
    <row r="219" spans="2:59" s="104" customFormat="1" hidden="1" outlineLevel="1">
      <c r="B219" s="311" t="s">
        <v>31</v>
      </c>
      <c r="P219" s="375"/>
      <c r="AS219" s="101">
        <f>AS201/AZ201-1</f>
        <v>-0.12460291359585318</v>
      </c>
      <c r="AT219" s="371"/>
      <c r="AU219" s="371"/>
      <c r="AW219" s="101" t="e">
        <f>AW201/BE201-1</f>
        <v>#DIV/0!</v>
      </c>
      <c r="AX219" s="370"/>
      <c r="BB219" s="370"/>
      <c r="BC219" s="101"/>
      <c r="BD219" s="101">
        <f>BD201/BC201-1</f>
        <v>-8.484384410221113E-2</v>
      </c>
      <c r="BE219" s="10"/>
      <c r="BF219" s="101"/>
      <c r="BG219" s="101">
        <f>BG201/BF201-1</f>
        <v>-6.8979766645059781E-2</v>
      </c>
    </row>
    <row r="220" spans="2:59" s="104" customFormat="1" hidden="1" outlineLevel="1">
      <c r="P220" s="375"/>
      <c r="AX220" s="370"/>
      <c r="BB220" s="370"/>
      <c r="BE220" s="10"/>
    </row>
    <row r="221" spans="2:59" s="104" customFormat="1" collapsed="1">
      <c r="P221" s="375"/>
      <c r="AX221" s="370"/>
      <c r="BB221" s="370"/>
      <c r="BE221" s="10"/>
    </row>
    <row r="222" spans="2:59" s="104" customFormat="1">
      <c r="B222" s="360" t="s">
        <v>391</v>
      </c>
      <c r="C222" s="361"/>
      <c r="D222" s="361"/>
      <c r="E222" s="361"/>
      <c r="F222" s="361"/>
      <c r="G222" s="361"/>
      <c r="H222" s="361"/>
      <c r="I222" s="361"/>
      <c r="J222" s="361"/>
      <c r="K222" s="361"/>
      <c r="L222" s="361"/>
      <c r="M222" s="361"/>
      <c r="N222" s="361"/>
      <c r="O222" s="361"/>
      <c r="P222" s="375"/>
      <c r="Q222" s="361"/>
      <c r="R222" s="361"/>
      <c r="S222" s="361"/>
      <c r="T222" s="361"/>
      <c r="U222" s="361"/>
      <c r="V222" s="361"/>
      <c r="W222" s="361"/>
      <c r="X222" s="361"/>
      <c r="Y222" s="361"/>
      <c r="Z222" s="361"/>
      <c r="AA222" s="361"/>
      <c r="AB222" s="361"/>
      <c r="AC222" s="361"/>
      <c r="AD222" s="361"/>
      <c r="AE222" s="361"/>
      <c r="AF222" s="361"/>
      <c r="AG222" s="361"/>
      <c r="AH222" s="361"/>
      <c r="AI222" s="361"/>
      <c r="AJ222" s="361"/>
      <c r="AK222" s="361"/>
      <c r="AL222" s="361"/>
      <c r="AM222" s="361"/>
      <c r="AN222" s="361"/>
      <c r="AO222" s="361"/>
      <c r="AP222" s="361"/>
      <c r="AQ222" s="361"/>
      <c r="AR222" s="361"/>
      <c r="AS222" s="361"/>
      <c r="AT222" s="361"/>
      <c r="AU222" s="361"/>
      <c r="AV222" s="361"/>
      <c r="AW222" s="361"/>
      <c r="AX222" s="370"/>
      <c r="AY222" s="361"/>
      <c r="AZ222" s="361"/>
      <c r="BA222" s="361"/>
      <c r="BB222" s="370"/>
      <c r="BC222" s="361"/>
      <c r="BD222" s="361"/>
      <c r="BE222" s="10"/>
      <c r="BF222" s="361"/>
      <c r="BG222" s="361"/>
    </row>
    <row r="223" spans="2:59" s="104" customFormat="1">
      <c r="B223" s="310" t="s">
        <v>392</v>
      </c>
      <c r="P223" s="375"/>
      <c r="AR223" s="369"/>
      <c r="AS223" s="369"/>
      <c r="AT223" s="369"/>
      <c r="AU223" s="369"/>
      <c r="AV223" s="369"/>
      <c r="AW223" s="445">
        <f>SUM(AW224,AW228)</f>
        <v>2430.1980000000003</v>
      </c>
      <c r="AX223" s="370"/>
      <c r="BA223" s="445">
        <f>SUM(BA224,BA228)</f>
        <v>2606.0549999999998</v>
      </c>
      <c r="BB223" s="370"/>
      <c r="BE223" s="10"/>
    </row>
    <row r="224" spans="2:59" s="104" customFormat="1">
      <c r="B224" s="443" t="s">
        <v>393</v>
      </c>
      <c r="P224" s="375"/>
      <c r="AR224" s="369"/>
      <c r="AS224" s="369"/>
      <c r="AT224" s="369"/>
      <c r="AU224" s="369"/>
      <c r="AV224" s="369"/>
      <c r="AW224" s="446">
        <f>SUM(AW225:AW227)</f>
        <v>1845.3720000000001</v>
      </c>
      <c r="AX224" s="370"/>
      <c r="BA224" s="446">
        <f>SUM(BA225:BA227)</f>
        <v>1941.174</v>
      </c>
      <c r="BB224" s="370"/>
      <c r="BE224" s="10"/>
    </row>
    <row r="225" spans="2:57" s="104" customFormat="1">
      <c r="B225" s="442" t="s">
        <v>394</v>
      </c>
      <c r="P225" s="375"/>
      <c r="AR225" s="369"/>
      <c r="AS225" s="369"/>
      <c r="AT225" s="369"/>
      <c r="AU225" s="369"/>
      <c r="AV225" s="369"/>
      <c r="AW225" s="182">
        <v>804.63699999999994</v>
      </c>
      <c r="AX225" s="370"/>
      <c r="BA225" s="182">
        <v>835.71</v>
      </c>
      <c r="BE225" s="10"/>
    </row>
    <row r="226" spans="2:57" s="104" customFormat="1">
      <c r="B226" s="442" t="s">
        <v>395</v>
      </c>
      <c r="AR226" s="369"/>
      <c r="AS226" s="369"/>
      <c r="AT226" s="369"/>
      <c r="AU226" s="369"/>
      <c r="AV226" s="369"/>
      <c r="AW226" s="182">
        <v>604.47699999999998</v>
      </c>
      <c r="AX226" s="370"/>
      <c r="BA226" s="182">
        <v>649.03099999999995</v>
      </c>
    </row>
    <row r="227" spans="2:57" s="104" customFormat="1">
      <c r="B227" s="442" t="s">
        <v>396</v>
      </c>
      <c r="AR227" s="369"/>
      <c r="AS227" s="369"/>
      <c r="AT227" s="369"/>
      <c r="AU227" s="369"/>
      <c r="AV227" s="369"/>
      <c r="AW227" s="182">
        <v>436.25799999999998</v>
      </c>
      <c r="AX227" s="370"/>
      <c r="BA227" s="182">
        <v>456.43299999999999</v>
      </c>
    </row>
    <row r="228" spans="2:57" s="104" customFormat="1">
      <c r="B228" s="443" t="s">
        <v>352</v>
      </c>
      <c r="AR228" s="369"/>
      <c r="AS228" s="369"/>
      <c r="AT228" s="369"/>
      <c r="AU228" s="369"/>
      <c r="AV228" s="369"/>
      <c r="AW228" s="446">
        <f>SUM(AW229:AW230)</f>
        <v>584.82600000000002</v>
      </c>
      <c r="BA228" s="446">
        <f>SUM(BA229:BA230)</f>
        <v>664.88099999999997</v>
      </c>
    </row>
    <row r="229" spans="2:57" s="104" customFormat="1">
      <c r="B229" s="442" t="s">
        <v>397</v>
      </c>
      <c r="AR229" s="369"/>
      <c r="AS229" s="369"/>
      <c r="AT229" s="369"/>
      <c r="AU229" s="369"/>
      <c r="AV229" s="369"/>
      <c r="AW229" s="182">
        <v>155.405</v>
      </c>
      <c r="BA229" s="182">
        <v>220.37899999999999</v>
      </c>
    </row>
    <row r="230" spans="2:57" s="104" customFormat="1">
      <c r="B230" s="442" t="s">
        <v>383</v>
      </c>
      <c r="AR230" s="369"/>
      <c r="AS230" s="369"/>
      <c r="AT230" s="369"/>
      <c r="AU230" s="369"/>
      <c r="AV230" s="369"/>
      <c r="AW230" s="182">
        <v>429.42099999999999</v>
      </c>
      <c r="BA230" s="182">
        <v>444.50200000000001</v>
      </c>
    </row>
    <row r="231" spans="2:57" s="104" customFormat="1">
      <c r="B231" s="27" t="s">
        <v>398</v>
      </c>
      <c r="AR231" s="369"/>
      <c r="AS231" s="369"/>
      <c r="AT231" s="369"/>
      <c r="AU231" s="369"/>
      <c r="AV231" s="369"/>
      <c r="AW231" s="446">
        <f>SUM(AW232)</f>
        <v>350.07499999999999</v>
      </c>
      <c r="BA231" s="446">
        <f>SUM(BA232)</f>
        <v>264.18</v>
      </c>
    </row>
    <row r="232" spans="2:57" s="104" customFormat="1">
      <c r="B232" s="309" t="s">
        <v>399</v>
      </c>
      <c r="AR232" s="369"/>
      <c r="AS232" s="369"/>
      <c r="AT232" s="369"/>
      <c r="AU232" s="369"/>
      <c r="AV232" s="369"/>
      <c r="AW232" s="446">
        <f>SUM(AW233:AW234)</f>
        <v>350.07499999999999</v>
      </c>
      <c r="BA232" s="446">
        <f>SUM(BA233:BA234)</f>
        <v>264.18</v>
      </c>
    </row>
    <row r="233" spans="2:57" s="104" customFormat="1">
      <c r="B233" s="442" t="s">
        <v>385</v>
      </c>
      <c r="AR233" s="369"/>
      <c r="AS233" s="369"/>
      <c r="AT233" s="369"/>
      <c r="AU233" s="369"/>
      <c r="AV233" s="369"/>
      <c r="AW233" s="182">
        <v>243.78700000000001</v>
      </c>
      <c r="BA233" s="182">
        <v>218.762</v>
      </c>
    </row>
    <row r="234" spans="2:57" s="104" customFormat="1">
      <c r="B234" s="442" t="s">
        <v>386</v>
      </c>
      <c r="AR234" s="369"/>
      <c r="AS234" s="369"/>
      <c r="AT234" s="369"/>
      <c r="AU234" s="369"/>
      <c r="AV234" s="369"/>
      <c r="AW234" s="182">
        <v>106.288</v>
      </c>
      <c r="BA234" s="182">
        <v>45.417999999999999</v>
      </c>
    </row>
    <row r="235" spans="2:57" s="104" customFormat="1">
      <c r="B235" s="27" t="s">
        <v>38</v>
      </c>
      <c r="AR235" s="369"/>
      <c r="AS235" s="369"/>
      <c r="AT235" s="369"/>
      <c r="AU235" s="369"/>
      <c r="AV235" s="369"/>
      <c r="AW235" s="447">
        <v>19.588000000000001</v>
      </c>
      <c r="BA235" s="447">
        <v>21.622</v>
      </c>
    </row>
    <row r="236" spans="2:57" s="104" customFormat="1">
      <c r="B236" s="27" t="s">
        <v>31</v>
      </c>
      <c r="AR236" s="369"/>
      <c r="AS236" s="369"/>
      <c r="AT236" s="369"/>
      <c r="AU236" s="369"/>
      <c r="AV236" s="369"/>
      <c r="AW236" s="446">
        <f>SUM(AW223,AW231,AW235)</f>
        <v>2799.8610000000003</v>
      </c>
      <c r="BA236" s="446">
        <f>SUM(BA223,BA231,BA235)</f>
        <v>2891.8569999999995</v>
      </c>
    </row>
    <row r="237" spans="2:57" s="104" customFormat="1">
      <c r="B237" s="41" t="s">
        <v>24</v>
      </c>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369"/>
      <c r="AS237" s="369"/>
      <c r="AT237" s="369"/>
      <c r="AU237" s="369"/>
      <c r="AV237" s="369"/>
      <c r="AW237" s="448">
        <f>AW236-Model!BM7</f>
        <v>0</v>
      </c>
      <c r="BA237" s="448">
        <f>BA236-Model!BT7</f>
        <v>0</v>
      </c>
    </row>
    <row r="238" spans="2:57" s="104" customFormat="1"/>
    <row r="239" spans="2:57" s="104" customFormat="1">
      <c r="B239" s="381" t="s">
        <v>400</v>
      </c>
    </row>
    <row r="240" spans="2:57" s="104" customFormat="1">
      <c r="B240" s="310" t="s">
        <v>392</v>
      </c>
      <c r="AR240" s="369"/>
      <c r="AS240" s="369"/>
      <c r="AT240" s="369"/>
      <c r="AU240" s="369"/>
      <c r="AV240" s="369"/>
      <c r="AW240" s="450">
        <f t="shared" ref="AW240:AW252" si="384">AW223/AW$236</f>
        <v>0.86797094570051869</v>
      </c>
      <c r="BA240" s="450">
        <f t="shared" ref="BA240:BA252" si="385">BA223/BA$236</f>
        <v>0.90117007860347187</v>
      </c>
    </row>
    <row r="241" spans="2:53" s="104" customFormat="1">
      <c r="B241" s="443" t="s">
        <v>393</v>
      </c>
      <c r="AR241" s="369"/>
      <c r="AS241" s="369"/>
      <c r="AT241" s="369"/>
      <c r="AU241" s="369"/>
      <c r="AV241" s="369"/>
      <c r="AW241" s="450">
        <f t="shared" si="384"/>
        <v>0.65909414788805587</v>
      </c>
      <c r="BA241" s="450">
        <f t="shared" si="385"/>
        <v>0.67125518308823717</v>
      </c>
    </row>
    <row r="242" spans="2:53" s="104" customFormat="1">
      <c r="B242" s="442" t="s">
        <v>394</v>
      </c>
      <c r="AR242" s="369"/>
      <c r="AS242" s="369"/>
      <c r="AT242" s="369"/>
      <c r="AU242" s="369"/>
      <c r="AV242" s="369"/>
      <c r="AW242" s="449">
        <f t="shared" si="384"/>
        <v>0.28738462373667828</v>
      </c>
      <c r="BA242" s="449">
        <f t="shared" si="385"/>
        <v>0.28898731852923576</v>
      </c>
    </row>
    <row r="243" spans="2:53" s="104" customFormat="1">
      <c r="B243" s="442" t="s">
        <v>395</v>
      </c>
      <c r="AR243" s="369"/>
      <c r="AS243" s="369"/>
      <c r="AT243" s="369"/>
      <c r="AU243" s="369"/>
      <c r="AV243" s="369"/>
      <c r="AW243" s="449">
        <f t="shared" si="384"/>
        <v>0.21589536051968292</v>
      </c>
      <c r="BA243" s="449">
        <f t="shared" si="385"/>
        <v>0.22443398826428834</v>
      </c>
    </row>
    <row r="244" spans="2:53" s="104" customFormat="1">
      <c r="B244" s="442" t="s">
        <v>396</v>
      </c>
      <c r="AR244" s="369"/>
      <c r="AS244" s="369"/>
      <c r="AT244" s="369"/>
      <c r="AU244" s="369"/>
      <c r="AV244" s="369"/>
      <c r="AW244" s="450">
        <f t="shared" si="384"/>
        <v>0.15581416363169454</v>
      </c>
      <c r="BA244" s="450">
        <f t="shared" si="385"/>
        <v>0.15783387629471307</v>
      </c>
    </row>
    <row r="245" spans="2:53" s="104" customFormat="1">
      <c r="B245" s="443" t="s">
        <v>352</v>
      </c>
      <c r="AR245" s="369"/>
      <c r="AS245" s="369"/>
      <c r="AT245" s="369"/>
      <c r="AU245" s="369"/>
      <c r="AV245" s="369"/>
      <c r="AW245" s="450">
        <f t="shared" si="384"/>
        <v>0.20887679781246282</v>
      </c>
      <c r="BA245" s="450">
        <f t="shared" si="385"/>
        <v>0.2299148955152347</v>
      </c>
    </row>
    <row r="246" spans="2:53" s="104" customFormat="1">
      <c r="B246" s="442" t="s">
        <v>397</v>
      </c>
      <c r="AR246" s="369"/>
      <c r="AS246" s="369"/>
      <c r="AT246" s="369"/>
      <c r="AU246" s="369"/>
      <c r="AV246" s="369"/>
      <c r="AW246" s="449">
        <f t="shared" si="384"/>
        <v>5.5504541118291222E-2</v>
      </c>
      <c r="BA246" s="449">
        <f t="shared" si="385"/>
        <v>7.62067418962971E-2</v>
      </c>
    </row>
    <row r="247" spans="2:53" s="104" customFormat="1">
      <c r="B247" s="442" t="s">
        <v>383</v>
      </c>
      <c r="AR247" s="369"/>
      <c r="AS247" s="369"/>
      <c r="AT247" s="369"/>
      <c r="AU247" s="369"/>
      <c r="AV247" s="369"/>
      <c r="AW247" s="449">
        <f t="shared" si="384"/>
        <v>0.15337225669417159</v>
      </c>
      <c r="BA247" s="449">
        <f t="shared" si="385"/>
        <v>0.15370815361893761</v>
      </c>
    </row>
    <row r="248" spans="2:53" s="104" customFormat="1">
      <c r="B248" s="27" t="s">
        <v>398</v>
      </c>
      <c r="AR248" s="369"/>
      <c r="AS248" s="369"/>
      <c r="AT248" s="369"/>
      <c r="AU248" s="369"/>
      <c r="AV248" s="369"/>
      <c r="AW248" s="450">
        <f t="shared" si="384"/>
        <v>0.12503299270928089</v>
      </c>
      <c r="BA248" s="450">
        <f t="shared" si="385"/>
        <v>9.1353064829969133E-2</v>
      </c>
    </row>
    <row r="249" spans="2:53" s="104" customFormat="1">
      <c r="B249" s="309" t="s">
        <v>399</v>
      </c>
      <c r="AR249" s="369"/>
      <c r="AS249" s="369"/>
      <c r="AT249" s="369"/>
      <c r="AU249" s="369"/>
      <c r="AV249" s="369"/>
      <c r="AW249" s="450">
        <f t="shared" si="384"/>
        <v>0.12503299270928089</v>
      </c>
      <c r="BA249" s="450">
        <f t="shared" si="385"/>
        <v>9.1353064829969133E-2</v>
      </c>
    </row>
    <row r="250" spans="2:53" s="104" customFormat="1">
      <c r="B250" s="442" t="s">
        <v>385</v>
      </c>
      <c r="AR250" s="369"/>
      <c r="AS250" s="369"/>
      <c r="AT250" s="369"/>
      <c r="AU250" s="369"/>
      <c r="AV250" s="369"/>
      <c r="AW250" s="449">
        <f t="shared" si="384"/>
        <v>8.7071108172870004E-2</v>
      </c>
      <c r="BA250" s="449">
        <f t="shared" si="385"/>
        <v>7.5647585617131155E-2</v>
      </c>
    </row>
    <row r="251" spans="2:53" s="104" customFormat="1">
      <c r="B251" s="442" t="s">
        <v>386</v>
      </c>
      <c r="AR251" s="369"/>
      <c r="AS251" s="369"/>
      <c r="AT251" s="369"/>
      <c r="AU251" s="369"/>
      <c r="AV251" s="369"/>
      <c r="AW251" s="449">
        <f t="shared" si="384"/>
        <v>3.796188453641091E-2</v>
      </c>
      <c r="BA251" s="449">
        <f t="shared" si="385"/>
        <v>1.5705479212837981E-2</v>
      </c>
    </row>
    <row r="252" spans="2:53" s="104" customFormat="1">
      <c r="B252" s="27" t="s">
        <v>38</v>
      </c>
      <c r="AR252" s="369"/>
      <c r="AS252" s="369"/>
      <c r="AT252" s="369"/>
      <c r="AU252" s="369"/>
      <c r="AV252" s="369"/>
      <c r="AW252" s="450">
        <f t="shared" si="384"/>
        <v>6.9960615902003699E-3</v>
      </c>
      <c r="BA252" s="450">
        <f t="shared" si="385"/>
        <v>7.476856566559136E-3</v>
      </c>
    </row>
    <row r="253" spans="2:53" s="104" customFormat="1">
      <c r="B253" s="27" t="s">
        <v>31</v>
      </c>
      <c r="AR253" s="369"/>
      <c r="AS253" s="369"/>
      <c r="AT253" s="369"/>
      <c r="AU253" s="369"/>
      <c r="AV253" s="369"/>
      <c r="AW253" s="100">
        <f>SUM(AW240,AW248,AW252)</f>
        <v>1</v>
      </c>
      <c r="BA253" s="100">
        <f>SUM(BA240,BA248,BA252)</f>
        <v>1</v>
      </c>
    </row>
    <row r="254" spans="2:53" s="104" customFormat="1"/>
    <row r="255" spans="2:53" s="104" customFormat="1"/>
    <row r="256" spans="2:53" s="104" customFormat="1">
      <c r="B256" s="381" t="s">
        <v>401</v>
      </c>
    </row>
    <row r="257" spans="2:53" s="104" customFormat="1">
      <c r="B257" s="310" t="s">
        <v>392</v>
      </c>
      <c r="AR257" s="369"/>
      <c r="AS257" s="369"/>
      <c r="AT257" s="369"/>
      <c r="AU257" s="369"/>
      <c r="AV257" s="369"/>
      <c r="AW257" s="450">
        <f>AW223/BA223-1</f>
        <v>-6.7480156788709222E-2</v>
      </c>
      <c r="BA257" s="369"/>
    </row>
    <row r="258" spans="2:53" s="104" customFormat="1">
      <c r="B258" s="443" t="s">
        <v>393</v>
      </c>
      <c r="AR258" s="369"/>
      <c r="AS258" s="369"/>
      <c r="AT258" s="369"/>
      <c r="AU258" s="369"/>
      <c r="AV258" s="369"/>
      <c r="AW258" s="450">
        <f t="shared" ref="AW258:AW270" si="386">AW224/BA224-1</f>
        <v>-4.9352608266955977E-2</v>
      </c>
      <c r="BA258" s="369"/>
    </row>
    <row r="259" spans="2:53" s="104" customFormat="1">
      <c r="B259" s="442" t="s">
        <v>394</v>
      </c>
      <c r="AR259" s="369"/>
      <c r="AS259" s="369"/>
      <c r="AT259" s="369"/>
      <c r="AU259" s="369"/>
      <c r="AV259" s="369"/>
      <c r="AW259" s="449">
        <f t="shared" si="386"/>
        <v>-3.7181558196025088E-2</v>
      </c>
      <c r="BA259" s="369"/>
    </row>
    <row r="260" spans="2:53" s="104" customFormat="1">
      <c r="B260" s="442" t="s">
        <v>395</v>
      </c>
      <c r="AR260" s="369"/>
      <c r="AS260" s="369"/>
      <c r="AT260" s="369"/>
      <c r="AU260" s="369"/>
      <c r="AV260" s="369"/>
      <c r="AW260" s="449">
        <f t="shared" si="386"/>
        <v>-6.8646952148664675E-2</v>
      </c>
      <c r="BA260" s="369"/>
    </row>
    <row r="261" spans="2:53" s="104" customFormat="1">
      <c r="B261" s="442" t="s">
        <v>396</v>
      </c>
      <c r="AR261" s="369"/>
      <c r="AS261" s="369"/>
      <c r="AT261" s="369"/>
      <c r="AU261" s="369"/>
      <c r="AV261" s="369"/>
      <c r="AW261" s="450">
        <f t="shared" si="386"/>
        <v>-4.4201449062622578E-2</v>
      </c>
      <c r="BA261" s="369"/>
    </row>
    <row r="262" spans="2:53" s="104" customFormat="1">
      <c r="B262" s="443" t="s">
        <v>352</v>
      </c>
      <c r="AR262" s="369"/>
      <c r="AS262" s="369"/>
      <c r="AT262" s="369"/>
      <c r="AU262" s="369"/>
      <c r="AV262" s="369"/>
      <c r="AW262" s="450">
        <f t="shared" si="386"/>
        <v>-0.12040500480537109</v>
      </c>
      <c r="BA262" s="369"/>
    </row>
    <row r="263" spans="2:53" s="104" customFormat="1">
      <c r="B263" s="442" t="s">
        <v>397</v>
      </c>
      <c r="AR263" s="369"/>
      <c r="AS263" s="369"/>
      <c r="AT263" s="369"/>
      <c r="AU263" s="369"/>
      <c r="AV263" s="369"/>
      <c r="AW263" s="449">
        <f t="shared" si="386"/>
        <v>-0.29482845461681917</v>
      </c>
      <c r="BA263" s="369"/>
    </row>
    <row r="264" spans="2:53" s="104" customFormat="1">
      <c r="B264" s="442" t="s">
        <v>383</v>
      </c>
      <c r="AR264" s="369"/>
      <c r="AS264" s="369"/>
      <c r="AT264" s="369"/>
      <c r="AU264" s="369"/>
      <c r="AV264" s="369"/>
      <c r="AW264" s="449">
        <f t="shared" si="386"/>
        <v>-3.3927856342603646E-2</v>
      </c>
      <c r="BA264" s="369"/>
    </row>
    <row r="265" spans="2:53" s="104" customFormat="1">
      <c r="B265" s="27" t="s">
        <v>398</v>
      </c>
      <c r="AR265" s="369"/>
      <c r="AS265" s="369"/>
      <c r="AT265" s="369"/>
      <c r="AU265" s="369"/>
      <c r="AV265" s="369"/>
      <c r="AW265" s="450">
        <f t="shared" si="386"/>
        <v>0.32513816337345736</v>
      </c>
      <c r="BA265" s="369"/>
    </row>
    <row r="266" spans="2:53" s="104" customFormat="1">
      <c r="B266" s="309" t="s">
        <v>399</v>
      </c>
      <c r="AR266" s="369"/>
      <c r="AS266" s="369"/>
      <c r="AT266" s="369"/>
      <c r="AU266" s="369"/>
      <c r="AV266" s="369"/>
      <c r="AW266" s="450">
        <f t="shared" si="386"/>
        <v>0.32513816337345736</v>
      </c>
      <c r="BA266" s="369"/>
    </row>
    <row r="267" spans="2:53" s="104" customFormat="1">
      <c r="B267" s="442" t="s">
        <v>385</v>
      </c>
      <c r="AR267" s="369"/>
      <c r="AS267" s="369"/>
      <c r="AT267" s="369"/>
      <c r="AU267" s="369"/>
      <c r="AV267" s="369"/>
      <c r="AW267" s="449">
        <f t="shared" si="386"/>
        <v>0.11439372468710296</v>
      </c>
      <c r="BA267" s="369"/>
    </row>
    <row r="268" spans="2:53" s="104" customFormat="1">
      <c r="B268" s="442" t="s">
        <v>386</v>
      </c>
      <c r="AR268" s="369"/>
      <c r="AS268" s="369"/>
      <c r="AT268" s="369"/>
      <c r="AU268" s="369"/>
      <c r="AV268" s="369"/>
      <c r="AW268" s="449">
        <f t="shared" si="386"/>
        <v>1.3402175348980578</v>
      </c>
      <c r="BA268" s="369"/>
    </row>
    <row r="269" spans="2:53" s="104" customFormat="1">
      <c r="B269" s="27" t="s">
        <v>38</v>
      </c>
      <c r="AR269" s="369"/>
      <c r="AS269" s="369"/>
      <c r="AT269" s="369"/>
      <c r="AU269" s="369"/>
      <c r="AV269" s="369"/>
      <c r="AW269" s="450">
        <f t="shared" si="386"/>
        <v>-9.4070853760059192E-2</v>
      </c>
      <c r="BA269" s="369"/>
    </row>
    <row r="270" spans="2:53" s="104" customFormat="1">
      <c r="B270" s="27" t="s">
        <v>31</v>
      </c>
      <c r="AR270" s="369"/>
      <c r="AS270" s="369"/>
      <c r="AT270" s="369"/>
      <c r="AU270" s="369"/>
      <c r="AV270" s="369"/>
      <c r="AW270" s="100">
        <f t="shared" si="386"/>
        <v>-3.1812084760760695E-2</v>
      </c>
      <c r="BA270" s="369"/>
    </row>
    <row r="271" spans="2:53" s="104" customFormat="1"/>
    <row r="272" spans="2:53" s="104" customFormat="1"/>
    <row r="273" spans="2:59" s="27" customFormat="1">
      <c r="B273" s="360" t="s">
        <v>402</v>
      </c>
      <c r="C273" s="360"/>
      <c r="D273" s="360"/>
      <c r="E273" s="360"/>
      <c r="F273" s="360"/>
      <c r="G273" s="360"/>
      <c r="H273" s="360"/>
      <c r="I273" s="360"/>
      <c r="J273" s="360"/>
      <c r="K273" s="360"/>
      <c r="L273" s="360"/>
      <c r="M273" s="360"/>
      <c r="N273" s="360"/>
      <c r="O273" s="360"/>
      <c r="AS273" s="365"/>
      <c r="AT273" s="365"/>
      <c r="AU273" s="365"/>
      <c r="AV273" s="365"/>
      <c r="AW273" s="365"/>
      <c r="AX273" s="104"/>
      <c r="AY273" s="361"/>
      <c r="AZ273" s="364"/>
      <c r="BA273" s="365"/>
    </row>
    <row r="274" spans="2:59" s="27" customFormat="1">
      <c r="B274" s="27" t="s">
        <v>365</v>
      </c>
    </row>
    <row r="275" spans="2:59" s="104" customFormat="1">
      <c r="B275" s="104" t="s">
        <v>366</v>
      </c>
      <c r="C275" s="105">
        <v>533</v>
      </c>
      <c r="D275" s="105">
        <v>703</v>
      </c>
      <c r="E275" s="105">
        <v>1024</v>
      </c>
      <c r="F275" s="105">
        <v>1066</v>
      </c>
      <c r="G275" s="105">
        <v>1154</v>
      </c>
      <c r="H275" s="105">
        <v>1316</v>
      </c>
      <c r="I275" s="105">
        <v>1316</v>
      </c>
      <c r="J275" s="105">
        <v>1512</v>
      </c>
      <c r="K275" s="105">
        <v>1512</v>
      </c>
      <c r="L275" s="122">
        <v>1626.61</v>
      </c>
      <c r="M275" s="122">
        <v>1626.61</v>
      </c>
      <c r="N275" s="175">
        <v>1718</v>
      </c>
      <c r="O275" s="175">
        <v>1873</v>
      </c>
      <c r="P275" s="444"/>
      <c r="Q275" s="175">
        <v>804</v>
      </c>
      <c r="R275" s="175">
        <v>891</v>
      </c>
      <c r="S275" s="175">
        <v>954</v>
      </c>
      <c r="T275" s="175">
        <v>1024</v>
      </c>
      <c r="U275" s="175">
        <v>1048</v>
      </c>
      <c r="V275" s="175">
        <v>1051</v>
      </c>
      <c r="W275" s="175">
        <v>1055</v>
      </c>
      <c r="X275" s="175">
        <v>1066</v>
      </c>
      <c r="Y275" s="175">
        <v>1149</v>
      </c>
      <c r="Z275" s="175">
        <v>1135</v>
      </c>
      <c r="AA275" s="175">
        <v>1144</v>
      </c>
      <c r="AB275" s="175">
        <v>1154</v>
      </c>
      <c r="AC275" s="175">
        <v>1184</v>
      </c>
      <c r="AD275" s="175">
        <v>1233</v>
      </c>
      <c r="AE275" s="175">
        <v>1273</v>
      </c>
      <c r="AF275" s="175">
        <v>1316</v>
      </c>
      <c r="AG275" s="175">
        <v>1359</v>
      </c>
      <c r="AH275" s="175">
        <v>1421</v>
      </c>
      <c r="AI275" s="175">
        <v>1464</v>
      </c>
      <c r="AJ275" s="175">
        <v>1512</v>
      </c>
      <c r="AK275" s="175">
        <v>1526</v>
      </c>
      <c r="AL275" s="175">
        <v>1548</v>
      </c>
      <c r="AM275" s="175">
        <v>1609</v>
      </c>
      <c r="AN275" s="175">
        <v>1626.61</v>
      </c>
      <c r="AO275" s="175">
        <v>1600</v>
      </c>
      <c r="AP275" s="175">
        <v>1645</v>
      </c>
      <c r="AQ275" s="175">
        <v>1675</v>
      </c>
      <c r="AR275" s="175">
        <v>1718</v>
      </c>
      <c r="AS275" s="175">
        <v>1760</v>
      </c>
      <c r="AT275" s="175">
        <v>1854</v>
      </c>
      <c r="AU275" s="175">
        <v>1859</v>
      </c>
      <c r="AV275" s="175">
        <v>1873</v>
      </c>
      <c r="AW275" s="175">
        <v>2013</v>
      </c>
      <c r="AX275" s="451"/>
      <c r="AY275" s="175">
        <v>1626.61</v>
      </c>
      <c r="AZ275" s="368"/>
      <c r="BA275" s="175">
        <v>1760</v>
      </c>
      <c r="BC275" s="27"/>
      <c r="BD275" s="27"/>
      <c r="BF275" s="27"/>
      <c r="BG275" s="27"/>
    </row>
    <row r="276" spans="2:59" s="104" customFormat="1">
      <c r="B276" s="104" t="s">
        <v>367</v>
      </c>
      <c r="C276" s="105">
        <v>45941</v>
      </c>
      <c r="D276" s="105">
        <v>52806</v>
      </c>
      <c r="E276" s="105">
        <v>53885</v>
      </c>
      <c r="F276" s="105">
        <v>55634</v>
      </c>
      <c r="G276" s="105">
        <v>56735</v>
      </c>
      <c r="H276" s="105">
        <v>56585</v>
      </c>
      <c r="I276" s="105">
        <v>56585</v>
      </c>
      <c r="J276" s="105">
        <v>55964</v>
      </c>
      <c r="K276" s="105">
        <v>55964</v>
      </c>
      <c r="L276" s="122">
        <v>55890.66</v>
      </c>
      <c r="M276" s="122">
        <v>55890.66</v>
      </c>
      <c r="N276" s="175">
        <v>57057</v>
      </c>
      <c r="O276" s="175">
        <v>71141</v>
      </c>
      <c r="P276" s="444"/>
      <c r="Q276" s="175">
        <v>53741</v>
      </c>
      <c r="R276" s="175">
        <v>52013</v>
      </c>
      <c r="S276" s="175">
        <v>52905</v>
      </c>
      <c r="T276" s="175">
        <v>53885</v>
      </c>
      <c r="U276" s="175">
        <v>54011</v>
      </c>
      <c r="V276" s="175">
        <v>55507</v>
      </c>
      <c r="W276" s="175">
        <v>54445</v>
      </c>
      <c r="X276" s="175">
        <v>55634</v>
      </c>
      <c r="Y276" s="175">
        <v>54339</v>
      </c>
      <c r="Z276" s="175">
        <v>54539</v>
      </c>
      <c r="AA276" s="175">
        <v>55739</v>
      </c>
      <c r="AB276" s="175">
        <v>56735</v>
      </c>
      <c r="AC276" s="175">
        <v>54834</v>
      </c>
      <c r="AD276" s="175">
        <v>55535</v>
      </c>
      <c r="AE276" s="175">
        <v>56705</v>
      </c>
      <c r="AF276" s="175">
        <v>56585</v>
      </c>
      <c r="AG276" s="175">
        <v>55645</v>
      </c>
      <c r="AH276" s="175">
        <v>55813</v>
      </c>
      <c r="AI276" s="175">
        <v>55884</v>
      </c>
      <c r="AJ276" s="175">
        <v>55964</v>
      </c>
      <c r="AK276" s="175">
        <v>56364</v>
      </c>
      <c r="AL276" s="175">
        <v>56499</v>
      </c>
      <c r="AM276" s="175">
        <v>55891</v>
      </c>
      <c r="AN276" s="175">
        <v>55890.66</v>
      </c>
      <c r="AO276" s="175">
        <v>56032</v>
      </c>
      <c r="AP276" s="175">
        <v>56854</v>
      </c>
      <c r="AQ276" s="175">
        <v>56883</v>
      </c>
      <c r="AR276" s="175">
        <v>57057</v>
      </c>
      <c r="AS276" s="175">
        <v>57057</v>
      </c>
      <c r="AT276" s="175">
        <v>80742</v>
      </c>
      <c r="AU276" s="175">
        <v>77725</v>
      </c>
      <c r="AV276" s="175">
        <v>71141</v>
      </c>
      <c r="AW276" s="175">
        <v>67431</v>
      </c>
      <c r="AX276" s="451"/>
      <c r="AY276" s="175">
        <v>55890.66</v>
      </c>
      <c r="AZ276" s="368"/>
      <c r="BA276" s="175">
        <v>57057</v>
      </c>
      <c r="BC276" s="27"/>
      <c r="BD276" s="27"/>
      <c r="BF276" s="27"/>
      <c r="BG276" s="27"/>
    </row>
    <row r="277" spans="2:59" s="104" customFormat="1">
      <c r="B277" s="104" t="s">
        <v>31</v>
      </c>
      <c r="C277" s="105">
        <v>46474</v>
      </c>
      <c r="D277" s="105">
        <v>53509</v>
      </c>
      <c r="E277" s="105">
        <v>54909</v>
      </c>
      <c r="F277" s="105">
        <v>56700</v>
      </c>
      <c r="G277" s="105">
        <v>57889</v>
      </c>
      <c r="H277" s="105">
        <v>57901</v>
      </c>
      <c r="I277" s="105">
        <v>57901</v>
      </c>
      <c r="J277" s="105">
        <v>57746</v>
      </c>
      <c r="K277" s="105">
        <v>57746</v>
      </c>
      <c r="L277" s="122">
        <v>57517.279999999999</v>
      </c>
      <c r="M277" s="122">
        <v>57517.279999999999</v>
      </c>
      <c r="N277" s="175">
        <v>58776</v>
      </c>
      <c r="O277" s="175">
        <v>73014</v>
      </c>
      <c r="P277" s="444"/>
      <c r="Q277" s="175">
        <v>54545</v>
      </c>
      <c r="R277" s="175">
        <v>52904</v>
      </c>
      <c r="S277" s="175">
        <v>53859</v>
      </c>
      <c r="T277" s="175">
        <v>54909</v>
      </c>
      <c r="U277" s="175">
        <v>55059</v>
      </c>
      <c r="V277" s="175">
        <v>56559</v>
      </c>
      <c r="W277" s="175">
        <v>55500</v>
      </c>
      <c r="X277" s="175">
        <v>56700</v>
      </c>
      <c r="Y277" s="175">
        <v>55489</v>
      </c>
      <c r="Z277" s="175">
        <v>55674</v>
      </c>
      <c r="AA277" s="175">
        <v>56884</v>
      </c>
      <c r="AB277" s="175">
        <v>57889</v>
      </c>
      <c r="AC277" s="175">
        <v>56018</v>
      </c>
      <c r="AD277" s="175">
        <v>56767</v>
      </c>
      <c r="AE277" s="175">
        <v>57978</v>
      </c>
      <c r="AF277" s="175">
        <v>57901</v>
      </c>
      <c r="AG277" s="175">
        <v>57003</v>
      </c>
      <c r="AH277" s="175">
        <v>57234</v>
      </c>
      <c r="AI277" s="175">
        <v>57348</v>
      </c>
      <c r="AJ277" s="175">
        <v>57746</v>
      </c>
      <c r="AK277" s="175">
        <v>57890</v>
      </c>
      <c r="AL277" s="175">
        <v>58048</v>
      </c>
      <c r="AM277" s="175">
        <v>57978</v>
      </c>
      <c r="AN277" s="175">
        <v>57517.279999999999</v>
      </c>
      <c r="AO277" s="175">
        <v>57632</v>
      </c>
      <c r="AP277" s="175">
        <v>58499</v>
      </c>
      <c r="AQ277" s="175">
        <v>58588</v>
      </c>
      <c r="AR277" s="175">
        <v>58776</v>
      </c>
      <c r="AS277" s="175">
        <v>58818</v>
      </c>
      <c r="AT277" s="175">
        <v>82596</v>
      </c>
      <c r="AU277" s="175">
        <v>79584</v>
      </c>
      <c r="AV277" s="175">
        <v>73014</v>
      </c>
      <c r="AW277" s="175">
        <v>69444</v>
      </c>
      <c r="AX277" s="451"/>
      <c r="AY277" s="175">
        <v>57517.279999999999</v>
      </c>
      <c r="AZ277" s="368"/>
      <c r="BA277" s="175">
        <v>58818</v>
      </c>
      <c r="BC277" s="27"/>
      <c r="BD277" s="27"/>
      <c r="BF277" s="27"/>
      <c r="BG277" s="27"/>
    </row>
    <row r="278" spans="2:59" s="104" customFormat="1">
      <c r="L278" s="289"/>
      <c r="M278" s="289"/>
      <c r="N278" s="289"/>
      <c r="O278" s="289"/>
      <c r="AX278" s="10"/>
      <c r="AY278" s="10"/>
      <c r="AZ278" s="10"/>
      <c r="BC278" s="27"/>
      <c r="BD278" s="27"/>
      <c r="BF278" s="27"/>
      <c r="BG278" s="27"/>
    </row>
    <row r="279" spans="2:59" s="104" customFormat="1">
      <c r="B279" s="104" t="s">
        <v>369</v>
      </c>
      <c r="C279" s="99">
        <v>0.65</v>
      </c>
      <c r="D279" s="99">
        <v>0.73</v>
      </c>
      <c r="E279" s="99">
        <v>0.82</v>
      </c>
      <c r="F279" s="99">
        <v>0.88</v>
      </c>
      <c r="G279" s="99">
        <v>0.91</v>
      </c>
      <c r="H279" s="99">
        <v>0.93</v>
      </c>
      <c r="I279" s="99">
        <v>0.92</v>
      </c>
      <c r="J279" s="99">
        <v>0.92949999999999999</v>
      </c>
      <c r="K279" s="99">
        <v>0.92949999999999999</v>
      </c>
      <c r="L279" s="99">
        <v>0.96</v>
      </c>
      <c r="M279" s="99">
        <v>0.96</v>
      </c>
      <c r="N279" s="99">
        <v>0.97199999999999998</v>
      </c>
      <c r="O279" s="99"/>
      <c r="Q279" s="99">
        <v>0.76</v>
      </c>
      <c r="R279" s="99">
        <v>0.79</v>
      </c>
      <c r="S279" s="99">
        <v>0.8</v>
      </c>
      <c r="T279" s="99">
        <v>0.82</v>
      </c>
      <c r="U279" s="99">
        <v>0.86</v>
      </c>
      <c r="V279" s="99">
        <v>0.88</v>
      </c>
      <c r="W279" s="99">
        <v>0.88</v>
      </c>
      <c r="X279" s="99">
        <v>0.88</v>
      </c>
      <c r="Y279" s="99">
        <v>0.88</v>
      </c>
      <c r="Z279" s="99">
        <v>0.89</v>
      </c>
      <c r="AA279" s="99">
        <v>0.9</v>
      </c>
      <c r="AB279" s="99">
        <v>0.91</v>
      </c>
      <c r="AC279" s="99">
        <v>0.92</v>
      </c>
      <c r="AD279" s="99">
        <v>0.93</v>
      </c>
      <c r="AE279" s="99">
        <v>0.93</v>
      </c>
      <c r="AF279" s="99">
        <v>0.93</v>
      </c>
      <c r="AG279" s="99">
        <v>0.93</v>
      </c>
      <c r="AH279" s="99">
        <v>0.93600000000000005</v>
      </c>
      <c r="AI279" s="99">
        <v>0.94169999999999998</v>
      </c>
      <c r="AJ279" s="99">
        <v>0.92949999999999999</v>
      </c>
      <c r="AK279" s="99">
        <v>0.95</v>
      </c>
      <c r="AL279" s="99">
        <v>0.96</v>
      </c>
      <c r="AM279" s="99">
        <v>0.96</v>
      </c>
      <c r="AN279" s="99">
        <v>0.96</v>
      </c>
      <c r="AO279" s="99">
        <v>0.97</v>
      </c>
      <c r="AP279" s="99">
        <v>0.97</v>
      </c>
      <c r="AQ279" s="99">
        <v>0.96960000000000002</v>
      </c>
      <c r="AR279" s="99">
        <v>0.97199999999999998</v>
      </c>
      <c r="AS279" s="372"/>
      <c r="AT279" s="372"/>
      <c r="AU279" s="372"/>
      <c r="AV279" s="372"/>
      <c r="AW279" s="372"/>
      <c r="AX279" s="10"/>
      <c r="AY279" s="99">
        <v>0.96</v>
      </c>
      <c r="AZ279" s="369"/>
      <c r="BA279" s="372"/>
      <c r="BC279" s="27"/>
      <c r="BD279" s="27"/>
      <c r="BF279" s="27"/>
      <c r="BG279" s="27"/>
    </row>
    <row r="280" spans="2:59" s="104" customFormat="1">
      <c r="L280" s="289"/>
      <c r="M280" s="289"/>
      <c r="N280" s="289"/>
      <c r="O280" s="289"/>
      <c r="AX280" s="10"/>
      <c r="AY280" s="10"/>
      <c r="AZ280" s="10"/>
      <c r="BC280" s="27"/>
      <c r="BD280" s="27"/>
      <c r="BF280" s="27"/>
      <c r="BG280" s="27"/>
    </row>
    <row r="281" spans="2:59" s="27" customFormat="1">
      <c r="B281" s="27" t="s">
        <v>403</v>
      </c>
      <c r="L281" s="290"/>
      <c r="M281" s="290"/>
      <c r="N281" s="290"/>
      <c r="O281" s="290"/>
      <c r="AX281" s="10"/>
      <c r="AY281" s="10"/>
      <c r="AZ281" s="10"/>
    </row>
    <row r="282" spans="2:59" s="104" customFormat="1">
      <c r="B282" s="104" t="s">
        <v>366</v>
      </c>
      <c r="C282" s="105">
        <v>116</v>
      </c>
      <c r="D282" s="105">
        <v>114</v>
      </c>
      <c r="E282" s="105">
        <v>103</v>
      </c>
      <c r="F282" s="105">
        <v>110</v>
      </c>
      <c r="G282" s="105">
        <v>111</v>
      </c>
      <c r="H282" s="105">
        <v>107</v>
      </c>
      <c r="I282" s="105">
        <v>107</v>
      </c>
      <c r="J282" s="105">
        <v>96</v>
      </c>
      <c r="K282" s="105">
        <v>96</v>
      </c>
      <c r="L282" s="122">
        <v>90</v>
      </c>
      <c r="M282" s="122">
        <v>90</v>
      </c>
      <c r="N282" s="175">
        <v>90</v>
      </c>
      <c r="O282" s="175">
        <v>83</v>
      </c>
      <c r="P282" s="444"/>
      <c r="Q282" s="175">
        <v>106</v>
      </c>
      <c r="R282" s="175">
        <v>101</v>
      </c>
      <c r="S282" s="175">
        <v>103</v>
      </c>
      <c r="T282" s="175">
        <v>103</v>
      </c>
      <c r="U282" s="175">
        <v>110</v>
      </c>
      <c r="V282" s="175">
        <v>109</v>
      </c>
      <c r="W282" s="175">
        <v>111</v>
      </c>
      <c r="X282" s="175">
        <v>109</v>
      </c>
      <c r="Y282" s="175">
        <v>114</v>
      </c>
      <c r="Z282" s="175">
        <v>111</v>
      </c>
      <c r="AA282" s="175">
        <v>110</v>
      </c>
      <c r="AB282" s="175">
        <v>110</v>
      </c>
      <c r="AC282" s="175">
        <v>108</v>
      </c>
      <c r="AD282" s="175">
        <v>108</v>
      </c>
      <c r="AE282" s="175">
        <v>105</v>
      </c>
      <c r="AF282" s="175">
        <v>106</v>
      </c>
      <c r="AG282" s="175">
        <v>98</v>
      </c>
      <c r="AH282" s="175">
        <v>97</v>
      </c>
      <c r="AI282" s="175">
        <v>96</v>
      </c>
      <c r="AJ282" s="175">
        <v>92</v>
      </c>
      <c r="AK282" s="175">
        <v>91</v>
      </c>
      <c r="AL282" s="175">
        <v>90</v>
      </c>
      <c r="AM282" s="175">
        <v>90</v>
      </c>
      <c r="AN282" s="175">
        <v>87</v>
      </c>
      <c r="AO282" s="175">
        <v>87</v>
      </c>
      <c r="AP282" s="175">
        <v>91</v>
      </c>
      <c r="AQ282" s="175">
        <v>86</v>
      </c>
      <c r="AR282" s="175">
        <v>90</v>
      </c>
      <c r="AS282" s="175">
        <v>85</v>
      </c>
      <c r="AT282" s="175">
        <v>84</v>
      </c>
      <c r="AU282" s="175">
        <v>81.099999999999994</v>
      </c>
      <c r="AV282" s="175">
        <v>87</v>
      </c>
      <c r="AW282" s="175">
        <v>90</v>
      </c>
      <c r="AX282" s="444"/>
      <c r="AY282" s="175">
        <v>87</v>
      </c>
      <c r="AZ282" s="368"/>
      <c r="BA282" s="175">
        <v>85</v>
      </c>
      <c r="BC282" s="27"/>
      <c r="BD282" s="27"/>
      <c r="BF282" s="27"/>
      <c r="BG282" s="27"/>
    </row>
    <row r="283" spans="2:59">
      <c r="B283" s="10" t="s">
        <v>367</v>
      </c>
      <c r="C283" s="105">
        <v>34</v>
      </c>
      <c r="D283" s="105">
        <v>33</v>
      </c>
      <c r="E283" s="105">
        <v>30</v>
      </c>
      <c r="F283" s="105">
        <v>33</v>
      </c>
      <c r="G283" s="105">
        <v>34</v>
      </c>
      <c r="H283" s="105">
        <v>35</v>
      </c>
      <c r="I283" s="105">
        <v>35</v>
      </c>
      <c r="J283" s="105">
        <v>37</v>
      </c>
      <c r="K283" s="105">
        <v>37</v>
      </c>
      <c r="L283" s="122">
        <v>40</v>
      </c>
      <c r="M283" s="122">
        <v>40</v>
      </c>
      <c r="N283" s="175">
        <v>41</v>
      </c>
      <c r="O283" s="175">
        <v>37</v>
      </c>
      <c r="P283" s="451"/>
      <c r="Q283" s="175">
        <v>29</v>
      </c>
      <c r="R283" s="175">
        <v>31</v>
      </c>
      <c r="S283" s="175">
        <v>30</v>
      </c>
      <c r="T283" s="175">
        <v>31</v>
      </c>
      <c r="U283" s="175">
        <v>31</v>
      </c>
      <c r="V283" s="175">
        <v>33</v>
      </c>
      <c r="W283" s="175">
        <v>34</v>
      </c>
      <c r="X283" s="175">
        <v>34</v>
      </c>
      <c r="Y283" s="175">
        <v>34</v>
      </c>
      <c r="Z283" s="175">
        <v>36</v>
      </c>
      <c r="AA283" s="175">
        <v>35</v>
      </c>
      <c r="AB283" s="175">
        <v>33</v>
      </c>
      <c r="AC283" s="175">
        <v>33</v>
      </c>
      <c r="AD283" s="175">
        <v>36</v>
      </c>
      <c r="AE283" s="175">
        <v>36</v>
      </c>
      <c r="AF283" s="175">
        <v>36</v>
      </c>
      <c r="AG283" s="175">
        <v>36</v>
      </c>
      <c r="AH283" s="175">
        <v>38</v>
      </c>
      <c r="AI283" s="175">
        <v>38</v>
      </c>
      <c r="AJ283" s="175">
        <v>38</v>
      </c>
      <c r="AK283" s="175">
        <v>38</v>
      </c>
      <c r="AL283" s="175">
        <v>40</v>
      </c>
      <c r="AM283" s="175">
        <v>40</v>
      </c>
      <c r="AN283" s="175">
        <v>41</v>
      </c>
      <c r="AO283" s="175">
        <v>42</v>
      </c>
      <c r="AP283" s="175">
        <v>43</v>
      </c>
      <c r="AQ283" s="175">
        <v>40</v>
      </c>
      <c r="AR283" s="175">
        <v>40</v>
      </c>
      <c r="AS283" s="175">
        <v>38</v>
      </c>
      <c r="AT283" s="175">
        <v>36</v>
      </c>
      <c r="AU283" s="175">
        <v>37.9</v>
      </c>
      <c r="AV283" s="175">
        <v>44</v>
      </c>
      <c r="AW283" s="175">
        <v>46</v>
      </c>
      <c r="AX283" s="451"/>
      <c r="AY283" s="175">
        <v>41</v>
      </c>
      <c r="AZ283" s="452"/>
      <c r="BA283" s="175">
        <v>38</v>
      </c>
      <c r="BC283" s="27"/>
      <c r="BD283" s="27"/>
      <c r="BF283" s="27"/>
      <c r="BG283" s="27"/>
    </row>
    <row r="284" spans="2:59">
      <c r="B284" s="10" t="s">
        <v>371</v>
      </c>
      <c r="C284" s="105">
        <v>35</v>
      </c>
      <c r="D284" s="105">
        <v>34</v>
      </c>
      <c r="E284" s="105">
        <v>32</v>
      </c>
      <c r="F284" s="105">
        <v>35</v>
      </c>
      <c r="G284" s="105">
        <v>36</v>
      </c>
      <c r="H284" s="105">
        <v>36</v>
      </c>
      <c r="I284" s="105">
        <v>36</v>
      </c>
      <c r="J284" s="105">
        <v>39</v>
      </c>
      <c r="K284" s="105">
        <v>39</v>
      </c>
      <c r="L284" s="122">
        <v>41</v>
      </c>
      <c r="M284" s="122">
        <v>41</v>
      </c>
      <c r="N284" s="175">
        <v>43</v>
      </c>
      <c r="O284" s="175">
        <v>38</v>
      </c>
      <c r="P284" s="451"/>
      <c r="Q284" s="175">
        <v>30</v>
      </c>
      <c r="R284" s="175">
        <v>32</v>
      </c>
      <c r="S284" s="175">
        <v>32</v>
      </c>
      <c r="T284" s="175">
        <v>33</v>
      </c>
      <c r="U284" s="175">
        <v>33</v>
      </c>
      <c r="V284" s="175">
        <v>34</v>
      </c>
      <c r="W284" s="175">
        <v>36</v>
      </c>
      <c r="X284" s="175">
        <v>36</v>
      </c>
      <c r="Y284" s="175">
        <v>36</v>
      </c>
      <c r="Z284" s="175">
        <v>37</v>
      </c>
      <c r="AA284" s="175">
        <v>36</v>
      </c>
      <c r="AB284" s="175">
        <v>34</v>
      </c>
      <c r="AC284" s="175">
        <v>35</v>
      </c>
      <c r="AD284" s="175">
        <v>37</v>
      </c>
      <c r="AE284" s="175">
        <v>37</v>
      </c>
      <c r="AF284" s="175">
        <v>37</v>
      </c>
      <c r="AG284" s="175">
        <v>36</v>
      </c>
      <c r="AH284" s="175">
        <v>39</v>
      </c>
      <c r="AI284" s="175">
        <v>40</v>
      </c>
      <c r="AJ284" s="175">
        <v>40</v>
      </c>
      <c r="AK284" s="175">
        <v>40</v>
      </c>
      <c r="AL284" s="175">
        <v>42</v>
      </c>
      <c r="AM284" s="175">
        <v>42</v>
      </c>
      <c r="AN284" s="175">
        <v>43</v>
      </c>
      <c r="AO284" s="175">
        <v>44</v>
      </c>
      <c r="AP284" s="175">
        <v>44</v>
      </c>
      <c r="AQ284" s="175">
        <v>41</v>
      </c>
      <c r="AR284" s="175">
        <v>41</v>
      </c>
      <c r="AS284" s="175">
        <v>40</v>
      </c>
      <c r="AT284" s="175">
        <v>36</v>
      </c>
      <c r="AU284" s="175">
        <v>38.9</v>
      </c>
      <c r="AV284" s="175">
        <v>45</v>
      </c>
      <c r="AW284" s="175">
        <v>47</v>
      </c>
      <c r="AX284" s="451"/>
      <c r="AY284" s="175">
        <v>43</v>
      </c>
      <c r="AZ284" s="452"/>
      <c r="BA284" s="175">
        <v>40</v>
      </c>
      <c r="BC284" s="27"/>
      <c r="BD284" s="27"/>
      <c r="BF284" s="27"/>
      <c r="BG284" s="27"/>
    </row>
    <row r="285" spans="2:59">
      <c r="L285" s="291"/>
      <c r="M285" s="291"/>
      <c r="N285" s="291"/>
      <c r="O285" s="291"/>
      <c r="BC285" s="27"/>
      <c r="BD285" s="27"/>
      <c r="BF285" s="27"/>
      <c r="BG285" s="27"/>
    </row>
    <row r="286" spans="2:59">
      <c r="B286" s="10" t="s">
        <v>404</v>
      </c>
      <c r="C286" s="105">
        <v>515.29999999999995</v>
      </c>
      <c r="D286" s="105">
        <v>1279.5</v>
      </c>
      <c r="E286" s="105">
        <v>2253.6</v>
      </c>
      <c r="F286" s="105">
        <v>3399.6</v>
      </c>
      <c r="G286" s="105">
        <v>4989.58</v>
      </c>
      <c r="H286" s="105">
        <v>6706.6</v>
      </c>
      <c r="I286" s="105">
        <v>6706.6</v>
      </c>
      <c r="J286" s="105">
        <v>7991.2</v>
      </c>
      <c r="K286" s="105">
        <v>7991.2</v>
      </c>
      <c r="L286" s="122">
        <v>9638.56</v>
      </c>
      <c r="M286" s="122">
        <v>9638.56</v>
      </c>
      <c r="N286" s="122">
        <v>10547.55</v>
      </c>
      <c r="O286" s="122"/>
      <c r="Q286" s="105">
        <v>427.5</v>
      </c>
      <c r="R286" s="105">
        <v>530.20000000000005</v>
      </c>
      <c r="S286" s="105">
        <v>611.08999999999992</v>
      </c>
      <c r="T286" s="105">
        <v>684.77</v>
      </c>
      <c r="U286" s="105">
        <v>727.44</v>
      </c>
      <c r="V286" s="105">
        <v>840.51</v>
      </c>
      <c r="W286" s="105">
        <v>875.41</v>
      </c>
      <c r="X286" s="105">
        <v>956.71</v>
      </c>
      <c r="Y286" s="105">
        <v>1023.72</v>
      </c>
      <c r="Z286" s="105">
        <v>1250.27</v>
      </c>
      <c r="AA286" s="105">
        <v>1305.5899999999999</v>
      </c>
      <c r="AB286" s="105">
        <v>1410</v>
      </c>
      <c r="AC286" s="105">
        <v>1429.7</v>
      </c>
      <c r="AD286" s="105">
        <v>1609.7</v>
      </c>
      <c r="AE286" s="182">
        <v>1763.097</v>
      </c>
      <c r="AF286" s="182">
        <v>1909.4090000000001</v>
      </c>
      <c r="AG286" s="105">
        <v>1901.61</v>
      </c>
      <c r="AH286" s="105">
        <v>2030.16</v>
      </c>
      <c r="AI286" s="182">
        <v>2095.1</v>
      </c>
      <c r="AJ286" s="182">
        <v>2105.9</v>
      </c>
      <c r="AK286" s="105">
        <v>2203.6999999999998</v>
      </c>
      <c r="AL286" s="105">
        <v>2452.1999999999998</v>
      </c>
      <c r="AM286" s="105">
        <v>2453.4599999999991</v>
      </c>
      <c r="AN286" s="105">
        <v>2529.29</v>
      </c>
      <c r="AO286" s="105">
        <v>2609</v>
      </c>
      <c r="AP286" s="105">
        <v>2660.34</v>
      </c>
      <c r="AQ286" s="105">
        <v>2554</v>
      </c>
      <c r="AR286" s="175">
        <v>2724.21</v>
      </c>
      <c r="AS286" s="373"/>
      <c r="AT286" s="373"/>
      <c r="AU286" s="373"/>
      <c r="AV286" s="373"/>
      <c r="AW286" s="373"/>
      <c r="AY286" s="105">
        <v>2529.29</v>
      </c>
      <c r="AZ286" s="374"/>
      <c r="BA286" s="373"/>
      <c r="BC286" s="27"/>
      <c r="BD286" s="27"/>
      <c r="BF286" s="27"/>
      <c r="BG286" s="27"/>
    </row>
    <row r="287" spans="2:59">
      <c r="L287" s="291"/>
      <c r="M287" s="291"/>
      <c r="N287" s="291"/>
      <c r="O287" s="291"/>
      <c r="BC287" s="27"/>
      <c r="BD287" s="27"/>
      <c r="BF287" s="27"/>
      <c r="BG287" s="27"/>
    </row>
    <row r="288" spans="2:59">
      <c r="B288" s="10" t="s">
        <v>375</v>
      </c>
      <c r="C288" s="99">
        <v>0.63</v>
      </c>
      <c r="D288" s="99">
        <v>0.72</v>
      </c>
      <c r="E288" s="99">
        <v>0.8</v>
      </c>
      <c r="F288" s="99">
        <v>0.86</v>
      </c>
      <c r="G288" s="99">
        <v>0.89</v>
      </c>
      <c r="H288" s="99">
        <v>0.92</v>
      </c>
      <c r="I288" s="99">
        <v>0.92</v>
      </c>
      <c r="J288" s="99">
        <v>0.95</v>
      </c>
      <c r="K288" s="99">
        <v>0.95</v>
      </c>
      <c r="L288" s="99">
        <v>0.96</v>
      </c>
      <c r="M288" s="99">
        <v>0.96</v>
      </c>
      <c r="N288" s="99">
        <v>0.94840000000000002</v>
      </c>
      <c r="O288" s="99"/>
      <c r="Q288" s="99">
        <v>0.74</v>
      </c>
      <c r="R288" s="99">
        <v>0.77</v>
      </c>
      <c r="S288" s="99">
        <v>0.78</v>
      </c>
      <c r="T288" s="99">
        <v>0.8</v>
      </c>
      <c r="U288" s="99">
        <v>0.84</v>
      </c>
      <c r="V288" s="99">
        <v>0.86</v>
      </c>
      <c r="W288" s="99">
        <v>0.86</v>
      </c>
      <c r="X288" s="99">
        <v>0.86</v>
      </c>
      <c r="Y288" s="99">
        <v>0.86</v>
      </c>
      <c r="Z288" s="99">
        <v>0.87</v>
      </c>
      <c r="AA288" s="99">
        <v>0.88</v>
      </c>
      <c r="AB288" s="99">
        <v>0.89</v>
      </c>
      <c r="AC288" s="99">
        <v>0.9</v>
      </c>
      <c r="AD288" s="99">
        <v>0.91</v>
      </c>
      <c r="AE288" s="99">
        <v>0.92</v>
      </c>
      <c r="AF288" s="99">
        <v>0.92</v>
      </c>
      <c r="AG288" s="99">
        <v>0.93220000000000003</v>
      </c>
      <c r="AH288" s="99">
        <v>0.93400000000000005</v>
      </c>
      <c r="AI288" s="99">
        <v>0.94169999999999998</v>
      </c>
      <c r="AJ288" s="99">
        <v>0.94530000000000003</v>
      </c>
      <c r="AK288" s="99">
        <v>0.94599999999999995</v>
      </c>
      <c r="AL288" s="99">
        <v>0.95</v>
      </c>
      <c r="AM288" s="99">
        <v>0.95</v>
      </c>
      <c r="AN288" s="99">
        <v>0.96</v>
      </c>
      <c r="AO288" s="99">
        <v>0.95</v>
      </c>
      <c r="AP288" s="99">
        <v>0.96</v>
      </c>
      <c r="AQ288" s="99">
        <v>0.95760000000000001</v>
      </c>
      <c r="AR288" s="99">
        <v>0.94840000000000002</v>
      </c>
      <c r="AS288" s="372"/>
      <c r="AT288" s="372"/>
      <c r="AU288" s="372"/>
      <c r="AV288" s="372"/>
      <c r="AW288" s="372"/>
      <c r="AY288" s="99">
        <v>0.96</v>
      </c>
      <c r="AZ288" s="374"/>
      <c r="BA288" s="372"/>
      <c r="BC288" s="27"/>
      <c r="BD288" s="27"/>
      <c r="BF288" s="27"/>
      <c r="BG288" s="27"/>
    </row>
    <row r="289" spans="2:59">
      <c r="B289" s="10" t="s">
        <v>405</v>
      </c>
      <c r="C289" s="105">
        <v>8204</v>
      </c>
      <c r="D289" s="105">
        <v>17428</v>
      </c>
      <c r="E289" s="105">
        <v>29772</v>
      </c>
      <c r="F289" s="105">
        <v>40264</v>
      </c>
      <c r="G289" s="105">
        <v>54297</v>
      </c>
      <c r="H289" s="105">
        <v>77204</v>
      </c>
      <c r="I289" s="105">
        <v>77204</v>
      </c>
      <c r="J289" s="105">
        <v>91632</v>
      </c>
      <c r="K289" s="105">
        <v>91632</v>
      </c>
      <c r="L289" s="122">
        <v>104993</v>
      </c>
      <c r="M289" s="122">
        <v>104993</v>
      </c>
      <c r="N289" s="122">
        <v>110995</v>
      </c>
      <c r="O289" s="122"/>
      <c r="Q289" s="105">
        <v>20189</v>
      </c>
      <c r="R289" s="105">
        <v>24685</v>
      </c>
      <c r="S289" s="105">
        <v>28028</v>
      </c>
      <c r="T289" s="105">
        <v>29772</v>
      </c>
      <c r="U289" s="105">
        <v>33106</v>
      </c>
      <c r="V289" s="105">
        <v>37323</v>
      </c>
      <c r="W289" s="105">
        <v>39296</v>
      </c>
      <c r="X289" s="105">
        <v>40264</v>
      </c>
      <c r="Y289" s="105">
        <v>43579</v>
      </c>
      <c r="Z289" s="105">
        <v>49744</v>
      </c>
      <c r="AA289" s="105">
        <v>53055</v>
      </c>
      <c r="AB289" s="105">
        <v>54297</v>
      </c>
      <c r="AC289" s="105">
        <v>57089</v>
      </c>
      <c r="AD289" s="105">
        <v>65658</v>
      </c>
      <c r="AE289" s="105">
        <v>69903</v>
      </c>
      <c r="AF289" s="105">
        <v>77204</v>
      </c>
      <c r="AG289" s="105">
        <v>83873</v>
      </c>
      <c r="AH289" s="105">
        <v>88447</v>
      </c>
      <c r="AI289" s="105">
        <v>90174</v>
      </c>
      <c r="AJ289" s="105">
        <v>91632</v>
      </c>
      <c r="AK289" s="105">
        <v>94380</v>
      </c>
      <c r="AL289" s="105">
        <v>97125</v>
      </c>
      <c r="AM289" s="105">
        <v>103408</v>
      </c>
      <c r="AN289" s="105">
        <v>104993</v>
      </c>
      <c r="AO289" s="117">
        <v>107906</v>
      </c>
      <c r="AP289" s="105">
        <v>109170</v>
      </c>
      <c r="AQ289" s="105">
        <v>110280</v>
      </c>
      <c r="AR289" s="105">
        <v>110995</v>
      </c>
      <c r="AS289" s="372"/>
      <c r="AT289" s="372"/>
      <c r="AU289" s="372"/>
      <c r="AV289" s="372"/>
      <c r="AW289" s="372"/>
      <c r="AY289" s="105">
        <v>104993</v>
      </c>
      <c r="AZ289" s="374"/>
      <c r="BA289" s="372"/>
      <c r="BC289" s="27"/>
      <c r="BD289" s="27"/>
      <c r="BF289" s="27"/>
      <c r="BG289" s="27"/>
    </row>
    <row r="290" spans="2:59">
      <c r="B290" s="108"/>
      <c r="C290" s="108"/>
      <c r="D290" s="108"/>
      <c r="E290" s="108"/>
      <c r="F290" s="108"/>
      <c r="G290" s="108"/>
      <c r="H290" s="108"/>
      <c r="I290" s="108"/>
      <c r="J290" s="108"/>
      <c r="K290" s="108"/>
      <c r="L290" s="108"/>
      <c r="M290" s="108"/>
      <c r="N290" s="108"/>
      <c r="O290" s="108"/>
      <c r="Q290" s="108"/>
      <c r="R290" s="108"/>
      <c r="S290" s="108"/>
      <c r="T290" s="108"/>
      <c r="U290" s="108"/>
      <c r="V290" s="108"/>
      <c r="W290" s="108"/>
      <c r="X290" s="108"/>
      <c r="Y290" s="108"/>
      <c r="Z290" s="108"/>
      <c r="AA290" s="108"/>
      <c r="AB290" s="108"/>
      <c r="AC290" s="108"/>
      <c r="AD290" s="108"/>
      <c r="AE290" s="108"/>
      <c r="AF290" s="108"/>
      <c r="AG290" s="108"/>
      <c r="AH290" s="108"/>
      <c r="AI290" s="108"/>
      <c r="AJ290" s="108"/>
      <c r="AK290" s="108"/>
      <c r="AL290" s="108"/>
      <c r="AM290" s="108"/>
      <c r="AN290" s="108"/>
      <c r="AO290" s="108"/>
      <c r="AP290" s="108"/>
      <c r="AQ290" s="108"/>
      <c r="AR290" s="108"/>
      <c r="AS290" s="108"/>
      <c r="AT290" s="108"/>
      <c r="AU290" s="108"/>
      <c r="AV290" s="108"/>
      <c r="AW290" s="108"/>
      <c r="AY290" s="108"/>
      <c r="AZ290" s="108"/>
      <c r="BA290" s="108"/>
      <c r="BC290" s="27"/>
      <c r="BD290" s="27"/>
      <c r="BF290" s="27"/>
      <c r="BG290" s="27"/>
    </row>
    <row r="291" spans="2:59">
      <c r="BC291" s="27"/>
      <c r="BD291" s="27"/>
      <c r="BF291" s="27"/>
      <c r="BG291" s="27"/>
    </row>
    <row r="292" spans="2:59" s="6" customFormat="1">
      <c r="B292" s="376" t="s">
        <v>395</v>
      </c>
      <c r="C292" s="376"/>
      <c r="D292" s="376"/>
      <c r="E292" s="376"/>
      <c r="F292" s="376"/>
      <c r="G292" s="376"/>
      <c r="H292" s="376"/>
      <c r="I292" s="376"/>
      <c r="J292" s="376"/>
      <c r="K292" s="376"/>
      <c r="L292" s="376"/>
      <c r="M292" s="376"/>
      <c r="N292" s="376"/>
      <c r="O292" s="376"/>
      <c r="AS292" s="365"/>
      <c r="AT292" s="365"/>
      <c r="AU292" s="365"/>
      <c r="AV292" s="365"/>
      <c r="AW292" s="365"/>
      <c r="AX292" s="104"/>
      <c r="AY292" s="361"/>
      <c r="AZ292" s="364"/>
      <c r="BA292" s="365"/>
      <c r="BC292" s="27"/>
      <c r="BD292" s="27"/>
      <c r="BF292" s="27"/>
      <c r="BG292" s="27"/>
    </row>
    <row r="293" spans="2:59" s="6" customFormat="1">
      <c r="B293" s="6" t="s">
        <v>365</v>
      </c>
      <c r="AX293" s="10"/>
      <c r="BD293" s="27"/>
      <c r="BF293" s="27"/>
      <c r="BG293" s="27"/>
    </row>
    <row r="294" spans="2:59">
      <c r="B294" s="10" t="s">
        <v>366</v>
      </c>
      <c r="C294" s="105">
        <v>1253</v>
      </c>
      <c r="D294" s="105">
        <v>1299</v>
      </c>
      <c r="E294" s="105">
        <v>1385</v>
      </c>
      <c r="F294" s="105">
        <v>1464</v>
      </c>
      <c r="G294" s="105">
        <v>1470</v>
      </c>
      <c r="H294" s="105">
        <v>1543</v>
      </c>
      <c r="I294" s="105">
        <v>1543</v>
      </c>
      <c r="J294" s="105">
        <v>1534</v>
      </c>
      <c r="K294" s="105">
        <v>1534</v>
      </c>
      <c r="L294" s="105">
        <v>1472</v>
      </c>
      <c r="M294" s="105">
        <v>1472</v>
      </c>
      <c r="N294" s="175">
        <v>1553</v>
      </c>
      <c r="O294" s="175">
        <v>1511</v>
      </c>
      <c r="P294" s="451"/>
      <c r="Q294" s="175">
        <v>1356</v>
      </c>
      <c r="R294" s="175">
        <v>1340</v>
      </c>
      <c r="S294" s="175">
        <v>1368</v>
      </c>
      <c r="T294" s="175">
        <v>1385</v>
      </c>
      <c r="U294" s="175">
        <v>1414</v>
      </c>
      <c r="V294" s="175">
        <v>1414</v>
      </c>
      <c r="W294" s="175">
        <v>1351</v>
      </c>
      <c r="X294" s="175">
        <v>1464</v>
      </c>
      <c r="Y294" s="175">
        <v>1440</v>
      </c>
      <c r="Z294" s="175">
        <v>1446</v>
      </c>
      <c r="AA294" s="175">
        <v>1434</v>
      </c>
      <c r="AB294" s="175">
        <v>1470</v>
      </c>
      <c r="AC294" s="175">
        <v>1466</v>
      </c>
      <c r="AD294" s="175">
        <v>1491</v>
      </c>
      <c r="AE294" s="175">
        <v>1498</v>
      </c>
      <c r="AF294" s="175">
        <v>1543</v>
      </c>
      <c r="AG294" s="175">
        <v>1555</v>
      </c>
      <c r="AH294" s="175">
        <v>1557</v>
      </c>
      <c r="AI294" s="175">
        <v>1552</v>
      </c>
      <c r="AJ294" s="175">
        <v>1534</v>
      </c>
      <c r="AK294" s="175">
        <v>1526</v>
      </c>
      <c r="AL294" s="175">
        <v>1482</v>
      </c>
      <c r="AM294" s="175">
        <v>1474</v>
      </c>
      <c r="AN294" s="175">
        <v>1472</v>
      </c>
      <c r="AO294" s="175">
        <v>1481</v>
      </c>
      <c r="AP294" s="175">
        <v>1488</v>
      </c>
      <c r="AQ294" s="175">
        <v>1579</v>
      </c>
      <c r="AR294" s="175">
        <v>1553</v>
      </c>
      <c r="AS294" s="175">
        <v>1450</v>
      </c>
      <c r="AT294" s="175">
        <v>1447</v>
      </c>
      <c r="AU294" s="175">
        <v>1513</v>
      </c>
      <c r="AV294" s="175">
        <v>1511</v>
      </c>
      <c r="AW294" s="175">
        <v>1509</v>
      </c>
      <c r="AX294" s="451"/>
      <c r="AY294" s="175">
        <v>1472</v>
      </c>
      <c r="AZ294" s="452"/>
      <c r="BA294" s="175">
        <v>1450</v>
      </c>
      <c r="BC294" s="27"/>
      <c r="BD294" s="27"/>
      <c r="BF294" s="27"/>
      <c r="BG294" s="27"/>
    </row>
    <row r="295" spans="2:59">
      <c r="B295" s="10" t="s">
        <v>367</v>
      </c>
      <c r="C295" s="105">
        <v>10572</v>
      </c>
      <c r="D295" s="105">
        <v>11498</v>
      </c>
      <c r="E295" s="105">
        <v>12406</v>
      </c>
      <c r="F295" s="105">
        <v>13426</v>
      </c>
      <c r="G295" s="105">
        <v>14818</v>
      </c>
      <c r="H295" s="105">
        <v>16189</v>
      </c>
      <c r="I295" s="105">
        <v>16189</v>
      </c>
      <c r="J295" s="105">
        <v>15845</v>
      </c>
      <c r="K295" s="105">
        <v>15845</v>
      </c>
      <c r="L295" s="105">
        <v>15397</v>
      </c>
      <c r="M295" s="105">
        <v>15397</v>
      </c>
      <c r="N295" s="175">
        <v>17545</v>
      </c>
      <c r="O295" s="175">
        <v>17821</v>
      </c>
      <c r="P295" s="451"/>
      <c r="Q295" s="175">
        <v>11671</v>
      </c>
      <c r="R295" s="175">
        <v>11870</v>
      </c>
      <c r="S295" s="175">
        <v>12001</v>
      </c>
      <c r="T295" s="175">
        <v>12406</v>
      </c>
      <c r="U295" s="175">
        <v>12861</v>
      </c>
      <c r="V295" s="175">
        <v>12980</v>
      </c>
      <c r="W295" s="175">
        <v>13830</v>
      </c>
      <c r="X295" s="175">
        <v>13426</v>
      </c>
      <c r="Y295" s="175">
        <v>13513</v>
      </c>
      <c r="Z295" s="175">
        <v>13634</v>
      </c>
      <c r="AA295" s="175">
        <v>13895</v>
      </c>
      <c r="AB295" s="175">
        <v>14818</v>
      </c>
      <c r="AC295" s="175">
        <v>14939</v>
      </c>
      <c r="AD295" s="175">
        <v>15403</v>
      </c>
      <c r="AE295" s="175">
        <v>15554</v>
      </c>
      <c r="AF295" s="175">
        <v>16189</v>
      </c>
      <c r="AG295" s="175">
        <v>16047</v>
      </c>
      <c r="AH295" s="175">
        <v>15571</v>
      </c>
      <c r="AI295" s="175">
        <v>15649</v>
      </c>
      <c r="AJ295" s="175">
        <v>15845</v>
      </c>
      <c r="AK295" s="175">
        <v>16586</v>
      </c>
      <c r="AL295" s="175">
        <v>16448</v>
      </c>
      <c r="AM295" s="175">
        <v>16028</v>
      </c>
      <c r="AN295" s="175">
        <v>15397</v>
      </c>
      <c r="AO295" s="175">
        <v>15728</v>
      </c>
      <c r="AP295" s="175">
        <v>15192</v>
      </c>
      <c r="AQ295" s="175">
        <v>18075</v>
      </c>
      <c r="AR295" s="175">
        <v>17545</v>
      </c>
      <c r="AS295" s="175">
        <v>18224</v>
      </c>
      <c r="AT295" s="175">
        <v>17991</v>
      </c>
      <c r="AU295" s="175">
        <v>17700</v>
      </c>
      <c r="AV295" s="175">
        <v>17821</v>
      </c>
      <c r="AW295" s="175">
        <v>17418</v>
      </c>
      <c r="AX295" s="451"/>
      <c r="AY295" s="175">
        <v>15397</v>
      </c>
      <c r="AZ295" s="452"/>
      <c r="BA295" s="175">
        <v>18224</v>
      </c>
      <c r="BC295" s="27"/>
      <c r="BD295" s="27"/>
      <c r="BF295" s="27"/>
      <c r="BG295" s="27"/>
    </row>
    <row r="296" spans="2:59">
      <c r="B296" s="10" t="s">
        <v>31</v>
      </c>
      <c r="C296" s="105">
        <v>11825</v>
      </c>
      <c r="D296" s="105">
        <v>12797</v>
      </c>
      <c r="E296" s="105">
        <v>13792</v>
      </c>
      <c r="F296" s="105">
        <v>14890</v>
      </c>
      <c r="G296" s="105">
        <v>16287</v>
      </c>
      <c r="H296" s="105">
        <v>17732</v>
      </c>
      <c r="I296" s="105">
        <v>17732</v>
      </c>
      <c r="J296" s="105">
        <v>17379</v>
      </c>
      <c r="K296" s="105">
        <v>17379</v>
      </c>
      <c r="L296" s="105">
        <v>16869</v>
      </c>
      <c r="M296" s="105">
        <v>16869</v>
      </c>
      <c r="N296" s="175">
        <v>19098</v>
      </c>
      <c r="O296" s="175">
        <v>19332</v>
      </c>
      <c r="P296" s="451"/>
      <c r="Q296" s="175">
        <v>13027</v>
      </c>
      <c r="R296" s="175">
        <v>13210</v>
      </c>
      <c r="S296" s="175">
        <v>13369</v>
      </c>
      <c r="T296" s="175">
        <v>13792</v>
      </c>
      <c r="U296" s="175">
        <v>14275</v>
      </c>
      <c r="V296" s="175">
        <v>14394</v>
      </c>
      <c r="W296" s="175">
        <v>15182</v>
      </c>
      <c r="X296" s="175">
        <v>14890</v>
      </c>
      <c r="Y296" s="175">
        <v>14953</v>
      </c>
      <c r="Z296" s="175">
        <v>15080</v>
      </c>
      <c r="AA296" s="175">
        <v>15329</v>
      </c>
      <c r="AB296" s="175">
        <v>16287</v>
      </c>
      <c r="AC296" s="175">
        <v>16405</v>
      </c>
      <c r="AD296" s="175">
        <v>16894</v>
      </c>
      <c r="AE296" s="175">
        <v>17052</v>
      </c>
      <c r="AF296" s="175">
        <v>17732</v>
      </c>
      <c r="AG296" s="175">
        <v>17602</v>
      </c>
      <c r="AH296" s="175">
        <v>17127</v>
      </c>
      <c r="AI296" s="175">
        <v>17201</v>
      </c>
      <c r="AJ296" s="175">
        <v>17379</v>
      </c>
      <c r="AK296" s="175">
        <v>18112</v>
      </c>
      <c r="AL296" s="175">
        <v>17930</v>
      </c>
      <c r="AM296" s="175">
        <v>17502</v>
      </c>
      <c r="AN296" s="175">
        <v>16869</v>
      </c>
      <c r="AO296" s="175">
        <v>17208</v>
      </c>
      <c r="AP296" s="175">
        <v>16680</v>
      </c>
      <c r="AQ296" s="175">
        <v>19653</v>
      </c>
      <c r="AR296" s="175">
        <v>19098</v>
      </c>
      <c r="AS296" s="175">
        <v>19674</v>
      </c>
      <c r="AT296" s="175">
        <v>19438</v>
      </c>
      <c r="AU296" s="175">
        <v>19213</v>
      </c>
      <c r="AV296" s="175">
        <v>19332</v>
      </c>
      <c r="AW296" s="175">
        <v>18927</v>
      </c>
      <c r="AX296" s="451"/>
      <c r="AY296" s="175">
        <v>16869</v>
      </c>
      <c r="AZ296" s="452"/>
      <c r="BA296" s="175">
        <v>19674</v>
      </c>
      <c r="BC296" s="27"/>
      <c r="BD296" s="27"/>
      <c r="BF296" s="27"/>
      <c r="BG296" s="27"/>
    </row>
    <row r="297" spans="2:59">
      <c r="C297" s="104"/>
      <c r="D297" s="104"/>
      <c r="E297" s="104"/>
      <c r="F297" s="104"/>
      <c r="G297" s="104"/>
      <c r="H297" s="104"/>
      <c r="I297" s="104"/>
      <c r="J297" s="104"/>
      <c r="K297" s="104"/>
      <c r="L297" s="104"/>
      <c r="M297" s="104"/>
      <c r="N297" s="104"/>
      <c r="O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c r="AS297" s="104"/>
      <c r="AT297" s="104"/>
      <c r="AU297" s="104"/>
      <c r="AV297" s="104"/>
      <c r="AW297" s="104"/>
      <c r="BA297" s="104"/>
      <c r="BC297" s="27"/>
      <c r="BD297" s="27"/>
      <c r="BF297" s="27"/>
      <c r="BG297" s="27"/>
    </row>
    <row r="298" spans="2:59">
      <c r="B298" s="10" t="s">
        <v>406</v>
      </c>
      <c r="C298" s="99">
        <v>0.28799999999999998</v>
      </c>
      <c r="D298" s="99">
        <v>0.309</v>
      </c>
      <c r="E298" s="99">
        <v>0.32200000000000001</v>
      </c>
      <c r="F298" s="99">
        <v>0.36699999999999999</v>
      </c>
      <c r="G298" s="99">
        <v>0.41399999999999998</v>
      </c>
      <c r="H298" s="99">
        <v>0.443</v>
      </c>
      <c r="I298" s="99">
        <v>0.443</v>
      </c>
      <c r="J298" s="99">
        <v>0.41599999999999998</v>
      </c>
      <c r="K298" s="99">
        <v>0.41599999999999998</v>
      </c>
      <c r="L298" s="99">
        <v>0.42</v>
      </c>
      <c r="M298" s="99">
        <v>0.42</v>
      </c>
      <c r="N298" s="99">
        <v>0.45400000000000001</v>
      </c>
      <c r="O298" s="99"/>
      <c r="Q298" s="99">
        <v>0.311</v>
      </c>
      <c r="R298" s="99">
        <v>0.315</v>
      </c>
      <c r="S298" s="99">
        <v>0.32200000000000001</v>
      </c>
      <c r="T298" s="99">
        <v>0.32200000000000001</v>
      </c>
      <c r="U298" s="99">
        <v>0.314</v>
      </c>
      <c r="V298" s="99">
        <v>0.33400000000000002</v>
      </c>
      <c r="W298" s="99">
        <v>0.34699999999999998</v>
      </c>
      <c r="X298" s="99">
        <v>0.36699999999999999</v>
      </c>
      <c r="Y298" s="99">
        <v>0.38800000000000001</v>
      </c>
      <c r="Z298" s="99">
        <v>0.40550000000000003</v>
      </c>
      <c r="AA298" s="99">
        <v>0.41199999999999998</v>
      </c>
      <c r="AB298" s="99">
        <v>0.41399999999999998</v>
      </c>
      <c r="AC298" s="99">
        <v>0.42699999999999999</v>
      </c>
      <c r="AD298" s="99">
        <v>0.43099999999999999</v>
      </c>
      <c r="AE298" s="99">
        <v>0.44</v>
      </c>
      <c r="AF298" s="99">
        <v>0.443</v>
      </c>
      <c r="AG298" s="99">
        <v>0.45800000000000002</v>
      </c>
      <c r="AH298" s="99">
        <v>0.46</v>
      </c>
      <c r="AI298" s="99">
        <v>0.437</v>
      </c>
      <c r="AJ298" s="99">
        <v>0.41599999999999998</v>
      </c>
      <c r="AK298" s="99">
        <v>0.38900000000000001</v>
      </c>
      <c r="AL298" s="99">
        <v>0.38700000000000001</v>
      </c>
      <c r="AM298" s="99">
        <v>0.39600000000000002</v>
      </c>
      <c r="AN298" s="99">
        <v>0.42</v>
      </c>
      <c r="AO298" s="99">
        <v>0.41499999999999998</v>
      </c>
      <c r="AP298" s="99">
        <v>0.41499999999999998</v>
      </c>
      <c r="AQ298" s="99">
        <v>0.437</v>
      </c>
      <c r="AR298" s="99">
        <v>0.45400000000000001</v>
      </c>
      <c r="AS298" s="372"/>
      <c r="AT298" s="372"/>
      <c r="AU298" s="372"/>
      <c r="AV298" s="372"/>
      <c r="AW298" s="372"/>
      <c r="AY298" s="99">
        <v>0.42</v>
      </c>
      <c r="AZ298" s="374"/>
      <c r="BA298" s="372"/>
      <c r="BC298" s="27"/>
      <c r="BD298" s="27"/>
      <c r="BF298" s="27"/>
      <c r="BG298" s="27"/>
    </row>
    <row r="299" spans="2:59">
      <c r="C299" s="104"/>
      <c r="D299" s="104"/>
      <c r="E299" s="104"/>
      <c r="F299" s="104"/>
      <c r="G299" s="104"/>
      <c r="H299" s="104"/>
      <c r="I299" s="104"/>
      <c r="J299" s="104"/>
      <c r="K299" s="104"/>
      <c r="L299" s="104"/>
      <c r="M299" s="104"/>
      <c r="N299" s="104"/>
      <c r="O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c r="AS299" s="104"/>
      <c r="AT299" s="104"/>
      <c r="AU299" s="104"/>
      <c r="AV299" s="104"/>
      <c r="AW299" s="104"/>
      <c r="AY299" s="104"/>
      <c r="AZ299" s="104"/>
      <c r="BA299" s="104"/>
      <c r="BC299" s="27"/>
      <c r="BD299" s="27"/>
      <c r="BF299" s="27"/>
      <c r="BG299" s="27"/>
    </row>
    <row r="300" spans="2:59" s="6" customFormat="1">
      <c r="B300" s="6" t="s">
        <v>407</v>
      </c>
      <c r="C300" s="27"/>
      <c r="D300" s="27"/>
      <c r="E300" s="27"/>
      <c r="F300" s="27"/>
      <c r="G300" s="27"/>
      <c r="H300" s="27"/>
      <c r="I300" s="27"/>
      <c r="J300" s="27"/>
      <c r="K300" s="27"/>
      <c r="L300" s="27"/>
      <c r="M300" s="27"/>
      <c r="N300" s="27"/>
      <c r="O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c r="AT300" s="27"/>
      <c r="AU300" s="27"/>
      <c r="AV300" s="27"/>
      <c r="AW300" s="27"/>
      <c r="AY300" s="27"/>
      <c r="AZ300" s="27"/>
      <c r="BA300" s="27"/>
      <c r="BC300" s="27"/>
      <c r="BD300" s="27"/>
      <c r="BF300" s="27"/>
      <c r="BG300" s="27"/>
    </row>
    <row r="301" spans="2:59">
      <c r="B301" s="10" t="s">
        <v>366</v>
      </c>
      <c r="C301" s="105">
        <v>1155</v>
      </c>
      <c r="D301" s="105">
        <v>1127</v>
      </c>
      <c r="E301" s="105">
        <v>1097</v>
      </c>
      <c r="F301" s="105">
        <v>1079</v>
      </c>
      <c r="G301" s="105">
        <v>971</v>
      </c>
      <c r="H301" s="105">
        <v>898</v>
      </c>
      <c r="I301" s="105">
        <v>898</v>
      </c>
      <c r="J301" s="105">
        <v>981</v>
      </c>
      <c r="K301" s="105">
        <v>981</v>
      </c>
      <c r="L301" s="105">
        <v>950</v>
      </c>
      <c r="M301" s="105">
        <v>950</v>
      </c>
      <c r="N301" s="373"/>
      <c r="O301" s="373"/>
      <c r="Q301" s="105">
        <v>1070</v>
      </c>
      <c r="R301" s="105">
        <v>1103</v>
      </c>
      <c r="S301" s="105">
        <v>1118</v>
      </c>
      <c r="T301" s="105">
        <v>1097</v>
      </c>
      <c r="U301" s="105">
        <v>1061</v>
      </c>
      <c r="V301" s="105">
        <v>1067</v>
      </c>
      <c r="W301" s="105">
        <v>1122</v>
      </c>
      <c r="X301" s="105">
        <v>1065</v>
      </c>
      <c r="Y301" s="105">
        <v>1014</v>
      </c>
      <c r="Z301" s="105">
        <v>1016</v>
      </c>
      <c r="AA301" s="105">
        <v>948</v>
      </c>
      <c r="AB301" s="105">
        <v>918</v>
      </c>
      <c r="AC301" s="105">
        <v>900</v>
      </c>
      <c r="AD301" s="105">
        <v>900</v>
      </c>
      <c r="AE301" s="105">
        <v>928</v>
      </c>
      <c r="AF301" s="105">
        <v>866</v>
      </c>
      <c r="AG301" s="105">
        <v>878</v>
      </c>
      <c r="AH301" s="105">
        <v>968</v>
      </c>
      <c r="AI301" s="105">
        <v>1003</v>
      </c>
      <c r="AJ301" s="105">
        <v>1073</v>
      </c>
      <c r="AK301" s="105">
        <v>1019</v>
      </c>
      <c r="AL301" s="105">
        <v>915</v>
      </c>
      <c r="AM301" s="105">
        <v>977</v>
      </c>
      <c r="AN301" s="105">
        <v>897</v>
      </c>
      <c r="AO301" s="105">
        <v>829</v>
      </c>
      <c r="AP301" s="105">
        <v>811</v>
      </c>
      <c r="AQ301" s="105">
        <v>894</v>
      </c>
      <c r="AR301" s="373"/>
      <c r="AS301" s="372"/>
      <c r="AT301" s="373"/>
      <c r="AU301" s="373"/>
      <c r="AV301" s="373"/>
      <c r="AW301" s="373"/>
      <c r="AY301" s="105">
        <v>897</v>
      </c>
      <c r="AZ301" s="374"/>
      <c r="BA301" s="373"/>
      <c r="BC301" s="27"/>
      <c r="BD301" s="27"/>
      <c r="BF301" s="27"/>
      <c r="BG301" s="27"/>
    </row>
    <row r="302" spans="2:59">
      <c r="B302" s="10" t="s">
        <v>367</v>
      </c>
      <c r="C302" s="105">
        <v>306</v>
      </c>
      <c r="D302" s="105">
        <v>302</v>
      </c>
      <c r="E302" s="105">
        <v>323</v>
      </c>
      <c r="F302" s="105">
        <v>308</v>
      </c>
      <c r="G302" s="105">
        <v>310</v>
      </c>
      <c r="H302" s="105">
        <v>316</v>
      </c>
      <c r="I302" s="105">
        <v>316</v>
      </c>
      <c r="J302" s="105">
        <v>323</v>
      </c>
      <c r="K302" s="105">
        <v>323</v>
      </c>
      <c r="L302" s="105">
        <v>309</v>
      </c>
      <c r="M302" s="105">
        <v>309</v>
      </c>
      <c r="N302" s="373"/>
      <c r="O302" s="373"/>
      <c r="Q302" s="105">
        <v>312</v>
      </c>
      <c r="R302" s="105">
        <v>320</v>
      </c>
      <c r="S302" s="105">
        <v>331</v>
      </c>
      <c r="T302" s="105">
        <v>330</v>
      </c>
      <c r="U302" s="105">
        <v>317</v>
      </c>
      <c r="V302" s="105">
        <v>305</v>
      </c>
      <c r="W302" s="105">
        <v>305</v>
      </c>
      <c r="X302" s="105">
        <v>305</v>
      </c>
      <c r="Y302" s="105">
        <v>313</v>
      </c>
      <c r="Z302" s="105">
        <v>278</v>
      </c>
      <c r="AA302" s="105">
        <v>325</v>
      </c>
      <c r="AB302" s="105">
        <v>322</v>
      </c>
      <c r="AC302" s="105">
        <v>311</v>
      </c>
      <c r="AD302" s="105">
        <v>316</v>
      </c>
      <c r="AE302" s="105">
        <v>321</v>
      </c>
      <c r="AF302" s="105">
        <v>315</v>
      </c>
      <c r="AG302" s="105">
        <v>315</v>
      </c>
      <c r="AH302" s="105">
        <v>317</v>
      </c>
      <c r="AI302" s="105">
        <v>328</v>
      </c>
      <c r="AJ302" s="105">
        <v>331</v>
      </c>
      <c r="AK302" s="105">
        <v>312</v>
      </c>
      <c r="AL302" s="105">
        <v>310</v>
      </c>
      <c r="AM302" s="105">
        <v>324</v>
      </c>
      <c r="AN302" s="105">
        <v>308</v>
      </c>
      <c r="AO302" s="105">
        <v>300</v>
      </c>
      <c r="AP302" s="105">
        <v>324</v>
      </c>
      <c r="AQ302" s="105">
        <v>400</v>
      </c>
      <c r="AR302" s="373"/>
      <c r="AS302" s="372"/>
      <c r="AT302" s="373"/>
      <c r="AU302" s="373"/>
      <c r="AV302" s="373"/>
      <c r="AW302" s="373"/>
      <c r="AY302" s="105">
        <v>308</v>
      </c>
      <c r="AZ302" s="374"/>
      <c r="BA302" s="373"/>
      <c r="BC302" s="27"/>
      <c r="BD302" s="27"/>
      <c r="BF302" s="27"/>
      <c r="BG302" s="27"/>
    </row>
    <row r="303" spans="2:59">
      <c r="B303" s="10" t="s">
        <v>371</v>
      </c>
      <c r="C303" s="105">
        <v>396</v>
      </c>
      <c r="D303" s="105">
        <v>387</v>
      </c>
      <c r="E303" s="105">
        <v>402</v>
      </c>
      <c r="F303" s="105">
        <v>382</v>
      </c>
      <c r="G303" s="105">
        <v>373</v>
      </c>
      <c r="H303" s="105">
        <v>367</v>
      </c>
      <c r="I303" s="105">
        <v>367</v>
      </c>
      <c r="J303" s="105">
        <v>382</v>
      </c>
      <c r="K303" s="105">
        <v>382</v>
      </c>
      <c r="L303" s="105">
        <v>380</v>
      </c>
      <c r="M303" s="105">
        <v>380</v>
      </c>
      <c r="N303" s="175">
        <v>402</v>
      </c>
      <c r="O303" s="175">
        <v>446</v>
      </c>
      <c r="P303" s="451"/>
      <c r="Q303" s="175">
        <v>390</v>
      </c>
      <c r="R303" s="175">
        <v>400</v>
      </c>
      <c r="S303" s="175">
        <v>411</v>
      </c>
      <c r="T303" s="175">
        <v>408</v>
      </c>
      <c r="U303" s="175">
        <v>391</v>
      </c>
      <c r="V303" s="175">
        <v>380</v>
      </c>
      <c r="W303" s="175">
        <v>379</v>
      </c>
      <c r="X303" s="175">
        <v>378</v>
      </c>
      <c r="Y303" s="175">
        <v>380</v>
      </c>
      <c r="Z303" s="175">
        <v>349</v>
      </c>
      <c r="AA303" s="175">
        <v>384</v>
      </c>
      <c r="AB303" s="175">
        <v>377</v>
      </c>
      <c r="AC303" s="175">
        <v>364</v>
      </c>
      <c r="AD303" s="175">
        <v>368</v>
      </c>
      <c r="AE303" s="175">
        <v>374</v>
      </c>
      <c r="AF303" s="175">
        <v>363</v>
      </c>
      <c r="AG303" s="175">
        <v>364</v>
      </c>
      <c r="AH303" s="175">
        <v>375</v>
      </c>
      <c r="AI303" s="175">
        <v>389</v>
      </c>
      <c r="AJ303" s="175">
        <v>398</v>
      </c>
      <c r="AK303" s="175">
        <v>373</v>
      </c>
      <c r="AL303" s="175">
        <v>370</v>
      </c>
      <c r="AM303" s="175">
        <v>388</v>
      </c>
      <c r="AN303" s="175">
        <v>388</v>
      </c>
      <c r="AO303" s="175">
        <v>372</v>
      </c>
      <c r="AP303" s="175">
        <v>394</v>
      </c>
      <c r="AQ303" s="175">
        <v>444</v>
      </c>
      <c r="AR303" s="175">
        <v>437</v>
      </c>
      <c r="AS303" s="175">
        <v>422</v>
      </c>
      <c r="AT303" s="175">
        <v>452</v>
      </c>
      <c r="AU303" s="175">
        <v>463</v>
      </c>
      <c r="AV303" s="175">
        <v>459</v>
      </c>
      <c r="AW303" s="175">
        <v>476</v>
      </c>
      <c r="AX303" s="451"/>
      <c r="AY303" s="175">
        <v>388</v>
      </c>
      <c r="AZ303" s="452"/>
      <c r="BA303" s="175">
        <v>422</v>
      </c>
      <c r="BC303" s="27"/>
      <c r="BD303" s="27"/>
      <c r="BF303" s="27"/>
      <c r="BG303" s="27"/>
    </row>
    <row r="304" spans="2:59">
      <c r="BC304" s="27"/>
      <c r="BD304" s="27"/>
      <c r="BF304" s="27"/>
      <c r="BG304" s="27"/>
    </row>
    <row r="305" spans="2:59" s="6" customFormat="1">
      <c r="B305" s="6" t="s">
        <v>408</v>
      </c>
      <c r="C305" s="105"/>
      <c r="D305" s="105"/>
      <c r="E305" s="105"/>
      <c r="F305" s="105"/>
      <c r="G305" s="105"/>
      <c r="H305" s="105"/>
      <c r="I305" s="105"/>
      <c r="J305" s="105"/>
      <c r="K305" s="105"/>
      <c r="L305" s="105"/>
      <c r="M305" s="105"/>
      <c r="N305" s="105"/>
      <c r="O305" s="105"/>
      <c r="Q305" s="105"/>
      <c r="R305" s="105"/>
      <c r="S305" s="105"/>
      <c r="T305" s="105"/>
      <c r="U305" s="105"/>
      <c r="V305" s="105"/>
      <c r="W305" s="105"/>
      <c r="X305" s="105"/>
      <c r="Y305" s="105"/>
      <c r="Z305" s="105"/>
      <c r="AA305" s="105"/>
      <c r="AB305" s="105"/>
      <c r="AC305" s="105"/>
      <c r="AD305" s="105"/>
      <c r="AE305" s="105"/>
      <c r="AF305" s="105"/>
      <c r="AG305" s="105"/>
      <c r="AH305" s="105"/>
      <c r="AI305" s="105"/>
      <c r="AJ305" s="105"/>
      <c r="AK305" s="105"/>
      <c r="AL305" s="105"/>
      <c r="AM305" s="105"/>
      <c r="AN305" s="105"/>
      <c r="AO305" s="105"/>
      <c r="AP305" s="105"/>
      <c r="AQ305" s="105"/>
      <c r="AR305" s="105"/>
      <c r="AS305" s="105"/>
      <c r="AT305" s="105"/>
      <c r="AU305" s="105"/>
      <c r="AV305" s="105"/>
      <c r="AW305" s="105"/>
      <c r="AY305" s="105"/>
      <c r="AZ305" s="105"/>
      <c r="BA305" s="105"/>
      <c r="BB305" s="105"/>
      <c r="BC305" s="27"/>
      <c r="BD305" s="27"/>
      <c r="BF305" s="27"/>
      <c r="BG305" s="27"/>
    </row>
    <row r="306" spans="2:59">
      <c r="B306" s="10" t="s">
        <v>373</v>
      </c>
      <c r="C306" s="105">
        <v>77.900000000000006</v>
      </c>
      <c r="D306" s="105">
        <v>125.7</v>
      </c>
      <c r="E306" s="105">
        <v>181</v>
      </c>
      <c r="F306" s="105">
        <v>304.2</v>
      </c>
      <c r="G306" s="175">
        <v>535.43608870336641</v>
      </c>
      <c r="H306" s="175">
        <v>841.2</v>
      </c>
      <c r="I306" s="175">
        <v>841.2</v>
      </c>
      <c r="J306" s="175">
        <v>1022.5</v>
      </c>
      <c r="K306" s="175">
        <v>1022.5</v>
      </c>
      <c r="L306" s="175">
        <v>1124.5999999999999</v>
      </c>
      <c r="M306" s="175">
        <v>1124.5999999999999</v>
      </c>
      <c r="N306" s="175">
        <v>1532.3961524888764</v>
      </c>
      <c r="O306" s="372"/>
      <c r="Q306" s="105">
        <v>38.700000000000003</v>
      </c>
      <c r="R306" s="105">
        <v>42.8</v>
      </c>
      <c r="S306" s="105">
        <v>47.3</v>
      </c>
      <c r="T306" s="105">
        <v>51.8</v>
      </c>
      <c r="U306" s="105">
        <v>56.2</v>
      </c>
      <c r="V306" s="105">
        <v>70.3</v>
      </c>
      <c r="W306" s="105">
        <v>84</v>
      </c>
      <c r="X306" s="105">
        <v>93.8</v>
      </c>
      <c r="Y306" s="105">
        <v>108.9</v>
      </c>
      <c r="Z306" s="105">
        <v>129.03</v>
      </c>
      <c r="AA306" s="105">
        <v>131.29</v>
      </c>
      <c r="AB306" s="177">
        <v>166.17584753711301</v>
      </c>
      <c r="AC306" s="105">
        <v>172.1</v>
      </c>
      <c r="AD306" s="105">
        <v>205.5</v>
      </c>
      <c r="AE306" s="105">
        <v>231.9</v>
      </c>
      <c r="AF306" s="105">
        <v>231.7</v>
      </c>
      <c r="AG306" s="105">
        <v>227.2</v>
      </c>
      <c r="AH306" s="105">
        <v>257.5</v>
      </c>
      <c r="AI306" s="105">
        <v>271.3</v>
      </c>
      <c r="AJ306" s="105">
        <v>266</v>
      </c>
      <c r="AK306" s="105">
        <v>264.7</v>
      </c>
      <c r="AL306" s="105">
        <v>275</v>
      </c>
      <c r="AM306" s="105">
        <v>323.60000000000002</v>
      </c>
      <c r="AN306" s="105">
        <v>261.39999999999998</v>
      </c>
      <c r="AO306" s="105">
        <v>332.5</v>
      </c>
      <c r="AP306" s="105">
        <v>363.9</v>
      </c>
      <c r="AQ306" s="105">
        <v>396.8</v>
      </c>
      <c r="AR306" s="175">
        <v>424.7018458413109</v>
      </c>
      <c r="AS306" s="372"/>
      <c r="AT306" s="372"/>
      <c r="AU306" s="372"/>
      <c r="AV306" s="372"/>
      <c r="AW306" s="372"/>
      <c r="AY306" s="105">
        <v>261.39999999999998</v>
      </c>
      <c r="AZ306" s="374"/>
      <c r="BA306" s="372"/>
      <c r="BC306" s="27"/>
      <c r="BD306" s="27"/>
      <c r="BF306" s="27"/>
      <c r="BG306" s="27"/>
    </row>
    <row r="307" spans="2:59">
      <c r="B307" s="10" t="s">
        <v>374</v>
      </c>
      <c r="C307" s="105">
        <v>2.1</v>
      </c>
      <c r="D307" s="105">
        <v>2.7</v>
      </c>
      <c r="E307" s="105">
        <v>3.5</v>
      </c>
      <c r="F307" s="105">
        <v>4.9000000000000004</v>
      </c>
      <c r="G307" s="105">
        <v>7.1</v>
      </c>
      <c r="H307" s="105">
        <v>9.4</v>
      </c>
      <c r="I307" s="105">
        <v>9.4</v>
      </c>
      <c r="J307" s="105">
        <v>10.9</v>
      </c>
      <c r="K307" s="105">
        <v>10.9</v>
      </c>
      <c r="L307" s="105">
        <v>13.1</v>
      </c>
      <c r="M307" s="105">
        <v>13.1</v>
      </c>
      <c r="N307" s="105">
        <v>17.2</v>
      </c>
      <c r="O307" s="372"/>
      <c r="Q307" s="105">
        <v>3.2</v>
      </c>
      <c r="R307" s="105">
        <v>3.3</v>
      </c>
      <c r="S307" s="105">
        <v>3.5</v>
      </c>
      <c r="T307" s="105">
        <v>3.8</v>
      </c>
      <c r="U307" s="105">
        <v>4.0999999999999996</v>
      </c>
      <c r="V307" s="105">
        <v>4.8</v>
      </c>
      <c r="W307" s="105">
        <v>5.3</v>
      </c>
      <c r="X307" s="105">
        <v>5.6</v>
      </c>
      <c r="Y307" s="105">
        <v>6.2</v>
      </c>
      <c r="Z307" s="105">
        <v>7.2</v>
      </c>
      <c r="AA307" s="105">
        <v>6.8</v>
      </c>
      <c r="AB307" s="105">
        <v>8.1999999999999993</v>
      </c>
      <c r="AC307" s="105">
        <v>8.1999999999999993</v>
      </c>
      <c r="AD307" s="105">
        <v>9.4</v>
      </c>
      <c r="AE307" s="105">
        <v>10.199999999999999</v>
      </c>
      <c r="AF307" s="105">
        <v>9.6999999999999993</v>
      </c>
      <c r="AG307" s="105">
        <v>9.4</v>
      </c>
      <c r="AH307" s="105">
        <v>10.6</v>
      </c>
      <c r="AI307" s="105">
        <v>11.4</v>
      </c>
      <c r="AJ307" s="175">
        <v>12</v>
      </c>
      <c r="AK307" s="105">
        <v>12.3</v>
      </c>
      <c r="AL307" s="105">
        <v>12.9</v>
      </c>
      <c r="AM307" s="105">
        <v>15.1</v>
      </c>
      <c r="AN307" s="175">
        <v>12</v>
      </c>
      <c r="AO307" s="105">
        <v>15.3</v>
      </c>
      <c r="AP307" s="105">
        <v>16.7</v>
      </c>
      <c r="AQ307" s="105">
        <v>17.600000000000001</v>
      </c>
      <c r="AR307" s="105">
        <v>18.7</v>
      </c>
      <c r="AS307" s="372"/>
      <c r="AT307" s="372"/>
      <c r="AU307" s="372"/>
      <c r="AV307" s="372"/>
      <c r="AW307" s="372"/>
      <c r="AY307" s="175">
        <v>12</v>
      </c>
      <c r="AZ307" s="374"/>
      <c r="BA307" s="372"/>
      <c r="BC307" s="27"/>
      <c r="BD307" s="27"/>
      <c r="BF307" s="27"/>
      <c r="BG307" s="27"/>
    </row>
    <row r="308" spans="2:59">
      <c r="C308" s="104"/>
      <c r="D308" s="104"/>
      <c r="E308" s="104"/>
      <c r="F308" s="104"/>
      <c r="G308" s="104"/>
      <c r="H308" s="104"/>
      <c r="I308" s="104"/>
      <c r="J308" s="104"/>
      <c r="K308" s="104"/>
      <c r="L308" s="104"/>
      <c r="M308" s="104"/>
      <c r="N308" s="104"/>
      <c r="O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Y308" s="104"/>
      <c r="AZ308" s="104"/>
      <c r="BA308" s="104"/>
      <c r="BC308" s="27"/>
      <c r="BD308" s="27"/>
      <c r="BF308" s="27"/>
      <c r="BG308" s="27"/>
    </row>
    <row r="309" spans="2:59">
      <c r="B309" s="10" t="s">
        <v>375</v>
      </c>
      <c r="C309" s="99">
        <v>0.45</v>
      </c>
      <c r="D309" s="99">
        <v>0.52</v>
      </c>
      <c r="E309" s="99">
        <v>0.52</v>
      </c>
      <c r="F309" s="99">
        <v>0.56000000000000005</v>
      </c>
      <c r="G309" s="99">
        <v>0.56999999999999995</v>
      </c>
      <c r="H309" s="99">
        <v>0.629</v>
      </c>
      <c r="I309" s="99">
        <v>0.629</v>
      </c>
      <c r="J309" s="99">
        <v>0.64</v>
      </c>
      <c r="K309" s="99">
        <v>0.64</v>
      </c>
      <c r="L309" s="99">
        <v>0.64</v>
      </c>
      <c r="M309" s="99">
        <v>0.64</v>
      </c>
      <c r="N309" s="99">
        <v>0.71</v>
      </c>
      <c r="O309" s="372"/>
      <c r="Q309" s="99">
        <v>0.53</v>
      </c>
      <c r="R309" s="99">
        <v>0.52</v>
      </c>
      <c r="S309" s="99">
        <v>0.52</v>
      </c>
      <c r="T309" s="99">
        <v>0.52</v>
      </c>
      <c r="U309" s="99">
        <v>0.53</v>
      </c>
      <c r="V309" s="99">
        <v>0.54</v>
      </c>
      <c r="W309" s="99">
        <v>0.56000000000000005</v>
      </c>
      <c r="X309" s="99">
        <v>0.56000000000000005</v>
      </c>
      <c r="Y309" s="99">
        <v>0.56000000000000005</v>
      </c>
      <c r="Z309" s="99">
        <v>0.59</v>
      </c>
      <c r="AA309" s="99">
        <v>0.56999999999999995</v>
      </c>
      <c r="AB309" s="99">
        <v>0.56999999999999995</v>
      </c>
      <c r="AC309" s="99">
        <v>0.57999999999999996</v>
      </c>
      <c r="AD309" s="99">
        <v>0.57999999999999996</v>
      </c>
      <c r="AE309" s="99">
        <v>0.59</v>
      </c>
      <c r="AF309" s="99">
        <v>0.629</v>
      </c>
      <c r="AG309" s="99">
        <v>0.63</v>
      </c>
      <c r="AH309" s="99">
        <v>0.64</v>
      </c>
      <c r="AI309" s="99">
        <v>0.64</v>
      </c>
      <c r="AJ309" s="99">
        <v>0.64</v>
      </c>
      <c r="AK309" s="99">
        <v>0.64</v>
      </c>
      <c r="AL309" s="99">
        <v>0.64</v>
      </c>
      <c r="AM309" s="99">
        <v>0.64</v>
      </c>
      <c r="AN309" s="99">
        <v>0.64</v>
      </c>
      <c r="AO309" s="99">
        <v>0.64</v>
      </c>
      <c r="AP309" s="99">
        <v>0.64</v>
      </c>
      <c r="AQ309" s="99">
        <v>0.64</v>
      </c>
      <c r="AR309" s="99">
        <v>0.71</v>
      </c>
      <c r="AS309" s="372"/>
      <c r="AT309" s="372"/>
      <c r="AU309" s="372"/>
      <c r="AV309" s="372"/>
      <c r="AW309" s="372"/>
      <c r="AY309" s="99">
        <v>0.64</v>
      </c>
      <c r="AZ309" s="374"/>
      <c r="BA309" s="372"/>
      <c r="BC309" s="27"/>
      <c r="BD309" s="27"/>
      <c r="BF309" s="27"/>
      <c r="BG309" s="27"/>
    </row>
    <row r="310" spans="2:59">
      <c r="B310" s="10" t="s">
        <v>405</v>
      </c>
      <c r="C310" s="105">
        <v>2384</v>
      </c>
      <c r="D310" s="105">
        <v>3293</v>
      </c>
      <c r="E310" s="105">
        <v>5400</v>
      </c>
      <c r="F310" s="105">
        <v>5900</v>
      </c>
      <c r="G310" s="105">
        <v>6300</v>
      </c>
      <c r="H310" s="105">
        <v>7100</v>
      </c>
      <c r="I310" s="105">
        <v>7100</v>
      </c>
      <c r="J310" s="105">
        <v>7700</v>
      </c>
      <c r="K310" s="105">
        <v>7700</v>
      </c>
      <c r="L310" s="105">
        <v>7900</v>
      </c>
      <c r="M310" s="105">
        <v>7900</v>
      </c>
      <c r="N310" s="105">
        <v>8902</v>
      </c>
      <c r="O310" s="372"/>
      <c r="Q310" s="105">
        <v>4114</v>
      </c>
      <c r="R310" s="105">
        <v>4418</v>
      </c>
      <c r="S310" s="105">
        <v>4877</v>
      </c>
      <c r="T310" s="105">
        <v>5400</v>
      </c>
      <c r="U310" s="105">
        <v>5600</v>
      </c>
      <c r="V310" s="105">
        <v>5700</v>
      </c>
      <c r="W310" s="105">
        <v>5800</v>
      </c>
      <c r="X310" s="105">
        <v>5900</v>
      </c>
      <c r="Y310" s="105">
        <v>6000</v>
      </c>
      <c r="Z310" s="105">
        <v>6000</v>
      </c>
      <c r="AA310" s="105">
        <v>6000</v>
      </c>
      <c r="AB310" s="105">
        <v>6300</v>
      </c>
      <c r="AC310" s="105">
        <v>6400</v>
      </c>
      <c r="AD310" s="105">
        <v>6500</v>
      </c>
      <c r="AE310" s="105">
        <v>6800</v>
      </c>
      <c r="AF310" s="105">
        <v>7100</v>
      </c>
      <c r="AG310" s="105">
        <v>7400</v>
      </c>
      <c r="AH310" s="105">
        <v>7500</v>
      </c>
      <c r="AI310" s="105">
        <v>7700</v>
      </c>
      <c r="AJ310" s="105">
        <v>7700</v>
      </c>
      <c r="AK310" s="105">
        <v>7800</v>
      </c>
      <c r="AL310" s="105">
        <v>7900</v>
      </c>
      <c r="AM310" s="105">
        <v>7900</v>
      </c>
      <c r="AN310" s="105">
        <v>7900</v>
      </c>
      <c r="AO310" s="117">
        <v>8000</v>
      </c>
      <c r="AP310" s="105">
        <v>8000</v>
      </c>
      <c r="AQ310" s="105">
        <v>8000</v>
      </c>
      <c r="AR310" s="105">
        <v>8902</v>
      </c>
      <c r="AS310" s="372"/>
      <c r="AT310" s="372"/>
      <c r="AU310" s="372"/>
      <c r="AV310" s="372"/>
      <c r="AW310" s="372"/>
      <c r="AY310" s="105">
        <v>7900</v>
      </c>
      <c r="AZ310" s="374"/>
      <c r="BA310" s="372"/>
      <c r="BC310" s="27"/>
      <c r="BD310" s="27"/>
      <c r="BF310" s="27"/>
      <c r="BG310" s="27"/>
    </row>
    <row r="311" spans="2:59">
      <c r="BC311" s="27"/>
      <c r="BD311" s="27"/>
      <c r="BF311" s="27"/>
      <c r="BG311" s="27"/>
    </row>
    <row r="312" spans="2:59">
      <c r="B312" s="106"/>
      <c r="C312" s="106"/>
      <c r="D312" s="106"/>
      <c r="E312" s="106"/>
      <c r="F312" s="106"/>
      <c r="G312" s="106"/>
      <c r="H312" s="106"/>
      <c r="I312" s="106"/>
      <c r="J312" s="106"/>
      <c r="K312" s="106"/>
      <c r="L312" s="106"/>
      <c r="M312" s="106"/>
      <c r="N312" s="106"/>
      <c r="O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Y312" s="106"/>
      <c r="AZ312" s="106"/>
      <c r="BA312" s="106"/>
      <c r="BC312" s="27"/>
      <c r="BD312" s="27"/>
      <c r="BF312" s="27"/>
      <c r="BG312" s="27"/>
    </row>
    <row r="313" spans="2:59">
      <c r="B313" s="376" t="s">
        <v>409</v>
      </c>
      <c r="C313" s="362"/>
      <c r="D313" s="362"/>
      <c r="E313" s="362"/>
      <c r="F313" s="362"/>
      <c r="G313" s="362"/>
      <c r="H313" s="362"/>
      <c r="I313" s="362"/>
      <c r="J313" s="362"/>
      <c r="K313" s="362"/>
      <c r="L313" s="362"/>
      <c r="M313" s="362"/>
      <c r="N313" s="362"/>
      <c r="O313" s="362"/>
      <c r="AS313" s="365"/>
      <c r="AT313" s="365"/>
      <c r="AU313" s="365"/>
      <c r="AV313" s="365"/>
      <c r="AW313" s="365"/>
      <c r="AX313" s="104"/>
      <c r="AY313" s="361"/>
      <c r="AZ313" s="364"/>
      <c r="BA313" s="365"/>
      <c r="BC313" s="27"/>
      <c r="BD313" s="27"/>
      <c r="BF313" s="27"/>
      <c r="BG313" s="27"/>
    </row>
    <row r="314" spans="2:59" s="6" customFormat="1">
      <c r="B314" s="6" t="s">
        <v>365</v>
      </c>
      <c r="BC314" s="27"/>
      <c r="BD314" s="27"/>
      <c r="BF314" s="27"/>
      <c r="BG314" s="27"/>
    </row>
    <row r="315" spans="2:59">
      <c r="B315" s="10" t="s">
        <v>366</v>
      </c>
      <c r="C315" s="105">
        <v>342</v>
      </c>
      <c r="D315" s="105">
        <v>409</v>
      </c>
      <c r="E315" s="105">
        <v>470</v>
      </c>
      <c r="F315" s="105">
        <v>629</v>
      </c>
      <c r="G315" s="105">
        <v>723</v>
      </c>
      <c r="H315" s="105">
        <v>918</v>
      </c>
      <c r="I315" s="105">
        <v>918</v>
      </c>
      <c r="J315" s="105">
        <v>902</v>
      </c>
      <c r="K315" s="105">
        <v>902</v>
      </c>
      <c r="L315" s="122">
        <v>959.56</v>
      </c>
      <c r="M315" s="122">
        <v>960</v>
      </c>
      <c r="N315" s="175">
        <v>1054.8800000000001</v>
      </c>
      <c r="O315" s="175">
        <v>1155</v>
      </c>
      <c r="P315" s="451"/>
      <c r="Q315" s="175">
        <v>446</v>
      </c>
      <c r="R315" s="175">
        <v>470</v>
      </c>
      <c r="S315" s="175">
        <v>466</v>
      </c>
      <c r="T315" s="175">
        <v>470</v>
      </c>
      <c r="U315" s="175">
        <v>479</v>
      </c>
      <c r="V315" s="175">
        <v>522</v>
      </c>
      <c r="W315" s="175">
        <v>578</v>
      </c>
      <c r="X315" s="175">
        <v>629</v>
      </c>
      <c r="Y315" s="175">
        <v>665</v>
      </c>
      <c r="Z315" s="175">
        <v>628</v>
      </c>
      <c r="AA315" s="175">
        <v>678</v>
      </c>
      <c r="AB315" s="175">
        <v>723</v>
      </c>
      <c r="AC315" s="175">
        <v>748</v>
      </c>
      <c r="AD315" s="175">
        <v>778</v>
      </c>
      <c r="AE315" s="175">
        <v>816</v>
      </c>
      <c r="AF315" s="175">
        <v>918</v>
      </c>
      <c r="AG315" s="175">
        <v>882</v>
      </c>
      <c r="AH315" s="175">
        <v>873</v>
      </c>
      <c r="AI315" s="175">
        <v>884</v>
      </c>
      <c r="AJ315" s="175">
        <v>902</v>
      </c>
      <c r="AK315" s="175">
        <v>934</v>
      </c>
      <c r="AL315" s="175">
        <v>916</v>
      </c>
      <c r="AM315" s="175">
        <v>934</v>
      </c>
      <c r="AN315" s="175">
        <v>959.56</v>
      </c>
      <c r="AO315" s="175">
        <v>953</v>
      </c>
      <c r="AP315" s="175">
        <v>985</v>
      </c>
      <c r="AQ315" s="175">
        <v>1034</v>
      </c>
      <c r="AR315" s="175">
        <v>1054.8800000000001</v>
      </c>
      <c r="AS315" s="175">
        <v>1062</v>
      </c>
      <c r="AT315" s="175">
        <v>1092.53</v>
      </c>
      <c r="AU315" s="175">
        <v>1119.82</v>
      </c>
      <c r="AV315" s="175">
        <v>1155</v>
      </c>
      <c r="AW315" s="175">
        <v>1195</v>
      </c>
      <c r="AX315" s="451"/>
      <c r="AY315" s="175">
        <v>959.56</v>
      </c>
      <c r="AZ315" s="452"/>
      <c r="BA315" s="175">
        <v>1062</v>
      </c>
      <c r="BC315" s="27"/>
      <c r="BD315" s="27"/>
      <c r="BF315" s="27"/>
      <c r="BG315" s="27"/>
    </row>
    <row r="316" spans="2:59">
      <c r="B316" s="10" t="s">
        <v>367</v>
      </c>
      <c r="C316" s="105">
        <v>33489</v>
      </c>
      <c r="D316" s="105">
        <v>42498</v>
      </c>
      <c r="E316" s="105">
        <v>46416</v>
      </c>
      <c r="F316" s="105">
        <v>48375</v>
      </c>
      <c r="G316" s="105">
        <v>50178</v>
      </c>
      <c r="H316" s="105">
        <v>52755</v>
      </c>
      <c r="I316" s="105">
        <v>52755</v>
      </c>
      <c r="J316" s="105">
        <v>53502</v>
      </c>
      <c r="K316" s="105">
        <v>53502</v>
      </c>
      <c r="L316" s="122">
        <v>57707.29</v>
      </c>
      <c r="M316" s="122">
        <v>57707.29</v>
      </c>
      <c r="N316" s="175">
        <v>55679.06</v>
      </c>
      <c r="O316" s="175">
        <v>56246</v>
      </c>
      <c r="P316" s="451"/>
      <c r="Q316" s="175">
        <v>45163</v>
      </c>
      <c r="R316" s="175">
        <v>44259</v>
      </c>
      <c r="S316" s="175">
        <v>46287</v>
      </c>
      <c r="T316" s="175">
        <v>46416</v>
      </c>
      <c r="U316" s="175">
        <v>46862</v>
      </c>
      <c r="V316" s="175">
        <v>47417</v>
      </c>
      <c r="W316" s="175">
        <v>47616</v>
      </c>
      <c r="X316" s="175">
        <v>48375</v>
      </c>
      <c r="Y316" s="175">
        <v>49053</v>
      </c>
      <c r="Z316" s="175">
        <v>47349</v>
      </c>
      <c r="AA316" s="175">
        <v>49448</v>
      </c>
      <c r="AB316" s="175">
        <v>50178</v>
      </c>
      <c r="AC316" s="175">
        <v>51194</v>
      </c>
      <c r="AD316" s="175">
        <v>51067</v>
      </c>
      <c r="AE316" s="175">
        <v>52227</v>
      </c>
      <c r="AF316" s="175">
        <v>52755</v>
      </c>
      <c r="AG316" s="175">
        <v>53191</v>
      </c>
      <c r="AH316" s="175">
        <v>53656</v>
      </c>
      <c r="AI316" s="175">
        <v>53477</v>
      </c>
      <c r="AJ316" s="175">
        <v>53502</v>
      </c>
      <c r="AK316" s="175">
        <v>54638</v>
      </c>
      <c r="AL316" s="175">
        <v>55436</v>
      </c>
      <c r="AM316" s="175">
        <v>56686</v>
      </c>
      <c r="AN316" s="175">
        <v>57707.29</v>
      </c>
      <c r="AO316" s="175">
        <v>57118</v>
      </c>
      <c r="AP316" s="175">
        <v>58526</v>
      </c>
      <c r="AQ316" s="175">
        <v>56843</v>
      </c>
      <c r="AR316" s="175">
        <v>55679.06</v>
      </c>
      <c r="AS316" s="175">
        <v>55302</v>
      </c>
      <c r="AT316" s="175">
        <v>56304.44</v>
      </c>
      <c r="AU316" s="175">
        <v>56403.67</v>
      </c>
      <c r="AV316" s="175">
        <v>56246</v>
      </c>
      <c r="AW316" s="175">
        <v>56200</v>
      </c>
      <c r="AX316" s="451"/>
      <c r="AY316" s="175">
        <v>57707.29</v>
      </c>
      <c r="AZ316" s="452"/>
      <c r="BA316" s="175">
        <v>55302</v>
      </c>
      <c r="BC316" s="27"/>
      <c r="BD316" s="27"/>
      <c r="BF316" s="27"/>
      <c r="BG316" s="27"/>
    </row>
    <row r="317" spans="2:59">
      <c r="B317" s="10" t="s">
        <v>31</v>
      </c>
      <c r="C317" s="105">
        <v>33830</v>
      </c>
      <c r="D317" s="105">
        <v>42908</v>
      </c>
      <c r="E317" s="105">
        <v>46886</v>
      </c>
      <c r="F317" s="105">
        <v>49004</v>
      </c>
      <c r="G317" s="105">
        <v>50901</v>
      </c>
      <c r="H317" s="105">
        <v>53673</v>
      </c>
      <c r="I317" s="105">
        <v>53673</v>
      </c>
      <c r="J317" s="105">
        <v>54404</v>
      </c>
      <c r="K317" s="105">
        <v>54404</v>
      </c>
      <c r="L317" s="122">
        <v>58666.86</v>
      </c>
      <c r="M317" s="122">
        <v>58666.86</v>
      </c>
      <c r="N317" s="175">
        <v>56733.94</v>
      </c>
      <c r="O317" s="175">
        <v>57401</v>
      </c>
      <c r="P317" s="451"/>
      <c r="Q317" s="175">
        <v>45609</v>
      </c>
      <c r="R317" s="175">
        <v>44729</v>
      </c>
      <c r="S317" s="175">
        <v>46753</v>
      </c>
      <c r="T317" s="175">
        <v>46886</v>
      </c>
      <c r="U317" s="175">
        <v>47341</v>
      </c>
      <c r="V317" s="175">
        <v>47939</v>
      </c>
      <c r="W317" s="175">
        <v>48194</v>
      </c>
      <c r="X317" s="175">
        <v>49004</v>
      </c>
      <c r="Y317" s="175">
        <v>49718</v>
      </c>
      <c r="Z317" s="175">
        <v>47977</v>
      </c>
      <c r="AA317" s="175">
        <v>50126</v>
      </c>
      <c r="AB317" s="175">
        <v>50901</v>
      </c>
      <c r="AC317" s="175">
        <v>51942</v>
      </c>
      <c r="AD317" s="175">
        <v>51844</v>
      </c>
      <c r="AE317" s="175">
        <v>53043</v>
      </c>
      <c r="AF317" s="175">
        <v>53673</v>
      </c>
      <c r="AG317" s="175">
        <v>54073</v>
      </c>
      <c r="AH317" s="175">
        <v>54530</v>
      </c>
      <c r="AI317" s="175">
        <v>54361</v>
      </c>
      <c r="AJ317" s="175">
        <v>54404</v>
      </c>
      <c r="AK317" s="175">
        <v>55572</v>
      </c>
      <c r="AL317" s="175">
        <v>56352</v>
      </c>
      <c r="AM317" s="175">
        <v>57619.91</v>
      </c>
      <c r="AN317" s="175">
        <v>58666.86</v>
      </c>
      <c r="AO317" s="175">
        <v>58071</v>
      </c>
      <c r="AP317" s="175">
        <v>59511</v>
      </c>
      <c r="AQ317" s="175">
        <v>57877.2</v>
      </c>
      <c r="AR317" s="175">
        <v>56733.94</v>
      </c>
      <c r="AS317" s="175">
        <v>56364</v>
      </c>
      <c r="AT317" s="175">
        <v>57396.97</v>
      </c>
      <c r="AU317" s="175">
        <v>57523.48</v>
      </c>
      <c r="AV317" s="175">
        <v>57401</v>
      </c>
      <c r="AW317" s="175">
        <v>57395</v>
      </c>
      <c r="AX317" s="451"/>
      <c r="AY317" s="175">
        <v>58666.86</v>
      </c>
      <c r="AZ317" s="452"/>
      <c r="BA317" s="175">
        <v>56364</v>
      </c>
      <c r="BC317" s="27"/>
      <c r="BD317" s="27"/>
      <c r="BF317" s="27"/>
      <c r="BG317" s="27"/>
    </row>
    <row r="318" spans="2:59">
      <c r="C318" s="105"/>
      <c r="D318" s="105"/>
      <c r="E318" s="105"/>
      <c r="F318" s="105"/>
      <c r="G318" s="105"/>
      <c r="H318" s="105"/>
      <c r="I318" s="105"/>
      <c r="J318" s="105"/>
      <c r="K318" s="105"/>
      <c r="L318" s="105"/>
      <c r="M318" s="105"/>
      <c r="N318" s="105"/>
      <c r="O318" s="105"/>
      <c r="Q318" s="105"/>
      <c r="R318" s="105"/>
      <c r="S318" s="105"/>
      <c r="T318" s="105"/>
      <c r="U318" s="105"/>
      <c r="V318" s="105"/>
      <c r="W318" s="105"/>
      <c r="X318" s="105"/>
      <c r="Y318" s="105"/>
      <c r="Z318" s="105"/>
      <c r="AA318" s="105"/>
      <c r="AB318" s="105"/>
      <c r="AC318" s="105"/>
      <c r="AD318" s="105"/>
      <c r="AE318" s="105"/>
      <c r="AF318" s="105"/>
      <c r="AG318" s="105"/>
      <c r="AH318" s="105"/>
      <c r="AI318" s="105"/>
      <c r="AJ318" s="105"/>
      <c r="AK318" s="105"/>
      <c r="AL318" s="105"/>
      <c r="AM318" s="105"/>
      <c r="AN318" s="105"/>
      <c r="AO318" s="105"/>
      <c r="AP318" s="105"/>
      <c r="AQ318" s="105"/>
      <c r="AR318" s="105"/>
      <c r="AS318" s="105"/>
      <c r="AT318" s="105"/>
      <c r="AU318" s="105"/>
      <c r="AV318" s="105"/>
      <c r="AW318" s="105"/>
      <c r="AX318" s="105"/>
      <c r="AY318" s="105"/>
      <c r="AZ318" s="105"/>
      <c r="BA318" s="105"/>
      <c r="BC318" s="27"/>
      <c r="BD318" s="27"/>
      <c r="BF318" s="27"/>
      <c r="BG318" s="27"/>
    </row>
    <row r="319" spans="2:59">
      <c r="B319" s="10" t="s">
        <v>369</v>
      </c>
      <c r="C319" s="103">
        <v>0.55800000000000005</v>
      </c>
      <c r="D319" s="103">
        <v>0.56599999999999995</v>
      </c>
      <c r="E319" s="103">
        <v>0.6038</v>
      </c>
      <c r="F319" s="103">
        <v>0.63800000000000001</v>
      </c>
      <c r="G319" s="103">
        <v>0.69240000000000002</v>
      </c>
      <c r="H319" s="103">
        <v>0.73729999999999996</v>
      </c>
      <c r="I319" s="103">
        <v>0.73729999999999996</v>
      </c>
      <c r="J319" s="103">
        <v>0.755</v>
      </c>
      <c r="K319" s="103">
        <v>0.755</v>
      </c>
      <c r="L319" s="103">
        <v>0.76239999999999997</v>
      </c>
      <c r="M319" s="103">
        <v>0.76239999999999997</v>
      </c>
      <c r="N319" s="103">
        <v>0.75170000000000003</v>
      </c>
      <c r="O319" s="103"/>
      <c r="Q319" s="103">
        <v>0.57799999999999996</v>
      </c>
      <c r="R319" s="103">
        <v>0.59499999999999997</v>
      </c>
      <c r="S319" s="103">
        <v>0.60570000000000002</v>
      </c>
      <c r="T319" s="103">
        <v>0.6038</v>
      </c>
      <c r="U319" s="103">
        <v>0.61299999999999999</v>
      </c>
      <c r="V319" s="103">
        <v>0.628</v>
      </c>
      <c r="W319" s="103">
        <v>0.63800000000000001</v>
      </c>
      <c r="X319" s="103">
        <v>0.63800000000000001</v>
      </c>
      <c r="Y319" s="103">
        <v>0.64900000000000002</v>
      </c>
      <c r="Z319" s="103">
        <v>0.67030000000000001</v>
      </c>
      <c r="AA319" s="103">
        <v>0.69240000000000002</v>
      </c>
      <c r="AB319" s="103">
        <v>0.69240000000000002</v>
      </c>
      <c r="AC319" s="103">
        <v>0.70599999999999996</v>
      </c>
      <c r="AD319" s="103">
        <v>0.72399999999999998</v>
      </c>
      <c r="AE319" s="103">
        <v>0.73829999999999996</v>
      </c>
      <c r="AF319" s="103">
        <v>0.73729999999999996</v>
      </c>
      <c r="AG319" s="103">
        <v>0.73409999999999997</v>
      </c>
      <c r="AH319" s="103">
        <v>0.74219999999999997</v>
      </c>
      <c r="AI319" s="103">
        <v>0.75539999999999996</v>
      </c>
      <c r="AJ319" s="103">
        <v>0.7549969604046407</v>
      </c>
      <c r="AK319" s="103">
        <v>0.75800000000000001</v>
      </c>
      <c r="AL319" s="103">
        <v>0.76500000000000001</v>
      </c>
      <c r="AM319" s="103">
        <v>0.76780000000000004</v>
      </c>
      <c r="AN319" s="103">
        <v>0.76239999999999997</v>
      </c>
      <c r="AO319" s="103">
        <v>0.751</v>
      </c>
      <c r="AP319" s="103">
        <v>0.76300000000000001</v>
      </c>
      <c r="AQ319" s="103">
        <v>0.76619999999999999</v>
      </c>
      <c r="AR319" s="103">
        <v>0.75170000000000003</v>
      </c>
      <c r="AS319" s="372"/>
      <c r="AT319" s="372"/>
      <c r="AU319" s="372"/>
      <c r="AV319" s="372"/>
      <c r="AW319" s="372"/>
      <c r="AY319" s="103">
        <v>0.76239999999999997</v>
      </c>
      <c r="AZ319" s="374"/>
      <c r="BA319" s="372"/>
      <c r="BC319" s="27"/>
      <c r="BD319" s="27"/>
      <c r="BF319" s="27"/>
      <c r="BG319" s="27"/>
    </row>
    <row r="320" spans="2:59">
      <c r="C320" s="105"/>
      <c r="D320" s="105"/>
      <c r="E320" s="105"/>
      <c r="F320" s="105"/>
      <c r="G320" s="105"/>
      <c r="H320" s="105"/>
      <c r="I320" s="105"/>
      <c r="J320" s="105"/>
      <c r="K320" s="105"/>
      <c r="L320" s="105"/>
      <c r="M320" s="105"/>
      <c r="N320" s="105"/>
      <c r="O320" s="105"/>
      <c r="P320" s="109"/>
      <c r="Q320" s="105"/>
      <c r="R320" s="105"/>
      <c r="S320" s="105"/>
      <c r="T320" s="105"/>
      <c r="U320" s="105"/>
      <c r="V320" s="105"/>
      <c r="W320" s="105"/>
      <c r="X320" s="105"/>
      <c r="Y320" s="105"/>
      <c r="Z320" s="105"/>
      <c r="AA320" s="105"/>
      <c r="AB320" s="105"/>
      <c r="AC320" s="105"/>
      <c r="AD320" s="105"/>
      <c r="AE320" s="105"/>
      <c r="AF320" s="105"/>
      <c r="AG320" s="105"/>
      <c r="AH320" s="105"/>
      <c r="AI320" s="105"/>
      <c r="AJ320" s="105"/>
      <c r="AK320" s="105"/>
      <c r="AL320" s="105"/>
      <c r="AM320" s="105"/>
      <c r="AN320" s="105"/>
      <c r="AO320" s="105"/>
      <c r="AP320" s="105"/>
      <c r="AQ320" s="105"/>
      <c r="AR320" s="105"/>
      <c r="AS320" s="105"/>
      <c r="AT320" s="105"/>
      <c r="AU320" s="105"/>
      <c r="AV320" s="105"/>
      <c r="AW320" s="105"/>
      <c r="AY320" s="105"/>
      <c r="AZ320" s="105"/>
      <c r="BA320" s="105"/>
      <c r="BC320" s="27"/>
      <c r="BD320" s="27"/>
      <c r="BF320" s="27"/>
      <c r="BG320" s="27"/>
    </row>
    <row r="321" spans="2:59" s="6" customFormat="1">
      <c r="B321" s="6" t="s">
        <v>410</v>
      </c>
      <c r="C321" s="105"/>
      <c r="D321" s="105"/>
      <c r="E321" s="105"/>
      <c r="F321" s="105"/>
      <c r="G321" s="105"/>
      <c r="H321" s="105"/>
      <c r="I321" s="105"/>
      <c r="J321" s="105"/>
      <c r="K321" s="105"/>
      <c r="L321" s="105"/>
      <c r="M321" s="105"/>
      <c r="N321" s="105"/>
      <c r="O321" s="105"/>
      <c r="P321" s="109"/>
      <c r="Q321" s="105"/>
      <c r="R321" s="105"/>
      <c r="S321" s="105"/>
      <c r="T321" s="105"/>
      <c r="U321" s="105"/>
      <c r="V321" s="105"/>
      <c r="W321" s="105"/>
      <c r="X321" s="105"/>
      <c r="Y321" s="105"/>
      <c r="Z321" s="105"/>
      <c r="AA321" s="105"/>
      <c r="AB321" s="105"/>
      <c r="AC321" s="105"/>
      <c r="AD321" s="105"/>
      <c r="AE321" s="105"/>
      <c r="AF321" s="105"/>
      <c r="AG321" s="105"/>
      <c r="AH321" s="105"/>
      <c r="AI321" s="105"/>
      <c r="AJ321" s="105"/>
      <c r="AK321" s="105"/>
      <c r="AL321" s="105"/>
      <c r="AM321" s="105"/>
      <c r="AN321" s="105"/>
      <c r="AO321" s="105"/>
      <c r="AP321" s="105"/>
      <c r="AQ321" s="105"/>
      <c r="AR321" s="105"/>
      <c r="AS321" s="105"/>
      <c r="AT321" s="105"/>
      <c r="AU321" s="105"/>
      <c r="AV321" s="105"/>
      <c r="AW321" s="105"/>
      <c r="AY321" s="105"/>
      <c r="AZ321" s="105"/>
      <c r="BA321" s="105"/>
      <c r="BC321" s="27"/>
      <c r="BD321" s="27"/>
      <c r="BF321" s="27"/>
      <c r="BG321" s="27"/>
    </row>
    <row r="322" spans="2:59">
      <c r="B322" s="10" t="s">
        <v>366</v>
      </c>
      <c r="C322" s="105">
        <v>281</v>
      </c>
      <c r="D322" s="105">
        <v>243</v>
      </c>
      <c r="E322" s="105">
        <v>166</v>
      </c>
      <c r="F322" s="105">
        <v>143</v>
      </c>
      <c r="G322" s="105">
        <v>130</v>
      </c>
      <c r="H322" s="105">
        <v>104</v>
      </c>
      <c r="I322" s="105">
        <v>104</v>
      </c>
      <c r="J322" s="105">
        <v>113</v>
      </c>
      <c r="K322" s="105">
        <v>113</v>
      </c>
      <c r="L322" s="122">
        <v>109.89</v>
      </c>
      <c r="M322" s="122">
        <v>110</v>
      </c>
      <c r="N322" s="175">
        <v>101.69</v>
      </c>
      <c r="O322" s="175"/>
      <c r="P322" s="184"/>
      <c r="Q322" s="175">
        <v>170</v>
      </c>
      <c r="R322" s="175">
        <v>174</v>
      </c>
      <c r="S322" s="175">
        <v>170</v>
      </c>
      <c r="T322" s="175">
        <v>153</v>
      </c>
      <c r="U322" s="175">
        <v>143</v>
      </c>
      <c r="V322" s="175">
        <v>142</v>
      </c>
      <c r="W322" s="175">
        <v>150</v>
      </c>
      <c r="X322" s="175">
        <v>137</v>
      </c>
      <c r="Y322" s="175">
        <v>139</v>
      </c>
      <c r="Z322" s="175">
        <v>131</v>
      </c>
      <c r="AA322" s="175">
        <v>125</v>
      </c>
      <c r="AB322" s="175">
        <v>126</v>
      </c>
      <c r="AC322" s="175">
        <v>108</v>
      </c>
      <c r="AD322" s="175">
        <v>107</v>
      </c>
      <c r="AE322" s="175">
        <v>100</v>
      </c>
      <c r="AF322" s="175">
        <v>102</v>
      </c>
      <c r="AG322" s="175">
        <v>106</v>
      </c>
      <c r="AH322" s="175">
        <v>125</v>
      </c>
      <c r="AI322" s="175">
        <v>111</v>
      </c>
      <c r="AJ322" s="175">
        <v>109</v>
      </c>
      <c r="AK322" s="175">
        <v>119</v>
      </c>
      <c r="AL322" s="175">
        <v>111</v>
      </c>
      <c r="AM322" s="175">
        <v>107</v>
      </c>
      <c r="AN322" s="175">
        <v>101.46</v>
      </c>
      <c r="AO322" s="175">
        <v>101</v>
      </c>
      <c r="AP322" s="175">
        <v>110</v>
      </c>
      <c r="AQ322" s="175">
        <v>105</v>
      </c>
      <c r="AR322" s="175">
        <v>91.62</v>
      </c>
      <c r="AS322" s="175">
        <v>91</v>
      </c>
      <c r="AT322" s="382"/>
      <c r="AU322" s="382"/>
      <c r="AV322" s="382"/>
      <c r="AW322" s="382"/>
      <c r="AX322" s="451"/>
      <c r="AY322" s="175">
        <v>101.46</v>
      </c>
      <c r="AZ322" s="452"/>
      <c r="BA322" s="382"/>
      <c r="BC322" s="27"/>
      <c r="BD322" s="27"/>
      <c r="BF322" s="27"/>
      <c r="BG322" s="27"/>
    </row>
    <row r="323" spans="2:59">
      <c r="B323" s="10" t="s">
        <v>367</v>
      </c>
      <c r="C323" s="105">
        <v>142</v>
      </c>
      <c r="D323" s="105">
        <v>128</v>
      </c>
      <c r="E323" s="105">
        <v>118</v>
      </c>
      <c r="F323" s="105">
        <v>123</v>
      </c>
      <c r="G323" s="105">
        <v>120</v>
      </c>
      <c r="H323" s="105">
        <v>123</v>
      </c>
      <c r="I323" s="105">
        <v>123</v>
      </c>
      <c r="J323" s="105">
        <v>126</v>
      </c>
      <c r="K323" s="105">
        <v>126</v>
      </c>
      <c r="L323" s="122">
        <v>141.16</v>
      </c>
      <c r="M323" s="122">
        <v>141</v>
      </c>
      <c r="N323" s="175">
        <v>137.22</v>
      </c>
      <c r="O323" s="175"/>
      <c r="P323" s="184"/>
      <c r="Q323" s="175">
        <v>117</v>
      </c>
      <c r="R323" s="175">
        <v>116</v>
      </c>
      <c r="S323" s="175">
        <v>121</v>
      </c>
      <c r="T323" s="175">
        <v>118</v>
      </c>
      <c r="U323" s="175">
        <v>122</v>
      </c>
      <c r="V323" s="175">
        <v>123</v>
      </c>
      <c r="W323" s="175">
        <v>125</v>
      </c>
      <c r="X323" s="175">
        <v>121</v>
      </c>
      <c r="Y323" s="175">
        <v>123</v>
      </c>
      <c r="Z323" s="175">
        <v>113</v>
      </c>
      <c r="AA323" s="175">
        <v>123</v>
      </c>
      <c r="AB323" s="175">
        <v>120</v>
      </c>
      <c r="AC323" s="175">
        <v>122</v>
      </c>
      <c r="AD323" s="175">
        <v>124</v>
      </c>
      <c r="AE323" s="175">
        <v>126</v>
      </c>
      <c r="AF323" s="175">
        <v>121</v>
      </c>
      <c r="AG323" s="175">
        <v>120</v>
      </c>
      <c r="AH323" s="175">
        <v>123</v>
      </c>
      <c r="AI323" s="175">
        <v>129</v>
      </c>
      <c r="AJ323" s="175">
        <v>133</v>
      </c>
      <c r="AK323" s="175">
        <v>137</v>
      </c>
      <c r="AL323" s="175">
        <v>146</v>
      </c>
      <c r="AM323" s="175">
        <v>143</v>
      </c>
      <c r="AN323" s="175">
        <v>138.91999999999999</v>
      </c>
      <c r="AO323" s="175">
        <v>139</v>
      </c>
      <c r="AP323" s="175">
        <v>143</v>
      </c>
      <c r="AQ323" s="175">
        <v>136</v>
      </c>
      <c r="AR323" s="175">
        <v>131.54</v>
      </c>
      <c r="AS323" s="175">
        <v>133</v>
      </c>
      <c r="AT323" s="382"/>
      <c r="AU323" s="382"/>
      <c r="AV323" s="382"/>
      <c r="AW323" s="382"/>
      <c r="AX323" s="451"/>
      <c r="AY323" s="175">
        <v>138.91999999999999</v>
      </c>
      <c r="AZ323" s="452"/>
      <c r="BA323" s="382"/>
      <c r="BC323" s="27"/>
      <c r="BD323" s="27"/>
      <c r="BF323" s="27"/>
      <c r="BG323" s="27"/>
    </row>
    <row r="324" spans="2:59">
      <c r="B324" s="10" t="s">
        <v>371</v>
      </c>
      <c r="C324" s="105">
        <v>144</v>
      </c>
      <c r="D324" s="105">
        <v>130</v>
      </c>
      <c r="E324" s="105">
        <v>120</v>
      </c>
      <c r="F324" s="105">
        <v>124</v>
      </c>
      <c r="G324" s="105">
        <v>121</v>
      </c>
      <c r="H324" s="105">
        <v>124</v>
      </c>
      <c r="I324" s="105">
        <v>124</v>
      </c>
      <c r="J324" s="105">
        <v>127</v>
      </c>
      <c r="K324" s="105">
        <v>127</v>
      </c>
      <c r="L324" s="122">
        <v>141.88999999999999</v>
      </c>
      <c r="M324" s="122">
        <v>142</v>
      </c>
      <c r="N324" s="175">
        <v>138.07</v>
      </c>
      <c r="O324" s="175">
        <v>141</v>
      </c>
      <c r="P324" s="184"/>
      <c r="Q324" s="175">
        <v>118</v>
      </c>
      <c r="R324" s="175">
        <v>118</v>
      </c>
      <c r="S324" s="175">
        <v>123</v>
      </c>
      <c r="T324" s="175">
        <v>119</v>
      </c>
      <c r="U324" s="175">
        <v>123</v>
      </c>
      <c r="V324" s="175">
        <v>125</v>
      </c>
      <c r="W324" s="175">
        <v>126</v>
      </c>
      <c r="X324" s="175">
        <v>122</v>
      </c>
      <c r="Y324" s="175">
        <v>124</v>
      </c>
      <c r="Z324" s="175">
        <v>115</v>
      </c>
      <c r="AA324" s="175">
        <v>124</v>
      </c>
      <c r="AB324" s="175">
        <v>121</v>
      </c>
      <c r="AC324" s="175">
        <v>123</v>
      </c>
      <c r="AD324" s="175">
        <v>125</v>
      </c>
      <c r="AE324" s="175">
        <v>127</v>
      </c>
      <c r="AF324" s="175">
        <v>122</v>
      </c>
      <c r="AG324" s="175">
        <v>121</v>
      </c>
      <c r="AH324" s="175">
        <v>124</v>
      </c>
      <c r="AI324" s="175">
        <v>129</v>
      </c>
      <c r="AJ324" s="175">
        <v>133</v>
      </c>
      <c r="AK324" s="175">
        <v>138</v>
      </c>
      <c r="AL324" s="175">
        <v>146</v>
      </c>
      <c r="AM324" s="175">
        <v>144</v>
      </c>
      <c r="AN324" s="175">
        <v>139.55000000000001</v>
      </c>
      <c r="AO324" s="175">
        <v>140</v>
      </c>
      <c r="AP324" s="175">
        <v>144</v>
      </c>
      <c r="AQ324" s="175">
        <v>136</v>
      </c>
      <c r="AR324" s="175">
        <v>132.24</v>
      </c>
      <c r="AS324" s="175">
        <v>133</v>
      </c>
      <c r="AT324" s="175">
        <v>144.86000000000001</v>
      </c>
      <c r="AU324" s="175">
        <v>140.54</v>
      </c>
      <c r="AV324" s="175">
        <v>143</v>
      </c>
      <c r="AW324" s="175">
        <v>141</v>
      </c>
      <c r="AX324" s="451"/>
      <c r="AY324" s="175">
        <v>139.55000000000001</v>
      </c>
      <c r="AZ324" s="452"/>
      <c r="BA324" s="175">
        <v>133</v>
      </c>
      <c r="BC324" s="27"/>
      <c r="BD324" s="27"/>
      <c r="BF324" s="27"/>
      <c r="BG324" s="27"/>
    </row>
    <row r="325" spans="2:59">
      <c r="C325" s="104"/>
      <c r="D325" s="104"/>
      <c r="E325" s="104"/>
      <c r="F325" s="104"/>
      <c r="G325" s="104"/>
      <c r="H325" s="104"/>
      <c r="I325" s="104"/>
      <c r="J325" s="104"/>
      <c r="K325" s="104"/>
      <c r="L325" s="104"/>
      <c r="M325" s="104"/>
      <c r="N325" s="104"/>
      <c r="O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c r="AS325" s="104"/>
      <c r="AT325" s="104"/>
      <c r="AU325" s="104"/>
      <c r="AV325" s="104"/>
      <c r="AW325" s="104"/>
      <c r="AY325" s="104"/>
      <c r="AZ325" s="104"/>
      <c r="BA325" s="104"/>
      <c r="BC325" s="27"/>
      <c r="BD325" s="27"/>
      <c r="BF325" s="27"/>
      <c r="BG325" s="27"/>
    </row>
    <row r="326" spans="2:59" s="6" customFormat="1">
      <c r="B326" s="6" t="s">
        <v>411</v>
      </c>
      <c r="C326" s="27"/>
      <c r="D326" s="27"/>
      <c r="E326" s="27"/>
      <c r="F326" s="27"/>
      <c r="G326" s="27"/>
      <c r="H326" s="27"/>
      <c r="I326" s="27"/>
      <c r="J326" s="27"/>
      <c r="K326" s="27"/>
      <c r="L326" s="27"/>
      <c r="M326" s="27"/>
      <c r="N326" s="27"/>
      <c r="O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c r="AT326" s="27"/>
      <c r="AU326" s="27"/>
      <c r="AV326" s="27"/>
      <c r="AW326" s="27"/>
      <c r="AY326" s="27"/>
      <c r="AZ326" s="27"/>
      <c r="BA326" s="27"/>
      <c r="BC326" s="27"/>
      <c r="BD326" s="27"/>
      <c r="BF326" s="27"/>
      <c r="BG326" s="27"/>
    </row>
    <row r="327" spans="2:59">
      <c r="B327" s="10" t="s">
        <v>373</v>
      </c>
      <c r="C327" s="105">
        <v>55.3</v>
      </c>
      <c r="D327" s="105">
        <v>153</v>
      </c>
      <c r="E327" s="105">
        <v>344.6</v>
      </c>
      <c r="F327" s="105">
        <v>671.4</v>
      </c>
      <c r="G327" s="175">
        <v>1118.32</v>
      </c>
      <c r="H327" s="175">
        <v>1797.9</v>
      </c>
      <c r="I327" s="175">
        <v>1797.9</v>
      </c>
      <c r="J327" s="175">
        <v>2609.38</v>
      </c>
      <c r="K327" s="175">
        <v>2609.38</v>
      </c>
      <c r="L327" s="175">
        <v>3310.47</v>
      </c>
      <c r="M327" s="175">
        <v>3310.47</v>
      </c>
      <c r="N327" s="175">
        <v>3648.93</v>
      </c>
      <c r="O327" s="175"/>
      <c r="P327" s="184"/>
      <c r="Q327" s="105">
        <v>60.6</v>
      </c>
      <c r="R327" s="105">
        <v>73.8</v>
      </c>
      <c r="S327" s="105">
        <v>96.1</v>
      </c>
      <c r="T327" s="105">
        <v>114.1</v>
      </c>
      <c r="U327" s="105">
        <v>135.4</v>
      </c>
      <c r="V327" s="105">
        <v>158.80000000000001</v>
      </c>
      <c r="W327" s="105">
        <v>177.9</v>
      </c>
      <c r="X327" s="105">
        <v>199.3</v>
      </c>
      <c r="Y327" s="175">
        <v>231.5</v>
      </c>
      <c r="Z327" s="175">
        <v>275.17</v>
      </c>
      <c r="AA327" s="175">
        <v>292.16000000000003</v>
      </c>
      <c r="AB327" s="175">
        <v>319.48</v>
      </c>
      <c r="AC327" s="175">
        <v>361</v>
      </c>
      <c r="AD327" s="175">
        <v>432.7</v>
      </c>
      <c r="AE327" s="175">
        <v>488</v>
      </c>
      <c r="AF327" s="175">
        <v>516.20000000000005</v>
      </c>
      <c r="AG327" s="175">
        <v>546.99</v>
      </c>
      <c r="AH327" s="175">
        <v>614.4</v>
      </c>
      <c r="AI327" s="175">
        <v>703.6</v>
      </c>
      <c r="AJ327" s="175">
        <v>744.38978269794916</v>
      </c>
      <c r="AK327" s="175">
        <v>774.9</v>
      </c>
      <c r="AL327" s="175">
        <v>819.86</v>
      </c>
      <c r="AM327" s="175">
        <v>876.42</v>
      </c>
      <c r="AN327" s="175">
        <v>839.31</v>
      </c>
      <c r="AO327" s="175">
        <v>868</v>
      </c>
      <c r="AP327" s="175">
        <v>960.48</v>
      </c>
      <c r="AQ327" s="175">
        <v>848.64</v>
      </c>
      <c r="AR327" s="175">
        <v>971.71</v>
      </c>
      <c r="AS327" s="372"/>
      <c r="AT327" s="372"/>
      <c r="AU327" s="372"/>
      <c r="AV327" s="372"/>
      <c r="AW327" s="372"/>
      <c r="AY327" s="175">
        <v>839.31</v>
      </c>
      <c r="AZ327" s="374"/>
      <c r="BA327" s="372"/>
      <c r="BC327" s="27"/>
      <c r="BD327" s="27"/>
      <c r="BF327" s="27"/>
      <c r="BG327" s="27"/>
    </row>
    <row r="328" spans="2:59">
      <c r="B328" s="10" t="s">
        <v>412</v>
      </c>
      <c r="C328" s="105">
        <v>322</v>
      </c>
      <c r="D328" s="105">
        <v>584</v>
      </c>
      <c r="E328" s="105">
        <v>1080</v>
      </c>
      <c r="F328" s="105">
        <v>1913</v>
      </c>
      <c r="G328" s="175">
        <v>2878.33</v>
      </c>
      <c r="H328" s="175">
        <v>4062</v>
      </c>
      <c r="I328" s="175">
        <v>4062</v>
      </c>
      <c r="J328" s="175">
        <v>5504.1</v>
      </c>
      <c r="K328" s="175">
        <v>5504.1</v>
      </c>
      <c r="L328" s="175">
        <v>6557.96</v>
      </c>
      <c r="M328" s="175">
        <v>6557.96</v>
      </c>
      <c r="N328" s="175">
        <v>7040.93</v>
      </c>
      <c r="O328" s="175"/>
      <c r="P328" s="184"/>
      <c r="Q328" s="105">
        <v>814</v>
      </c>
      <c r="R328" s="105">
        <v>951</v>
      </c>
      <c r="S328" s="105">
        <v>1194</v>
      </c>
      <c r="T328" s="105">
        <v>1363</v>
      </c>
      <c r="U328" s="105">
        <v>1622</v>
      </c>
      <c r="V328" s="105">
        <v>1838</v>
      </c>
      <c r="W328" s="105">
        <v>1999</v>
      </c>
      <c r="X328" s="105">
        <v>2194</v>
      </c>
      <c r="Y328" s="175">
        <v>2492</v>
      </c>
      <c r="Z328" s="175">
        <v>2939.17</v>
      </c>
      <c r="AA328" s="175">
        <v>2964.48</v>
      </c>
      <c r="AB328" s="175">
        <v>3117.4</v>
      </c>
      <c r="AC328" s="175">
        <v>3439</v>
      </c>
      <c r="AD328" s="175">
        <v>3999</v>
      </c>
      <c r="AE328" s="175">
        <v>4359</v>
      </c>
      <c r="AF328" s="175">
        <v>4451</v>
      </c>
      <c r="AG328" s="175">
        <v>4735</v>
      </c>
      <c r="AH328" s="175">
        <v>5250</v>
      </c>
      <c r="AI328" s="175">
        <v>5850</v>
      </c>
      <c r="AJ328" s="175">
        <v>6181.0023789194283</v>
      </c>
      <c r="AK328" s="175">
        <v>6382.3</v>
      </c>
      <c r="AL328" s="175">
        <v>6584.6</v>
      </c>
      <c r="AM328" s="175">
        <v>6833.27</v>
      </c>
      <c r="AN328" s="175">
        <v>6431.65</v>
      </c>
      <c r="AO328" s="175">
        <v>6726</v>
      </c>
      <c r="AP328" s="175">
        <v>7375.83</v>
      </c>
      <c r="AQ328" s="175">
        <v>6447.74</v>
      </c>
      <c r="AR328" s="175">
        <v>7614.62</v>
      </c>
      <c r="AS328" s="372"/>
      <c r="AT328" s="372"/>
      <c r="AU328" s="372"/>
      <c r="AV328" s="372"/>
      <c r="AW328" s="372"/>
      <c r="AY328" s="175">
        <v>6431.65</v>
      </c>
      <c r="AZ328" s="374"/>
      <c r="BA328" s="372"/>
      <c r="BC328" s="27"/>
      <c r="BD328" s="27"/>
      <c r="BF328" s="27"/>
      <c r="BG328" s="27"/>
    </row>
    <row r="329" spans="2:59">
      <c r="C329" s="104"/>
      <c r="D329" s="104"/>
      <c r="E329" s="104"/>
      <c r="F329" s="104"/>
      <c r="G329" s="104"/>
      <c r="H329" s="104"/>
      <c r="I329" s="104"/>
      <c r="J329" s="104"/>
      <c r="K329" s="104"/>
      <c r="L329" s="104"/>
      <c r="M329" s="104"/>
      <c r="N329" s="104"/>
      <c r="O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Y329" s="104"/>
      <c r="AZ329" s="104"/>
      <c r="BA329" s="104"/>
      <c r="BC329" s="27"/>
      <c r="BD329" s="27"/>
      <c r="BF329" s="27"/>
      <c r="BG329" s="27"/>
    </row>
    <row r="330" spans="2:59">
      <c r="B330" s="10" t="s">
        <v>375</v>
      </c>
      <c r="C330" s="99">
        <v>0.28999999999999998</v>
      </c>
      <c r="D330" s="99">
        <v>0.39</v>
      </c>
      <c r="E330" s="99">
        <v>0.41</v>
      </c>
      <c r="F330" s="99">
        <v>0.43</v>
      </c>
      <c r="G330" s="99">
        <v>0.44</v>
      </c>
      <c r="H330" s="99">
        <v>0.53</v>
      </c>
      <c r="I330" s="99">
        <v>0.53</v>
      </c>
      <c r="J330" s="99">
        <v>0.54010000000000002</v>
      </c>
      <c r="K330" s="99">
        <v>0.54010000000000002</v>
      </c>
      <c r="L330" s="99">
        <v>0.61570000000000003</v>
      </c>
      <c r="M330" s="99">
        <v>0.61570000000000003</v>
      </c>
      <c r="N330" s="99">
        <v>0.66049999999999998</v>
      </c>
      <c r="O330" s="99"/>
      <c r="Q330" s="99">
        <v>0.4</v>
      </c>
      <c r="R330" s="99">
        <v>0.39600000000000002</v>
      </c>
      <c r="S330" s="99">
        <v>0.40029999999999999</v>
      </c>
      <c r="T330" s="99">
        <v>0.41</v>
      </c>
      <c r="U330" s="99">
        <v>0.42</v>
      </c>
      <c r="V330" s="99">
        <v>0.42</v>
      </c>
      <c r="W330" s="99">
        <v>0.43</v>
      </c>
      <c r="X330" s="99">
        <v>0.43</v>
      </c>
      <c r="Y330" s="99">
        <v>0.43</v>
      </c>
      <c r="Z330" s="99">
        <v>0.42699999999999999</v>
      </c>
      <c r="AA330" s="99">
        <v>0.42409999999999998</v>
      </c>
      <c r="AB330" s="99">
        <v>0.44</v>
      </c>
      <c r="AC330" s="99">
        <v>0.5</v>
      </c>
      <c r="AD330" s="99">
        <v>0.55000000000000004</v>
      </c>
      <c r="AE330" s="99">
        <v>0.56000000000000005</v>
      </c>
      <c r="AF330" s="99">
        <v>0.53</v>
      </c>
      <c r="AG330" s="99">
        <v>0.52690000000000003</v>
      </c>
      <c r="AH330" s="99">
        <v>0.53</v>
      </c>
      <c r="AI330" s="99">
        <v>0.499</v>
      </c>
      <c r="AJ330" s="99">
        <v>0.5401321709769219</v>
      </c>
      <c r="AK330" s="99">
        <v>0.58330000000000004</v>
      </c>
      <c r="AL330" s="99">
        <v>0.59740000000000004</v>
      </c>
      <c r="AM330" s="99">
        <v>0.54210000000000003</v>
      </c>
      <c r="AN330" s="99">
        <v>0.61570000000000003</v>
      </c>
      <c r="AO330" s="99">
        <v>0.62</v>
      </c>
      <c r="AP330" s="99">
        <v>0.64149999999999996</v>
      </c>
      <c r="AQ330" s="99">
        <v>0.64610000000000001</v>
      </c>
      <c r="AR330" s="99">
        <v>0.66049999999999998</v>
      </c>
      <c r="AS330" s="372"/>
      <c r="AT330" s="372"/>
      <c r="AU330" s="372"/>
      <c r="AV330" s="372"/>
      <c r="AW330" s="372"/>
      <c r="AY330" s="99">
        <v>0.61570000000000003</v>
      </c>
      <c r="AZ330" s="374"/>
      <c r="BA330" s="372"/>
      <c r="BC330" s="27"/>
      <c r="BD330" s="27"/>
      <c r="BF330" s="27"/>
      <c r="BG330" s="27"/>
    </row>
    <row r="331" spans="2:59">
      <c r="B331" s="10" t="s">
        <v>413</v>
      </c>
      <c r="C331" s="105">
        <v>7711</v>
      </c>
      <c r="D331" s="105">
        <v>9236</v>
      </c>
      <c r="E331" s="105">
        <v>9648</v>
      </c>
      <c r="F331" s="105">
        <v>10524</v>
      </c>
      <c r="G331" s="105">
        <v>11338</v>
      </c>
      <c r="H331" s="105">
        <v>11352</v>
      </c>
      <c r="I331" s="105">
        <v>11341</v>
      </c>
      <c r="J331" s="105">
        <v>9589</v>
      </c>
      <c r="K331" s="105">
        <v>9589</v>
      </c>
      <c r="L331" s="105">
        <v>2417</v>
      </c>
      <c r="M331" s="105">
        <v>2417</v>
      </c>
      <c r="N331" s="105">
        <v>0</v>
      </c>
      <c r="O331" s="105"/>
      <c r="Q331" s="105">
        <v>9323</v>
      </c>
      <c r="R331" s="105">
        <v>9429</v>
      </c>
      <c r="S331" s="105">
        <v>9519</v>
      </c>
      <c r="T331" s="105">
        <v>9648</v>
      </c>
      <c r="U331" s="105">
        <v>10139</v>
      </c>
      <c r="V331" s="105">
        <v>10218</v>
      </c>
      <c r="W331" s="105">
        <v>10454</v>
      </c>
      <c r="X331" s="105">
        <v>10524</v>
      </c>
      <c r="Y331" s="105">
        <v>10535</v>
      </c>
      <c r="Z331" s="105">
        <v>10491</v>
      </c>
      <c r="AA331" s="105">
        <v>11002</v>
      </c>
      <c r="AB331" s="105">
        <v>11338</v>
      </c>
      <c r="AC331" s="105">
        <v>11370</v>
      </c>
      <c r="AD331" s="105">
        <v>11382</v>
      </c>
      <c r="AE331" s="105">
        <v>11386</v>
      </c>
      <c r="AF331" s="105">
        <v>11352</v>
      </c>
      <c r="AG331" s="105">
        <v>11339</v>
      </c>
      <c r="AH331" s="105">
        <v>11342</v>
      </c>
      <c r="AI331" s="105">
        <v>11347</v>
      </c>
      <c r="AJ331" s="105">
        <v>9589</v>
      </c>
      <c r="AK331" s="105">
        <v>9494</v>
      </c>
      <c r="AL331" s="105">
        <v>9374</v>
      </c>
      <c r="AM331" s="105">
        <v>8098</v>
      </c>
      <c r="AN331" s="105">
        <v>2417</v>
      </c>
      <c r="AO331" s="117">
        <v>2202</v>
      </c>
      <c r="AP331" s="105">
        <v>2212</v>
      </c>
      <c r="AQ331" s="378"/>
      <c r="AR331" s="373"/>
      <c r="AS331" s="372"/>
      <c r="AT331" s="372"/>
      <c r="AU331" s="372"/>
      <c r="AV331" s="372"/>
      <c r="AW331" s="372"/>
      <c r="AY331" s="105">
        <v>2417</v>
      </c>
      <c r="AZ331" s="374"/>
      <c r="BA331" s="372"/>
      <c r="BC331" s="27"/>
      <c r="BD331" s="27"/>
      <c r="BF331" s="27"/>
      <c r="BG331" s="27"/>
    </row>
    <row r="332" spans="2:59">
      <c r="B332" s="10" t="s">
        <v>405</v>
      </c>
      <c r="C332" s="373"/>
      <c r="D332" s="373"/>
      <c r="E332" s="105">
        <v>7396</v>
      </c>
      <c r="F332" s="105">
        <v>8910</v>
      </c>
      <c r="G332" s="105">
        <v>13173</v>
      </c>
      <c r="H332" s="105">
        <v>14822</v>
      </c>
      <c r="I332" s="105">
        <v>14810</v>
      </c>
      <c r="J332" s="105">
        <v>15650</v>
      </c>
      <c r="K332" s="105">
        <v>15650</v>
      </c>
      <c r="L332" s="105">
        <v>16814</v>
      </c>
      <c r="M332" s="105">
        <v>16814</v>
      </c>
      <c r="N332" s="105">
        <v>18148</v>
      </c>
      <c r="O332" s="105"/>
      <c r="Q332" s="105">
        <v>4013</v>
      </c>
      <c r="R332" s="105">
        <v>6100</v>
      </c>
      <c r="S332" s="105">
        <v>7294</v>
      </c>
      <c r="T332" s="105">
        <v>7396</v>
      </c>
      <c r="U332" s="105">
        <v>7878</v>
      </c>
      <c r="V332" s="105">
        <v>8080</v>
      </c>
      <c r="W332" s="105">
        <v>8822</v>
      </c>
      <c r="X332" s="105">
        <v>8910</v>
      </c>
      <c r="Y332" s="105">
        <v>8953</v>
      </c>
      <c r="Z332" s="105">
        <v>10203</v>
      </c>
      <c r="AA332" s="105">
        <v>12029</v>
      </c>
      <c r="AB332" s="105">
        <v>13173</v>
      </c>
      <c r="AC332" s="105">
        <v>13440</v>
      </c>
      <c r="AD332" s="105">
        <v>13545</v>
      </c>
      <c r="AE332" s="105">
        <v>14231</v>
      </c>
      <c r="AF332" s="105">
        <v>14822</v>
      </c>
      <c r="AG332" s="105">
        <v>14891</v>
      </c>
      <c r="AH332" s="105">
        <v>14961</v>
      </c>
      <c r="AI332" s="105">
        <v>15219</v>
      </c>
      <c r="AJ332" s="105">
        <v>15650</v>
      </c>
      <c r="AK332" s="105">
        <v>15844</v>
      </c>
      <c r="AL332" s="105">
        <v>16066</v>
      </c>
      <c r="AM332" s="105">
        <v>16355</v>
      </c>
      <c r="AN332" s="105">
        <v>16814</v>
      </c>
      <c r="AO332" s="117">
        <v>17394</v>
      </c>
      <c r="AP332" s="105">
        <v>17715</v>
      </c>
      <c r="AQ332" s="117">
        <v>17953</v>
      </c>
      <c r="AR332" s="105">
        <v>18148</v>
      </c>
      <c r="AS332" s="372"/>
      <c r="AT332" s="372"/>
      <c r="AU332" s="372"/>
      <c r="AV332" s="372"/>
      <c r="AW332" s="372"/>
      <c r="AY332" s="105">
        <v>16814</v>
      </c>
      <c r="AZ332" s="374"/>
      <c r="BA332" s="372"/>
      <c r="BC332" s="27"/>
      <c r="BD332" s="27"/>
      <c r="BF332" s="27"/>
      <c r="BG332" s="27"/>
    </row>
    <row r="333" spans="2:59">
      <c r="B333" s="108"/>
      <c r="C333" s="108"/>
      <c r="D333" s="108"/>
      <c r="E333" s="108"/>
      <c r="F333" s="108"/>
      <c r="G333" s="108"/>
      <c r="H333" s="108"/>
      <c r="I333" s="108"/>
      <c r="J333" s="108"/>
      <c r="K333" s="108"/>
      <c r="L333" s="108"/>
      <c r="M333" s="108"/>
      <c r="N333" s="108"/>
      <c r="O333" s="108"/>
      <c r="Q333" s="108"/>
      <c r="R333" s="108"/>
      <c r="S333" s="108"/>
      <c r="T333" s="108"/>
      <c r="U333" s="108"/>
      <c r="V333" s="108"/>
      <c r="W333" s="108"/>
      <c r="X333" s="108"/>
      <c r="Y333" s="108"/>
      <c r="Z333" s="108"/>
      <c r="AA333" s="108"/>
      <c r="AB333" s="108"/>
      <c r="AC333" s="108"/>
      <c r="AD333" s="108"/>
      <c r="AE333" s="108"/>
      <c r="AF333" s="108"/>
      <c r="AG333" s="108"/>
      <c r="AH333" s="108"/>
      <c r="AI333" s="108"/>
      <c r="AJ333" s="108"/>
      <c r="AK333" s="108"/>
      <c r="AL333" s="108"/>
      <c r="AM333" s="108"/>
      <c r="AN333" s="108"/>
      <c r="AO333" s="108"/>
      <c r="AP333" s="108"/>
      <c r="AQ333" s="108"/>
      <c r="AR333" s="108"/>
      <c r="AS333" s="108"/>
      <c r="AT333" s="108"/>
      <c r="AU333" s="108"/>
      <c r="AV333" s="108"/>
      <c r="AW333" s="108"/>
      <c r="AY333" s="108"/>
      <c r="AZ333" s="108"/>
      <c r="BA333" s="108"/>
      <c r="BC333" s="27"/>
      <c r="BD333" s="27"/>
      <c r="BF333" s="27"/>
      <c r="BG333" s="27"/>
    </row>
    <row r="334" spans="2:59" s="6" customFormat="1" hidden="1" outlineLevel="1">
      <c r="B334" s="6" t="s">
        <v>414</v>
      </c>
      <c r="P334" s="10"/>
      <c r="AX334" s="10"/>
      <c r="AZ334" s="377"/>
      <c r="BA334" s="377"/>
      <c r="BC334" s="27"/>
      <c r="BD334" s="27"/>
      <c r="BF334" s="27"/>
      <c r="BG334" s="27"/>
    </row>
    <row r="335" spans="2:59" s="6" customFormat="1" hidden="1" outlineLevel="1">
      <c r="B335" s="6" t="s">
        <v>365</v>
      </c>
      <c r="P335" s="10"/>
      <c r="AX335" s="10"/>
      <c r="AZ335" s="377"/>
      <c r="BA335" s="377"/>
      <c r="BC335" s="27"/>
      <c r="BD335" s="27"/>
      <c r="BF335" s="27"/>
      <c r="BG335" s="27"/>
    </row>
    <row r="336" spans="2:59" hidden="1" outlineLevel="1">
      <c r="B336" s="10" t="s">
        <v>366</v>
      </c>
      <c r="C336" s="105">
        <v>490</v>
      </c>
      <c r="D336" s="105">
        <v>405</v>
      </c>
      <c r="E336" s="105">
        <v>263</v>
      </c>
      <c r="F336" s="105">
        <v>213</v>
      </c>
      <c r="G336" s="105">
        <v>390</v>
      </c>
      <c r="H336" s="105">
        <v>493</v>
      </c>
      <c r="I336" s="105">
        <v>493</v>
      </c>
      <c r="J336" s="105">
        <v>560</v>
      </c>
      <c r="K336" s="379"/>
      <c r="L336" s="379"/>
      <c r="M336" s="379"/>
      <c r="N336" s="379"/>
      <c r="O336" s="379"/>
      <c r="Q336" s="105">
        <v>331</v>
      </c>
      <c r="R336" s="105">
        <v>293</v>
      </c>
      <c r="S336" s="105">
        <v>288</v>
      </c>
      <c r="T336" s="105">
        <v>263</v>
      </c>
      <c r="U336" s="105">
        <v>248</v>
      </c>
      <c r="V336" s="105">
        <v>226</v>
      </c>
      <c r="W336" s="105">
        <v>211</v>
      </c>
      <c r="X336" s="105">
        <v>213</v>
      </c>
      <c r="Y336" s="105">
        <v>315</v>
      </c>
      <c r="Z336" s="105">
        <v>478</v>
      </c>
      <c r="AA336" s="105">
        <v>409</v>
      </c>
      <c r="AB336" s="105">
        <v>390</v>
      </c>
      <c r="AC336" s="105">
        <v>388</v>
      </c>
      <c r="AD336" s="105">
        <v>400</v>
      </c>
      <c r="AE336" s="105">
        <v>449</v>
      </c>
      <c r="AF336" s="105">
        <v>493</v>
      </c>
      <c r="AG336" s="105">
        <v>519</v>
      </c>
      <c r="AH336" s="105">
        <v>529</v>
      </c>
      <c r="AI336" s="105">
        <v>547</v>
      </c>
      <c r="AJ336" s="105">
        <v>560</v>
      </c>
      <c r="AK336" s="105">
        <v>557</v>
      </c>
      <c r="AL336" s="105">
        <v>556</v>
      </c>
      <c r="AM336" s="105">
        <v>556</v>
      </c>
      <c r="AN336" s="379"/>
      <c r="AO336" s="379"/>
      <c r="AP336" s="379"/>
      <c r="AQ336" s="379"/>
      <c r="AR336" s="379"/>
      <c r="AS336" s="379"/>
      <c r="AT336" s="379"/>
      <c r="AU336" s="379"/>
      <c r="AV336" s="379"/>
      <c r="AW336" s="379"/>
      <c r="AY336" s="379"/>
      <c r="AZ336" s="374"/>
      <c r="BA336" s="374"/>
      <c r="BC336" s="27"/>
      <c r="BD336" s="27"/>
      <c r="BF336" s="27"/>
      <c r="BG336" s="27"/>
    </row>
    <row r="337" spans="2:59" hidden="1" outlineLevel="1">
      <c r="B337" s="10" t="s">
        <v>367</v>
      </c>
      <c r="C337" s="105">
        <v>14427</v>
      </c>
      <c r="D337" s="105">
        <v>16028</v>
      </c>
      <c r="E337" s="105">
        <v>16079</v>
      </c>
      <c r="F337" s="105">
        <v>16658</v>
      </c>
      <c r="G337" s="105">
        <v>15336</v>
      </c>
      <c r="H337" s="105">
        <v>16349</v>
      </c>
      <c r="I337" s="105">
        <v>16349</v>
      </c>
      <c r="J337" s="105">
        <v>16586</v>
      </c>
      <c r="K337" s="373"/>
      <c r="L337" s="373"/>
      <c r="M337" s="373"/>
      <c r="N337" s="373"/>
      <c r="O337" s="373"/>
      <c r="Q337" s="105">
        <v>16093</v>
      </c>
      <c r="R337" s="105">
        <v>16159</v>
      </c>
      <c r="S337" s="105">
        <v>16245.8</v>
      </c>
      <c r="T337" s="105">
        <v>16079</v>
      </c>
      <c r="U337" s="105">
        <v>16179</v>
      </c>
      <c r="V337" s="105">
        <v>16369</v>
      </c>
      <c r="W337" s="105">
        <v>16458</v>
      </c>
      <c r="X337" s="105">
        <v>16658</v>
      </c>
      <c r="Y337" s="105">
        <v>16857</v>
      </c>
      <c r="Z337" s="122">
        <v>15443.94</v>
      </c>
      <c r="AA337" s="105">
        <v>14922</v>
      </c>
      <c r="AB337" s="105">
        <v>15336</v>
      </c>
      <c r="AC337" s="105">
        <v>15928</v>
      </c>
      <c r="AD337" s="122">
        <v>15927</v>
      </c>
      <c r="AE337" s="105">
        <v>16041</v>
      </c>
      <c r="AF337" s="105">
        <v>16349</v>
      </c>
      <c r="AG337" s="105">
        <v>16367</v>
      </c>
      <c r="AH337" s="122">
        <v>16288</v>
      </c>
      <c r="AI337" s="105">
        <v>16666</v>
      </c>
      <c r="AJ337" s="105">
        <v>16586</v>
      </c>
      <c r="AK337" s="105">
        <v>16372</v>
      </c>
      <c r="AL337" s="122">
        <v>16151</v>
      </c>
      <c r="AM337" s="105">
        <v>16070</v>
      </c>
      <c r="AN337" s="373"/>
      <c r="AO337" s="373"/>
      <c r="AP337" s="373"/>
      <c r="AQ337" s="373"/>
      <c r="AR337" s="373"/>
      <c r="AS337" s="373"/>
      <c r="AT337" s="373"/>
      <c r="AU337" s="373"/>
      <c r="AV337" s="373"/>
      <c r="AW337" s="373"/>
      <c r="AY337" s="373"/>
      <c r="AZ337" s="374"/>
      <c r="BA337" s="374"/>
      <c r="BC337" s="27"/>
      <c r="BD337" s="27"/>
      <c r="BF337" s="27"/>
      <c r="BG337" s="27"/>
    </row>
    <row r="338" spans="2:59" hidden="1" outlineLevel="1">
      <c r="B338" s="10" t="s">
        <v>31</v>
      </c>
      <c r="C338" s="105">
        <v>14917</v>
      </c>
      <c r="D338" s="105">
        <v>16433</v>
      </c>
      <c r="E338" s="105">
        <v>16342</v>
      </c>
      <c r="F338" s="105">
        <v>16871</v>
      </c>
      <c r="G338" s="105">
        <v>15725</v>
      </c>
      <c r="H338" s="105">
        <v>16842</v>
      </c>
      <c r="I338" s="105">
        <v>16842</v>
      </c>
      <c r="J338" s="105">
        <v>17145</v>
      </c>
      <c r="K338" s="373"/>
      <c r="L338" s="373"/>
      <c r="M338" s="373"/>
      <c r="N338" s="373"/>
      <c r="O338" s="373"/>
      <c r="Q338" s="105">
        <v>16424</v>
      </c>
      <c r="R338" s="105">
        <v>16452</v>
      </c>
      <c r="S338" s="105">
        <v>16534</v>
      </c>
      <c r="T338" s="105">
        <v>16342</v>
      </c>
      <c r="U338" s="105">
        <v>16427</v>
      </c>
      <c r="V338" s="105">
        <v>16594</v>
      </c>
      <c r="W338" s="105">
        <v>16669</v>
      </c>
      <c r="X338" s="105">
        <v>16871</v>
      </c>
      <c r="Y338" s="105">
        <v>17172</v>
      </c>
      <c r="Z338" s="122">
        <v>15922.27</v>
      </c>
      <c r="AA338" s="105">
        <v>15332</v>
      </c>
      <c r="AB338" s="105">
        <v>15725</v>
      </c>
      <c r="AC338" s="105">
        <v>16316</v>
      </c>
      <c r="AD338" s="122">
        <v>16327</v>
      </c>
      <c r="AE338" s="105">
        <v>16490</v>
      </c>
      <c r="AF338" s="105">
        <v>16842</v>
      </c>
      <c r="AG338" s="105">
        <v>16886</v>
      </c>
      <c r="AH338" s="122">
        <v>16817</v>
      </c>
      <c r="AI338" s="105">
        <v>17213</v>
      </c>
      <c r="AJ338" s="105">
        <v>17145</v>
      </c>
      <c r="AK338" s="105">
        <v>16929</v>
      </c>
      <c r="AL338" s="122">
        <v>16707</v>
      </c>
      <c r="AM338" s="105">
        <v>16625</v>
      </c>
      <c r="AN338" s="373"/>
      <c r="AO338" s="373"/>
      <c r="AP338" s="373"/>
      <c r="AQ338" s="373"/>
      <c r="AR338" s="373"/>
      <c r="AS338" s="373"/>
      <c r="AT338" s="373"/>
      <c r="AU338" s="373"/>
      <c r="AV338" s="373"/>
      <c r="AW338" s="373"/>
      <c r="AY338" s="373"/>
      <c r="AZ338" s="374"/>
      <c r="BA338" s="374"/>
      <c r="BC338" s="27"/>
      <c r="BD338" s="27"/>
      <c r="BF338" s="27"/>
      <c r="BG338" s="27"/>
    </row>
    <row r="339" spans="2:59" hidden="1" outlineLevel="1">
      <c r="C339" s="105"/>
      <c r="D339" s="105"/>
      <c r="E339" s="105"/>
      <c r="F339" s="105"/>
      <c r="G339" s="105"/>
      <c r="H339" s="105"/>
      <c r="I339" s="105"/>
      <c r="J339" s="105"/>
      <c r="K339" s="373"/>
      <c r="L339" s="373"/>
      <c r="M339" s="373"/>
      <c r="N339" s="373"/>
      <c r="O339" s="373"/>
      <c r="Q339" s="105"/>
      <c r="R339" s="105"/>
      <c r="S339" s="105"/>
      <c r="T339" s="105"/>
      <c r="U339" s="105"/>
      <c r="V339" s="105"/>
      <c r="W339" s="105"/>
      <c r="X339" s="105"/>
      <c r="Y339" s="105"/>
      <c r="Z339" s="105"/>
      <c r="AA339" s="105"/>
      <c r="AB339" s="105"/>
      <c r="AC339" s="105"/>
      <c r="AD339" s="105"/>
      <c r="AE339" s="105"/>
      <c r="AF339" s="105"/>
      <c r="AG339" s="105"/>
      <c r="AH339" s="105"/>
      <c r="AI339" s="105"/>
      <c r="AJ339" s="105"/>
      <c r="AK339" s="105"/>
      <c r="AL339" s="105"/>
      <c r="AM339" s="105"/>
      <c r="AN339" s="373"/>
      <c r="AO339" s="373"/>
      <c r="AP339" s="373"/>
      <c r="AQ339" s="373"/>
      <c r="AR339" s="373"/>
      <c r="AS339" s="373"/>
      <c r="AT339" s="373"/>
      <c r="AU339" s="373"/>
      <c r="AV339" s="373"/>
      <c r="AW339" s="373"/>
      <c r="AY339" s="373"/>
      <c r="AZ339" s="374"/>
      <c r="BA339" s="374"/>
      <c r="BC339" s="27"/>
      <c r="BD339" s="27"/>
      <c r="BF339" s="27"/>
      <c r="BG339" s="27"/>
    </row>
    <row r="340" spans="2:59" hidden="1" outlineLevel="1">
      <c r="B340" s="10" t="s">
        <v>369</v>
      </c>
      <c r="C340" s="103">
        <v>0.40300000000000002</v>
      </c>
      <c r="D340" s="103">
        <v>0.436</v>
      </c>
      <c r="E340" s="103">
        <v>0.47060000000000002</v>
      </c>
      <c r="F340" s="103">
        <v>0.48799999999999999</v>
      </c>
      <c r="G340" s="103">
        <v>0.4854</v>
      </c>
      <c r="H340" s="103">
        <v>0.53900000000000003</v>
      </c>
      <c r="I340" s="103">
        <v>0.53900000000000003</v>
      </c>
      <c r="J340" s="103">
        <v>0.54200000000000004</v>
      </c>
      <c r="K340" s="380"/>
      <c r="L340" s="380"/>
      <c r="M340" s="380"/>
      <c r="N340" s="380"/>
      <c r="O340" s="380"/>
      <c r="Q340" s="103">
        <v>0.45700000000000002</v>
      </c>
      <c r="R340" s="103">
        <v>0.47289999999999999</v>
      </c>
      <c r="S340" s="103">
        <v>0.46679999999999999</v>
      </c>
      <c r="T340" s="103">
        <v>0.47060000000000002</v>
      </c>
      <c r="U340" s="103">
        <v>0.47299999999999998</v>
      </c>
      <c r="V340" s="103">
        <v>0.48399999999999999</v>
      </c>
      <c r="W340" s="103">
        <v>0.48199999999999998</v>
      </c>
      <c r="X340" s="103">
        <v>0.48799999999999999</v>
      </c>
      <c r="Y340" s="103">
        <v>0.45200000000000001</v>
      </c>
      <c r="Z340" s="103">
        <v>0.46129999999999999</v>
      </c>
      <c r="AA340" s="103">
        <v>0.4849</v>
      </c>
      <c r="AB340" s="103">
        <v>0.4854</v>
      </c>
      <c r="AC340" s="103">
        <v>0.5</v>
      </c>
      <c r="AD340" s="103">
        <v>0.47599999999999998</v>
      </c>
      <c r="AE340" s="103">
        <v>0.54410000000000003</v>
      </c>
      <c r="AF340" s="103">
        <v>0.53900000000000003</v>
      </c>
      <c r="AG340" s="103">
        <v>0.54269999999999996</v>
      </c>
      <c r="AH340" s="103">
        <v>0.56230000000000002</v>
      </c>
      <c r="AI340" s="103">
        <v>0.54500000000000004</v>
      </c>
      <c r="AJ340" s="103">
        <v>0.54200000000000004</v>
      </c>
      <c r="AK340" s="103">
        <v>0.56200000000000006</v>
      </c>
      <c r="AL340" s="103">
        <v>0.56620000000000004</v>
      </c>
      <c r="AM340" s="103">
        <v>0.55649999999999999</v>
      </c>
      <c r="AN340" s="380"/>
      <c r="AO340" s="380"/>
      <c r="AP340" s="380"/>
      <c r="AQ340" s="380"/>
      <c r="AR340" s="380"/>
      <c r="AS340" s="380"/>
      <c r="AT340" s="380"/>
      <c r="AU340" s="380"/>
      <c r="AV340" s="380"/>
      <c r="AW340" s="380"/>
      <c r="AY340" s="380"/>
      <c r="AZ340" s="374"/>
      <c r="BA340" s="374"/>
      <c r="BC340" s="27"/>
      <c r="BD340" s="27"/>
      <c r="BF340" s="27"/>
      <c r="BG340" s="27"/>
    </row>
    <row r="341" spans="2:59" hidden="1" outlineLevel="1">
      <c r="C341" s="105"/>
      <c r="D341" s="105"/>
      <c r="E341" s="105"/>
      <c r="F341" s="105"/>
      <c r="G341" s="105"/>
      <c r="H341" s="105"/>
      <c r="I341" s="105"/>
      <c r="J341" s="105"/>
      <c r="K341" s="373"/>
      <c r="L341" s="373"/>
      <c r="M341" s="373"/>
      <c r="N341" s="373"/>
      <c r="O341" s="373"/>
      <c r="Q341" s="105"/>
      <c r="R341" s="105"/>
      <c r="S341" s="105"/>
      <c r="T341" s="105"/>
      <c r="U341" s="105"/>
      <c r="V341" s="105"/>
      <c r="W341" s="105"/>
      <c r="X341" s="105"/>
      <c r="Y341" s="105"/>
      <c r="Z341" s="105"/>
      <c r="AA341" s="105"/>
      <c r="AB341" s="105"/>
      <c r="AC341" s="105"/>
      <c r="AD341" s="105"/>
      <c r="AE341" s="105"/>
      <c r="AF341" s="105"/>
      <c r="AG341" s="105"/>
      <c r="AH341" s="105"/>
      <c r="AI341" s="105"/>
      <c r="AJ341" s="105"/>
      <c r="AK341" s="105"/>
      <c r="AL341" s="105"/>
      <c r="AM341" s="105"/>
      <c r="AN341" s="373"/>
      <c r="AO341" s="373"/>
      <c r="AP341" s="373"/>
      <c r="AQ341" s="373"/>
      <c r="AR341" s="373"/>
      <c r="AS341" s="373"/>
      <c r="AT341" s="373"/>
      <c r="AU341" s="373"/>
      <c r="AV341" s="373"/>
      <c r="AW341" s="373"/>
      <c r="AY341" s="373"/>
      <c r="AZ341" s="374"/>
      <c r="BA341" s="374"/>
      <c r="BC341" s="27"/>
      <c r="BD341" s="27"/>
      <c r="BF341" s="27"/>
      <c r="BG341" s="27"/>
    </row>
    <row r="342" spans="2:59" s="6" customFormat="1" hidden="1" outlineLevel="1">
      <c r="B342" s="6" t="s">
        <v>415</v>
      </c>
      <c r="C342" s="105"/>
      <c r="D342" s="105"/>
      <c r="E342" s="105"/>
      <c r="F342" s="105"/>
      <c r="G342" s="105"/>
      <c r="H342" s="105"/>
      <c r="I342" s="105"/>
      <c r="J342" s="105"/>
      <c r="K342" s="373"/>
      <c r="L342" s="373"/>
      <c r="M342" s="373"/>
      <c r="N342" s="373"/>
      <c r="O342" s="373"/>
      <c r="P342" s="10"/>
      <c r="Q342" s="105"/>
      <c r="R342" s="105"/>
      <c r="S342" s="105"/>
      <c r="T342" s="105"/>
      <c r="U342" s="105"/>
      <c r="V342" s="105"/>
      <c r="W342" s="105"/>
      <c r="X342" s="105"/>
      <c r="Y342" s="105"/>
      <c r="Z342" s="105"/>
      <c r="AA342" s="105"/>
      <c r="AB342" s="105"/>
      <c r="AC342" s="105"/>
      <c r="AD342" s="105"/>
      <c r="AE342" s="105"/>
      <c r="AF342" s="105"/>
      <c r="AG342" s="105"/>
      <c r="AH342" s="105"/>
      <c r="AI342" s="105"/>
      <c r="AJ342" s="105"/>
      <c r="AK342" s="105"/>
      <c r="AL342" s="105"/>
      <c r="AM342" s="105"/>
      <c r="AN342" s="373"/>
      <c r="AO342" s="373"/>
      <c r="AP342" s="373"/>
      <c r="AQ342" s="373"/>
      <c r="AR342" s="373"/>
      <c r="AS342" s="373"/>
      <c r="AT342" s="373"/>
      <c r="AU342" s="373"/>
      <c r="AV342" s="373"/>
      <c r="AW342" s="373"/>
      <c r="AX342" s="10"/>
      <c r="AY342" s="373"/>
      <c r="AZ342" s="377"/>
      <c r="BA342" s="377"/>
      <c r="BC342" s="27"/>
      <c r="BD342" s="27"/>
      <c r="BF342" s="27"/>
      <c r="BG342" s="27"/>
    </row>
    <row r="343" spans="2:59" hidden="1" outlineLevel="1">
      <c r="B343" s="10" t="s">
        <v>366</v>
      </c>
      <c r="C343" s="105">
        <v>391</v>
      </c>
      <c r="D343" s="105">
        <v>340</v>
      </c>
      <c r="E343" s="105">
        <v>435</v>
      </c>
      <c r="F343" s="105">
        <v>563</v>
      </c>
      <c r="G343" s="105">
        <v>296</v>
      </c>
      <c r="H343" s="105">
        <v>297</v>
      </c>
      <c r="I343" s="105">
        <v>297</v>
      </c>
      <c r="J343" s="105">
        <v>257</v>
      </c>
      <c r="K343" s="373"/>
      <c r="L343" s="373"/>
      <c r="M343" s="373"/>
      <c r="N343" s="373"/>
      <c r="O343" s="373"/>
      <c r="Q343" s="105">
        <v>372</v>
      </c>
      <c r="R343" s="105">
        <v>445</v>
      </c>
      <c r="S343" s="105">
        <v>460.7</v>
      </c>
      <c r="T343" s="105">
        <v>460</v>
      </c>
      <c r="U343" s="105">
        <v>502</v>
      </c>
      <c r="V343" s="105">
        <v>559</v>
      </c>
      <c r="W343" s="105">
        <v>604</v>
      </c>
      <c r="X343" s="105">
        <v>586</v>
      </c>
      <c r="Y343" s="105">
        <v>390</v>
      </c>
      <c r="Z343" s="105">
        <v>253</v>
      </c>
      <c r="AA343" s="105">
        <v>266</v>
      </c>
      <c r="AB343" s="105">
        <v>275</v>
      </c>
      <c r="AC343" s="105">
        <v>307</v>
      </c>
      <c r="AD343" s="105">
        <v>294</v>
      </c>
      <c r="AE343" s="105">
        <v>306</v>
      </c>
      <c r="AF343" s="105">
        <v>282</v>
      </c>
      <c r="AG343" s="105">
        <v>254</v>
      </c>
      <c r="AH343" s="105">
        <v>258</v>
      </c>
      <c r="AI343" s="105">
        <v>270</v>
      </c>
      <c r="AJ343" s="105">
        <v>244</v>
      </c>
      <c r="AK343" s="105">
        <v>259</v>
      </c>
      <c r="AL343" s="105">
        <v>264</v>
      </c>
      <c r="AM343" s="105">
        <v>296</v>
      </c>
      <c r="AN343" s="373"/>
      <c r="AO343" s="373"/>
      <c r="AP343" s="373"/>
      <c r="AQ343" s="373"/>
      <c r="AR343" s="373"/>
      <c r="AS343" s="373"/>
      <c r="AT343" s="373"/>
      <c r="AU343" s="373"/>
      <c r="AV343" s="373"/>
      <c r="AW343" s="373"/>
      <c r="AY343" s="373"/>
      <c r="AZ343" s="374"/>
      <c r="BA343" s="374"/>
      <c r="BC343" s="27"/>
      <c r="BD343" s="27"/>
      <c r="BF343" s="27"/>
      <c r="BG343" s="27"/>
    </row>
    <row r="344" spans="2:59" hidden="1" outlineLevel="1">
      <c r="B344" s="10" t="s">
        <v>367</v>
      </c>
      <c r="C344" s="105">
        <v>344</v>
      </c>
      <c r="D344" s="105">
        <v>297</v>
      </c>
      <c r="E344" s="105">
        <v>284</v>
      </c>
      <c r="F344" s="105">
        <v>265</v>
      </c>
      <c r="G344" s="105">
        <v>212</v>
      </c>
      <c r="H344" s="105">
        <v>206</v>
      </c>
      <c r="I344" s="105">
        <v>206</v>
      </c>
      <c r="J344" s="105">
        <v>187</v>
      </c>
      <c r="K344" s="373"/>
      <c r="L344" s="373"/>
      <c r="M344" s="373"/>
      <c r="N344" s="373"/>
      <c r="O344" s="373"/>
      <c r="Q344" s="105">
        <v>281</v>
      </c>
      <c r="R344" s="105">
        <v>303</v>
      </c>
      <c r="S344" s="105">
        <v>277.89</v>
      </c>
      <c r="T344" s="105">
        <v>272</v>
      </c>
      <c r="U344" s="105">
        <v>269</v>
      </c>
      <c r="V344" s="105">
        <v>282</v>
      </c>
      <c r="W344" s="105">
        <v>264</v>
      </c>
      <c r="X344" s="105">
        <v>245</v>
      </c>
      <c r="Y344" s="105">
        <v>230</v>
      </c>
      <c r="Z344" s="105">
        <v>189</v>
      </c>
      <c r="AA344" s="105">
        <v>211</v>
      </c>
      <c r="AB344" s="105">
        <v>219</v>
      </c>
      <c r="AC344" s="105">
        <v>216</v>
      </c>
      <c r="AD344" s="105">
        <v>209</v>
      </c>
      <c r="AE344" s="105">
        <v>200</v>
      </c>
      <c r="AF344" s="105">
        <v>197</v>
      </c>
      <c r="AG344" s="105">
        <v>185</v>
      </c>
      <c r="AH344" s="105">
        <v>197</v>
      </c>
      <c r="AI344" s="105">
        <v>187</v>
      </c>
      <c r="AJ344" s="105">
        <v>178</v>
      </c>
      <c r="AK344" s="105">
        <v>173</v>
      </c>
      <c r="AL344" s="105">
        <v>186</v>
      </c>
      <c r="AM344" s="105">
        <v>177</v>
      </c>
      <c r="AN344" s="373"/>
      <c r="AO344" s="373"/>
      <c r="AP344" s="373"/>
      <c r="AQ344" s="373"/>
      <c r="AR344" s="373"/>
      <c r="AS344" s="373"/>
      <c r="AT344" s="373"/>
      <c r="AU344" s="373"/>
      <c r="AV344" s="373"/>
      <c r="AW344" s="373"/>
      <c r="AY344" s="373"/>
      <c r="AZ344" s="374"/>
      <c r="BA344" s="374"/>
      <c r="BC344" s="27"/>
      <c r="BD344" s="27"/>
      <c r="BF344" s="27"/>
      <c r="BG344" s="27"/>
    </row>
    <row r="345" spans="2:59" hidden="1" outlineLevel="1">
      <c r="B345" s="10" t="s">
        <v>371</v>
      </c>
      <c r="C345" s="105">
        <v>346</v>
      </c>
      <c r="D345" s="105">
        <v>298</v>
      </c>
      <c r="E345" s="105">
        <v>286</v>
      </c>
      <c r="F345" s="105">
        <v>269</v>
      </c>
      <c r="G345" s="105">
        <v>214</v>
      </c>
      <c r="H345" s="105">
        <v>208</v>
      </c>
      <c r="I345" s="105">
        <v>208</v>
      </c>
      <c r="J345" s="105">
        <v>189</v>
      </c>
      <c r="K345" s="373"/>
      <c r="L345" s="373"/>
      <c r="M345" s="373"/>
      <c r="N345" s="373"/>
      <c r="O345" s="373"/>
      <c r="Q345" s="105">
        <v>283</v>
      </c>
      <c r="R345" s="105">
        <v>306</v>
      </c>
      <c r="S345" s="105">
        <v>281.10000000000002</v>
      </c>
      <c r="T345" s="105">
        <v>276</v>
      </c>
      <c r="U345" s="105">
        <v>272</v>
      </c>
      <c r="V345" s="105">
        <v>286</v>
      </c>
      <c r="W345" s="105">
        <v>269</v>
      </c>
      <c r="X345" s="105">
        <v>250</v>
      </c>
      <c r="Y345" s="105">
        <v>233</v>
      </c>
      <c r="Z345" s="105">
        <v>190</v>
      </c>
      <c r="AA345" s="105">
        <v>213</v>
      </c>
      <c r="AB345" s="105">
        <v>221</v>
      </c>
      <c r="AC345" s="105">
        <v>218</v>
      </c>
      <c r="AD345" s="105">
        <v>211</v>
      </c>
      <c r="AE345" s="105">
        <v>203</v>
      </c>
      <c r="AF345" s="105">
        <v>200</v>
      </c>
      <c r="AG345" s="105">
        <v>187</v>
      </c>
      <c r="AH345" s="105">
        <v>199</v>
      </c>
      <c r="AI345" s="105">
        <v>189</v>
      </c>
      <c r="AJ345" s="105">
        <v>180</v>
      </c>
      <c r="AK345" s="105">
        <v>176</v>
      </c>
      <c r="AL345" s="105">
        <v>188</v>
      </c>
      <c r="AM345" s="105">
        <v>181</v>
      </c>
      <c r="AN345" s="373"/>
      <c r="AO345" s="373"/>
      <c r="AP345" s="373"/>
      <c r="AQ345" s="373"/>
      <c r="AR345" s="373"/>
      <c r="AS345" s="373"/>
      <c r="AT345" s="373"/>
      <c r="AU345" s="373"/>
      <c r="AV345" s="373"/>
      <c r="AW345" s="373"/>
      <c r="AY345" s="373"/>
      <c r="AZ345" s="374"/>
      <c r="BA345" s="374"/>
      <c r="BC345" s="27"/>
      <c r="BD345" s="27"/>
      <c r="BF345" s="27"/>
      <c r="BG345" s="27"/>
    </row>
    <row r="346" spans="2:59" hidden="1" outlineLevel="1">
      <c r="C346" s="104"/>
      <c r="D346" s="104"/>
      <c r="E346" s="104"/>
      <c r="F346" s="104"/>
      <c r="G346" s="104"/>
      <c r="H346" s="104"/>
      <c r="I346" s="104"/>
      <c r="J346" s="104"/>
      <c r="K346" s="369"/>
      <c r="L346" s="369"/>
      <c r="M346" s="369"/>
      <c r="N346" s="369"/>
      <c r="O346" s="369"/>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c r="AN346" s="369"/>
      <c r="AO346" s="369"/>
      <c r="AP346" s="369"/>
      <c r="AQ346" s="369"/>
      <c r="AR346" s="369"/>
      <c r="AS346" s="369"/>
      <c r="AT346" s="369"/>
      <c r="AU346" s="369"/>
      <c r="AV346" s="369"/>
      <c r="AW346" s="369"/>
      <c r="AY346" s="369"/>
      <c r="AZ346" s="374"/>
      <c r="BA346" s="374"/>
      <c r="BC346" s="27"/>
      <c r="BD346" s="27"/>
      <c r="BF346" s="27"/>
      <c r="BG346" s="27"/>
    </row>
    <row r="347" spans="2:59" s="6" customFormat="1" hidden="1" outlineLevel="1">
      <c r="B347" s="6" t="s">
        <v>411</v>
      </c>
      <c r="C347" s="27"/>
      <c r="D347" s="27"/>
      <c r="E347" s="27"/>
      <c r="F347" s="27"/>
      <c r="G347" s="27"/>
      <c r="H347" s="27"/>
      <c r="I347" s="27"/>
      <c r="J347" s="27"/>
      <c r="K347" s="381"/>
      <c r="L347" s="381"/>
      <c r="M347" s="381"/>
      <c r="N347" s="381"/>
      <c r="O347" s="381"/>
      <c r="P347" s="10"/>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381"/>
      <c r="AO347" s="381"/>
      <c r="AP347" s="381"/>
      <c r="AQ347" s="381"/>
      <c r="AR347" s="381"/>
      <c r="AS347" s="381"/>
      <c r="AT347" s="381"/>
      <c r="AU347" s="381"/>
      <c r="AV347" s="381"/>
      <c r="AW347" s="381"/>
      <c r="AX347" s="10"/>
      <c r="AY347" s="381"/>
      <c r="AZ347" s="377"/>
      <c r="BA347" s="377"/>
      <c r="BC347" s="27"/>
      <c r="BD347" s="27"/>
      <c r="BF347" s="27"/>
      <c r="BG347" s="27"/>
    </row>
    <row r="348" spans="2:59" hidden="1" outlineLevel="1">
      <c r="B348" s="10" t="s">
        <v>373</v>
      </c>
      <c r="C348" s="105">
        <v>12</v>
      </c>
      <c r="D348" s="105">
        <v>27.700000000000003</v>
      </c>
      <c r="E348" s="105">
        <v>63.37</v>
      </c>
      <c r="F348" s="105">
        <v>90.4</v>
      </c>
      <c r="G348" s="175">
        <v>182.13</v>
      </c>
      <c r="H348" s="175">
        <v>336.6</v>
      </c>
      <c r="I348" s="175">
        <v>336.6</v>
      </c>
      <c r="J348" s="175">
        <v>388.04</v>
      </c>
      <c r="K348" s="382"/>
      <c r="L348" s="382"/>
      <c r="M348" s="382"/>
      <c r="N348" s="382"/>
      <c r="O348" s="382"/>
      <c r="Q348" s="105">
        <v>10.3</v>
      </c>
      <c r="R348" s="105">
        <v>15.9</v>
      </c>
      <c r="S348" s="105">
        <v>18.579999999999998</v>
      </c>
      <c r="T348" s="105">
        <v>18.59</v>
      </c>
      <c r="U348" s="105">
        <v>18.7</v>
      </c>
      <c r="V348" s="105">
        <v>21</v>
      </c>
      <c r="W348" s="105">
        <v>23.4</v>
      </c>
      <c r="X348" s="105">
        <v>27.3</v>
      </c>
      <c r="Y348" s="105">
        <v>29.7</v>
      </c>
      <c r="Z348" s="175">
        <v>42.72</v>
      </c>
      <c r="AA348" s="175">
        <v>51.24</v>
      </c>
      <c r="AB348" s="175">
        <v>58.47</v>
      </c>
      <c r="AC348" s="105">
        <v>63.7</v>
      </c>
      <c r="AD348" s="175">
        <v>86.5</v>
      </c>
      <c r="AE348" s="175">
        <v>96.65</v>
      </c>
      <c r="AF348" s="175">
        <v>89.8</v>
      </c>
      <c r="AG348" s="105">
        <v>84.73</v>
      </c>
      <c r="AH348" s="175">
        <v>89.06</v>
      </c>
      <c r="AI348" s="175">
        <v>102.47</v>
      </c>
      <c r="AJ348" s="175">
        <v>111.78</v>
      </c>
      <c r="AK348" s="122">
        <v>114.58</v>
      </c>
      <c r="AL348" s="175">
        <v>126.37</v>
      </c>
      <c r="AM348" s="175">
        <v>133.49</v>
      </c>
      <c r="AN348" s="382"/>
      <c r="AO348" s="382"/>
      <c r="AP348" s="382"/>
      <c r="AQ348" s="382"/>
      <c r="AR348" s="382"/>
      <c r="AS348" s="382"/>
      <c r="AT348" s="382"/>
      <c r="AU348" s="382"/>
      <c r="AV348" s="382"/>
      <c r="AW348" s="382"/>
      <c r="AY348" s="382"/>
      <c r="AZ348" s="374"/>
      <c r="BA348" s="374"/>
      <c r="BC348" s="27"/>
      <c r="BD348" s="27"/>
      <c r="BF348" s="27"/>
      <c r="BG348" s="27"/>
    </row>
    <row r="349" spans="2:59" hidden="1" outlineLevel="1">
      <c r="B349" s="10" t="s">
        <v>416</v>
      </c>
      <c r="C349" s="105">
        <v>177</v>
      </c>
      <c r="D349" s="105">
        <v>340</v>
      </c>
      <c r="E349" s="105">
        <v>702</v>
      </c>
      <c r="F349" s="105">
        <v>963</v>
      </c>
      <c r="G349" s="122">
        <v>2043.05</v>
      </c>
      <c r="H349" s="122">
        <v>3411</v>
      </c>
      <c r="I349" s="122">
        <v>3411</v>
      </c>
      <c r="J349" s="122">
        <v>3554</v>
      </c>
      <c r="K349" s="379"/>
      <c r="L349" s="379"/>
      <c r="M349" s="379"/>
      <c r="N349" s="379"/>
      <c r="O349" s="379"/>
      <c r="Q349" s="105">
        <v>475.3</v>
      </c>
      <c r="R349" s="105">
        <v>698.1</v>
      </c>
      <c r="S349" s="105">
        <v>817.7</v>
      </c>
      <c r="T349" s="105">
        <v>817.3</v>
      </c>
      <c r="U349" s="105">
        <v>828</v>
      </c>
      <c r="V349" s="105">
        <v>891</v>
      </c>
      <c r="W349" s="105">
        <v>992</v>
      </c>
      <c r="X349" s="105">
        <v>1142</v>
      </c>
      <c r="Y349" s="105">
        <v>1312</v>
      </c>
      <c r="Z349" s="105">
        <v>1931</v>
      </c>
      <c r="AA349" s="105">
        <v>2312</v>
      </c>
      <c r="AB349" s="122">
        <v>2617.1799999999998</v>
      </c>
      <c r="AC349" s="105">
        <v>2798</v>
      </c>
      <c r="AD349" s="105">
        <v>3684</v>
      </c>
      <c r="AE349" s="105">
        <v>3806</v>
      </c>
      <c r="AF349" s="105">
        <v>3357</v>
      </c>
      <c r="AG349" s="122">
        <v>3184.87</v>
      </c>
      <c r="AH349" s="175">
        <v>3250.78</v>
      </c>
      <c r="AI349" s="175">
        <v>3701</v>
      </c>
      <c r="AJ349" s="105">
        <v>4079</v>
      </c>
      <c r="AK349" s="122">
        <v>4150.26</v>
      </c>
      <c r="AL349" s="175">
        <v>4528.82</v>
      </c>
      <c r="AM349" s="105">
        <v>4845.26</v>
      </c>
      <c r="AN349" s="373"/>
      <c r="AO349" s="373"/>
      <c r="AP349" s="373"/>
      <c r="AQ349" s="373"/>
      <c r="AR349" s="373"/>
      <c r="AS349" s="373"/>
      <c r="AT349" s="373"/>
      <c r="AU349" s="373"/>
      <c r="AV349" s="379"/>
      <c r="AW349" s="373"/>
      <c r="AY349" s="373"/>
      <c r="AZ349" s="374"/>
      <c r="BA349" s="374"/>
      <c r="BC349" s="27"/>
      <c r="BD349" s="27"/>
      <c r="BF349" s="27"/>
      <c r="BG349" s="27"/>
    </row>
    <row r="350" spans="2:59" hidden="1" outlineLevel="1">
      <c r="C350" s="104"/>
      <c r="D350" s="104"/>
      <c r="E350" s="104"/>
      <c r="F350" s="104"/>
      <c r="G350" s="104"/>
      <c r="H350" s="104"/>
      <c r="I350" s="104"/>
      <c r="J350" s="104"/>
      <c r="K350" s="369"/>
      <c r="L350" s="369"/>
      <c r="M350" s="369"/>
      <c r="N350" s="369"/>
      <c r="O350" s="369"/>
      <c r="Q350" s="104"/>
      <c r="R350" s="104"/>
      <c r="S350" s="104"/>
      <c r="T350" s="104"/>
      <c r="U350" s="104"/>
      <c r="V350" s="104"/>
      <c r="W350" s="104"/>
      <c r="X350" s="104"/>
      <c r="Y350" s="104"/>
      <c r="Z350" s="104"/>
      <c r="AA350" s="104"/>
      <c r="AB350" s="104"/>
      <c r="AC350" s="104"/>
      <c r="AD350" s="104"/>
      <c r="AE350" s="104"/>
      <c r="AF350" s="104"/>
      <c r="AG350" s="104"/>
      <c r="AH350" s="104"/>
      <c r="AI350" s="104"/>
      <c r="AJ350" s="104"/>
      <c r="AK350" s="104"/>
      <c r="AL350" s="104"/>
      <c r="AM350" s="104"/>
      <c r="AN350" s="369"/>
      <c r="AO350" s="369"/>
      <c r="AP350" s="369"/>
      <c r="AQ350" s="369"/>
      <c r="AR350" s="369"/>
      <c r="AS350" s="369"/>
      <c r="AT350" s="369"/>
      <c r="AU350" s="369"/>
      <c r="AV350" s="369"/>
      <c r="AW350" s="369"/>
      <c r="AY350" s="369"/>
      <c r="AZ350" s="374"/>
      <c r="BA350" s="374"/>
      <c r="BC350" s="27"/>
      <c r="BD350" s="27"/>
      <c r="BF350" s="27"/>
      <c r="BG350" s="27"/>
    </row>
    <row r="351" spans="2:59" hidden="1" outlineLevel="1">
      <c r="B351" s="10" t="s">
        <v>375</v>
      </c>
      <c r="C351" s="99">
        <v>0.42</v>
      </c>
      <c r="D351" s="99">
        <v>0.52</v>
      </c>
      <c r="E351" s="99">
        <v>0.59</v>
      </c>
      <c r="F351" s="99">
        <v>0.62</v>
      </c>
      <c r="G351" s="99">
        <v>0.65</v>
      </c>
      <c r="H351" s="99">
        <v>0.66</v>
      </c>
      <c r="I351" s="99">
        <v>0.66</v>
      </c>
      <c r="J351" s="99">
        <v>0.70669999999999999</v>
      </c>
      <c r="K351" s="372"/>
      <c r="L351" s="372"/>
      <c r="M351" s="372"/>
      <c r="N351" s="372"/>
      <c r="O351" s="372"/>
      <c r="Q351" s="99">
        <v>0.56000000000000005</v>
      </c>
      <c r="R351" s="99">
        <v>0.57999999999999996</v>
      </c>
      <c r="S351" s="99">
        <v>0.57999999999999996</v>
      </c>
      <c r="T351" s="99">
        <v>0.59</v>
      </c>
      <c r="U351" s="99">
        <v>0.6</v>
      </c>
      <c r="V351" s="99">
        <v>0.61</v>
      </c>
      <c r="W351" s="99">
        <v>0.62</v>
      </c>
      <c r="X351" s="99">
        <v>0.62</v>
      </c>
      <c r="Y351" s="99">
        <v>0.63</v>
      </c>
      <c r="Z351" s="99">
        <v>0.64</v>
      </c>
      <c r="AA351" s="99">
        <v>0.64</v>
      </c>
      <c r="AB351" s="99">
        <v>0.65</v>
      </c>
      <c r="AC351" s="99">
        <v>0.65</v>
      </c>
      <c r="AD351" s="99">
        <v>0.65</v>
      </c>
      <c r="AE351" s="99">
        <v>0.65</v>
      </c>
      <c r="AF351" s="99">
        <v>0.66</v>
      </c>
      <c r="AG351" s="99">
        <v>0.68</v>
      </c>
      <c r="AH351" s="99">
        <v>0.68489999999999995</v>
      </c>
      <c r="AI351" s="99">
        <v>0.69199999999999995</v>
      </c>
      <c r="AJ351" s="99">
        <v>0.70669999999999999</v>
      </c>
      <c r="AK351" s="99">
        <v>0.72399999999999998</v>
      </c>
      <c r="AL351" s="99">
        <v>0.73180000000000001</v>
      </c>
      <c r="AM351" s="99">
        <v>0.73699999999999999</v>
      </c>
      <c r="AN351" s="372"/>
      <c r="AO351" s="372"/>
      <c r="AP351" s="372"/>
      <c r="AQ351" s="372"/>
      <c r="AR351" s="372"/>
      <c r="AS351" s="372"/>
      <c r="AT351" s="372"/>
      <c r="AU351" s="372"/>
      <c r="AV351" s="372"/>
      <c r="AW351" s="372"/>
      <c r="AY351" s="372"/>
      <c r="AZ351" s="374"/>
      <c r="BA351" s="374"/>
      <c r="BC351" s="27"/>
      <c r="BD351" s="27"/>
      <c r="BF351" s="27"/>
      <c r="BG351" s="27"/>
    </row>
    <row r="352" spans="2:59" hidden="1" outlineLevel="1">
      <c r="B352" s="10" t="s">
        <v>413</v>
      </c>
      <c r="C352" s="105">
        <v>1915</v>
      </c>
      <c r="D352" s="105">
        <v>2431</v>
      </c>
      <c r="E352" s="105">
        <v>2941</v>
      </c>
      <c r="F352" s="105">
        <v>3179</v>
      </c>
      <c r="G352" s="105">
        <v>3283</v>
      </c>
      <c r="H352" s="105">
        <v>3406</v>
      </c>
      <c r="I352" s="105">
        <v>3406</v>
      </c>
      <c r="J352" s="105">
        <v>3233</v>
      </c>
      <c r="K352" s="373"/>
      <c r="L352" s="373"/>
      <c r="M352" s="373"/>
      <c r="N352" s="373"/>
      <c r="O352" s="373"/>
      <c r="Q352" s="105">
        <v>2790</v>
      </c>
      <c r="R352" s="105">
        <v>2829</v>
      </c>
      <c r="S352" s="105">
        <v>2830</v>
      </c>
      <c r="T352" s="105">
        <v>2941</v>
      </c>
      <c r="U352" s="105">
        <v>2985</v>
      </c>
      <c r="V352" s="105">
        <v>2994</v>
      </c>
      <c r="W352" s="105">
        <v>3002</v>
      </c>
      <c r="X352" s="105">
        <v>3179</v>
      </c>
      <c r="Y352" s="105">
        <v>3208</v>
      </c>
      <c r="Z352" s="105">
        <v>3219</v>
      </c>
      <c r="AA352" s="105">
        <v>3221</v>
      </c>
      <c r="AB352" s="105">
        <v>3283</v>
      </c>
      <c r="AC352" s="105">
        <v>3306</v>
      </c>
      <c r="AD352" s="105">
        <v>3331</v>
      </c>
      <c r="AE352" s="105">
        <v>3359</v>
      </c>
      <c r="AF352" s="105">
        <v>3406</v>
      </c>
      <c r="AG352" s="105">
        <v>3281</v>
      </c>
      <c r="AH352" s="105">
        <v>3206</v>
      </c>
      <c r="AI352" s="105">
        <v>3223</v>
      </c>
      <c r="AJ352" s="105">
        <v>3233</v>
      </c>
      <c r="AK352" s="105">
        <v>3237</v>
      </c>
      <c r="AL352" s="105">
        <v>3239</v>
      </c>
      <c r="AM352" s="105">
        <v>3240</v>
      </c>
      <c r="AN352" s="373"/>
      <c r="AO352" s="373"/>
      <c r="AP352" s="373"/>
      <c r="AQ352" s="373"/>
      <c r="AR352" s="373"/>
      <c r="AS352" s="373"/>
      <c r="AT352" s="373"/>
      <c r="AU352" s="373"/>
      <c r="AV352" s="373"/>
      <c r="AW352" s="373"/>
      <c r="AY352" s="373"/>
      <c r="AZ352" s="374"/>
      <c r="BA352" s="374"/>
      <c r="BC352" s="27"/>
      <c r="BD352" s="27"/>
      <c r="BF352" s="27"/>
      <c r="BG352" s="27"/>
    </row>
    <row r="353" spans="2:59" hidden="1" outlineLevel="1">
      <c r="B353" s="10" t="s">
        <v>405</v>
      </c>
      <c r="C353" s="401"/>
      <c r="D353" s="105">
        <v>892</v>
      </c>
      <c r="E353" s="105">
        <v>941</v>
      </c>
      <c r="F353" s="105">
        <v>2963</v>
      </c>
      <c r="G353" s="105">
        <v>3406</v>
      </c>
      <c r="H353" s="105">
        <v>3676</v>
      </c>
      <c r="I353" s="105">
        <v>3676</v>
      </c>
      <c r="J353" s="105">
        <v>3983</v>
      </c>
      <c r="K353" s="373"/>
      <c r="L353" s="373"/>
      <c r="M353" s="373"/>
      <c r="N353" s="373"/>
      <c r="O353" s="373"/>
      <c r="Q353" s="105">
        <v>924</v>
      </c>
      <c r="R353" s="105">
        <v>934</v>
      </c>
      <c r="S353" s="105">
        <v>941</v>
      </c>
      <c r="T353" s="105">
        <v>941</v>
      </c>
      <c r="U353" s="105">
        <v>944</v>
      </c>
      <c r="V353" s="105">
        <v>1759</v>
      </c>
      <c r="W353" s="105">
        <v>2288</v>
      </c>
      <c r="X353" s="105">
        <v>2963</v>
      </c>
      <c r="Y353" s="105">
        <v>3290</v>
      </c>
      <c r="Z353" s="105">
        <v>3314</v>
      </c>
      <c r="AA353" s="105">
        <v>3326</v>
      </c>
      <c r="AB353" s="105">
        <v>3406</v>
      </c>
      <c r="AC353" s="105">
        <v>3461</v>
      </c>
      <c r="AD353" s="105">
        <v>3494</v>
      </c>
      <c r="AE353" s="105">
        <v>3533</v>
      </c>
      <c r="AF353" s="105">
        <v>3676</v>
      </c>
      <c r="AG353" s="105">
        <v>3712</v>
      </c>
      <c r="AH353" s="105">
        <v>3817</v>
      </c>
      <c r="AI353" s="105">
        <v>3881</v>
      </c>
      <c r="AJ353" s="105">
        <v>3983</v>
      </c>
      <c r="AK353" s="105">
        <v>4043</v>
      </c>
      <c r="AL353" s="105">
        <v>4148</v>
      </c>
      <c r="AM353" s="105">
        <v>4292</v>
      </c>
      <c r="AN353" s="373"/>
      <c r="AO353" s="373"/>
      <c r="AP353" s="373"/>
      <c r="AQ353" s="373"/>
      <c r="AR353" s="373"/>
      <c r="AS353" s="373"/>
      <c r="AT353" s="373"/>
      <c r="AU353" s="373"/>
      <c r="AV353" s="373"/>
      <c r="AW353" s="373"/>
      <c r="AY353" s="373"/>
      <c r="AZ353" s="374"/>
      <c r="BA353" s="374"/>
      <c r="BC353" s="27"/>
      <c r="BD353" s="27"/>
      <c r="BF353" s="27"/>
      <c r="BG353" s="27"/>
    </row>
    <row r="354" spans="2:59" collapsed="1">
      <c r="BC354" s="27"/>
      <c r="BD354" s="27"/>
      <c r="BF354" s="27"/>
      <c r="BG354" s="27"/>
    </row>
    <row r="355" spans="2:59" s="6" customFormat="1">
      <c r="B355" s="376" t="s">
        <v>417</v>
      </c>
      <c r="C355" s="376"/>
      <c r="D355" s="376"/>
      <c r="E355" s="376"/>
      <c r="F355" s="376"/>
      <c r="G355" s="376"/>
      <c r="H355" s="376"/>
      <c r="I355" s="376"/>
      <c r="J355" s="376"/>
      <c r="K355" s="376"/>
      <c r="L355" s="376"/>
      <c r="M355" s="376"/>
      <c r="N355" s="376"/>
      <c r="O355" s="376"/>
      <c r="P355" s="10"/>
      <c r="Q355" s="376"/>
      <c r="R355" s="376"/>
      <c r="S355" s="376"/>
      <c r="T355" s="376"/>
      <c r="U355" s="376"/>
      <c r="V355" s="376"/>
      <c r="W355" s="376"/>
      <c r="X355" s="376"/>
      <c r="Y355" s="376"/>
      <c r="Z355" s="376"/>
      <c r="AA355" s="376"/>
      <c r="AB355" s="376"/>
      <c r="AC355" s="376"/>
      <c r="AD355" s="376"/>
      <c r="AE355" s="376"/>
      <c r="AF355" s="376"/>
      <c r="AG355" s="376"/>
      <c r="AH355" s="376"/>
      <c r="AI355" s="376"/>
      <c r="AJ355" s="376"/>
      <c r="AK355" s="376"/>
      <c r="AL355" s="376"/>
      <c r="AM355" s="376"/>
      <c r="AN355" s="376"/>
      <c r="AO355" s="376"/>
      <c r="AP355" s="376"/>
      <c r="AQ355" s="376"/>
      <c r="AR355" s="376"/>
      <c r="AS355" s="365"/>
      <c r="AT355" s="365"/>
      <c r="AU355" s="365"/>
      <c r="AV355" s="376"/>
      <c r="AW355" s="365"/>
      <c r="AX355" s="10"/>
      <c r="AY355" s="361"/>
      <c r="AZ355" s="364"/>
      <c r="BA355" s="364"/>
      <c r="BC355" s="27"/>
      <c r="BD355" s="27"/>
      <c r="BF355" s="27"/>
      <c r="BG355" s="27"/>
    </row>
    <row r="356" spans="2:59" s="6" customFormat="1">
      <c r="B356" s="6" t="s">
        <v>418</v>
      </c>
      <c r="C356" s="110">
        <f>+SUM(C357:C363)</f>
        <v>21772</v>
      </c>
      <c r="D356" s="110">
        <f t="shared" ref="D356:E356" si="387">+SUM(D357:D363)</f>
        <v>25878</v>
      </c>
      <c r="E356" s="110">
        <f t="shared" si="387"/>
        <v>29572</v>
      </c>
      <c r="F356" s="110">
        <f t="shared" ref="F356:H356" si="388">+SUM(F357:F365)</f>
        <v>32728</v>
      </c>
      <c r="G356" s="110">
        <f t="shared" si="388"/>
        <v>35170</v>
      </c>
      <c r="H356" s="110">
        <f t="shared" si="388"/>
        <v>40943</v>
      </c>
      <c r="I356" s="110">
        <f t="shared" ref="I356" si="389">+SUM(I357:I365)</f>
        <v>40943</v>
      </c>
      <c r="J356" s="110">
        <f t="shared" ref="J356:N356" si="390">+SUM(J357:J365)</f>
        <v>53507</v>
      </c>
      <c r="K356" s="110">
        <f t="shared" si="390"/>
        <v>53507</v>
      </c>
      <c r="L356" s="110">
        <f t="shared" si="390"/>
        <v>53959</v>
      </c>
      <c r="M356" s="110">
        <f t="shared" si="390"/>
        <v>53959</v>
      </c>
      <c r="N356" s="110">
        <f t="shared" si="390"/>
        <v>57072</v>
      </c>
      <c r="O356" s="110">
        <f t="shared" ref="O356" si="391">+SUM(O357:O365)</f>
        <v>58919</v>
      </c>
      <c r="Q356" s="110" t="e">
        <f t="shared" ref="Q356:X356" si="392">+SUM(Q357:Q363)</f>
        <v>#DIV/0!</v>
      </c>
      <c r="R356" s="110">
        <f t="shared" si="392"/>
        <v>27518</v>
      </c>
      <c r="S356" s="110">
        <f t="shared" si="392"/>
        <v>28779</v>
      </c>
      <c r="T356" s="110">
        <f t="shared" si="392"/>
        <v>29572</v>
      </c>
      <c r="U356" s="110">
        <f t="shared" si="392"/>
        <v>30156</v>
      </c>
      <c r="V356" s="110">
        <f t="shared" si="392"/>
        <v>31557</v>
      </c>
      <c r="W356" s="110">
        <f t="shared" si="392"/>
        <v>32213</v>
      </c>
      <c r="X356" s="110">
        <f t="shared" si="392"/>
        <v>32728</v>
      </c>
      <c r="Y356" s="110">
        <f t="shared" ref="Y356:AI356" si="393">+SUM(Y357:Y365)</f>
        <v>33291</v>
      </c>
      <c r="Z356" s="110">
        <f t="shared" si="393"/>
        <v>33728</v>
      </c>
      <c r="AA356" s="110">
        <f t="shared" si="393"/>
        <v>34326</v>
      </c>
      <c r="AB356" s="110">
        <f t="shared" si="393"/>
        <v>35170</v>
      </c>
      <c r="AC356" s="110">
        <f t="shared" si="393"/>
        <v>36029</v>
      </c>
      <c r="AD356" s="110">
        <f t="shared" si="393"/>
        <v>37262</v>
      </c>
      <c r="AE356" s="110">
        <f t="shared" si="393"/>
        <v>38788</v>
      </c>
      <c r="AF356" s="110">
        <f t="shared" si="393"/>
        <v>40943</v>
      </c>
      <c r="AG356" s="110">
        <f t="shared" si="393"/>
        <v>44711</v>
      </c>
      <c r="AH356" s="110">
        <f t="shared" si="393"/>
        <v>49250</v>
      </c>
      <c r="AI356" s="110">
        <f t="shared" si="393"/>
        <v>51444</v>
      </c>
      <c r="AJ356" s="110">
        <f>+SUM(AJ357:AJ365)</f>
        <v>53507</v>
      </c>
      <c r="AK356" s="110">
        <f t="shared" ref="AK356:AM356" si="394">+SUM(AK357:AK365)</f>
        <v>54318</v>
      </c>
      <c r="AL356" s="110">
        <f t="shared" si="394"/>
        <v>55603</v>
      </c>
      <c r="AM356" s="110">
        <f t="shared" si="394"/>
        <v>56736</v>
      </c>
      <c r="AN356" s="110">
        <f>+SUM(AN357:AN365)</f>
        <v>58250</v>
      </c>
      <c r="AO356" s="110">
        <f t="shared" ref="AO356:AQ356" si="395">+SUM(AO357:AO365)</f>
        <v>54588</v>
      </c>
      <c r="AP356" s="110">
        <f t="shared" si="395"/>
        <v>55201</v>
      </c>
      <c r="AQ356" s="110">
        <f t="shared" si="395"/>
        <v>55847</v>
      </c>
      <c r="AR356" s="110">
        <f>+SUM(AR357:AR365)</f>
        <v>57072</v>
      </c>
      <c r="AS356" s="110">
        <f>+SUM(AS357:AS365)</f>
        <v>57166</v>
      </c>
      <c r="AT356" s="110">
        <v>57291</v>
      </c>
      <c r="AU356" s="110">
        <v>57528</v>
      </c>
      <c r="AV356" s="110">
        <f>+SUM(AV357:AV365)</f>
        <v>58919</v>
      </c>
      <c r="AW356" s="110">
        <v>59182</v>
      </c>
      <c r="AY356" s="110">
        <f>+SUM(AY357:AY365)</f>
        <v>53959</v>
      </c>
      <c r="AZ356" s="377"/>
      <c r="BA356" s="110">
        <v>57166</v>
      </c>
      <c r="BC356" s="27"/>
      <c r="BD356" s="27"/>
      <c r="BF356" s="27"/>
      <c r="BG356" s="27"/>
    </row>
    <row r="357" spans="2:59">
      <c r="B357" s="10" t="s">
        <v>419</v>
      </c>
      <c r="C357" s="105">
        <v>5997</v>
      </c>
      <c r="D357" s="105">
        <v>6755</v>
      </c>
      <c r="E357" s="105">
        <v>8407</v>
      </c>
      <c r="F357" s="105">
        <v>8884</v>
      </c>
      <c r="G357" s="105">
        <v>9217</v>
      </c>
      <c r="H357" s="105">
        <v>10349</v>
      </c>
      <c r="I357" s="105">
        <v>10349</v>
      </c>
      <c r="J357" s="105">
        <v>13843</v>
      </c>
      <c r="K357" s="105">
        <v>13843</v>
      </c>
      <c r="L357" s="105">
        <v>14390</v>
      </c>
      <c r="M357" s="105">
        <v>14390</v>
      </c>
      <c r="N357" s="105">
        <v>15383</v>
      </c>
      <c r="O357" s="105">
        <v>14955</v>
      </c>
      <c r="Q357" s="105">
        <v>6952</v>
      </c>
      <c r="R357" s="105">
        <v>7263</v>
      </c>
      <c r="S357" s="105">
        <v>8167</v>
      </c>
      <c r="T357" s="105">
        <v>8407</v>
      </c>
      <c r="U357" s="105">
        <v>8513</v>
      </c>
      <c r="V357" s="105">
        <v>8606</v>
      </c>
      <c r="W357" s="105">
        <v>8812</v>
      </c>
      <c r="X357" s="105">
        <v>8884</v>
      </c>
      <c r="Y357" s="105">
        <v>9001</v>
      </c>
      <c r="Z357" s="105">
        <v>9062</v>
      </c>
      <c r="AA357" s="105">
        <v>9171</v>
      </c>
      <c r="AB357" s="105">
        <v>9217</v>
      </c>
      <c r="AC357" s="105">
        <v>9283</v>
      </c>
      <c r="AD357" s="105">
        <v>9340</v>
      </c>
      <c r="AE357" s="105">
        <v>9408</v>
      </c>
      <c r="AF357" s="105">
        <v>10349</v>
      </c>
      <c r="AG357" s="105">
        <v>12984</v>
      </c>
      <c r="AH357" s="105">
        <v>13029</v>
      </c>
      <c r="AI357" s="105">
        <v>13272</v>
      </c>
      <c r="AJ357" s="105">
        <v>13843</v>
      </c>
      <c r="AK357" s="105">
        <v>13830</v>
      </c>
      <c r="AL357" s="105">
        <v>14061</v>
      </c>
      <c r="AM357" s="105">
        <v>14192</v>
      </c>
      <c r="AN357" s="105">
        <v>14390</v>
      </c>
      <c r="AO357" s="117">
        <v>14469</v>
      </c>
      <c r="AP357" s="105">
        <v>14478</v>
      </c>
      <c r="AQ357" s="117">
        <v>14630</v>
      </c>
      <c r="AR357" s="105">
        <v>15383</v>
      </c>
      <c r="AS357" s="105">
        <v>15308</v>
      </c>
      <c r="AT357" s="105">
        <v>14855</v>
      </c>
      <c r="AU357" s="105">
        <v>14601</v>
      </c>
      <c r="AV357" s="105">
        <v>14955</v>
      </c>
      <c r="AW357" s="105">
        <v>14933</v>
      </c>
      <c r="AY357" s="117">
        <v>14390</v>
      </c>
      <c r="AZ357" s="374"/>
      <c r="BA357" s="105">
        <v>15308</v>
      </c>
      <c r="BC357" s="27"/>
      <c r="BD357" s="27"/>
      <c r="BF357" s="27"/>
      <c r="BG357" s="27"/>
    </row>
    <row r="358" spans="2:59">
      <c r="B358" s="10" t="s">
        <v>420</v>
      </c>
      <c r="C358" s="105">
        <v>10659</v>
      </c>
      <c r="D358" s="105">
        <v>11438</v>
      </c>
      <c r="E358" s="105">
        <v>12428</v>
      </c>
      <c r="F358" s="105">
        <v>13394</v>
      </c>
      <c r="G358" s="105">
        <v>15381</v>
      </c>
      <c r="H358" s="105">
        <v>18846</v>
      </c>
      <c r="I358" s="105">
        <v>18846</v>
      </c>
      <c r="J358" s="105">
        <v>23900</v>
      </c>
      <c r="K358" s="105">
        <v>23900</v>
      </c>
      <c r="L358" s="105">
        <v>26845</v>
      </c>
      <c r="M358" s="105">
        <v>26845</v>
      </c>
      <c r="N358" s="105">
        <v>27873</v>
      </c>
      <c r="O358" s="105">
        <v>28468</v>
      </c>
      <c r="Q358" s="105" t="e">
        <f>AVERAGE(BL358,BI358:BJ358,BE358)</f>
        <v>#DIV/0!</v>
      </c>
      <c r="R358" s="105">
        <v>11953</v>
      </c>
      <c r="S358" s="105">
        <v>12162</v>
      </c>
      <c r="T358" s="105">
        <v>12428</v>
      </c>
      <c r="U358" s="105">
        <v>12754</v>
      </c>
      <c r="V358" s="105">
        <v>13062</v>
      </c>
      <c r="W358" s="105">
        <v>13253</v>
      </c>
      <c r="X358" s="105">
        <v>13394</v>
      </c>
      <c r="Y358" s="105">
        <v>13687</v>
      </c>
      <c r="Z358" s="105">
        <v>14006</v>
      </c>
      <c r="AA358" s="105">
        <v>14588</v>
      </c>
      <c r="AB358" s="105">
        <v>15381</v>
      </c>
      <c r="AC358" s="105">
        <v>16019</v>
      </c>
      <c r="AD358" s="105">
        <v>16922</v>
      </c>
      <c r="AE358" s="105">
        <v>18236</v>
      </c>
      <c r="AF358" s="105">
        <v>18846</v>
      </c>
      <c r="AG358" s="105">
        <v>19808</v>
      </c>
      <c r="AH358" s="105">
        <v>21649</v>
      </c>
      <c r="AI358" s="105">
        <v>22921</v>
      </c>
      <c r="AJ358" s="105">
        <v>23900</v>
      </c>
      <c r="AK358" s="105">
        <v>24380</v>
      </c>
      <c r="AL358" s="105">
        <v>25176</v>
      </c>
      <c r="AM358" s="105">
        <v>25909</v>
      </c>
      <c r="AN358" s="105">
        <v>26845</v>
      </c>
      <c r="AO358" s="117">
        <v>27170</v>
      </c>
      <c r="AP358" s="105">
        <v>27390</v>
      </c>
      <c r="AQ358" s="117">
        <v>27609</v>
      </c>
      <c r="AR358" s="105">
        <v>27873</v>
      </c>
      <c r="AS358" s="105">
        <v>27953</v>
      </c>
      <c r="AT358" s="105">
        <v>28082</v>
      </c>
      <c r="AU358" s="105">
        <v>28241</v>
      </c>
      <c r="AV358" s="105">
        <v>28468</v>
      </c>
      <c r="AW358" s="105">
        <v>28540</v>
      </c>
      <c r="AY358" s="117">
        <v>26845</v>
      </c>
      <c r="AZ358" s="374"/>
      <c r="BA358" s="105">
        <v>27953</v>
      </c>
      <c r="BC358" s="27"/>
      <c r="BD358" s="27"/>
      <c r="BF358" s="27"/>
      <c r="BG358" s="27"/>
    </row>
    <row r="359" spans="2:59">
      <c r="B359" s="10" t="s">
        <v>421</v>
      </c>
      <c r="C359" s="105">
        <v>0</v>
      </c>
      <c r="D359" s="105">
        <v>0</v>
      </c>
      <c r="E359" s="105">
        <v>22</v>
      </c>
      <c r="F359" s="105">
        <v>162</v>
      </c>
      <c r="G359" s="105">
        <v>239</v>
      </c>
      <c r="H359" s="105">
        <v>509</v>
      </c>
      <c r="I359" s="105">
        <v>509</v>
      </c>
      <c r="J359" s="105">
        <v>769</v>
      </c>
      <c r="K359" s="105">
        <v>769</v>
      </c>
      <c r="L359" s="105">
        <v>832</v>
      </c>
      <c r="M359" s="105">
        <v>832</v>
      </c>
      <c r="N359" s="105">
        <v>923</v>
      </c>
      <c r="O359" s="105">
        <v>1093</v>
      </c>
      <c r="Q359" s="105">
        <f>BL359</f>
        <v>0</v>
      </c>
      <c r="R359" s="105">
        <v>8</v>
      </c>
      <c r="S359" s="105">
        <v>8</v>
      </c>
      <c r="T359" s="105">
        <v>22</v>
      </c>
      <c r="U359" s="105">
        <v>52</v>
      </c>
      <c r="V359" s="105">
        <v>126</v>
      </c>
      <c r="W359" s="105">
        <v>137</v>
      </c>
      <c r="X359" s="105">
        <v>162</v>
      </c>
      <c r="Y359" s="105">
        <v>169</v>
      </c>
      <c r="Z359" s="105">
        <v>188</v>
      </c>
      <c r="AA359" s="105">
        <v>211</v>
      </c>
      <c r="AB359" s="105">
        <v>239</v>
      </c>
      <c r="AC359" s="105">
        <v>253</v>
      </c>
      <c r="AD359" s="105">
        <v>293</v>
      </c>
      <c r="AE359" s="105">
        <v>360</v>
      </c>
      <c r="AF359" s="105">
        <v>509</v>
      </c>
      <c r="AG359" s="105">
        <v>561</v>
      </c>
      <c r="AH359" s="105">
        <v>650</v>
      </c>
      <c r="AI359" s="105">
        <v>678</v>
      </c>
      <c r="AJ359" s="105">
        <v>769</v>
      </c>
      <c r="AK359" s="105">
        <v>766</v>
      </c>
      <c r="AL359" s="105">
        <v>776</v>
      </c>
      <c r="AM359" s="105">
        <v>782</v>
      </c>
      <c r="AN359" s="105">
        <v>832</v>
      </c>
      <c r="AO359" s="105">
        <v>847</v>
      </c>
      <c r="AP359" s="105">
        <v>856</v>
      </c>
      <c r="AQ359" s="105">
        <v>862</v>
      </c>
      <c r="AR359" s="105">
        <v>923</v>
      </c>
      <c r="AS359" s="105">
        <v>926</v>
      </c>
      <c r="AT359" s="105">
        <v>922</v>
      </c>
      <c r="AU359" s="105">
        <v>982</v>
      </c>
      <c r="AV359" s="105">
        <v>1093</v>
      </c>
      <c r="AW359" s="105">
        <v>1150</v>
      </c>
      <c r="AY359" s="105">
        <v>832</v>
      </c>
      <c r="AZ359" s="374"/>
      <c r="BA359" s="105">
        <v>926</v>
      </c>
      <c r="BC359" s="27"/>
      <c r="BD359" s="27"/>
      <c r="BF359" s="27"/>
      <c r="BG359" s="27"/>
    </row>
    <row r="360" spans="2:59">
      <c r="B360" s="10" t="s">
        <v>422</v>
      </c>
      <c r="C360" s="105">
        <v>2776</v>
      </c>
      <c r="D360" s="105">
        <v>3400</v>
      </c>
      <c r="E360" s="105">
        <v>3559</v>
      </c>
      <c r="F360" s="105">
        <v>3907</v>
      </c>
      <c r="G360" s="105">
        <v>3894</v>
      </c>
      <c r="H360" s="105">
        <v>4343</v>
      </c>
      <c r="I360" s="105">
        <v>4343</v>
      </c>
      <c r="J360" s="105">
        <v>4518</v>
      </c>
      <c r="K360" s="105">
        <v>4518</v>
      </c>
      <c r="L360" s="105">
        <v>4799</v>
      </c>
      <c r="M360" s="105">
        <v>4799</v>
      </c>
      <c r="N360" s="105">
        <v>5208</v>
      </c>
      <c r="O360" s="105">
        <v>5838</v>
      </c>
      <c r="Q360" s="105">
        <v>3466</v>
      </c>
      <c r="R360" s="105">
        <v>3527</v>
      </c>
      <c r="S360" s="105">
        <v>3542</v>
      </c>
      <c r="T360" s="105">
        <v>3559</v>
      </c>
      <c r="U360" s="105">
        <v>3411</v>
      </c>
      <c r="V360" s="105">
        <v>3751</v>
      </c>
      <c r="W360" s="105">
        <v>3834</v>
      </c>
      <c r="X360" s="105">
        <v>3907</v>
      </c>
      <c r="Y360" s="105">
        <v>3937</v>
      </c>
      <c r="Z360" s="105">
        <v>3955</v>
      </c>
      <c r="AA360" s="105">
        <v>3983</v>
      </c>
      <c r="AB360" s="105">
        <v>3894</v>
      </c>
      <c r="AC360" s="105">
        <v>4033</v>
      </c>
      <c r="AD360" s="105">
        <v>4168</v>
      </c>
      <c r="AE360" s="105">
        <v>4196</v>
      </c>
      <c r="AF360" s="105">
        <v>4343</v>
      </c>
      <c r="AG360" s="105">
        <v>4361</v>
      </c>
      <c r="AH360" s="105">
        <v>4392</v>
      </c>
      <c r="AI360" s="105">
        <v>4449</v>
      </c>
      <c r="AJ360" s="105">
        <v>4518</v>
      </c>
      <c r="AK360" s="105">
        <v>4539</v>
      </c>
      <c r="AL360" s="105">
        <v>4585</v>
      </c>
      <c r="AM360" s="105">
        <v>4663</v>
      </c>
      <c r="AN360" s="105">
        <v>4799</v>
      </c>
      <c r="AO360" s="117">
        <v>4926</v>
      </c>
      <c r="AP360" s="105">
        <v>5160</v>
      </c>
      <c r="AQ360" s="117">
        <v>5295</v>
      </c>
      <c r="AR360" s="105">
        <v>5208</v>
      </c>
      <c r="AS360" s="105">
        <v>5188</v>
      </c>
      <c r="AT360" s="105">
        <v>5466</v>
      </c>
      <c r="AU360" s="105">
        <v>5417</v>
      </c>
      <c r="AV360" s="105">
        <v>5838</v>
      </c>
      <c r="AW360" s="105">
        <v>5824</v>
      </c>
      <c r="AY360" s="117">
        <v>4799</v>
      </c>
      <c r="AZ360" s="374"/>
      <c r="BA360" s="105">
        <v>5188</v>
      </c>
      <c r="BC360" s="27"/>
      <c r="BD360" s="27"/>
      <c r="BF360" s="27"/>
      <c r="BG360" s="27"/>
    </row>
    <row r="361" spans="2:59">
      <c r="B361" s="10" t="s">
        <v>423</v>
      </c>
      <c r="C361" s="105">
        <v>2340</v>
      </c>
      <c r="D361" s="105">
        <v>3210</v>
      </c>
      <c r="E361" s="105">
        <v>3973</v>
      </c>
      <c r="F361" s="105">
        <v>4283</v>
      </c>
      <c r="G361" s="105">
        <v>4286</v>
      </c>
      <c r="H361" s="105">
        <v>4266</v>
      </c>
      <c r="I361" s="105">
        <v>4266</v>
      </c>
      <c r="J361" s="105">
        <v>4255</v>
      </c>
      <c r="K361" s="105">
        <v>4255</v>
      </c>
      <c r="L361" s="105">
        <v>0</v>
      </c>
      <c r="M361" s="105">
        <v>0</v>
      </c>
      <c r="N361" s="105">
        <v>0</v>
      </c>
      <c r="O361" s="105">
        <v>0</v>
      </c>
      <c r="Q361" s="105">
        <v>3402</v>
      </c>
      <c r="R361" s="105">
        <v>3669</v>
      </c>
      <c r="S361" s="105">
        <v>3816</v>
      </c>
      <c r="T361" s="105">
        <v>3973</v>
      </c>
      <c r="U361" s="105">
        <v>4063</v>
      </c>
      <c r="V361" s="105">
        <v>4136</v>
      </c>
      <c r="W361" s="105">
        <v>4223</v>
      </c>
      <c r="X361" s="105">
        <v>4283</v>
      </c>
      <c r="Y361" s="105">
        <v>4279</v>
      </c>
      <c r="Z361" s="105">
        <v>4258</v>
      </c>
      <c r="AA361" s="105">
        <v>4257</v>
      </c>
      <c r="AB361" s="105">
        <v>4286</v>
      </c>
      <c r="AC361" s="105">
        <v>4311</v>
      </c>
      <c r="AD361" s="105">
        <v>4311</v>
      </c>
      <c r="AE361" s="105">
        <v>4263</v>
      </c>
      <c r="AF361" s="105">
        <v>4266</v>
      </c>
      <c r="AG361" s="105">
        <v>4267</v>
      </c>
      <c r="AH361" s="105">
        <v>4240</v>
      </c>
      <c r="AI361" s="105">
        <v>4247</v>
      </c>
      <c r="AJ361" s="105">
        <v>4255</v>
      </c>
      <c r="AK361" s="105">
        <v>4262</v>
      </c>
      <c r="AL361" s="105">
        <v>4257</v>
      </c>
      <c r="AM361" s="105">
        <v>4262</v>
      </c>
      <c r="AN361" s="105">
        <v>4291</v>
      </c>
      <c r="AO361" s="105" t="s">
        <v>424</v>
      </c>
      <c r="AP361" s="105">
        <v>0</v>
      </c>
      <c r="AQ361" s="105">
        <v>0</v>
      </c>
      <c r="AR361" s="105">
        <v>0</v>
      </c>
      <c r="AS361" s="105">
        <v>0</v>
      </c>
      <c r="AT361" s="105">
        <v>0</v>
      </c>
      <c r="AU361" s="105">
        <v>0</v>
      </c>
      <c r="AV361" s="105">
        <v>0</v>
      </c>
      <c r="AW361" s="105">
        <v>0</v>
      </c>
      <c r="AY361" s="105">
        <v>0</v>
      </c>
      <c r="AZ361" s="374"/>
      <c r="BA361" s="105">
        <v>0</v>
      </c>
      <c r="BC361" s="27"/>
      <c r="BD361" s="27"/>
      <c r="BF361" s="27"/>
      <c r="BG361" s="27"/>
    </row>
    <row r="362" spans="2:59">
      <c r="B362" s="10" t="s">
        <v>425</v>
      </c>
      <c r="C362" s="105">
        <v>0</v>
      </c>
      <c r="D362" s="105">
        <v>1075</v>
      </c>
      <c r="E362" s="105">
        <v>1183</v>
      </c>
      <c r="F362" s="105">
        <v>2097</v>
      </c>
      <c r="G362" s="105">
        <v>2139</v>
      </c>
      <c r="H362" s="105">
        <v>2588</v>
      </c>
      <c r="I362" s="105">
        <v>2588</v>
      </c>
      <c r="J362" s="105">
        <v>2952</v>
      </c>
      <c r="K362" s="105">
        <v>2952</v>
      </c>
      <c r="L362" s="105">
        <v>3198</v>
      </c>
      <c r="M362" s="105">
        <v>3198</v>
      </c>
      <c r="N362" s="105">
        <v>3470</v>
      </c>
      <c r="O362" s="105">
        <v>3990</v>
      </c>
      <c r="Q362" s="105">
        <v>1090</v>
      </c>
      <c r="R362" s="105">
        <v>1098</v>
      </c>
      <c r="S362" s="105">
        <v>1084</v>
      </c>
      <c r="T362" s="105">
        <v>1183</v>
      </c>
      <c r="U362" s="105">
        <v>1363</v>
      </c>
      <c r="V362" s="105">
        <v>1876</v>
      </c>
      <c r="W362" s="105">
        <v>1953</v>
      </c>
      <c r="X362" s="105">
        <v>2097</v>
      </c>
      <c r="Y362" s="105">
        <v>2213</v>
      </c>
      <c r="Z362" s="105">
        <v>2253</v>
      </c>
      <c r="AA362" s="105">
        <v>2106</v>
      </c>
      <c r="AB362" s="105">
        <v>2139</v>
      </c>
      <c r="AC362" s="105">
        <v>2115</v>
      </c>
      <c r="AD362" s="105">
        <v>2208</v>
      </c>
      <c r="AE362" s="105">
        <v>2298</v>
      </c>
      <c r="AF362" s="105">
        <v>2588</v>
      </c>
      <c r="AG362" s="105">
        <v>2621</v>
      </c>
      <c r="AH362" s="105">
        <v>2758</v>
      </c>
      <c r="AI362" s="105">
        <v>2839</v>
      </c>
      <c r="AJ362" s="105">
        <v>2952</v>
      </c>
      <c r="AK362" s="105">
        <v>2970</v>
      </c>
      <c r="AL362" s="105">
        <v>3010</v>
      </c>
      <c r="AM362" s="105">
        <v>3081</v>
      </c>
      <c r="AN362" s="105">
        <v>3198</v>
      </c>
      <c r="AO362" s="117">
        <v>3245</v>
      </c>
      <c r="AP362" s="105">
        <v>3311</v>
      </c>
      <c r="AQ362" s="117">
        <v>3344</v>
      </c>
      <c r="AR362" s="105">
        <v>3470</v>
      </c>
      <c r="AS362" s="105">
        <v>3552</v>
      </c>
      <c r="AT362" s="105">
        <v>3733</v>
      </c>
      <c r="AU362" s="105">
        <v>3834</v>
      </c>
      <c r="AV362" s="105">
        <v>3990</v>
      </c>
      <c r="AW362" s="105">
        <v>4088</v>
      </c>
      <c r="AY362" s="117">
        <v>3198</v>
      </c>
      <c r="AZ362" s="374"/>
      <c r="BA362" s="105">
        <v>3552</v>
      </c>
      <c r="BC362" s="27"/>
      <c r="BD362" s="27"/>
      <c r="BF362" s="27"/>
      <c r="BG362" s="27"/>
    </row>
    <row r="363" spans="2:59">
      <c r="B363" s="10" t="s">
        <v>426</v>
      </c>
      <c r="C363" s="105">
        <v>0</v>
      </c>
      <c r="D363" s="105">
        <v>0</v>
      </c>
      <c r="E363" s="105">
        <v>0</v>
      </c>
      <c r="F363" s="105">
        <v>1</v>
      </c>
      <c r="G363" s="105">
        <v>14</v>
      </c>
      <c r="H363" s="105">
        <v>14</v>
      </c>
      <c r="I363" s="105">
        <v>14</v>
      </c>
      <c r="J363" s="105">
        <v>14</v>
      </c>
      <c r="K363" s="105">
        <v>14</v>
      </c>
      <c r="L363" s="105">
        <v>14</v>
      </c>
      <c r="M363" s="105">
        <v>14</v>
      </c>
      <c r="N363" s="105">
        <v>14</v>
      </c>
      <c r="O363" s="105">
        <v>0</v>
      </c>
      <c r="Q363" s="105">
        <v>0</v>
      </c>
      <c r="R363" s="105">
        <v>0</v>
      </c>
      <c r="S363" s="105">
        <v>0</v>
      </c>
      <c r="T363" s="105">
        <v>0</v>
      </c>
      <c r="U363" s="105">
        <v>0</v>
      </c>
      <c r="V363" s="105">
        <v>0</v>
      </c>
      <c r="W363" s="105">
        <v>1</v>
      </c>
      <c r="X363" s="105">
        <v>1</v>
      </c>
      <c r="Y363" s="105">
        <v>5</v>
      </c>
      <c r="Z363" s="105">
        <v>6</v>
      </c>
      <c r="AA363" s="105">
        <v>10</v>
      </c>
      <c r="AB363" s="105">
        <v>14</v>
      </c>
      <c r="AC363" s="105">
        <v>14</v>
      </c>
      <c r="AD363" s="105">
        <v>14</v>
      </c>
      <c r="AE363" s="105">
        <v>14</v>
      </c>
      <c r="AF363" s="105">
        <v>14</v>
      </c>
      <c r="AG363" s="105">
        <v>14</v>
      </c>
      <c r="AH363" s="105">
        <v>14</v>
      </c>
      <c r="AI363" s="105">
        <v>14</v>
      </c>
      <c r="AJ363" s="105">
        <v>14</v>
      </c>
      <c r="AK363" s="105">
        <v>14</v>
      </c>
      <c r="AL363" s="105">
        <v>14</v>
      </c>
      <c r="AM363" s="105">
        <v>14</v>
      </c>
      <c r="AN363" s="105">
        <v>14</v>
      </c>
      <c r="AO363" s="105">
        <v>14</v>
      </c>
      <c r="AP363" s="105">
        <v>14</v>
      </c>
      <c r="AQ363" s="105">
        <v>14</v>
      </c>
      <c r="AR363" s="105">
        <v>14</v>
      </c>
      <c r="AS363" s="105">
        <v>14</v>
      </c>
      <c r="AT363" s="105">
        <v>14</v>
      </c>
      <c r="AU363" s="105">
        <v>14</v>
      </c>
      <c r="AV363" s="105">
        <v>0</v>
      </c>
      <c r="AW363" s="105">
        <v>0</v>
      </c>
      <c r="AY363" s="105">
        <v>14</v>
      </c>
      <c r="AZ363" s="374"/>
      <c r="BA363" s="105">
        <v>14</v>
      </c>
      <c r="BC363" s="27"/>
      <c r="BD363" s="27"/>
      <c r="BF363" s="27"/>
      <c r="BG363" s="27"/>
    </row>
    <row r="364" spans="2:59">
      <c r="B364" s="10" t="s">
        <v>427</v>
      </c>
      <c r="C364" s="105"/>
      <c r="D364" s="105"/>
      <c r="E364" s="105"/>
      <c r="F364" s="105"/>
      <c r="G364" s="105"/>
      <c r="H364" s="105">
        <v>28</v>
      </c>
      <c r="I364" s="105">
        <v>28</v>
      </c>
      <c r="J364" s="105">
        <v>2349</v>
      </c>
      <c r="K364" s="105">
        <v>2349</v>
      </c>
      <c r="L364" s="105">
        <v>2992</v>
      </c>
      <c r="M364" s="105">
        <v>2992</v>
      </c>
      <c r="N364" s="105">
        <v>3257</v>
      </c>
      <c r="O364" s="105">
        <v>3629</v>
      </c>
      <c r="Q364" s="105"/>
      <c r="R364" s="105"/>
      <c r="S364" s="105"/>
      <c r="T364" s="105"/>
      <c r="U364" s="105"/>
      <c r="V364" s="105"/>
      <c r="W364" s="105"/>
      <c r="X364" s="105"/>
      <c r="Y364" s="105"/>
      <c r="Z364" s="105"/>
      <c r="AA364" s="105"/>
      <c r="AB364" s="105"/>
      <c r="AC364" s="105">
        <v>1</v>
      </c>
      <c r="AD364" s="105">
        <v>6</v>
      </c>
      <c r="AE364" s="105">
        <v>13</v>
      </c>
      <c r="AF364" s="105">
        <v>28</v>
      </c>
      <c r="AG364" s="105">
        <v>95</v>
      </c>
      <c r="AH364" s="105">
        <v>1610</v>
      </c>
      <c r="AI364" s="105">
        <v>2116</v>
      </c>
      <c r="AJ364" s="105">
        <v>2349</v>
      </c>
      <c r="AK364" s="105">
        <v>2665</v>
      </c>
      <c r="AL364" s="105">
        <v>2832</v>
      </c>
      <c r="AM364" s="105">
        <v>2944</v>
      </c>
      <c r="AN364" s="105">
        <v>2992</v>
      </c>
      <c r="AO364" s="117">
        <v>3026</v>
      </c>
      <c r="AP364" s="105">
        <v>3088</v>
      </c>
      <c r="AQ364" s="117">
        <v>3175</v>
      </c>
      <c r="AR364" s="105">
        <v>3257</v>
      </c>
      <c r="AS364" s="105">
        <v>3299</v>
      </c>
      <c r="AT364" s="105">
        <v>3299</v>
      </c>
      <c r="AU364" s="105">
        <v>3527</v>
      </c>
      <c r="AV364" s="105">
        <v>3629</v>
      </c>
      <c r="AW364" s="105">
        <v>3711</v>
      </c>
      <c r="AY364" s="117">
        <v>2992</v>
      </c>
      <c r="AZ364" s="374"/>
      <c r="BA364" s="105">
        <v>3299</v>
      </c>
      <c r="BC364" s="27"/>
      <c r="BD364" s="27"/>
      <c r="BF364" s="27"/>
      <c r="BG364" s="27"/>
    </row>
    <row r="365" spans="2:59">
      <c r="B365" s="10" t="s">
        <v>428</v>
      </c>
      <c r="C365" s="105"/>
      <c r="D365" s="105"/>
      <c r="E365" s="105"/>
      <c r="F365" s="105"/>
      <c r="G365" s="105"/>
      <c r="H365" s="105"/>
      <c r="I365" s="105"/>
      <c r="J365" s="105">
        <v>907</v>
      </c>
      <c r="K365" s="105">
        <v>907</v>
      </c>
      <c r="L365" s="105">
        <v>889</v>
      </c>
      <c r="M365" s="105">
        <v>889</v>
      </c>
      <c r="N365" s="105">
        <v>944</v>
      </c>
      <c r="O365" s="105">
        <v>946</v>
      </c>
      <c r="Q365" s="105"/>
      <c r="R365" s="105"/>
      <c r="S365" s="105"/>
      <c r="T365" s="105"/>
      <c r="U365" s="105"/>
      <c r="V365" s="105"/>
      <c r="W365" s="105"/>
      <c r="X365" s="105"/>
      <c r="Y365" s="105"/>
      <c r="Z365" s="105"/>
      <c r="AA365" s="105"/>
      <c r="AB365" s="105"/>
      <c r="AC365" s="105"/>
      <c r="AD365" s="105"/>
      <c r="AE365" s="105"/>
      <c r="AF365" s="105"/>
      <c r="AG365" s="105"/>
      <c r="AH365" s="105">
        <v>908</v>
      </c>
      <c r="AI365" s="105">
        <v>908</v>
      </c>
      <c r="AJ365" s="105">
        <v>907</v>
      </c>
      <c r="AK365" s="105">
        <v>892</v>
      </c>
      <c r="AL365" s="105">
        <v>892</v>
      </c>
      <c r="AM365" s="105">
        <v>889</v>
      </c>
      <c r="AN365" s="105">
        <v>889</v>
      </c>
      <c r="AO365" s="105">
        <v>891</v>
      </c>
      <c r="AP365" s="105">
        <v>904</v>
      </c>
      <c r="AQ365" s="105">
        <v>918</v>
      </c>
      <c r="AR365" s="105">
        <v>944</v>
      </c>
      <c r="AS365" s="105">
        <v>926</v>
      </c>
      <c r="AT365" s="105">
        <v>920</v>
      </c>
      <c r="AU365" s="105">
        <v>912</v>
      </c>
      <c r="AV365" s="105">
        <v>946</v>
      </c>
      <c r="AW365" s="105">
        <v>936</v>
      </c>
      <c r="AY365" s="105">
        <v>889</v>
      </c>
      <c r="AZ365" s="374"/>
      <c r="BA365" s="105">
        <v>926</v>
      </c>
      <c r="BC365" s="27"/>
      <c r="BD365" s="27"/>
      <c r="BF365" s="27"/>
      <c r="BG365" s="27"/>
    </row>
    <row r="366" spans="2:59">
      <c r="C366" s="105"/>
      <c r="D366" s="105"/>
      <c r="E366" s="105"/>
      <c r="F366" s="105"/>
      <c r="G366" s="105"/>
      <c r="H366" s="105"/>
      <c r="I366" s="105"/>
      <c r="J366" s="105"/>
      <c r="K366" s="105"/>
      <c r="L366" s="105"/>
      <c r="M366" s="105"/>
      <c r="N366" s="105"/>
      <c r="O366" s="105"/>
      <c r="Q366" s="105"/>
      <c r="R366" s="105"/>
      <c r="S366" s="105"/>
      <c r="T366" s="105"/>
      <c r="U366" s="105"/>
      <c r="V366" s="105"/>
      <c r="W366" s="105"/>
      <c r="X366" s="105"/>
      <c r="Y366" s="105"/>
      <c r="Z366" s="105"/>
      <c r="AA366" s="105"/>
      <c r="AB366" s="105"/>
      <c r="AC366" s="105"/>
      <c r="AD366" s="105"/>
      <c r="AE366" s="105"/>
      <c r="AF366" s="105"/>
      <c r="AG366" s="105"/>
      <c r="AH366" s="105"/>
      <c r="AI366" s="105"/>
      <c r="AJ366" s="105"/>
      <c r="AK366" s="105"/>
      <c r="AL366" s="105"/>
      <c r="AM366" s="105"/>
      <c r="AN366" s="105"/>
      <c r="AO366" s="105"/>
      <c r="AP366" s="105"/>
      <c r="AQ366" s="105"/>
      <c r="AR366" s="105"/>
      <c r="AS366" s="105"/>
      <c r="AT366" s="105"/>
      <c r="AU366" s="105"/>
      <c r="AV366" s="105"/>
      <c r="AW366" s="105"/>
      <c r="AY366" s="105"/>
      <c r="AZ366" s="105"/>
      <c r="BA366" s="105"/>
      <c r="BC366" s="27"/>
      <c r="BD366" s="27"/>
      <c r="BF366" s="27"/>
      <c r="BG366" s="27"/>
    </row>
    <row r="367" spans="2:59" s="6" customFormat="1">
      <c r="B367" s="6" t="s">
        <v>429</v>
      </c>
      <c r="C367" s="110">
        <f>+SUM(C368:C376)</f>
        <v>15124</v>
      </c>
      <c r="D367" s="110">
        <f t="shared" ref="D367:N367" si="396">+SUM(D368:D376)</f>
        <v>16533</v>
      </c>
      <c r="E367" s="110">
        <f t="shared" si="396"/>
        <v>18230</v>
      </c>
      <c r="F367" s="110">
        <f t="shared" si="396"/>
        <v>20301</v>
      </c>
      <c r="G367" s="110">
        <f t="shared" si="396"/>
        <v>22329</v>
      </c>
      <c r="H367" s="110">
        <f t="shared" si="396"/>
        <v>25898</v>
      </c>
      <c r="I367" s="110">
        <f t="shared" si="396"/>
        <v>25898</v>
      </c>
      <c r="J367" s="110">
        <f t="shared" si="396"/>
        <v>32689</v>
      </c>
      <c r="K367" s="110">
        <f t="shared" si="396"/>
        <v>32689</v>
      </c>
      <c r="L367" s="110">
        <f t="shared" si="396"/>
        <v>32833</v>
      </c>
      <c r="M367" s="110">
        <f t="shared" si="396"/>
        <v>32833</v>
      </c>
      <c r="N367" s="110">
        <f t="shared" si="396"/>
        <v>33904</v>
      </c>
      <c r="O367" s="110">
        <f t="shared" ref="O367" si="397">+SUM(O368:O376)</f>
        <v>34972</v>
      </c>
      <c r="Q367" s="110">
        <f t="shared" ref="Q367" si="398">+SUM(Q368:Q376)</f>
        <v>16760</v>
      </c>
      <c r="R367" s="110">
        <f t="shared" ref="R367" si="399">+SUM(R368:R376)</f>
        <v>17319</v>
      </c>
      <c r="S367" s="110">
        <f t="shared" ref="S367" si="400">+SUM(S368:S376)</f>
        <v>17791</v>
      </c>
      <c r="T367" s="110">
        <f t="shared" ref="T367" si="401">+SUM(T368:T376)</f>
        <v>18230</v>
      </c>
      <c r="U367" s="110">
        <f t="shared" ref="U367" si="402">+SUM(U368:U376)</f>
        <v>18789</v>
      </c>
      <c r="V367" s="110">
        <f t="shared" ref="V367" si="403">+SUM(V368:V376)</f>
        <v>19700</v>
      </c>
      <c r="W367" s="110">
        <f t="shared" ref="W367" si="404">+SUM(W368:W376)</f>
        <v>19991</v>
      </c>
      <c r="X367" s="110">
        <f t="shared" ref="X367" si="405">+SUM(X368:X376)</f>
        <v>20301</v>
      </c>
      <c r="Y367" s="110">
        <f t="shared" ref="Y367" si="406">+SUM(Y368:Y376)</f>
        <v>20728</v>
      </c>
      <c r="Z367" s="110">
        <f t="shared" ref="Z367" si="407">+SUM(Z368:Z376)</f>
        <v>21067</v>
      </c>
      <c r="AA367" s="110">
        <f t="shared" ref="AA367" si="408">+SUM(AA368:AA376)</f>
        <v>21521</v>
      </c>
      <c r="AB367" s="110">
        <f t="shared" ref="AB367" si="409">+SUM(AB368:AB376)</f>
        <v>22329</v>
      </c>
      <c r="AC367" s="110">
        <f t="shared" ref="AC367" si="410">+SUM(AC368:AC376)</f>
        <v>22897</v>
      </c>
      <c r="AD367" s="110">
        <f t="shared" ref="AD367" si="411">+SUM(AD368:AD376)</f>
        <v>23845</v>
      </c>
      <c r="AE367" s="110">
        <f t="shared" ref="AE367" si="412">+SUM(AE368:AE376)</f>
        <v>24937</v>
      </c>
      <c r="AF367" s="110">
        <f t="shared" ref="AF367" si="413">+SUM(AF368:AF376)</f>
        <v>25898</v>
      </c>
      <c r="AG367" s="110">
        <f t="shared" ref="AG367" si="414">+SUM(AG368:AG376)</f>
        <v>27395</v>
      </c>
      <c r="AH367" s="110">
        <f t="shared" ref="AH367" si="415">+SUM(AH368:AH376)</f>
        <v>30537</v>
      </c>
      <c r="AI367" s="110">
        <f t="shared" ref="AI367" si="416">+SUM(AI368:AI376)</f>
        <v>31819</v>
      </c>
      <c r="AJ367" s="110">
        <f t="shared" ref="AJ367" si="417">+SUM(AJ368:AJ376)</f>
        <v>32689</v>
      </c>
      <c r="AK367" s="110">
        <f t="shared" ref="AK367" si="418">+SUM(AK368:AK376)</f>
        <v>33221</v>
      </c>
      <c r="AL367" s="110">
        <f t="shared" ref="AL367" si="419">+SUM(AL368:AL376)</f>
        <v>33692</v>
      </c>
      <c r="AM367" s="110">
        <f t="shared" ref="AM367" si="420">+SUM(AM368:AM376)</f>
        <v>34160</v>
      </c>
      <c r="AN367" s="110">
        <f t="shared" ref="AN367" si="421">+SUM(AN368:AN376)</f>
        <v>34961</v>
      </c>
      <c r="AO367" s="110">
        <f t="shared" ref="AO367" si="422">+SUM(AO368:AO376)</f>
        <v>33062</v>
      </c>
      <c r="AP367" s="110">
        <f t="shared" ref="AP367" si="423">+SUM(AP368:AP376)</f>
        <v>33288</v>
      </c>
      <c r="AQ367" s="110">
        <f t="shared" ref="AQ367" si="424">+SUM(AQ368:AQ376)</f>
        <v>33542</v>
      </c>
      <c r="AR367" s="110">
        <f t="shared" ref="AR367:AS367" si="425">+SUM(AR368:AR376)</f>
        <v>33904</v>
      </c>
      <c r="AS367" s="110">
        <f t="shared" si="425"/>
        <v>33971</v>
      </c>
      <c r="AT367" s="110">
        <v>34111</v>
      </c>
      <c r="AU367" s="110">
        <v>34425</v>
      </c>
      <c r="AV367" s="110">
        <f t="shared" ref="AV367" si="426">+SUM(AV368:AV376)</f>
        <v>34972</v>
      </c>
      <c r="AW367" s="110">
        <v>35174</v>
      </c>
      <c r="AY367" s="110">
        <f>+SUM(AY368:AY376)</f>
        <v>32833</v>
      </c>
      <c r="AZ367" s="377"/>
      <c r="BA367" s="110">
        <v>33971</v>
      </c>
      <c r="BC367" s="27"/>
      <c r="BD367" s="27"/>
      <c r="BF367" s="27"/>
      <c r="BG367" s="27"/>
    </row>
    <row r="368" spans="2:59">
      <c r="B368" s="10" t="s">
        <v>419</v>
      </c>
      <c r="C368" s="105">
        <v>3758</v>
      </c>
      <c r="D368" s="105">
        <v>4004</v>
      </c>
      <c r="E368" s="105">
        <v>4575</v>
      </c>
      <c r="F368" s="105">
        <v>4607</v>
      </c>
      <c r="G368" s="105">
        <v>4682</v>
      </c>
      <c r="H368" s="105">
        <v>5041</v>
      </c>
      <c r="I368" s="105">
        <v>5041</v>
      </c>
      <c r="J368" s="105">
        <v>6124</v>
      </c>
      <c r="K368" s="105">
        <v>6124</v>
      </c>
      <c r="L368" s="105">
        <v>6173</v>
      </c>
      <c r="M368" s="105">
        <v>6173</v>
      </c>
      <c r="N368" s="105">
        <v>6421</v>
      </c>
      <c r="O368" s="105">
        <v>6560</v>
      </c>
      <c r="Q368" s="105">
        <v>4077</v>
      </c>
      <c r="R368" s="105">
        <v>4186</v>
      </c>
      <c r="S368" s="105">
        <v>4489</v>
      </c>
      <c r="T368" s="105">
        <v>4575</v>
      </c>
      <c r="U368" s="105">
        <v>4608</v>
      </c>
      <c r="V368" s="105">
        <v>4620</v>
      </c>
      <c r="W368" s="105">
        <v>4609</v>
      </c>
      <c r="X368" s="105">
        <v>4607</v>
      </c>
      <c r="Y368" s="105">
        <v>4626</v>
      </c>
      <c r="Z368" s="105">
        <v>4623</v>
      </c>
      <c r="AA368" s="105">
        <v>4655</v>
      </c>
      <c r="AB368" s="105">
        <v>4682</v>
      </c>
      <c r="AC368" s="105">
        <v>4691</v>
      </c>
      <c r="AD368" s="105">
        <v>4715</v>
      </c>
      <c r="AE368" s="105">
        <v>4727</v>
      </c>
      <c r="AF368" s="105">
        <v>5041</v>
      </c>
      <c r="AG368" s="105">
        <v>6046</v>
      </c>
      <c r="AH368" s="105">
        <v>6081</v>
      </c>
      <c r="AI368" s="105">
        <v>6081</v>
      </c>
      <c r="AJ368" s="105">
        <v>6124</v>
      </c>
      <c r="AK368" s="105">
        <v>6111</v>
      </c>
      <c r="AL368" s="105">
        <v>6117</v>
      </c>
      <c r="AM368" s="105">
        <v>6139</v>
      </c>
      <c r="AN368" s="105">
        <v>6173</v>
      </c>
      <c r="AO368" s="117">
        <v>6179</v>
      </c>
      <c r="AP368" s="105">
        <v>6181</v>
      </c>
      <c r="AQ368" s="117">
        <v>6259</v>
      </c>
      <c r="AR368" s="105">
        <v>6421</v>
      </c>
      <c r="AS368" s="105">
        <v>6349</v>
      </c>
      <c r="AT368" s="105">
        <v>6263</v>
      </c>
      <c r="AU368" s="105">
        <v>6274</v>
      </c>
      <c r="AV368" s="105">
        <v>6560</v>
      </c>
      <c r="AW368" s="105">
        <v>6600</v>
      </c>
      <c r="AY368" s="105">
        <v>6173</v>
      </c>
      <c r="AZ368" s="374"/>
      <c r="BA368" s="105">
        <v>6349</v>
      </c>
      <c r="BC368" s="27"/>
      <c r="BD368" s="27"/>
      <c r="BF368" s="27"/>
      <c r="BG368" s="27"/>
    </row>
    <row r="369" spans="2:59">
      <c r="B369" s="10" t="s">
        <v>420</v>
      </c>
      <c r="C369" s="105">
        <v>8158</v>
      </c>
      <c r="D369" s="105">
        <v>8227</v>
      </c>
      <c r="E369" s="105">
        <v>8562</v>
      </c>
      <c r="F369" s="105">
        <v>9105</v>
      </c>
      <c r="G369" s="105">
        <v>10790</v>
      </c>
      <c r="H369" s="105">
        <v>13198</v>
      </c>
      <c r="I369" s="105">
        <v>13198</v>
      </c>
      <c r="J369" s="105">
        <v>15223</v>
      </c>
      <c r="K369" s="105">
        <v>15223</v>
      </c>
      <c r="L369" s="105">
        <v>16541</v>
      </c>
      <c r="M369" s="105">
        <v>16541</v>
      </c>
      <c r="N369" s="105">
        <v>16803</v>
      </c>
      <c r="O369" s="105">
        <v>16947</v>
      </c>
      <c r="Q369" s="105">
        <v>8243</v>
      </c>
      <c r="R369" s="105">
        <v>8413</v>
      </c>
      <c r="S369" s="105">
        <v>8508</v>
      </c>
      <c r="T369" s="105">
        <v>8562</v>
      </c>
      <c r="U369" s="105">
        <v>8841</v>
      </c>
      <c r="V369" s="105">
        <v>8922</v>
      </c>
      <c r="W369" s="105">
        <v>9032</v>
      </c>
      <c r="X369" s="105">
        <v>9105</v>
      </c>
      <c r="Y369" s="105">
        <v>9349</v>
      </c>
      <c r="Z369" s="105">
        <v>9637</v>
      </c>
      <c r="AA369" s="105">
        <v>10157</v>
      </c>
      <c r="AB369" s="105">
        <v>10790</v>
      </c>
      <c r="AC369" s="105">
        <v>11241</v>
      </c>
      <c r="AD369" s="105">
        <v>11946</v>
      </c>
      <c r="AE369" s="105">
        <v>12871</v>
      </c>
      <c r="AF369" s="105">
        <v>13198</v>
      </c>
      <c r="AG369" s="105">
        <v>13419</v>
      </c>
      <c r="AH369" s="105">
        <v>14022</v>
      </c>
      <c r="AI369" s="105">
        <v>14676</v>
      </c>
      <c r="AJ369" s="105">
        <v>15223</v>
      </c>
      <c r="AK369" s="105">
        <v>15447</v>
      </c>
      <c r="AL369" s="105">
        <v>15708</v>
      </c>
      <c r="AM369" s="105">
        <v>15970</v>
      </c>
      <c r="AN369" s="105">
        <v>16541</v>
      </c>
      <c r="AO369" s="117">
        <v>16659</v>
      </c>
      <c r="AP369" s="105">
        <v>16727</v>
      </c>
      <c r="AQ369" s="117">
        <v>16765</v>
      </c>
      <c r="AR369" s="105">
        <v>16803</v>
      </c>
      <c r="AS369" s="105">
        <v>16827</v>
      </c>
      <c r="AT369" s="105">
        <v>16866</v>
      </c>
      <c r="AU369" s="105">
        <v>16927</v>
      </c>
      <c r="AV369" s="105">
        <v>16947</v>
      </c>
      <c r="AW369" s="105">
        <v>16952</v>
      </c>
      <c r="AY369" s="105">
        <v>16541</v>
      </c>
      <c r="AZ369" s="374"/>
      <c r="BA369" s="105">
        <v>16827</v>
      </c>
      <c r="BC369" s="27"/>
      <c r="BD369" s="27"/>
      <c r="BF369" s="27"/>
      <c r="BG369" s="27"/>
    </row>
    <row r="370" spans="2:59">
      <c r="B370" s="10" t="s">
        <v>421</v>
      </c>
      <c r="C370" s="105">
        <v>0</v>
      </c>
      <c r="D370" s="105">
        <v>0</v>
      </c>
      <c r="E370" s="105">
        <v>22</v>
      </c>
      <c r="F370" s="105">
        <v>161</v>
      </c>
      <c r="G370" s="105">
        <v>236</v>
      </c>
      <c r="H370" s="105">
        <v>504</v>
      </c>
      <c r="I370" s="105">
        <v>504</v>
      </c>
      <c r="J370" s="105">
        <v>683</v>
      </c>
      <c r="K370" s="105">
        <v>683</v>
      </c>
      <c r="L370" s="105">
        <v>696</v>
      </c>
      <c r="M370" s="105">
        <v>696</v>
      </c>
      <c r="N370" s="105">
        <v>703</v>
      </c>
      <c r="O370" s="105">
        <v>769</v>
      </c>
      <c r="Q370" s="105">
        <v>5</v>
      </c>
      <c r="R370" s="105">
        <v>8</v>
      </c>
      <c r="S370" s="105">
        <v>8</v>
      </c>
      <c r="T370" s="105">
        <v>22</v>
      </c>
      <c r="U370" s="105">
        <v>52</v>
      </c>
      <c r="V370" s="105">
        <v>126</v>
      </c>
      <c r="W370" s="105">
        <v>137</v>
      </c>
      <c r="X370" s="105">
        <v>161</v>
      </c>
      <c r="Y370" s="105">
        <v>167</v>
      </c>
      <c r="Z370" s="105">
        <v>184</v>
      </c>
      <c r="AA370" s="105">
        <v>207</v>
      </c>
      <c r="AB370" s="105">
        <v>236</v>
      </c>
      <c r="AC370" s="105">
        <v>251</v>
      </c>
      <c r="AD370" s="105">
        <v>292</v>
      </c>
      <c r="AE370" s="105">
        <v>360</v>
      </c>
      <c r="AF370" s="105">
        <v>504</v>
      </c>
      <c r="AG370" s="105">
        <v>553</v>
      </c>
      <c r="AH370" s="105">
        <v>638</v>
      </c>
      <c r="AI370" s="105">
        <v>667</v>
      </c>
      <c r="AJ370" s="105">
        <v>683</v>
      </c>
      <c r="AK370" s="105">
        <v>678</v>
      </c>
      <c r="AL370" s="105">
        <v>682</v>
      </c>
      <c r="AM370" s="105">
        <v>687</v>
      </c>
      <c r="AN370" s="105">
        <v>696</v>
      </c>
      <c r="AO370" s="105">
        <v>699</v>
      </c>
      <c r="AP370" s="105">
        <v>701</v>
      </c>
      <c r="AQ370" s="105">
        <v>703</v>
      </c>
      <c r="AR370" s="105">
        <v>703</v>
      </c>
      <c r="AS370" s="105">
        <v>702</v>
      </c>
      <c r="AT370" s="105">
        <v>698</v>
      </c>
      <c r="AU370" s="105">
        <v>752</v>
      </c>
      <c r="AV370" s="105">
        <v>769</v>
      </c>
      <c r="AW370" s="105">
        <v>828</v>
      </c>
      <c r="AY370" s="105">
        <v>696</v>
      </c>
      <c r="AZ370" s="374"/>
      <c r="BA370" s="105">
        <v>702</v>
      </c>
      <c r="BC370" s="27"/>
      <c r="BD370" s="27"/>
      <c r="BF370" s="27"/>
      <c r="BG370" s="27"/>
    </row>
    <row r="371" spans="2:59">
      <c r="B371" s="10" t="s">
        <v>422</v>
      </c>
      <c r="C371" s="105">
        <v>1958</v>
      </c>
      <c r="D371" s="105">
        <v>2170</v>
      </c>
      <c r="E371" s="105">
        <v>2301</v>
      </c>
      <c r="F371" s="105">
        <v>2713</v>
      </c>
      <c r="G371" s="105">
        <v>2836</v>
      </c>
      <c r="H371" s="105">
        <v>3082</v>
      </c>
      <c r="I371" s="105">
        <v>3082</v>
      </c>
      <c r="J371" s="105">
        <v>3189</v>
      </c>
      <c r="K371" s="105">
        <v>3189</v>
      </c>
      <c r="L371" s="105">
        <v>3366</v>
      </c>
      <c r="M371" s="105">
        <v>3366</v>
      </c>
      <c r="N371" s="105">
        <v>3687</v>
      </c>
      <c r="O371" s="105">
        <v>4008</v>
      </c>
      <c r="Q371" s="105">
        <v>2220</v>
      </c>
      <c r="R371" s="105">
        <v>2277</v>
      </c>
      <c r="S371" s="105">
        <v>2287</v>
      </c>
      <c r="T371" s="105">
        <v>2301</v>
      </c>
      <c r="U371" s="105">
        <v>2300</v>
      </c>
      <c r="V371" s="105">
        <v>2623</v>
      </c>
      <c r="W371" s="105">
        <v>2649</v>
      </c>
      <c r="X371" s="105">
        <v>2713</v>
      </c>
      <c r="Y371" s="105">
        <v>2741</v>
      </c>
      <c r="Z371" s="105">
        <v>2759</v>
      </c>
      <c r="AA371" s="105">
        <v>2774</v>
      </c>
      <c r="AB371" s="105">
        <v>2836</v>
      </c>
      <c r="AC371" s="105">
        <v>2961</v>
      </c>
      <c r="AD371" s="105">
        <v>3062</v>
      </c>
      <c r="AE371" s="105">
        <v>3081</v>
      </c>
      <c r="AF371" s="105">
        <v>3082</v>
      </c>
      <c r="AG371" s="105">
        <v>3090</v>
      </c>
      <c r="AH371" s="105">
        <v>3116</v>
      </c>
      <c r="AI371" s="105">
        <v>3174</v>
      </c>
      <c r="AJ371" s="105">
        <v>3189</v>
      </c>
      <c r="AK371" s="105">
        <v>3194</v>
      </c>
      <c r="AL371" s="105">
        <v>3219</v>
      </c>
      <c r="AM371" s="105">
        <v>3252</v>
      </c>
      <c r="AN371" s="105">
        <v>3366</v>
      </c>
      <c r="AO371" s="117">
        <v>3428</v>
      </c>
      <c r="AP371" s="105">
        <v>3531</v>
      </c>
      <c r="AQ371" s="117">
        <v>3607</v>
      </c>
      <c r="AR371" s="105">
        <v>3687</v>
      </c>
      <c r="AS371" s="105">
        <v>3761</v>
      </c>
      <c r="AT371" s="105">
        <v>3825</v>
      </c>
      <c r="AU371" s="105">
        <v>3923</v>
      </c>
      <c r="AV371" s="105">
        <v>4008</v>
      </c>
      <c r="AW371" s="105">
        <v>4025</v>
      </c>
      <c r="AY371" s="105">
        <v>3366</v>
      </c>
      <c r="AZ371" s="374"/>
      <c r="BA371" s="105">
        <v>3761</v>
      </c>
      <c r="BC371" s="27"/>
      <c r="BD371" s="27"/>
      <c r="BF371" s="27"/>
      <c r="BG371" s="27"/>
    </row>
    <row r="372" spans="2:59">
      <c r="B372" s="10" t="s">
        <v>423</v>
      </c>
      <c r="C372" s="105">
        <v>1250</v>
      </c>
      <c r="D372" s="105">
        <v>1436</v>
      </c>
      <c r="E372" s="105">
        <v>1900</v>
      </c>
      <c r="F372" s="105">
        <v>2097</v>
      </c>
      <c r="G372" s="105">
        <v>2122</v>
      </c>
      <c r="H372" s="105">
        <v>2127</v>
      </c>
      <c r="I372" s="105">
        <v>2127</v>
      </c>
      <c r="J372" s="105">
        <v>2126</v>
      </c>
      <c r="K372" s="105">
        <v>2126</v>
      </c>
      <c r="L372" s="105">
        <v>0</v>
      </c>
      <c r="M372" s="105">
        <v>0</v>
      </c>
      <c r="N372" s="105">
        <v>0</v>
      </c>
      <c r="O372" s="105">
        <v>0</v>
      </c>
      <c r="Q372" s="105">
        <v>1515</v>
      </c>
      <c r="R372" s="105">
        <v>1734</v>
      </c>
      <c r="S372" s="105">
        <v>1795</v>
      </c>
      <c r="T372" s="105">
        <v>1900</v>
      </c>
      <c r="U372" s="105">
        <v>1972</v>
      </c>
      <c r="V372" s="105">
        <v>2011</v>
      </c>
      <c r="W372" s="105">
        <v>2071</v>
      </c>
      <c r="X372" s="105">
        <v>2097</v>
      </c>
      <c r="Y372" s="105">
        <v>2100</v>
      </c>
      <c r="Z372" s="105">
        <v>2103</v>
      </c>
      <c r="AA372" s="105">
        <v>2115</v>
      </c>
      <c r="AB372" s="105">
        <v>2122</v>
      </c>
      <c r="AC372" s="105">
        <v>2128</v>
      </c>
      <c r="AD372" s="105">
        <v>2129</v>
      </c>
      <c r="AE372" s="105">
        <v>2129</v>
      </c>
      <c r="AF372" s="105">
        <v>2127</v>
      </c>
      <c r="AG372" s="105">
        <v>2127</v>
      </c>
      <c r="AH372" s="105">
        <v>2127</v>
      </c>
      <c r="AI372" s="105">
        <v>2127</v>
      </c>
      <c r="AJ372" s="105">
        <v>2126</v>
      </c>
      <c r="AK372" s="105">
        <v>2127</v>
      </c>
      <c r="AL372" s="105">
        <v>2124</v>
      </c>
      <c r="AM372" s="105">
        <v>2124</v>
      </c>
      <c r="AN372" s="105">
        <v>2128</v>
      </c>
      <c r="AO372" s="105" t="s">
        <v>424</v>
      </c>
      <c r="AP372" s="105">
        <v>0</v>
      </c>
      <c r="AQ372" s="105">
        <v>0</v>
      </c>
      <c r="AR372" s="105">
        <v>0</v>
      </c>
      <c r="AS372" s="105">
        <v>0</v>
      </c>
      <c r="AT372" s="105">
        <v>0</v>
      </c>
      <c r="AU372" s="105">
        <v>0</v>
      </c>
      <c r="AV372" s="105">
        <v>0</v>
      </c>
      <c r="AW372" s="105">
        <v>0</v>
      </c>
      <c r="AY372" s="105">
        <v>0</v>
      </c>
      <c r="AZ372" s="374"/>
      <c r="BA372" s="105">
        <v>0</v>
      </c>
      <c r="BC372" s="27"/>
      <c r="BD372" s="27"/>
      <c r="BF372" s="27"/>
      <c r="BG372" s="27"/>
    </row>
    <row r="373" spans="2:59">
      <c r="B373" s="10" t="s">
        <v>425</v>
      </c>
      <c r="C373" s="105">
        <v>0</v>
      </c>
      <c r="D373" s="105">
        <v>696</v>
      </c>
      <c r="E373" s="105">
        <v>870</v>
      </c>
      <c r="F373" s="105">
        <v>1617</v>
      </c>
      <c r="G373" s="105">
        <v>1649</v>
      </c>
      <c r="H373" s="105">
        <v>1907</v>
      </c>
      <c r="I373" s="105">
        <v>1907</v>
      </c>
      <c r="J373" s="105">
        <v>2234</v>
      </c>
      <c r="K373" s="105">
        <v>2234</v>
      </c>
      <c r="L373" s="105">
        <v>2337</v>
      </c>
      <c r="M373" s="105">
        <v>2337</v>
      </c>
      <c r="N373" s="105">
        <v>2483</v>
      </c>
      <c r="O373" s="105">
        <v>2785</v>
      </c>
      <c r="Q373" s="105">
        <v>700</v>
      </c>
      <c r="R373" s="105">
        <v>701</v>
      </c>
      <c r="S373" s="105">
        <v>704</v>
      </c>
      <c r="T373" s="105">
        <v>870</v>
      </c>
      <c r="U373" s="105">
        <v>1016</v>
      </c>
      <c r="V373" s="105">
        <v>1398</v>
      </c>
      <c r="W373" s="105">
        <v>1492</v>
      </c>
      <c r="X373" s="105">
        <v>1617</v>
      </c>
      <c r="Y373" s="105">
        <v>1740</v>
      </c>
      <c r="Z373" s="105">
        <v>1755</v>
      </c>
      <c r="AA373" s="105">
        <v>1603</v>
      </c>
      <c r="AB373" s="105">
        <v>1649</v>
      </c>
      <c r="AC373" s="105">
        <v>1610</v>
      </c>
      <c r="AD373" s="105">
        <v>1681</v>
      </c>
      <c r="AE373" s="105">
        <v>1742</v>
      </c>
      <c r="AF373" s="105">
        <v>1907</v>
      </c>
      <c r="AG373" s="105">
        <v>2055</v>
      </c>
      <c r="AH373" s="105">
        <v>2172</v>
      </c>
      <c r="AI373" s="105">
        <v>2209</v>
      </c>
      <c r="AJ373" s="105">
        <v>2234</v>
      </c>
      <c r="AK373" s="105">
        <v>2242</v>
      </c>
      <c r="AL373" s="105">
        <v>2255</v>
      </c>
      <c r="AM373" s="105">
        <v>2297</v>
      </c>
      <c r="AN373" s="105">
        <v>2337</v>
      </c>
      <c r="AO373" s="117">
        <v>2359</v>
      </c>
      <c r="AP373" s="105">
        <v>2394</v>
      </c>
      <c r="AQ373" s="117">
        <v>2429</v>
      </c>
      <c r="AR373" s="105">
        <v>2483</v>
      </c>
      <c r="AS373" s="105">
        <v>2515</v>
      </c>
      <c r="AT373" s="105">
        <v>2646</v>
      </c>
      <c r="AU373" s="105">
        <v>2692</v>
      </c>
      <c r="AV373" s="105">
        <v>2785</v>
      </c>
      <c r="AW373" s="105">
        <v>2828</v>
      </c>
      <c r="AY373" s="105">
        <v>2337</v>
      </c>
      <c r="AZ373" s="374"/>
      <c r="BA373" s="105">
        <v>2515</v>
      </c>
      <c r="BC373" s="27"/>
      <c r="BD373" s="27"/>
      <c r="BF373" s="27"/>
      <c r="BG373" s="27"/>
    </row>
    <row r="374" spans="2:59">
      <c r="B374" s="10" t="s">
        <v>426</v>
      </c>
      <c r="C374" s="105">
        <v>0</v>
      </c>
      <c r="D374" s="105">
        <v>0</v>
      </c>
      <c r="E374" s="105">
        <v>0</v>
      </c>
      <c r="F374" s="105">
        <v>1</v>
      </c>
      <c r="G374" s="105">
        <v>14</v>
      </c>
      <c r="H374" s="105">
        <v>14</v>
      </c>
      <c r="I374" s="105">
        <v>14</v>
      </c>
      <c r="J374" s="105">
        <v>14</v>
      </c>
      <c r="K374" s="105">
        <v>14</v>
      </c>
      <c r="L374" s="105">
        <v>14</v>
      </c>
      <c r="M374" s="105">
        <v>14</v>
      </c>
      <c r="N374" s="105">
        <v>14</v>
      </c>
      <c r="O374" s="105">
        <v>0</v>
      </c>
      <c r="Q374" s="105">
        <v>0</v>
      </c>
      <c r="R374" s="105">
        <v>0</v>
      </c>
      <c r="S374" s="105">
        <v>0</v>
      </c>
      <c r="T374" s="105">
        <v>0</v>
      </c>
      <c r="U374" s="105">
        <v>0</v>
      </c>
      <c r="V374" s="105">
        <v>0</v>
      </c>
      <c r="W374" s="105">
        <v>1</v>
      </c>
      <c r="X374" s="105">
        <v>1</v>
      </c>
      <c r="Y374" s="105">
        <v>5</v>
      </c>
      <c r="Z374" s="105">
        <v>6</v>
      </c>
      <c r="AA374" s="105">
        <v>10</v>
      </c>
      <c r="AB374" s="105">
        <v>14</v>
      </c>
      <c r="AC374" s="105">
        <v>14</v>
      </c>
      <c r="AD374" s="105">
        <v>14</v>
      </c>
      <c r="AE374" s="105">
        <v>14</v>
      </c>
      <c r="AF374" s="105">
        <v>14</v>
      </c>
      <c r="AG374" s="105">
        <v>14</v>
      </c>
      <c r="AH374" s="105">
        <v>14</v>
      </c>
      <c r="AI374" s="105">
        <v>14</v>
      </c>
      <c r="AJ374" s="105">
        <v>14</v>
      </c>
      <c r="AK374" s="105">
        <v>14</v>
      </c>
      <c r="AL374" s="105">
        <v>14</v>
      </c>
      <c r="AM374" s="105">
        <v>14</v>
      </c>
      <c r="AN374" s="105">
        <v>14</v>
      </c>
      <c r="AO374" s="105">
        <v>14</v>
      </c>
      <c r="AP374" s="105">
        <v>14</v>
      </c>
      <c r="AQ374" s="105">
        <v>14</v>
      </c>
      <c r="AR374" s="105">
        <v>14</v>
      </c>
      <c r="AS374" s="105">
        <v>14</v>
      </c>
      <c r="AT374" s="105">
        <v>14</v>
      </c>
      <c r="AU374" s="105">
        <v>14</v>
      </c>
      <c r="AV374" s="105">
        <v>0</v>
      </c>
      <c r="AW374" s="105">
        <v>0</v>
      </c>
      <c r="AY374" s="105">
        <v>14</v>
      </c>
      <c r="AZ374" s="374"/>
      <c r="BA374" s="105">
        <v>14</v>
      </c>
      <c r="BC374" s="27"/>
      <c r="BD374" s="27"/>
      <c r="BF374" s="27"/>
      <c r="BG374" s="27"/>
    </row>
    <row r="375" spans="2:59">
      <c r="B375" s="10" t="s">
        <v>427</v>
      </c>
      <c r="C375" s="105"/>
      <c r="D375" s="105"/>
      <c r="E375" s="105"/>
      <c r="F375" s="105"/>
      <c r="G375" s="105"/>
      <c r="H375" s="105">
        <v>25</v>
      </c>
      <c r="I375" s="105">
        <v>25</v>
      </c>
      <c r="J375" s="105">
        <v>2335</v>
      </c>
      <c r="K375" s="105">
        <v>2335</v>
      </c>
      <c r="L375" s="105">
        <v>2948</v>
      </c>
      <c r="M375" s="105">
        <v>2948</v>
      </c>
      <c r="N375" s="105">
        <v>3011</v>
      </c>
      <c r="O375" s="105">
        <v>3119</v>
      </c>
      <c r="Q375" s="105"/>
      <c r="R375" s="105"/>
      <c r="S375" s="105"/>
      <c r="T375" s="105"/>
      <c r="U375" s="105"/>
      <c r="V375" s="105"/>
      <c r="W375" s="105"/>
      <c r="X375" s="105"/>
      <c r="Y375" s="105"/>
      <c r="Z375" s="105"/>
      <c r="AA375" s="105"/>
      <c r="AB375" s="105"/>
      <c r="AC375" s="105">
        <v>1</v>
      </c>
      <c r="AD375" s="105">
        <v>6</v>
      </c>
      <c r="AE375" s="105">
        <v>13</v>
      </c>
      <c r="AF375" s="105">
        <v>25</v>
      </c>
      <c r="AG375" s="105">
        <v>91</v>
      </c>
      <c r="AH375" s="105">
        <v>1604</v>
      </c>
      <c r="AI375" s="105">
        <v>2110</v>
      </c>
      <c r="AJ375" s="105">
        <v>2335</v>
      </c>
      <c r="AK375" s="105">
        <v>2650</v>
      </c>
      <c r="AL375" s="105">
        <v>2815</v>
      </c>
      <c r="AM375" s="105">
        <v>2919</v>
      </c>
      <c r="AN375" s="105">
        <v>2948</v>
      </c>
      <c r="AO375" s="117">
        <v>2965</v>
      </c>
      <c r="AP375" s="105">
        <v>2977</v>
      </c>
      <c r="AQ375" s="117">
        <v>2999</v>
      </c>
      <c r="AR375" s="105">
        <v>3011</v>
      </c>
      <c r="AS375" s="105">
        <v>3026</v>
      </c>
      <c r="AT375" s="105">
        <v>3026</v>
      </c>
      <c r="AU375" s="105">
        <v>3070</v>
      </c>
      <c r="AV375" s="105">
        <v>3119</v>
      </c>
      <c r="AW375" s="105">
        <v>3157</v>
      </c>
      <c r="AY375" s="105">
        <v>2948</v>
      </c>
      <c r="AZ375" s="374"/>
      <c r="BA375" s="105">
        <v>3026</v>
      </c>
      <c r="BC375" s="27"/>
      <c r="BD375" s="27"/>
      <c r="BF375" s="27"/>
      <c r="BG375" s="27"/>
    </row>
    <row r="376" spans="2:59">
      <c r="B376" s="10" t="s">
        <v>428</v>
      </c>
      <c r="C376" s="105"/>
      <c r="D376" s="105"/>
      <c r="E376" s="105"/>
      <c r="F376" s="105"/>
      <c r="G376" s="105"/>
      <c r="H376" s="105"/>
      <c r="I376" s="105"/>
      <c r="J376" s="105">
        <v>761</v>
      </c>
      <c r="K376" s="105">
        <v>761</v>
      </c>
      <c r="L376" s="105">
        <v>758</v>
      </c>
      <c r="M376" s="105">
        <v>758</v>
      </c>
      <c r="N376" s="105">
        <v>782</v>
      </c>
      <c r="O376" s="105">
        <v>784</v>
      </c>
      <c r="Q376" s="105"/>
      <c r="R376" s="105"/>
      <c r="S376" s="105"/>
      <c r="T376" s="105"/>
      <c r="U376" s="105"/>
      <c r="V376" s="105"/>
      <c r="W376" s="105"/>
      <c r="X376" s="105"/>
      <c r="Y376" s="105"/>
      <c r="Z376" s="105"/>
      <c r="AA376" s="105"/>
      <c r="AB376" s="105"/>
      <c r="AC376" s="105"/>
      <c r="AD376" s="105"/>
      <c r="AE376" s="105"/>
      <c r="AF376" s="105"/>
      <c r="AG376" s="105"/>
      <c r="AH376" s="105">
        <v>763</v>
      </c>
      <c r="AI376" s="105">
        <v>761</v>
      </c>
      <c r="AJ376" s="105">
        <v>761</v>
      </c>
      <c r="AK376" s="105">
        <v>758</v>
      </c>
      <c r="AL376" s="105">
        <v>758</v>
      </c>
      <c r="AM376" s="105">
        <v>758</v>
      </c>
      <c r="AN376" s="105">
        <v>758</v>
      </c>
      <c r="AO376" s="105">
        <v>759</v>
      </c>
      <c r="AP376" s="105">
        <v>763</v>
      </c>
      <c r="AQ376" s="105">
        <v>766</v>
      </c>
      <c r="AR376" s="105">
        <v>782</v>
      </c>
      <c r="AS376" s="105">
        <v>777</v>
      </c>
      <c r="AT376" s="105">
        <v>773</v>
      </c>
      <c r="AU376" s="105">
        <v>773</v>
      </c>
      <c r="AV376" s="105">
        <v>784</v>
      </c>
      <c r="AW376" s="105">
        <v>784</v>
      </c>
      <c r="AY376" s="105">
        <v>758</v>
      </c>
      <c r="AZ376" s="374"/>
      <c r="BA376" s="105">
        <v>777</v>
      </c>
      <c r="BC376" s="27"/>
      <c r="BD376" s="27"/>
      <c r="BF376" s="27"/>
      <c r="BG376" s="27"/>
    </row>
    <row r="377" spans="2:59">
      <c r="C377" s="105"/>
      <c r="D377" s="105"/>
      <c r="E377" s="105"/>
      <c r="F377" s="105"/>
      <c r="G377" s="105"/>
      <c r="H377" s="105"/>
      <c r="I377" s="105"/>
      <c r="J377" s="105"/>
      <c r="K377" s="105"/>
      <c r="L377" s="105"/>
      <c r="M377" s="105"/>
      <c r="N377" s="105"/>
      <c r="O377" s="105"/>
      <c r="Q377" s="105"/>
      <c r="R377" s="105"/>
      <c r="S377" s="105"/>
      <c r="T377" s="105"/>
      <c r="U377" s="105"/>
      <c r="V377" s="105"/>
      <c r="W377" s="105"/>
      <c r="X377" s="105"/>
      <c r="Y377" s="105"/>
      <c r="Z377" s="105"/>
      <c r="AA377" s="105"/>
      <c r="AB377" s="105"/>
      <c r="AC377" s="105"/>
      <c r="AD377" s="105"/>
      <c r="AE377" s="105"/>
      <c r="AF377" s="105"/>
      <c r="AG377" s="105"/>
      <c r="AH377" s="105"/>
      <c r="AI377" s="105"/>
      <c r="AJ377" s="105"/>
      <c r="AK377" s="105"/>
      <c r="AL377" s="105"/>
      <c r="AM377" s="105"/>
      <c r="AN377" s="105"/>
      <c r="AO377" s="105"/>
      <c r="AP377" s="105"/>
      <c r="AQ377" s="105"/>
      <c r="AR377" s="105"/>
      <c r="AS377" s="105"/>
      <c r="AT377" s="105"/>
      <c r="AU377" s="105"/>
      <c r="AV377" s="105"/>
      <c r="AW377" s="105"/>
      <c r="AY377" s="105"/>
      <c r="AZ377" s="105"/>
      <c r="BA377" s="105"/>
      <c r="BC377" s="27"/>
      <c r="BD377" s="27"/>
      <c r="BF377" s="27"/>
      <c r="BG377" s="27"/>
    </row>
    <row r="378" spans="2:59" s="6" customFormat="1">
      <c r="B378" s="6" t="s">
        <v>430</v>
      </c>
      <c r="C378" s="110">
        <f t="shared" ref="C378" si="427">+SUM(C379:C385)</f>
        <v>10185</v>
      </c>
      <c r="D378" s="110">
        <f t="shared" ref="D378" si="428">+SUM(D379:D385)</f>
        <v>10931</v>
      </c>
      <c r="E378" s="110">
        <f t="shared" ref="E378" si="429">+SUM(E379:E385)</f>
        <v>11607</v>
      </c>
      <c r="F378" s="110">
        <f t="shared" ref="F378:J378" si="430">+SUM(F379:F387)</f>
        <v>11523</v>
      </c>
      <c r="G378" s="110">
        <f t="shared" si="430"/>
        <v>11258</v>
      </c>
      <c r="H378" s="110">
        <f t="shared" si="430"/>
        <v>19084</v>
      </c>
      <c r="I378" s="110">
        <f t="shared" ref="I378" si="431">+SUM(I379:I387)</f>
        <v>19084</v>
      </c>
      <c r="J378" s="110">
        <f t="shared" si="430"/>
        <v>25445</v>
      </c>
      <c r="K378" s="110">
        <f t="shared" ref="K378" si="432">+SUM(K379:K387)</f>
        <v>25445</v>
      </c>
      <c r="L378" s="110">
        <f t="shared" ref="L378:N378" si="433">+SUM(L379:L387)</f>
        <v>22858</v>
      </c>
      <c r="M378" s="110">
        <f t="shared" ref="M378" si="434">+SUM(M379:M387)</f>
        <v>22858</v>
      </c>
      <c r="N378" s="110">
        <f t="shared" si="433"/>
        <v>21915</v>
      </c>
      <c r="O378" s="110">
        <f t="shared" ref="O378" si="435">+SUM(O379:O387)</f>
        <v>9906</v>
      </c>
      <c r="Q378" s="110">
        <f t="shared" ref="Q378" si="436">+SUM(Q379:Q385)</f>
        <v>10957</v>
      </c>
      <c r="R378" s="110">
        <f t="shared" ref="R378" si="437">+SUM(R379:R385)</f>
        <v>11171</v>
      </c>
      <c r="S378" s="110">
        <f t="shared" ref="S378" si="438">+SUM(S379:S385)</f>
        <v>11287</v>
      </c>
      <c r="T378" s="110">
        <f t="shared" ref="T378" si="439">+SUM(T379:T385)</f>
        <v>11607</v>
      </c>
      <c r="U378" s="110">
        <f t="shared" ref="U378" si="440">+SUM(U379:U385)</f>
        <v>10447</v>
      </c>
      <c r="V378" s="110">
        <f t="shared" ref="V378" si="441">+SUM(V379:V385)</f>
        <v>10224</v>
      </c>
      <c r="W378" s="110">
        <f t="shared" ref="W378" si="442">+SUM(W379:W385)</f>
        <v>11521</v>
      </c>
      <c r="X378" s="110">
        <f t="shared" ref="X378" si="443">+SUM(X379:X385)</f>
        <v>11523</v>
      </c>
      <c r="Y378" s="110">
        <f t="shared" ref="Y378:AI378" si="444">+SUM(Y379:Y387)</f>
        <v>11579</v>
      </c>
      <c r="Z378" s="110">
        <f t="shared" si="444"/>
        <v>11749</v>
      </c>
      <c r="AA378" s="110">
        <f t="shared" si="444"/>
        <v>11212</v>
      </c>
      <c r="AB378" s="110">
        <f t="shared" si="444"/>
        <v>11258</v>
      </c>
      <c r="AC378" s="110">
        <f t="shared" si="444"/>
        <v>11288</v>
      </c>
      <c r="AD378" s="110">
        <f t="shared" si="444"/>
        <v>17860</v>
      </c>
      <c r="AE378" s="110">
        <f t="shared" si="444"/>
        <v>17290</v>
      </c>
      <c r="AF378" s="110">
        <f t="shared" si="444"/>
        <v>19084</v>
      </c>
      <c r="AG378" s="110">
        <f t="shared" si="444"/>
        <v>22856</v>
      </c>
      <c r="AH378" s="110">
        <f t="shared" si="444"/>
        <v>23036</v>
      </c>
      <c r="AI378" s="110">
        <f t="shared" si="444"/>
        <v>23256</v>
      </c>
      <c r="AJ378" s="110">
        <f>+SUM(AJ379:AJ387)</f>
        <v>25445</v>
      </c>
      <c r="AK378" s="110">
        <f t="shared" ref="AK378:AM378" si="445">+SUM(AK379:AK387)</f>
        <v>29937</v>
      </c>
      <c r="AL378" s="110">
        <f t="shared" si="445"/>
        <v>24079</v>
      </c>
      <c r="AM378" s="110">
        <f t="shared" si="445"/>
        <v>23823</v>
      </c>
      <c r="AN378" s="110">
        <f>+SUM(AN379:AN387)</f>
        <v>23803</v>
      </c>
      <c r="AO378" s="110">
        <f t="shared" ref="AO378:AQ378" si="446">+SUM(AO379:AO387)</f>
        <v>23338</v>
      </c>
      <c r="AP378" s="110">
        <f t="shared" si="446"/>
        <v>22371</v>
      </c>
      <c r="AQ378" s="110">
        <f t="shared" si="446"/>
        <v>22258</v>
      </c>
      <c r="AR378" s="110">
        <f>+SUM(AR379:AR387)</f>
        <v>21915</v>
      </c>
      <c r="AS378" s="110">
        <f t="shared" ref="AS378" si="447">+SUM(AS379:AS387)</f>
        <v>13286</v>
      </c>
      <c r="AT378" s="110">
        <v>13112</v>
      </c>
      <c r="AU378" s="110">
        <v>10067</v>
      </c>
      <c r="AV378" s="110">
        <f>+SUM(AV379:AV387)</f>
        <v>9906</v>
      </c>
      <c r="AW378" s="110">
        <v>4739</v>
      </c>
      <c r="AY378" s="110">
        <f>+SUM(AY379:AY387)</f>
        <v>22858</v>
      </c>
      <c r="AZ378" s="377"/>
      <c r="BA378" s="110">
        <v>13286</v>
      </c>
      <c r="BC378" s="27"/>
      <c r="BD378" s="27"/>
      <c r="BF378" s="27"/>
      <c r="BG378" s="27"/>
    </row>
    <row r="379" spans="2:59">
      <c r="B379" s="10" t="s">
        <v>419</v>
      </c>
      <c r="C379" s="105">
        <v>4811</v>
      </c>
      <c r="D379" s="105">
        <v>5074</v>
      </c>
      <c r="E379" s="105">
        <v>5521</v>
      </c>
      <c r="F379" s="105">
        <v>8394</v>
      </c>
      <c r="G379" s="105">
        <v>8144</v>
      </c>
      <c r="H379" s="105">
        <v>12465</v>
      </c>
      <c r="I379" s="105">
        <v>12465</v>
      </c>
      <c r="J379" s="105">
        <v>15336</v>
      </c>
      <c r="K379" s="105">
        <v>15336</v>
      </c>
      <c r="L379" s="105">
        <v>13699</v>
      </c>
      <c r="M379" s="105">
        <v>13699</v>
      </c>
      <c r="N379" s="105">
        <v>12812</v>
      </c>
      <c r="O379" s="105">
        <v>8560</v>
      </c>
      <c r="Q379" s="105">
        <v>5098</v>
      </c>
      <c r="R379" s="105">
        <v>5388</v>
      </c>
      <c r="S379" s="105">
        <v>5521</v>
      </c>
      <c r="T379" s="105">
        <v>5521</v>
      </c>
      <c r="U379" s="105">
        <v>6964</v>
      </c>
      <c r="V379" s="105">
        <v>7057</v>
      </c>
      <c r="W379" s="105">
        <v>8391</v>
      </c>
      <c r="X379" s="105">
        <v>8394</v>
      </c>
      <c r="Y379" s="105">
        <v>8431</v>
      </c>
      <c r="Z379" s="105">
        <v>8626</v>
      </c>
      <c r="AA379" s="105">
        <v>8098</v>
      </c>
      <c r="AB379" s="105">
        <v>8144</v>
      </c>
      <c r="AC379" s="105">
        <v>8196</v>
      </c>
      <c r="AD379" s="105">
        <v>11464</v>
      </c>
      <c r="AE379" s="105">
        <v>10934</v>
      </c>
      <c r="AF379" s="105">
        <v>12465</v>
      </c>
      <c r="AG379" s="105">
        <v>13037</v>
      </c>
      <c r="AH379" s="105">
        <v>13049</v>
      </c>
      <c r="AI379" s="105">
        <v>13271</v>
      </c>
      <c r="AJ379" s="105">
        <v>15336</v>
      </c>
      <c r="AK379" s="105">
        <v>19833</v>
      </c>
      <c r="AL379" s="105">
        <v>13975</v>
      </c>
      <c r="AM379" s="105">
        <v>13719</v>
      </c>
      <c r="AN379" s="105">
        <v>13699</v>
      </c>
      <c r="AO379" s="117">
        <v>14177</v>
      </c>
      <c r="AP379" s="105">
        <v>13268</v>
      </c>
      <c r="AQ379" s="117">
        <v>13155</v>
      </c>
      <c r="AR379" s="105">
        <v>12812</v>
      </c>
      <c r="AS379" s="105">
        <v>12319</v>
      </c>
      <c r="AT379" s="105">
        <v>12167</v>
      </c>
      <c r="AU379" s="105">
        <v>8915</v>
      </c>
      <c r="AV379" s="105">
        <v>8560</v>
      </c>
      <c r="AW379" s="105">
        <v>3412</v>
      </c>
      <c r="AY379" s="105">
        <v>13699</v>
      </c>
      <c r="AZ379" s="374"/>
      <c r="BA379" s="105">
        <v>12319</v>
      </c>
      <c r="BC379" s="27"/>
      <c r="BD379" s="27"/>
      <c r="BF379" s="27"/>
      <c r="BG379" s="27"/>
    </row>
    <row r="380" spans="2:59">
      <c r="B380" s="10" t="s">
        <v>420</v>
      </c>
      <c r="C380" s="105">
        <v>1384</v>
      </c>
      <c r="D380" s="105">
        <v>1482</v>
      </c>
      <c r="E380" s="105">
        <v>1386</v>
      </c>
      <c r="F380" s="105">
        <v>1102</v>
      </c>
      <c r="G380" s="105">
        <v>1088</v>
      </c>
      <c r="H380" s="105">
        <v>3773</v>
      </c>
      <c r="I380" s="105">
        <v>3773</v>
      </c>
      <c r="J380" s="105">
        <v>3775</v>
      </c>
      <c r="K380" s="105">
        <v>3775</v>
      </c>
      <c r="L380" s="105">
        <v>3775</v>
      </c>
      <c r="M380" s="105">
        <v>3775</v>
      </c>
      <c r="N380" s="105">
        <v>3775</v>
      </c>
      <c r="O380" s="105">
        <v>892</v>
      </c>
      <c r="Q380" s="105">
        <v>1484</v>
      </c>
      <c r="R380" s="105">
        <v>1408</v>
      </c>
      <c r="S380" s="105">
        <v>1391</v>
      </c>
      <c r="T380" s="105">
        <v>1386</v>
      </c>
      <c r="U380" s="105">
        <v>1232</v>
      </c>
      <c r="V380" s="105">
        <v>1173</v>
      </c>
      <c r="W380" s="105">
        <v>1136</v>
      </c>
      <c r="X380" s="105">
        <v>1102</v>
      </c>
      <c r="Y380" s="105">
        <v>1097</v>
      </c>
      <c r="Z380" s="105">
        <v>1097</v>
      </c>
      <c r="AA380" s="105">
        <v>1088</v>
      </c>
      <c r="AB380" s="105">
        <v>1088</v>
      </c>
      <c r="AC380" s="105">
        <v>1066</v>
      </c>
      <c r="AD380" s="105">
        <v>3654</v>
      </c>
      <c r="AE380" s="105">
        <v>3654</v>
      </c>
      <c r="AF380" s="105">
        <v>3773</v>
      </c>
      <c r="AG380" s="105">
        <v>3775</v>
      </c>
      <c r="AH380" s="105">
        <v>3775</v>
      </c>
      <c r="AI380" s="105">
        <v>3775</v>
      </c>
      <c r="AJ380" s="105">
        <v>3775</v>
      </c>
      <c r="AK380" s="105">
        <v>3775</v>
      </c>
      <c r="AL380" s="105">
        <v>3775</v>
      </c>
      <c r="AM380" s="105">
        <v>3775</v>
      </c>
      <c r="AN380" s="105">
        <v>3775</v>
      </c>
      <c r="AO380" s="117">
        <v>3775</v>
      </c>
      <c r="AP380" s="105">
        <v>3775</v>
      </c>
      <c r="AQ380" s="117">
        <v>3775</v>
      </c>
      <c r="AR380" s="105">
        <v>3775</v>
      </c>
      <c r="AS380" s="105">
        <v>864</v>
      </c>
      <c r="AT380" s="105">
        <v>876</v>
      </c>
      <c r="AU380" s="105">
        <v>888</v>
      </c>
      <c r="AV380" s="105">
        <v>892</v>
      </c>
      <c r="AW380" s="105">
        <v>814</v>
      </c>
      <c r="AY380" s="105">
        <v>3775</v>
      </c>
      <c r="AZ380" s="374"/>
      <c r="BA380" s="105">
        <v>864</v>
      </c>
      <c r="BC380" s="27"/>
      <c r="BD380" s="27"/>
      <c r="BF380" s="27"/>
      <c r="BG380" s="27"/>
    </row>
    <row r="381" spans="2:59">
      <c r="B381" s="10" t="s">
        <v>421</v>
      </c>
      <c r="C381" s="105">
        <v>3241</v>
      </c>
      <c r="D381" s="105">
        <v>3375</v>
      </c>
      <c r="E381" s="105">
        <v>3375</v>
      </c>
      <c r="F381" s="105">
        <v>0</v>
      </c>
      <c r="G381" s="105">
        <v>0</v>
      </c>
      <c r="H381" s="105">
        <v>740</v>
      </c>
      <c r="I381" s="105">
        <v>740</v>
      </c>
      <c r="J381" s="105">
        <v>740</v>
      </c>
      <c r="K381" s="105">
        <v>740</v>
      </c>
      <c r="L381" s="105">
        <v>740</v>
      </c>
      <c r="M381" s="105">
        <v>740</v>
      </c>
      <c r="N381" s="105">
        <v>742</v>
      </c>
      <c r="O381" s="105">
        <v>370</v>
      </c>
      <c r="Q381" s="105">
        <v>3375</v>
      </c>
      <c r="R381" s="105">
        <v>3375</v>
      </c>
      <c r="S381" s="105">
        <v>3375</v>
      </c>
      <c r="T381" s="105">
        <v>3375</v>
      </c>
      <c r="U381" s="105">
        <v>0</v>
      </c>
      <c r="V381" s="105" t="s">
        <v>431</v>
      </c>
      <c r="W381" s="105">
        <v>0</v>
      </c>
      <c r="X381" s="105">
        <v>0</v>
      </c>
      <c r="Y381" s="105">
        <v>0</v>
      </c>
      <c r="Z381" s="105">
        <v>0</v>
      </c>
      <c r="AA381" s="105">
        <v>0</v>
      </c>
      <c r="AB381" s="105">
        <v>0</v>
      </c>
      <c r="AC381" s="105">
        <v>0</v>
      </c>
      <c r="AD381" s="105">
        <v>722</v>
      </c>
      <c r="AE381" s="105">
        <v>740</v>
      </c>
      <c r="AF381" s="105">
        <v>740</v>
      </c>
      <c r="AG381" s="105">
        <v>740</v>
      </c>
      <c r="AH381" s="105">
        <v>740</v>
      </c>
      <c r="AI381" s="105">
        <v>740</v>
      </c>
      <c r="AJ381" s="105">
        <v>740</v>
      </c>
      <c r="AK381" s="105">
        <v>740</v>
      </c>
      <c r="AL381" s="105">
        <v>740</v>
      </c>
      <c r="AM381" s="105">
        <v>740</v>
      </c>
      <c r="AN381" s="105">
        <v>740</v>
      </c>
      <c r="AO381" s="105">
        <v>742</v>
      </c>
      <c r="AP381" s="105">
        <v>742</v>
      </c>
      <c r="AQ381" s="105">
        <v>742</v>
      </c>
      <c r="AR381" s="105">
        <v>742</v>
      </c>
      <c r="AS381" s="105">
        <v>4</v>
      </c>
      <c r="AT381" s="105">
        <v>3</v>
      </c>
      <c r="AU381" s="105">
        <v>180</v>
      </c>
      <c r="AV381" s="105">
        <v>370</v>
      </c>
      <c r="AW381" s="105">
        <v>495</v>
      </c>
      <c r="AY381" s="105">
        <v>740</v>
      </c>
      <c r="AZ381" s="374"/>
      <c r="BA381" s="105">
        <v>4</v>
      </c>
      <c r="BC381" s="27"/>
      <c r="BD381" s="27"/>
      <c r="BF381" s="27"/>
      <c r="BG381" s="27"/>
    </row>
    <row r="382" spans="2:59">
      <c r="B382" s="10" t="s">
        <v>422</v>
      </c>
      <c r="C382" s="105">
        <v>749</v>
      </c>
      <c r="D382" s="105">
        <v>1000</v>
      </c>
      <c r="E382" s="105">
        <v>1325</v>
      </c>
      <c r="F382" s="105">
        <v>1000</v>
      </c>
      <c r="G382" s="105">
        <v>1000</v>
      </c>
      <c r="H382" s="105">
        <v>1157</v>
      </c>
      <c r="I382" s="105">
        <v>1157</v>
      </c>
      <c r="J382" s="105">
        <v>4483</v>
      </c>
      <c r="K382" s="105">
        <v>4483</v>
      </c>
      <c r="L382" s="105">
        <v>4483</v>
      </c>
      <c r="M382" s="105">
        <v>4483</v>
      </c>
      <c r="N382" s="105">
        <v>4483</v>
      </c>
      <c r="O382" s="105">
        <v>18</v>
      </c>
      <c r="Q382" s="105">
        <v>1000</v>
      </c>
      <c r="R382" s="105">
        <v>1000</v>
      </c>
      <c r="S382" s="105">
        <v>1000</v>
      </c>
      <c r="T382" s="105">
        <v>1325</v>
      </c>
      <c r="U382" s="105">
        <v>1325</v>
      </c>
      <c r="V382" s="105">
        <v>1000</v>
      </c>
      <c r="W382" s="105">
        <v>1000</v>
      </c>
      <c r="X382" s="105">
        <v>1000</v>
      </c>
      <c r="Y382" s="105">
        <v>1000</v>
      </c>
      <c r="Z382" s="105">
        <v>1000</v>
      </c>
      <c r="AA382" s="105">
        <v>1000</v>
      </c>
      <c r="AB382" s="105">
        <v>1000</v>
      </c>
      <c r="AC382" s="105">
        <v>1000</v>
      </c>
      <c r="AD382" s="105">
        <v>965</v>
      </c>
      <c r="AE382" s="105">
        <v>965</v>
      </c>
      <c r="AF382" s="105">
        <v>1157</v>
      </c>
      <c r="AG382" s="105">
        <v>4359</v>
      </c>
      <c r="AH382" s="105">
        <v>4359</v>
      </c>
      <c r="AI382" s="105">
        <v>4359</v>
      </c>
      <c r="AJ382" s="105">
        <v>4483</v>
      </c>
      <c r="AK382" s="105">
        <v>4483</v>
      </c>
      <c r="AL382" s="105">
        <v>4483</v>
      </c>
      <c r="AM382" s="105">
        <v>4483</v>
      </c>
      <c r="AN382" s="105">
        <v>4483</v>
      </c>
      <c r="AO382" s="117">
        <v>4483</v>
      </c>
      <c r="AP382" s="105">
        <v>4483</v>
      </c>
      <c r="AQ382" s="117">
        <v>4483</v>
      </c>
      <c r="AR382" s="105">
        <v>4483</v>
      </c>
      <c r="AS382" s="105">
        <v>0</v>
      </c>
      <c r="AT382" s="105">
        <v>0</v>
      </c>
      <c r="AU382" s="105">
        <v>18</v>
      </c>
      <c r="AV382" s="105">
        <v>18</v>
      </c>
      <c r="AW382" s="105">
        <v>18</v>
      </c>
      <c r="AY382" s="105">
        <v>4483</v>
      </c>
      <c r="AZ382" s="374"/>
      <c r="BA382" s="105">
        <v>0</v>
      </c>
      <c r="BC382" s="27"/>
      <c r="BD382" s="27"/>
      <c r="BF382" s="27"/>
      <c r="BG382" s="27"/>
    </row>
    <row r="383" spans="2:59">
      <c r="B383" s="10" t="s">
        <v>423</v>
      </c>
      <c r="C383" s="105">
        <v>0</v>
      </c>
      <c r="D383" s="105">
        <v>0</v>
      </c>
      <c r="E383" s="105">
        <v>0</v>
      </c>
      <c r="F383" s="105">
        <v>1027</v>
      </c>
      <c r="G383" s="105">
        <v>1026</v>
      </c>
      <c r="H383" s="105">
        <v>949</v>
      </c>
      <c r="I383" s="105">
        <v>949</v>
      </c>
      <c r="J383" s="105">
        <v>945</v>
      </c>
      <c r="K383" s="105">
        <v>945</v>
      </c>
      <c r="L383" s="105">
        <v>0</v>
      </c>
      <c r="M383" s="105">
        <v>0</v>
      </c>
      <c r="N383" s="105">
        <v>0</v>
      </c>
      <c r="O383" s="105">
        <v>0</v>
      </c>
      <c r="Q383" s="105">
        <v>0</v>
      </c>
      <c r="R383" s="105">
        <v>0</v>
      </c>
      <c r="S383" s="105">
        <v>0</v>
      </c>
      <c r="T383" s="105">
        <v>0</v>
      </c>
      <c r="U383" s="105">
        <v>926</v>
      </c>
      <c r="V383" s="105">
        <v>994</v>
      </c>
      <c r="W383" s="105">
        <v>994</v>
      </c>
      <c r="X383" s="105">
        <v>1027</v>
      </c>
      <c r="Y383" s="105">
        <v>1051</v>
      </c>
      <c r="Z383" s="105">
        <v>1026</v>
      </c>
      <c r="AA383" s="105">
        <v>1026</v>
      </c>
      <c r="AB383" s="105">
        <v>1026</v>
      </c>
      <c r="AC383" s="105">
        <v>1026</v>
      </c>
      <c r="AD383" s="105">
        <v>1044</v>
      </c>
      <c r="AE383" s="105">
        <v>997</v>
      </c>
      <c r="AF383" s="105">
        <v>949</v>
      </c>
      <c r="AG383" s="105">
        <v>945</v>
      </c>
      <c r="AH383" s="105">
        <v>945</v>
      </c>
      <c r="AI383" s="105">
        <v>945</v>
      </c>
      <c r="AJ383" s="105">
        <v>945</v>
      </c>
      <c r="AK383" s="105">
        <v>945</v>
      </c>
      <c r="AL383" s="105">
        <v>945</v>
      </c>
      <c r="AM383" s="105">
        <v>945</v>
      </c>
      <c r="AN383" s="105">
        <v>945</v>
      </c>
      <c r="AO383" s="105">
        <v>0</v>
      </c>
      <c r="AP383" s="105">
        <v>0</v>
      </c>
      <c r="AQ383" s="105"/>
      <c r="AR383" s="105"/>
      <c r="AS383" s="105"/>
      <c r="AT383" s="105">
        <v>0</v>
      </c>
      <c r="AU383" s="105"/>
      <c r="AV383" s="105"/>
      <c r="AW383" s="105">
        <v>0</v>
      </c>
      <c r="AY383" s="105"/>
      <c r="AZ383" s="374"/>
      <c r="BA383" s="105"/>
      <c r="BC383" s="27"/>
      <c r="BD383" s="27"/>
      <c r="BF383" s="27"/>
      <c r="BG383" s="27"/>
    </row>
    <row r="384" spans="2:59">
      <c r="B384" s="10" t="s">
        <v>425</v>
      </c>
      <c r="C384" s="105">
        <v>0</v>
      </c>
      <c r="D384" s="105">
        <v>0</v>
      </c>
      <c r="E384" s="105">
        <v>0</v>
      </c>
      <c r="F384" s="105">
        <v>0</v>
      </c>
      <c r="G384" s="105">
        <v>0</v>
      </c>
      <c r="H384" s="105">
        <v>0</v>
      </c>
      <c r="I384" s="105">
        <v>0</v>
      </c>
      <c r="J384" s="105">
        <v>0</v>
      </c>
      <c r="K384" s="105">
        <v>0</v>
      </c>
      <c r="L384" s="105">
        <v>0</v>
      </c>
      <c r="M384" s="105">
        <v>0</v>
      </c>
      <c r="N384" s="105">
        <v>0</v>
      </c>
      <c r="O384" s="105">
        <v>0</v>
      </c>
      <c r="Q384" s="105">
        <v>0</v>
      </c>
      <c r="R384" s="105">
        <v>0</v>
      </c>
      <c r="S384" s="105">
        <v>0</v>
      </c>
      <c r="T384" s="105">
        <v>0</v>
      </c>
      <c r="U384" s="105">
        <v>0</v>
      </c>
      <c r="V384" s="105">
        <v>0</v>
      </c>
      <c r="W384" s="105">
        <v>0</v>
      </c>
      <c r="X384" s="105">
        <v>0</v>
      </c>
      <c r="Y384" s="105">
        <v>0</v>
      </c>
      <c r="Z384" s="105">
        <v>0</v>
      </c>
      <c r="AA384" s="105">
        <v>0</v>
      </c>
      <c r="AB384" s="105">
        <v>0</v>
      </c>
      <c r="AC384" s="105">
        <v>0</v>
      </c>
      <c r="AD384" s="105">
        <v>11</v>
      </c>
      <c r="AE384" s="105">
        <v>0</v>
      </c>
      <c r="AF384" s="105">
        <v>0</v>
      </c>
      <c r="AG384" s="105">
        <v>0</v>
      </c>
      <c r="AH384" s="105">
        <v>0</v>
      </c>
      <c r="AI384" s="105">
        <v>0</v>
      </c>
      <c r="AJ384" s="105">
        <v>0</v>
      </c>
      <c r="AK384" s="105">
        <v>0</v>
      </c>
      <c r="AL384" s="105">
        <v>0</v>
      </c>
      <c r="AM384" s="105">
        <v>0</v>
      </c>
      <c r="AN384" s="105">
        <v>0</v>
      </c>
      <c r="AO384" s="105">
        <v>0</v>
      </c>
      <c r="AP384" s="105">
        <v>0</v>
      </c>
      <c r="AQ384" s="105"/>
      <c r="AR384" s="105">
        <v>0</v>
      </c>
      <c r="AS384" s="105">
        <v>0</v>
      </c>
      <c r="AT384" s="105">
        <v>0</v>
      </c>
      <c r="AU384" s="105">
        <v>0</v>
      </c>
      <c r="AV384" s="105">
        <v>0</v>
      </c>
      <c r="AW384" s="105">
        <v>0</v>
      </c>
      <c r="AY384" s="105">
        <v>0</v>
      </c>
      <c r="AZ384" s="374"/>
      <c r="BA384" s="105">
        <v>0</v>
      </c>
      <c r="BC384" s="27"/>
      <c r="BD384" s="27"/>
      <c r="BF384" s="27"/>
      <c r="BG384" s="27"/>
    </row>
    <row r="385" spans="2:59">
      <c r="B385" s="10" t="s">
        <v>426</v>
      </c>
      <c r="C385" s="105">
        <v>0</v>
      </c>
      <c r="D385" s="105">
        <v>0</v>
      </c>
      <c r="E385" s="105">
        <v>0</v>
      </c>
      <c r="F385" s="105">
        <v>0</v>
      </c>
      <c r="G385" s="105">
        <v>0</v>
      </c>
      <c r="H385" s="105">
        <v>0</v>
      </c>
      <c r="I385" s="105">
        <v>0</v>
      </c>
      <c r="J385" s="105">
        <v>0</v>
      </c>
      <c r="K385" s="105">
        <v>0</v>
      </c>
      <c r="L385" s="105">
        <v>0</v>
      </c>
      <c r="M385" s="105">
        <v>0</v>
      </c>
      <c r="N385" s="105">
        <v>0</v>
      </c>
      <c r="O385" s="105">
        <v>0</v>
      </c>
      <c r="Q385" s="105">
        <v>0</v>
      </c>
      <c r="R385" s="105">
        <v>0</v>
      </c>
      <c r="S385" s="105">
        <v>0</v>
      </c>
      <c r="T385" s="105">
        <v>0</v>
      </c>
      <c r="U385" s="105">
        <v>0</v>
      </c>
      <c r="V385" s="105">
        <v>0</v>
      </c>
      <c r="W385" s="105">
        <v>0</v>
      </c>
      <c r="X385" s="105">
        <v>0</v>
      </c>
      <c r="Y385" s="105">
        <v>0</v>
      </c>
      <c r="Z385" s="105">
        <v>0</v>
      </c>
      <c r="AA385" s="105">
        <v>0</v>
      </c>
      <c r="AB385" s="105">
        <v>0</v>
      </c>
      <c r="AC385" s="105">
        <v>0</v>
      </c>
      <c r="AD385" s="105">
        <v>0</v>
      </c>
      <c r="AE385" s="105">
        <v>0</v>
      </c>
      <c r="AF385" s="105">
        <v>0</v>
      </c>
      <c r="AG385" s="105">
        <v>0</v>
      </c>
      <c r="AH385" s="105">
        <v>0</v>
      </c>
      <c r="AI385" s="105">
        <v>0</v>
      </c>
      <c r="AJ385" s="105">
        <v>0</v>
      </c>
      <c r="AK385" s="105">
        <v>0</v>
      </c>
      <c r="AL385" s="105">
        <v>0</v>
      </c>
      <c r="AM385" s="105">
        <v>0</v>
      </c>
      <c r="AN385" s="105">
        <v>0</v>
      </c>
      <c r="AO385" s="105">
        <v>0</v>
      </c>
      <c r="AP385" s="105">
        <v>0</v>
      </c>
      <c r="AQ385" s="105"/>
      <c r="AR385" s="105">
        <v>0</v>
      </c>
      <c r="AS385" s="105">
        <v>0</v>
      </c>
      <c r="AT385" s="105">
        <v>0</v>
      </c>
      <c r="AU385" s="105">
        <v>0</v>
      </c>
      <c r="AV385" s="105">
        <v>0</v>
      </c>
      <c r="AW385" s="105">
        <v>0</v>
      </c>
      <c r="AY385" s="105">
        <v>0</v>
      </c>
      <c r="AZ385" s="374"/>
      <c r="BA385" s="105">
        <v>0</v>
      </c>
      <c r="BC385" s="27"/>
      <c r="BD385" s="27"/>
      <c r="BF385" s="27"/>
      <c r="BG385" s="27"/>
    </row>
    <row r="386" spans="2:59">
      <c r="B386" s="10" t="s">
        <v>427</v>
      </c>
      <c r="C386" s="105"/>
      <c r="D386" s="105"/>
      <c r="E386" s="105"/>
      <c r="F386" s="105"/>
      <c r="G386" s="105"/>
      <c r="H386" s="105">
        <v>0</v>
      </c>
      <c r="I386" s="105">
        <v>0</v>
      </c>
      <c r="J386" s="105">
        <v>0</v>
      </c>
      <c r="K386" s="105">
        <v>0</v>
      </c>
      <c r="L386" s="105">
        <v>0</v>
      </c>
      <c r="M386" s="105">
        <v>0</v>
      </c>
      <c r="N386" s="105">
        <v>0</v>
      </c>
      <c r="O386" s="105">
        <v>0</v>
      </c>
      <c r="Q386" s="105"/>
      <c r="R386" s="105"/>
      <c r="S386" s="105"/>
      <c r="T386" s="105"/>
      <c r="U386" s="105"/>
      <c r="V386" s="105"/>
      <c r="W386" s="105"/>
      <c r="X386" s="105"/>
      <c r="Y386" s="105"/>
      <c r="Z386" s="105"/>
      <c r="AA386" s="105"/>
      <c r="AB386" s="105"/>
      <c r="AC386" s="105">
        <v>0</v>
      </c>
      <c r="AD386" s="105">
        <v>0</v>
      </c>
      <c r="AE386" s="105">
        <v>0</v>
      </c>
      <c r="AF386" s="105">
        <v>0</v>
      </c>
      <c r="AG386" s="105">
        <v>0</v>
      </c>
      <c r="AH386" s="105">
        <v>0</v>
      </c>
      <c r="AI386" s="105">
        <v>0</v>
      </c>
      <c r="AJ386" s="105">
        <v>0</v>
      </c>
      <c r="AK386" s="105">
        <v>0</v>
      </c>
      <c r="AL386" s="105">
        <v>0</v>
      </c>
      <c r="AM386" s="105">
        <v>0</v>
      </c>
      <c r="AN386" s="105">
        <v>0</v>
      </c>
      <c r="AO386" s="105">
        <v>0</v>
      </c>
      <c r="AP386" s="105">
        <v>0</v>
      </c>
      <c r="AQ386" s="105"/>
      <c r="AR386" s="105">
        <v>0</v>
      </c>
      <c r="AS386" s="105">
        <v>0</v>
      </c>
      <c r="AT386" s="105">
        <v>0</v>
      </c>
      <c r="AU386" s="105">
        <v>0</v>
      </c>
      <c r="AV386" s="105">
        <v>0</v>
      </c>
      <c r="AW386" s="105">
        <v>0</v>
      </c>
      <c r="AY386" s="105">
        <v>0</v>
      </c>
      <c r="AZ386" s="374"/>
      <c r="BA386" s="105">
        <v>0</v>
      </c>
      <c r="BC386" s="27"/>
      <c r="BD386" s="27"/>
      <c r="BF386" s="27"/>
      <c r="BG386" s="27"/>
    </row>
    <row r="387" spans="2:59">
      <c r="B387" s="10" t="s">
        <v>428</v>
      </c>
      <c r="C387" s="105"/>
      <c r="D387" s="105"/>
      <c r="E387" s="105"/>
      <c r="F387" s="105"/>
      <c r="G387" s="105"/>
      <c r="H387" s="105"/>
      <c r="I387" s="105"/>
      <c r="J387" s="105">
        <v>166</v>
      </c>
      <c r="K387" s="105">
        <v>166</v>
      </c>
      <c r="L387" s="105">
        <v>161</v>
      </c>
      <c r="M387" s="105">
        <v>161</v>
      </c>
      <c r="N387" s="105">
        <v>103</v>
      </c>
      <c r="O387" s="105">
        <v>66</v>
      </c>
      <c r="Q387" s="105"/>
      <c r="R387" s="105"/>
      <c r="S387" s="105"/>
      <c r="T387" s="105"/>
      <c r="U387" s="105"/>
      <c r="V387" s="105"/>
      <c r="W387" s="105"/>
      <c r="X387" s="105"/>
      <c r="Y387" s="105"/>
      <c r="Z387" s="105"/>
      <c r="AA387" s="105"/>
      <c r="AB387" s="105"/>
      <c r="AC387" s="105"/>
      <c r="AD387" s="105"/>
      <c r="AE387" s="105"/>
      <c r="AF387" s="105"/>
      <c r="AG387" s="105"/>
      <c r="AH387" s="105">
        <v>168</v>
      </c>
      <c r="AI387" s="105">
        <v>166</v>
      </c>
      <c r="AJ387" s="105">
        <v>166</v>
      </c>
      <c r="AK387" s="105">
        <v>161</v>
      </c>
      <c r="AL387" s="105">
        <v>161</v>
      </c>
      <c r="AM387" s="105">
        <v>161</v>
      </c>
      <c r="AN387" s="105">
        <v>161</v>
      </c>
      <c r="AO387" s="105">
        <v>161</v>
      </c>
      <c r="AP387" s="105">
        <v>103</v>
      </c>
      <c r="AQ387" s="105">
        <v>103</v>
      </c>
      <c r="AR387" s="105">
        <v>103</v>
      </c>
      <c r="AS387" s="105">
        <v>99</v>
      </c>
      <c r="AT387" s="105">
        <v>66</v>
      </c>
      <c r="AU387" s="105">
        <v>66</v>
      </c>
      <c r="AV387" s="105">
        <v>66</v>
      </c>
      <c r="AW387" s="105">
        <v>0</v>
      </c>
      <c r="AY387" s="105">
        <v>161</v>
      </c>
      <c r="AZ387" s="374"/>
      <c r="BA387" s="105">
        <v>99</v>
      </c>
      <c r="BC387" s="27"/>
      <c r="BD387" s="27"/>
      <c r="BF387" s="27"/>
      <c r="BG387" s="27"/>
    </row>
    <row r="388" spans="2:59">
      <c r="C388" s="105"/>
      <c r="D388" s="105"/>
      <c r="E388" s="105"/>
      <c r="F388" s="105"/>
      <c r="G388" s="105"/>
      <c r="H388" s="105"/>
      <c r="I388" s="105"/>
      <c r="J388" s="105"/>
      <c r="K388" s="105"/>
      <c r="L388" s="105"/>
      <c r="M388" s="105"/>
      <c r="N388" s="105"/>
      <c r="O388" s="105"/>
      <c r="Q388" s="105"/>
      <c r="R388" s="105"/>
      <c r="S388" s="105"/>
      <c r="T388" s="105"/>
      <c r="U388" s="105"/>
      <c r="V388" s="105"/>
      <c r="W388" s="105"/>
      <c r="X388" s="105"/>
      <c r="Y388" s="105"/>
      <c r="Z388" s="105"/>
      <c r="AA388" s="105"/>
      <c r="AB388" s="105"/>
      <c r="AC388" s="105"/>
      <c r="AD388" s="105"/>
      <c r="AE388" s="105"/>
      <c r="AF388" s="105"/>
      <c r="AG388" s="105"/>
      <c r="AH388" s="105"/>
      <c r="AI388" s="105"/>
      <c r="AJ388" s="105"/>
      <c r="AK388" s="105"/>
      <c r="AL388" s="105"/>
      <c r="AM388" s="105"/>
      <c r="AN388" s="105"/>
      <c r="AO388" s="105"/>
      <c r="AP388" s="105"/>
      <c r="AQ388" s="105"/>
      <c r="AR388" s="105"/>
      <c r="AS388" s="105"/>
      <c r="AT388" s="105"/>
      <c r="AU388" s="105"/>
      <c r="AV388" s="105"/>
      <c r="AW388" s="105"/>
      <c r="AY388" s="105"/>
      <c r="AZ388" s="105"/>
      <c r="BA388" s="105"/>
      <c r="BC388" s="27"/>
      <c r="BD388" s="27"/>
      <c r="BF388" s="27"/>
      <c r="BG388" s="27"/>
    </row>
    <row r="389" spans="2:59">
      <c r="B389" s="6" t="s">
        <v>432</v>
      </c>
      <c r="C389" s="105">
        <v>1.44</v>
      </c>
      <c r="D389" s="105">
        <v>1.57</v>
      </c>
      <c r="E389" s="105">
        <v>1.62</v>
      </c>
      <c r="F389" s="177">
        <v>1.61</v>
      </c>
      <c r="G389" s="177">
        <v>1.58</v>
      </c>
      <c r="H389" s="177">
        <v>1.58</v>
      </c>
      <c r="I389" s="177">
        <v>1.58</v>
      </c>
      <c r="J389" s="177">
        <v>1.64</v>
      </c>
      <c r="K389" s="177">
        <v>1.64</v>
      </c>
      <c r="L389" s="177">
        <v>1.64</v>
      </c>
      <c r="M389" s="177">
        <v>1.64</v>
      </c>
      <c r="N389" s="177">
        <v>1.68</v>
      </c>
      <c r="O389" s="177">
        <v>1.68</v>
      </c>
      <c r="Q389" s="105">
        <v>1.59</v>
      </c>
      <c r="R389" s="105">
        <v>1.59</v>
      </c>
      <c r="S389" s="105">
        <v>1.62</v>
      </c>
      <c r="T389" s="105">
        <v>1.62</v>
      </c>
      <c r="U389" s="105">
        <v>1.6</v>
      </c>
      <c r="V389" s="105">
        <v>1.6</v>
      </c>
      <c r="W389" s="105">
        <v>1.61</v>
      </c>
      <c r="X389" s="105">
        <v>1.61</v>
      </c>
      <c r="Y389" s="177">
        <v>1.61</v>
      </c>
      <c r="Z389" s="177">
        <v>1.6</v>
      </c>
      <c r="AA389" s="177">
        <v>1.6</v>
      </c>
      <c r="AB389" s="177">
        <v>1.58</v>
      </c>
      <c r="AC389" s="177">
        <v>1.57</v>
      </c>
      <c r="AD389" s="177">
        <v>1.56</v>
      </c>
      <c r="AE389" s="177">
        <v>1.56</v>
      </c>
      <c r="AF389" s="177">
        <v>1.58</v>
      </c>
      <c r="AG389" s="177">
        <v>1.63</v>
      </c>
      <c r="AH389" s="177">
        <v>1.61</v>
      </c>
      <c r="AI389" s="177">
        <v>1.62</v>
      </c>
      <c r="AJ389" s="177">
        <v>1.64</v>
      </c>
      <c r="AK389" s="177">
        <v>1.64</v>
      </c>
      <c r="AL389" s="177">
        <v>1.65</v>
      </c>
      <c r="AM389" s="177">
        <v>1.66</v>
      </c>
      <c r="AN389" s="177">
        <v>1.67</v>
      </c>
      <c r="AO389" s="177">
        <v>1.65</v>
      </c>
      <c r="AP389" s="177">
        <v>1.6579999999999999</v>
      </c>
      <c r="AQ389" s="177">
        <v>1.66</v>
      </c>
      <c r="AR389" s="177">
        <v>1.68</v>
      </c>
      <c r="AS389" s="177">
        <v>1.6827882605751965</v>
      </c>
      <c r="AT389" s="177">
        <v>1.68</v>
      </c>
      <c r="AU389" s="177">
        <v>1.67</v>
      </c>
      <c r="AV389" s="177">
        <v>1.68</v>
      </c>
      <c r="AW389" s="177">
        <v>1.68</v>
      </c>
      <c r="AY389" s="177">
        <v>1.64</v>
      </c>
      <c r="AZ389" s="374"/>
      <c r="BA389" s="177">
        <v>1.68</v>
      </c>
      <c r="BC389" s="27"/>
      <c r="BD389" s="27"/>
      <c r="BF389" s="27"/>
      <c r="BG389" s="27"/>
    </row>
    <row r="390" spans="2:59">
      <c r="B390" s="10" t="s">
        <v>419</v>
      </c>
      <c r="C390" s="105">
        <v>1.6</v>
      </c>
      <c r="D390" s="105">
        <v>1.69</v>
      </c>
      <c r="E390" s="105">
        <v>1.84</v>
      </c>
      <c r="F390" s="177">
        <v>1.93</v>
      </c>
      <c r="G390" s="177">
        <v>1.97</v>
      </c>
      <c r="H390" s="177">
        <v>2.0499999999999998</v>
      </c>
      <c r="I390" s="177">
        <v>2.0499999999999998</v>
      </c>
      <c r="J390" s="177">
        <v>2.2599999999999998</v>
      </c>
      <c r="K390" s="177">
        <v>2.2599999999999998</v>
      </c>
      <c r="L390" s="177">
        <v>2.33</v>
      </c>
      <c r="M390" s="177">
        <v>2.33</v>
      </c>
      <c r="N390" s="177">
        <v>2.4</v>
      </c>
      <c r="O390" s="177">
        <v>2.2799999999999998</v>
      </c>
      <c r="Q390" s="105">
        <v>1.71</v>
      </c>
      <c r="R390" s="105">
        <v>1.74</v>
      </c>
      <c r="S390" s="105">
        <v>1.82</v>
      </c>
      <c r="T390" s="105">
        <v>1.84</v>
      </c>
      <c r="U390" s="105">
        <v>1.85</v>
      </c>
      <c r="V390" s="105">
        <v>1.86</v>
      </c>
      <c r="W390" s="105">
        <v>1.91</v>
      </c>
      <c r="X390" s="105">
        <v>1.93</v>
      </c>
      <c r="Y390" s="177">
        <v>1.95</v>
      </c>
      <c r="Z390" s="177">
        <v>1.96</v>
      </c>
      <c r="AA390" s="177">
        <v>1.97</v>
      </c>
      <c r="AB390" s="177">
        <v>1.97</v>
      </c>
      <c r="AC390" s="177">
        <v>1.98</v>
      </c>
      <c r="AD390" s="177">
        <v>1.98</v>
      </c>
      <c r="AE390" s="177">
        <v>1.99</v>
      </c>
      <c r="AF390" s="177">
        <v>2.0499999999999998</v>
      </c>
      <c r="AG390" s="177">
        <v>2.15</v>
      </c>
      <c r="AH390" s="177">
        <v>2.14</v>
      </c>
      <c r="AI390" s="177">
        <v>2.1800000000000002</v>
      </c>
      <c r="AJ390" s="177">
        <v>2.2599999999999998</v>
      </c>
      <c r="AK390" s="177">
        <v>2.2599999999999998</v>
      </c>
      <c r="AL390" s="177">
        <v>2.2999999999999998</v>
      </c>
      <c r="AM390" s="177">
        <v>2.31</v>
      </c>
      <c r="AN390" s="177">
        <v>2.33</v>
      </c>
      <c r="AO390" s="177">
        <v>2.34</v>
      </c>
      <c r="AP390" s="177">
        <v>2.34</v>
      </c>
      <c r="AQ390" s="177">
        <v>2.34</v>
      </c>
      <c r="AR390" s="177">
        <v>2.4</v>
      </c>
      <c r="AS390" s="177">
        <v>2.4110883603717119</v>
      </c>
      <c r="AT390" s="177">
        <v>2.37</v>
      </c>
      <c r="AU390" s="177">
        <v>2.33</v>
      </c>
      <c r="AV390" s="177">
        <v>2.2799999999999998</v>
      </c>
      <c r="AW390" s="177">
        <v>2.2599999999999998</v>
      </c>
      <c r="AY390" s="177">
        <v>2.2330000000000001</v>
      </c>
      <c r="AZ390" s="374"/>
      <c r="BA390" s="177">
        <v>2.41</v>
      </c>
      <c r="BC390" s="27"/>
      <c r="BD390" s="27"/>
      <c r="BF390" s="27"/>
      <c r="BG390" s="27"/>
    </row>
    <row r="391" spans="2:59">
      <c r="B391" s="10" t="s">
        <v>420</v>
      </c>
      <c r="C391" s="105">
        <v>1.31</v>
      </c>
      <c r="D391" s="105">
        <v>1.39</v>
      </c>
      <c r="E391" s="105">
        <v>1.45</v>
      </c>
      <c r="F391" s="177">
        <v>1.47</v>
      </c>
      <c r="G391" s="177">
        <v>1.43</v>
      </c>
      <c r="H391" s="177">
        <v>1.43</v>
      </c>
      <c r="I391" s="177">
        <v>1.43</v>
      </c>
      <c r="J391" s="177">
        <v>1.57</v>
      </c>
      <c r="K391" s="177">
        <v>1.57</v>
      </c>
      <c r="L391" s="177">
        <v>1.62</v>
      </c>
      <c r="M391" s="177">
        <v>1.62</v>
      </c>
      <c r="N391" s="177">
        <v>1.66</v>
      </c>
      <c r="O391" s="177">
        <v>1.68</v>
      </c>
      <c r="Q391" s="105">
        <v>1.42</v>
      </c>
      <c r="R391" s="105">
        <v>1.42</v>
      </c>
      <c r="S391" s="105">
        <v>1.43</v>
      </c>
      <c r="T391" s="105">
        <v>1.45</v>
      </c>
      <c r="U391" s="105">
        <v>1.44</v>
      </c>
      <c r="V391" s="105">
        <v>1.46</v>
      </c>
      <c r="W391" s="105">
        <v>1.47</v>
      </c>
      <c r="X391" s="105">
        <v>1.47</v>
      </c>
      <c r="Y391" s="177">
        <v>1.46</v>
      </c>
      <c r="Z391" s="177">
        <v>1.45</v>
      </c>
      <c r="AA391" s="177">
        <v>1.44</v>
      </c>
      <c r="AB391" s="177">
        <v>1.43</v>
      </c>
      <c r="AC391" s="177">
        <v>1.43</v>
      </c>
      <c r="AD391" s="177">
        <v>1.42</v>
      </c>
      <c r="AE391" s="177">
        <v>1.42</v>
      </c>
      <c r="AF391" s="177">
        <v>1.43</v>
      </c>
      <c r="AG391" s="177">
        <v>1.48</v>
      </c>
      <c r="AH391" s="177">
        <v>1.54</v>
      </c>
      <c r="AI391" s="177">
        <v>1.56</v>
      </c>
      <c r="AJ391" s="177">
        <v>1.57</v>
      </c>
      <c r="AK391" s="177">
        <v>1.58</v>
      </c>
      <c r="AL391" s="177">
        <v>1.6</v>
      </c>
      <c r="AM391" s="177">
        <v>1.62</v>
      </c>
      <c r="AN391" s="177">
        <v>1.62</v>
      </c>
      <c r="AO391" s="177">
        <v>1.63</v>
      </c>
      <c r="AP391" s="177">
        <v>1.64</v>
      </c>
      <c r="AQ391" s="177">
        <v>1.65</v>
      </c>
      <c r="AR391" s="177">
        <v>1.66</v>
      </c>
      <c r="AS391" s="177">
        <v>1.6611992630890831</v>
      </c>
      <c r="AT391" s="177">
        <v>1.67</v>
      </c>
      <c r="AU391" s="177">
        <v>1.67</v>
      </c>
      <c r="AV391" s="177">
        <v>1.68</v>
      </c>
      <c r="AW391" s="177">
        <v>1.68</v>
      </c>
      <c r="AY391" s="177">
        <v>1.62</v>
      </c>
      <c r="AZ391" s="374"/>
      <c r="BA391" s="177">
        <v>1.66</v>
      </c>
      <c r="BC391" s="27"/>
      <c r="BD391" s="27"/>
      <c r="BF391" s="27"/>
      <c r="BG391" s="27"/>
    </row>
    <row r="392" spans="2:59">
      <c r="B392" s="10" t="s">
        <v>421</v>
      </c>
      <c r="C392" s="105" t="s">
        <v>431</v>
      </c>
      <c r="D392" s="105" t="s">
        <v>431</v>
      </c>
      <c r="E392" s="105">
        <v>1</v>
      </c>
      <c r="F392" s="177">
        <v>1.01</v>
      </c>
      <c r="G392" s="177">
        <v>1.01</v>
      </c>
      <c r="H392" s="177">
        <v>1.01</v>
      </c>
      <c r="I392" s="177">
        <v>1.01</v>
      </c>
      <c r="J392" s="177">
        <v>1.1299999999999999</v>
      </c>
      <c r="K392" s="177">
        <v>1.1299999999999999</v>
      </c>
      <c r="L392" s="177">
        <v>1.2</v>
      </c>
      <c r="M392" s="177">
        <v>1.2</v>
      </c>
      <c r="N392" s="177">
        <v>1.31</v>
      </c>
      <c r="O392" s="177">
        <v>1.42</v>
      </c>
      <c r="Q392" s="105">
        <v>1</v>
      </c>
      <c r="R392" s="105">
        <v>1</v>
      </c>
      <c r="S392" s="105">
        <v>1</v>
      </c>
      <c r="T392" s="105">
        <v>1</v>
      </c>
      <c r="U392" s="105">
        <v>1</v>
      </c>
      <c r="V392" s="105">
        <v>1</v>
      </c>
      <c r="W392" s="105">
        <v>1</v>
      </c>
      <c r="X392" s="105">
        <v>1.01</v>
      </c>
      <c r="Y392" s="177">
        <v>1.01</v>
      </c>
      <c r="Z392" s="177">
        <v>1.02</v>
      </c>
      <c r="AA392" s="177">
        <v>1.02</v>
      </c>
      <c r="AB392" s="177">
        <v>1.01</v>
      </c>
      <c r="AC392" s="177">
        <v>1.01</v>
      </c>
      <c r="AD392" s="177">
        <v>1</v>
      </c>
      <c r="AE392" s="177">
        <v>1</v>
      </c>
      <c r="AF392" s="177">
        <v>1.01</v>
      </c>
      <c r="AG392" s="177">
        <v>1.01</v>
      </c>
      <c r="AH392" s="177">
        <v>1.02</v>
      </c>
      <c r="AI392" s="177">
        <v>1.02</v>
      </c>
      <c r="AJ392" s="177">
        <v>1.1299999999999999</v>
      </c>
      <c r="AK392" s="177">
        <v>1.1299999999999999</v>
      </c>
      <c r="AL392" s="177">
        <v>1.1399999999999999</v>
      </c>
      <c r="AM392" s="177">
        <v>1.1399999999999999</v>
      </c>
      <c r="AN392" s="177">
        <v>1.2</v>
      </c>
      <c r="AO392" s="177">
        <v>1.21</v>
      </c>
      <c r="AP392" s="177">
        <v>1.22</v>
      </c>
      <c r="AQ392" s="177">
        <v>1.23</v>
      </c>
      <c r="AR392" s="177">
        <v>1.31</v>
      </c>
      <c r="AS392" s="177">
        <v>1.3190883190883191</v>
      </c>
      <c r="AT392" s="177">
        <v>1.32</v>
      </c>
      <c r="AU392" s="177">
        <v>1.31</v>
      </c>
      <c r="AV392" s="177">
        <v>1.42</v>
      </c>
      <c r="AW392" s="177">
        <v>1.39</v>
      </c>
      <c r="AY392" s="177">
        <v>1.2</v>
      </c>
      <c r="AZ392" s="374"/>
      <c r="BA392" s="177">
        <v>1.32</v>
      </c>
      <c r="BC392" s="27"/>
      <c r="BD392" s="27"/>
      <c r="BF392" s="27"/>
      <c r="BG392" s="27"/>
    </row>
    <row r="393" spans="2:59">
      <c r="B393" s="10" t="s">
        <v>422</v>
      </c>
      <c r="C393" s="105">
        <v>1.42</v>
      </c>
      <c r="D393" s="105">
        <v>1.55</v>
      </c>
      <c r="E393" s="105">
        <v>1.55</v>
      </c>
      <c r="F393" s="177">
        <v>1.44</v>
      </c>
      <c r="G393" s="177">
        <v>1.37</v>
      </c>
      <c r="H393" s="177">
        <v>1.41</v>
      </c>
      <c r="I393" s="177">
        <v>1.41</v>
      </c>
      <c r="J393" s="177">
        <v>1.42</v>
      </c>
      <c r="K393" s="177">
        <v>1.42</v>
      </c>
      <c r="L393" s="177">
        <v>1.43</v>
      </c>
      <c r="M393" s="177">
        <v>1.43</v>
      </c>
      <c r="N393" s="177">
        <v>1.41</v>
      </c>
      <c r="O393" s="177">
        <v>1.46</v>
      </c>
      <c r="Q393" s="105">
        <v>1.56</v>
      </c>
      <c r="R393" s="105">
        <v>1.55</v>
      </c>
      <c r="S393" s="105">
        <v>1.55</v>
      </c>
      <c r="T393" s="105">
        <v>1.55</v>
      </c>
      <c r="U393" s="105">
        <v>1.48</v>
      </c>
      <c r="V393" s="105">
        <v>1.43</v>
      </c>
      <c r="W393" s="105">
        <v>1.45</v>
      </c>
      <c r="X393" s="105">
        <v>1.44</v>
      </c>
      <c r="Y393" s="177">
        <v>1.44</v>
      </c>
      <c r="Z393" s="177">
        <v>1.43</v>
      </c>
      <c r="AA393" s="177">
        <v>1.44</v>
      </c>
      <c r="AB393" s="177">
        <v>1.37</v>
      </c>
      <c r="AC393" s="177">
        <v>1.36</v>
      </c>
      <c r="AD393" s="177">
        <v>1.36</v>
      </c>
      <c r="AE393" s="177">
        <v>1.36</v>
      </c>
      <c r="AF393" s="177">
        <v>1.41</v>
      </c>
      <c r="AG393" s="177">
        <v>1.41</v>
      </c>
      <c r="AH393" s="177">
        <v>1.41</v>
      </c>
      <c r="AI393" s="177">
        <v>1.4</v>
      </c>
      <c r="AJ393" s="177">
        <v>1.42</v>
      </c>
      <c r="AK393" s="177">
        <v>1.42</v>
      </c>
      <c r="AL393" s="177">
        <v>1.42</v>
      </c>
      <c r="AM393" s="177">
        <v>1.43</v>
      </c>
      <c r="AN393" s="177">
        <v>1.43</v>
      </c>
      <c r="AO393" s="177">
        <v>1.44</v>
      </c>
      <c r="AP393" s="177">
        <v>1.46</v>
      </c>
      <c r="AQ393" s="177">
        <v>1.47</v>
      </c>
      <c r="AR393" s="177">
        <v>1.41</v>
      </c>
      <c r="AS393" s="177">
        <v>1.3794203669236904</v>
      </c>
      <c r="AT393" s="177">
        <v>1.43</v>
      </c>
      <c r="AU393" s="177">
        <v>1.38</v>
      </c>
      <c r="AV393" s="177">
        <v>1.46</v>
      </c>
      <c r="AW393" s="177">
        <v>1.45</v>
      </c>
      <c r="AY393" s="177">
        <v>1.43</v>
      </c>
      <c r="AZ393" s="374"/>
      <c r="BA393" s="177">
        <v>1.38</v>
      </c>
      <c r="BC393" s="27"/>
      <c r="BD393" s="27"/>
      <c r="BF393" s="27"/>
      <c r="BG393" s="27"/>
    </row>
    <row r="394" spans="2:59">
      <c r="B394" s="10" t="s">
        <v>423</v>
      </c>
      <c r="C394" s="105">
        <v>1.87</v>
      </c>
      <c r="D394" s="105">
        <v>2.2400000000000002</v>
      </c>
      <c r="E394" s="105">
        <v>2.09</v>
      </c>
      <c r="F394" s="177">
        <v>2.04</v>
      </c>
      <c r="G394" s="177">
        <v>2.02</v>
      </c>
      <c r="H394" s="177">
        <v>2.0099999999999998</v>
      </c>
      <c r="I394" s="177">
        <v>2.0099999999999998</v>
      </c>
      <c r="J394" s="177">
        <v>2</v>
      </c>
      <c r="K394" s="177">
        <v>2</v>
      </c>
      <c r="L394" s="177">
        <v>0</v>
      </c>
      <c r="M394" s="177">
        <v>0</v>
      </c>
      <c r="N394" s="177">
        <v>0</v>
      </c>
      <c r="O394" s="177">
        <v>0</v>
      </c>
      <c r="Q394" s="105">
        <v>2.25</v>
      </c>
      <c r="R394" s="105">
        <v>2.12</v>
      </c>
      <c r="S394" s="105">
        <v>2.13</v>
      </c>
      <c r="T394" s="105">
        <v>2.09</v>
      </c>
      <c r="U394" s="105">
        <v>2.06</v>
      </c>
      <c r="V394" s="105">
        <v>2.06</v>
      </c>
      <c r="W394" s="105">
        <v>2.04</v>
      </c>
      <c r="X394" s="105">
        <v>2.04</v>
      </c>
      <c r="Y394" s="177">
        <v>2.04</v>
      </c>
      <c r="Z394" s="177">
        <v>2.02</v>
      </c>
      <c r="AA394" s="177">
        <v>2.0099999999999998</v>
      </c>
      <c r="AB394" s="177">
        <v>2.02</v>
      </c>
      <c r="AC394" s="177">
        <v>2.0299999999999998</v>
      </c>
      <c r="AD394" s="177">
        <v>2.02</v>
      </c>
      <c r="AE394" s="177">
        <v>2</v>
      </c>
      <c r="AF394" s="177">
        <v>2.0099999999999998</v>
      </c>
      <c r="AG394" s="177">
        <v>2.0099999999999998</v>
      </c>
      <c r="AH394" s="177">
        <v>1.99</v>
      </c>
      <c r="AI394" s="177">
        <v>2</v>
      </c>
      <c r="AJ394" s="177">
        <v>2</v>
      </c>
      <c r="AK394" s="177">
        <v>2</v>
      </c>
      <c r="AL394" s="177">
        <v>2</v>
      </c>
      <c r="AM394" s="177">
        <v>2.0099999999999998</v>
      </c>
      <c r="AN394" s="177">
        <v>2.02</v>
      </c>
      <c r="AO394" s="177">
        <v>0</v>
      </c>
      <c r="AP394" s="177">
        <v>0</v>
      </c>
      <c r="AQ394" s="177">
        <v>0</v>
      </c>
      <c r="AR394" s="177">
        <v>0</v>
      </c>
      <c r="AS394" s="177">
        <v>0</v>
      </c>
      <c r="AT394" s="177">
        <v>0</v>
      </c>
      <c r="AU394" s="177">
        <v>0</v>
      </c>
      <c r="AV394" s="177">
        <v>0</v>
      </c>
      <c r="AW394" s="177">
        <v>0</v>
      </c>
      <c r="AY394" s="177">
        <v>0</v>
      </c>
      <c r="AZ394" s="374"/>
      <c r="BA394" s="177">
        <v>0</v>
      </c>
      <c r="BC394" s="27"/>
      <c r="BD394" s="27"/>
      <c r="BF394" s="27"/>
      <c r="BG394" s="27"/>
    </row>
    <row r="395" spans="2:59">
      <c r="B395" s="10" t="s">
        <v>425</v>
      </c>
      <c r="C395" s="105">
        <v>0</v>
      </c>
      <c r="D395" s="105">
        <v>1.54</v>
      </c>
      <c r="E395" s="105">
        <v>1.36</v>
      </c>
      <c r="F395" s="177">
        <v>1.3</v>
      </c>
      <c r="G395" s="177">
        <v>1.3</v>
      </c>
      <c r="H395" s="177">
        <v>1.36</v>
      </c>
      <c r="I395" s="177">
        <v>1.36</v>
      </c>
      <c r="J395" s="177">
        <v>1.32</v>
      </c>
      <c r="K395" s="177">
        <v>1.32</v>
      </c>
      <c r="L395" s="177">
        <v>1.37</v>
      </c>
      <c r="M395" s="177">
        <v>1.37</v>
      </c>
      <c r="N395" s="177">
        <v>1.4</v>
      </c>
      <c r="O395" s="177">
        <v>1.43</v>
      </c>
      <c r="Q395" s="105">
        <v>1.56</v>
      </c>
      <c r="R395" s="105">
        <v>1.57</v>
      </c>
      <c r="S395" s="105">
        <v>1.54</v>
      </c>
      <c r="T395" s="105">
        <v>1.36</v>
      </c>
      <c r="U395" s="105">
        <v>1.34</v>
      </c>
      <c r="V395" s="105">
        <v>1.34</v>
      </c>
      <c r="W395" s="105">
        <v>1.31</v>
      </c>
      <c r="X395" s="105">
        <v>1.3</v>
      </c>
      <c r="Y395" s="177">
        <v>1.27</v>
      </c>
      <c r="Z395" s="177">
        <v>1.28</v>
      </c>
      <c r="AA395" s="177">
        <v>1.31</v>
      </c>
      <c r="AB395" s="177">
        <v>1.3</v>
      </c>
      <c r="AC395" s="177">
        <v>1.31</v>
      </c>
      <c r="AD395" s="177">
        <v>1.31</v>
      </c>
      <c r="AE395" s="177">
        <v>1.32</v>
      </c>
      <c r="AF395" s="177">
        <v>1.36</v>
      </c>
      <c r="AG395" s="177">
        <v>1.28</v>
      </c>
      <c r="AH395" s="177">
        <v>1.27</v>
      </c>
      <c r="AI395" s="177">
        <v>1.29</v>
      </c>
      <c r="AJ395" s="177">
        <v>1.32</v>
      </c>
      <c r="AK395" s="177">
        <v>1.32</v>
      </c>
      <c r="AL395" s="177">
        <v>1.33</v>
      </c>
      <c r="AM395" s="177">
        <v>1.34</v>
      </c>
      <c r="AN395" s="177">
        <v>1.37</v>
      </c>
      <c r="AO395" s="177">
        <v>1.38</v>
      </c>
      <c r="AP395" s="177">
        <v>1.38</v>
      </c>
      <c r="AQ395" s="177">
        <v>1.38</v>
      </c>
      <c r="AR395" s="177">
        <v>1.4</v>
      </c>
      <c r="AS395" s="177">
        <v>1.4123260437375746</v>
      </c>
      <c r="AT395" s="177">
        <v>1.41</v>
      </c>
      <c r="AU395" s="177">
        <v>1.42</v>
      </c>
      <c r="AV395" s="177">
        <v>1.43</v>
      </c>
      <c r="AW395" s="177">
        <v>1.45</v>
      </c>
      <c r="AY395" s="177">
        <v>1.37</v>
      </c>
      <c r="AZ395" s="374"/>
      <c r="BA395" s="177">
        <v>1.41</v>
      </c>
      <c r="BC395" s="27"/>
      <c r="BD395" s="27"/>
      <c r="BF395" s="27"/>
      <c r="BG395" s="27"/>
    </row>
    <row r="396" spans="2:59">
      <c r="B396" s="10" t="s">
        <v>426</v>
      </c>
      <c r="C396" s="105">
        <v>0</v>
      </c>
      <c r="D396" s="105">
        <v>0</v>
      </c>
      <c r="E396" s="105">
        <v>0</v>
      </c>
      <c r="F396" s="177">
        <v>1</v>
      </c>
      <c r="G396" s="177">
        <v>1</v>
      </c>
      <c r="H396" s="177">
        <v>1</v>
      </c>
      <c r="I396" s="177">
        <v>1</v>
      </c>
      <c r="J396" s="177">
        <v>1</v>
      </c>
      <c r="K396" s="177">
        <v>1</v>
      </c>
      <c r="L396" s="177">
        <v>1</v>
      </c>
      <c r="M396" s="177">
        <v>1</v>
      </c>
      <c r="N396" s="177">
        <v>1</v>
      </c>
      <c r="O396" s="177">
        <v>0</v>
      </c>
      <c r="Q396" s="105">
        <v>0</v>
      </c>
      <c r="R396" s="105">
        <v>0</v>
      </c>
      <c r="S396" s="105">
        <v>0</v>
      </c>
      <c r="T396" s="105">
        <v>0</v>
      </c>
      <c r="U396" s="105">
        <v>0</v>
      </c>
      <c r="V396" s="105">
        <v>0</v>
      </c>
      <c r="W396" s="105">
        <v>1</v>
      </c>
      <c r="X396" s="105">
        <v>1</v>
      </c>
      <c r="Y396" s="177">
        <v>1</v>
      </c>
      <c r="Z396" s="177">
        <v>1</v>
      </c>
      <c r="AA396" s="177">
        <v>1</v>
      </c>
      <c r="AB396" s="177">
        <v>1</v>
      </c>
      <c r="AC396" s="177">
        <v>1</v>
      </c>
      <c r="AD396" s="177">
        <v>1</v>
      </c>
      <c r="AE396" s="177">
        <v>1</v>
      </c>
      <c r="AF396" s="177">
        <v>1</v>
      </c>
      <c r="AG396" s="177">
        <v>1</v>
      </c>
      <c r="AH396" s="177">
        <v>1</v>
      </c>
      <c r="AI396" s="177">
        <v>1</v>
      </c>
      <c r="AJ396" s="177">
        <v>1</v>
      </c>
      <c r="AK396" s="177">
        <v>1</v>
      </c>
      <c r="AL396" s="177">
        <v>1</v>
      </c>
      <c r="AM396" s="177">
        <v>1</v>
      </c>
      <c r="AN396" s="177">
        <v>1</v>
      </c>
      <c r="AO396" s="177">
        <v>1</v>
      </c>
      <c r="AP396" s="177">
        <v>1</v>
      </c>
      <c r="AQ396" s="177">
        <v>1</v>
      </c>
      <c r="AR396" s="177">
        <v>1</v>
      </c>
      <c r="AS396" s="177">
        <v>1</v>
      </c>
      <c r="AT396" s="177">
        <v>1</v>
      </c>
      <c r="AU396" s="177">
        <v>1</v>
      </c>
      <c r="AV396" s="177">
        <v>0</v>
      </c>
      <c r="AW396" s="177">
        <v>0</v>
      </c>
      <c r="AY396" s="177">
        <v>1</v>
      </c>
      <c r="AZ396" s="374"/>
      <c r="BA396" s="177">
        <v>1</v>
      </c>
      <c r="BC396" s="27"/>
      <c r="BD396" s="27"/>
      <c r="BF396" s="27"/>
      <c r="BG396" s="27"/>
    </row>
    <row r="397" spans="2:59">
      <c r="B397" s="10" t="s">
        <v>427</v>
      </c>
      <c r="F397" s="80"/>
      <c r="G397" s="80"/>
      <c r="H397" s="177">
        <v>1.1200000000000001</v>
      </c>
      <c r="I397" s="177">
        <v>1.1200000000000001</v>
      </c>
      <c r="J397" s="177">
        <v>1.01</v>
      </c>
      <c r="K397" s="177">
        <v>1.01</v>
      </c>
      <c r="L397" s="177">
        <v>1.01</v>
      </c>
      <c r="M397" s="177">
        <v>1.01</v>
      </c>
      <c r="N397" s="177">
        <v>1.08</v>
      </c>
      <c r="O397" s="177">
        <v>1.1599999999999999</v>
      </c>
      <c r="Y397" s="177"/>
      <c r="Z397" s="177"/>
      <c r="AA397" s="177"/>
      <c r="AB397" s="177"/>
      <c r="AC397" s="177">
        <v>1</v>
      </c>
      <c r="AD397" s="177">
        <v>1</v>
      </c>
      <c r="AE397" s="177">
        <v>1</v>
      </c>
      <c r="AF397" s="177">
        <v>1.1200000000000001</v>
      </c>
      <c r="AG397" s="177">
        <v>1.04</v>
      </c>
      <c r="AH397" s="177">
        <v>1</v>
      </c>
      <c r="AI397" s="177">
        <v>1</v>
      </c>
      <c r="AJ397" s="177">
        <v>1.01</v>
      </c>
      <c r="AK397" s="177">
        <v>1</v>
      </c>
      <c r="AL397" s="177">
        <v>1.01</v>
      </c>
      <c r="AM397" s="177">
        <v>1.01</v>
      </c>
      <c r="AN397" s="177">
        <v>1.01</v>
      </c>
      <c r="AO397" s="177">
        <v>1.02</v>
      </c>
      <c r="AP397" s="177">
        <v>1.04</v>
      </c>
      <c r="AQ397" s="177">
        <v>1.06</v>
      </c>
      <c r="AR397" s="177">
        <v>1.081700431750249</v>
      </c>
      <c r="AS397" s="177">
        <v>1.0902181097157964</v>
      </c>
      <c r="AT397" s="177">
        <v>1.0900000000000001</v>
      </c>
      <c r="AU397" s="177">
        <v>1.1499999999999999</v>
      </c>
      <c r="AV397" s="177">
        <v>1.1599999999999999</v>
      </c>
      <c r="AW397" s="177">
        <v>1.18</v>
      </c>
      <c r="AY397" s="177">
        <v>1.01</v>
      </c>
      <c r="AZ397" s="374"/>
      <c r="BA397" s="177">
        <v>1.0900000000000001</v>
      </c>
      <c r="BC397" s="27"/>
      <c r="BD397" s="27"/>
      <c r="BF397" s="27"/>
      <c r="BG397" s="27"/>
    </row>
    <row r="398" spans="2:59">
      <c r="B398" s="10" t="s">
        <v>428</v>
      </c>
      <c r="F398" s="80"/>
      <c r="G398" s="80"/>
      <c r="H398" s="177"/>
      <c r="I398" s="177"/>
      <c r="J398" s="177">
        <v>1.19</v>
      </c>
      <c r="K398" s="177">
        <v>1.19</v>
      </c>
      <c r="L398" s="177">
        <v>1.17</v>
      </c>
      <c r="M398" s="177">
        <v>1.17</v>
      </c>
      <c r="N398" s="177">
        <v>1.21</v>
      </c>
      <c r="O398" s="177">
        <v>1.21</v>
      </c>
      <c r="Y398" s="177"/>
      <c r="Z398" s="177"/>
      <c r="AA398" s="177"/>
      <c r="AB398" s="177"/>
      <c r="AC398" s="177"/>
      <c r="AD398" s="177"/>
      <c r="AE398" s="177"/>
      <c r="AF398" s="177"/>
      <c r="AG398" s="177"/>
      <c r="AH398" s="177">
        <v>1.19</v>
      </c>
      <c r="AI398" s="177">
        <v>1.19</v>
      </c>
      <c r="AJ398" s="177">
        <v>1.19</v>
      </c>
      <c r="AK398" s="177">
        <v>1.18</v>
      </c>
      <c r="AL398" s="177">
        <v>1.18</v>
      </c>
      <c r="AM398" s="177">
        <v>1.17</v>
      </c>
      <c r="AN398" s="177">
        <v>1.17</v>
      </c>
      <c r="AO398" s="177">
        <v>1.17</v>
      </c>
      <c r="AP398" s="177">
        <v>1.18</v>
      </c>
      <c r="AQ398" s="177">
        <v>1.2</v>
      </c>
      <c r="AR398" s="177">
        <v>1.207161125319693</v>
      </c>
      <c r="AS398" s="177">
        <v>1.1917631917631917</v>
      </c>
      <c r="AT398" s="177">
        <v>1.19</v>
      </c>
      <c r="AU398" s="177">
        <v>1.18</v>
      </c>
      <c r="AV398" s="177">
        <v>1.21</v>
      </c>
      <c r="AW398" s="177">
        <v>1.19</v>
      </c>
      <c r="AY398" s="177">
        <v>1.17</v>
      </c>
      <c r="AZ398" s="374"/>
      <c r="BA398" s="177">
        <v>1.19</v>
      </c>
      <c r="BC398" s="27"/>
      <c r="BD398" s="27"/>
      <c r="BF398" s="27"/>
      <c r="BG398" s="27"/>
    </row>
    <row r="399" spans="2:59">
      <c r="BC399" s="27"/>
      <c r="BD399" s="27"/>
      <c r="BF399" s="27"/>
      <c r="BG399" s="27"/>
    </row>
    <row r="400" spans="2:59" s="6" customFormat="1" hidden="1" outlineLevel="1">
      <c r="B400" s="178" t="s">
        <v>433</v>
      </c>
      <c r="C400" s="178"/>
      <c r="D400" s="178"/>
      <c r="E400" s="178"/>
      <c r="F400" s="178"/>
      <c r="G400" s="178"/>
      <c r="H400" s="178"/>
      <c r="I400" s="178"/>
      <c r="J400" s="178"/>
      <c r="K400" s="178"/>
      <c r="L400" s="178"/>
      <c r="M400" s="178"/>
      <c r="N400" s="178"/>
      <c r="O400" s="178"/>
      <c r="Q400" s="178"/>
      <c r="R400" s="178"/>
      <c r="S400" s="178"/>
      <c r="T400" s="178"/>
      <c r="U400" s="178"/>
      <c r="V400" s="178"/>
      <c r="W400" s="178"/>
      <c r="X400" s="178"/>
      <c r="Y400" s="178"/>
      <c r="Z400" s="178"/>
      <c r="AA400" s="178"/>
      <c r="AB400" s="178"/>
      <c r="AC400" s="178"/>
      <c r="AD400" s="178"/>
      <c r="AE400" s="178"/>
      <c r="AF400" s="178"/>
      <c r="AG400" s="178"/>
      <c r="AH400" s="178"/>
      <c r="AI400" s="178"/>
      <c r="AJ400" s="178"/>
      <c r="AK400" s="178"/>
      <c r="AL400" s="178"/>
      <c r="AM400" s="178"/>
      <c r="AN400" s="178"/>
      <c r="AO400" s="178"/>
      <c r="AP400" s="178"/>
      <c r="AQ400" s="178"/>
      <c r="AR400" s="178"/>
      <c r="AS400" s="178"/>
      <c r="AT400" s="178"/>
      <c r="AU400" s="178"/>
      <c r="AV400" s="178"/>
      <c r="AW400" s="178"/>
      <c r="AY400" s="178"/>
      <c r="BC400" s="27"/>
      <c r="BD400" s="27"/>
      <c r="BF400" s="27"/>
      <c r="BG400" s="27"/>
    </row>
    <row r="401" spans="2:59" hidden="1" outlineLevel="1">
      <c r="B401" s="6" t="s">
        <v>434</v>
      </c>
      <c r="BC401" s="27"/>
      <c r="BD401" s="27"/>
      <c r="BF401" s="27"/>
      <c r="BG401" s="27"/>
    </row>
    <row r="402" spans="2:59" hidden="1" outlineLevel="1">
      <c r="B402" s="10" t="s">
        <v>435</v>
      </c>
      <c r="C402" s="179"/>
      <c r="D402" s="179"/>
      <c r="E402" s="179"/>
      <c r="F402" s="179"/>
      <c r="G402" s="122">
        <v>3787.5</v>
      </c>
      <c r="H402" s="122">
        <v>5031.3</v>
      </c>
      <c r="I402" s="122">
        <v>5031.3</v>
      </c>
      <c r="J402" s="122">
        <v>6096.1</v>
      </c>
      <c r="K402" s="122">
        <v>6096.1</v>
      </c>
      <c r="L402" s="122">
        <v>5829.29</v>
      </c>
      <c r="M402" s="122">
        <v>5829.29</v>
      </c>
      <c r="N402" s="379"/>
      <c r="O402" s="379"/>
      <c r="Q402" s="179"/>
      <c r="R402" s="179"/>
      <c r="S402" s="179"/>
      <c r="T402" s="179"/>
      <c r="U402" s="179"/>
      <c r="V402" s="179"/>
      <c r="W402" s="179"/>
      <c r="X402" s="179"/>
      <c r="Y402" s="122">
        <v>881.65</v>
      </c>
      <c r="Z402" s="122">
        <v>842.71</v>
      </c>
      <c r="AA402" s="122">
        <v>1042.44</v>
      </c>
      <c r="AB402" s="122">
        <v>1020.7</v>
      </c>
      <c r="AC402" s="122">
        <v>1016.88</v>
      </c>
      <c r="AD402" s="122">
        <v>973</v>
      </c>
      <c r="AE402" s="122">
        <v>1026.81</v>
      </c>
      <c r="AF402" s="122">
        <v>1440.72</v>
      </c>
      <c r="AG402" s="122">
        <v>1434.24</v>
      </c>
      <c r="AH402" s="122">
        <v>1497.11</v>
      </c>
      <c r="AI402" s="122">
        <v>1526.26</v>
      </c>
      <c r="AJ402" s="122">
        <v>1531.56</v>
      </c>
      <c r="AK402" s="122">
        <v>1476.81</v>
      </c>
      <c r="AL402" s="122">
        <v>1410.49</v>
      </c>
      <c r="AM402" s="122">
        <v>1454</v>
      </c>
      <c r="AN402" s="122">
        <v>1488.01</v>
      </c>
      <c r="AO402" s="122">
        <v>1473</v>
      </c>
      <c r="AP402" s="379"/>
      <c r="AQ402" s="379"/>
      <c r="AR402" s="379"/>
      <c r="AS402" s="379"/>
      <c r="AT402" s="379"/>
      <c r="AU402" s="379"/>
      <c r="AV402" s="379"/>
      <c r="AW402" s="379"/>
      <c r="AY402" s="379"/>
      <c r="BC402" s="27"/>
      <c r="BD402" s="27"/>
      <c r="BF402" s="27"/>
      <c r="BG402" s="27"/>
    </row>
    <row r="403" spans="2:59" hidden="1" outlineLevel="1">
      <c r="B403" s="10" t="s">
        <v>436</v>
      </c>
      <c r="C403" s="179"/>
      <c r="D403" s="179"/>
      <c r="E403" s="179"/>
      <c r="F403" s="179"/>
      <c r="G403" s="175">
        <v>8.77</v>
      </c>
      <c r="H403" s="175">
        <v>9.6999999999999993</v>
      </c>
      <c r="I403" s="175">
        <v>9.67</v>
      </c>
      <c r="J403" s="175">
        <v>10.39</v>
      </c>
      <c r="K403" s="175">
        <v>10.39</v>
      </c>
      <c r="L403" s="175">
        <v>11.07</v>
      </c>
      <c r="M403" s="175">
        <v>11.07</v>
      </c>
      <c r="N403" s="382"/>
      <c r="O403" s="382"/>
      <c r="Q403" s="179"/>
      <c r="R403" s="179"/>
      <c r="S403" s="179"/>
      <c r="T403" s="179"/>
      <c r="U403" s="179"/>
      <c r="V403" s="179"/>
      <c r="W403" s="179"/>
      <c r="X403" s="179"/>
      <c r="Y403" s="175">
        <v>7.22</v>
      </c>
      <c r="Z403" s="175">
        <v>7.47</v>
      </c>
      <c r="AA403" s="175">
        <v>8.66</v>
      </c>
      <c r="AB403" s="175">
        <v>8.77</v>
      </c>
      <c r="AC403" s="175">
        <v>8.9</v>
      </c>
      <c r="AD403" s="175">
        <v>9.1</v>
      </c>
      <c r="AE403" s="175">
        <v>9.4</v>
      </c>
      <c r="AF403" s="175">
        <v>9.6999999999999993</v>
      </c>
      <c r="AG403" s="175">
        <v>9.8800000000000008</v>
      </c>
      <c r="AH403" s="175">
        <v>10.11</v>
      </c>
      <c r="AI403" s="175">
        <v>10.23</v>
      </c>
      <c r="AJ403" s="175">
        <v>10.39</v>
      </c>
      <c r="AK403" s="175">
        <v>10.5</v>
      </c>
      <c r="AL403" s="175">
        <v>10.75</v>
      </c>
      <c r="AM403" s="175">
        <v>10.9</v>
      </c>
      <c r="AN403" s="175">
        <v>11.07</v>
      </c>
      <c r="AO403" s="175">
        <v>11.1</v>
      </c>
      <c r="AP403" s="382"/>
      <c r="AQ403" s="382"/>
      <c r="AR403" s="382"/>
      <c r="AS403" s="382"/>
      <c r="AT403" s="382"/>
      <c r="AU403" s="382"/>
      <c r="AV403" s="382"/>
      <c r="AW403" s="382"/>
      <c r="AY403" s="382"/>
      <c r="BC403" s="27"/>
      <c r="BD403" s="27"/>
      <c r="BF403" s="27"/>
      <c r="BG403" s="27"/>
    </row>
    <row r="404" spans="2:59" hidden="1" outlineLevel="1">
      <c r="B404" s="10" t="s">
        <v>437</v>
      </c>
      <c r="C404" s="179"/>
      <c r="D404" s="179"/>
      <c r="E404" s="179"/>
      <c r="F404" s="179"/>
      <c r="G404" s="122">
        <v>772</v>
      </c>
      <c r="H404" s="122">
        <v>561.20000000000005</v>
      </c>
      <c r="I404" s="122">
        <v>561.20000000000005</v>
      </c>
      <c r="J404" s="122">
        <v>677</v>
      </c>
      <c r="K404" s="122">
        <v>677</v>
      </c>
      <c r="L404" s="122">
        <f>SUM(L405:L406)</f>
        <v>753.49</v>
      </c>
      <c r="M404" s="122">
        <f>SUM(M405:M406)</f>
        <v>753.49</v>
      </c>
      <c r="N404" s="382"/>
      <c r="O404" s="382"/>
      <c r="Q404" s="179"/>
      <c r="R404" s="179"/>
      <c r="S404" s="179"/>
      <c r="T404" s="179"/>
      <c r="U404" s="179"/>
      <c r="V404" s="179"/>
      <c r="W404" s="179"/>
      <c r="X404" s="179"/>
      <c r="Y404" s="175">
        <v>701</v>
      </c>
      <c r="Z404" s="175">
        <v>721</v>
      </c>
      <c r="AA404" s="175">
        <v>750</v>
      </c>
      <c r="AB404" s="175">
        <v>772</v>
      </c>
      <c r="AC404" s="175">
        <v>784</v>
      </c>
      <c r="AD404" s="175">
        <v>798</v>
      </c>
      <c r="AE404" s="175">
        <v>491.7</v>
      </c>
      <c r="AF404" s="175">
        <v>561.20000000000005</v>
      </c>
      <c r="AG404" s="175">
        <f t="shared" ref="AG404:AN404" si="448">SUM(AG405:AG406)</f>
        <v>591.06000000000006</v>
      </c>
      <c r="AH404" s="175">
        <f t="shared" si="448"/>
        <v>627.11</v>
      </c>
      <c r="AI404" s="175">
        <f t="shared" si="448"/>
        <v>659.33999999999992</v>
      </c>
      <c r="AJ404" s="175">
        <f t="shared" si="448"/>
        <v>677.11999999999989</v>
      </c>
      <c r="AK404" s="175">
        <f t="shared" si="448"/>
        <v>707.73</v>
      </c>
      <c r="AL404" s="175">
        <f t="shared" si="448"/>
        <v>728.69</v>
      </c>
      <c r="AM404" s="175">
        <f t="shared" si="448"/>
        <v>741.81</v>
      </c>
      <c r="AN404" s="175">
        <f t="shared" si="448"/>
        <v>753.49</v>
      </c>
      <c r="AO404" s="175">
        <f t="shared" ref="AO404" si="449">SUM(AO405:AO406)</f>
        <v>771</v>
      </c>
      <c r="AP404" s="382"/>
      <c r="AQ404" s="382"/>
      <c r="AR404" s="382"/>
      <c r="AS404" s="382"/>
      <c r="AT404" s="382"/>
      <c r="AU404" s="382"/>
      <c r="AV404" s="382"/>
      <c r="AW404" s="382"/>
      <c r="AY404" s="382"/>
      <c r="BC404" s="27"/>
      <c r="BD404" s="27"/>
      <c r="BF404" s="27"/>
      <c r="BG404" s="27"/>
    </row>
    <row r="405" spans="2:59" hidden="1" outlineLevel="1">
      <c r="B405" s="10" t="s">
        <v>438</v>
      </c>
      <c r="C405" s="179"/>
      <c r="D405" s="179"/>
      <c r="E405" s="179"/>
      <c r="F405" s="179"/>
      <c r="G405" s="122">
        <v>225</v>
      </c>
      <c r="H405" s="122">
        <v>439.3</v>
      </c>
      <c r="I405" s="122">
        <v>439.34</v>
      </c>
      <c r="J405" s="122">
        <v>555.30999999999995</v>
      </c>
      <c r="K405" s="122">
        <v>555.30999999999995</v>
      </c>
      <c r="L405" s="122">
        <v>631.67999999999995</v>
      </c>
      <c r="M405" s="122">
        <v>631.67999999999995</v>
      </c>
      <c r="N405" s="382"/>
      <c r="O405" s="382"/>
      <c r="Q405" s="179"/>
      <c r="R405" s="179"/>
      <c r="S405" s="179"/>
      <c r="T405" s="179"/>
      <c r="U405" s="179"/>
      <c r="V405" s="179"/>
      <c r="W405" s="179"/>
      <c r="X405" s="179"/>
      <c r="Y405" s="175">
        <v>158</v>
      </c>
      <c r="Z405" s="175">
        <v>175</v>
      </c>
      <c r="AA405" s="175">
        <v>203</v>
      </c>
      <c r="AB405" s="175">
        <v>225</v>
      </c>
      <c r="AC405" s="175">
        <v>236</v>
      </c>
      <c r="AD405" s="175">
        <v>250</v>
      </c>
      <c r="AE405" s="175">
        <v>369.8</v>
      </c>
      <c r="AF405" s="175">
        <v>439.3</v>
      </c>
      <c r="AG405" s="175">
        <v>469.24700000000001</v>
      </c>
      <c r="AH405" s="175">
        <v>505.3</v>
      </c>
      <c r="AI405" s="175">
        <v>537.53</v>
      </c>
      <c r="AJ405" s="175">
        <v>555.30999999999995</v>
      </c>
      <c r="AK405" s="175">
        <v>585.91999999999996</v>
      </c>
      <c r="AL405" s="175">
        <v>606.88</v>
      </c>
      <c r="AM405" s="175">
        <v>620</v>
      </c>
      <c r="AN405" s="175">
        <v>631.67999999999995</v>
      </c>
      <c r="AO405" s="175">
        <v>649</v>
      </c>
      <c r="AP405" s="382"/>
      <c r="AQ405" s="382"/>
      <c r="AR405" s="382"/>
      <c r="AS405" s="382"/>
      <c r="AT405" s="382"/>
      <c r="AU405" s="382"/>
      <c r="AV405" s="382"/>
      <c r="AW405" s="382"/>
      <c r="AY405" s="382"/>
      <c r="BC405" s="27"/>
      <c r="BD405" s="27"/>
      <c r="BF405" s="27"/>
      <c r="BG405" s="27"/>
    </row>
    <row r="406" spans="2:59" hidden="1" outlineLevel="1">
      <c r="B406" s="10" t="s">
        <v>439</v>
      </c>
      <c r="G406" s="122">
        <v>548</v>
      </c>
      <c r="H406" s="122">
        <v>121.8</v>
      </c>
      <c r="I406" s="122">
        <v>121.8</v>
      </c>
      <c r="J406" s="122">
        <v>121.81</v>
      </c>
      <c r="K406" s="122">
        <v>121.81</v>
      </c>
      <c r="L406" s="122">
        <v>121.81</v>
      </c>
      <c r="M406" s="122">
        <v>121.81</v>
      </c>
      <c r="N406" s="382"/>
      <c r="O406" s="382"/>
      <c r="Q406" s="179"/>
      <c r="R406" s="179"/>
      <c r="S406" s="179"/>
      <c r="T406" s="179"/>
      <c r="U406" s="179"/>
      <c r="V406" s="179"/>
      <c r="W406" s="179"/>
      <c r="X406" s="179"/>
      <c r="Y406" s="175">
        <v>544</v>
      </c>
      <c r="Z406" s="175">
        <v>546</v>
      </c>
      <c r="AA406" s="175">
        <v>548</v>
      </c>
      <c r="AB406" s="175">
        <v>548</v>
      </c>
      <c r="AC406" s="175">
        <v>548</v>
      </c>
      <c r="AD406" s="175">
        <v>548</v>
      </c>
      <c r="AE406" s="175">
        <v>121.8</v>
      </c>
      <c r="AF406" s="175">
        <v>121.8</v>
      </c>
      <c r="AG406" s="175">
        <v>121.813</v>
      </c>
      <c r="AH406" s="175">
        <v>121.81</v>
      </c>
      <c r="AI406" s="175">
        <v>121.81</v>
      </c>
      <c r="AJ406" s="175">
        <v>121.81</v>
      </c>
      <c r="AK406" s="175">
        <v>121.81</v>
      </c>
      <c r="AL406" s="175">
        <v>121.81</v>
      </c>
      <c r="AM406" s="175">
        <v>121.81</v>
      </c>
      <c r="AN406" s="175">
        <v>121.81</v>
      </c>
      <c r="AO406" s="175">
        <v>122</v>
      </c>
      <c r="AP406" s="382"/>
      <c r="AQ406" s="382"/>
      <c r="AR406" s="382"/>
      <c r="AS406" s="382"/>
      <c r="AT406" s="382"/>
      <c r="AU406" s="382"/>
      <c r="AV406" s="382"/>
      <c r="AW406" s="382"/>
      <c r="AY406" s="382"/>
      <c r="BC406" s="27"/>
      <c r="BD406" s="27"/>
      <c r="BF406" s="27"/>
      <c r="BG406" s="27"/>
    </row>
    <row r="407" spans="2:59" collapsed="1">
      <c r="BC407" s="27"/>
      <c r="BD407" s="27"/>
      <c r="BF407" s="27"/>
      <c r="BG407" s="27"/>
    </row>
    <row r="408" spans="2:59">
      <c r="B408" s="376" t="s">
        <v>440</v>
      </c>
      <c r="C408" s="362"/>
      <c r="D408" s="362"/>
      <c r="E408" s="362"/>
      <c r="F408" s="362"/>
      <c r="G408" s="362"/>
      <c r="H408" s="362"/>
      <c r="I408" s="362"/>
      <c r="J408" s="362"/>
      <c r="K408" s="362"/>
      <c r="L408" s="362"/>
      <c r="M408" s="362"/>
      <c r="N408" s="362"/>
      <c r="O408" s="365"/>
      <c r="AR408" s="365"/>
      <c r="AS408" s="365"/>
      <c r="AT408" s="365"/>
      <c r="AU408" s="365"/>
      <c r="AV408" s="365"/>
      <c r="AW408" s="365"/>
      <c r="AX408" s="104"/>
      <c r="AY408" s="104"/>
      <c r="AZ408" s="104"/>
      <c r="BA408" s="365"/>
      <c r="BC408" s="27"/>
      <c r="BD408" s="27"/>
      <c r="BF408" s="27"/>
      <c r="BG408" s="27"/>
    </row>
    <row r="409" spans="2:59">
      <c r="B409" s="48" t="s">
        <v>441</v>
      </c>
      <c r="J409" s="374"/>
      <c r="K409" s="374"/>
      <c r="L409" s="374"/>
      <c r="M409" s="374"/>
      <c r="N409" s="374"/>
      <c r="O409" s="122">
        <v>12958</v>
      </c>
      <c r="Q409" s="374"/>
      <c r="R409" s="374"/>
      <c r="S409" s="374"/>
      <c r="T409" s="374"/>
      <c r="U409" s="374"/>
      <c r="V409" s="374"/>
      <c r="W409" s="374"/>
      <c r="X409" s="374"/>
      <c r="Y409" s="374"/>
      <c r="Z409" s="374"/>
      <c r="AA409" s="374"/>
      <c r="AB409" s="374"/>
      <c r="AC409" s="374"/>
      <c r="AD409" s="374"/>
      <c r="AE409" s="374"/>
      <c r="AF409" s="374"/>
      <c r="AG409" s="374"/>
      <c r="AH409" s="374"/>
      <c r="AI409" s="374"/>
      <c r="AJ409" s="374"/>
      <c r="AK409" s="374"/>
      <c r="AL409" s="374"/>
      <c r="AM409" s="374"/>
      <c r="AN409" s="374"/>
      <c r="AO409" s="374"/>
      <c r="AP409" s="374"/>
      <c r="AQ409" s="374"/>
      <c r="AR409" s="122">
        <v>3276</v>
      </c>
      <c r="AS409" s="122">
        <v>3209</v>
      </c>
      <c r="AT409" s="122">
        <v>3178</v>
      </c>
      <c r="AU409" s="122">
        <v>3125</v>
      </c>
      <c r="AV409" s="122">
        <v>3445</v>
      </c>
      <c r="AW409" s="122">
        <v>3208</v>
      </c>
      <c r="BA409" s="122">
        <v>3209</v>
      </c>
      <c r="BC409" s="27"/>
      <c r="BD409" s="27"/>
      <c r="BF409" s="27"/>
      <c r="BG409" s="27"/>
    </row>
    <row r="410" spans="2:59">
      <c r="B410" s="48" t="s">
        <v>290</v>
      </c>
      <c r="J410" s="374"/>
      <c r="K410" s="374"/>
      <c r="L410" s="374"/>
      <c r="M410" s="374"/>
      <c r="N410" s="374"/>
      <c r="O410" s="122">
        <v>5475</v>
      </c>
      <c r="Q410" s="374"/>
      <c r="R410" s="374"/>
      <c r="S410" s="374"/>
      <c r="T410" s="374"/>
      <c r="U410" s="374"/>
      <c r="V410" s="374"/>
      <c r="W410" s="374"/>
      <c r="X410" s="374"/>
      <c r="Y410" s="374"/>
      <c r="Z410" s="374"/>
      <c r="AA410" s="374"/>
      <c r="AB410" s="374"/>
      <c r="AC410" s="374"/>
      <c r="AD410" s="374"/>
      <c r="AE410" s="374"/>
      <c r="AF410" s="374"/>
      <c r="AG410" s="374"/>
      <c r="AH410" s="374"/>
      <c r="AI410" s="374"/>
      <c r="AJ410" s="374"/>
      <c r="AK410" s="374"/>
      <c r="AL410" s="374"/>
      <c r="AM410" s="374"/>
      <c r="AN410" s="374"/>
      <c r="AO410" s="374"/>
      <c r="AP410" s="374"/>
      <c r="AQ410" s="374"/>
      <c r="AR410" s="122">
        <v>1547</v>
      </c>
      <c r="AS410" s="122">
        <v>1348</v>
      </c>
      <c r="AT410" s="122">
        <v>1384</v>
      </c>
      <c r="AU410" s="122">
        <v>1339</v>
      </c>
      <c r="AV410" s="122">
        <v>1399</v>
      </c>
      <c r="AW410" s="122">
        <v>1413</v>
      </c>
      <c r="BA410" s="122">
        <v>1348</v>
      </c>
      <c r="BC410" s="27"/>
      <c r="BD410" s="27"/>
      <c r="BF410" s="27"/>
      <c r="BG410" s="27"/>
    </row>
    <row r="411" spans="2:59">
      <c r="B411" s="48" t="s">
        <v>442</v>
      </c>
      <c r="J411" s="374"/>
      <c r="K411" s="374"/>
      <c r="L411" s="374"/>
      <c r="M411" s="374"/>
      <c r="N411" s="374"/>
      <c r="O411" s="122">
        <v>2672</v>
      </c>
      <c r="Q411" s="374"/>
      <c r="R411" s="374"/>
      <c r="S411" s="374"/>
      <c r="T411" s="374"/>
      <c r="U411" s="374"/>
      <c r="V411" s="374"/>
      <c r="W411" s="374"/>
      <c r="X411" s="374"/>
      <c r="Y411" s="374"/>
      <c r="Z411" s="374"/>
      <c r="AA411" s="374"/>
      <c r="AB411" s="374"/>
      <c r="AC411" s="374"/>
      <c r="AD411" s="374"/>
      <c r="AE411" s="374"/>
      <c r="AF411" s="374"/>
      <c r="AG411" s="374"/>
      <c r="AH411" s="374"/>
      <c r="AI411" s="374"/>
      <c r="AJ411" s="374"/>
      <c r="AK411" s="374"/>
      <c r="AL411" s="374"/>
      <c r="AM411" s="374"/>
      <c r="AN411" s="374"/>
      <c r="AO411" s="374"/>
      <c r="AP411" s="374"/>
      <c r="AQ411" s="374"/>
      <c r="AR411" s="122">
        <v>328</v>
      </c>
      <c r="AS411" s="122">
        <v>696</v>
      </c>
      <c r="AT411" s="122">
        <v>736</v>
      </c>
      <c r="AU411" s="122">
        <v>648</v>
      </c>
      <c r="AV411" s="122">
        <v>592</v>
      </c>
      <c r="AW411" s="122">
        <v>729</v>
      </c>
      <c r="BA411" s="122">
        <v>696</v>
      </c>
      <c r="BC411" s="27"/>
      <c r="BD411" s="27"/>
      <c r="BF411" s="27"/>
      <c r="BG411" s="27"/>
    </row>
    <row r="412" spans="2:59">
      <c r="B412" s="48" t="s">
        <v>443</v>
      </c>
      <c r="J412" s="374"/>
      <c r="K412" s="374"/>
      <c r="L412" s="374"/>
      <c r="M412" s="374"/>
      <c r="N412" s="374"/>
      <c r="O412" s="122">
        <v>1530</v>
      </c>
      <c r="Q412" s="374"/>
      <c r="R412" s="374"/>
      <c r="S412" s="374"/>
      <c r="T412" s="374"/>
      <c r="U412" s="374"/>
      <c r="V412" s="374"/>
      <c r="W412" s="374"/>
      <c r="X412" s="374"/>
      <c r="Y412" s="374"/>
      <c r="Z412" s="374"/>
      <c r="AA412" s="374"/>
      <c r="AB412" s="374"/>
      <c r="AC412" s="374"/>
      <c r="AD412" s="374"/>
      <c r="AE412" s="374"/>
      <c r="AF412" s="374"/>
      <c r="AG412" s="374"/>
      <c r="AH412" s="374"/>
      <c r="AI412" s="374"/>
      <c r="AJ412" s="374"/>
      <c r="AK412" s="374"/>
      <c r="AL412" s="374"/>
      <c r="AM412" s="374"/>
      <c r="AN412" s="374"/>
      <c r="AO412" s="374"/>
      <c r="AP412" s="374"/>
      <c r="AQ412" s="374"/>
      <c r="AR412" s="122">
        <v>161</v>
      </c>
      <c r="AS412" s="122">
        <v>388</v>
      </c>
      <c r="AT412" s="122">
        <v>439</v>
      </c>
      <c r="AU412" s="122">
        <v>350</v>
      </c>
      <c r="AV412" s="122">
        <v>353</v>
      </c>
      <c r="AW412" s="122">
        <v>422</v>
      </c>
      <c r="BA412" s="122">
        <v>388</v>
      </c>
      <c r="BC412" s="27"/>
      <c r="BD412" s="27"/>
      <c r="BF412" s="27"/>
      <c r="BG412" s="27"/>
    </row>
    <row r="413" spans="2:59">
      <c r="B413" s="48" t="s">
        <v>444</v>
      </c>
      <c r="J413" s="374"/>
      <c r="K413" s="374"/>
      <c r="L413" s="374"/>
      <c r="M413" s="374"/>
      <c r="N413" s="374"/>
      <c r="O413" s="374"/>
      <c r="Q413" s="374"/>
      <c r="R413" s="374"/>
      <c r="S413" s="374"/>
      <c r="T413" s="374"/>
      <c r="U413" s="374"/>
      <c r="V413" s="374"/>
      <c r="W413" s="374"/>
      <c r="X413" s="374"/>
      <c r="Y413" s="374"/>
      <c r="Z413" s="374"/>
      <c r="AA413" s="374"/>
      <c r="AB413" s="374"/>
      <c r="AC413" s="374"/>
      <c r="AD413" s="374"/>
      <c r="AE413" s="374"/>
      <c r="AF413" s="374"/>
      <c r="AG413" s="374"/>
      <c r="AH413" s="374"/>
      <c r="AI413" s="374"/>
      <c r="AJ413" s="374"/>
      <c r="AK413" s="374"/>
      <c r="AL413" s="374"/>
      <c r="AM413" s="374"/>
      <c r="AN413" s="374"/>
      <c r="AO413" s="374"/>
      <c r="AP413" s="374"/>
      <c r="AQ413" s="374"/>
      <c r="AR413" s="122">
        <v>475</v>
      </c>
      <c r="AS413" s="122">
        <v>435</v>
      </c>
      <c r="AT413" s="374"/>
      <c r="AU413" s="374"/>
      <c r="AV413" s="374"/>
      <c r="AW413" s="374"/>
      <c r="BA413" s="374"/>
      <c r="BC413" s="27"/>
      <c r="BD413" s="27"/>
      <c r="BF413" s="27"/>
      <c r="BG413" s="27"/>
    </row>
    <row r="414" spans="2:59">
      <c r="BC414" s="27"/>
      <c r="BD414" s="27"/>
      <c r="BF414" s="27"/>
      <c r="BG414" s="27"/>
    </row>
    <row r="415" spans="2:59">
      <c r="B415" s="376" t="s">
        <v>445</v>
      </c>
      <c r="C415" s="362"/>
      <c r="D415" s="362"/>
      <c r="E415" s="362"/>
      <c r="F415" s="362"/>
      <c r="G415" s="362"/>
      <c r="H415" s="362"/>
      <c r="I415" s="362"/>
      <c r="J415" s="362"/>
      <c r="K415" s="362"/>
      <c r="L415" s="362"/>
      <c r="M415" s="362"/>
      <c r="N415" s="362"/>
      <c r="O415" s="365"/>
      <c r="AR415" s="365"/>
      <c r="AS415" s="365"/>
      <c r="AT415" s="365"/>
      <c r="AU415" s="365"/>
      <c r="AV415" s="365"/>
      <c r="AW415" s="365"/>
      <c r="BA415" s="365"/>
      <c r="BC415" s="27"/>
      <c r="BD415" s="27"/>
      <c r="BF415" s="27"/>
      <c r="BG415" s="27"/>
    </row>
    <row r="416" spans="2:59">
      <c r="B416" s="48" t="s">
        <v>441</v>
      </c>
      <c r="J416" s="374"/>
      <c r="K416" s="374"/>
      <c r="L416" s="374"/>
      <c r="M416" s="374"/>
      <c r="N416" s="374"/>
      <c r="O416" s="122">
        <v>42485</v>
      </c>
      <c r="Q416" s="374"/>
      <c r="R416" s="374"/>
      <c r="S416" s="374"/>
      <c r="T416" s="374"/>
      <c r="U416" s="374"/>
      <c r="V416" s="374"/>
      <c r="W416" s="374"/>
      <c r="X416" s="374"/>
      <c r="Y416" s="374"/>
      <c r="Z416" s="374"/>
      <c r="AA416" s="374"/>
      <c r="AB416" s="374"/>
      <c r="AC416" s="374"/>
      <c r="AD416" s="374"/>
      <c r="AE416" s="374"/>
      <c r="AF416" s="374"/>
      <c r="AG416" s="374"/>
      <c r="AH416" s="374"/>
      <c r="AI416" s="374"/>
      <c r="AJ416" s="374"/>
      <c r="AK416" s="374"/>
      <c r="AL416" s="374"/>
      <c r="AM416" s="374"/>
      <c r="AN416" s="374"/>
      <c r="AO416" s="374"/>
      <c r="AP416" s="374"/>
      <c r="AQ416" s="374"/>
      <c r="AR416" s="122">
        <v>9030</v>
      </c>
      <c r="AS416" s="122">
        <v>8601</v>
      </c>
      <c r="AT416" s="122">
        <v>10501.6</v>
      </c>
      <c r="AU416" s="122">
        <v>11469</v>
      </c>
      <c r="AV416" s="122">
        <v>11911</v>
      </c>
      <c r="AW416" s="122">
        <v>11835</v>
      </c>
      <c r="BA416" s="122">
        <v>8603</v>
      </c>
      <c r="BC416" s="27"/>
      <c r="BD416" s="27"/>
      <c r="BF416" s="27"/>
      <c r="BG416" s="27"/>
    </row>
    <row r="417" spans="2:59">
      <c r="B417" s="48" t="s">
        <v>290</v>
      </c>
      <c r="J417" s="374"/>
      <c r="K417" s="374"/>
      <c r="L417" s="374"/>
      <c r="M417" s="374"/>
      <c r="N417" s="374"/>
      <c r="O417" s="122">
        <v>17781</v>
      </c>
      <c r="Q417" s="374"/>
      <c r="R417" s="374"/>
      <c r="S417" s="374"/>
      <c r="T417" s="374"/>
      <c r="U417" s="374"/>
      <c r="V417" s="374"/>
      <c r="W417" s="374"/>
      <c r="X417" s="374"/>
      <c r="Y417" s="374"/>
      <c r="Z417" s="374"/>
      <c r="AA417" s="374"/>
      <c r="AB417" s="374"/>
      <c r="AC417" s="374"/>
      <c r="AD417" s="374"/>
      <c r="AE417" s="374"/>
      <c r="AF417" s="374"/>
      <c r="AG417" s="374"/>
      <c r="AH417" s="374"/>
      <c r="AI417" s="374"/>
      <c r="AJ417" s="374"/>
      <c r="AK417" s="374"/>
      <c r="AL417" s="374"/>
      <c r="AM417" s="374"/>
      <c r="AN417" s="374"/>
      <c r="AO417" s="374"/>
      <c r="AP417" s="374"/>
      <c r="AQ417" s="374"/>
      <c r="AR417" s="122">
        <v>4622</v>
      </c>
      <c r="AS417" s="122">
        <v>4342</v>
      </c>
      <c r="AT417" s="122">
        <v>4486.67</v>
      </c>
      <c r="AU417" s="122">
        <v>4858</v>
      </c>
      <c r="AV417" s="122">
        <v>4116</v>
      </c>
      <c r="AW417" s="122">
        <v>5402</v>
      </c>
      <c r="BA417" s="122">
        <v>4321</v>
      </c>
      <c r="BC417" s="27"/>
      <c r="BD417" s="27"/>
      <c r="BF417" s="27"/>
      <c r="BG417" s="27"/>
    </row>
    <row r="418" spans="2:59">
      <c r="B418" s="48" t="s">
        <v>442</v>
      </c>
      <c r="J418" s="374"/>
      <c r="K418" s="374"/>
      <c r="L418" s="374"/>
      <c r="M418" s="374"/>
      <c r="N418" s="374"/>
      <c r="O418" s="122">
        <v>-233</v>
      </c>
      <c r="Q418" s="374"/>
      <c r="R418" s="374"/>
      <c r="S418" s="374"/>
      <c r="T418" s="374"/>
      <c r="U418" s="374"/>
      <c r="V418" s="374"/>
      <c r="W418" s="374"/>
      <c r="X418" s="374"/>
      <c r="Y418" s="374"/>
      <c r="Z418" s="374"/>
      <c r="AA418" s="374"/>
      <c r="AB418" s="374"/>
      <c r="AC418" s="374"/>
      <c r="AD418" s="374"/>
      <c r="AE418" s="374"/>
      <c r="AF418" s="374"/>
      <c r="AG418" s="374"/>
      <c r="AH418" s="374"/>
      <c r="AI418" s="374"/>
      <c r="AJ418" s="374"/>
      <c r="AK418" s="374"/>
      <c r="AL418" s="374"/>
      <c r="AM418" s="374"/>
      <c r="AN418" s="374"/>
      <c r="AO418" s="374"/>
      <c r="AP418" s="374"/>
      <c r="AQ418" s="374"/>
      <c r="AR418" s="122">
        <v>1543</v>
      </c>
      <c r="AS418" s="122">
        <v>1356</v>
      </c>
      <c r="AT418" s="122">
        <v>-55.16</v>
      </c>
      <c r="AU418" s="122">
        <v>-314</v>
      </c>
      <c r="AV418" s="122">
        <v>-1214</v>
      </c>
      <c r="AW418" s="122">
        <v>-103</v>
      </c>
      <c r="BA418" s="122">
        <v>1350</v>
      </c>
      <c r="BC418" s="27"/>
      <c r="BD418" s="27"/>
      <c r="BF418" s="27"/>
      <c r="BG418" s="27"/>
    </row>
    <row r="419" spans="2:59">
      <c r="B419" s="48" t="s">
        <v>446</v>
      </c>
      <c r="J419" s="374"/>
      <c r="K419" s="374"/>
      <c r="L419" s="374"/>
      <c r="M419" s="374"/>
      <c r="N419" s="374"/>
      <c r="O419" s="374"/>
      <c r="Q419" s="374"/>
      <c r="R419" s="374"/>
      <c r="S419" s="374"/>
      <c r="T419" s="374"/>
      <c r="U419" s="374"/>
      <c r="V419" s="374"/>
      <c r="W419" s="374"/>
      <c r="X419" s="374"/>
      <c r="Y419" s="374"/>
      <c r="Z419" s="374"/>
      <c r="AA419" s="374"/>
      <c r="AB419" s="374"/>
      <c r="AC419" s="374"/>
      <c r="AD419" s="374"/>
      <c r="AE419" s="374"/>
      <c r="AF419" s="374"/>
      <c r="AG419" s="374"/>
      <c r="AH419" s="374"/>
      <c r="AI419" s="374"/>
      <c r="AJ419" s="374"/>
      <c r="AK419" s="374"/>
      <c r="AL419" s="374"/>
      <c r="AM419" s="374"/>
      <c r="AN419" s="374"/>
      <c r="AO419" s="374"/>
      <c r="AP419" s="374"/>
      <c r="AQ419" s="374"/>
      <c r="AR419" s="122">
        <v>981</v>
      </c>
      <c r="AS419" s="122">
        <v>1131</v>
      </c>
      <c r="AT419" s="374"/>
      <c r="AU419" s="374"/>
      <c r="AV419" s="374"/>
      <c r="AW419" s="374"/>
      <c r="BA419" s="374"/>
      <c r="BC419" s="27"/>
      <c r="BD419" s="27"/>
      <c r="BF419" s="27"/>
      <c r="BG419" s="27"/>
    </row>
    <row r="420" spans="2:59">
      <c r="B420" s="48" t="s">
        <v>443</v>
      </c>
      <c r="J420" s="374"/>
      <c r="K420" s="374"/>
      <c r="L420" s="374"/>
      <c r="M420" s="374"/>
      <c r="N420" s="374"/>
      <c r="O420" s="122">
        <v>-4414</v>
      </c>
      <c r="Q420" s="374"/>
      <c r="R420" s="374"/>
      <c r="S420" s="374"/>
      <c r="T420" s="374"/>
      <c r="U420" s="374"/>
      <c r="V420" s="374"/>
      <c r="W420" s="374"/>
      <c r="X420" s="374"/>
      <c r="Y420" s="374"/>
      <c r="Z420" s="374"/>
      <c r="AA420" s="374"/>
      <c r="AB420" s="374"/>
      <c r="AC420" s="374"/>
      <c r="AD420" s="374"/>
      <c r="AE420" s="374"/>
      <c r="AF420" s="374"/>
      <c r="AG420" s="374"/>
      <c r="AH420" s="374"/>
      <c r="AI420" s="374"/>
      <c r="AJ420" s="374"/>
      <c r="AK420" s="374"/>
      <c r="AL420" s="374"/>
      <c r="AM420" s="374"/>
      <c r="AN420" s="374"/>
      <c r="AO420" s="374"/>
      <c r="AP420" s="374"/>
      <c r="AQ420" s="374"/>
      <c r="AR420" s="122">
        <v>508</v>
      </c>
      <c r="AS420" s="122">
        <v>388</v>
      </c>
      <c r="AT420" s="122">
        <v>-1607</v>
      </c>
      <c r="AU420" s="122">
        <v>-1377</v>
      </c>
      <c r="AV420" s="122">
        <v>-1818</v>
      </c>
      <c r="AW420" s="122">
        <v>-716</v>
      </c>
      <c r="BA420" s="122">
        <v>388</v>
      </c>
      <c r="BC420" s="27"/>
      <c r="BD420" s="27"/>
      <c r="BF420" s="27"/>
      <c r="BG420" s="27"/>
    </row>
    <row r="421" spans="2:59">
      <c r="BC421" s="27"/>
      <c r="BD421" s="27"/>
      <c r="BF421" s="27"/>
      <c r="BG421" s="27"/>
    </row>
    <row r="422" spans="2:59">
      <c r="B422" s="376" t="s">
        <v>447</v>
      </c>
      <c r="C422" s="362"/>
      <c r="D422" s="362"/>
      <c r="E422" s="362"/>
      <c r="F422" s="362"/>
      <c r="G422" s="362"/>
      <c r="H422" s="362"/>
      <c r="I422" s="362"/>
      <c r="J422" s="362"/>
      <c r="K422" s="362"/>
      <c r="L422" s="362"/>
      <c r="M422" s="362"/>
      <c r="N422" s="362"/>
      <c r="O422" s="362"/>
      <c r="Q422" s="362"/>
      <c r="R422" s="362"/>
      <c r="S422" s="362"/>
      <c r="T422" s="362"/>
      <c r="U422" s="362"/>
      <c r="V422" s="362"/>
      <c r="W422" s="362"/>
      <c r="X422" s="362"/>
      <c r="Y422" s="362"/>
      <c r="Z422" s="362"/>
      <c r="AA422" s="362"/>
      <c r="AB422" s="362"/>
      <c r="AC422" s="362"/>
      <c r="AD422" s="362"/>
      <c r="AE422" s="362"/>
      <c r="AF422" s="362"/>
      <c r="AG422" s="362"/>
      <c r="AH422" s="362"/>
      <c r="AI422" s="362"/>
      <c r="AJ422" s="362"/>
      <c r="AK422" s="362"/>
      <c r="AL422" s="362"/>
      <c r="AM422" s="362"/>
      <c r="AN422" s="362"/>
      <c r="AO422" s="362"/>
      <c r="AP422" s="362"/>
      <c r="AQ422" s="362"/>
      <c r="AR422" s="362"/>
      <c r="AS422" s="362"/>
      <c r="AT422" s="362"/>
      <c r="AU422" s="362"/>
      <c r="AV422" s="362"/>
      <c r="AW422" s="362"/>
      <c r="AY422" s="362"/>
      <c r="AZ422" s="362"/>
      <c r="BA422" s="362"/>
      <c r="BC422" s="27"/>
      <c r="BD422" s="27"/>
      <c r="BF422" s="27"/>
      <c r="BG422" s="27"/>
    </row>
    <row r="423" spans="2:59">
      <c r="B423" s="48" t="s">
        <v>441</v>
      </c>
      <c r="J423" s="374"/>
      <c r="K423" s="374"/>
      <c r="L423" s="374"/>
      <c r="M423" s="374"/>
      <c r="N423" s="374"/>
      <c r="O423" s="122">
        <v>99922</v>
      </c>
      <c r="Q423" s="374"/>
      <c r="R423" s="374"/>
      <c r="S423" s="374"/>
      <c r="T423" s="374"/>
      <c r="U423" s="374"/>
      <c r="V423" s="374"/>
      <c r="W423" s="374"/>
      <c r="X423" s="374"/>
      <c r="Y423" s="374"/>
      <c r="Z423" s="374"/>
      <c r="AA423" s="374"/>
      <c r="AB423" s="374"/>
      <c r="AC423" s="374"/>
      <c r="AD423" s="374"/>
      <c r="AE423" s="374"/>
      <c r="AF423" s="374"/>
      <c r="AG423" s="374"/>
      <c r="AH423" s="374"/>
      <c r="AI423" s="374"/>
      <c r="AJ423" s="374"/>
      <c r="AK423" s="374"/>
      <c r="AL423" s="374"/>
      <c r="AM423" s="374"/>
      <c r="AN423" s="374"/>
      <c r="AO423" s="374"/>
      <c r="AP423" s="374"/>
      <c r="AQ423" s="374"/>
      <c r="AR423" s="374"/>
      <c r="AS423" s="122">
        <v>23411</v>
      </c>
      <c r="AT423" s="122">
        <v>25548</v>
      </c>
      <c r="AU423" s="122">
        <v>25114</v>
      </c>
      <c r="AV423" s="122">
        <v>25849</v>
      </c>
      <c r="AW423" s="122">
        <v>25312</v>
      </c>
      <c r="BA423" s="122">
        <v>23411</v>
      </c>
      <c r="BC423" s="27"/>
      <c r="BD423" s="27"/>
      <c r="BF423" s="27"/>
      <c r="BG423" s="27"/>
    </row>
    <row r="424" spans="2:59">
      <c r="B424" s="48" t="s">
        <v>290</v>
      </c>
      <c r="J424" s="374"/>
      <c r="K424" s="374"/>
      <c r="L424" s="374"/>
      <c r="M424" s="374"/>
      <c r="N424" s="374"/>
      <c r="O424" s="122">
        <v>49788</v>
      </c>
      <c r="Q424" s="374"/>
      <c r="R424" s="374"/>
      <c r="S424" s="374"/>
      <c r="T424" s="374"/>
      <c r="U424" s="374"/>
      <c r="V424" s="374"/>
      <c r="W424" s="374"/>
      <c r="X424" s="374"/>
      <c r="Y424" s="374"/>
      <c r="Z424" s="374"/>
      <c r="AA424" s="374"/>
      <c r="AB424" s="374"/>
      <c r="AC424" s="374"/>
      <c r="AD424" s="374"/>
      <c r="AE424" s="374"/>
      <c r="AF424" s="374"/>
      <c r="AG424" s="374"/>
      <c r="AH424" s="374"/>
      <c r="AI424" s="374"/>
      <c r="AJ424" s="374"/>
      <c r="AK424" s="374"/>
      <c r="AL424" s="374"/>
      <c r="AM424" s="374"/>
      <c r="AN424" s="374"/>
      <c r="AO424" s="374"/>
      <c r="AP424" s="374"/>
      <c r="AQ424" s="374"/>
      <c r="AR424" s="122">
        <v>12748</v>
      </c>
      <c r="AS424" s="122">
        <v>10985</v>
      </c>
      <c r="AT424" s="122">
        <v>13234.88</v>
      </c>
      <c r="AU424" s="122">
        <v>12728.81</v>
      </c>
      <c r="AV424" s="122">
        <v>12839</v>
      </c>
      <c r="AW424" s="122">
        <v>13288</v>
      </c>
      <c r="BA424" s="122">
        <v>10985</v>
      </c>
      <c r="BC424" s="27"/>
      <c r="BD424" s="27"/>
      <c r="BF424" s="27"/>
      <c r="BG424" s="27"/>
    </row>
    <row r="425" spans="2:59">
      <c r="B425" s="48" t="s">
        <v>442</v>
      </c>
      <c r="J425" s="374"/>
      <c r="K425" s="374"/>
      <c r="L425" s="374"/>
      <c r="M425" s="374"/>
      <c r="N425" s="374"/>
      <c r="O425" s="122">
        <v>18157</v>
      </c>
      <c r="Q425" s="374"/>
      <c r="R425" s="374"/>
      <c r="S425" s="374"/>
      <c r="T425" s="374"/>
      <c r="U425" s="374"/>
      <c r="V425" s="374"/>
      <c r="W425" s="374"/>
      <c r="X425" s="374"/>
      <c r="Y425" s="374"/>
      <c r="Z425" s="374"/>
      <c r="AA425" s="374"/>
      <c r="AB425" s="374"/>
      <c r="AC425" s="374"/>
      <c r="AD425" s="374"/>
      <c r="AE425" s="374"/>
      <c r="AF425" s="374"/>
      <c r="AG425" s="374"/>
      <c r="AH425" s="374"/>
      <c r="AI425" s="374"/>
      <c r="AJ425" s="374"/>
      <c r="AK425" s="374"/>
      <c r="AL425" s="374"/>
      <c r="AM425" s="374"/>
      <c r="AN425" s="374"/>
      <c r="AO425" s="374"/>
      <c r="AP425" s="374"/>
      <c r="AQ425" s="374"/>
      <c r="AR425" s="122">
        <v>5526</v>
      </c>
      <c r="AS425" s="122">
        <v>4041</v>
      </c>
      <c r="AT425" s="122">
        <v>6213.17</v>
      </c>
      <c r="AU425" s="122">
        <v>5301.91</v>
      </c>
      <c r="AV425" s="122">
        <v>2601</v>
      </c>
      <c r="AW425" s="122">
        <v>5173</v>
      </c>
      <c r="BA425" s="122">
        <v>4041</v>
      </c>
      <c r="BC425" s="27"/>
      <c r="BD425" s="27"/>
      <c r="BF425" s="27"/>
      <c r="BG425" s="27"/>
    </row>
    <row r="426" spans="2:59">
      <c r="B426" s="48" t="s">
        <v>446</v>
      </c>
      <c r="J426" s="374"/>
      <c r="K426" s="374"/>
      <c r="L426" s="374"/>
      <c r="M426" s="374"/>
      <c r="N426" s="374"/>
      <c r="O426" s="374"/>
      <c r="Q426" s="374"/>
      <c r="R426" s="374"/>
      <c r="S426" s="374"/>
      <c r="T426" s="374"/>
      <c r="U426" s="374"/>
      <c r="V426" s="374"/>
      <c r="W426" s="374"/>
      <c r="X426" s="374"/>
      <c r="Y426" s="374"/>
      <c r="Z426" s="374"/>
      <c r="AA426" s="374"/>
      <c r="AB426" s="374"/>
      <c r="AC426" s="374"/>
      <c r="AD426" s="374"/>
      <c r="AE426" s="374"/>
      <c r="AF426" s="374"/>
      <c r="AG426" s="374"/>
      <c r="AH426" s="374"/>
      <c r="AI426" s="374"/>
      <c r="AJ426" s="374"/>
      <c r="AK426" s="374"/>
      <c r="AL426" s="374"/>
      <c r="AM426" s="374"/>
      <c r="AN426" s="374"/>
      <c r="AO426" s="374"/>
      <c r="AP426" s="374"/>
      <c r="AQ426" s="374"/>
      <c r="AR426" s="122">
        <v>3881</v>
      </c>
      <c r="AS426" s="122">
        <v>6265</v>
      </c>
      <c r="AT426" s="374"/>
      <c r="AU426" s="374"/>
      <c r="AV426" s="374"/>
      <c r="AW426" s="374"/>
      <c r="BA426" s="374"/>
      <c r="BC426" s="27"/>
      <c r="BD426" s="27"/>
      <c r="BF426" s="27"/>
      <c r="BG426" s="27"/>
    </row>
    <row r="427" spans="2:59">
      <c r="B427" s="48" t="s">
        <v>448</v>
      </c>
      <c r="J427" s="374"/>
      <c r="K427" s="374"/>
      <c r="L427" s="374"/>
      <c r="M427" s="374"/>
      <c r="N427" s="374"/>
      <c r="O427" s="122">
        <v>9371</v>
      </c>
      <c r="Q427" s="374"/>
      <c r="R427" s="374"/>
      <c r="S427" s="374"/>
      <c r="T427" s="374"/>
      <c r="U427" s="374"/>
      <c r="V427" s="374"/>
      <c r="W427" s="374"/>
      <c r="X427" s="374"/>
      <c r="Y427" s="374"/>
      <c r="Z427" s="374"/>
      <c r="AA427" s="374"/>
      <c r="AB427" s="374"/>
      <c r="AC427" s="374"/>
      <c r="AD427" s="374"/>
      <c r="AE427" s="374"/>
      <c r="AF427" s="374"/>
      <c r="AG427" s="374"/>
      <c r="AH427" s="374"/>
      <c r="AI427" s="374"/>
      <c r="AJ427" s="374"/>
      <c r="AK427" s="374"/>
      <c r="AL427" s="374"/>
      <c r="AM427" s="374"/>
      <c r="AN427" s="374"/>
      <c r="AO427" s="374"/>
      <c r="AP427" s="374"/>
      <c r="AQ427" s="374"/>
      <c r="AR427" s="122">
        <v>2999</v>
      </c>
      <c r="AS427" s="122">
        <v>1255</v>
      </c>
      <c r="AT427" s="122">
        <v>2574.4299999999998</v>
      </c>
      <c r="AU427" s="122">
        <v>2422.6799999999998</v>
      </c>
      <c r="AV427" s="122">
        <v>3119</v>
      </c>
      <c r="AW427" s="122">
        <v>2323</v>
      </c>
      <c r="BA427" s="122">
        <v>1255</v>
      </c>
      <c r="BC427" s="27"/>
      <c r="BD427" s="27"/>
      <c r="BF427" s="27"/>
      <c r="BG427" s="27"/>
    </row>
    <row r="428" spans="2:59">
      <c r="BC428" s="27"/>
      <c r="BD428" s="27"/>
      <c r="BF428" s="27"/>
      <c r="BG428" s="27"/>
    </row>
    <row r="429" spans="2:59">
      <c r="B429" s="376" t="s">
        <v>449</v>
      </c>
      <c r="C429" s="362"/>
      <c r="D429" s="362"/>
      <c r="E429" s="362"/>
      <c r="F429" s="362"/>
      <c r="G429" s="362"/>
      <c r="H429" s="362"/>
      <c r="I429" s="362"/>
      <c r="J429" s="362"/>
      <c r="K429" s="362"/>
      <c r="L429" s="362"/>
      <c r="M429" s="362"/>
      <c r="N429" s="362"/>
      <c r="O429" s="362"/>
      <c r="Q429" s="362"/>
      <c r="R429" s="362"/>
      <c r="S429" s="362"/>
      <c r="T429" s="362"/>
      <c r="U429" s="362"/>
      <c r="V429" s="362"/>
      <c r="W429" s="362"/>
      <c r="X429" s="362"/>
      <c r="Y429" s="362"/>
      <c r="Z429" s="362"/>
      <c r="AA429" s="362"/>
      <c r="AB429" s="362"/>
      <c r="AC429" s="362"/>
      <c r="AD429" s="362"/>
      <c r="AE429" s="362"/>
      <c r="AF429" s="362"/>
      <c r="AG429" s="362"/>
      <c r="AH429" s="362"/>
      <c r="AI429" s="362"/>
      <c r="AJ429" s="362"/>
      <c r="AK429" s="362"/>
      <c r="AL429" s="362"/>
      <c r="AM429" s="362"/>
      <c r="AN429" s="362"/>
      <c r="AO429" s="362"/>
      <c r="AP429" s="362"/>
      <c r="AQ429" s="362"/>
      <c r="AR429" s="362"/>
      <c r="AS429" s="362"/>
      <c r="AT429" s="362"/>
      <c r="AU429" s="362"/>
      <c r="AV429" s="362"/>
      <c r="AW429" s="362"/>
      <c r="AY429" s="362"/>
      <c r="AZ429" s="362"/>
      <c r="BA429" s="362"/>
      <c r="BC429" s="27"/>
      <c r="BD429" s="27"/>
      <c r="BF429" s="27"/>
      <c r="BG429" s="27"/>
    </row>
    <row r="430" spans="2:59">
      <c r="B430" s="48" t="s">
        <v>441</v>
      </c>
      <c r="J430" s="374"/>
      <c r="K430" s="374"/>
      <c r="L430" s="374"/>
      <c r="M430" s="374"/>
      <c r="N430" s="374"/>
      <c r="O430" s="122">
        <v>179641</v>
      </c>
      <c r="Q430" s="374"/>
      <c r="R430" s="374"/>
      <c r="S430" s="374"/>
      <c r="T430" s="374"/>
      <c r="U430" s="374"/>
      <c r="V430" s="374"/>
      <c r="W430" s="374"/>
      <c r="X430" s="374"/>
      <c r="Y430" s="374"/>
      <c r="Z430" s="374"/>
      <c r="AA430" s="374"/>
      <c r="AB430" s="374"/>
      <c r="AC430" s="374"/>
      <c r="AD430" s="374"/>
      <c r="AE430" s="374"/>
      <c r="AF430" s="374"/>
      <c r="AG430" s="374"/>
      <c r="AH430" s="374"/>
      <c r="AI430" s="374"/>
      <c r="AJ430" s="374"/>
      <c r="AK430" s="374"/>
      <c r="AL430" s="374"/>
      <c r="AM430" s="374"/>
      <c r="AN430" s="374"/>
      <c r="AO430" s="374"/>
      <c r="AP430" s="374"/>
      <c r="AQ430" s="374"/>
      <c r="AR430" s="374"/>
      <c r="AS430" s="122">
        <v>43294</v>
      </c>
      <c r="AT430" s="122">
        <v>44126</v>
      </c>
      <c r="AU430" s="122">
        <v>45690</v>
      </c>
      <c r="AV430" s="122">
        <v>46531</v>
      </c>
      <c r="AW430" s="122">
        <v>47292</v>
      </c>
      <c r="BA430" s="122">
        <v>43294</v>
      </c>
      <c r="BC430" s="27"/>
      <c r="BD430" s="27"/>
      <c r="BF430" s="27"/>
      <c r="BG430" s="27"/>
    </row>
    <row r="431" spans="2:59">
      <c r="B431" s="48" t="s">
        <v>290</v>
      </c>
      <c r="J431" s="374"/>
      <c r="K431" s="374"/>
      <c r="L431" s="374"/>
      <c r="M431" s="374"/>
      <c r="N431" s="374"/>
      <c r="O431" s="122">
        <v>85973</v>
      </c>
      <c r="Q431" s="374"/>
      <c r="R431" s="374"/>
      <c r="S431" s="374"/>
      <c r="T431" s="374"/>
      <c r="U431" s="374"/>
      <c r="V431" s="374"/>
      <c r="W431" s="374"/>
      <c r="X431" s="374"/>
      <c r="Y431" s="374"/>
      <c r="Z431" s="374"/>
      <c r="AA431" s="374"/>
      <c r="AB431" s="374"/>
      <c r="AC431" s="374"/>
      <c r="AD431" s="374"/>
      <c r="AE431" s="374"/>
      <c r="AF431" s="374"/>
      <c r="AG431" s="374"/>
      <c r="AH431" s="374"/>
      <c r="AI431" s="374"/>
      <c r="AJ431" s="374"/>
      <c r="AK431" s="374"/>
      <c r="AL431" s="374"/>
      <c r="AM431" s="374"/>
      <c r="AN431" s="374"/>
      <c r="AO431" s="374"/>
      <c r="AP431" s="374"/>
      <c r="AQ431" s="374"/>
      <c r="AR431" s="122">
        <v>21456</v>
      </c>
      <c r="AS431" s="122">
        <v>19697</v>
      </c>
      <c r="AT431" s="122">
        <v>20960.61</v>
      </c>
      <c r="AU431" s="122">
        <v>22477.5</v>
      </c>
      <c r="AV431" s="122">
        <v>22838</v>
      </c>
      <c r="AW431" s="122">
        <v>24256</v>
      </c>
      <c r="BA431" s="122">
        <v>19697</v>
      </c>
      <c r="BC431" s="27"/>
      <c r="BD431" s="27"/>
      <c r="BF431" s="27"/>
      <c r="BG431" s="27"/>
    </row>
    <row r="432" spans="2:59">
      <c r="B432" s="48" t="s">
        <v>442</v>
      </c>
      <c r="J432" s="374"/>
      <c r="K432" s="374"/>
      <c r="L432" s="374"/>
      <c r="M432" s="374"/>
      <c r="N432" s="374"/>
      <c r="O432" s="122">
        <v>37808</v>
      </c>
      <c r="Q432" s="374"/>
      <c r="R432" s="374"/>
      <c r="S432" s="374"/>
      <c r="T432" s="374"/>
      <c r="U432" s="374"/>
      <c r="V432" s="374"/>
      <c r="W432" s="374"/>
      <c r="X432" s="374"/>
      <c r="Y432" s="374"/>
      <c r="Z432" s="374"/>
      <c r="AA432" s="374"/>
      <c r="AB432" s="374"/>
      <c r="AC432" s="374"/>
      <c r="AD432" s="374"/>
      <c r="AE432" s="374"/>
      <c r="AF432" s="374"/>
      <c r="AG432" s="374"/>
      <c r="AH432" s="374"/>
      <c r="AI432" s="374"/>
      <c r="AJ432" s="374"/>
      <c r="AK432" s="374"/>
      <c r="AL432" s="374"/>
      <c r="AM432" s="374"/>
      <c r="AN432" s="374"/>
      <c r="AO432" s="374"/>
      <c r="AP432" s="374"/>
      <c r="AQ432" s="374"/>
      <c r="AR432" s="122">
        <v>9375</v>
      </c>
      <c r="AS432" s="122">
        <v>8027</v>
      </c>
      <c r="AT432" s="122">
        <v>8537.24</v>
      </c>
      <c r="AU432" s="122">
        <v>10368.41</v>
      </c>
      <c r="AV432" s="122">
        <v>10875</v>
      </c>
      <c r="AW432" s="122">
        <v>12653</v>
      </c>
      <c r="BA432" s="122">
        <v>8027</v>
      </c>
      <c r="BC432" s="27"/>
      <c r="BD432" s="27"/>
      <c r="BF432" s="27"/>
      <c r="BG432" s="27"/>
    </row>
    <row r="433" spans="2:59">
      <c r="B433" s="48" t="s">
        <v>446</v>
      </c>
      <c r="J433" s="374"/>
      <c r="K433" s="374"/>
      <c r="L433" s="374"/>
      <c r="M433" s="374"/>
      <c r="N433" s="374"/>
      <c r="O433" s="374"/>
      <c r="Q433" s="374"/>
      <c r="R433" s="374"/>
      <c r="S433" s="374"/>
      <c r="T433" s="374"/>
      <c r="U433" s="374"/>
      <c r="V433" s="374"/>
      <c r="W433" s="374"/>
      <c r="X433" s="374"/>
      <c r="Y433" s="374"/>
      <c r="Z433" s="374"/>
      <c r="AA433" s="374"/>
      <c r="AB433" s="374"/>
      <c r="AC433" s="374"/>
      <c r="AD433" s="374"/>
      <c r="AE433" s="374"/>
      <c r="AF433" s="374"/>
      <c r="AG433" s="374"/>
      <c r="AH433" s="374"/>
      <c r="AI433" s="374"/>
      <c r="AJ433" s="374"/>
      <c r="AK433" s="374"/>
      <c r="AL433" s="374"/>
      <c r="AM433" s="374"/>
      <c r="AN433" s="374"/>
      <c r="AO433" s="374"/>
      <c r="AP433" s="374"/>
      <c r="AQ433" s="374"/>
      <c r="AR433" s="122">
        <v>5708</v>
      </c>
      <c r="AS433" s="122">
        <v>13303</v>
      </c>
      <c r="AT433" s="374"/>
      <c r="AU433" s="374"/>
      <c r="AV433" s="374"/>
      <c r="AW433" s="374"/>
      <c r="BA433" s="374">
        <v>13303</v>
      </c>
      <c r="BC433" s="27"/>
      <c r="BD433" s="27"/>
      <c r="BF433" s="27"/>
      <c r="BG433" s="27"/>
    </row>
    <row r="434" spans="2:59">
      <c r="B434" s="48" t="s">
        <v>448</v>
      </c>
      <c r="J434" s="374"/>
      <c r="K434" s="374"/>
      <c r="L434" s="374"/>
      <c r="M434" s="374"/>
      <c r="N434" s="374"/>
      <c r="O434" s="122">
        <v>20770</v>
      </c>
      <c r="Q434" s="374"/>
      <c r="R434" s="374"/>
      <c r="S434" s="374"/>
      <c r="T434" s="374"/>
      <c r="U434" s="374"/>
      <c r="V434" s="374"/>
      <c r="W434" s="374"/>
      <c r="X434" s="374"/>
      <c r="Y434" s="374"/>
      <c r="Z434" s="374"/>
      <c r="AA434" s="374"/>
      <c r="AB434" s="374"/>
      <c r="AC434" s="374"/>
      <c r="AD434" s="374"/>
      <c r="AE434" s="374"/>
      <c r="AF434" s="374"/>
      <c r="AG434" s="374"/>
      <c r="AH434" s="374"/>
      <c r="AI434" s="374"/>
      <c r="AJ434" s="374"/>
      <c r="AK434" s="374"/>
      <c r="AL434" s="374"/>
      <c r="AM434" s="374"/>
      <c r="AN434" s="374"/>
      <c r="AO434" s="374"/>
      <c r="AP434" s="374"/>
      <c r="AQ434" s="374"/>
      <c r="AR434" s="122">
        <v>6768</v>
      </c>
      <c r="AS434" s="122">
        <v>4131</v>
      </c>
      <c r="AT434" s="122">
        <v>5066.2700000000004</v>
      </c>
      <c r="AU434" s="122">
        <v>5693.77</v>
      </c>
      <c r="AV434" s="122">
        <v>5879</v>
      </c>
      <c r="AW434" s="122">
        <v>9186</v>
      </c>
      <c r="BA434" s="122">
        <v>4131</v>
      </c>
      <c r="BC434" s="27"/>
      <c r="BD434" s="27"/>
      <c r="BF434" s="27"/>
      <c r="BG434" s="27"/>
    </row>
    <row r="435" spans="2:59">
      <c r="B435" s="48"/>
      <c r="O435" s="122"/>
      <c r="AR435" s="122"/>
      <c r="AS435" s="122"/>
      <c r="AT435" s="122"/>
      <c r="AU435" s="122"/>
      <c r="AV435" s="122"/>
      <c r="AW435" s="122"/>
      <c r="BA435" s="122"/>
      <c r="BC435" s="27"/>
      <c r="BD435" s="27"/>
      <c r="BF435" s="27"/>
      <c r="BG435" s="27"/>
    </row>
    <row r="436" spans="2:59">
      <c r="B436" s="376" t="s">
        <v>450</v>
      </c>
      <c r="C436" s="362"/>
      <c r="D436" s="362"/>
      <c r="E436" s="362"/>
      <c r="F436" s="362"/>
      <c r="G436" s="362"/>
      <c r="H436" s="362"/>
      <c r="I436" s="362"/>
      <c r="J436" s="362"/>
      <c r="K436" s="362"/>
      <c r="L436" s="362"/>
      <c r="M436" s="362"/>
      <c r="N436" s="362"/>
      <c r="O436" s="365"/>
      <c r="AR436" s="365"/>
      <c r="AS436" s="365"/>
      <c r="AT436" s="365"/>
      <c r="AU436" s="365"/>
      <c r="AV436" s="365"/>
      <c r="AW436" s="365"/>
      <c r="BA436" s="365"/>
      <c r="BC436" s="27"/>
      <c r="BD436" s="27"/>
      <c r="BF436" s="27"/>
      <c r="BG436" s="27"/>
    </row>
    <row r="437" spans="2:59">
      <c r="B437" s="48" t="s">
        <v>441</v>
      </c>
      <c r="J437" s="374"/>
      <c r="K437" s="374"/>
      <c r="L437" s="374"/>
      <c r="M437" s="374"/>
      <c r="N437" s="374"/>
      <c r="O437" s="122">
        <v>431.096</v>
      </c>
      <c r="Q437" s="374"/>
      <c r="R437" s="374"/>
      <c r="S437" s="374"/>
      <c r="T437" s="374"/>
      <c r="U437" s="374"/>
      <c r="V437" s="374"/>
      <c r="W437" s="374"/>
      <c r="X437" s="374"/>
      <c r="Y437" s="374"/>
      <c r="Z437" s="374"/>
      <c r="AA437" s="374"/>
      <c r="AB437" s="374"/>
      <c r="AC437" s="374"/>
      <c r="AD437" s="374"/>
      <c r="AE437" s="374"/>
      <c r="AF437" s="374"/>
      <c r="AG437" s="374"/>
      <c r="AH437" s="374"/>
      <c r="AI437" s="374"/>
      <c r="AJ437" s="374"/>
      <c r="AK437" s="374"/>
      <c r="AL437" s="374"/>
      <c r="AM437" s="374"/>
      <c r="AN437" s="374"/>
      <c r="AO437" s="374"/>
      <c r="AP437" s="374"/>
      <c r="AQ437" s="374"/>
      <c r="AR437" s="122">
        <v>106</v>
      </c>
      <c r="AS437" s="122">
        <v>104</v>
      </c>
      <c r="AT437" s="122">
        <v>105.81082000000001</v>
      </c>
      <c r="AU437" s="122">
        <v>107.4282</v>
      </c>
      <c r="AV437" s="122">
        <v>114.09399999999999</v>
      </c>
      <c r="AW437" s="122">
        <v>111.348</v>
      </c>
      <c r="BA437" s="122">
        <v>103.76300000000001</v>
      </c>
      <c r="BC437" s="27"/>
      <c r="BD437" s="27"/>
      <c r="BF437" s="27"/>
      <c r="BG437" s="27"/>
    </row>
    <row r="438" spans="2:59">
      <c r="B438" s="48" t="s">
        <v>290</v>
      </c>
      <c r="J438" s="374"/>
      <c r="K438" s="374"/>
      <c r="L438" s="374"/>
      <c r="M438" s="374"/>
      <c r="N438" s="374"/>
      <c r="O438" s="122">
        <v>255.79400000000001</v>
      </c>
      <c r="Q438" s="374"/>
      <c r="R438" s="374"/>
      <c r="S438" s="374"/>
      <c r="T438" s="374"/>
      <c r="U438" s="374"/>
      <c r="V438" s="374"/>
      <c r="W438" s="374"/>
      <c r="X438" s="374"/>
      <c r="Y438" s="374"/>
      <c r="Z438" s="374"/>
      <c r="AA438" s="374"/>
      <c r="AB438" s="374"/>
      <c r="AC438" s="374"/>
      <c r="AD438" s="374"/>
      <c r="AE438" s="374"/>
      <c r="AF438" s="374"/>
      <c r="AG438" s="374"/>
      <c r="AH438" s="374"/>
      <c r="AI438" s="374"/>
      <c r="AJ438" s="374"/>
      <c r="AK438" s="374"/>
      <c r="AL438" s="374"/>
      <c r="AM438" s="374"/>
      <c r="AN438" s="374"/>
      <c r="AO438" s="374"/>
      <c r="AP438" s="374"/>
      <c r="AQ438" s="374"/>
      <c r="AR438" s="122">
        <v>58</v>
      </c>
      <c r="AS438" s="122">
        <v>60</v>
      </c>
      <c r="AT438" s="122">
        <v>68.012950000000004</v>
      </c>
      <c r="AU438" s="122">
        <v>62.545569999999998</v>
      </c>
      <c r="AV438" s="122">
        <v>64.995999999999995</v>
      </c>
      <c r="AW438" s="122">
        <v>64.679000000000002</v>
      </c>
      <c r="BA438" s="122">
        <v>60.24</v>
      </c>
      <c r="BC438" s="27"/>
      <c r="BD438" s="27"/>
      <c r="BF438" s="27"/>
      <c r="BG438" s="27"/>
    </row>
    <row r="439" spans="2:59">
      <c r="B439" s="48" t="s">
        <v>442</v>
      </c>
      <c r="J439" s="374"/>
      <c r="K439" s="374"/>
      <c r="L439" s="374"/>
      <c r="M439" s="374"/>
      <c r="N439" s="374"/>
      <c r="O439" s="122">
        <v>158.40299999999999</v>
      </c>
      <c r="Q439" s="374"/>
      <c r="R439" s="374"/>
      <c r="S439" s="374"/>
      <c r="T439" s="374"/>
      <c r="U439" s="374"/>
      <c r="V439" s="374"/>
      <c r="W439" s="374"/>
      <c r="X439" s="374"/>
      <c r="Y439" s="374"/>
      <c r="Z439" s="374"/>
      <c r="AA439" s="374"/>
      <c r="AB439" s="374"/>
      <c r="AC439" s="374"/>
      <c r="AD439" s="374"/>
      <c r="AE439" s="374"/>
      <c r="AF439" s="374"/>
      <c r="AG439" s="374"/>
      <c r="AH439" s="374"/>
      <c r="AI439" s="374"/>
      <c r="AJ439" s="374"/>
      <c r="AK439" s="374"/>
      <c r="AL439" s="374"/>
      <c r="AM439" s="374"/>
      <c r="AN439" s="374"/>
      <c r="AO439" s="374"/>
      <c r="AP439" s="374"/>
      <c r="AQ439" s="374"/>
      <c r="AR439" s="122">
        <v>32</v>
      </c>
      <c r="AS439" s="122">
        <v>35</v>
      </c>
      <c r="AT439" s="122">
        <v>44.474150000000002</v>
      </c>
      <c r="AU439" s="122">
        <v>38.653939999999999</v>
      </c>
      <c r="AV439" s="122">
        <v>40.613999999999997</v>
      </c>
      <c r="AW439" s="122">
        <v>40.078000000000003</v>
      </c>
      <c r="BA439" s="122">
        <v>34.661000000000001</v>
      </c>
      <c r="BC439" s="27"/>
      <c r="BD439" s="27"/>
      <c r="BF439" s="27"/>
      <c r="BG439" s="27"/>
    </row>
    <row r="440" spans="2:59">
      <c r="B440" s="48" t="s">
        <v>446</v>
      </c>
      <c r="J440" s="374"/>
      <c r="K440" s="374"/>
      <c r="L440" s="374"/>
      <c r="M440" s="374"/>
      <c r="N440" s="374"/>
      <c r="O440" s="374"/>
      <c r="Q440" s="374"/>
      <c r="R440" s="374"/>
      <c r="S440" s="374"/>
      <c r="T440" s="374"/>
      <c r="U440" s="374"/>
      <c r="V440" s="374"/>
      <c r="W440" s="374"/>
      <c r="X440" s="374"/>
      <c r="Y440" s="374"/>
      <c r="Z440" s="374"/>
      <c r="AA440" s="374"/>
      <c r="AB440" s="374"/>
      <c r="AC440" s="374"/>
      <c r="AD440" s="374"/>
      <c r="AE440" s="374"/>
      <c r="AF440" s="374"/>
      <c r="AG440" s="374"/>
      <c r="AH440" s="374"/>
      <c r="AI440" s="374"/>
      <c r="AJ440" s="374"/>
      <c r="AK440" s="374"/>
      <c r="AL440" s="374"/>
      <c r="AM440" s="374"/>
      <c r="AN440" s="374"/>
      <c r="AO440" s="374"/>
      <c r="AP440" s="374"/>
      <c r="AQ440" s="374"/>
      <c r="AR440" s="122">
        <v>34</v>
      </c>
      <c r="AS440" s="122">
        <v>37</v>
      </c>
      <c r="AT440" s="374"/>
      <c r="AU440" s="374"/>
      <c r="AV440" s="374"/>
      <c r="AW440" s="374"/>
      <c r="BA440" s="374"/>
      <c r="BC440" s="27"/>
      <c r="BD440" s="27"/>
      <c r="BF440" s="27"/>
      <c r="BG440" s="27"/>
    </row>
    <row r="441" spans="2:59">
      <c r="B441" s="48" t="s">
        <v>448</v>
      </c>
      <c r="J441" s="374"/>
      <c r="K441" s="374"/>
      <c r="L441" s="374"/>
      <c r="M441" s="374"/>
      <c r="N441" s="374"/>
      <c r="O441" s="122">
        <v>125.28400000000001</v>
      </c>
      <c r="Q441" s="374"/>
      <c r="R441" s="374"/>
      <c r="S441" s="374"/>
      <c r="T441" s="374"/>
      <c r="U441" s="374"/>
      <c r="V441" s="374"/>
      <c r="W441" s="374"/>
      <c r="X441" s="374"/>
      <c r="Y441" s="374"/>
      <c r="Z441" s="374"/>
      <c r="AA441" s="374"/>
      <c r="AB441" s="374"/>
      <c r="AC441" s="374"/>
      <c r="AD441" s="374"/>
      <c r="AE441" s="374"/>
      <c r="AF441" s="374"/>
      <c r="AG441" s="374"/>
      <c r="AH441" s="374"/>
      <c r="AI441" s="374"/>
      <c r="AJ441" s="374"/>
      <c r="AK441" s="374"/>
      <c r="AL441" s="374"/>
      <c r="AM441" s="374"/>
      <c r="AN441" s="374"/>
      <c r="AO441" s="374"/>
      <c r="AP441" s="374"/>
      <c r="AQ441" s="374"/>
      <c r="AR441" s="122">
        <v>28</v>
      </c>
      <c r="AS441" s="122">
        <v>30</v>
      </c>
      <c r="AT441" s="122">
        <v>35.822559999999996</v>
      </c>
      <c r="AU441" s="122">
        <v>29.530889999999999</v>
      </c>
      <c r="AV441" s="122">
        <v>29.917000000000002</v>
      </c>
      <c r="AW441" s="122">
        <v>32.186999999999998</v>
      </c>
      <c r="BA441" s="122">
        <v>30.013999999999999</v>
      </c>
      <c r="BC441" s="27"/>
      <c r="BD441" s="27"/>
      <c r="BF441" s="27"/>
      <c r="BG441" s="27"/>
    </row>
    <row r="442" spans="2:59">
      <c r="B442" s="48"/>
      <c r="O442" s="122"/>
      <c r="AR442" s="122"/>
      <c r="AS442" s="122"/>
      <c r="AT442" s="122"/>
      <c r="AU442" s="122"/>
      <c r="AV442" s="122"/>
      <c r="AW442" s="122"/>
      <c r="BA442" s="122"/>
      <c r="BC442" s="27"/>
      <c r="BD442" s="27"/>
      <c r="BF442" s="27"/>
      <c r="BG442" s="27"/>
    </row>
    <row r="443" spans="2:59">
      <c r="B443" s="376" t="s">
        <v>451</v>
      </c>
      <c r="C443" s="362"/>
      <c r="D443" s="362"/>
      <c r="E443" s="362"/>
      <c r="F443" s="362"/>
      <c r="G443" s="362"/>
      <c r="H443" s="362"/>
      <c r="I443" s="362"/>
      <c r="J443" s="362"/>
      <c r="K443" s="362"/>
      <c r="L443" s="362"/>
      <c r="M443" s="362"/>
      <c r="N443" s="362"/>
      <c r="O443" s="365"/>
      <c r="AR443" s="365"/>
      <c r="AS443" s="365"/>
      <c r="AT443" s="365"/>
      <c r="AU443" s="365"/>
      <c r="AV443" s="365"/>
      <c r="AW443" s="365"/>
      <c r="BA443" s="365"/>
      <c r="BC443" s="27"/>
      <c r="BD443" s="27"/>
      <c r="BF443" s="27"/>
      <c r="BG443" s="27"/>
    </row>
    <row r="444" spans="2:59">
      <c r="B444" s="48" t="s">
        <v>441</v>
      </c>
      <c r="J444" s="374"/>
      <c r="K444" s="374"/>
      <c r="L444" s="374"/>
      <c r="M444" s="374"/>
      <c r="N444" s="374"/>
      <c r="O444" s="122">
        <v>3082</v>
      </c>
      <c r="Q444" s="374"/>
      <c r="R444" s="374"/>
      <c r="S444" s="374"/>
      <c r="T444" s="374"/>
      <c r="U444" s="374"/>
      <c r="V444" s="374"/>
      <c r="W444" s="374"/>
      <c r="X444" s="374"/>
      <c r="Y444" s="374"/>
      <c r="Z444" s="374"/>
      <c r="AA444" s="374"/>
      <c r="AB444" s="374"/>
      <c r="AC444" s="374"/>
      <c r="AD444" s="374"/>
      <c r="AE444" s="374"/>
      <c r="AF444" s="374"/>
      <c r="AG444" s="374"/>
      <c r="AH444" s="374"/>
      <c r="AI444" s="374"/>
      <c r="AJ444" s="374"/>
      <c r="AK444" s="374"/>
      <c r="AL444" s="374"/>
      <c r="AM444" s="374"/>
      <c r="AN444" s="374"/>
      <c r="AO444" s="374"/>
      <c r="AP444" s="374"/>
      <c r="AQ444" s="374"/>
      <c r="AR444" s="122">
        <v>876</v>
      </c>
      <c r="AS444" s="122">
        <v>810</v>
      </c>
      <c r="AT444" s="122">
        <v>766.31</v>
      </c>
      <c r="AU444" s="122">
        <v>818.16</v>
      </c>
      <c r="AV444" s="122">
        <v>687</v>
      </c>
      <c r="AW444" s="122">
        <v>661</v>
      </c>
      <c r="BA444" s="122">
        <v>810</v>
      </c>
      <c r="BC444" s="27"/>
      <c r="BD444" s="27"/>
      <c r="BF444" s="27"/>
      <c r="BG444" s="27"/>
    </row>
    <row r="445" spans="2:59">
      <c r="B445" s="48" t="s">
        <v>290</v>
      </c>
      <c r="J445" s="374"/>
      <c r="K445" s="374"/>
      <c r="L445" s="374"/>
      <c r="M445" s="374"/>
      <c r="N445" s="374"/>
      <c r="O445" s="122">
        <v>837</v>
      </c>
      <c r="Q445" s="374"/>
      <c r="R445" s="374"/>
      <c r="S445" s="374"/>
      <c r="T445" s="374"/>
      <c r="U445" s="374"/>
      <c r="V445" s="374"/>
      <c r="W445" s="374"/>
      <c r="X445" s="374"/>
      <c r="Y445" s="374"/>
      <c r="Z445" s="374"/>
      <c r="AA445" s="374"/>
      <c r="AB445" s="374"/>
      <c r="AC445" s="374"/>
      <c r="AD445" s="374"/>
      <c r="AE445" s="374"/>
      <c r="AF445" s="374"/>
      <c r="AG445" s="374"/>
      <c r="AH445" s="374"/>
      <c r="AI445" s="374"/>
      <c r="AJ445" s="374"/>
      <c r="AK445" s="374"/>
      <c r="AL445" s="374"/>
      <c r="AM445" s="374"/>
      <c r="AN445" s="374"/>
      <c r="AO445" s="374"/>
      <c r="AP445" s="374"/>
      <c r="AQ445" s="374"/>
      <c r="AR445" s="122">
        <v>110</v>
      </c>
      <c r="AS445" s="122">
        <v>193</v>
      </c>
      <c r="AT445" s="122">
        <v>234.45</v>
      </c>
      <c r="AU445" s="122">
        <v>232.82</v>
      </c>
      <c r="AV445" s="122">
        <v>176</v>
      </c>
      <c r="AW445" s="122">
        <v>140</v>
      </c>
      <c r="BA445" s="122">
        <v>193</v>
      </c>
      <c r="BC445" s="27"/>
      <c r="BD445" s="27"/>
      <c r="BF445" s="27"/>
      <c r="BG445" s="27"/>
    </row>
    <row r="446" spans="2:59">
      <c r="B446" s="48" t="s">
        <v>442</v>
      </c>
      <c r="J446" s="374"/>
      <c r="K446" s="374"/>
      <c r="L446" s="374"/>
      <c r="M446" s="374"/>
      <c r="N446" s="374"/>
      <c r="O446" s="122">
        <v>-900</v>
      </c>
      <c r="Q446" s="374"/>
      <c r="R446" s="374"/>
      <c r="S446" s="374"/>
      <c r="T446" s="374"/>
      <c r="U446" s="374"/>
      <c r="V446" s="374"/>
      <c r="W446" s="374"/>
      <c r="X446" s="374"/>
      <c r="Y446" s="374"/>
      <c r="Z446" s="374"/>
      <c r="AA446" s="374"/>
      <c r="AB446" s="374"/>
      <c r="AC446" s="374"/>
      <c r="AD446" s="374"/>
      <c r="AE446" s="374"/>
      <c r="AF446" s="374"/>
      <c r="AG446" s="374"/>
      <c r="AH446" s="374"/>
      <c r="AI446" s="374"/>
      <c r="AJ446" s="374"/>
      <c r="AK446" s="374"/>
      <c r="AL446" s="374"/>
      <c r="AM446" s="374"/>
      <c r="AN446" s="374"/>
      <c r="AO446" s="374"/>
      <c r="AP446" s="374"/>
      <c r="AQ446" s="374"/>
      <c r="AR446" s="122">
        <v>-334</v>
      </c>
      <c r="AS446" s="122">
        <v>-223</v>
      </c>
      <c r="AT446" s="122">
        <v>-199.65</v>
      </c>
      <c r="AU446" s="122">
        <v>-206.61</v>
      </c>
      <c r="AV446" s="122">
        <v>-270</v>
      </c>
      <c r="AW446" s="122">
        <v>-311</v>
      </c>
      <c r="BA446" s="122">
        <v>-223</v>
      </c>
      <c r="BC446" s="27"/>
      <c r="BD446" s="27"/>
      <c r="BF446" s="27"/>
      <c r="BG446" s="27"/>
    </row>
    <row r="447" spans="2:59">
      <c r="B447" s="48" t="s">
        <v>446</v>
      </c>
      <c r="J447" s="374"/>
      <c r="K447" s="374"/>
      <c r="L447" s="374"/>
      <c r="M447" s="374"/>
      <c r="N447" s="374"/>
      <c r="O447" s="374"/>
      <c r="Q447" s="374"/>
      <c r="R447" s="374"/>
      <c r="S447" s="374"/>
      <c r="T447" s="374"/>
      <c r="U447" s="374"/>
      <c r="V447" s="374"/>
      <c r="W447" s="374"/>
      <c r="X447" s="374"/>
      <c r="Y447" s="374"/>
      <c r="Z447" s="374"/>
      <c r="AA447" s="374"/>
      <c r="AB447" s="374"/>
      <c r="AC447" s="374"/>
      <c r="AD447" s="374"/>
      <c r="AE447" s="374"/>
      <c r="AF447" s="374"/>
      <c r="AG447" s="374"/>
      <c r="AH447" s="374"/>
      <c r="AI447" s="374"/>
      <c r="AJ447" s="374"/>
      <c r="AK447" s="374"/>
      <c r="AL447" s="374"/>
      <c r="AM447" s="374"/>
      <c r="AN447" s="374"/>
      <c r="AO447" s="374"/>
      <c r="AP447" s="374"/>
      <c r="AQ447" s="374"/>
      <c r="AR447" s="122">
        <v>-314</v>
      </c>
      <c r="AS447" s="122">
        <v>-118</v>
      </c>
      <c r="AT447" s="374"/>
      <c r="AU447" s="374"/>
      <c r="AV447" s="374"/>
      <c r="AW447" s="374"/>
      <c r="BA447" s="374">
        <v>-118</v>
      </c>
      <c r="BC447" s="27"/>
      <c r="BD447" s="27"/>
      <c r="BF447" s="27"/>
      <c r="BG447" s="27"/>
    </row>
    <row r="448" spans="2:59">
      <c r="B448" s="48" t="s">
        <v>448</v>
      </c>
      <c r="J448" s="374"/>
      <c r="K448" s="374"/>
      <c r="L448" s="374"/>
      <c r="M448" s="374"/>
      <c r="N448" s="374"/>
      <c r="O448" s="122">
        <v>-1449</v>
      </c>
      <c r="Q448" s="374"/>
      <c r="R448" s="374"/>
      <c r="S448" s="374"/>
      <c r="T448" s="374"/>
      <c r="U448" s="374"/>
      <c r="V448" s="374"/>
      <c r="W448" s="374"/>
      <c r="X448" s="374"/>
      <c r="Y448" s="374"/>
      <c r="Z448" s="374"/>
      <c r="AA448" s="374"/>
      <c r="AB448" s="374"/>
      <c r="AC448" s="374"/>
      <c r="AD448" s="374"/>
      <c r="AE448" s="374"/>
      <c r="AF448" s="374"/>
      <c r="AG448" s="374"/>
      <c r="AH448" s="374"/>
      <c r="AI448" s="374"/>
      <c r="AJ448" s="374"/>
      <c r="AK448" s="374"/>
      <c r="AL448" s="374"/>
      <c r="AM448" s="374"/>
      <c r="AN448" s="374"/>
      <c r="AO448" s="374"/>
      <c r="AP448" s="374"/>
      <c r="AQ448" s="374"/>
      <c r="AR448" s="122">
        <v>-384</v>
      </c>
      <c r="AS448" s="122">
        <v>-355</v>
      </c>
      <c r="AT448" s="122">
        <v>-336.77</v>
      </c>
      <c r="AU448" s="122">
        <v>-336.25</v>
      </c>
      <c r="AV448" s="122">
        <v>-421</v>
      </c>
      <c r="AW448" s="122">
        <v>-437</v>
      </c>
      <c r="BA448" s="122">
        <v>-355</v>
      </c>
      <c r="BC448" s="27"/>
      <c r="BD448" s="27"/>
      <c r="BF448" s="27"/>
      <c r="BG448" s="27"/>
    </row>
    <row r="449" spans="2:59">
      <c r="B449" s="48"/>
      <c r="O449" s="122"/>
      <c r="AR449" s="122"/>
      <c r="AS449" s="122"/>
      <c r="AT449" s="122"/>
      <c r="AU449" s="122"/>
      <c r="AV449" s="122"/>
      <c r="AW449" s="122"/>
      <c r="BA449" s="122"/>
      <c r="BC449" s="27"/>
      <c r="BD449" s="27"/>
      <c r="BF449" s="27"/>
      <c r="BG449" s="27"/>
    </row>
    <row r="450" spans="2:59">
      <c r="B450" s="376" t="s">
        <v>452</v>
      </c>
      <c r="C450" s="362"/>
      <c r="D450" s="362"/>
      <c r="E450" s="362"/>
      <c r="F450" s="362"/>
      <c r="G450" s="362"/>
      <c r="H450" s="362"/>
      <c r="I450" s="362"/>
      <c r="J450" s="362"/>
      <c r="K450" s="362"/>
      <c r="L450" s="362"/>
      <c r="M450" s="362"/>
      <c r="N450" s="362"/>
      <c r="O450" s="365"/>
      <c r="AR450" s="365"/>
      <c r="AS450" s="365"/>
      <c r="AT450" s="365"/>
      <c r="AU450" s="365"/>
      <c r="AV450" s="365"/>
      <c r="AW450" s="365"/>
      <c r="BA450" s="365"/>
      <c r="BC450" s="27"/>
      <c r="BD450" s="27"/>
      <c r="BF450" s="27"/>
      <c r="BG450" s="27"/>
    </row>
    <row r="451" spans="2:59">
      <c r="B451" s="48" t="s">
        <v>441</v>
      </c>
      <c r="J451" s="374"/>
      <c r="K451" s="374"/>
      <c r="L451" s="374"/>
      <c r="M451" s="374"/>
      <c r="N451" s="374"/>
      <c r="O451" s="122">
        <v>2383</v>
      </c>
      <c r="Q451" s="374"/>
      <c r="R451" s="374"/>
      <c r="S451" s="374"/>
      <c r="T451" s="374"/>
      <c r="U451" s="374"/>
      <c r="V451" s="374"/>
      <c r="W451" s="374"/>
      <c r="X451" s="374"/>
      <c r="Y451" s="374"/>
      <c r="Z451" s="374"/>
      <c r="AA451" s="374"/>
      <c r="AB451" s="374"/>
      <c r="AC451" s="374"/>
      <c r="AD451" s="374"/>
      <c r="AE451" s="374"/>
      <c r="AF451" s="374"/>
      <c r="AG451" s="374"/>
      <c r="AH451" s="374"/>
      <c r="AI451" s="374"/>
      <c r="AJ451" s="374"/>
      <c r="AK451" s="374"/>
      <c r="AL451" s="374"/>
      <c r="AM451" s="374"/>
      <c r="AN451" s="374"/>
      <c r="AO451" s="374"/>
      <c r="AP451" s="374"/>
      <c r="AQ451" s="374"/>
      <c r="AR451" s="122">
        <v>592</v>
      </c>
      <c r="AS451" s="122">
        <v>584</v>
      </c>
      <c r="AT451" s="122">
        <v>615.32000000000005</v>
      </c>
      <c r="AU451" s="122">
        <v>580.11</v>
      </c>
      <c r="AV451" s="122">
        <v>603</v>
      </c>
      <c r="AW451" s="122">
        <v>546</v>
      </c>
      <c r="BA451" s="122">
        <v>584</v>
      </c>
      <c r="BC451" s="27"/>
      <c r="BD451" s="27"/>
      <c r="BF451" s="27"/>
      <c r="BG451" s="27"/>
    </row>
    <row r="452" spans="2:59">
      <c r="B452" s="48" t="s">
        <v>290</v>
      </c>
      <c r="J452" s="374"/>
      <c r="K452" s="374"/>
      <c r="L452" s="374"/>
      <c r="M452" s="374"/>
      <c r="N452" s="374"/>
      <c r="O452" s="122">
        <v>1766</v>
      </c>
      <c r="Q452" s="374"/>
      <c r="R452" s="374"/>
      <c r="S452" s="374"/>
      <c r="T452" s="374"/>
      <c r="U452" s="374"/>
      <c r="V452" s="374"/>
      <c r="W452" s="374"/>
      <c r="X452" s="374"/>
      <c r="Y452" s="374"/>
      <c r="Z452" s="374"/>
      <c r="AA452" s="374"/>
      <c r="AB452" s="374"/>
      <c r="AC452" s="374"/>
      <c r="AD452" s="374"/>
      <c r="AE452" s="374"/>
      <c r="AF452" s="374"/>
      <c r="AG452" s="374"/>
      <c r="AH452" s="374"/>
      <c r="AI452" s="374"/>
      <c r="AJ452" s="374"/>
      <c r="AK452" s="374"/>
      <c r="AL452" s="374"/>
      <c r="AM452" s="374"/>
      <c r="AN452" s="374"/>
      <c r="AO452" s="374"/>
      <c r="AP452" s="374"/>
      <c r="AQ452" s="374"/>
      <c r="AR452" s="122">
        <v>424</v>
      </c>
      <c r="AS452" s="122">
        <v>406</v>
      </c>
      <c r="AT452" s="122">
        <v>475.41</v>
      </c>
      <c r="AU452" s="122">
        <v>421.15</v>
      </c>
      <c r="AV452" s="122">
        <v>460</v>
      </c>
      <c r="AW452" s="122">
        <v>396</v>
      </c>
      <c r="BA452" s="122">
        <v>409</v>
      </c>
      <c r="BC452" s="27"/>
      <c r="BD452" s="27"/>
      <c r="BF452" s="27"/>
      <c r="BG452" s="27"/>
    </row>
    <row r="453" spans="2:59">
      <c r="B453" s="48" t="s">
        <v>442</v>
      </c>
      <c r="J453" s="374"/>
      <c r="K453" s="374"/>
      <c r="L453" s="374"/>
      <c r="M453" s="374"/>
      <c r="N453" s="374"/>
      <c r="O453" s="122">
        <v>1033</v>
      </c>
      <c r="Q453" s="374"/>
      <c r="R453" s="374"/>
      <c r="S453" s="374"/>
      <c r="T453" s="374"/>
      <c r="U453" s="374"/>
      <c r="V453" s="374"/>
      <c r="W453" s="374"/>
      <c r="X453" s="374"/>
      <c r="Y453" s="374"/>
      <c r="Z453" s="374"/>
      <c r="AA453" s="374"/>
      <c r="AB453" s="374"/>
      <c r="AC453" s="374"/>
      <c r="AD453" s="374"/>
      <c r="AE453" s="374"/>
      <c r="AF453" s="374"/>
      <c r="AG453" s="374"/>
      <c r="AH453" s="374"/>
      <c r="AI453" s="374"/>
      <c r="AJ453" s="374"/>
      <c r="AK453" s="374"/>
      <c r="AL453" s="374"/>
      <c r="AM453" s="374"/>
      <c r="AN453" s="374"/>
      <c r="AO453" s="374"/>
      <c r="AP453" s="374"/>
      <c r="AQ453" s="374"/>
      <c r="AR453" s="122">
        <v>241</v>
      </c>
      <c r="AS453" s="122">
        <v>222</v>
      </c>
      <c r="AT453" s="122">
        <v>296.02</v>
      </c>
      <c r="AU453" s="122">
        <v>248.21</v>
      </c>
      <c r="AV453" s="122">
        <v>263</v>
      </c>
      <c r="AW453" s="122">
        <v>226</v>
      </c>
      <c r="BA453" s="122">
        <v>226</v>
      </c>
      <c r="BC453" s="27"/>
      <c r="BD453" s="27"/>
      <c r="BF453" s="27"/>
      <c r="BG453" s="27"/>
    </row>
    <row r="454" spans="2:59">
      <c r="B454" s="48" t="s">
        <v>446</v>
      </c>
      <c r="J454" s="374"/>
      <c r="K454" s="374"/>
      <c r="L454" s="374"/>
      <c r="M454" s="374"/>
      <c r="N454" s="374"/>
      <c r="O454" s="374"/>
      <c r="Q454" s="374"/>
      <c r="R454" s="374"/>
      <c r="S454" s="374"/>
      <c r="T454" s="374"/>
      <c r="U454" s="374"/>
      <c r="V454" s="374"/>
      <c r="W454" s="374"/>
      <c r="X454" s="374"/>
      <c r="Y454" s="374"/>
      <c r="Z454" s="374"/>
      <c r="AA454" s="374"/>
      <c r="AB454" s="374"/>
      <c r="AC454" s="374"/>
      <c r="AD454" s="374"/>
      <c r="AE454" s="374"/>
      <c r="AF454" s="374"/>
      <c r="AG454" s="374"/>
      <c r="AH454" s="374"/>
      <c r="AI454" s="374"/>
      <c r="AJ454" s="374"/>
      <c r="AK454" s="374"/>
      <c r="AL454" s="374"/>
      <c r="AM454" s="374"/>
      <c r="AN454" s="374"/>
      <c r="AO454" s="374"/>
      <c r="AP454" s="374"/>
      <c r="AQ454" s="374"/>
      <c r="AR454" s="122">
        <v>86</v>
      </c>
      <c r="AS454" s="122">
        <v>73</v>
      </c>
      <c r="AT454" s="374"/>
      <c r="AU454" s="374"/>
      <c r="AV454" s="374"/>
      <c r="AW454" s="374"/>
      <c r="BA454" s="374"/>
      <c r="BC454" s="27"/>
      <c r="BD454" s="27"/>
      <c r="BF454" s="27"/>
      <c r="BG454" s="27"/>
    </row>
    <row r="455" spans="2:59">
      <c r="B455" s="48" t="s">
        <v>448</v>
      </c>
      <c r="J455" s="374"/>
      <c r="K455" s="374"/>
      <c r="L455" s="374"/>
      <c r="M455" s="374"/>
      <c r="N455" s="374"/>
      <c r="O455" s="122">
        <v>379</v>
      </c>
      <c r="Q455" s="374"/>
      <c r="R455" s="374"/>
      <c r="S455" s="374"/>
      <c r="T455" s="374"/>
      <c r="U455" s="374"/>
      <c r="V455" s="374"/>
      <c r="W455" s="374"/>
      <c r="X455" s="374"/>
      <c r="Y455" s="374"/>
      <c r="Z455" s="374"/>
      <c r="AA455" s="374"/>
      <c r="AB455" s="374"/>
      <c r="AC455" s="374"/>
      <c r="AD455" s="374"/>
      <c r="AE455" s="374"/>
      <c r="AF455" s="374"/>
      <c r="AG455" s="374"/>
      <c r="AH455" s="374"/>
      <c r="AI455" s="374"/>
      <c r="AJ455" s="374"/>
      <c r="AK455" s="374"/>
      <c r="AL455" s="374"/>
      <c r="AM455" s="374"/>
      <c r="AN455" s="374"/>
      <c r="AO455" s="374"/>
      <c r="AP455" s="374"/>
      <c r="AQ455" s="374"/>
      <c r="AR455" s="122">
        <v>-76</v>
      </c>
      <c r="AS455" s="122">
        <v>65</v>
      </c>
      <c r="AT455" s="122">
        <v>160.06</v>
      </c>
      <c r="AU455" s="122">
        <v>21.09</v>
      </c>
      <c r="AV455" s="122">
        <v>125</v>
      </c>
      <c r="AW455" s="122">
        <v>81</v>
      </c>
      <c r="BA455" s="122">
        <v>73</v>
      </c>
      <c r="BC455" s="27"/>
      <c r="BD455" s="27"/>
      <c r="BF455" s="27"/>
      <c r="BG455" s="27"/>
    </row>
    <row r="456" spans="2:59">
      <c r="B456" s="48"/>
      <c r="O456" s="122"/>
      <c r="AR456" s="122"/>
      <c r="AS456" s="122"/>
      <c r="AT456" s="122"/>
      <c r="AU456" s="122"/>
      <c r="AV456" s="122"/>
      <c r="AW456" s="122"/>
      <c r="BA456" s="122"/>
      <c r="BC456" s="27"/>
      <c r="BD456" s="27"/>
      <c r="BF456" s="27"/>
      <c r="BG456" s="27"/>
    </row>
    <row r="457" spans="2:59">
      <c r="B457" s="376" t="s">
        <v>453</v>
      </c>
      <c r="C457" s="362"/>
      <c r="D457" s="362"/>
      <c r="E457" s="362"/>
      <c r="F457" s="362"/>
      <c r="G457" s="362"/>
      <c r="H457" s="362"/>
      <c r="I457" s="362"/>
      <c r="J457" s="362"/>
      <c r="K457" s="362"/>
      <c r="L457" s="362"/>
      <c r="M457" s="362"/>
      <c r="N457" s="362"/>
      <c r="O457" s="365"/>
      <c r="AR457" s="365"/>
      <c r="AS457" s="365"/>
      <c r="AT457" s="365"/>
      <c r="AU457" s="365"/>
      <c r="AV457" s="365"/>
      <c r="AW457" s="365"/>
      <c r="BA457" s="365"/>
      <c r="BC457" s="27"/>
      <c r="BD457" s="27"/>
      <c r="BF457" s="27"/>
      <c r="BG457" s="27"/>
    </row>
    <row r="458" spans="2:59">
      <c r="B458" s="48" t="s">
        <v>441</v>
      </c>
      <c r="J458" s="374"/>
      <c r="K458" s="374"/>
      <c r="L458" s="374"/>
      <c r="M458" s="374"/>
      <c r="N458" s="374"/>
      <c r="O458" s="122">
        <v>223</v>
      </c>
      <c r="Q458" s="374"/>
      <c r="R458" s="374"/>
      <c r="S458" s="374"/>
      <c r="T458" s="374"/>
      <c r="U458" s="374"/>
      <c r="V458" s="374"/>
      <c r="W458" s="374"/>
      <c r="X458" s="374"/>
      <c r="Y458" s="374"/>
      <c r="Z458" s="374"/>
      <c r="AA458" s="374"/>
      <c r="AB458" s="374"/>
      <c r="AC458" s="374"/>
      <c r="AD458" s="374"/>
      <c r="AE458" s="374"/>
      <c r="AF458" s="374"/>
      <c r="AG458" s="374"/>
      <c r="AH458" s="374"/>
      <c r="AI458" s="374"/>
      <c r="AJ458" s="374"/>
      <c r="AK458" s="374"/>
      <c r="AL458" s="374"/>
      <c r="AM458" s="374"/>
      <c r="AN458" s="374"/>
      <c r="AO458" s="374"/>
      <c r="AP458" s="374"/>
      <c r="AQ458" s="374"/>
      <c r="AR458" s="122">
        <v>56</v>
      </c>
      <c r="AS458" s="122">
        <v>46</v>
      </c>
      <c r="AT458" s="122">
        <v>50.26</v>
      </c>
      <c r="AU458" s="122">
        <v>53.31</v>
      </c>
      <c r="AV458" s="122">
        <v>74</v>
      </c>
      <c r="AW458" s="122">
        <v>106</v>
      </c>
      <c r="BA458" s="122">
        <v>46</v>
      </c>
      <c r="BC458" s="27"/>
      <c r="BD458" s="27"/>
      <c r="BF458" s="27"/>
      <c r="BG458" s="27"/>
    </row>
    <row r="459" spans="2:59">
      <c r="B459" s="48" t="s">
        <v>290</v>
      </c>
      <c r="J459" s="374"/>
      <c r="K459" s="374"/>
      <c r="L459" s="374"/>
      <c r="M459" s="374"/>
      <c r="N459" s="374"/>
      <c r="O459" s="122">
        <v>-112</v>
      </c>
      <c r="Q459" s="374"/>
      <c r="R459" s="374"/>
      <c r="S459" s="374"/>
      <c r="T459" s="374"/>
      <c r="U459" s="374"/>
      <c r="V459" s="374"/>
      <c r="W459" s="374"/>
      <c r="X459" s="374"/>
      <c r="Y459" s="374"/>
      <c r="Z459" s="374"/>
      <c r="AA459" s="374"/>
      <c r="AB459" s="374"/>
      <c r="AC459" s="374"/>
      <c r="AD459" s="374"/>
      <c r="AE459" s="374"/>
      <c r="AF459" s="374"/>
      <c r="AG459" s="374"/>
      <c r="AH459" s="374"/>
      <c r="AI459" s="374"/>
      <c r="AJ459" s="374"/>
      <c r="AK459" s="374"/>
      <c r="AL459" s="374"/>
      <c r="AM459" s="374"/>
      <c r="AN459" s="374"/>
      <c r="AO459" s="374"/>
      <c r="AP459" s="374"/>
      <c r="AQ459" s="374"/>
      <c r="AR459" s="122">
        <v>-10</v>
      </c>
      <c r="AS459" s="122">
        <v>-34</v>
      </c>
      <c r="AT459" s="122">
        <v>-47.37</v>
      </c>
      <c r="AU459" s="122">
        <v>-27.61</v>
      </c>
      <c r="AV459" s="122">
        <v>-3</v>
      </c>
      <c r="AW459" s="122">
        <v>17</v>
      </c>
      <c r="BA459" s="122">
        <v>-34</v>
      </c>
      <c r="BC459" s="27"/>
      <c r="BD459" s="27"/>
      <c r="BF459" s="27"/>
      <c r="BG459" s="27"/>
    </row>
    <row r="460" spans="2:59">
      <c r="B460" s="48" t="s">
        <v>442</v>
      </c>
      <c r="J460" s="374"/>
      <c r="K460" s="374"/>
      <c r="L460" s="374"/>
      <c r="M460" s="374"/>
      <c r="N460" s="374"/>
      <c r="O460" s="122">
        <v>-159</v>
      </c>
      <c r="Q460" s="374"/>
      <c r="R460" s="374"/>
      <c r="S460" s="374"/>
      <c r="T460" s="374"/>
      <c r="U460" s="374"/>
      <c r="V460" s="374"/>
      <c r="W460" s="374"/>
      <c r="X460" s="374"/>
      <c r="Y460" s="374"/>
      <c r="Z460" s="374"/>
      <c r="AA460" s="374"/>
      <c r="AB460" s="374"/>
      <c r="AC460" s="374"/>
      <c r="AD460" s="374"/>
      <c r="AE460" s="374"/>
      <c r="AF460" s="374"/>
      <c r="AG460" s="374"/>
      <c r="AH460" s="374"/>
      <c r="AI460" s="374"/>
      <c r="AJ460" s="374"/>
      <c r="AK460" s="374"/>
      <c r="AL460" s="374"/>
      <c r="AM460" s="374"/>
      <c r="AN460" s="374"/>
      <c r="AO460" s="374"/>
      <c r="AP460" s="374"/>
      <c r="AQ460" s="374"/>
      <c r="AR460" s="122">
        <v>-24</v>
      </c>
      <c r="AS460" s="122">
        <v>-47</v>
      </c>
      <c r="AT460" s="122">
        <v>-57.86</v>
      </c>
      <c r="AU460" s="122">
        <v>-39.42</v>
      </c>
      <c r="AV460" s="122">
        <v>-16</v>
      </c>
      <c r="AW460" s="122">
        <v>5</v>
      </c>
      <c r="BA460" s="122">
        <v>-47</v>
      </c>
      <c r="BC460" s="27"/>
      <c r="BD460" s="27"/>
      <c r="BF460" s="27"/>
      <c r="BG460" s="27"/>
    </row>
    <row r="461" spans="2:59">
      <c r="B461" s="48" t="s">
        <v>446</v>
      </c>
      <c r="J461" s="374"/>
      <c r="K461" s="374"/>
      <c r="L461" s="374"/>
      <c r="M461" s="374"/>
      <c r="N461" s="374"/>
      <c r="O461" s="374"/>
      <c r="Q461" s="374"/>
      <c r="R461" s="374"/>
      <c r="S461" s="374"/>
      <c r="T461" s="374"/>
      <c r="U461" s="374"/>
      <c r="V461" s="374"/>
      <c r="W461" s="374"/>
      <c r="X461" s="374"/>
      <c r="Y461" s="374"/>
      <c r="Z461" s="374"/>
      <c r="AA461" s="374"/>
      <c r="AB461" s="374"/>
      <c r="AC461" s="374"/>
      <c r="AD461" s="374"/>
      <c r="AE461" s="374"/>
      <c r="AF461" s="374"/>
      <c r="AG461" s="374"/>
      <c r="AH461" s="374"/>
      <c r="AI461" s="374"/>
      <c r="AJ461" s="374"/>
      <c r="AK461" s="374"/>
      <c r="AL461" s="374"/>
      <c r="AM461" s="374"/>
      <c r="AN461" s="374"/>
      <c r="AO461" s="374"/>
      <c r="AP461" s="374"/>
      <c r="AQ461" s="374"/>
      <c r="AR461" s="122">
        <v>-6</v>
      </c>
      <c r="AS461" s="122">
        <v>-40</v>
      </c>
      <c r="AT461" s="374"/>
      <c r="AU461" s="374"/>
      <c r="AV461" s="374"/>
      <c r="AW461" s="374"/>
      <c r="BA461" s="374"/>
      <c r="BC461" s="27"/>
      <c r="BD461" s="27"/>
      <c r="BF461" s="27"/>
      <c r="BG461" s="27"/>
    </row>
    <row r="462" spans="2:59">
      <c r="B462" s="48" t="s">
        <v>448</v>
      </c>
      <c r="J462" s="374"/>
      <c r="K462" s="374"/>
      <c r="L462" s="374"/>
      <c r="M462" s="374"/>
      <c r="N462" s="374"/>
      <c r="O462" s="122">
        <v>-126</v>
      </c>
      <c r="Q462" s="374"/>
      <c r="R462" s="374"/>
      <c r="S462" s="374"/>
      <c r="T462" s="374"/>
      <c r="U462" s="374"/>
      <c r="V462" s="374"/>
      <c r="W462" s="374"/>
      <c r="X462" s="374"/>
      <c r="Y462" s="374"/>
      <c r="Z462" s="374"/>
      <c r="AA462" s="374"/>
      <c r="AB462" s="374"/>
      <c r="AC462" s="374"/>
      <c r="AD462" s="374"/>
      <c r="AE462" s="374"/>
      <c r="AF462" s="374"/>
      <c r="AG462" s="374"/>
      <c r="AH462" s="374"/>
      <c r="AI462" s="374"/>
      <c r="AJ462" s="374"/>
      <c r="AK462" s="374"/>
      <c r="AL462" s="374"/>
      <c r="AM462" s="374"/>
      <c r="AN462" s="374"/>
      <c r="AO462" s="374"/>
      <c r="AP462" s="374"/>
      <c r="AQ462" s="374"/>
      <c r="AR462" s="122">
        <v>-2</v>
      </c>
      <c r="AS462" s="122">
        <v>-43</v>
      </c>
      <c r="AT462" s="122">
        <v>-54.58</v>
      </c>
      <c r="AU462" s="122">
        <v>-34.19</v>
      </c>
      <c r="AV462" s="122">
        <v>8</v>
      </c>
      <c r="AW462" s="122">
        <v>10</v>
      </c>
      <c r="BA462" s="122">
        <v>-43</v>
      </c>
      <c r="BC462" s="27"/>
      <c r="BD462" s="27"/>
      <c r="BF462" s="27"/>
      <c r="BG462" s="27"/>
    </row>
    <row r="463" spans="2:59">
      <c r="B463" s="48"/>
      <c r="O463" s="122"/>
      <c r="AR463" s="122"/>
      <c r="AS463" s="122"/>
      <c r="AT463" s="122"/>
      <c r="AU463" s="122"/>
      <c r="AV463" s="122"/>
      <c r="AW463" s="122"/>
      <c r="BA463" s="122"/>
      <c r="BC463" s="27"/>
      <c r="BD463" s="27"/>
      <c r="BF463" s="27"/>
      <c r="BG463" s="27"/>
    </row>
    <row r="464" spans="2:59">
      <c r="B464" s="376" t="s">
        <v>454</v>
      </c>
      <c r="C464" s="362"/>
      <c r="D464" s="362"/>
      <c r="E464" s="362"/>
      <c r="F464" s="362"/>
      <c r="G464" s="362"/>
      <c r="H464" s="362"/>
      <c r="I464" s="362"/>
      <c r="J464" s="362"/>
      <c r="K464" s="362"/>
      <c r="L464" s="362"/>
      <c r="M464" s="362"/>
      <c r="N464" s="362"/>
      <c r="O464" s="365"/>
      <c r="AR464" s="365"/>
      <c r="AS464" s="365"/>
      <c r="AT464" s="365"/>
      <c r="AU464" s="365"/>
      <c r="AV464" s="365"/>
      <c r="AW464" s="365"/>
      <c r="BA464" s="365"/>
      <c r="BC464" s="27"/>
      <c r="BD464" s="27"/>
      <c r="BF464" s="27"/>
      <c r="BG464" s="27"/>
    </row>
    <row r="465" spans="2:59">
      <c r="B465" s="48" t="s">
        <v>441</v>
      </c>
      <c r="J465" s="374"/>
      <c r="K465" s="374"/>
      <c r="L465" s="374"/>
      <c r="M465" s="374"/>
      <c r="N465" s="374"/>
      <c r="O465" s="122">
        <v>980</v>
      </c>
      <c r="Q465" s="374"/>
      <c r="R465" s="374"/>
      <c r="S465" s="374"/>
      <c r="T465" s="374"/>
      <c r="U465" s="374"/>
      <c r="V465" s="374"/>
      <c r="W465" s="374"/>
      <c r="X465" s="374"/>
      <c r="Y465" s="374"/>
      <c r="Z465" s="374"/>
      <c r="AA465" s="374"/>
      <c r="AB465" s="374"/>
      <c r="AC465" s="374"/>
      <c r="AD465" s="374"/>
      <c r="AE465" s="374"/>
      <c r="AF465" s="374"/>
      <c r="AG465" s="374"/>
      <c r="AH465" s="374"/>
      <c r="AI465" s="374"/>
      <c r="AJ465" s="374"/>
      <c r="AK465" s="374"/>
      <c r="AL465" s="374"/>
      <c r="AM465" s="374"/>
      <c r="AN465" s="374"/>
      <c r="AO465" s="374"/>
      <c r="AP465" s="374"/>
      <c r="AQ465" s="374"/>
      <c r="AR465" s="122">
        <v>261</v>
      </c>
      <c r="AS465" s="122">
        <v>226</v>
      </c>
      <c r="AT465" s="122">
        <v>242.06</v>
      </c>
      <c r="AU465" s="122">
        <v>237.96</v>
      </c>
      <c r="AV465" s="122">
        <v>274</v>
      </c>
      <c r="AW465" s="122">
        <v>250</v>
      </c>
      <c r="BA465" s="122">
        <v>226</v>
      </c>
      <c r="BC465" s="27"/>
      <c r="BD465" s="27"/>
      <c r="BF465" s="27"/>
      <c r="BG465" s="27"/>
    </row>
    <row r="466" spans="2:59">
      <c r="B466" s="48" t="s">
        <v>290</v>
      </c>
      <c r="J466" s="374"/>
      <c r="K466" s="374"/>
      <c r="L466" s="374"/>
      <c r="M466" s="374"/>
      <c r="N466" s="374"/>
      <c r="O466" s="122">
        <v>88</v>
      </c>
      <c r="Q466" s="374"/>
      <c r="R466" s="374"/>
      <c r="S466" s="374"/>
      <c r="T466" s="374"/>
      <c r="U466" s="374"/>
      <c r="V466" s="374"/>
      <c r="W466" s="374"/>
      <c r="X466" s="374"/>
      <c r="Y466" s="374"/>
      <c r="Z466" s="374"/>
      <c r="AA466" s="374"/>
      <c r="AB466" s="374"/>
      <c r="AC466" s="374"/>
      <c r="AD466" s="374"/>
      <c r="AE466" s="374"/>
      <c r="AF466" s="374"/>
      <c r="AG466" s="374"/>
      <c r="AH466" s="374"/>
      <c r="AI466" s="374"/>
      <c r="AJ466" s="374"/>
      <c r="AK466" s="374"/>
      <c r="AL466" s="374"/>
      <c r="AM466" s="374"/>
      <c r="AN466" s="374"/>
      <c r="AO466" s="374"/>
      <c r="AP466" s="374"/>
      <c r="AQ466" s="374"/>
      <c r="AR466" s="122">
        <v>22</v>
      </c>
      <c r="AS466" s="122">
        <v>23</v>
      </c>
      <c r="AT466" s="122">
        <v>16.899999999999999</v>
      </c>
      <c r="AU466" s="122">
        <v>20.71</v>
      </c>
      <c r="AV466" s="122">
        <v>27</v>
      </c>
      <c r="AW466" s="122">
        <v>14</v>
      </c>
      <c r="BA466" s="122">
        <v>23</v>
      </c>
      <c r="BC466" s="27"/>
      <c r="BD466" s="27"/>
      <c r="BF466" s="27"/>
      <c r="BG466" s="27"/>
    </row>
    <row r="467" spans="2:59">
      <c r="B467" s="48" t="s">
        <v>442</v>
      </c>
      <c r="J467" s="374"/>
      <c r="K467" s="374"/>
      <c r="L467" s="374"/>
      <c r="M467" s="374"/>
      <c r="N467" s="374"/>
      <c r="O467" s="122">
        <v>62</v>
      </c>
      <c r="Q467" s="374"/>
      <c r="R467" s="374"/>
      <c r="S467" s="374"/>
      <c r="T467" s="374"/>
      <c r="U467" s="374"/>
      <c r="V467" s="374"/>
      <c r="W467" s="374"/>
      <c r="X467" s="374"/>
      <c r="Y467" s="374"/>
      <c r="Z467" s="374"/>
      <c r="AA467" s="374"/>
      <c r="AB467" s="374"/>
      <c r="AC467" s="374"/>
      <c r="AD467" s="374"/>
      <c r="AE467" s="374"/>
      <c r="AF467" s="374"/>
      <c r="AG467" s="374"/>
      <c r="AH467" s="374"/>
      <c r="AI467" s="374"/>
      <c r="AJ467" s="374"/>
      <c r="AK467" s="374"/>
      <c r="AL467" s="374"/>
      <c r="AM467" s="374"/>
      <c r="AN467" s="374"/>
      <c r="AO467" s="374"/>
      <c r="AP467" s="374"/>
      <c r="AQ467" s="374"/>
      <c r="AR467" s="122">
        <v>17</v>
      </c>
      <c r="AS467" s="122">
        <v>17</v>
      </c>
      <c r="AT467" s="122">
        <v>11.46</v>
      </c>
      <c r="AU467" s="122">
        <v>11.61</v>
      </c>
      <c r="AV467" s="122">
        <v>21</v>
      </c>
      <c r="AW467" s="122">
        <v>9</v>
      </c>
      <c r="BA467" s="122">
        <v>17</v>
      </c>
      <c r="BC467" s="27"/>
      <c r="BD467" s="27"/>
      <c r="BF467" s="27"/>
      <c r="BG467" s="27"/>
    </row>
    <row r="468" spans="2:59">
      <c r="B468" s="48" t="s">
        <v>446</v>
      </c>
      <c r="J468" s="374"/>
      <c r="K468" s="374"/>
      <c r="L468" s="374"/>
      <c r="M468" s="374"/>
      <c r="N468" s="374"/>
      <c r="O468" s="374"/>
      <c r="Q468" s="374"/>
      <c r="R468" s="374"/>
      <c r="S468" s="374"/>
      <c r="T468" s="374"/>
      <c r="U468" s="374"/>
      <c r="V468" s="374"/>
      <c r="W468" s="374"/>
      <c r="X468" s="374"/>
      <c r="Y468" s="374"/>
      <c r="Z468" s="374"/>
      <c r="AA468" s="374"/>
      <c r="AB468" s="374"/>
      <c r="AC468" s="374"/>
      <c r="AD468" s="374"/>
      <c r="AE468" s="374"/>
      <c r="AF468" s="374"/>
      <c r="AG468" s="374"/>
      <c r="AH468" s="374"/>
      <c r="AI468" s="374"/>
      <c r="AJ468" s="374"/>
      <c r="AK468" s="374"/>
      <c r="AL468" s="374"/>
      <c r="AM468" s="374"/>
      <c r="AN468" s="374"/>
      <c r="AO468" s="374"/>
      <c r="AP468" s="374"/>
      <c r="AQ468" s="374"/>
      <c r="AR468" s="122">
        <v>20</v>
      </c>
      <c r="AS468" s="122">
        <v>20</v>
      </c>
      <c r="AT468" s="374"/>
      <c r="AU468" s="374"/>
      <c r="AV468" s="374"/>
      <c r="AW468" s="374"/>
      <c r="AY468" s="374"/>
      <c r="AZ468" s="374"/>
      <c r="BA468" s="374"/>
      <c r="BC468" s="27"/>
      <c r="BD468" s="27"/>
      <c r="BF468" s="27"/>
      <c r="BG468" s="27"/>
    </row>
    <row r="469" spans="2:59">
      <c r="B469" s="48" t="s">
        <v>448</v>
      </c>
      <c r="J469" s="374"/>
      <c r="K469" s="374"/>
      <c r="L469" s="374"/>
      <c r="M469" s="374"/>
      <c r="N469" s="374"/>
      <c r="O469" s="122">
        <v>49</v>
      </c>
      <c r="Q469" s="374"/>
      <c r="R469" s="374"/>
      <c r="S469" s="374"/>
      <c r="T469" s="374"/>
      <c r="U469" s="374"/>
      <c r="V469" s="374"/>
      <c r="W469" s="374"/>
      <c r="X469" s="374"/>
      <c r="Y469" s="374"/>
      <c r="Z469" s="374"/>
      <c r="AA469" s="374"/>
      <c r="AB469" s="374"/>
      <c r="AC469" s="374"/>
      <c r="AD469" s="374"/>
      <c r="AE469" s="374"/>
      <c r="AF469" s="374"/>
      <c r="AG469" s="374"/>
      <c r="AH469" s="374"/>
      <c r="AI469" s="374"/>
      <c r="AJ469" s="374"/>
      <c r="AK469" s="374"/>
      <c r="AL469" s="374"/>
      <c r="AM469" s="374"/>
      <c r="AN469" s="374"/>
      <c r="AO469" s="374"/>
      <c r="AP469" s="374"/>
      <c r="AQ469" s="374"/>
      <c r="AR469" s="122">
        <v>31</v>
      </c>
      <c r="AS469" s="122">
        <v>21</v>
      </c>
      <c r="AT469" s="122">
        <v>0.69</v>
      </c>
      <c r="AU469" s="122">
        <v>12.94</v>
      </c>
      <c r="AV469" s="122">
        <v>14</v>
      </c>
      <c r="AW469" s="122">
        <v>7</v>
      </c>
      <c r="BA469" s="122">
        <v>21</v>
      </c>
      <c r="BC469" s="27"/>
      <c r="BD469" s="27"/>
      <c r="BF469" s="27"/>
      <c r="BG469" s="27"/>
    </row>
    <row r="470" spans="2:59">
      <c r="B470" s="48"/>
      <c r="AR470" s="122"/>
      <c r="AS470" s="122"/>
      <c r="AV470" s="122"/>
      <c r="AW470" s="122"/>
      <c r="BC470" s="122"/>
      <c r="BD470" s="122"/>
      <c r="BF470" s="122"/>
      <c r="BG470" s="122"/>
    </row>
    <row r="471" spans="2:59">
      <c r="B471" s="48"/>
      <c r="AR471" s="122"/>
      <c r="AS471" s="122"/>
      <c r="AV471" s="122"/>
      <c r="AW471" s="122"/>
      <c r="BC471" s="122"/>
      <c r="BD471" s="122"/>
      <c r="BF471" s="122"/>
      <c r="BG471" s="122"/>
    </row>
    <row r="472" spans="2:59">
      <c r="B472" s="48"/>
      <c r="AR472" s="122"/>
      <c r="AS472" s="122"/>
      <c r="AV472" s="122"/>
      <c r="AW472" s="122"/>
      <c r="BC472" s="122"/>
      <c r="BD472" s="122"/>
      <c r="BF472" s="122"/>
      <c r="BG472" s="122"/>
    </row>
    <row r="473" spans="2:59">
      <c r="B473" s="48"/>
      <c r="AR473" s="122"/>
      <c r="AS473" s="122"/>
      <c r="AV473" s="122"/>
      <c r="AW473" s="122"/>
      <c r="BC473" s="122"/>
      <c r="BD473" s="122"/>
      <c r="BF473" s="122"/>
      <c r="BG473" s="122"/>
    </row>
    <row r="474" spans="2:59" hidden="1" outlineLevel="1">
      <c r="B474" s="6" t="s">
        <v>455</v>
      </c>
    </row>
    <row r="475" spans="2:59" hidden="1" outlineLevel="1">
      <c r="B475" s="10" t="s">
        <v>364</v>
      </c>
      <c r="C475" s="123">
        <v>6613</v>
      </c>
      <c r="D475" s="123">
        <v>6593</v>
      </c>
      <c r="E475" s="123">
        <v>7339</v>
      </c>
      <c r="F475" s="123">
        <v>6706</v>
      </c>
      <c r="G475" s="123">
        <v>6219</v>
      </c>
      <c r="H475" s="123">
        <v>6623</v>
      </c>
      <c r="I475" s="123">
        <v>6623</v>
      </c>
      <c r="J475" s="123">
        <v>6385</v>
      </c>
      <c r="K475" s="407"/>
      <c r="L475" s="407"/>
      <c r="M475" s="407"/>
      <c r="N475" s="407"/>
      <c r="O475" s="407"/>
      <c r="Q475" s="123">
        <v>1798</v>
      </c>
      <c r="R475" s="123">
        <f>3611-Q475</f>
        <v>1813</v>
      </c>
      <c r="S475" s="123">
        <f>5424-R475-Q475</f>
        <v>1813</v>
      </c>
      <c r="T475" s="92">
        <f t="shared" ref="T475:T480" si="450">E475-Q475-R475-S475</f>
        <v>1915</v>
      </c>
      <c r="U475" s="123">
        <v>1664</v>
      </c>
      <c r="V475" s="123">
        <f>3327-U475</f>
        <v>1663</v>
      </c>
      <c r="W475" s="123">
        <f>4988-V475-U475</f>
        <v>1661</v>
      </c>
      <c r="X475" s="92">
        <f t="shared" ref="X475:X480" si="451">F475-U475-V475-W475</f>
        <v>1718</v>
      </c>
      <c r="Y475" s="123">
        <v>1562</v>
      </c>
      <c r="Z475" s="123">
        <f>3014-Y475</f>
        <v>1452</v>
      </c>
      <c r="AA475" s="123">
        <f>4596-Z475-Y475</f>
        <v>1582</v>
      </c>
      <c r="AB475" s="92">
        <f t="shared" ref="AB475:AB480" si="452">G475-Y475-Z475-AA475</f>
        <v>1623</v>
      </c>
      <c r="AC475" s="123">
        <v>1646</v>
      </c>
      <c r="AD475" s="123">
        <f>3274-AC475</f>
        <v>1628</v>
      </c>
      <c r="AE475" s="123">
        <f>4874-AD475-AC475</f>
        <v>1600</v>
      </c>
      <c r="AF475" s="92">
        <f t="shared" ref="AF475:AF480" si="453">I475-AC475-AD475-AE475</f>
        <v>1749</v>
      </c>
      <c r="AG475" s="407"/>
      <c r="AH475" s="407"/>
      <c r="AI475" s="407"/>
      <c r="AJ475" s="394"/>
      <c r="AK475" s="407"/>
      <c r="AL475" s="407"/>
      <c r="AM475" s="407"/>
      <c r="AN475" s="394"/>
      <c r="AO475" s="407"/>
      <c r="AP475" s="407"/>
      <c r="AQ475" s="407"/>
      <c r="AR475" s="394"/>
      <c r="AS475" s="407"/>
      <c r="AT475" s="407"/>
      <c r="AU475" s="407"/>
      <c r="AV475" s="394"/>
      <c r="AW475" s="407"/>
      <c r="AY475" s="394"/>
      <c r="BC475" s="407"/>
      <c r="BD475" s="407"/>
      <c r="BF475" s="407"/>
      <c r="BG475" s="407"/>
    </row>
    <row r="476" spans="2:59" hidden="1" outlineLevel="1">
      <c r="B476" s="10" t="s">
        <v>402</v>
      </c>
      <c r="C476" s="123">
        <v>6637</v>
      </c>
      <c r="D476" s="123">
        <v>7366</v>
      </c>
      <c r="E476" s="123">
        <v>6515</v>
      </c>
      <c r="F476" s="123">
        <v>7364</v>
      </c>
      <c r="G476" s="123">
        <v>7514</v>
      </c>
      <c r="H476" s="123">
        <v>7732</v>
      </c>
      <c r="I476" s="123">
        <v>7759</v>
      </c>
      <c r="J476" s="123">
        <v>8451</v>
      </c>
      <c r="K476" s="123">
        <v>8626</v>
      </c>
      <c r="L476" s="123">
        <v>9568</v>
      </c>
      <c r="M476" s="123">
        <v>9664</v>
      </c>
      <c r="N476" s="123">
        <v>10283</v>
      </c>
      <c r="O476" s="123">
        <v>10283</v>
      </c>
      <c r="Q476" s="123">
        <v>1590</v>
      </c>
      <c r="R476" s="123">
        <f>3159-Q476</f>
        <v>1569</v>
      </c>
      <c r="S476" s="123">
        <f>4797-R476-Q476</f>
        <v>1638</v>
      </c>
      <c r="T476" s="92">
        <f t="shared" si="450"/>
        <v>1718</v>
      </c>
      <c r="U476" s="123">
        <v>1730</v>
      </c>
      <c r="V476" s="123">
        <f>3554-U476</f>
        <v>1824</v>
      </c>
      <c r="W476" s="123">
        <f>5317-V476-U476</f>
        <v>1763</v>
      </c>
      <c r="X476" s="92">
        <f t="shared" si="451"/>
        <v>2047</v>
      </c>
      <c r="Y476" s="123">
        <v>1908</v>
      </c>
      <c r="Z476" s="123">
        <f>3818-Y476</f>
        <v>1910</v>
      </c>
      <c r="AA476" s="123">
        <f>5698-Z476-Y476</f>
        <v>1880</v>
      </c>
      <c r="AB476" s="92">
        <f t="shared" si="452"/>
        <v>1816</v>
      </c>
      <c r="AC476" s="123">
        <v>1793</v>
      </c>
      <c r="AD476" s="123">
        <f>3724-AC476</f>
        <v>1931</v>
      </c>
      <c r="AE476" s="123">
        <f>5722-AD476-AC476</f>
        <v>1998</v>
      </c>
      <c r="AF476" s="92">
        <f t="shared" si="453"/>
        <v>2037</v>
      </c>
      <c r="AG476" s="123">
        <v>1969</v>
      </c>
      <c r="AH476" s="123">
        <f>4154-AG476</f>
        <v>2185</v>
      </c>
      <c r="AI476" s="123">
        <f>6414-AH476-AG476</f>
        <v>2260</v>
      </c>
      <c r="AJ476" s="92">
        <f t="shared" ref="AJ476:AJ485" si="454">K476-AG476-AH476-AI476</f>
        <v>2212</v>
      </c>
      <c r="AK476" s="123">
        <v>2203</v>
      </c>
      <c r="AL476" s="123">
        <f>4666-AK476</f>
        <v>2463</v>
      </c>
      <c r="AM476" s="123">
        <f>7089-AL476-AK476</f>
        <v>2423</v>
      </c>
      <c r="AN476" s="92">
        <f t="shared" ref="AN476:AN485" si="455">L476-AK476-AL476-AM476</f>
        <v>2479</v>
      </c>
      <c r="AO476" s="123">
        <v>2430</v>
      </c>
      <c r="AP476" s="123">
        <f>5047-AO476</f>
        <v>2617</v>
      </c>
      <c r="AQ476" s="123">
        <f>7583-AP476-AO476</f>
        <v>2536</v>
      </c>
      <c r="AR476" s="92">
        <f t="shared" ref="AR476:AR485" si="456">N476-AO476-AP476-AQ476</f>
        <v>2700</v>
      </c>
      <c r="AS476" s="407"/>
      <c r="AT476" s="123">
        <f>5047-AS476</f>
        <v>5047</v>
      </c>
      <c r="AU476" s="123">
        <f>5047-AT476</f>
        <v>0</v>
      </c>
      <c r="AV476" s="92">
        <f t="shared" ref="AV476:AV485" si="457">R476-AS476-AT476-AU476</f>
        <v>-3478</v>
      </c>
      <c r="AW476" s="407"/>
      <c r="AY476" s="92">
        <f t="shared" ref="AY476:AY485" si="458">M476-SUM(AK476:AM476)</f>
        <v>2575</v>
      </c>
      <c r="BC476" s="407"/>
      <c r="BD476" s="407"/>
      <c r="BF476" s="407"/>
      <c r="BG476" s="407"/>
    </row>
    <row r="477" spans="2:59" hidden="1" outlineLevel="1">
      <c r="B477" s="10" t="s">
        <v>395</v>
      </c>
      <c r="C477" s="123">
        <v>2460</v>
      </c>
      <c r="D477" s="123">
        <v>2656</v>
      </c>
      <c r="E477" s="123">
        <v>2715</v>
      </c>
      <c r="F477" s="123">
        <v>2709</v>
      </c>
      <c r="G477" s="123">
        <v>2721</v>
      </c>
      <c r="H477" s="123">
        <v>3214</v>
      </c>
      <c r="I477" s="123">
        <v>2954</v>
      </c>
      <c r="J477" s="123">
        <v>3707</v>
      </c>
      <c r="K477" s="123">
        <v>2516</v>
      </c>
      <c r="L477" s="123">
        <v>2652</v>
      </c>
      <c r="M477" s="123">
        <v>2624</v>
      </c>
      <c r="N477" s="123">
        <v>2392</v>
      </c>
      <c r="O477" s="123">
        <v>2392</v>
      </c>
      <c r="Q477" s="123">
        <v>661</v>
      </c>
      <c r="R477" s="123">
        <f>1329-Q477</f>
        <v>668</v>
      </c>
      <c r="S477" s="123">
        <f>2037-R477-Q477</f>
        <v>708</v>
      </c>
      <c r="T477" s="92">
        <f t="shared" si="450"/>
        <v>678</v>
      </c>
      <c r="U477" s="123">
        <v>661</v>
      </c>
      <c r="V477" s="123">
        <f>1347-U477</f>
        <v>686</v>
      </c>
      <c r="W477" s="123">
        <f>2202-V477-U477</f>
        <v>855</v>
      </c>
      <c r="X477" s="92">
        <f t="shared" si="451"/>
        <v>507</v>
      </c>
      <c r="Y477" s="123">
        <v>669</v>
      </c>
      <c r="Z477" s="123">
        <f>1315-Y477</f>
        <v>646</v>
      </c>
      <c r="AA477" s="123">
        <f>2005-Z477-Y477</f>
        <v>690</v>
      </c>
      <c r="AB477" s="92">
        <f t="shared" si="452"/>
        <v>716</v>
      </c>
      <c r="AC477" s="123">
        <v>685</v>
      </c>
      <c r="AD477" s="123">
        <f>1415-AC477</f>
        <v>730</v>
      </c>
      <c r="AE477" s="123">
        <f>2187-AD477-AC477</f>
        <v>772</v>
      </c>
      <c r="AF477" s="92">
        <f t="shared" si="453"/>
        <v>767</v>
      </c>
      <c r="AG477" s="123">
        <v>735</v>
      </c>
      <c r="AH477" s="123">
        <f>1291-AG477</f>
        <v>556</v>
      </c>
      <c r="AI477" s="123">
        <f>1866-AH477-AG477</f>
        <v>575</v>
      </c>
      <c r="AJ477" s="92">
        <f t="shared" si="454"/>
        <v>650</v>
      </c>
      <c r="AK477" s="123">
        <v>962</v>
      </c>
      <c r="AL477" s="123">
        <f>1547-AK477</f>
        <v>585</v>
      </c>
      <c r="AM477" s="123">
        <f>2119-AL477-AK477</f>
        <v>572</v>
      </c>
      <c r="AN477" s="92">
        <f t="shared" si="455"/>
        <v>533</v>
      </c>
      <c r="AO477" s="123">
        <v>538</v>
      </c>
      <c r="AP477" s="123">
        <f>1116-AO477</f>
        <v>578</v>
      </c>
      <c r="AQ477" s="123">
        <f>1734-AP477-AO477</f>
        <v>618</v>
      </c>
      <c r="AR477" s="92">
        <f t="shared" si="456"/>
        <v>658</v>
      </c>
      <c r="AS477" s="407"/>
      <c r="AT477" s="123">
        <f>1116-AS477</f>
        <v>1116</v>
      </c>
      <c r="AU477" s="123">
        <f>1116-AT477</f>
        <v>0</v>
      </c>
      <c r="AV477" s="92">
        <f t="shared" si="457"/>
        <v>-448</v>
      </c>
      <c r="AW477" s="407"/>
      <c r="AY477" s="92">
        <f t="shared" si="458"/>
        <v>505</v>
      </c>
      <c r="BC477" s="407"/>
      <c r="BD477" s="407"/>
      <c r="BF477" s="407"/>
      <c r="BG477" s="407"/>
    </row>
    <row r="478" spans="2:59" hidden="1" outlineLevel="1">
      <c r="B478" s="10" t="s">
        <v>394</v>
      </c>
      <c r="C478" s="123">
        <v>2783</v>
      </c>
      <c r="D478" s="123">
        <v>3640</v>
      </c>
      <c r="E478" s="123">
        <v>3273</v>
      </c>
      <c r="F478" s="123">
        <v>3673</v>
      </c>
      <c r="G478" s="123">
        <v>3745</v>
      </c>
      <c r="H478" s="123">
        <v>4031</v>
      </c>
      <c r="I478" s="123">
        <v>3955</v>
      </c>
      <c r="J478" s="123">
        <v>4170</v>
      </c>
      <c r="K478" s="123">
        <v>4054</v>
      </c>
      <c r="L478" s="123">
        <v>4694</v>
      </c>
      <c r="M478" s="123">
        <v>4200</v>
      </c>
      <c r="N478" s="123">
        <v>4204</v>
      </c>
      <c r="O478" s="123">
        <v>4204</v>
      </c>
      <c r="Q478" s="123">
        <v>769</v>
      </c>
      <c r="R478" s="123">
        <f>1546-Q478</f>
        <v>777</v>
      </c>
      <c r="S478" s="123">
        <f>2398-R478-Q478</f>
        <v>852</v>
      </c>
      <c r="T478" s="92">
        <f t="shared" si="450"/>
        <v>875</v>
      </c>
      <c r="U478" s="123">
        <v>892</v>
      </c>
      <c r="V478" s="123">
        <f>1807-U478</f>
        <v>915</v>
      </c>
      <c r="W478" s="123">
        <f>2663-V478-U478</f>
        <v>856</v>
      </c>
      <c r="X478" s="92">
        <f t="shared" si="451"/>
        <v>1010</v>
      </c>
      <c r="Y478" s="123">
        <v>958</v>
      </c>
      <c r="Z478" s="123">
        <f>1856-Y478</f>
        <v>898</v>
      </c>
      <c r="AA478" s="123">
        <f>2814-Z478-Y478</f>
        <v>958</v>
      </c>
      <c r="AB478" s="92">
        <f t="shared" si="452"/>
        <v>931</v>
      </c>
      <c r="AC478" s="123">
        <v>948</v>
      </c>
      <c r="AD478" s="123">
        <f>1935-AC478</f>
        <v>987</v>
      </c>
      <c r="AE478" s="123">
        <f>2960-AD478-AC478</f>
        <v>1025</v>
      </c>
      <c r="AF478" s="92">
        <f t="shared" si="453"/>
        <v>995</v>
      </c>
      <c r="AG478" s="123">
        <v>981</v>
      </c>
      <c r="AH478" s="123">
        <f>2014-AG478</f>
        <v>1033</v>
      </c>
      <c r="AI478" s="123">
        <f>3046-AH478-AG478</f>
        <v>1032</v>
      </c>
      <c r="AJ478" s="92">
        <f t="shared" si="454"/>
        <v>1008</v>
      </c>
      <c r="AK478" s="123">
        <v>1141</v>
      </c>
      <c r="AL478" s="123">
        <f>2387-AK478</f>
        <v>1246</v>
      </c>
      <c r="AM478" s="123">
        <f>3575-AL478-AK478</f>
        <v>1188</v>
      </c>
      <c r="AN478" s="92">
        <f t="shared" si="455"/>
        <v>1119</v>
      </c>
      <c r="AO478" s="123">
        <v>1045</v>
      </c>
      <c r="AP478" s="123">
        <f>2147-AO478</f>
        <v>1102</v>
      </c>
      <c r="AQ478" s="123">
        <f>3198-AP478-AO478</f>
        <v>1051</v>
      </c>
      <c r="AR478" s="92">
        <f t="shared" si="456"/>
        <v>1006</v>
      </c>
      <c r="AS478" s="407"/>
      <c r="AT478" s="123">
        <f>2147-AS478</f>
        <v>2147</v>
      </c>
      <c r="AU478" s="123">
        <f>2147-AT478</f>
        <v>0</v>
      </c>
      <c r="AV478" s="92">
        <f t="shared" si="457"/>
        <v>-1370</v>
      </c>
      <c r="AW478" s="407"/>
      <c r="AY478" s="92">
        <f t="shared" si="458"/>
        <v>625</v>
      </c>
      <c r="BC478" s="407"/>
      <c r="BD478" s="407"/>
      <c r="BF478" s="407"/>
      <c r="BG478" s="407"/>
    </row>
    <row r="479" spans="2:59" hidden="1" outlineLevel="1">
      <c r="B479" s="10" t="s">
        <v>396</v>
      </c>
      <c r="C479" s="123">
        <v>1089</v>
      </c>
      <c r="D479" s="123">
        <v>1188</v>
      </c>
      <c r="E479" s="123">
        <v>1160</v>
      </c>
      <c r="F479" s="123">
        <v>1306</v>
      </c>
      <c r="G479" s="123">
        <v>1373</v>
      </c>
      <c r="H479" s="123">
        <v>1469</v>
      </c>
      <c r="I479" s="123">
        <v>1449</v>
      </c>
      <c r="J479" s="123">
        <v>1548</v>
      </c>
      <c r="K479" s="123">
        <v>1643</v>
      </c>
      <c r="L479" s="123">
        <v>1661</v>
      </c>
      <c r="M479" s="123">
        <v>1721</v>
      </c>
      <c r="N479" s="123">
        <v>1875</v>
      </c>
      <c r="O479" s="123">
        <v>1875</v>
      </c>
      <c r="Q479" s="123">
        <v>253</v>
      </c>
      <c r="R479" s="123">
        <f>537-Q479</f>
        <v>284</v>
      </c>
      <c r="S479" s="123">
        <f>838-R479-Q479</f>
        <v>301</v>
      </c>
      <c r="T479" s="92">
        <f t="shared" si="450"/>
        <v>322</v>
      </c>
      <c r="U479" s="123">
        <v>305</v>
      </c>
      <c r="V479" s="123">
        <f>631-U479</f>
        <v>326</v>
      </c>
      <c r="W479" s="123">
        <f>933-V479-U479</f>
        <v>302</v>
      </c>
      <c r="X479" s="92">
        <f t="shared" si="451"/>
        <v>373</v>
      </c>
      <c r="Y479" s="123">
        <v>325</v>
      </c>
      <c r="Z479" s="123">
        <f>651-Y479</f>
        <v>326</v>
      </c>
      <c r="AA479" s="123">
        <f>985-Z479-Y479</f>
        <v>334</v>
      </c>
      <c r="AB479" s="92">
        <f t="shared" si="452"/>
        <v>388</v>
      </c>
      <c r="AC479" s="123">
        <v>338</v>
      </c>
      <c r="AD479" s="123">
        <f>688-AC479</f>
        <v>350</v>
      </c>
      <c r="AE479" s="123">
        <f>1060-AD479-AC479</f>
        <v>372</v>
      </c>
      <c r="AF479" s="92">
        <f t="shared" si="453"/>
        <v>389</v>
      </c>
      <c r="AG479" s="123">
        <v>370</v>
      </c>
      <c r="AH479" s="123">
        <f>764-AG479</f>
        <v>394</v>
      </c>
      <c r="AI479" s="123">
        <f>1220-AH479-AG479</f>
        <v>456</v>
      </c>
      <c r="AJ479" s="92">
        <f t="shared" si="454"/>
        <v>423</v>
      </c>
      <c r="AK479" s="123">
        <v>379</v>
      </c>
      <c r="AL479" s="123">
        <f>784-AK479</f>
        <v>405</v>
      </c>
      <c r="AM479" s="123">
        <f>1207-AL479-AK479</f>
        <v>423</v>
      </c>
      <c r="AN479" s="92">
        <f t="shared" si="455"/>
        <v>454</v>
      </c>
      <c r="AO479" s="123">
        <v>439</v>
      </c>
      <c r="AP479" s="123">
        <f>906-AO479</f>
        <v>467</v>
      </c>
      <c r="AQ479" s="123">
        <f>1378-AP479-AO479</f>
        <v>472</v>
      </c>
      <c r="AR479" s="92">
        <f t="shared" si="456"/>
        <v>497</v>
      </c>
      <c r="AS479" s="407"/>
      <c r="AT479" s="123">
        <f>906-AS479</f>
        <v>906</v>
      </c>
      <c r="AU479" s="123">
        <f>906-AT479</f>
        <v>0</v>
      </c>
      <c r="AV479" s="92">
        <f t="shared" si="457"/>
        <v>-622</v>
      </c>
      <c r="AW479" s="407"/>
      <c r="AY479" s="92">
        <f t="shared" si="458"/>
        <v>514</v>
      </c>
      <c r="BC479" s="407"/>
      <c r="BD479" s="407"/>
      <c r="BF479" s="407"/>
      <c r="BG479" s="407"/>
    </row>
    <row r="480" spans="2:59" hidden="1" outlineLevel="1">
      <c r="B480" s="10" t="s">
        <v>414</v>
      </c>
      <c r="C480" s="123">
        <v>1630</v>
      </c>
      <c r="D480" s="123">
        <v>2402</v>
      </c>
      <c r="E480" s="123">
        <v>2113</v>
      </c>
      <c r="F480" s="123">
        <v>1979</v>
      </c>
      <c r="G480" s="123">
        <v>1479</v>
      </c>
      <c r="H480" s="123">
        <v>1466</v>
      </c>
      <c r="I480" s="123">
        <v>1449</v>
      </c>
      <c r="J480" s="123">
        <v>1392</v>
      </c>
      <c r="K480" s="123">
        <v>1390</v>
      </c>
      <c r="L480" s="123">
        <v>1190</v>
      </c>
      <c r="M480" s="123">
        <v>0</v>
      </c>
      <c r="N480" s="123">
        <v>0</v>
      </c>
      <c r="O480" s="123">
        <v>0</v>
      </c>
      <c r="Q480" s="123">
        <v>550</v>
      </c>
      <c r="R480" s="123">
        <f>1105-Q480</f>
        <v>555</v>
      </c>
      <c r="S480" s="123">
        <f>1602-R480-Q480</f>
        <v>497</v>
      </c>
      <c r="T480" s="92">
        <f t="shared" si="450"/>
        <v>511</v>
      </c>
      <c r="U480" s="123">
        <v>498</v>
      </c>
      <c r="V480" s="123">
        <f>1019-U480</f>
        <v>521</v>
      </c>
      <c r="W480" s="123">
        <f>1524-V480-U480</f>
        <v>505</v>
      </c>
      <c r="X480" s="92">
        <f t="shared" si="451"/>
        <v>455</v>
      </c>
      <c r="Y480" s="123">
        <v>444</v>
      </c>
      <c r="Z480" s="123">
        <f>761-Y480</f>
        <v>317</v>
      </c>
      <c r="AA480" s="123">
        <f>1108-Z480-Y480</f>
        <v>347</v>
      </c>
      <c r="AB480" s="92">
        <f t="shared" si="452"/>
        <v>371</v>
      </c>
      <c r="AC480" s="123">
        <v>378</v>
      </c>
      <c r="AD480" s="123">
        <f>728-AC480</f>
        <v>350</v>
      </c>
      <c r="AE480" s="123">
        <f>1085-AD480-AC480</f>
        <v>357</v>
      </c>
      <c r="AF480" s="92">
        <f t="shared" si="453"/>
        <v>364</v>
      </c>
      <c r="AG480" s="123">
        <v>342</v>
      </c>
      <c r="AH480" s="123">
        <f>708-AG480</f>
        <v>366</v>
      </c>
      <c r="AI480" s="123">
        <f>1051-AH480-AG480</f>
        <v>343</v>
      </c>
      <c r="AJ480" s="92">
        <f t="shared" si="454"/>
        <v>339</v>
      </c>
      <c r="AK480" s="123">
        <v>324</v>
      </c>
      <c r="AL480" s="123">
        <f>661-AK480</f>
        <v>337</v>
      </c>
      <c r="AM480" s="123">
        <f>978-AL480-AK480</f>
        <v>317</v>
      </c>
      <c r="AN480" s="92">
        <f t="shared" si="455"/>
        <v>212</v>
      </c>
      <c r="AO480" s="123">
        <v>0</v>
      </c>
      <c r="AP480" s="123">
        <v>0</v>
      </c>
      <c r="AQ480" s="123">
        <v>0</v>
      </c>
      <c r="AR480" s="92">
        <f t="shared" si="456"/>
        <v>0</v>
      </c>
      <c r="AS480" s="407"/>
      <c r="AT480" s="123">
        <v>0</v>
      </c>
      <c r="AU480" s="123">
        <v>0</v>
      </c>
      <c r="AV480" s="92">
        <f t="shared" si="457"/>
        <v>555</v>
      </c>
      <c r="AW480" s="407"/>
      <c r="AY480" s="92">
        <f t="shared" si="458"/>
        <v>-978</v>
      </c>
      <c r="BC480" s="407"/>
      <c r="BD480" s="407"/>
      <c r="BF480" s="407"/>
      <c r="BG480" s="407"/>
    </row>
    <row r="481" spans="2:59" hidden="1" outlineLevel="1">
      <c r="B481" s="10" t="s">
        <v>382</v>
      </c>
      <c r="C481" s="407"/>
      <c r="D481" s="407"/>
      <c r="E481" s="407"/>
      <c r="F481" s="407"/>
      <c r="G481" s="407"/>
      <c r="H481" s="407"/>
      <c r="I481" s="407"/>
      <c r="J481" s="123">
        <v>656</v>
      </c>
      <c r="K481" s="123">
        <v>669</v>
      </c>
      <c r="L481" s="123">
        <v>1162</v>
      </c>
      <c r="M481" s="123">
        <v>1174</v>
      </c>
      <c r="N481" s="123">
        <v>1094</v>
      </c>
      <c r="O481" s="123">
        <v>1094</v>
      </c>
      <c r="Q481" s="407"/>
      <c r="R481" s="407"/>
      <c r="S481" s="407"/>
      <c r="T481" s="407"/>
      <c r="U481" s="407"/>
      <c r="V481" s="407"/>
      <c r="W481" s="407"/>
      <c r="X481" s="408"/>
      <c r="Y481" s="407"/>
      <c r="Z481" s="407"/>
      <c r="AA481" s="407"/>
      <c r="AB481" s="407"/>
      <c r="AC481" s="407"/>
      <c r="AD481" s="407"/>
      <c r="AE481" s="407"/>
      <c r="AF481" s="407"/>
      <c r="AG481" s="407"/>
      <c r="AH481" s="407"/>
      <c r="AI481" s="123">
        <f>321-AH481-AG481</f>
        <v>321</v>
      </c>
      <c r="AJ481" s="92">
        <f t="shared" si="454"/>
        <v>348</v>
      </c>
      <c r="AK481" s="123">
        <v>285</v>
      </c>
      <c r="AL481" s="123">
        <f>581-AK481</f>
        <v>296</v>
      </c>
      <c r="AM481" s="123">
        <f>871-AL481-AK481</f>
        <v>290</v>
      </c>
      <c r="AN481" s="92">
        <f t="shared" si="455"/>
        <v>291</v>
      </c>
      <c r="AO481" s="123">
        <v>263</v>
      </c>
      <c r="AP481" s="123">
        <f>542-AO481</f>
        <v>279</v>
      </c>
      <c r="AQ481" s="123">
        <f>832-AP481-AO481</f>
        <v>290</v>
      </c>
      <c r="AR481" s="92">
        <f t="shared" si="456"/>
        <v>262</v>
      </c>
      <c r="AS481" s="407"/>
      <c r="AT481" s="123">
        <f>542-AS481</f>
        <v>542</v>
      </c>
      <c r="AU481" s="123">
        <f>542-AT481</f>
        <v>0</v>
      </c>
      <c r="AV481" s="92">
        <f t="shared" si="457"/>
        <v>-542</v>
      </c>
      <c r="AW481" s="407"/>
      <c r="AY481" s="92">
        <f t="shared" si="458"/>
        <v>303</v>
      </c>
      <c r="BC481" s="407"/>
      <c r="BD481" s="407"/>
      <c r="BF481" s="407"/>
      <c r="BG481" s="407"/>
    </row>
    <row r="482" spans="2:59" hidden="1" outlineLevel="1">
      <c r="B482" s="10" t="s">
        <v>383</v>
      </c>
      <c r="C482" s="407"/>
      <c r="D482" s="123">
        <v>1432</v>
      </c>
      <c r="E482" s="123">
        <v>1531</v>
      </c>
      <c r="F482" s="123">
        <v>1809</v>
      </c>
      <c r="G482" s="123">
        <v>1881</v>
      </c>
      <c r="H482" s="123">
        <v>1999</v>
      </c>
      <c r="I482" s="123">
        <v>1979</v>
      </c>
      <c r="J482" s="123">
        <v>2501</v>
      </c>
      <c r="K482" s="123">
        <v>2481</v>
      </c>
      <c r="L482" s="123">
        <v>2898</v>
      </c>
      <c r="M482" s="123">
        <v>2475</v>
      </c>
      <c r="N482" s="123">
        <v>2592</v>
      </c>
      <c r="O482" s="123">
        <v>2592</v>
      </c>
      <c r="Q482" s="123">
        <v>350</v>
      </c>
      <c r="R482" s="123">
        <f>723-Q482</f>
        <v>373</v>
      </c>
      <c r="S482" s="123">
        <f>1126-R482-Q482</f>
        <v>403</v>
      </c>
      <c r="T482" s="92">
        <f>E482-Q482-R482-S482</f>
        <v>405</v>
      </c>
      <c r="U482" s="123">
        <v>439</v>
      </c>
      <c r="V482" s="123">
        <f>875-U482</f>
        <v>436</v>
      </c>
      <c r="W482" s="123">
        <f>1326-V482-U482</f>
        <v>451</v>
      </c>
      <c r="X482" s="92">
        <f>F482-U482-V482-W482</f>
        <v>483</v>
      </c>
      <c r="Y482" s="123">
        <v>455</v>
      </c>
      <c r="Z482" s="123">
        <f>924-Y482</f>
        <v>469</v>
      </c>
      <c r="AA482" s="123">
        <f>1393-Z482-Y482</f>
        <v>469</v>
      </c>
      <c r="AB482" s="92">
        <f>G482-Y482-Z482-AA482</f>
        <v>488</v>
      </c>
      <c r="AC482" s="123">
        <v>473</v>
      </c>
      <c r="AD482" s="123">
        <f>954-AC482</f>
        <v>481</v>
      </c>
      <c r="AE482" s="123">
        <f>1447-AD482-AC482</f>
        <v>493</v>
      </c>
      <c r="AF482" s="92">
        <f>I482-AC482-AD482-AE482</f>
        <v>532</v>
      </c>
      <c r="AG482" s="123">
        <v>564</v>
      </c>
      <c r="AH482" s="123">
        <f>1180-AG482</f>
        <v>616</v>
      </c>
      <c r="AI482" s="123">
        <f>1805-AH482-AG482</f>
        <v>625</v>
      </c>
      <c r="AJ482" s="92">
        <f t="shared" si="454"/>
        <v>676</v>
      </c>
      <c r="AK482" s="123">
        <v>683</v>
      </c>
      <c r="AL482" s="123">
        <f>1405-AK482</f>
        <v>722</v>
      </c>
      <c r="AM482" s="123">
        <f>2117-AL482-AK482</f>
        <v>712</v>
      </c>
      <c r="AN482" s="92">
        <f t="shared" si="455"/>
        <v>781</v>
      </c>
      <c r="AO482" s="123">
        <v>598</v>
      </c>
      <c r="AP482" s="123">
        <f>1326-AO482</f>
        <v>728</v>
      </c>
      <c r="AQ482" s="123">
        <f>1956-AP482-AO482</f>
        <v>630</v>
      </c>
      <c r="AR482" s="92">
        <f t="shared" si="456"/>
        <v>636</v>
      </c>
      <c r="AS482" s="407"/>
      <c r="AT482" s="123">
        <f>1326-AS482</f>
        <v>1326</v>
      </c>
      <c r="AU482" s="123">
        <f>1326-AT482</f>
        <v>0</v>
      </c>
      <c r="AV482" s="92">
        <f t="shared" si="457"/>
        <v>-953</v>
      </c>
      <c r="AW482" s="407"/>
      <c r="AY482" s="92">
        <f t="shared" si="458"/>
        <v>358</v>
      </c>
      <c r="BC482" s="407"/>
      <c r="BD482" s="407"/>
      <c r="BF482" s="407"/>
      <c r="BG482" s="407"/>
    </row>
    <row r="483" spans="2:59" hidden="1" outlineLevel="1">
      <c r="B483" s="10" t="s">
        <v>385</v>
      </c>
      <c r="C483" s="407"/>
      <c r="D483" s="407"/>
      <c r="E483" s="407"/>
      <c r="F483" s="407"/>
      <c r="G483" s="123">
        <v>505</v>
      </c>
      <c r="H483" s="123">
        <v>980</v>
      </c>
      <c r="I483" s="123">
        <v>890</v>
      </c>
      <c r="J483" s="123">
        <v>902</v>
      </c>
      <c r="K483" s="123">
        <v>875</v>
      </c>
      <c r="L483" s="123">
        <v>882</v>
      </c>
      <c r="M483" s="123">
        <v>882</v>
      </c>
      <c r="N483" s="123">
        <v>976</v>
      </c>
      <c r="O483" s="123">
        <v>976</v>
      </c>
      <c r="Q483" s="407"/>
      <c r="R483" s="407"/>
      <c r="S483" s="407"/>
      <c r="T483" s="407"/>
      <c r="U483" s="407"/>
      <c r="V483" s="407"/>
      <c r="W483" s="407"/>
      <c r="X483" s="408"/>
      <c r="Y483" s="407"/>
      <c r="Z483" s="123">
        <f>176-Y483</f>
        <v>176</v>
      </c>
      <c r="AA483" s="123">
        <f>305-Z483-Y483</f>
        <v>129</v>
      </c>
      <c r="AB483" s="92">
        <f>G483-Y483-Z483-AA483</f>
        <v>200</v>
      </c>
      <c r="AC483" s="123">
        <v>94</v>
      </c>
      <c r="AD483" s="123">
        <f>356-AC483</f>
        <v>262</v>
      </c>
      <c r="AE483" s="123">
        <f>583-AD483-AC483</f>
        <v>227</v>
      </c>
      <c r="AF483" s="92">
        <f>I483-AC483-AD483-AE483</f>
        <v>307</v>
      </c>
      <c r="AG483" s="123">
        <v>189</v>
      </c>
      <c r="AH483" s="123">
        <f>409-AG483</f>
        <v>220</v>
      </c>
      <c r="AI483" s="123">
        <f>652-AH483-AG483</f>
        <v>243</v>
      </c>
      <c r="AJ483" s="92">
        <f t="shared" si="454"/>
        <v>223</v>
      </c>
      <c r="AK483" s="123">
        <v>149</v>
      </c>
      <c r="AL483" s="123">
        <f>355-AK483</f>
        <v>206</v>
      </c>
      <c r="AM483" s="123">
        <f>602-AL483-AK483</f>
        <v>247</v>
      </c>
      <c r="AN483" s="92">
        <f t="shared" si="455"/>
        <v>280</v>
      </c>
      <c r="AO483" s="123">
        <v>237</v>
      </c>
      <c r="AP483" s="123">
        <f>479-AO483</f>
        <v>242</v>
      </c>
      <c r="AQ483" s="123">
        <f>715-AP483-AO483</f>
        <v>236</v>
      </c>
      <c r="AR483" s="92">
        <f t="shared" si="456"/>
        <v>261</v>
      </c>
      <c r="AS483" s="407"/>
      <c r="AT483" s="123">
        <f>479-AS483</f>
        <v>479</v>
      </c>
      <c r="AU483" s="123">
        <f>479-AT483</f>
        <v>0</v>
      </c>
      <c r="AV483" s="92">
        <f t="shared" si="457"/>
        <v>-479</v>
      </c>
      <c r="AW483" s="407"/>
      <c r="AY483" s="92">
        <f t="shared" si="458"/>
        <v>280</v>
      </c>
      <c r="BC483" s="407"/>
      <c r="BD483" s="407"/>
      <c r="BF483" s="407"/>
      <c r="BG483" s="407"/>
    </row>
    <row r="484" spans="2:59" hidden="1" outlineLevel="1">
      <c r="B484" s="10" t="s">
        <v>386</v>
      </c>
      <c r="C484" s="407"/>
      <c r="D484" s="407"/>
      <c r="E484" s="407"/>
      <c r="F484" s="407"/>
      <c r="G484" s="407"/>
      <c r="H484" s="407"/>
      <c r="I484" s="123">
        <v>83</v>
      </c>
      <c r="J484" s="123">
        <v>156</v>
      </c>
      <c r="K484" s="123">
        <v>156</v>
      </c>
      <c r="L484" s="123">
        <v>152</v>
      </c>
      <c r="M484" s="123">
        <v>152</v>
      </c>
      <c r="N484" s="123">
        <v>156</v>
      </c>
      <c r="O484" s="123">
        <v>156</v>
      </c>
      <c r="Q484" s="407"/>
      <c r="R484" s="407"/>
      <c r="S484" s="407"/>
      <c r="T484" s="407"/>
      <c r="U484" s="407"/>
      <c r="V484" s="407"/>
      <c r="W484" s="407"/>
      <c r="X484" s="408"/>
      <c r="Y484" s="407"/>
      <c r="Z484" s="407"/>
      <c r="AA484" s="407"/>
      <c r="AB484" s="407"/>
      <c r="AC484" s="123">
        <v>13</v>
      </c>
      <c r="AD484" s="123">
        <f>28-AC484</f>
        <v>15</v>
      </c>
      <c r="AE484" s="123">
        <f>44-AD484-AC484</f>
        <v>16</v>
      </c>
      <c r="AF484" s="92">
        <f>I484-AC484-AD484-AE484</f>
        <v>39</v>
      </c>
      <c r="AG484" s="123">
        <v>16</v>
      </c>
      <c r="AH484" s="123">
        <f>31-AG484</f>
        <v>15</v>
      </c>
      <c r="AI484" s="123">
        <f>58-AH484-AG484</f>
        <v>27</v>
      </c>
      <c r="AJ484" s="92">
        <f t="shared" si="454"/>
        <v>98</v>
      </c>
      <c r="AK484" s="123">
        <v>31</v>
      </c>
      <c r="AL484" s="123">
        <f>60-AK484</f>
        <v>29</v>
      </c>
      <c r="AM484" s="123">
        <f>92-AL484-AK484</f>
        <v>32</v>
      </c>
      <c r="AN484" s="92">
        <f t="shared" si="455"/>
        <v>60</v>
      </c>
      <c r="AO484" s="123">
        <v>33</v>
      </c>
      <c r="AP484" s="123">
        <f>65-AO484</f>
        <v>32</v>
      </c>
      <c r="AQ484" s="123">
        <f>100-AP484-AO484</f>
        <v>35</v>
      </c>
      <c r="AR484" s="92">
        <f t="shared" si="456"/>
        <v>56</v>
      </c>
      <c r="AS484" s="407"/>
      <c r="AT484" s="123">
        <f>65-AS484</f>
        <v>65</v>
      </c>
      <c r="AU484" s="123">
        <f>65-AT484</f>
        <v>0</v>
      </c>
      <c r="AV484" s="92">
        <f t="shared" si="457"/>
        <v>-65</v>
      </c>
      <c r="AW484" s="407"/>
      <c r="AY484" s="92">
        <f t="shared" si="458"/>
        <v>60</v>
      </c>
      <c r="BC484" s="407"/>
      <c r="BD484" s="407"/>
      <c r="BF484" s="407"/>
      <c r="BG484" s="407"/>
    </row>
    <row r="485" spans="2:59" hidden="1" outlineLevel="1">
      <c r="B485" s="10" t="s">
        <v>38</v>
      </c>
      <c r="C485" s="123">
        <v>557</v>
      </c>
      <c r="D485" s="123">
        <v>875</v>
      </c>
      <c r="E485" s="123">
        <v>-760</v>
      </c>
      <c r="F485" s="123">
        <v>-963</v>
      </c>
      <c r="G485" s="123">
        <v>-1234</v>
      </c>
      <c r="H485" s="123">
        <f>-1245</f>
        <v>-1245</v>
      </c>
      <c r="I485" s="123">
        <f>-1240</f>
        <v>-1240</v>
      </c>
      <c r="J485" s="123">
        <v>-1301</v>
      </c>
      <c r="K485" s="123">
        <v>-710</v>
      </c>
      <c r="L485" s="123">
        <v>-894</v>
      </c>
      <c r="M485" s="123">
        <v>-890</v>
      </c>
      <c r="N485" s="123">
        <v>-1160</v>
      </c>
      <c r="O485" s="123">
        <v>-1160</v>
      </c>
      <c r="Q485" s="123">
        <v>-223</v>
      </c>
      <c r="R485" s="123">
        <f>-395-Q485</f>
        <v>-172</v>
      </c>
      <c r="S485" s="123">
        <f>-603-R485-Q485</f>
        <v>-208</v>
      </c>
      <c r="T485" s="92">
        <f>E485-Q485-R485-S485</f>
        <v>-157</v>
      </c>
      <c r="U485" s="123">
        <v>-240</v>
      </c>
      <c r="V485" s="123">
        <f>-457-U485</f>
        <v>-217</v>
      </c>
      <c r="W485" s="123">
        <f>-729-V485-U485</f>
        <v>-272</v>
      </c>
      <c r="X485" s="92">
        <f>F485-U485-V485-W485</f>
        <v>-234</v>
      </c>
      <c r="Y485" s="123">
        <v>-284</v>
      </c>
      <c r="Z485" s="123">
        <f>-686-Y485</f>
        <v>-402</v>
      </c>
      <c r="AA485" s="123">
        <f>-963-Z485-Y485</f>
        <v>-277</v>
      </c>
      <c r="AB485" s="92">
        <f>G485-Y485-Z485-AA485</f>
        <v>-271</v>
      </c>
      <c r="AC485" s="123">
        <v>-304</v>
      </c>
      <c r="AD485" s="123">
        <f>-648-AC485</f>
        <v>-344</v>
      </c>
      <c r="AE485" s="123">
        <f>-965-AD485-AC485</f>
        <v>-317</v>
      </c>
      <c r="AF485" s="92">
        <f>I485-AC485-AD485-AE485</f>
        <v>-275</v>
      </c>
      <c r="AG485" s="123">
        <v>-182</v>
      </c>
      <c r="AH485" s="123">
        <f>-370-AG485</f>
        <v>-188</v>
      </c>
      <c r="AI485" s="123">
        <f>-542-AH485-AG485</f>
        <v>-172</v>
      </c>
      <c r="AJ485" s="92">
        <f t="shared" si="454"/>
        <v>-168</v>
      </c>
      <c r="AK485" s="123">
        <v>-206</v>
      </c>
      <c r="AL485" s="123">
        <f>-447-AK485</f>
        <v>-241</v>
      </c>
      <c r="AM485" s="123">
        <f>-683-AL485-AK485</f>
        <v>-236</v>
      </c>
      <c r="AN485" s="92">
        <f t="shared" si="455"/>
        <v>-211</v>
      </c>
      <c r="AO485" s="123">
        <v>-255</v>
      </c>
      <c r="AP485" s="123">
        <f>-488-AO485</f>
        <v>-233</v>
      </c>
      <c r="AQ485" s="123">
        <f>-728-AP485-AO485</f>
        <v>-240</v>
      </c>
      <c r="AR485" s="92">
        <f t="shared" si="456"/>
        <v>-432</v>
      </c>
      <c r="AS485" s="407"/>
      <c r="AT485" s="123">
        <f>-488-AS485</f>
        <v>-488</v>
      </c>
      <c r="AU485" s="123">
        <f>-488-AT485</f>
        <v>0</v>
      </c>
      <c r="AV485" s="92">
        <f t="shared" si="457"/>
        <v>316</v>
      </c>
      <c r="AW485" s="407"/>
      <c r="AY485" s="92">
        <f t="shared" si="458"/>
        <v>-207</v>
      </c>
      <c r="BC485" s="407"/>
      <c r="BD485" s="407"/>
      <c r="BF485" s="407"/>
      <c r="BG485" s="407"/>
    </row>
    <row r="486" spans="2:59" hidden="1" outlineLevel="1">
      <c r="B486" s="6" t="s">
        <v>456</v>
      </c>
      <c r="C486" s="263">
        <f t="shared" ref="C486:F486" si="459">SUM(C475:C485)</f>
        <v>21769</v>
      </c>
      <c r="D486" s="263">
        <f t="shared" si="459"/>
        <v>26152</v>
      </c>
      <c r="E486" s="263">
        <f t="shared" si="459"/>
        <v>23886</v>
      </c>
      <c r="F486" s="263">
        <f t="shared" si="459"/>
        <v>24583</v>
      </c>
      <c r="G486" s="263">
        <f>SUM(G475:G485)</f>
        <v>24203</v>
      </c>
      <c r="H486" s="263">
        <f>SUM(H475:H485)</f>
        <v>26269</v>
      </c>
      <c r="I486" s="263">
        <f>SUM(I475:I485)</f>
        <v>25901</v>
      </c>
      <c r="J486" s="263">
        <f>SUM(J475:J485)</f>
        <v>28567</v>
      </c>
      <c r="K486" s="263">
        <f>SUM(K476:K485)</f>
        <v>21700</v>
      </c>
      <c r="L486" s="263">
        <f>SUM(L476:L485)</f>
        <v>23965</v>
      </c>
      <c r="M486" s="263">
        <f>SUM(M476:M485)</f>
        <v>22002</v>
      </c>
      <c r="N486" s="263">
        <f>SUM(N476:N485)</f>
        <v>22412</v>
      </c>
      <c r="O486" s="263">
        <f>SUM(O476:O485)</f>
        <v>22412</v>
      </c>
      <c r="Q486" s="263">
        <f t="shared" ref="Q486" si="460">SUM(Q475:Q485)</f>
        <v>5748</v>
      </c>
      <c r="R486" s="263">
        <f t="shared" ref="R486" si="461">SUM(R475:R485)</f>
        <v>5867</v>
      </c>
      <c r="S486" s="263">
        <f t="shared" ref="S486" si="462">SUM(S475:S485)</f>
        <v>6004</v>
      </c>
      <c r="T486" s="263">
        <f t="shared" ref="T486:V486" si="463">SUM(T475:T485)</f>
        <v>6267</v>
      </c>
      <c r="U486" s="263">
        <f t="shared" si="463"/>
        <v>5949</v>
      </c>
      <c r="V486" s="263">
        <f t="shared" si="463"/>
        <v>6154</v>
      </c>
      <c r="W486" s="263">
        <f t="shared" ref="W486" si="464">SUM(W475:W485)</f>
        <v>6121</v>
      </c>
      <c r="X486" s="263">
        <f t="shared" ref="X486" si="465">SUM(X475:X485)</f>
        <v>6359</v>
      </c>
      <c r="Y486" s="263">
        <f t="shared" ref="Y486" si="466">SUM(Y475:Y485)</f>
        <v>6037</v>
      </c>
      <c r="Z486" s="263">
        <f t="shared" ref="Z486" si="467">SUM(Z475:Z485)</f>
        <v>5792</v>
      </c>
      <c r="AA486" s="263">
        <f t="shared" ref="AA486:AB486" si="468">SUM(AA475:AA485)</f>
        <v>6112</v>
      </c>
      <c r="AB486" s="263">
        <f t="shared" si="468"/>
        <v>6262</v>
      </c>
      <c r="AC486" s="263">
        <f>SUM(AC475:AC485)</f>
        <v>6064</v>
      </c>
      <c r="AD486" s="263">
        <f>SUM(AD475:AD485)</f>
        <v>6390</v>
      </c>
      <c r="AE486" s="263">
        <f>SUM(AE475:AE485)</f>
        <v>6543</v>
      </c>
      <c r="AF486" s="263">
        <f t="shared" ref="AF486:AN486" si="469">SUM(AF476:AF485)</f>
        <v>5155</v>
      </c>
      <c r="AG486" s="263">
        <f t="shared" si="469"/>
        <v>4984</v>
      </c>
      <c r="AH486" s="263">
        <f t="shared" si="469"/>
        <v>5197</v>
      </c>
      <c r="AI486" s="263">
        <f t="shared" si="469"/>
        <v>5710</v>
      </c>
      <c r="AJ486" s="263">
        <f t="shared" si="469"/>
        <v>5809</v>
      </c>
      <c r="AK486" s="263">
        <f t="shared" si="469"/>
        <v>5951</v>
      </c>
      <c r="AL486" s="263">
        <f t="shared" si="469"/>
        <v>6048</v>
      </c>
      <c r="AM486" s="263">
        <f t="shared" si="469"/>
        <v>5968</v>
      </c>
      <c r="AN486" s="263">
        <f t="shared" si="469"/>
        <v>5998</v>
      </c>
      <c r="AO486" s="263">
        <f t="shared" ref="AO486:AR486" si="470">SUM(AO476:AO485)</f>
        <v>5328</v>
      </c>
      <c r="AP486" s="263">
        <f t="shared" si="470"/>
        <v>5812</v>
      </c>
      <c r="AQ486" s="263">
        <f t="shared" si="470"/>
        <v>5628</v>
      </c>
      <c r="AR486" s="263">
        <f t="shared" si="470"/>
        <v>5644</v>
      </c>
      <c r="AS486" s="409"/>
      <c r="AT486" s="263">
        <f t="shared" ref="AT486:AV486" si="471">SUM(AT476:AT485)</f>
        <v>11140</v>
      </c>
      <c r="AU486" s="263">
        <f t="shared" si="471"/>
        <v>0</v>
      </c>
      <c r="AV486" s="263">
        <f t="shared" si="471"/>
        <v>-7086</v>
      </c>
      <c r="AW486" s="409"/>
      <c r="AY486" s="263">
        <f t="shared" ref="AY486" si="472">SUM(AY476:AY485)</f>
        <v>4035</v>
      </c>
      <c r="BC486" s="409"/>
      <c r="BD486" s="409"/>
      <c r="BF486" s="409"/>
      <c r="BG486" s="409"/>
    </row>
    <row r="487" spans="2:59" hidden="1" outlineLevel="1">
      <c r="AS487" s="374"/>
      <c r="AW487" s="374"/>
      <c r="BC487" s="374"/>
      <c r="BD487" s="374"/>
      <c r="BF487" s="374"/>
      <c r="BG487" s="374"/>
    </row>
    <row r="488" spans="2:59" hidden="1" outlineLevel="1">
      <c r="B488" s="6" t="s">
        <v>457</v>
      </c>
      <c r="AS488" s="374"/>
      <c r="AW488" s="374"/>
      <c r="BC488" s="374"/>
      <c r="BD488" s="374"/>
      <c r="BF488" s="374"/>
      <c r="BG488" s="374"/>
    </row>
    <row r="489" spans="2:59" hidden="1" outlineLevel="1">
      <c r="B489" s="10" t="s">
        <v>364</v>
      </c>
      <c r="C489" s="123">
        <v>2304</v>
      </c>
      <c r="D489" s="123">
        <v>2318</v>
      </c>
      <c r="E489" s="123">
        <v>1906</v>
      </c>
      <c r="F489" s="123">
        <v>2618</v>
      </c>
      <c r="G489" s="123">
        <v>2590</v>
      </c>
      <c r="H489" s="123">
        <v>2866</v>
      </c>
      <c r="I489" s="123">
        <v>2826</v>
      </c>
      <c r="J489" s="123">
        <v>3098</v>
      </c>
      <c r="K489" s="407"/>
      <c r="L489" s="407"/>
      <c r="M489" s="407"/>
      <c r="N489" s="407"/>
      <c r="O489" s="407"/>
      <c r="Q489" s="123">
        <v>457</v>
      </c>
      <c r="R489" s="123">
        <f>952-Q489</f>
        <v>495</v>
      </c>
      <c r="S489" s="123">
        <f>1440-R489-Q489</f>
        <v>488</v>
      </c>
      <c r="T489" s="92">
        <f t="shared" ref="T489:T494" si="473">E489-Q489-R489-S489</f>
        <v>466</v>
      </c>
      <c r="U489" s="123">
        <v>570</v>
      </c>
      <c r="V489" s="123">
        <f>1280-U489</f>
        <v>710</v>
      </c>
      <c r="W489" s="123">
        <f>1921-V489-U489</f>
        <v>641</v>
      </c>
      <c r="X489" s="92">
        <f t="shared" ref="X489:X494" si="474">F489-U489-V489-W489</f>
        <v>697</v>
      </c>
      <c r="Y489" s="123">
        <v>514</v>
      </c>
      <c r="Z489" s="123">
        <f>1085-Y489</f>
        <v>571</v>
      </c>
      <c r="AA489" s="123">
        <f>1795-Z489-Y489</f>
        <v>710</v>
      </c>
      <c r="AB489" s="92">
        <f t="shared" ref="AB489:AB494" si="475">G489-Y489-Z489-AA489</f>
        <v>795</v>
      </c>
      <c r="AC489" s="123">
        <v>646</v>
      </c>
      <c r="AD489" s="123">
        <v>1324</v>
      </c>
      <c r="AE489" s="123">
        <f>2025-AD489-AC489</f>
        <v>55</v>
      </c>
      <c r="AF489" s="92">
        <f t="shared" ref="AF489:AF494" si="476">I489-AC489-AD489-AE489</f>
        <v>801</v>
      </c>
      <c r="AG489" s="407"/>
      <c r="AH489" s="407"/>
      <c r="AI489" s="407"/>
      <c r="AJ489" s="394"/>
      <c r="AK489" s="407"/>
      <c r="AL489" s="407"/>
      <c r="AM489" s="407"/>
      <c r="AN489" s="394"/>
      <c r="AO489" s="407"/>
      <c r="AP489" s="407"/>
      <c r="AQ489" s="407"/>
      <c r="AR489" s="394"/>
      <c r="AS489" s="407"/>
      <c r="AT489" s="407"/>
      <c r="AU489" s="407"/>
      <c r="AV489" s="394"/>
      <c r="AW489" s="407"/>
      <c r="AY489" s="394"/>
      <c r="BC489" s="407"/>
      <c r="BD489" s="407"/>
      <c r="BF489" s="407"/>
      <c r="BG489" s="407"/>
    </row>
    <row r="490" spans="2:59" hidden="1" outlineLevel="1">
      <c r="B490" s="10" t="s">
        <v>402</v>
      </c>
      <c r="C490" s="123">
        <v>2612</v>
      </c>
      <c r="D490" s="123">
        <v>2762</v>
      </c>
      <c r="E490" s="123">
        <v>2527</v>
      </c>
      <c r="F490" s="123">
        <v>3721</v>
      </c>
      <c r="G490" s="123">
        <v>3777</v>
      </c>
      <c r="H490" s="123">
        <v>3876</v>
      </c>
      <c r="I490" s="123">
        <v>3890</v>
      </c>
      <c r="J490" s="123">
        <v>4133</v>
      </c>
      <c r="K490" s="123">
        <v>4219</v>
      </c>
      <c r="L490" s="123">
        <v>4729</v>
      </c>
      <c r="M490" s="123">
        <v>4777</v>
      </c>
      <c r="N490" s="123">
        <v>5385</v>
      </c>
      <c r="O490" s="123">
        <v>5385</v>
      </c>
      <c r="Q490" s="123">
        <v>603</v>
      </c>
      <c r="R490" s="123">
        <f>1214-Q490</f>
        <v>611</v>
      </c>
      <c r="S490" s="123">
        <f>1844-R490-Q490</f>
        <v>630</v>
      </c>
      <c r="T490" s="92">
        <f t="shared" si="473"/>
        <v>683</v>
      </c>
      <c r="U490" s="123">
        <v>830</v>
      </c>
      <c r="V490" s="123">
        <f>1771-U490</f>
        <v>941</v>
      </c>
      <c r="W490" s="123">
        <f>2738-V490-U490</f>
        <v>967</v>
      </c>
      <c r="X490" s="92">
        <f t="shared" si="474"/>
        <v>983</v>
      </c>
      <c r="Y490" s="123">
        <v>932</v>
      </c>
      <c r="Z490" s="123">
        <f>1900-Y490</f>
        <v>968</v>
      </c>
      <c r="AA490" s="123">
        <f>2878-Z490-Y490</f>
        <v>978</v>
      </c>
      <c r="AB490" s="92">
        <f t="shared" si="475"/>
        <v>899</v>
      </c>
      <c r="AC490" s="123">
        <v>901</v>
      </c>
      <c r="AD490" s="123">
        <v>1873</v>
      </c>
      <c r="AE490" s="123">
        <f>2886-AD490-AC490</f>
        <v>112</v>
      </c>
      <c r="AF490" s="92">
        <f t="shared" si="476"/>
        <v>1004</v>
      </c>
      <c r="AG490" s="123">
        <v>933</v>
      </c>
      <c r="AH490" s="123">
        <f>1993-AG490</f>
        <v>1060</v>
      </c>
      <c r="AI490" s="123">
        <f>3087-AH490-AG490</f>
        <v>1094</v>
      </c>
      <c r="AJ490" s="92">
        <f t="shared" ref="AJ490:AJ499" si="477">K490-AG490-AH490-AI490</f>
        <v>1132</v>
      </c>
      <c r="AK490" s="123">
        <v>1053</v>
      </c>
      <c r="AL490" s="123">
        <f>2275-AK490</f>
        <v>1222</v>
      </c>
      <c r="AM490" s="123">
        <f>3505-AL490-AK490</f>
        <v>1230</v>
      </c>
      <c r="AN490" s="92">
        <f t="shared" ref="AN490:AN499" si="478">L490-AK490-AL490-AM490</f>
        <v>1224</v>
      </c>
      <c r="AO490" s="123">
        <v>1293</v>
      </c>
      <c r="AP490" s="123">
        <f>2671-AO490</f>
        <v>1378</v>
      </c>
      <c r="AQ490" s="123">
        <f>4003-AP490-AO490</f>
        <v>1332</v>
      </c>
      <c r="AR490" s="92">
        <f t="shared" ref="AR490:AR499" si="479">N490-AO490-AP490-AQ490</f>
        <v>1382</v>
      </c>
      <c r="AS490" s="407"/>
      <c r="AT490" s="123">
        <f>2671-AS490</f>
        <v>2671</v>
      </c>
      <c r="AU490" s="123">
        <f>2671-AT490</f>
        <v>0</v>
      </c>
      <c r="AV490" s="92">
        <f t="shared" ref="AV490:AV499" si="480">R490-AS490-AT490-AU490</f>
        <v>-2060</v>
      </c>
      <c r="AW490" s="407"/>
      <c r="AY490" s="92">
        <f t="shared" ref="AY490:AY499" si="481">M490-SUM(AK490:AM490)</f>
        <v>1272</v>
      </c>
      <c r="BC490" s="407"/>
      <c r="BD490" s="407"/>
      <c r="BF490" s="407"/>
      <c r="BG490" s="407"/>
    </row>
    <row r="491" spans="2:59" hidden="1" outlineLevel="1">
      <c r="B491" s="10" t="s">
        <v>395</v>
      </c>
      <c r="C491" s="123">
        <v>828</v>
      </c>
      <c r="D491" s="123">
        <v>955</v>
      </c>
      <c r="E491" s="123">
        <v>1082</v>
      </c>
      <c r="F491" s="123">
        <v>1083</v>
      </c>
      <c r="G491" s="123">
        <v>1154</v>
      </c>
      <c r="H491" s="123">
        <v>1331</v>
      </c>
      <c r="I491" s="123">
        <v>1223</v>
      </c>
      <c r="J491" s="123">
        <v>1072</v>
      </c>
      <c r="K491" s="123">
        <v>730</v>
      </c>
      <c r="L491" s="123">
        <v>869</v>
      </c>
      <c r="M491" s="123">
        <v>859</v>
      </c>
      <c r="N491" s="123">
        <v>930</v>
      </c>
      <c r="O491" s="123">
        <v>930</v>
      </c>
      <c r="Q491" s="123">
        <v>253</v>
      </c>
      <c r="R491" s="123">
        <f>525-Q491</f>
        <v>272</v>
      </c>
      <c r="S491" s="123">
        <f>808-R491-Q491</f>
        <v>283</v>
      </c>
      <c r="T491" s="92">
        <f t="shared" si="473"/>
        <v>274</v>
      </c>
      <c r="U491" s="123">
        <v>275</v>
      </c>
      <c r="V491" s="123">
        <f>536-U491</f>
        <v>261</v>
      </c>
      <c r="W491" s="123">
        <f>815-V491-U491</f>
        <v>279</v>
      </c>
      <c r="X491" s="92">
        <f t="shared" si="474"/>
        <v>268</v>
      </c>
      <c r="Y491" s="123">
        <v>278</v>
      </c>
      <c r="Z491" s="123">
        <f>523-Y491</f>
        <v>245</v>
      </c>
      <c r="AA491" s="123">
        <f>833-Z491-Y491</f>
        <v>310</v>
      </c>
      <c r="AB491" s="92">
        <f t="shared" si="475"/>
        <v>321</v>
      </c>
      <c r="AC491" s="123">
        <v>285</v>
      </c>
      <c r="AD491" s="123">
        <v>580</v>
      </c>
      <c r="AE491" s="123">
        <f>907-AD491-AC491</f>
        <v>42</v>
      </c>
      <c r="AF491" s="92">
        <f t="shared" si="476"/>
        <v>316</v>
      </c>
      <c r="AG491" s="123">
        <v>283</v>
      </c>
      <c r="AH491" s="123">
        <f>435-AG491</f>
        <v>152</v>
      </c>
      <c r="AI491" s="123">
        <f>609-AH491-AG491</f>
        <v>174</v>
      </c>
      <c r="AJ491" s="92">
        <f t="shared" si="477"/>
        <v>121</v>
      </c>
      <c r="AK491" s="123">
        <v>250</v>
      </c>
      <c r="AL491" s="123">
        <f>430-AK491</f>
        <v>180</v>
      </c>
      <c r="AM491" s="123">
        <f>653-AL491-AK491</f>
        <v>223</v>
      </c>
      <c r="AN491" s="92">
        <f t="shared" si="478"/>
        <v>216</v>
      </c>
      <c r="AO491" s="123">
        <v>169</v>
      </c>
      <c r="AP491" s="123">
        <f>366-AO491</f>
        <v>197</v>
      </c>
      <c r="AQ491" s="123">
        <f>624-AP491-AO491</f>
        <v>258</v>
      </c>
      <c r="AR491" s="92">
        <f t="shared" si="479"/>
        <v>306</v>
      </c>
      <c r="AS491" s="407"/>
      <c r="AT491" s="123">
        <f>366-AS491</f>
        <v>366</v>
      </c>
      <c r="AU491" s="123">
        <f>366-AT491</f>
        <v>0</v>
      </c>
      <c r="AV491" s="92">
        <f t="shared" si="480"/>
        <v>-94</v>
      </c>
      <c r="AW491" s="407"/>
      <c r="AY491" s="92">
        <f t="shared" si="481"/>
        <v>206</v>
      </c>
      <c r="BC491" s="407"/>
      <c r="BD491" s="407"/>
      <c r="BF491" s="407"/>
      <c r="BG491" s="407"/>
    </row>
    <row r="492" spans="2:59" hidden="1" outlineLevel="1">
      <c r="B492" s="10" t="s">
        <v>394</v>
      </c>
      <c r="C492" s="123">
        <v>758</v>
      </c>
      <c r="D492" s="123">
        <v>693</v>
      </c>
      <c r="E492" s="123">
        <v>795</v>
      </c>
      <c r="F492" s="123">
        <v>1404</v>
      </c>
      <c r="G492" s="123">
        <v>1581</v>
      </c>
      <c r="H492" s="123">
        <v>1624</v>
      </c>
      <c r="I492" s="123">
        <v>1593</v>
      </c>
      <c r="J492" s="123">
        <v>1857</v>
      </c>
      <c r="K492" s="123">
        <v>1805</v>
      </c>
      <c r="L492" s="123">
        <v>2149</v>
      </c>
      <c r="M492" s="123">
        <v>1923</v>
      </c>
      <c r="N492" s="123">
        <v>2103</v>
      </c>
      <c r="O492" s="123">
        <v>2103</v>
      </c>
      <c r="Q492" s="123">
        <v>183</v>
      </c>
      <c r="R492" s="123">
        <f>330-Q492</f>
        <v>147</v>
      </c>
      <c r="S492" s="123">
        <f>548-R492-Q492</f>
        <v>218</v>
      </c>
      <c r="T492" s="92">
        <f t="shared" si="473"/>
        <v>247</v>
      </c>
      <c r="U492" s="123">
        <v>349</v>
      </c>
      <c r="V492" s="123">
        <f>763-U492</f>
        <v>414</v>
      </c>
      <c r="W492" s="123">
        <f>1111-V492-U492</f>
        <v>348</v>
      </c>
      <c r="X492" s="92">
        <f t="shared" si="474"/>
        <v>293</v>
      </c>
      <c r="Y492" s="123">
        <v>383</v>
      </c>
      <c r="Z492" s="123">
        <f>827-Y492</f>
        <v>444</v>
      </c>
      <c r="AA492" s="123">
        <f>1213-Z492-Y492</f>
        <v>386</v>
      </c>
      <c r="AB492" s="92">
        <f t="shared" si="475"/>
        <v>368</v>
      </c>
      <c r="AC492" s="123">
        <v>385</v>
      </c>
      <c r="AD492" s="123">
        <v>796</v>
      </c>
      <c r="AE492" s="123">
        <f>1217-AD492-AC492</f>
        <v>36</v>
      </c>
      <c r="AF492" s="92">
        <f t="shared" si="476"/>
        <v>376</v>
      </c>
      <c r="AG492" s="123">
        <v>408</v>
      </c>
      <c r="AH492" s="123">
        <f>880-AG492</f>
        <v>472</v>
      </c>
      <c r="AI492" s="123">
        <f>1332-AH492-AG492</f>
        <v>452</v>
      </c>
      <c r="AJ492" s="92">
        <f t="shared" si="477"/>
        <v>473</v>
      </c>
      <c r="AK492" s="123">
        <v>507</v>
      </c>
      <c r="AL492" s="123">
        <f>1026-AK492</f>
        <v>519</v>
      </c>
      <c r="AM492" s="123">
        <f>1576-AL492-AK492</f>
        <v>550</v>
      </c>
      <c r="AN492" s="92">
        <f t="shared" si="478"/>
        <v>573</v>
      </c>
      <c r="AO492" s="123">
        <v>500</v>
      </c>
      <c r="AP492" s="123">
        <f>1012-AO492</f>
        <v>512</v>
      </c>
      <c r="AQ492" s="123">
        <f>1560-AP492-AO492</f>
        <v>548</v>
      </c>
      <c r="AR492" s="92">
        <f t="shared" si="479"/>
        <v>543</v>
      </c>
      <c r="AS492" s="407"/>
      <c r="AT492" s="123">
        <f>1012-AS492</f>
        <v>1012</v>
      </c>
      <c r="AU492" s="123">
        <f>1012-AT492</f>
        <v>0</v>
      </c>
      <c r="AV492" s="92">
        <f t="shared" si="480"/>
        <v>-865</v>
      </c>
      <c r="AW492" s="407"/>
      <c r="AY492" s="92">
        <f t="shared" si="481"/>
        <v>347</v>
      </c>
      <c r="BC492" s="407"/>
      <c r="BD492" s="407"/>
      <c r="BF492" s="407"/>
      <c r="BG492" s="407"/>
    </row>
    <row r="493" spans="2:59" hidden="1" outlineLevel="1">
      <c r="B493" s="10" t="s">
        <v>396</v>
      </c>
      <c r="C493" s="123">
        <v>538</v>
      </c>
      <c r="D493" s="123">
        <v>589</v>
      </c>
      <c r="E493" s="123">
        <v>544</v>
      </c>
      <c r="F493" s="123">
        <v>695</v>
      </c>
      <c r="G493" s="123">
        <v>752</v>
      </c>
      <c r="H493" s="123">
        <v>786</v>
      </c>
      <c r="I493" s="123">
        <v>775</v>
      </c>
      <c r="J493" s="123">
        <v>780</v>
      </c>
      <c r="K493" s="123">
        <v>828</v>
      </c>
      <c r="L493" s="123">
        <v>886</v>
      </c>
      <c r="M493" s="123">
        <v>919</v>
      </c>
      <c r="N493" s="123">
        <v>1079</v>
      </c>
      <c r="O493" s="123">
        <v>1079</v>
      </c>
      <c r="Q493" s="123">
        <v>119</v>
      </c>
      <c r="R493" s="123">
        <f>247-Q493</f>
        <v>128</v>
      </c>
      <c r="S493" s="123">
        <f>390-R493-Q493</f>
        <v>143</v>
      </c>
      <c r="T493" s="92">
        <f t="shared" si="473"/>
        <v>154</v>
      </c>
      <c r="U493" s="123">
        <v>159</v>
      </c>
      <c r="V493" s="123">
        <f>330-U493</f>
        <v>171</v>
      </c>
      <c r="W493" s="123">
        <f>515-V493-U493</f>
        <v>185</v>
      </c>
      <c r="X493" s="92">
        <f t="shared" si="474"/>
        <v>180</v>
      </c>
      <c r="Y493" s="123">
        <v>183</v>
      </c>
      <c r="Z493" s="123">
        <f>367-Y493</f>
        <v>184</v>
      </c>
      <c r="AA493" s="123">
        <f>560-Z493-Y493</f>
        <v>193</v>
      </c>
      <c r="AB493" s="92">
        <f t="shared" si="475"/>
        <v>192</v>
      </c>
      <c r="AC493" s="123">
        <v>181</v>
      </c>
      <c r="AD493" s="123">
        <v>371</v>
      </c>
      <c r="AE493" s="123">
        <f>575-AD493-AC493</f>
        <v>23</v>
      </c>
      <c r="AF493" s="92">
        <f t="shared" si="476"/>
        <v>200</v>
      </c>
      <c r="AG493" s="123">
        <v>196</v>
      </c>
      <c r="AH493" s="123">
        <f>407-AG493</f>
        <v>211</v>
      </c>
      <c r="AI493" s="123">
        <f>594-AH493-AG493</f>
        <v>187</v>
      </c>
      <c r="AJ493" s="92">
        <f t="shared" si="477"/>
        <v>234</v>
      </c>
      <c r="AK493" s="123">
        <v>216</v>
      </c>
      <c r="AL493" s="123">
        <f>413-AK493</f>
        <v>197</v>
      </c>
      <c r="AM493" s="123">
        <f>646-AL493-AK493</f>
        <v>233</v>
      </c>
      <c r="AN493" s="92">
        <f t="shared" si="478"/>
        <v>240</v>
      </c>
      <c r="AO493" s="123">
        <v>236</v>
      </c>
      <c r="AP493" s="123">
        <f>540-AO493</f>
        <v>304</v>
      </c>
      <c r="AQ493" s="123">
        <f>806-AP493-AO493</f>
        <v>266</v>
      </c>
      <c r="AR493" s="92">
        <f t="shared" si="479"/>
        <v>273</v>
      </c>
      <c r="AS493" s="407"/>
      <c r="AT493" s="123">
        <f>540-AS493</f>
        <v>540</v>
      </c>
      <c r="AU493" s="123">
        <f>540-AT493</f>
        <v>0</v>
      </c>
      <c r="AV493" s="92">
        <f t="shared" si="480"/>
        <v>-412</v>
      </c>
      <c r="AW493" s="407"/>
      <c r="AY493" s="92">
        <f t="shared" si="481"/>
        <v>273</v>
      </c>
      <c r="BC493" s="407"/>
      <c r="BD493" s="407"/>
      <c r="BF493" s="407"/>
      <c r="BG493" s="407"/>
    </row>
    <row r="494" spans="2:59" hidden="1" outlineLevel="1">
      <c r="B494" s="10" t="s">
        <v>414</v>
      </c>
      <c r="C494" s="123">
        <v>1021</v>
      </c>
      <c r="D494" s="123">
        <v>1561</v>
      </c>
      <c r="E494" s="123">
        <v>1301</v>
      </c>
      <c r="F494" s="123">
        <v>1193</v>
      </c>
      <c r="G494" s="123">
        <v>850</v>
      </c>
      <c r="H494" s="123">
        <v>852</v>
      </c>
      <c r="I494" s="123">
        <v>842</v>
      </c>
      <c r="J494" s="123">
        <v>738</v>
      </c>
      <c r="K494" s="123">
        <v>737</v>
      </c>
      <c r="L494" s="123">
        <v>634</v>
      </c>
      <c r="M494" s="123">
        <v>0</v>
      </c>
      <c r="N494" s="123">
        <v>0</v>
      </c>
      <c r="O494" s="123">
        <v>0</v>
      </c>
      <c r="Q494" s="123">
        <v>343</v>
      </c>
      <c r="R494" s="123">
        <f>692-Q494</f>
        <v>349</v>
      </c>
      <c r="S494" s="123">
        <f>1016-R494-Q494</f>
        <v>324</v>
      </c>
      <c r="T494" s="92">
        <f t="shared" si="473"/>
        <v>285</v>
      </c>
      <c r="U494" s="123">
        <v>315</v>
      </c>
      <c r="V494" s="123">
        <f>610-U494</f>
        <v>295</v>
      </c>
      <c r="W494" s="123">
        <f>908-V494-U494</f>
        <v>298</v>
      </c>
      <c r="X494" s="92">
        <f t="shared" si="474"/>
        <v>285</v>
      </c>
      <c r="Y494" s="123">
        <v>261</v>
      </c>
      <c r="Z494" s="123">
        <f>415-Y494</f>
        <v>154</v>
      </c>
      <c r="AA494" s="123">
        <f>632-Z494-Y494</f>
        <v>217</v>
      </c>
      <c r="AB494" s="92">
        <f t="shared" si="475"/>
        <v>218</v>
      </c>
      <c r="AC494" s="123">
        <v>224</v>
      </c>
      <c r="AD494" s="123">
        <v>428</v>
      </c>
      <c r="AE494" s="123">
        <f>636-AD494-AC494</f>
        <v>-16</v>
      </c>
      <c r="AF494" s="92">
        <f t="shared" si="476"/>
        <v>206</v>
      </c>
      <c r="AG494" s="123">
        <v>197</v>
      </c>
      <c r="AH494" s="123">
        <f>385-AG494</f>
        <v>188</v>
      </c>
      <c r="AI494" s="123">
        <f>551-AH494-AG494</f>
        <v>166</v>
      </c>
      <c r="AJ494" s="92">
        <f t="shared" si="477"/>
        <v>186</v>
      </c>
      <c r="AK494" s="123">
        <v>180</v>
      </c>
      <c r="AL494" s="123">
        <f>341-AK494</f>
        <v>161</v>
      </c>
      <c r="AM494" s="123">
        <f>515-AL494-AK494</f>
        <v>174</v>
      </c>
      <c r="AN494" s="92">
        <f t="shared" si="478"/>
        <v>119</v>
      </c>
      <c r="AO494" s="123">
        <v>0</v>
      </c>
      <c r="AP494" s="123">
        <v>0</v>
      </c>
      <c r="AQ494" s="123">
        <v>0</v>
      </c>
      <c r="AR494" s="92">
        <f t="shared" si="479"/>
        <v>0</v>
      </c>
      <c r="AS494" s="407"/>
      <c r="AT494" s="123">
        <v>0</v>
      </c>
      <c r="AU494" s="123">
        <v>0</v>
      </c>
      <c r="AV494" s="92">
        <f t="shared" si="480"/>
        <v>349</v>
      </c>
      <c r="AW494" s="407"/>
      <c r="AY494" s="92">
        <f t="shared" si="481"/>
        <v>-515</v>
      </c>
      <c r="BC494" s="407"/>
      <c r="BD494" s="407"/>
      <c r="BF494" s="407"/>
      <c r="BG494" s="407"/>
    </row>
    <row r="495" spans="2:59" hidden="1" outlineLevel="1">
      <c r="B495" s="10" t="s">
        <v>382</v>
      </c>
      <c r="C495" s="407"/>
      <c r="D495" s="407"/>
      <c r="E495" s="407"/>
      <c r="F495" s="407"/>
      <c r="G495" s="407"/>
      <c r="H495" s="407"/>
      <c r="I495" s="407"/>
      <c r="J495" s="123">
        <v>301</v>
      </c>
      <c r="K495" s="123">
        <v>309</v>
      </c>
      <c r="L495" s="123">
        <v>484</v>
      </c>
      <c r="M495" s="123">
        <v>489</v>
      </c>
      <c r="N495" s="123">
        <v>406</v>
      </c>
      <c r="O495" s="123">
        <v>406</v>
      </c>
      <c r="Q495" s="407"/>
      <c r="R495" s="407"/>
      <c r="S495" s="407"/>
      <c r="T495" s="407"/>
      <c r="U495" s="407"/>
      <c r="V495" s="407"/>
      <c r="W495" s="407"/>
      <c r="X495" s="408"/>
      <c r="Y495" s="407"/>
      <c r="Z495" s="407"/>
      <c r="AA495" s="407"/>
      <c r="AB495" s="407"/>
      <c r="AC495" s="407"/>
      <c r="AD495" s="407"/>
      <c r="AE495" s="407"/>
      <c r="AF495" s="407"/>
      <c r="AG495" s="407"/>
      <c r="AH495" s="407"/>
      <c r="AI495" s="123">
        <f>174-AH495-AG495</f>
        <v>174</v>
      </c>
      <c r="AJ495" s="92">
        <f t="shared" si="477"/>
        <v>135</v>
      </c>
      <c r="AK495" s="123">
        <v>124</v>
      </c>
      <c r="AL495" s="123">
        <f>269-AK495</f>
        <v>145</v>
      </c>
      <c r="AM495" s="123">
        <f>386-AL495-AK495</f>
        <v>117</v>
      </c>
      <c r="AN495" s="92">
        <f t="shared" si="478"/>
        <v>98</v>
      </c>
      <c r="AO495" s="123">
        <v>129</v>
      </c>
      <c r="AP495" s="123">
        <f>260-AO495</f>
        <v>131</v>
      </c>
      <c r="AQ495" s="123">
        <f>374-AP495-AO495</f>
        <v>114</v>
      </c>
      <c r="AR495" s="92">
        <f t="shared" si="479"/>
        <v>32</v>
      </c>
      <c r="AS495" s="407"/>
      <c r="AT495" s="123">
        <f>260-AS495</f>
        <v>260</v>
      </c>
      <c r="AU495" s="123">
        <f>260-AT495</f>
        <v>0</v>
      </c>
      <c r="AV495" s="92">
        <f t="shared" si="480"/>
        <v>-260</v>
      </c>
      <c r="AW495" s="407"/>
      <c r="AY495" s="92">
        <f t="shared" si="481"/>
        <v>103</v>
      </c>
      <c r="BC495" s="407"/>
      <c r="BD495" s="407"/>
      <c r="BF495" s="407"/>
      <c r="BG495" s="407"/>
    </row>
    <row r="496" spans="2:59" hidden="1" outlineLevel="1">
      <c r="B496" s="10" t="s">
        <v>383</v>
      </c>
      <c r="C496" s="407"/>
      <c r="D496" s="123">
        <v>626</v>
      </c>
      <c r="E496" s="123">
        <v>684</v>
      </c>
      <c r="F496" s="123">
        <v>1113</v>
      </c>
      <c r="G496" s="123">
        <v>1087</v>
      </c>
      <c r="H496" s="123">
        <v>1252</v>
      </c>
      <c r="I496" s="123">
        <v>1238</v>
      </c>
      <c r="J496" s="123">
        <v>1657</v>
      </c>
      <c r="K496" s="123">
        <v>1647</v>
      </c>
      <c r="L496" s="123">
        <v>1953</v>
      </c>
      <c r="M496" s="123">
        <v>1596</v>
      </c>
      <c r="N496" s="123">
        <v>1825</v>
      </c>
      <c r="O496" s="123">
        <v>1825</v>
      </c>
      <c r="Q496" s="123">
        <v>157</v>
      </c>
      <c r="R496" s="123">
        <f>320-Q496</f>
        <v>163</v>
      </c>
      <c r="S496" s="123">
        <f>515-R496-Q496</f>
        <v>195</v>
      </c>
      <c r="T496" s="92">
        <f>E496-Q496-R496-S496</f>
        <v>169</v>
      </c>
      <c r="U496" s="123">
        <v>229</v>
      </c>
      <c r="V496" s="123">
        <f>476-U496</f>
        <v>247</v>
      </c>
      <c r="W496" s="123">
        <f>836-V496-U496</f>
        <v>360</v>
      </c>
      <c r="X496" s="92">
        <f>F496-U496-V496-W496</f>
        <v>277</v>
      </c>
      <c r="Y496" s="123">
        <v>275</v>
      </c>
      <c r="Z496" s="123">
        <f>577-Y496</f>
        <v>302</v>
      </c>
      <c r="AA496" s="123">
        <f>861-Z496-Y496</f>
        <v>284</v>
      </c>
      <c r="AB496" s="92">
        <f>G496-Y496-Z496-AA496</f>
        <v>226</v>
      </c>
      <c r="AC496" s="123">
        <v>303</v>
      </c>
      <c r="AD496" s="123">
        <v>619</v>
      </c>
      <c r="AE496" s="123">
        <f>893-AD496-AC496</f>
        <v>-29</v>
      </c>
      <c r="AF496" s="92">
        <f>I496-AC496-AD496-AE496</f>
        <v>345</v>
      </c>
      <c r="AG496" s="123">
        <v>393</v>
      </c>
      <c r="AH496" s="123">
        <f>821-AG496</f>
        <v>428</v>
      </c>
      <c r="AI496" s="123">
        <f>1265-AH496-AG496</f>
        <v>444</v>
      </c>
      <c r="AJ496" s="92">
        <f t="shared" si="477"/>
        <v>382</v>
      </c>
      <c r="AK496" s="123">
        <v>468</v>
      </c>
      <c r="AL496" s="123">
        <f>980-AK496</f>
        <v>512</v>
      </c>
      <c r="AM496" s="123">
        <f>1437-AL496-AK496</f>
        <v>457</v>
      </c>
      <c r="AN496" s="92">
        <f t="shared" si="478"/>
        <v>516</v>
      </c>
      <c r="AO496" s="123">
        <v>427</v>
      </c>
      <c r="AP496" s="123">
        <f>925-AO496</f>
        <v>498</v>
      </c>
      <c r="AQ496" s="123">
        <f>1368-AP496-AO496</f>
        <v>443</v>
      </c>
      <c r="AR496" s="92">
        <f t="shared" si="479"/>
        <v>457</v>
      </c>
      <c r="AS496" s="407"/>
      <c r="AT496" s="123">
        <f>925-AS496</f>
        <v>925</v>
      </c>
      <c r="AU496" s="123">
        <f>925-AT496</f>
        <v>0</v>
      </c>
      <c r="AV496" s="92">
        <f t="shared" si="480"/>
        <v>-762</v>
      </c>
      <c r="AW496" s="407"/>
      <c r="AY496" s="92">
        <f t="shared" si="481"/>
        <v>159</v>
      </c>
      <c r="BC496" s="407"/>
      <c r="BD496" s="407"/>
      <c r="BF496" s="407"/>
      <c r="BG496" s="407"/>
    </row>
    <row r="497" spans="2:59" hidden="1" outlineLevel="1">
      <c r="B497" s="10" t="s">
        <v>385</v>
      </c>
      <c r="C497" s="407"/>
      <c r="D497" s="407"/>
      <c r="E497" s="407"/>
      <c r="F497" s="407"/>
      <c r="G497" s="123">
        <v>-237</v>
      </c>
      <c r="H497" s="123">
        <v>-86</v>
      </c>
      <c r="I497" s="123">
        <v>93</v>
      </c>
      <c r="J497" s="123">
        <v>113</v>
      </c>
      <c r="K497" s="123">
        <v>118</v>
      </c>
      <c r="L497" s="123">
        <v>17</v>
      </c>
      <c r="M497" s="123">
        <v>17</v>
      </c>
      <c r="N497" s="123">
        <v>67</v>
      </c>
      <c r="O497" s="123">
        <v>67</v>
      </c>
      <c r="Q497" s="407"/>
      <c r="R497" s="407"/>
      <c r="S497" s="407"/>
      <c r="T497" s="407"/>
      <c r="U497" s="407"/>
      <c r="V497" s="407"/>
      <c r="W497" s="407"/>
      <c r="X497" s="408"/>
      <c r="Y497" s="407"/>
      <c r="Z497" s="123">
        <f>-167-Y497</f>
        <v>-167</v>
      </c>
      <c r="AA497" s="123">
        <f>-212-Z497-Y497</f>
        <v>-45</v>
      </c>
      <c r="AB497" s="92">
        <f>G497-Y497-Z497-AA497</f>
        <v>-25</v>
      </c>
      <c r="AC497" s="123">
        <v>17</v>
      </c>
      <c r="AD497" s="123">
        <v>46</v>
      </c>
      <c r="AE497" s="123">
        <f>70-AD497-AC497</f>
        <v>7</v>
      </c>
      <c r="AF497" s="92">
        <f>I497-AC497-AD497-AE497</f>
        <v>23</v>
      </c>
      <c r="AG497" s="123">
        <v>18</v>
      </c>
      <c r="AH497" s="123">
        <f>44-AG497</f>
        <v>26</v>
      </c>
      <c r="AI497" s="123">
        <f>73-AH497-AG497</f>
        <v>29</v>
      </c>
      <c r="AJ497" s="92">
        <f t="shared" si="477"/>
        <v>45</v>
      </c>
      <c r="AK497" s="123">
        <v>4</v>
      </c>
      <c r="AL497" s="123">
        <f>0-AK497</f>
        <v>-4</v>
      </c>
      <c r="AM497" s="123">
        <f>-9-AL497-AK497</f>
        <v>-9</v>
      </c>
      <c r="AN497" s="92">
        <f t="shared" si="478"/>
        <v>26</v>
      </c>
      <c r="AO497" s="123">
        <v>13</v>
      </c>
      <c r="AP497" s="123">
        <f>32-AO497</f>
        <v>19</v>
      </c>
      <c r="AQ497" s="123">
        <f>45-AP497-AO497</f>
        <v>13</v>
      </c>
      <c r="AR497" s="92">
        <f t="shared" si="479"/>
        <v>22</v>
      </c>
      <c r="AS497" s="407"/>
      <c r="AT497" s="123">
        <f>32-AS497</f>
        <v>32</v>
      </c>
      <c r="AU497" s="123">
        <f>32-AT497</f>
        <v>0</v>
      </c>
      <c r="AV497" s="92">
        <f t="shared" si="480"/>
        <v>-32</v>
      </c>
      <c r="AW497" s="407"/>
      <c r="AY497" s="92">
        <f t="shared" si="481"/>
        <v>26</v>
      </c>
      <c r="BC497" s="407"/>
      <c r="BD497" s="407"/>
      <c r="BF497" s="407"/>
      <c r="BG497" s="407"/>
    </row>
    <row r="498" spans="2:59" hidden="1" outlineLevel="1">
      <c r="B498" s="10" t="s">
        <v>386</v>
      </c>
      <c r="C498" s="407"/>
      <c r="D498" s="407"/>
      <c r="E498" s="407"/>
      <c r="F498" s="407"/>
      <c r="G498" s="407"/>
      <c r="H498" s="407"/>
      <c r="I498" s="123">
        <v>-177</v>
      </c>
      <c r="J498" s="123">
        <v>-132</v>
      </c>
      <c r="K498" s="123">
        <v>-132</v>
      </c>
      <c r="L498" s="123">
        <v>-129</v>
      </c>
      <c r="M498" s="123">
        <v>-129</v>
      </c>
      <c r="N498" s="123">
        <v>-110</v>
      </c>
      <c r="O498" s="123">
        <v>-110</v>
      </c>
      <c r="Q498" s="407"/>
      <c r="R498" s="407"/>
      <c r="S498" s="407"/>
      <c r="T498" s="407"/>
      <c r="U498" s="407"/>
      <c r="V498" s="407"/>
      <c r="W498" s="407"/>
      <c r="X498" s="408"/>
      <c r="Y498" s="407"/>
      <c r="Z498" s="407"/>
      <c r="AA498" s="407"/>
      <c r="AB498" s="407"/>
      <c r="AC498" s="123">
        <v>-42</v>
      </c>
      <c r="AD498" s="123">
        <v>-90</v>
      </c>
      <c r="AE498" s="123">
        <f>-138-AD498-AC498</f>
        <v>-6</v>
      </c>
      <c r="AF498" s="92">
        <f>I498-AC498-AD498-AE498</f>
        <v>-39</v>
      </c>
      <c r="AG498" s="123">
        <v>-42</v>
      </c>
      <c r="AH498" s="123">
        <f>-90-AG498</f>
        <v>-48</v>
      </c>
      <c r="AI498" s="123">
        <f>-137-AH498-AG498</f>
        <v>-47</v>
      </c>
      <c r="AJ498" s="92">
        <f t="shared" si="477"/>
        <v>5</v>
      </c>
      <c r="AK498" s="123">
        <v>-42</v>
      </c>
      <c r="AL498" s="123">
        <f>-88-AK498</f>
        <v>-46</v>
      </c>
      <c r="AM498" s="123">
        <f>-130-AL498-AK498</f>
        <v>-42</v>
      </c>
      <c r="AN498" s="92">
        <f t="shared" si="478"/>
        <v>1</v>
      </c>
      <c r="AO498" s="123">
        <v>-32</v>
      </c>
      <c r="AP498" s="123">
        <f>-72-AO498</f>
        <v>-40</v>
      </c>
      <c r="AQ498" s="123">
        <f>-100-AP498-AO498</f>
        <v>-28</v>
      </c>
      <c r="AR498" s="92">
        <f t="shared" si="479"/>
        <v>-10</v>
      </c>
      <c r="AS498" s="407"/>
      <c r="AT498" s="123">
        <f>-72-AS498</f>
        <v>-72</v>
      </c>
      <c r="AU498" s="123">
        <f>-72-AT498</f>
        <v>0</v>
      </c>
      <c r="AV498" s="92">
        <f t="shared" si="480"/>
        <v>72</v>
      </c>
      <c r="AW498" s="407"/>
      <c r="AY498" s="92">
        <f t="shared" si="481"/>
        <v>1</v>
      </c>
      <c r="BC498" s="407"/>
      <c r="BD498" s="407"/>
      <c r="BF498" s="407"/>
      <c r="BG498" s="407"/>
    </row>
    <row r="499" spans="2:59" hidden="1" outlineLevel="1">
      <c r="B499" s="10" t="s">
        <v>38</v>
      </c>
      <c r="C499" s="123">
        <v>-48</v>
      </c>
      <c r="D499" s="123">
        <v>-274</v>
      </c>
      <c r="E499" s="123">
        <v>-505</v>
      </c>
      <c r="F499" s="123">
        <v>-1208</v>
      </c>
      <c r="G499" s="123">
        <v>-897</v>
      </c>
      <c r="H499" s="123">
        <v>-897</v>
      </c>
      <c r="I499" s="123">
        <v>-899</v>
      </c>
      <c r="J499" s="123">
        <v>-916</v>
      </c>
      <c r="K499" s="123">
        <v>-664</v>
      </c>
      <c r="L499" s="123">
        <v>-796</v>
      </c>
      <c r="M499" s="123">
        <v>-822</v>
      </c>
      <c r="N499" s="123">
        <v>-582</v>
      </c>
      <c r="O499" s="123">
        <v>-582</v>
      </c>
      <c r="Q499" s="123">
        <v>-79</v>
      </c>
      <c r="R499" s="123">
        <f>-200-Q499</f>
        <v>-121</v>
      </c>
      <c r="S499" s="123">
        <f>-310-R499-Q499</f>
        <v>-110</v>
      </c>
      <c r="T499" s="92">
        <f>E499-Q499-R499-S499</f>
        <v>-195</v>
      </c>
      <c r="U499" s="123">
        <v>-305</v>
      </c>
      <c r="V499" s="123">
        <f>-674-U499</f>
        <v>-369</v>
      </c>
      <c r="W499" s="123">
        <f>-950-V499-U499</f>
        <v>-276</v>
      </c>
      <c r="X499" s="92">
        <f>F499-U499-V499-W499</f>
        <v>-258</v>
      </c>
      <c r="Y499" s="123">
        <v>-322</v>
      </c>
      <c r="Z499" s="123">
        <f>-439-Y499</f>
        <v>-117</v>
      </c>
      <c r="AA499" s="123">
        <f>-633-Z499-Y499</f>
        <v>-194</v>
      </c>
      <c r="AB499" s="92">
        <f>G499-Y499-Z499-AA499</f>
        <v>-264</v>
      </c>
      <c r="AC499" s="123">
        <v>-208</v>
      </c>
      <c r="AD499" s="123">
        <v>-444</v>
      </c>
      <c r="AE499" s="123">
        <f>-709-AD499-AC499</f>
        <v>-57</v>
      </c>
      <c r="AF499" s="92">
        <f>I499-AC499-AD499-AE499</f>
        <v>-190</v>
      </c>
      <c r="AG499" s="123">
        <v>-140</v>
      </c>
      <c r="AH499" s="123">
        <f>-299-AG499</f>
        <v>-159</v>
      </c>
      <c r="AI499" s="123">
        <f>-500-AH499-AG499</f>
        <v>-201</v>
      </c>
      <c r="AJ499" s="92">
        <f t="shared" si="477"/>
        <v>-164</v>
      </c>
      <c r="AK499" s="123">
        <v>-148</v>
      </c>
      <c r="AL499" s="123">
        <f>-247-AK499</f>
        <v>-99</v>
      </c>
      <c r="AM499" s="123">
        <f>-460-AL499-AK499</f>
        <v>-213</v>
      </c>
      <c r="AN499" s="92">
        <f t="shared" si="478"/>
        <v>-336</v>
      </c>
      <c r="AO499" s="123">
        <v>-151</v>
      </c>
      <c r="AP499" s="123">
        <f>-284-AO499</f>
        <v>-133</v>
      </c>
      <c r="AQ499" s="123">
        <f>-423-AP499-AO499</f>
        <v>-139</v>
      </c>
      <c r="AR499" s="92">
        <f t="shared" si="479"/>
        <v>-159</v>
      </c>
      <c r="AS499" s="407"/>
      <c r="AT499" s="123">
        <f>-284-AS499</f>
        <v>-284</v>
      </c>
      <c r="AU499" s="123">
        <f>-284-AT499</f>
        <v>0</v>
      </c>
      <c r="AV499" s="92">
        <f t="shared" si="480"/>
        <v>163</v>
      </c>
      <c r="AW499" s="407"/>
      <c r="AY499" s="92">
        <f t="shared" si="481"/>
        <v>-362</v>
      </c>
      <c r="BC499" s="407"/>
      <c r="BD499" s="407"/>
      <c r="BF499" s="407"/>
      <c r="BG499" s="407"/>
    </row>
    <row r="500" spans="2:59" hidden="1" outlineLevel="1">
      <c r="B500" s="6" t="s">
        <v>456</v>
      </c>
      <c r="C500" s="263">
        <f t="shared" ref="C500:F500" si="482">SUM(C489:C499)</f>
        <v>8013</v>
      </c>
      <c r="D500" s="263">
        <f t="shared" si="482"/>
        <v>9230</v>
      </c>
      <c r="E500" s="263">
        <f t="shared" si="482"/>
        <v>8334</v>
      </c>
      <c r="F500" s="263">
        <f t="shared" si="482"/>
        <v>10619</v>
      </c>
      <c r="G500" s="263">
        <f>SUM(G489:G499)</f>
        <v>10657</v>
      </c>
      <c r="H500" s="263">
        <f>SUM(H489:H499)</f>
        <v>11604</v>
      </c>
      <c r="I500" s="263">
        <f>SUM(I489:I499)</f>
        <v>11404</v>
      </c>
      <c r="J500" s="263">
        <f>SUM(J489:J499)</f>
        <v>12701</v>
      </c>
      <c r="K500" s="263">
        <f t="shared" ref="K500" si="483">SUM(K490:K499)</f>
        <v>9597</v>
      </c>
      <c r="L500" s="263">
        <f>SUM(L490:L499)</f>
        <v>10796</v>
      </c>
      <c r="M500" s="263">
        <f>SUM(M490:M499)</f>
        <v>9629</v>
      </c>
      <c r="N500" s="263">
        <f>SUM(N490:N499)</f>
        <v>11103</v>
      </c>
      <c r="O500" s="263">
        <f>SUM(O490:O499)</f>
        <v>11103</v>
      </c>
      <c r="Q500" s="263">
        <f t="shared" ref="Q500" si="484">SUM(Q489:Q499)</f>
        <v>2036</v>
      </c>
      <c r="R500" s="263">
        <f t="shared" ref="R500" si="485">SUM(R489:R499)</f>
        <v>2044</v>
      </c>
      <c r="S500" s="263">
        <f t="shared" ref="S500:T500" si="486">SUM(S489:S499)</f>
        <v>2171</v>
      </c>
      <c r="T500" s="263">
        <f t="shared" si="486"/>
        <v>2083</v>
      </c>
      <c r="U500" s="263">
        <f t="shared" ref="U500:V500" si="487">SUM(U489:U499)</f>
        <v>2422</v>
      </c>
      <c r="V500" s="263">
        <f t="shared" si="487"/>
        <v>2670</v>
      </c>
      <c r="W500" s="263">
        <f t="shared" ref="W500" si="488">SUM(W489:W499)</f>
        <v>2802</v>
      </c>
      <c r="X500" s="263">
        <f t="shared" ref="X500" si="489">SUM(X489:X499)</f>
        <v>2725</v>
      </c>
      <c r="Y500" s="263">
        <f t="shared" ref="Y500:AA500" si="490">SUM(Y489:Y499)</f>
        <v>2504</v>
      </c>
      <c r="Z500" s="263">
        <f t="shared" si="490"/>
        <v>2584</v>
      </c>
      <c r="AA500" s="263">
        <f t="shared" si="490"/>
        <v>2839</v>
      </c>
      <c r="AB500" s="263">
        <f t="shared" ref="AB500" si="491">SUM(AB489:AB499)</f>
        <v>2730</v>
      </c>
      <c r="AC500" s="263">
        <f t="shared" ref="AC500:AD500" si="492">SUM(AC489:AC499)</f>
        <v>2692</v>
      </c>
      <c r="AD500" s="263">
        <f t="shared" si="492"/>
        <v>5503</v>
      </c>
      <c r="AE500" s="263">
        <f>SUM(AE489:AE499)</f>
        <v>167</v>
      </c>
      <c r="AF500" s="263">
        <f>SUM(AF490:AF499)</f>
        <v>2241</v>
      </c>
      <c r="AG500" s="263">
        <f t="shared" ref="AG500" si="493">SUM(AG490:AG499)</f>
        <v>2246</v>
      </c>
      <c r="AH500" s="263">
        <f t="shared" ref="AH500" si="494">SUM(AH490:AH499)</f>
        <v>2330</v>
      </c>
      <c r="AI500" s="263">
        <f t="shared" ref="AI500:AJ500" si="495">SUM(AI490:AI499)</f>
        <v>2472</v>
      </c>
      <c r="AJ500" s="263">
        <f t="shared" si="495"/>
        <v>2549</v>
      </c>
      <c r="AK500" s="263">
        <f t="shared" ref="AK500" si="496">SUM(AK490:AK499)</f>
        <v>2612</v>
      </c>
      <c r="AL500" s="263">
        <f t="shared" ref="AL500" si="497">SUM(AL490:AL499)</f>
        <v>2787</v>
      </c>
      <c r="AM500" s="263">
        <f t="shared" ref="AM500" si="498">SUM(AM490:AM499)</f>
        <v>2720</v>
      </c>
      <c r="AN500" s="263">
        <f t="shared" ref="AN500:AQ500" si="499">SUM(AN490:AN499)</f>
        <v>2677</v>
      </c>
      <c r="AO500" s="263">
        <f t="shared" si="499"/>
        <v>2584</v>
      </c>
      <c r="AP500" s="263">
        <f t="shared" si="499"/>
        <v>2866</v>
      </c>
      <c r="AQ500" s="263">
        <f t="shared" si="499"/>
        <v>2807</v>
      </c>
      <c r="AR500" s="263">
        <f t="shared" ref="AR500" si="500">SUM(AR490:AR499)</f>
        <v>2846</v>
      </c>
      <c r="AS500" s="409"/>
      <c r="AT500" s="263">
        <f t="shared" ref="AT500:AV500" si="501">SUM(AT490:AT499)</f>
        <v>5450</v>
      </c>
      <c r="AU500" s="263">
        <f t="shared" si="501"/>
        <v>0</v>
      </c>
      <c r="AV500" s="263">
        <f t="shared" si="501"/>
        <v>-3901</v>
      </c>
      <c r="AW500" s="409"/>
      <c r="AY500" s="263">
        <f t="shared" ref="AY500" si="502">SUM(AY490:AY499)</f>
        <v>1510</v>
      </c>
      <c r="BC500" s="409"/>
      <c r="BD500" s="409"/>
      <c r="BF500" s="409"/>
      <c r="BG500" s="409"/>
    </row>
    <row r="501" spans="2:59" hidden="1" outlineLevel="1">
      <c r="AS501" s="374"/>
      <c r="AW501" s="374"/>
      <c r="BC501" s="374"/>
      <c r="BD501" s="374"/>
      <c r="BF501" s="374"/>
      <c r="BG501" s="374"/>
    </row>
    <row r="502" spans="2:59" hidden="1" outlineLevel="1">
      <c r="B502" s="6" t="s">
        <v>442</v>
      </c>
      <c r="AS502" s="374"/>
      <c r="AW502" s="374"/>
      <c r="BC502" s="374"/>
      <c r="BD502" s="374"/>
      <c r="BF502" s="374"/>
      <c r="BG502" s="374"/>
    </row>
    <row r="503" spans="2:59" hidden="1" outlineLevel="1">
      <c r="B503" s="10" t="s">
        <v>402</v>
      </c>
      <c r="C503" s="374"/>
      <c r="D503" s="374"/>
      <c r="E503" s="374"/>
      <c r="F503" s="374"/>
      <c r="G503" s="374"/>
      <c r="H503" s="374"/>
      <c r="I503" s="374"/>
      <c r="J503" s="407"/>
      <c r="K503" s="123">
        <v>1097</v>
      </c>
      <c r="L503" s="123">
        <v>1311</v>
      </c>
      <c r="M503" s="123">
        <v>1324</v>
      </c>
      <c r="N503" s="123">
        <v>1656</v>
      </c>
      <c r="O503" s="123">
        <v>1656</v>
      </c>
      <c r="Q503" s="374"/>
      <c r="R503" s="374"/>
      <c r="S503" s="374"/>
      <c r="T503" s="374"/>
      <c r="U503" s="374"/>
      <c r="V503" s="374"/>
      <c r="W503" s="374"/>
      <c r="X503" s="374"/>
      <c r="Y503" s="374"/>
      <c r="Z503" s="374"/>
      <c r="AA503" s="374"/>
      <c r="AB503" s="374"/>
      <c r="AC503" s="374"/>
      <c r="AD503" s="374"/>
      <c r="AE503" s="374"/>
      <c r="AF503" s="374"/>
      <c r="AG503" s="407"/>
      <c r="AH503" s="407"/>
      <c r="AI503" s="123">
        <f>819-AH503-AG503</f>
        <v>819</v>
      </c>
      <c r="AJ503" s="92">
        <f t="shared" ref="AJ503:AJ512" si="503">K503-AG503-AH503-AI503</f>
        <v>278</v>
      </c>
      <c r="AK503" s="407"/>
      <c r="AL503" s="407"/>
      <c r="AM503" s="123">
        <f>972-AL503-AK503</f>
        <v>972</v>
      </c>
      <c r="AN503" s="92">
        <f t="shared" ref="AN503:AN512" si="504">L503-AK503-AL503-AM503</f>
        <v>339</v>
      </c>
      <c r="AO503" s="123">
        <v>395</v>
      </c>
      <c r="AP503" s="123">
        <f>819-AO503</f>
        <v>424</v>
      </c>
      <c r="AQ503" s="123">
        <f>1195-AP503-AO503</f>
        <v>376</v>
      </c>
      <c r="AR503" s="92">
        <f t="shared" ref="AR503:AR512" si="505">N503-AO503-AP503-AQ503</f>
        <v>461</v>
      </c>
      <c r="AS503" s="407"/>
      <c r="AT503" s="123">
        <f>819-AS503</f>
        <v>819</v>
      </c>
      <c r="AU503" s="123">
        <f>819-AT503</f>
        <v>0</v>
      </c>
      <c r="AV503" s="92">
        <f t="shared" ref="AV503:AV512" si="506">R503-AS503-AT503-AU503</f>
        <v>-819</v>
      </c>
      <c r="AW503" s="407"/>
      <c r="AY503" s="394"/>
      <c r="BC503" s="407"/>
      <c r="BD503" s="407"/>
      <c r="BF503" s="407"/>
      <c r="BG503" s="407"/>
    </row>
    <row r="504" spans="2:59" hidden="1" outlineLevel="1">
      <c r="B504" s="10" t="s">
        <v>395</v>
      </c>
      <c r="C504" s="374"/>
      <c r="D504" s="374"/>
      <c r="E504" s="374"/>
      <c r="F504" s="374"/>
      <c r="G504" s="374"/>
      <c r="H504" s="374"/>
      <c r="I504" s="374"/>
      <c r="J504" s="407"/>
      <c r="K504" s="123">
        <v>31</v>
      </c>
      <c r="L504" s="123">
        <v>286</v>
      </c>
      <c r="M504" s="123">
        <v>283</v>
      </c>
      <c r="N504" s="123">
        <v>290</v>
      </c>
      <c r="O504" s="123">
        <v>290</v>
      </c>
      <c r="Q504" s="374"/>
      <c r="R504" s="374"/>
      <c r="S504" s="374"/>
      <c r="T504" s="374"/>
      <c r="U504" s="374"/>
      <c r="V504" s="374"/>
      <c r="W504" s="374"/>
      <c r="X504" s="374"/>
      <c r="Y504" s="374"/>
      <c r="Z504" s="374"/>
      <c r="AA504" s="374"/>
      <c r="AB504" s="374"/>
      <c r="AC504" s="374"/>
      <c r="AD504" s="374"/>
      <c r="AE504" s="374"/>
      <c r="AF504" s="374"/>
      <c r="AG504" s="407"/>
      <c r="AH504" s="407"/>
      <c r="AI504" s="123">
        <f>164-AH504-AG504</f>
        <v>164</v>
      </c>
      <c r="AJ504" s="92">
        <f t="shared" si="503"/>
        <v>-133</v>
      </c>
      <c r="AK504" s="407"/>
      <c r="AL504" s="407"/>
      <c r="AM504" s="123">
        <f>199-AL504-AK504</f>
        <v>199</v>
      </c>
      <c r="AN504" s="92">
        <f t="shared" si="504"/>
        <v>87</v>
      </c>
      <c r="AO504" s="123">
        <v>33</v>
      </c>
      <c r="AP504" s="123">
        <f>67-AO504</f>
        <v>34</v>
      </c>
      <c r="AQ504" s="123">
        <f>158-AP504-AO504</f>
        <v>91</v>
      </c>
      <c r="AR504" s="92">
        <f t="shared" si="505"/>
        <v>132</v>
      </c>
      <c r="AS504" s="407"/>
      <c r="AT504" s="123">
        <f>67-AS504</f>
        <v>67</v>
      </c>
      <c r="AU504" s="123">
        <f>67-AT504</f>
        <v>0</v>
      </c>
      <c r="AV504" s="92">
        <f t="shared" si="506"/>
        <v>-67</v>
      </c>
      <c r="AW504" s="407"/>
      <c r="AY504" s="394"/>
      <c r="BC504" s="407"/>
      <c r="BD504" s="407"/>
      <c r="BF504" s="407"/>
      <c r="BG504" s="407"/>
    </row>
    <row r="505" spans="2:59" hidden="1" outlineLevel="1">
      <c r="B505" s="10" t="s">
        <v>394</v>
      </c>
      <c r="C505" s="374"/>
      <c r="D505" s="374"/>
      <c r="E505" s="374"/>
      <c r="F505" s="374"/>
      <c r="G505" s="374"/>
      <c r="H505" s="374"/>
      <c r="I505" s="374"/>
      <c r="J505" s="407"/>
      <c r="K505" s="123">
        <v>623</v>
      </c>
      <c r="L505" s="123">
        <v>790</v>
      </c>
      <c r="M505" s="123">
        <v>707</v>
      </c>
      <c r="N505" s="123">
        <v>879</v>
      </c>
      <c r="O505" s="123">
        <v>879</v>
      </c>
      <c r="Q505" s="374"/>
      <c r="R505" s="374"/>
      <c r="S505" s="374"/>
      <c r="T505" s="374"/>
      <c r="U505" s="374"/>
      <c r="V505" s="374"/>
      <c r="W505" s="374"/>
      <c r="X505" s="374"/>
      <c r="Y505" s="374"/>
      <c r="Z505" s="374"/>
      <c r="AA505" s="374"/>
      <c r="AB505" s="374"/>
      <c r="AC505" s="374"/>
      <c r="AD505" s="374"/>
      <c r="AE505" s="374"/>
      <c r="AF505" s="374"/>
      <c r="AG505" s="407"/>
      <c r="AH505" s="407"/>
      <c r="AI505" s="123">
        <f>428-AH505-AG505</f>
        <v>428</v>
      </c>
      <c r="AJ505" s="92">
        <f t="shared" si="503"/>
        <v>195</v>
      </c>
      <c r="AK505" s="407"/>
      <c r="AL505" s="407"/>
      <c r="AM505" s="123">
        <f>542-AL505-AK505</f>
        <v>542</v>
      </c>
      <c r="AN505" s="92">
        <f t="shared" si="504"/>
        <v>248</v>
      </c>
      <c r="AO505" s="123">
        <v>191</v>
      </c>
      <c r="AP505" s="123">
        <f>405-AO505</f>
        <v>214</v>
      </c>
      <c r="AQ505" s="123">
        <f>644-AP505-AO505</f>
        <v>239</v>
      </c>
      <c r="AR505" s="92">
        <f t="shared" si="505"/>
        <v>235</v>
      </c>
      <c r="AS505" s="407"/>
      <c r="AT505" s="123">
        <f>405-AS505</f>
        <v>405</v>
      </c>
      <c r="AU505" s="123">
        <f>405-AT505</f>
        <v>0</v>
      </c>
      <c r="AV505" s="92">
        <f t="shared" si="506"/>
        <v>-405</v>
      </c>
      <c r="AW505" s="407"/>
      <c r="AY505" s="394"/>
      <c r="BC505" s="407"/>
      <c r="BD505" s="407"/>
      <c r="BF505" s="407"/>
      <c r="BG505" s="407"/>
    </row>
    <row r="506" spans="2:59" hidden="1" outlineLevel="1">
      <c r="B506" s="10" t="s">
        <v>396</v>
      </c>
      <c r="C506" s="374"/>
      <c r="D506" s="374"/>
      <c r="E506" s="374"/>
      <c r="F506" s="374"/>
      <c r="G506" s="374"/>
      <c r="H506" s="374"/>
      <c r="I506" s="374"/>
      <c r="J506" s="407"/>
      <c r="K506" s="123">
        <v>462</v>
      </c>
      <c r="L506" s="123">
        <v>504</v>
      </c>
      <c r="M506" s="123">
        <v>522</v>
      </c>
      <c r="N506" s="123">
        <v>651</v>
      </c>
      <c r="O506" s="123">
        <v>651</v>
      </c>
      <c r="Q506" s="374"/>
      <c r="R506" s="374"/>
      <c r="S506" s="374"/>
      <c r="T506" s="374"/>
      <c r="U506" s="374"/>
      <c r="V506" s="374"/>
      <c r="W506" s="374"/>
      <c r="X506" s="374"/>
      <c r="Y506" s="374"/>
      <c r="Z506" s="374"/>
      <c r="AA506" s="374"/>
      <c r="AB506" s="374"/>
      <c r="AC506" s="374"/>
      <c r="AD506" s="374"/>
      <c r="AE506" s="374"/>
      <c r="AF506" s="374"/>
      <c r="AG506" s="407"/>
      <c r="AH506" s="407"/>
      <c r="AI506" s="123">
        <f>326-AH506-AG506</f>
        <v>326</v>
      </c>
      <c r="AJ506" s="92">
        <f t="shared" si="503"/>
        <v>136</v>
      </c>
      <c r="AK506" s="407"/>
      <c r="AL506" s="407"/>
      <c r="AM506" s="123">
        <f>367-AL506-AK506</f>
        <v>367</v>
      </c>
      <c r="AN506" s="92">
        <f t="shared" si="504"/>
        <v>137</v>
      </c>
      <c r="AO506" s="123">
        <v>137</v>
      </c>
      <c r="AP506" s="123">
        <f>338-AO506</f>
        <v>201</v>
      </c>
      <c r="AQ506" s="123">
        <f>500-AP506-AO506</f>
        <v>162</v>
      </c>
      <c r="AR506" s="92">
        <f t="shared" si="505"/>
        <v>151</v>
      </c>
      <c r="AS506" s="407"/>
      <c r="AT506" s="123">
        <f>338-AS506</f>
        <v>338</v>
      </c>
      <c r="AU506" s="123">
        <f>338-AT506</f>
        <v>0</v>
      </c>
      <c r="AV506" s="92">
        <f t="shared" si="506"/>
        <v>-338</v>
      </c>
      <c r="AW506" s="407"/>
      <c r="AY506" s="394"/>
      <c r="BC506" s="407"/>
      <c r="BD506" s="407"/>
      <c r="BF506" s="407"/>
      <c r="BG506" s="407"/>
    </row>
    <row r="507" spans="2:59" hidden="1" outlineLevel="1">
      <c r="B507" s="10" t="s">
        <v>414</v>
      </c>
      <c r="C507" s="374"/>
      <c r="D507" s="374"/>
      <c r="E507" s="374"/>
      <c r="F507" s="374"/>
      <c r="G507" s="374"/>
      <c r="H507" s="374"/>
      <c r="I507" s="374"/>
      <c r="J507" s="407"/>
      <c r="K507" s="123">
        <v>315</v>
      </c>
      <c r="L507" s="123">
        <v>321</v>
      </c>
      <c r="M507" s="123">
        <v>0</v>
      </c>
      <c r="N507" s="123">
        <v>0</v>
      </c>
      <c r="O507" s="123">
        <v>0</v>
      </c>
      <c r="Q507" s="374"/>
      <c r="R507" s="374"/>
      <c r="S507" s="374"/>
      <c r="T507" s="374"/>
      <c r="U507" s="374"/>
      <c r="V507" s="374"/>
      <c r="W507" s="374"/>
      <c r="X507" s="374"/>
      <c r="Y507" s="374"/>
      <c r="Z507" s="374"/>
      <c r="AA507" s="374"/>
      <c r="AB507" s="374"/>
      <c r="AC507" s="374"/>
      <c r="AD507" s="374"/>
      <c r="AE507" s="374"/>
      <c r="AF507" s="374"/>
      <c r="AG507" s="407"/>
      <c r="AH507" s="407"/>
      <c r="AI507" s="123">
        <f>236-AH507-AG507</f>
        <v>236</v>
      </c>
      <c r="AJ507" s="92">
        <f t="shared" si="503"/>
        <v>79</v>
      </c>
      <c r="AK507" s="407"/>
      <c r="AL507" s="407"/>
      <c r="AM507" s="123">
        <f>201-AL507-AK507</f>
        <v>201</v>
      </c>
      <c r="AN507" s="92">
        <f t="shared" si="504"/>
        <v>120</v>
      </c>
      <c r="AO507" s="123">
        <v>0</v>
      </c>
      <c r="AP507" s="123">
        <v>0</v>
      </c>
      <c r="AQ507" s="123">
        <v>0</v>
      </c>
      <c r="AR507" s="92">
        <f t="shared" si="505"/>
        <v>0</v>
      </c>
      <c r="AS507" s="407"/>
      <c r="AT507" s="123">
        <v>0</v>
      </c>
      <c r="AU507" s="123">
        <v>0</v>
      </c>
      <c r="AV507" s="92">
        <f t="shared" si="506"/>
        <v>0</v>
      </c>
      <c r="AW507" s="407"/>
      <c r="AY507" s="394"/>
      <c r="BC507" s="407"/>
      <c r="BD507" s="407"/>
      <c r="BF507" s="407"/>
      <c r="BG507" s="407"/>
    </row>
    <row r="508" spans="2:59" hidden="1" outlineLevel="1">
      <c r="B508" s="10" t="s">
        <v>382</v>
      </c>
      <c r="C508" s="374"/>
      <c r="D508" s="374"/>
      <c r="E508" s="374"/>
      <c r="F508" s="374"/>
      <c r="G508" s="374"/>
      <c r="H508" s="374"/>
      <c r="I508" s="374"/>
      <c r="J508" s="407"/>
      <c r="K508" s="123">
        <v>79</v>
      </c>
      <c r="L508" s="123">
        <v>-32</v>
      </c>
      <c r="M508" s="123">
        <v>-32</v>
      </c>
      <c r="N508" s="123">
        <v>-131</v>
      </c>
      <c r="O508" s="123">
        <v>-131</v>
      </c>
      <c r="Q508" s="374"/>
      <c r="R508" s="374"/>
      <c r="S508" s="374"/>
      <c r="T508" s="374"/>
      <c r="U508" s="374"/>
      <c r="V508" s="374"/>
      <c r="W508" s="374"/>
      <c r="X508" s="374"/>
      <c r="Y508" s="374"/>
      <c r="Z508" s="374"/>
      <c r="AA508" s="374"/>
      <c r="AB508" s="374"/>
      <c r="AC508" s="374"/>
      <c r="AD508" s="374"/>
      <c r="AE508" s="374"/>
      <c r="AF508" s="374"/>
      <c r="AG508" s="407"/>
      <c r="AH508" s="407"/>
      <c r="AI508" s="123">
        <f>60-AH508-AG508</f>
        <v>60</v>
      </c>
      <c r="AJ508" s="92">
        <f t="shared" si="503"/>
        <v>19</v>
      </c>
      <c r="AK508" s="407"/>
      <c r="AL508" s="407"/>
      <c r="AM508" s="123">
        <f>9-AL508-AK508</f>
        <v>9</v>
      </c>
      <c r="AN508" s="92">
        <f t="shared" si="504"/>
        <v>-41</v>
      </c>
      <c r="AO508" s="123">
        <v>3</v>
      </c>
      <c r="AP508" s="123">
        <f>-3-AO508</f>
        <v>-6</v>
      </c>
      <c r="AQ508" s="123">
        <f>-31-AP508-AO508</f>
        <v>-28</v>
      </c>
      <c r="AR508" s="92">
        <f t="shared" si="505"/>
        <v>-100</v>
      </c>
      <c r="AS508" s="407"/>
      <c r="AT508" s="123">
        <f>-3-AS508</f>
        <v>-3</v>
      </c>
      <c r="AU508" s="123">
        <f>-3-AT508</f>
        <v>0</v>
      </c>
      <c r="AV508" s="92">
        <f t="shared" si="506"/>
        <v>3</v>
      </c>
      <c r="AW508" s="407"/>
      <c r="AY508" s="394"/>
      <c r="BC508" s="407"/>
      <c r="BD508" s="407"/>
      <c r="BF508" s="407"/>
      <c r="BG508" s="407"/>
    </row>
    <row r="509" spans="2:59" hidden="1" outlineLevel="1">
      <c r="B509" s="10" t="s">
        <v>383</v>
      </c>
      <c r="C509" s="374"/>
      <c r="D509" s="374"/>
      <c r="E509" s="374"/>
      <c r="F509" s="374"/>
      <c r="G509" s="374"/>
      <c r="H509" s="374"/>
      <c r="I509" s="374"/>
      <c r="J509" s="374"/>
      <c r="K509" s="123">
        <v>699</v>
      </c>
      <c r="L509" s="123">
        <v>-122</v>
      </c>
      <c r="M509" s="123">
        <v>574</v>
      </c>
      <c r="N509" s="123">
        <v>912</v>
      </c>
      <c r="O509" s="123">
        <v>912</v>
      </c>
      <c r="Q509" s="374"/>
      <c r="R509" s="374"/>
      <c r="S509" s="374"/>
      <c r="T509" s="374"/>
      <c r="U509" s="374"/>
      <c r="V509" s="374"/>
      <c r="W509" s="374"/>
      <c r="X509" s="374"/>
      <c r="Y509" s="374"/>
      <c r="Z509" s="374"/>
      <c r="AA509" s="374"/>
      <c r="AB509" s="374"/>
      <c r="AC509" s="374"/>
      <c r="AD509" s="374"/>
      <c r="AE509" s="374"/>
      <c r="AF509" s="374"/>
      <c r="AG509" s="407"/>
      <c r="AH509" s="407"/>
      <c r="AI509" s="123">
        <f>579-AH509-AG509</f>
        <v>579</v>
      </c>
      <c r="AJ509" s="92">
        <f t="shared" si="503"/>
        <v>120</v>
      </c>
      <c r="AK509" s="407"/>
      <c r="AL509" s="407"/>
      <c r="AM509" s="123">
        <f>601-AL509-AK509</f>
        <v>601</v>
      </c>
      <c r="AN509" s="92">
        <f t="shared" si="504"/>
        <v>-723</v>
      </c>
      <c r="AO509" s="123">
        <v>182</v>
      </c>
      <c r="AP509" s="123">
        <f>415-AO509</f>
        <v>233</v>
      </c>
      <c r="AQ509" s="123">
        <f>655-AP509-AO509</f>
        <v>240</v>
      </c>
      <c r="AR509" s="92">
        <f t="shared" si="505"/>
        <v>257</v>
      </c>
      <c r="AS509" s="407"/>
      <c r="AT509" s="123">
        <f>415-AS509</f>
        <v>415</v>
      </c>
      <c r="AU509" s="123">
        <f>415-AT509</f>
        <v>0</v>
      </c>
      <c r="AV509" s="92">
        <f t="shared" si="506"/>
        <v>-415</v>
      </c>
      <c r="AW509" s="407"/>
      <c r="AY509" s="394"/>
      <c r="BC509" s="407"/>
      <c r="BD509" s="407"/>
      <c r="BF509" s="407"/>
      <c r="BG509" s="407"/>
    </row>
    <row r="510" spans="2:59" hidden="1" outlineLevel="1">
      <c r="B510" s="10" t="s">
        <v>385</v>
      </c>
      <c r="C510" s="374"/>
      <c r="D510" s="374"/>
      <c r="E510" s="374"/>
      <c r="F510" s="374"/>
      <c r="G510" s="374"/>
      <c r="H510" s="374"/>
      <c r="I510" s="374"/>
      <c r="J510" s="374"/>
      <c r="K510" s="123">
        <v>93</v>
      </c>
      <c r="L510" s="123">
        <v>-4</v>
      </c>
      <c r="M510" s="123">
        <v>-4</v>
      </c>
      <c r="N510" s="123">
        <v>43</v>
      </c>
      <c r="O510" s="123">
        <v>43</v>
      </c>
      <c r="Q510" s="374"/>
      <c r="R510" s="374"/>
      <c r="S510" s="374"/>
      <c r="T510" s="374"/>
      <c r="U510" s="374"/>
      <c r="V510" s="374"/>
      <c r="W510" s="374"/>
      <c r="X510" s="374"/>
      <c r="Y510" s="374"/>
      <c r="Z510" s="374"/>
      <c r="AA510" s="374"/>
      <c r="AB510" s="374"/>
      <c r="AC510" s="374"/>
      <c r="AD510" s="374"/>
      <c r="AE510" s="374"/>
      <c r="AF510" s="374"/>
      <c r="AG510" s="407"/>
      <c r="AH510" s="407"/>
      <c r="AI510" s="123">
        <f>59-AH510-AG510</f>
        <v>59</v>
      </c>
      <c r="AJ510" s="92">
        <f t="shared" si="503"/>
        <v>34</v>
      </c>
      <c r="AK510" s="407"/>
      <c r="AL510" s="407"/>
      <c r="AM510" s="123">
        <f>-24-AL510-AK510</f>
        <v>-24</v>
      </c>
      <c r="AN510" s="92">
        <f t="shared" si="504"/>
        <v>20</v>
      </c>
      <c r="AO510" s="123">
        <v>7</v>
      </c>
      <c r="AP510" s="123">
        <f>20-AO510</f>
        <v>13</v>
      </c>
      <c r="AQ510" s="123">
        <f>26-AP510-AO510</f>
        <v>6</v>
      </c>
      <c r="AR510" s="92">
        <f t="shared" si="505"/>
        <v>17</v>
      </c>
      <c r="AS510" s="407"/>
      <c r="AT510" s="123">
        <f>20-AS510</f>
        <v>20</v>
      </c>
      <c r="AU510" s="123">
        <f>20-AT510</f>
        <v>0</v>
      </c>
      <c r="AV510" s="92">
        <f t="shared" si="506"/>
        <v>-20</v>
      </c>
      <c r="AW510" s="407"/>
      <c r="AY510" s="394"/>
      <c r="BC510" s="407"/>
      <c r="BD510" s="407"/>
      <c r="BF510" s="407"/>
      <c r="BG510" s="407"/>
    </row>
    <row r="511" spans="2:59" hidden="1" outlineLevel="1">
      <c r="B511" s="10" t="s">
        <v>386</v>
      </c>
      <c r="C511" s="374"/>
      <c r="D511" s="374"/>
      <c r="E511" s="374"/>
      <c r="F511" s="374"/>
      <c r="G511" s="374"/>
      <c r="H511" s="374"/>
      <c r="I511" s="374"/>
      <c r="J511" s="374"/>
      <c r="K511" s="123">
        <v>-169</v>
      </c>
      <c r="L511" s="123">
        <v>-177</v>
      </c>
      <c r="M511" s="123">
        <v>-177</v>
      </c>
      <c r="N511" s="123">
        <v>-164</v>
      </c>
      <c r="O511" s="123">
        <v>-164</v>
      </c>
      <c r="Q511" s="374"/>
      <c r="R511" s="374"/>
      <c r="S511" s="374"/>
      <c r="T511" s="374"/>
      <c r="U511" s="374"/>
      <c r="V511" s="374"/>
      <c r="W511" s="374"/>
      <c r="X511" s="374"/>
      <c r="Y511" s="374"/>
      <c r="Z511" s="374"/>
      <c r="AA511" s="374"/>
      <c r="AB511" s="374"/>
      <c r="AC511" s="374"/>
      <c r="AD511" s="374"/>
      <c r="AE511" s="374"/>
      <c r="AF511" s="374"/>
      <c r="AG511" s="407"/>
      <c r="AH511" s="407"/>
      <c r="AI511" s="123">
        <f>-163-AH511-AG511</f>
        <v>-163</v>
      </c>
      <c r="AJ511" s="92">
        <f t="shared" si="503"/>
        <v>-6</v>
      </c>
      <c r="AK511" s="407"/>
      <c r="AL511" s="407"/>
      <c r="AM511" s="123">
        <f>-165-AL511-AK511</f>
        <v>-165</v>
      </c>
      <c r="AN511" s="92">
        <f t="shared" si="504"/>
        <v>-12</v>
      </c>
      <c r="AO511" s="123">
        <v>-45</v>
      </c>
      <c r="AP511" s="123">
        <f>-99-AO511</f>
        <v>-54</v>
      </c>
      <c r="AQ511" s="123">
        <f>-140-AP511-AO511</f>
        <v>-41</v>
      </c>
      <c r="AR511" s="92">
        <f t="shared" si="505"/>
        <v>-24</v>
      </c>
      <c r="AS511" s="407"/>
      <c r="AT511" s="123">
        <f>-99-AS511</f>
        <v>-99</v>
      </c>
      <c r="AU511" s="123">
        <f>-99-AT511</f>
        <v>0</v>
      </c>
      <c r="AV511" s="92">
        <f t="shared" si="506"/>
        <v>99</v>
      </c>
      <c r="AW511" s="407"/>
      <c r="AY511" s="394"/>
      <c r="BC511" s="407"/>
      <c r="BD511" s="407"/>
      <c r="BF511" s="407"/>
      <c r="BG511" s="407"/>
    </row>
    <row r="512" spans="2:59" hidden="1" outlineLevel="1">
      <c r="B512" s="10" t="s">
        <v>38</v>
      </c>
      <c r="C512" s="374"/>
      <c r="D512" s="374"/>
      <c r="E512" s="374"/>
      <c r="F512" s="374"/>
      <c r="G512" s="374"/>
      <c r="H512" s="374"/>
      <c r="I512" s="374"/>
      <c r="J512" s="374"/>
      <c r="K512" s="123">
        <v>-4857</v>
      </c>
      <c r="L512" s="123">
        <v>-2802</v>
      </c>
      <c r="M512" s="123">
        <v>-768</v>
      </c>
      <c r="N512" s="123">
        <v>-541</v>
      </c>
      <c r="O512" s="123">
        <v>-541</v>
      </c>
      <c r="Q512" s="374"/>
      <c r="R512" s="374"/>
      <c r="S512" s="374"/>
      <c r="T512" s="374"/>
      <c r="U512" s="374"/>
      <c r="V512" s="374"/>
      <c r="W512" s="374"/>
      <c r="X512" s="374"/>
      <c r="Y512" s="374"/>
      <c r="Z512" s="374"/>
      <c r="AA512" s="374"/>
      <c r="AB512" s="374"/>
      <c r="AC512" s="374"/>
      <c r="AD512" s="374"/>
      <c r="AE512" s="374"/>
      <c r="AF512" s="374"/>
      <c r="AG512" s="407"/>
      <c r="AH512" s="407"/>
      <c r="AI512" s="123">
        <f>-532-AH512-AG512</f>
        <v>-532</v>
      </c>
      <c r="AJ512" s="92">
        <f t="shared" si="503"/>
        <v>-4325</v>
      </c>
      <c r="AK512" s="407"/>
      <c r="AL512" s="407"/>
      <c r="AM512" s="123">
        <f>-2416-AL512-AK512</f>
        <v>-2416</v>
      </c>
      <c r="AN512" s="92">
        <f t="shared" si="504"/>
        <v>-386</v>
      </c>
      <c r="AO512" s="123">
        <v>-130</v>
      </c>
      <c r="AP512" s="123">
        <f>-232-AO512</f>
        <v>-102</v>
      </c>
      <c r="AQ512" s="123">
        <f>-403-AP512-AO512</f>
        <v>-171</v>
      </c>
      <c r="AR512" s="92">
        <f t="shared" si="505"/>
        <v>-138</v>
      </c>
      <c r="AS512" s="407"/>
      <c r="AT512" s="123">
        <f>-232-AS512</f>
        <v>-232</v>
      </c>
      <c r="AU512" s="123">
        <f>-232-AT512</f>
        <v>0</v>
      </c>
      <c r="AV512" s="92">
        <f t="shared" si="506"/>
        <v>232</v>
      </c>
      <c r="AW512" s="407"/>
      <c r="AY512" s="394"/>
      <c r="BC512" s="407"/>
      <c r="BD512" s="407"/>
      <c r="BF512" s="407"/>
      <c r="BG512" s="407"/>
    </row>
    <row r="513" spans="2:59" hidden="1" outlineLevel="1">
      <c r="B513" s="6" t="s">
        <v>456</v>
      </c>
      <c r="C513" s="374"/>
      <c r="D513" s="374"/>
      <c r="E513" s="374"/>
      <c r="F513" s="374"/>
      <c r="G513" s="374"/>
      <c r="H513" s="374"/>
      <c r="I513" s="374"/>
      <c r="J513" s="409"/>
      <c r="K513" s="263">
        <f t="shared" ref="K513" si="507">SUM(K503:K512)</f>
        <v>-1627</v>
      </c>
      <c r="L513" s="263">
        <f>SUM(L503:L512)</f>
        <v>75</v>
      </c>
      <c r="M513" s="263">
        <f>SUM(M503:M512)</f>
        <v>2429</v>
      </c>
      <c r="N513" s="263">
        <f>SUM(N503:N512)</f>
        <v>3595</v>
      </c>
      <c r="O513" s="263">
        <f>SUM(O503:O512)</f>
        <v>3595</v>
      </c>
      <c r="Q513" s="374"/>
      <c r="R513" s="374"/>
      <c r="S513" s="374"/>
      <c r="T513" s="374"/>
      <c r="U513" s="374"/>
      <c r="V513" s="374"/>
      <c r="W513" s="374"/>
      <c r="X513" s="374"/>
      <c r="Y513" s="374"/>
      <c r="Z513" s="374"/>
      <c r="AA513" s="374"/>
      <c r="AB513" s="374"/>
      <c r="AC513" s="374"/>
      <c r="AD513" s="374"/>
      <c r="AE513" s="374"/>
      <c r="AF513" s="374"/>
      <c r="AG513" s="409"/>
      <c r="AH513" s="409"/>
      <c r="AI513" s="263">
        <f t="shared" ref="AI513:AJ513" si="508">SUM(AI503:AI512)</f>
        <v>1976</v>
      </c>
      <c r="AJ513" s="263">
        <f t="shared" si="508"/>
        <v>-3603</v>
      </c>
      <c r="AK513" s="263"/>
      <c r="AL513" s="263"/>
      <c r="AM513" s="263">
        <f t="shared" ref="AM513:AO513" si="509">SUM(AM503:AM512)</f>
        <v>286</v>
      </c>
      <c r="AN513" s="263">
        <f t="shared" ref="AN513" si="510">SUM(AN503:AN512)</f>
        <v>-211</v>
      </c>
      <c r="AO513" s="263">
        <f t="shared" si="509"/>
        <v>773</v>
      </c>
      <c r="AP513" s="263">
        <f>SUM(AP503:AP512)</f>
        <v>957</v>
      </c>
      <c r="AQ513" s="263">
        <f t="shared" ref="AQ513:AR513" si="511">SUM(AQ503:AQ512)</f>
        <v>874</v>
      </c>
      <c r="AR513" s="263">
        <f t="shared" si="511"/>
        <v>991</v>
      </c>
      <c r="AS513" s="409"/>
      <c r="AT513" s="263">
        <f>SUM(AT503:AT512)</f>
        <v>1730</v>
      </c>
      <c r="AU513" s="263">
        <f>SUM(AU503:AU512)</f>
        <v>0</v>
      </c>
      <c r="AV513" s="263">
        <f t="shared" ref="AV513" si="512">SUM(AV503:AV512)</f>
        <v>-1730</v>
      </c>
      <c r="AW513" s="409"/>
      <c r="AY513" s="263">
        <f t="shared" ref="AY513" si="513">SUM(AY503:AY512)</f>
        <v>0</v>
      </c>
      <c r="BC513" s="409"/>
      <c r="BD513" s="409"/>
      <c r="BF513" s="409"/>
      <c r="BG513" s="409"/>
    </row>
    <row r="514" spans="2:59" collapsed="1"/>
  </sheetData>
  <pageMargins left="0.7" right="0.7" top="0.75" bottom="0.75" header="0.3" footer="0.3"/>
  <pageSetup paperSize="9" orientation="portrait" horizontalDpi="90" verticalDpi="90" r:id="rId1"/>
  <headerFooter>
    <oddFooter>&amp;C_x000D_&amp;1#&amp;"Calibri"&amp;10&amp;K000000 Barings-Corporate</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00EECCAA3DB94895FACE15614ECBE0" ma:contentTypeVersion="3" ma:contentTypeDescription="Create a new document." ma:contentTypeScope="" ma:versionID="df48d4251bee182ecc7fb5dcb95088a2">
  <xsd:schema xmlns:xsd="http://www.w3.org/2001/XMLSchema" xmlns:xs="http://www.w3.org/2001/XMLSchema" xmlns:p="http://schemas.microsoft.com/office/2006/metadata/properties" xmlns:ns2="aa33d72f-12a9-4590-815a-2b1f92f4a722" targetNamespace="http://schemas.microsoft.com/office/2006/metadata/properties" ma:root="true" ma:fieldsID="e53bcbeb5cc26077ba81130311515115" ns2:_="">
    <xsd:import namespace="aa33d72f-12a9-4590-815a-2b1f92f4a72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33d72f-12a9-4590-815a-2b1f92f4a7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4059A5C-B9B8-4380-8D67-8C81BA6F7A59}"/>
</file>

<file path=customXml/itemProps2.xml><?xml version="1.0" encoding="utf-8"?>
<ds:datastoreItem xmlns:ds="http://schemas.openxmlformats.org/officeDocument/2006/customXml" ds:itemID="{C91FA211-9BFF-4ED4-AFDE-10245775F69F}"/>
</file>

<file path=customXml/itemProps3.xml><?xml version="1.0" encoding="utf-8"?>
<ds:datastoreItem xmlns:ds="http://schemas.openxmlformats.org/officeDocument/2006/customXml" ds:itemID="{B9EBEC81-E605-484C-B3F7-166C0C08AC9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Roshni Arunkumar</dc:creator>
  <cp:keywords/>
  <dc:description/>
  <cp:lastModifiedBy/>
  <cp:revision/>
  <dcterms:created xsi:type="dcterms:W3CDTF">2020-08-11T05:36:19Z</dcterms:created>
  <dcterms:modified xsi:type="dcterms:W3CDTF">2026-09-07T10:22:30Z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e18511c2-2ba7-4f4a-a5ea-aa8b6c5e94ce</vt:lpwstr>
  </property>
  <property fmtid="{D5CDD505-2E9C-101B-9397-08002B2CF9AE}" pid="3" name="{A44787D4-0540-4523-9961-78E4036D8C6D}">
    <vt:lpwstr>{C55E998C-0E75-429B-9D0D-1203962AB800}</vt:lpwstr>
  </property>
  <property fmtid="{D5CDD505-2E9C-101B-9397-08002B2CF9AE}" pid="4" name="MSIP_Label_75c705d7-a0c7-4dfc-9e74-f70280a93ba5_Enabled">
    <vt:lpwstr>true</vt:lpwstr>
  </property>
  <property fmtid="{D5CDD505-2E9C-101B-9397-08002B2CF9AE}" pid="5" name="MSIP_Label_75c705d7-a0c7-4dfc-9e74-f70280a93ba5_SetDate">
    <vt:lpwstr>2021-12-13T04:14:42Z</vt:lpwstr>
  </property>
  <property fmtid="{D5CDD505-2E9C-101B-9397-08002B2CF9AE}" pid="6" name="MSIP_Label_75c705d7-a0c7-4dfc-9e74-f70280a93ba5_Method">
    <vt:lpwstr>Privileged</vt:lpwstr>
  </property>
  <property fmtid="{D5CDD505-2E9C-101B-9397-08002B2CF9AE}" pid="7" name="MSIP_Label_75c705d7-a0c7-4dfc-9e74-f70280a93ba5_Name">
    <vt:lpwstr>Internal-Confidential</vt:lpwstr>
  </property>
  <property fmtid="{D5CDD505-2E9C-101B-9397-08002B2CF9AE}" pid="8" name="MSIP_Label_75c705d7-a0c7-4dfc-9e74-f70280a93ba5_SiteId">
    <vt:lpwstr>4d8b04bf-7a7c-48a0-b6e3-38da5008297e</vt:lpwstr>
  </property>
  <property fmtid="{D5CDD505-2E9C-101B-9397-08002B2CF9AE}" pid="9" name="MSIP_Label_75c705d7-a0c7-4dfc-9e74-f70280a93ba5_ActionId">
    <vt:lpwstr>6cd58178-7b42-4a42-a514-984808e96a81</vt:lpwstr>
  </property>
  <property fmtid="{D5CDD505-2E9C-101B-9397-08002B2CF9AE}" pid="10" name="MSIP_Label_75c705d7-a0c7-4dfc-9e74-f70280a93ba5_ContentBits">
    <vt:lpwstr>0</vt:lpwstr>
  </property>
  <property fmtid="{D5CDD505-2E9C-101B-9397-08002B2CF9AE}" pid="11" name="MSIP_Label_e23aaa83-1940-48a9-a4d6-4a193a1929ec_Enabled">
    <vt:lpwstr>true</vt:lpwstr>
  </property>
  <property fmtid="{D5CDD505-2E9C-101B-9397-08002B2CF9AE}" pid="12" name="MSIP_Label_e23aaa83-1940-48a9-a4d6-4a193a1929ec_SetDate">
    <vt:lpwstr>2023-12-07T01:25:44Z</vt:lpwstr>
  </property>
  <property fmtid="{D5CDD505-2E9C-101B-9397-08002B2CF9AE}" pid="13" name="MSIP_Label_e23aaa83-1940-48a9-a4d6-4a193a1929ec_Method">
    <vt:lpwstr>Standard</vt:lpwstr>
  </property>
  <property fmtid="{D5CDD505-2E9C-101B-9397-08002B2CF9AE}" pid="14" name="MSIP_Label_e23aaa83-1940-48a9-a4d6-4a193a1929ec_Name">
    <vt:lpwstr>Corporate</vt:lpwstr>
  </property>
  <property fmtid="{D5CDD505-2E9C-101B-9397-08002B2CF9AE}" pid="15" name="MSIP_Label_e23aaa83-1940-48a9-a4d6-4a193a1929ec_SiteId">
    <vt:lpwstr>ce78e7b0-e32a-4428-9390-1c2ec8a59c47</vt:lpwstr>
  </property>
  <property fmtid="{D5CDD505-2E9C-101B-9397-08002B2CF9AE}" pid="16" name="MSIP_Label_e23aaa83-1940-48a9-a4d6-4a193a1929ec_ActionId">
    <vt:lpwstr>f98fe1f4-1973-40af-9a16-738441884ae7</vt:lpwstr>
  </property>
  <property fmtid="{D5CDD505-2E9C-101B-9397-08002B2CF9AE}" pid="17" name="MSIP_Label_e23aaa83-1940-48a9-a4d6-4a193a1929ec_ContentBits">
    <vt:lpwstr>2</vt:lpwstr>
  </property>
  <property fmtid="{D5CDD505-2E9C-101B-9397-08002B2CF9AE}" pid="18" name="ContentTypeId">
    <vt:lpwstr>0x0101003A00EECCAA3DB94895FACE15614ECBE0</vt:lpwstr>
  </property>
</Properties>
</file>